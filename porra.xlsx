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81" documentId="13_ncr:1_{AF5F34E1-3CEA-4E5C-856E-DF27FFEF07FE}" xr6:coauthVersionLast="47" xr6:coauthVersionMax="47" xr10:uidLastSave="{FB9C0153-350F-4D60-A773-5C818C8593F2}"/>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L206" i="46"/>
  <c r="L207" i="46"/>
  <c r="M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B175" i="46"/>
  <c r="A176" i="46"/>
  <c r="B176" i="46"/>
  <c r="A177" i="46"/>
  <c r="B177" i="46"/>
  <c r="A178" i="46"/>
  <c r="B178" i="46"/>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N176" i="46"/>
  <c r="O176" i="46"/>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F5" i="48" a="1"/>
  <c r="F5" i="48" s="1"/>
  <c r="V267" i="46"/>
  <c r="M39" i="46"/>
  <c r="M28" i="46"/>
  <c r="Q28" i="46"/>
  <c r="Q12" i="46"/>
  <c r="E205" i="46"/>
  <c r="Q205" i="46"/>
  <c r="M233" i="46"/>
  <c r="P233" i="46"/>
  <c r="M244" i="46"/>
  <c r="P244" i="46"/>
  <c r="E164" i="46"/>
  <c r="Q164" i="46"/>
  <c r="E176"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P201" i="46"/>
  <c r="E200" i="46"/>
  <c r="M206" i="46"/>
  <c r="M205" i="46"/>
  <c r="P179" i="46"/>
  <c r="Q177" i="46"/>
  <c r="Q178" i="46"/>
  <c r="E177" i="46"/>
  <c r="Q175" i="46"/>
  <c r="Q166" i="46"/>
  <c r="M55" i="46"/>
  <c r="AL55" i="46"/>
  <c r="M30" i="46"/>
  <c r="Q54" i="46"/>
  <c r="M167" i="46"/>
  <c r="M175" i="46"/>
  <c r="E175" i="46"/>
  <c r="Q165" i="46"/>
  <c r="M164" i="46"/>
  <c r="M67" i="46"/>
  <c r="L27" i="6"/>
  <c r="M27" i="6"/>
  <c r="O237" i="36"/>
  <c r="J237" i="36"/>
  <c r="G237" i="36" s="1"/>
  <c r="D237" i="36" s="1"/>
  <c r="Q42" i="46"/>
  <c r="T66" i="46"/>
  <c r="M6" i="46"/>
  <c r="D10" i="51"/>
  <c r="D9" i="51"/>
  <c r="E178" i="46"/>
  <c r="M170" i="46"/>
  <c r="P177" i="46"/>
  <c r="M173" i="46"/>
  <c r="M176" i="46"/>
  <c r="M168" i="46"/>
  <c r="Q176" i="46"/>
  <c r="M174" i="46"/>
  <c r="Q167" i="46"/>
  <c r="Q174" i="46"/>
  <c r="P166" i="46"/>
  <c r="P169" i="46"/>
  <c r="P176"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12" i="3"/>
  <c r="D111" i="3"/>
  <c r="N124" i="3" s="1"/>
  <c r="AF124" i="3" s="1"/>
  <c r="AE17" i="45" s="1"/>
  <c r="D114" i="3"/>
  <c r="D115" i="3"/>
  <c r="AG115" i="3"/>
  <c r="M126" i="3"/>
  <c r="AA126" i="3" s="1"/>
  <c r="AG114" i="3"/>
  <c r="N126" i="3"/>
  <c r="AF126" i="3" s="1"/>
  <c r="M196" i="46" s="1"/>
  <c r="AG111" i="3"/>
  <c r="AG112" i="3"/>
  <c r="M124" i="3"/>
  <c r="AA124" i="3" s="1"/>
  <c r="AE16" i="45" s="1"/>
  <c r="D120" i="3"/>
  <c r="N131" i="3" s="1"/>
  <c r="AF131" i="3" s="1"/>
  <c r="AI8" i="45" s="1"/>
  <c r="D124" i="3"/>
  <c r="D122" i="3"/>
  <c r="M133" i="3" s="1"/>
  <c r="AA133" i="3" s="1"/>
  <c r="D126" i="3"/>
  <c r="AG126" i="3" s="1"/>
  <c r="D134" i="3"/>
  <c r="N139" i="3" s="1"/>
  <c r="AF139" i="3" s="1"/>
  <c r="AF143" i="3"/>
  <c r="AQ32" i="45" s="1"/>
  <c r="H139" i="3"/>
  <c r="D116" i="3"/>
  <c r="D113" i="3"/>
  <c r="AG116" i="3"/>
  <c r="N127" i="3"/>
  <c r="AF127" i="3" s="1"/>
  <c r="AG113" i="3"/>
  <c r="M127" i="3"/>
  <c r="AA127" i="3" s="1"/>
  <c r="D127" i="3"/>
  <c r="N134" i="3" s="1"/>
  <c r="AF134" i="3" s="1"/>
  <c r="D125" i="3"/>
  <c r="N132" i="3" s="1"/>
  <c r="AF132" i="3" s="1"/>
  <c r="D121" i="3"/>
  <c r="M131" i="3" s="1"/>
  <c r="AA131" i="3" s="1"/>
  <c r="D123" i="3"/>
  <c r="N133" i="3" s="1"/>
  <c r="AF133" i="3" s="1"/>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P173" i="46" l="1"/>
  <c r="Q173" i="46"/>
  <c r="E171" i="46"/>
  <c r="E170" i="46"/>
  <c r="Q168" i="46"/>
  <c r="K247" i="46"/>
  <c r="BA21" i="45"/>
  <c r="M250" i="46"/>
  <c r="FK250" i="46" s="1"/>
  <c r="M143" i="3"/>
  <c r="AG151" i="3"/>
  <c r="AG134" i="3"/>
  <c r="DT126" i="3"/>
  <c r="BB23" i="45"/>
  <c r="M134" i="3"/>
  <c r="AA134" i="3" s="1"/>
  <c r="K223" i="46" s="1"/>
  <c r="M165" i="46"/>
  <c r="E7" i="48"/>
  <c r="F6" i="48" a="1"/>
  <c r="F6" i="48" s="1"/>
  <c r="DT133" i="3"/>
  <c r="AI32" i="45"/>
  <c r="AG123" i="3"/>
  <c r="K244" i="46"/>
  <c r="C244" i="46"/>
  <c r="AG122" i="3"/>
  <c r="M147" i="3"/>
  <c r="DT143" i="3"/>
  <c r="AG125" i="3"/>
  <c r="AG120" i="3"/>
  <c r="AF250" i="46"/>
  <c r="C247" i="46"/>
  <c r="BD247" i="46" s="1"/>
  <c r="BD248" i="46" s="1"/>
  <c r="AG139" i="3"/>
  <c r="BV252" i="46"/>
  <c r="EY252" i="46"/>
  <c r="EA252" i="46"/>
  <c r="CB252" i="46"/>
  <c r="CQ252" i="46"/>
  <c r="DC252" i="46"/>
  <c r="BY252" i="46"/>
  <c r="AO252" i="46"/>
  <c r="ED252" i="46"/>
  <c r="FK252" i="46"/>
  <c r="EG252" i="46"/>
  <c r="EJ252" i="46"/>
  <c r="AI252" i="46"/>
  <c r="BJ252" i="46"/>
  <c r="BM252" i="46"/>
  <c r="M215" i="46"/>
  <c r="AI20" i="45"/>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AG121" i="3"/>
  <c r="C222" i="46"/>
  <c r="M237" i="46"/>
  <c r="M188" i="46"/>
  <c r="M241" i="46"/>
  <c r="M216" i="46"/>
  <c r="AZ25" i="45"/>
  <c r="K206" i="46"/>
  <c r="AG127" i="3"/>
  <c r="AG152" i="3"/>
  <c r="N143" i="3"/>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Z250" i="46"/>
  <c r="FB250" i="46"/>
  <c r="AI7" i="45"/>
  <c r="C220" i="46"/>
  <c r="M210" i="46"/>
  <c r="K220" i="46"/>
  <c r="DT131" i="3"/>
  <c r="M138" i="3"/>
  <c r="AA138" i="3" s="1"/>
  <c r="AG131" i="3"/>
  <c r="DF250" i="46"/>
  <c r="FE250" i="46"/>
  <c r="DO250" i="46"/>
  <c r="EG250" i="46"/>
  <c r="CN250" i="46"/>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BJ250" i="46"/>
  <c r="M217" i="46"/>
  <c r="AI44" i="45"/>
  <c r="M240" i="46"/>
  <c r="AU25" i="45"/>
  <c r="K222" i="46"/>
  <c r="DT127" i="3"/>
  <c r="M189" i="46"/>
  <c r="AE46" i="45"/>
  <c r="K207" i="46"/>
  <c r="M197" i="46"/>
  <c r="AE47" i="45"/>
  <c r="C207" i="46"/>
  <c r="M214" i="46"/>
  <c r="AI31" i="45"/>
  <c r="M212" i="46"/>
  <c r="M186" i="46"/>
  <c r="DT124" i="3"/>
  <c r="K204" i="46"/>
  <c r="M132" i="3"/>
  <c r="AA132" i="3" s="1"/>
  <c r="C221" i="46" s="1"/>
  <c r="AG124" i="3"/>
  <c r="M194" i="46"/>
  <c r="C204" i="46"/>
  <c r="AM38" i="45" a="1"/>
  <c r="AM38" i="45" s="1"/>
  <c r="M229" i="46"/>
  <c r="C206" i="46"/>
  <c r="AE41" i="45"/>
  <c r="AE40" i="45"/>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AI250" i="46" l="1"/>
  <c r="DR250" i="46"/>
  <c r="BA250" i="46"/>
  <c r="AR250" i="46"/>
  <c r="CK250" i="46"/>
  <c r="CK259" i="46" s="1"/>
  <c r="BP250" i="46"/>
  <c r="BP259" i="46" s="1"/>
  <c r="EV250" i="46"/>
  <c r="AL250" i="46"/>
  <c r="ES250" i="46"/>
  <c r="ES259" i="46" s="1"/>
  <c r="AX250" i="46"/>
  <c r="AX259" i="46" s="1"/>
  <c r="AO250" i="46"/>
  <c r="AO259" i="46" s="1"/>
  <c r="BM250" i="46"/>
  <c r="BM259" i="46" s="1"/>
  <c r="DI250" i="46"/>
  <c r="DI259" i="46" s="1"/>
  <c r="EY250" i="46"/>
  <c r="DL250" i="46"/>
  <c r="DL259" i="46" s="1"/>
  <c r="EM250" i="46"/>
  <c r="EM259" i="46" s="1"/>
  <c r="W250" i="46"/>
  <c r="W259" i="46" s="1"/>
  <c r="ED250" i="46"/>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AI43" i="45"/>
  <c r="C223" i="46"/>
  <c r="EM244" i="46"/>
  <c r="EM245" i="46" s="1"/>
  <c r="DT134" i="3"/>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M213" i="46"/>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BJ259" i="46"/>
  <c r="AL244" i="46"/>
  <c r="AL245" i="46" s="1"/>
  <c r="DO247" i="46"/>
  <c r="DO248" i="46" s="1"/>
  <c r="BS236" i="46"/>
  <c r="DR237" i="46"/>
  <c r="CK237" i="46"/>
  <c r="CW237" i="46"/>
  <c r="CH237" i="46"/>
  <c r="BA259" i="46"/>
  <c r="AI237" i="46"/>
  <c r="Z237" i="46"/>
  <c r="EV236" i="46"/>
  <c r="BG237" i="46"/>
  <c r="BJ236" i="46"/>
  <c r="DC236" i="46"/>
  <c r="FH237" i="46"/>
  <c r="CT237" i="46"/>
  <c r="AI244" i="46"/>
  <c r="AI245" i="46" s="1"/>
  <c r="BM237" i="46"/>
  <c r="ES247" i="46"/>
  <c r="ES248" i="46" s="1"/>
  <c r="FK236" i="46"/>
  <c r="EJ236" i="46"/>
  <c r="ED259"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EY259" i="46"/>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DF259" i="46"/>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AI259"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BA238" i="46" s="1"/>
  <c r="DO237" i="46"/>
  <c r="CB237" i="46"/>
  <c r="FK237" i="46"/>
  <c r="BJ237" i="46"/>
  <c r="AX236" i="46"/>
  <c r="EG259" i="46"/>
  <c r="FH236" i="46"/>
  <c r="FE236" i="46"/>
  <c r="DX237" i="46"/>
  <c r="AR259" i="46"/>
  <c r="Z236" i="46"/>
  <c r="EG236" i="46"/>
  <c r="EM237" i="46"/>
  <c r="C233" i="46"/>
  <c r="K233" i="46"/>
  <c r="AM37" i="45"/>
  <c r="DT139" i="3"/>
  <c r="BP237" i="46"/>
  <c r="AF236" i="46"/>
  <c r="DL237" i="46"/>
  <c r="AF259"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FB259" i="46"/>
  <c r="A14" i="3"/>
  <c r="BD11" i="3"/>
  <c r="AI19" i="32"/>
  <c r="BD8" i="3"/>
  <c r="A7" i="3"/>
  <c r="BD9" i="3"/>
  <c r="A8" i="3"/>
  <c r="A94" i="3"/>
  <c r="BD51" i="3"/>
  <c r="BC35" i="3"/>
  <c r="AM13" i="45"/>
  <c r="M226" i="46"/>
  <c r="K232" i="46"/>
  <c r="DT138" i="3"/>
  <c r="BD40" i="3"/>
  <c r="A71" i="3"/>
  <c r="AI46" i="32"/>
  <c r="BC46" i="3"/>
  <c r="A22" i="3"/>
  <c r="BD15" i="3"/>
  <c r="AI44" i="32"/>
  <c r="AI17" i="32"/>
  <c r="AI48" i="32"/>
  <c r="EV259" i="46"/>
  <c r="AI43" i="32"/>
  <c r="AI5" i="32"/>
  <c r="AI22" i="32"/>
  <c r="AI23" i="32"/>
  <c r="A87" i="3"/>
  <c r="BD48" i="3"/>
  <c r="BD28" i="3"/>
  <c r="A47" i="3"/>
  <c r="CN259" i="46"/>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DO259" i="46"/>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FE259" i="46"/>
  <c r="A79" i="3"/>
  <c r="BD44" i="3"/>
  <c r="AI40" i="32"/>
  <c r="AI19" i="45"/>
  <c r="M211" i="46"/>
  <c r="K221" i="46"/>
  <c r="DT132" i="3"/>
  <c r="DR259" i="46"/>
  <c r="BD33" i="3"/>
  <c r="A56" i="3"/>
  <c r="AI47" i="32"/>
  <c r="AI35" i="32"/>
  <c r="A37" i="3"/>
  <c r="BD22" i="3"/>
  <c r="BC20" i="3"/>
  <c r="A6" i="3"/>
  <c r="BD7" i="3"/>
  <c r="BD21" i="3"/>
  <c r="A32" i="3"/>
  <c r="A63" i="3"/>
  <c r="BD36" i="3"/>
  <c r="AL259" i="46"/>
  <c r="Z259" i="46"/>
  <c r="EV238" i="46" l="1"/>
  <c r="ES238" i="46"/>
  <c r="DL220" i="46"/>
  <c r="W238" i="46"/>
  <c r="CT238" i="46"/>
  <c r="FB238" i="46"/>
  <c r="DU217"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CK213" i="46"/>
  <c r="AL238" i="46"/>
  <c r="BA210" i="46"/>
  <c r="FK217" i="46"/>
  <c r="EP242" i="46"/>
  <c r="AF210" i="46"/>
  <c r="DU242" i="46"/>
  <c r="AC242" i="46"/>
  <c r="DF238" i="46"/>
  <c r="EV223" i="46"/>
  <c r="CQ238" i="46"/>
  <c r="EY238" i="46"/>
  <c r="BG222" i="46"/>
  <c r="FE242" i="46"/>
  <c r="FE238" i="46"/>
  <c r="E9" i="48"/>
  <c r="F8" i="48" a="1"/>
  <c r="F8" i="48" s="1"/>
  <c r="EA213" i="46"/>
  <c r="CT220" i="46"/>
  <c r="EP213" i="46"/>
  <c r="FB214" i="46"/>
  <c r="DO212" i="46"/>
  <c r="EY215" i="46"/>
  <c r="ED211" i="46"/>
  <c r="EP214" i="46"/>
  <c r="BG216" i="46"/>
  <c r="CE211" i="46"/>
  <c r="Z220" i="46"/>
  <c r="DX210" i="46"/>
  <c r="DF242" i="46"/>
  <c r="DL238" i="46"/>
  <c r="AR238" i="46"/>
  <c r="AO238" i="46"/>
  <c r="EM238" i="46"/>
  <c r="EP238" i="46"/>
  <c r="DO238" i="46"/>
  <c r="AF238" i="46"/>
  <c r="T238" i="46"/>
  <c r="M238" i="46"/>
  <c r="BG221" i="46"/>
  <c r="CH222" i="46"/>
  <c r="FH211" i="46"/>
  <c r="EV220" i="46"/>
  <c r="EG211" i="46"/>
  <c r="DF215" i="46"/>
  <c r="FB216" i="46"/>
  <c r="DR214" i="46"/>
  <c r="AR223" i="46"/>
  <c r="DX222" i="46"/>
  <c r="BY238" i="46"/>
  <c r="DI215" i="46"/>
  <c r="DL213" i="46"/>
  <c r="BJ217" i="46"/>
  <c r="BJ210" i="46"/>
  <c r="DI212" i="46"/>
  <c r="AI220" i="46"/>
  <c r="FH222" i="46"/>
  <c r="DI238" i="46"/>
  <c r="BD238" i="46"/>
  <c r="EG212" i="46"/>
  <c r="BM217" i="46"/>
  <c r="BP238" i="46"/>
  <c r="AI216" i="46"/>
  <c r="AX242" i="46"/>
  <c r="AR215" i="46"/>
  <c r="EM210" i="46"/>
  <c r="EA211" i="46"/>
  <c r="AI211" i="46"/>
  <c r="CB220" i="46"/>
  <c r="EY220" i="46"/>
  <c r="CZ242" i="46"/>
  <c r="BP242" i="46"/>
  <c r="CQ242" i="46"/>
  <c r="EV242" i="46"/>
  <c r="CB242" i="46"/>
  <c r="AI242" i="46"/>
  <c r="ED238" i="46"/>
  <c r="CE238" i="46"/>
  <c r="DR223" i="46"/>
  <c r="AR211" i="46"/>
  <c r="BD211" i="46"/>
  <c r="BG211" i="46"/>
  <c r="FE221" i="46"/>
  <c r="FH216" i="46"/>
  <c r="AX211" i="46"/>
  <c r="AF211" i="46"/>
  <c r="BM215" i="46"/>
  <c r="EJ215" i="46"/>
  <c r="CK220" i="46"/>
  <c r="BJ221" i="46"/>
  <c r="BV242" i="46"/>
  <c r="CW242" i="46"/>
  <c r="CB238" i="46"/>
  <c r="DU238" i="46"/>
  <c r="EM217" i="46"/>
  <c r="BJ222" i="46"/>
  <c r="DO217" i="46"/>
  <c r="BA214" i="46"/>
  <c r="AO220" i="46"/>
  <c r="EV215" i="46"/>
  <c r="CW210" i="46"/>
  <c r="CT216" i="46"/>
  <c r="BV214" i="46"/>
  <c r="BS222" i="46"/>
  <c r="CT221" i="46"/>
  <c r="CK242" i="46"/>
  <c r="CZ238" i="46"/>
  <c r="DC215" i="46"/>
  <c r="AR216" i="46"/>
  <c r="BA221" i="46"/>
  <c r="BS212" i="46"/>
  <c r="DF216" i="46"/>
  <c r="EJ210" i="46"/>
  <c r="FH242" i="46"/>
  <c r="AC238" i="46"/>
  <c r="BV238" i="46"/>
  <c r="ED221" i="46"/>
  <c r="AF216" i="46"/>
  <c r="BM212" i="46"/>
  <c r="DU223" i="46"/>
  <c r="AR242" i="46"/>
  <c r="DI217" i="46"/>
  <c r="CE220" i="46"/>
  <c r="W221" i="46"/>
  <c r="DR217" i="46"/>
  <c r="CK214" i="46"/>
  <c r="EJ212" i="46"/>
  <c r="FE213" i="46"/>
  <c r="FH223" i="46"/>
  <c r="AC221"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FH210" i="46"/>
  <c r="FK212" i="46"/>
  <c r="CB212" i="46"/>
  <c r="FK215" i="46"/>
  <c r="CN210" i="46"/>
  <c r="CW211" i="46"/>
  <c r="CW214" i="46"/>
  <c r="DC217" i="46"/>
  <c r="BV212" i="46"/>
  <c r="CB216" i="46"/>
  <c r="DF214" i="46"/>
  <c r="EY210" i="46"/>
  <c r="DC212" i="46"/>
  <c r="EM213" i="46"/>
  <c r="BG210" i="46"/>
  <c r="FH217" i="46"/>
  <c r="CQ213" i="46"/>
  <c r="FE212" i="46"/>
  <c r="CN217" i="46"/>
  <c r="AU213" i="46"/>
  <c r="AO212" i="46"/>
  <c r="FB213" i="46"/>
  <c r="BD210" i="46"/>
  <c r="ED213" i="46"/>
  <c r="W210" i="46"/>
  <c r="CH213" i="46"/>
  <c r="ED212" i="46"/>
  <c r="Z217" i="46"/>
  <c r="DR210" i="46"/>
  <c r="CT223" i="46"/>
  <c r="AF222" i="46"/>
  <c r="EY222" i="46"/>
  <c r="Z222" i="46"/>
  <c r="CW220" i="46"/>
  <c r="EY223" i="46"/>
  <c r="EM220" i="46"/>
  <c r="CK222" i="46"/>
  <c r="AL223" i="46"/>
  <c r="BM222" i="46"/>
  <c r="AO222" i="46"/>
  <c r="DR221" i="46"/>
  <c r="AX223" i="46"/>
  <c r="BS220" i="46"/>
  <c r="W242" i="46"/>
  <c r="EM242" i="46"/>
  <c r="AA7" i="3"/>
  <c r="AA4" i="3"/>
  <c r="AF8" i="3"/>
  <c r="AY6" i="3"/>
  <c r="O15" i="45"/>
  <c r="AB64" i="3" a="1"/>
  <c r="AB64" i="3" s="1"/>
  <c r="BC10" i="3"/>
  <c r="BC21" i="3"/>
  <c r="AY57" i="3"/>
  <c r="AA57" i="3"/>
  <c r="AF53" i="3"/>
  <c r="AA55" i="3"/>
  <c r="DL210" i="46"/>
  <c r="EG214" i="46"/>
  <c r="ES216" i="46"/>
  <c r="BG212" i="46"/>
  <c r="AO214" i="46"/>
  <c r="DR212" i="46"/>
  <c r="EV216" i="46"/>
  <c r="BV213" i="46"/>
  <c r="W212" i="46"/>
  <c r="BG213" i="46"/>
  <c r="DR215" i="46"/>
  <c r="CH210" i="46"/>
  <c r="AL215" i="46"/>
  <c r="BV215" i="46"/>
  <c r="DF212" i="46"/>
  <c r="EM214" i="46"/>
  <c r="EY214" i="46"/>
  <c r="BJ212" i="46"/>
  <c r="BS214" i="46"/>
  <c r="DC214" i="46"/>
  <c r="FE211" i="46"/>
  <c r="AU217" i="46"/>
  <c r="EP210" i="46"/>
  <c r="W217" i="46"/>
  <c r="DI210" i="46"/>
  <c r="DX216" i="46"/>
  <c r="AX210" i="46"/>
  <c r="DU214" i="46"/>
  <c r="BA211" i="46"/>
  <c r="AR220" i="46"/>
  <c r="AO223" i="46"/>
  <c r="T223" i="46"/>
  <c r="CB221" i="46"/>
  <c r="FK220" i="46"/>
  <c r="FE222" i="46"/>
  <c r="CQ223" i="46"/>
  <c r="CQ221" i="46"/>
  <c r="BP222" i="46"/>
  <c r="BA223" i="46"/>
  <c r="AC223" i="46"/>
  <c r="ED222" i="46"/>
  <c r="ED220" i="46"/>
  <c r="BY222" i="46"/>
  <c r="BA242" i="46"/>
  <c r="DO242" i="46"/>
  <c r="BC6" i="3"/>
  <c r="BC51" i="3"/>
  <c r="R14" i="45"/>
  <c r="AE63" i="3" a="1"/>
  <c r="AE63" i="3" s="1"/>
  <c r="AA15" i="3"/>
  <c r="AY14" i="3"/>
  <c r="AA12" i="3"/>
  <c r="AF16" i="3"/>
  <c r="BC33" i="3"/>
  <c r="AA23" i="3"/>
  <c r="AA20" i="3"/>
  <c r="AF24" i="3"/>
  <c r="AY22" i="3"/>
  <c r="EY212" i="46"/>
  <c r="EM212" i="46"/>
  <c r="AI214" i="46"/>
  <c r="CQ217" i="46"/>
  <c r="BY215" i="46"/>
  <c r="DI211" i="46"/>
  <c r="BA216" i="46"/>
  <c r="AO216" i="46"/>
  <c r="EV210" i="46"/>
  <c r="DX211" i="46"/>
  <c r="DX214" i="46"/>
  <c r="T211" i="46"/>
  <c r="BP214" i="46"/>
  <c r="CB214" i="46"/>
  <c r="T214" i="46"/>
  <c r="DU213" i="46"/>
  <c r="AF214" i="46"/>
  <c r="T210" i="46"/>
  <c r="BY213" i="46"/>
  <c r="DI213" i="46"/>
  <c r="AC212" i="46"/>
  <c r="FB211" i="46"/>
  <c r="DX217" i="46"/>
  <c r="AU210" i="46"/>
  <c r="EM216" i="46"/>
  <c r="EJ217" i="46"/>
  <c r="T217" i="46"/>
  <c r="EG215" i="46"/>
  <c r="AC210" i="46"/>
  <c r="FK223" i="46"/>
  <c r="CW221" i="46"/>
  <c r="DO223" i="46"/>
  <c r="BY223" i="46"/>
  <c r="EM223" i="46"/>
  <c r="DL221" i="46"/>
  <c r="AX220" i="46"/>
  <c r="BM220" i="46"/>
  <c r="AU221" i="46"/>
  <c r="FH221" i="46"/>
  <c r="EJ221" i="46"/>
  <c r="CN221" i="46"/>
  <c r="DR222" i="46"/>
  <c r="EJ223" i="46"/>
  <c r="AY9" i="3"/>
  <c r="AA6" i="3"/>
  <c r="AF5" i="3"/>
  <c r="AA8" i="3"/>
  <c r="BC50" i="3"/>
  <c r="BM213" i="46"/>
  <c r="T212" i="46"/>
  <c r="W214" i="46"/>
  <c r="Z214" i="46"/>
  <c r="FE216" i="46"/>
  <c r="CB211" i="46"/>
  <c r="CZ212" i="46"/>
  <c r="AR213" i="46"/>
  <c r="ES210" i="46"/>
  <c r="FH214" i="46"/>
  <c r="AX217" i="46"/>
  <c r="CZ217" i="46"/>
  <c r="BV210" i="46"/>
  <c r="EA216" i="46"/>
  <c r="BG217" i="46"/>
  <c r="DR211" i="46"/>
  <c r="CE216" i="46"/>
  <c r="BM214" i="46"/>
  <c r="BP211" i="46"/>
  <c r="DL215" i="46"/>
  <c r="AL217" i="46"/>
  <c r="FB215" i="46"/>
  <c r="CQ216" i="46"/>
  <c r="ED215" i="46"/>
  <c r="CE212" i="46"/>
  <c r="CH215" i="46"/>
  <c r="BS216" i="46"/>
  <c r="CE213" i="46"/>
  <c r="BS223" i="46"/>
  <c r="ES223" i="46"/>
  <c r="DF220" i="46"/>
  <c r="CE222" i="46"/>
  <c r="EA221" i="46"/>
  <c r="CN220" i="46"/>
  <c r="BG223" i="46"/>
  <c r="ES222" i="46"/>
  <c r="BD220" i="46"/>
  <c r="BG220" i="46"/>
  <c r="BY220" i="46"/>
  <c r="CB222" i="46"/>
  <c r="ED223" i="46"/>
  <c r="BV222" i="46"/>
  <c r="ED242" i="46"/>
  <c r="AB70" i="3" a="1"/>
  <c r="AB70" i="3" s="1"/>
  <c r="O21" i="45"/>
  <c r="BC15" i="3"/>
  <c r="BC9" i="3"/>
  <c r="R11" i="45"/>
  <c r="AE60" i="3" a="1"/>
  <c r="AE60" i="3" s="1"/>
  <c r="AY94" i="3"/>
  <c r="AA94" i="3"/>
  <c r="AF96" i="3"/>
  <c r="AA92" i="3"/>
  <c r="CW212" i="46"/>
  <c r="ES215" i="46"/>
  <c r="CZ211" i="46"/>
  <c r="CW216" i="46"/>
  <c r="CN213" i="46"/>
  <c r="W211" i="46"/>
  <c r="BG215" i="46"/>
  <c r="CQ215" i="46"/>
  <c r="AF215" i="46"/>
  <c r="EG210" i="46"/>
  <c r="AC214" i="46"/>
  <c r="CH217" i="46"/>
  <c r="DO211" i="46"/>
  <c r="BJ213" i="46"/>
  <c r="AU216" i="46"/>
  <c r="FE210" i="46"/>
  <c r="DU212" i="46"/>
  <c r="EV217" i="46"/>
  <c r="BM210" i="46"/>
  <c r="CB210" i="46"/>
  <c r="CT213" i="46"/>
  <c r="DX213" i="46"/>
  <c r="BV211" i="46"/>
  <c r="CZ213" i="46"/>
  <c r="CB217" i="46"/>
  <c r="BD213" i="46"/>
  <c r="DO216" i="46"/>
  <c r="DU216" i="46"/>
  <c r="DI223" i="46"/>
  <c r="BV223" i="46"/>
  <c r="AX222" i="46"/>
  <c r="DO220" i="46"/>
  <c r="CH220" i="46"/>
  <c r="CQ220" i="46"/>
  <c r="DI222" i="46"/>
  <c r="FB221" i="46"/>
  <c r="ES220" i="46"/>
  <c r="DC220" i="46"/>
  <c r="CZ220" i="46"/>
  <c r="DF221" i="46"/>
  <c r="CZ221" i="46"/>
  <c r="CH223" i="46"/>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DF217" i="46"/>
  <c r="CT214" i="46"/>
  <c r="EJ213" i="46"/>
  <c r="CB213" i="46"/>
  <c r="EM215" i="46"/>
  <c r="BP210" i="46"/>
  <c r="CT211" i="46"/>
  <c r="CT217" i="46"/>
  <c r="BD215" i="46"/>
  <c r="Z212" i="46"/>
  <c r="BD216" i="46"/>
  <c r="DX215" i="46"/>
  <c r="FB210" i="46"/>
  <c r="FE215" i="46"/>
  <c r="AX213" i="46"/>
  <c r="CQ210" i="46"/>
  <c r="CK215" i="46"/>
  <c r="CN216" i="46"/>
  <c r="FH212" i="46"/>
  <c r="AO215" i="46"/>
  <c r="EJ216" i="46"/>
  <c r="EP216" i="46"/>
  <c r="DL216" i="46"/>
  <c r="DR216" i="46"/>
  <c r="BP216" i="46"/>
  <c r="BV216" i="46"/>
  <c r="DR213" i="46"/>
  <c r="CQ214" i="46"/>
  <c r="BM223" i="46"/>
  <c r="T222" i="46"/>
  <c r="EV221" i="46"/>
  <c r="DX220" i="46"/>
  <c r="BD223" i="46"/>
  <c r="BV220" i="46"/>
  <c r="DO221" i="46"/>
  <c r="BJ223" i="46"/>
  <c r="AU220" i="46"/>
  <c r="BP220" i="46"/>
  <c r="W223" i="46"/>
  <c r="CZ222" i="46"/>
  <c r="CN222" i="46"/>
  <c r="BD221" i="46"/>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N215" i="46"/>
  <c r="DL212" i="46"/>
  <c r="EV213" i="46"/>
  <c r="EA215" i="46"/>
  <c r="EP217" i="46"/>
  <c r="EV212" i="46"/>
  <c r="CT212" i="46"/>
  <c r="BY214" i="46"/>
  <c r="EA217" i="46"/>
  <c r="CK211" i="46"/>
  <c r="AI213" i="46"/>
  <c r="AL214" i="46"/>
  <c r="CK210" i="46"/>
  <c r="BA212" i="46"/>
  <c r="DO213" i="46"/>
  <c r="Z210" i="46"/>
  <c r="DL217" i="46"/>
  <c r="BS213" i="46"/>
  <c r="CK212" i="46"/>
  <c r="BP217" i="46"/>
  <c r="CH214" i="46"/>
  <c r="DL214" i="46"/>
  <c r="BJ214" i="46"/>
  <c r="CN214" i="46"/>
  <c r="FK213" i="46"/>
  <c r="AR214" i="46"/>
  <c r="FK216" i="46"/>
  <c r="EG217" i="46"/>
  <c r="FK222" i="46"/>
  <c r="DU220" i="46"/>
  <c r="DR220" i="46"/>
  <c r="DL223" i="46"/>
  <c r="DF222" i="46"/>
  <c r="BM221" i="46"/>
  <c r="AR221" i="46"/>
  <c r="EJ222" i="46"/>
  <c r="EV222" i="46"/>
  <c r="BD222" i="46"/>
  <c r="CN223" i="46"/>
  <c r="EP222" i="46"/>
  <c r="CB223" i="46"/>
  <c r="AR222" i="46"/>
  <c r="CT242" i="46"/>
  <c r="ES242" i="46"/>
  <c r="R23" i="45"/>
  <c r="AE72" i="3" a="1"/>
  <c r="AE72" i="3" s="1"/>
  <c r="BC34" i="3"/>
  <c r="AB29" i="3" a="1"/>
  <c r="AB29" i="3" s="1"/>
  <c r="C28" i="45"/>
  <c r="BC48" i="3"/>
  <c r="AA39" i="3"/>
  <c r="AF37" i="3"/>
  <c r="AA41" i="3"/>
  <c r="AY41" i="3"/>
  <c r="AA71" i="3"/>
  <c r="AY73" i="3"/>
  <c r="AA72" i="3"/>
  <c r="AF69" i="3"/>
  <c r="BC7" i="3"/>
  <c r="CZ210" i="46"/>
  <c r="DU215" i="46"/>
  <c r="BY211" i="46"/>
  <c r="AF212" i="46"/>
  <c r="ES214" i="46"/>
  <c r="DI214" i="46"/>
  <c r="AU212" i="46"/>
  <c r="CZ216" i="46"/>
  <c r="ED214" i="46"/>
  <c r="AC211" i="46"/>
  <c r="BJ215" i="46"/>
  <c r="CT215" i="46"/>
  <c r="FB212" i="46"/>
  <c r="FK214" i="46"/>
  <c r="Z215" i="46"/>
  <c r="CH212" i="46"/>
  <c r="DO214" i="46"/>
  <c r="EA214" i="46"/>
  <c r="AL212" i="46"/>
  <c r="AU214" i="46"/>
  <c r="EG216" i="46"/>
  <c r="EV211" i="46"/>
  <c r="DI216" i="46"/>
  <c r="DU211" i="46"/>
  <c r="BM216" i="46"/>
  <c r="BS211" i="46"/>
  <c r="BA215" i="46"/>
  <c r="CE215" i="46"/>
  <c r="BV221" i="46"/>
  <c r="EM222" i="46"/>
  <c r="EG221" i="46"/>
  <c r="CW223" i="46"/>
  <c r="AC222" i="46"/>
  <c r="AI222" i="46"/>
  <c r="EP220" i="46"/>
  <c r="FH220" i="46"/>
  <c r="EP221" i="46"/>
  <c r="BP223" i="46"/>
  <c r="DU222" i="46"/>
  <c r="CH221" i="46"/>
  <c r="FB223" i="46"/>
  <c r="Z221" i="46"/>
  <c r="AF223" i="46"/>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D217" i="46"/>
  <c r="AX214" i="46"/>
  <c r="CB215" i="46"/>
  <c r="EP212" i="46"/>
  <c r="BS217" i="46"/>
  <c r="AC215" i="46"/>
  <c r="CH211" i="46"/>
  <c r="DC213" i="46"/>
  <c r="EP215" i="46"/>
  <c r="DO210" i="46"/>
  <c r="FE217" i="46"/>
  <c r="ES217" i="46"/>
  <c r="BY210" i="46"/>
  <c r="CK217" i="46"/>
  <c r="BA217" i="46"/>
  <c r="EY211" i="46"/>
  <c r="AO217" i="46"/>
  <c r="ED216" i="46"/>
  <c r="DC211" i="46"/>
  <c r="AX216" i="46"/>
  <c r="CE214" i="46"/>
  <c r="FK210" i="46"/>
  <c r="BG214" i="46"/>
  <c r="ED210" i="46"/>
  <c r="FH213" i="46"/>
  <c r="BS210" i="46"/>
  <c r="W213" i="46"/>
  <c r="AC213" i="46"/>
  <c r="FB220" i="46"/>
  <c r="ES221" i="46"/>
  <c r="CK221" i="46"/>
  <c r="DC222" i="46"/>
  <c r="EY221" i="46"/>
  <c r="FE220" i="46"/>
  <c r="EA223" i="46"/>
  <c r="AC220" i="46"/>
  <c r="BS221" i="46"/>
  <c r="FE223" i="46"/>
  <c r="EG223" i="46"/>
  <c r="CK223" i="46"/>
  <c r="DX221" i="46"/>
  <c r="AL222" i="46"/>
  <c r="BJ220" i="46"/>
  <c r="BS242" i="46"/>
  <c r="AU242" i="46"/>
  <c r="BC40" i="3"/>
  <c r="BC43" i="3"/>
  <c r="AY87" i="3"/>
  <c r="AF84" i="3"/>
  <c r="K26" i="46" s="1"/>
  <c r="AA89" i="3"/>
  <c r="AF87" i="3"/>
  <c r="CH216" i="46"/>
  <c r="BP215" i="46"/>
  <c r="CN212" i="46"/>
  <c r="ED217" i="46"/>
  <c r="CQ212" i="46"/>
  <c r="EY213" i="46"/>
  <c r="CK216" i="46"/>
  <c r="Z211" i="46"/>
  <c r="AC216" i="46"/>
  <c r="BY212" i="46"/>
  <c r="DU210" i="46"/>
  <c r="EJ214" i="46"/>
  <c r="CZ214" i="46"/>
  <c r="T215" i="46"/>
  <c r="ES213" i="46"/>
  <c r="BD214" i="46"/>
  <c r="T216" i="46"/>
  <c r="CW213" i="46"/>
  <c r="EG213" i="46"/>
  <c r="T213" i="46"/>
  <c r="BA213" i="46"/>
  <c r="CW217" i="46"/>
  <c r="BM211" i="46"/>
  <c r="BY217" i="46"/>
  <c r="AL211" i="46"/>
  <c r="AC217" i="46"/>
  <c r="EA210" i="46"/>
  <c r="AX215" i="46"/>
  <c r="ES211" i="46"/>
  <c r="EJ220" i="46"/>
  <c r="DU221" i="46"/>
  <c r="CT222" i="46"/>
  <c r="W220" i="46"/>
  <c r="AF221" i="46"/>
  <c r="EA220" i="46"/>
  <c r="EG222" i="46"/>
  <c r="DI221" i="46"/>
  <c r="EG220" i="46"/>
  <c r="DC221" i="46"/>
  <c r="CE221" i="46"/>
  <c r="AI221" i="46"/>
  <c r="DL222" i="46"/>
  <c r="Z223" i="46"/>
  <c r="EM221" i="46"/>
  <c r="CN242" i="46"/>
  <c r="DL242" i="46"/>
  <c r="BC11" i="3"/>
  <c r="BC29" i="3"/>
  <c r="BC36" i="3"/>
  <c r="AF78" i="3"/>
  <c r="AA77" i="3"/>
  <c r="AF80" i="3"/>
  <c r="AY80" i="3"/>
  <c r="AY64" i="3"/>
  <c r="AF62" i="3"/>
  <c r="AA61" i="3"/>
  <c r="AF64" i="3"/>
  <c r="BC22" i="3"/>
  <c r="BJ216" i="46"/>
  <c r="AL210" i="46"/>
  <c r="ES212" i="46"/>
  <c r="CW215" i="46"/>
  <c r="FK211" i="46"/>
  <c r="BY216" i="46"/>
  <c r="BP213" i="46"/>
  <c r="CE210" i="46"/>
  <c r="AI212" i="46"/>
  <c r="W215" i="46"/>
  <c r="FB217" i="46"/>
  <c r="DC210" i="46"/>
  <c r="EY216" i="46"/>
  <c r="AI217" i="46"/>
  <c r="AO210" i="46"/>
  <c r="DC216" i="46"/>
  <c r="CZ215" i="46"/>
  <c r="CQ211" i="46"/>
  <c r="FH215" i="46"/>
  <c r="Z213" i="46"/>
  <c r="AO211" i="46"/>
  <c r="BS215" i="46"/>
  <c r="EM211" i="46"/>
  <c r="AU215" i="46"/>
  <c r="DL211" i="46"/>
  <c r="EV214" i="46"/>
  <c r="BJ211" i="46"/>
  <c r="EA212" i="46"/>
  <c r="AX212" i="46"/>
  <c r="EP223" i="46"/>
  <c r="T221" i="46"/>
  <c r="W222" i="46"/>
  <c r="AF220" i="46"/>
  <c r="DX223" i="46"/>
  <c r="AL221" i="46"/>
  <c r="FK221" i="46"/>
  <c r="CW222" i="46"/>
  <c r="BA220" i="46"/>
  <c r="DO222" i="46"/>
  <c r="CQ222" i="46"/>
  <c r="AU222" i="46"/>
  <c r="CZ223" i="46"/>
  <c r="AL220" i="46"/>
  <c r="EA222" i="46"/>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Z216" i="46"/>
  <c r="W216" i="46"/>
  <c r="AR217" i="46"/>
  <c r="AU211" i="46"/>
  <c r="DF211" i="46"/>
  <c r="AF213" i="46"/>
  <c r="DO215" i="46"/>
  <c r="AR210" i="46"/>
  <c r="AI215" i="46"/>
  <c r="BV217" i="46"/>
  <c r="EY217" i="46"/>
  <c r="EP211" i="46"/>
  <c r="DF213" i="46"/>
  <c r="AF217" i="46"/>
  <c r="CN211" i="46"/>
  <c r="AL213" i="46"/>
  <c r="FE214" i="46"/>
  <c r="CT210" i="46"/>
  <c r="BD212" i="46"/>
  <c r="CE217" i="46"/>
  <c r="AI210" i="46"/>
  <c r="AO213" i="46"/>
  <c r="BP212" i="46"/>
  <c r="DX212" i="46"/>
  <c r="AR212" i="46"/>
  <c r="DF210" i="46"/>
  <c r="EJ211" i="46"/>
  <c r="AL216" i="46"/>
  <c r="T220" i="46"/>
  <c r="DI220" i="46"/>
  <c r="BY221" i="46"/>
  <c r="AO221" i="46"/>
  <c r="FB222" i="46"/>
  <c r="AU223" i="46"/>
  <c r="BP221" i="46"/>
  <c r="DF223" i="46"/>
  <c r="BA222" i="46"/>
  <c r="DC223" i="46"/>
  <c r="CE223" i="46"/>
  <c r="AI223" i="46"/>
  <c r="AX221" i="46"/>
  <c r="BG242" i="46"/>
  <c r="DC242" i="46"/>
  <c r="CH242" i="46"/>
  <c r="BC28" i="3"/>
  <c r="BC37" i="3"/>
  <c r="K61" i="46" l="1"/>
  <c r="BJ234" i="46"/>
  <c r="CW234" i="46"/>
  <c r="AR234" i="46"/>
  <c r="DF230" i="46"/>
  <c r="CK224" i="46"/>
  <c r="DC230" i="46"/>
  <c r="FB230" i="46"/>
  <c r="EA234" i="46"/>
  <c r="DX234" i="46"/>
  <c r="AO234" i="46"/>
  <c r="CT224" i="46"/>
  <c r="E10" i="48"/>
  <c r="F9" i="48" a="1"/>
  <c r="F9" i="48" s="1"/>
  <c r="DU218" i="46"/>
  <c r="EP234" i="46"/>
  <c r="BS224" i="46"/>
  <c r="BG218" i="46"/>
  <c r="FE234" i="46"/>
  <c r="DO234" i="46"/>
  <c r="DL224" i="46"/>
  <c r="ES224" i="46"/>
  <c r="O37" i="45"/>
  <c r="DT86" i="3"/>
  <c r="EG230" i="46"/>
  <c r="AI230" i="46"/>
  <c r="F29" i="45"/>
  <c r="AC234" i="46"/>
  <c r="Z224" i="46"/>
  <c r="BJ218" i="46"/>
  <c r="DO218" i="46"/>
  <c r="EV234" i="46"/>
  <c r="EJ218" i="46"/>
  <c r="AL224" i="46"/>
  <c r="AO218" i="46"/>
  <c r="BA230" i="46"/>
  <c r="EV224" i="46"/>
  <c r="CQ224" i="46"/>
  <c r="AR218" i="46"/>
  <c r="BA224" i="46"/>
  <c r="CQ218" i="46"/>
  <c r="CW218" i="46"/>
  <c r="BA218" i="46"/>
  <c r="AO224" i="46"/>
  <c r="CT218" i="46"/>
  <c r="EJ224" i="46"/>
  <c r="EY224" i="46"/>
  <c r="AU230" i="46"/>
  <c r="CH218" i="46"/>
  <c r="DX218" i="46"/>
  <c r="AX230" i="46"/>
  <c r="DR224" i="46"/>
  <c r="DR218" i="46"/>
  <c r="EM218" i="46"/>
  <c r="CN234" i="46"/>
  <c r="BA234" i="46"/>
  <c r="AF218" i="46"/>
  <c r="BJ230" i="46"/>
  <c r="Z234" i="46"/>
  <c r="BS234" i="46"/>
  <c r="DC234" i="46"/>
  <c r="BG224" i="46"/>
  <c r="CH234" i="46"/>
  <c r="EA218" i="46"/>
  <c r="CH230" i="46"/>
  <c r="CT234" i="46"/>
  <c r="AU234" i="46"/>
  <c r="EA224" i="46"/>
  <c r="DU234" i="46"/>
  <c r="AI224" i="46"/>
  <c r="CB224" i="46"/>
  <c r="DL230" i="46"/>
  <c r="CE224" i="46"/>
  <c r="BJ224"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DL218" i="46"/>
  <c r="BG21" i="3"/>
  <c r="BK10" i="3"/>
  <c r="FH218" i="46"/>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CE218" i="46"/>
  <c r="BG22" i="3"/>
  <c r="BJ36" i="3"/>
  <c r="BI11" i="3"/>
  <c r="BH43" i="3"/>
  <c r="BJ25" i="3"/>
  <c r="FH224" i="46"/>
  <c r="BI7" i="3"/>
  <c r="AE69" i="3" a="1"/>
  <c r="AE69" i="3" s="1"/>
  <c r="R20" i="45"/>
  <c r="BH48" i="3"/>
  <c r="BH8" i="3"/>
  <c r="BS230" i="46"/>
  <c r="K12" i="46"/>
  <c r="C27" i="45"/>
  <c r="AB28" i="3" a="1"/>
  <c r="AB28" i="3" s="1"/>
  <c r="DT28" i="3"/>
  <c r="DX224" i="46"/>
  <c r="AL234" i="46"/>
  <c r="CB234" i="46"/>
  <c r="ES234" i="46"/>
  <c r="CZ234" i="46"/>
  <c r="FB234" i="46"/>
  <c r="DT25" i="3"/>
  <c r="K59" i="46"/>
  <c r="C24" i="45"/>
  <c r="AB25" i="3" a="1"/>
  <c r="AB25" i="3" s="1"/>
  <c r="BK18" i="3"/>
  <c r="BI9" i="3"/>
  <c r="BD224" i="46"/>
  <c r="ES218" i="46"/>
  <c r="BG50" i="3"/>
  <c r="F23" i="45"/>
  <c r="AE24" i="3" a="1"/>
  <c r="AE24" i="3" s="1"/>
  <c r="DT24" i="3"/>
  <c r="K58" i="46"/>
  <c r="BI33" i="3"/>
  <c r="F15" i="45"/>
  <c r="K56" i="46"/>
  <c r="AE16" i="3" a="1"/>
  <c r="AE16" i="3" s="1"/>
  <c r="DT16" i="3"/>
  <c r="BI51" i="3"/>
  <c r="ED224" i="46"/>
  <c r="BI10" i="3"/>
  <c r="BJ9" i="3"/>
  <c r="BK33" i="3"/>
  <c r="DF218" i="46"/>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EP224" i="46"/>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AX218" i="46"/>
  <c r="BI21" i="3"/>
  <c r="T3" i="32"/>
  <c r="L8" i="51"/>
  <c r="X3" i="32"/>
  <c r="BG4" i="45"/>
  <c r="S3" i="32"/>
  <c r="R3" i="32"/>
  <c r="C3" i="32"/>
  <c r="DT60" i="3"/>
  <c r="O11" i="45"/>
  <c r="AB60" i="3" a="1"/>
  <c r="AB60" i="3" s="1"/>
  <c r="K20" i="46"/>
  <c r="S34" i="32"/>
  <c r="X34" i="32"/>
  <c r="BG35" i="45"/>
  <c r="T34" i="32"/>
  <c r="L39" i="51"/>
  <c r="R34" i="32"/>
  <c r="BH22" i="3"/>
  <c r="BH14" i="3"/>
  <c r="F8" i="45"/>
  <c r="AE9" i="3" a="1"/>
  <c r="AE9" i="3" s="1"/>
  <c r="CB218" i="46"/>
  <c r="AE5" i="3" a="1"/>
  <c r="AE5" i="3" s="1"/>
  <c r="F4" i="45"/>
  <c r="BG51" i="3"/>
  <c r="EY218" i="46"/>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AF224" i="46"/>
  <c r="BK22" i="3"/>
  <c r="BK11" i="3"/>
  <c r="R38" i="45"/>
  <c r="DT87" i="3"/>
  <c r="K51" i="46"/>
  <c r="AE87" i="3" a="1"/>
  <c r="AE87" i="3" s="1"/>
  <c r="FB224" i="46"/>
  <c r="BJ14" i="3"/>
  <c r="O22" i="45"/>
  <c r="DT71" i="3"/>
  <c r="K47" i="46"/>
  <c r="AB71" i="3" a="1"/>
  <c r="AB71" i="3" s="1"/>
  <c r="BG48" i="3"/>
  <c r="BJ34" i="3"/>
  <c r="DU224" i="46"/>
  <c r="BH41" i="3"/>
  <c r="BV230" i="46"/>
  <c r="BG230" i="46"/>
  <c r="CQ230" i="46"/>
  <c r="CK230" i="46"/>
  <c r="ED230" i="46"/>
  <c r="DT5" i="3"/>
  <c r="K7" i="46"/>
  <c r="C4" i="45"/>
  <c r="AB5" i="3" a="1"/>
  <c r="AB5" i="3" s="1"/>
  <c r="DI234" i="46"/>
  <c r="BD234" i="46"/>
  <c r="EY234" i="46"/>
  <c r="BG18" i="3"/>
  <c r="CH224" i="46"/>
  <c r="BM218" i="46"/>
  <c r="DT70" i="3"/>
  <c r="CN224" i="46"/>
  <c r="DT6" i="3"/>
  <c r="K30" i="46"/>
  <c r="AB6" i="3" a="1"/>
  <c r="AB6" i="3" s="1"/>
  <c r="C5" i="45"/>
  <c r="AU218" i="46"/>
  <c r="AB15" i="3" a="1"/>
  <c r="AB15" i="3" s="1"/>
  <c r="DT15" i="3"/>
  <c r="K33" i="46"/>
  <c r="C14" i="45"/>
  <c r="BH51" i="3"/>
  <c r="DI218" i="46"/>
  <c r="DT55" i="3"/>
  <c r="K43" i="46"/>
  <c r="AB55" i="3" a="1"/>
  <c r="AB55" i="3" s="1"/>
  <c r="O6" i="45"/>
  <c r="BK21" i="3"/>
  <c r="W218" i="46"/>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DO224" i="46"/>
  <c r="BM224" i="46"/>
  <c r="EV218" i="46"/>
  <c r="BG33" i="3"/>
  <c r="R4" i="45"/>
  <c r="AE53" i="3" a="1"/>
  <c r="AE53" i="3" s="1"/>
  <c r="AE61" i="3" a="1"/>
  <c r="AE61" i="3" s="1"/>
  <c r="R12" i="45"/>
  <c r="BJ43" i="3"/>
  <c r="BJ28" i="3"/>
  <c r="X12" i="32"/>
  <c r="L17" i="51"/>
  <c r="T12" i="32"/>
  <c r="S12" i="32"/>
  <c r="R12" i="32"/>
  <c r="BG13" i="45"/>
  <c r="AE20" i="3" a="1"/>
  <c r="AE20" i="3" s="1"/>
  <c r="F19" i="45"/>
  <c r="BK37" i="3"/>
  <c r="AI218" i="46"/>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EG224" i="46"/>
  <c r="AE84" i="3" a="1"/>
  <c r="AE84" i="3" s="1"/>
  <c r="R35" i="45"/>
  <c r="BY218" i="46"/>
  <c r="BG14" i="3"/>
  <c r="AB80" i="3" a="1"/>
  <c r="AB80" i="3" s="1"/>
  <c r="DT80" i="3"/>
  <c r="O31" i="45"/>
  <c r="K72" i="46"/>
  <c r="R24" i="45"/>
  <c r="AE73" i="3" a="1"/>
  <c r="AE73" i="3" s="1"/>
  <c r="K71" i="46"/>
  <c r="DT73" i="3"/>
  <c r="BK34" i="3"/>
  <c r="Z218" i="46"/>
  <c r="BI41" i="3"/>
  <c r="EJ230" i="46"/>
  <c r="BY230" i="46"/>
  <c r="FB218" i="46"/>
  <c r="AE56" i="3" a="1"/>
  <c r="AE56" i="3" s="1"/>
  <c r="R7" i="45"/>
  <c r="DT56" i="3"/>
  <c r="K66" i="46"/>
  <c r="FH234" i="46"/>
  <c r="T234" i="46"/>
  <c r="BV234" i="46"/>
  <c r="AX224" i="46"/>
  <c r="EP218" i="46"/>
  <c r="K67" i="46"/>
  <c r="DT57" i="3"/>
  <c r="O8" i="45"/>
  <c r="AB57" i="3" a="1"/>
  <c r="AB57" i="3" s="1"/>
  <c r="BD218" i="46"/>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AL218" i="46"/>
  <c r="K21" i="46"/>
  <c r="AB61" i="3" a="1"/>
  <c r="AB61" i="3" s="1"/>
  <c r="DT61" i="3"/>
  <c r="O12" i="45"/>
  <c r="BH29" i="3"/>
  <c r="BS218" i="46"/>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FE218" i="46"/>
  <c r="DF224" i="46"/>
  <c r="EM224" i="46"/>
  <c r="O14" i="45"/>
  <c r="DT63" i="3"/>
  <c r="K45" i="46"/>
  <c r="AB63" i="3" a="1"/>
  <c r="AB63" i="3" s="1"/>
  <c r="K23" i="46"/>
  <c r="DT69" i="3"/>
  <c r="AB69" i="3" a="1"/>
  <c r="AB69" i="3" s="1"/>
  <c r="O20" i="45"/>
  <c r="CZ218" i="46"/>
  <c r="AB41" i="3" a="1"/>
  <c r="AB41" i="3" s="1"/>
  <c r="K63" i="46"/>
  <c r="DT41" i="3"/>
  <c r="C40" i="45"/>
  <c r="BG34" i="3"/>
  <c r="W230" i="46"/>
  <c r="CE230" i="46"/>
  <c r="BD230" i="46"/>
  <c r="EV230" i="46"/>
  <c r="FK230" i="46"/>
  <c r="DO230" i="46"/>
  <c r="EM234" i="46"/>
  <c r="BH6" i="3"/>
  <c r="F7" i="45"/>
  <c r="AE8" i="3" a="1"/>
  <c r="AE8" i="3" s="1"/>
  <c r="AE37" i="3" a="1"/>
  <c r="AE37" i="3" s="1"/>
  <c r="F36" i="45"/>
  <c r="K15" i="46"/>
  <c r="DT37" i="3"/>
  <c r="CK218" i="46"/>
  <c r="AC230" i="46"/>
  <c r="BP224" i="46"/>
  <c r="K28" i="46"/>
  <c r="O43" i="45"/>
  <c r="DT92" i="3"/>
  <c r="AB92" i="3" a="1"/>
  <c r="AB92" i="3" s="1"/>
  <c r="BH15" i="3"/>
  <c r="FK224" i="46"/>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CW224" i="46"/>
  <c r="BJ40" i="3"/>
  <c r="AE86" i="3" a="1"/>
  <c r="AE86" i="3" s="1"/>
  <c r="R37" i="45"/>
  <c r="C38" i="45"/>
  <c r="AB39" i="3" a="1"/>
  <c r="AB39" i="3" s="1"/>
  <c r="K39" i="46"/>
  <c r="DT39" i="3"/>
  <c r="DR230" i="46"/>
  <c r="Z230" i="46"/>
  <c r="AU224" i="46"/>
  <c r="AX234" i="46"/>
  <c r="CQ234" i="46"/>
  <c r="R47" i="45"/>
  <c r="AE96" i="3" a="1"/>
  <c r="AE96" i="3" s="1"/>
  <c r="DT96" i="3"/>
  <c r="K76" i="46"/>
  <c r="BJ15" i="3"/>
  <c r="T218" i="46"/>
  <c r="M218" i="46"/>
  <c r="BJ6" i="3"/>
  <c r="K68" i="46"/>
  <c r="C6" i="45"/>
  <c r="K31" i="46"/>
  <c r="AB7" i="3" a="1"/>
  <c r="AB7" i="3" s="1"/>
  <c r="DT7" i="3"/>
  <c r="CN218" i="46"/>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ED218" i="46"/>
  <c r="BJ47" i="3"/>
  <c r="R15" i="32"/>
  <c r="BG16" i="45"/>
  <c r="L20" i="51"/>
  <c r="S15" i="32"/>
  <c r="T15" i="32"/>
  <c r="X15" i="32"/>
  <c r="BG47" i="45"/>
  <c r="X46" i="32"/>
  <c r="T46" i="32"/>
  <c r="S46" i="32"/>
  <c r="R46" i="32"/>
  <c r="L51" i="51"/>
  <c r="X41" i="32"/>
  <c r="S41" i="32"/>
  <c r="BG42" i="45"/>
  <c r="T41" i="32"/>
  <c r="R41" i="32"/>
  <c r="L46" i="51"/>
  <c r="K38" i="46"/>
  <c r="AB38" i="3" a="1"/>
  <c r="AB38" i="3" s="1"/>
  <c r="DT38" i="3"/>
  <c r="C37" i="45"/>
  <c r="DI224" i="46"/>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DC218" i="46"/>
  <c r="AE80" i="3" a="1"/>
  <c r="AE80" i="3" s="1"/>
  <c r="R31" i="45"/>
  <c r="BJ29" i="3"/>
  <c r="W224" i="46"/>
  <c r="BK43" i="3"/>
  <c r="BK40" i="3"/>
  <c r="AC224" i="46"/>
  <c r="FK218" i="46"/>
  <c r="BK47" i="3"/>
  <c r="BG25" i="3"/>
  <c r="R46" i="45"/>
  <c r="AE95" i="3" a="1"/>
  <c r="AE95" i="3" s="1"/>
  <c r="K53" i="46"/>
  <c r="DT95" i="3"/>
  <c r="CW230" i="46"/>
  <c r="CZ230" i="46"/>
  <c r="W234" i="46"/>
  <c r="ED234" i="46"/>
  <c r="DF234" i="46"/>
  <c r="O45" i="45"/>
  <c r="K52" i="46"/>
  <c r="DT94" i="3"/>
  <c r="AB94" i="3" a="1"/>
  <c r="AB94" i="3" s="1"/>
  <c r="BK15" i="3"/>
  <c r="BV218" i="46"/>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CZ224" i="46"/>
  <c r="BH9" i="3"/>
  <c r="BI15" i="3"/>
  <c r="BH50" i="3"/>
  <c r="BK6" i="3"/>
  <c r="BJ10" i="3"/>
  <c r="BJ22" i="3"/>
  <c r="BG47" i="3"/>
  <c r="R27" i="45"/>
  <c r="AE76" i="3" a="1"/>
  <c r="AE76" i="3" s="1"/>
  <c r="K24" i="46"/>
  <c r="DT76" i="3"/>
  <c r="T224" i="46"/>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FE224" i="46"/>
  <c r="DT84" i="3"/>
  <c r="BH25" i="3"/>
  <c r="AB85" i="3" a="1"/>
  <c r="AB85" i="3" s="1"/>
  <c r="O36" i="45"/>
  <c r="K27" i="46"/>
  <c r="DT85" i="3"/>
  <c r="BK7" i="3"/>
  <c r="BI8" i="3"/>
  <c r="DU230" i="46"/>
  <c r="AB30" i="3" a="1"/>
  <c r="AB30" i="3" s="1"/>
  <c r="DT30" i="3"/>
  <c r="C29" i="45"/>
  <c r="K36" i="46"/>
  <c r="BV224" i="46"/>
  <c r="BP218" i="46"/>
  <c r="DC224" i="46"/>
  <c r="EG218" i="46"/>
  <c r="BK9" i="3"/>
  <c r="BG15" i="3"/>
  <c r="BY224" i="46"/>
  <c r="BK50" i="3"/>
  <c r="AC218" i="46"/>
  <c r="AR224" i="46"/>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P51" i="51" s="1"/>
  <c r="F11" i="48" a="1"/>
  <c r="F11" i="48" s="1"/>
  <c r="E12" i="48"/>
  <c r="Q40" i="51"/>
  <c r="P40" i="51" s="1"/>
  <c r="Q38" i="51"/>
  <c r="P38" i="51" s="1"/>
  <c r="Q23" i="51"/>
  <c r="P23" i="51" s="1"/>
  <c r="Q19" i="51"/>
  <c r="P19" i="51" s="1"/>
  <c r="BL6" i="45"/>
  <c r="BK6" i="45" s="1"/>
  <c r="Q27" i="51"/>
  <c r="P27" i="51" s="1"/>
  <c r="Q21" i="51"/>
  <c r="P21" i="51" s="1"/>
  <c r="Q24" i="51"/>
  <c r="P24" i="51" s="1"/>
  <c r="BL22" i="45"/>
  <c r="BK22" i="45" s="1"/>
  <c r="BL31" i="45"/>
  <c r="BK31" i="45" s="1"/>
  <c r="BL41" i="45"/>
  <c r="BK41" i="45" s="1"/>
  <c r="Q28" i="51"/>
  <c r="P28" i="51" s="1"/>
  <c r="Q10" i="51"/>
  <c r="P10" i="51" s="1"/>
  <c r="Q33" i="51"/>
  <c r="P33" i="51" s="1"/>
  <c r="BL15" i="45"/>
  <c r="BK15" i="45" s="1"/>
  <c r="BL25" i="45"/>
  <c r="BK25" i="45" s="1"/>
  <c r="BL37" i="45"/>
  <c r="BK37" i="45" s="1"/>
  <c r="Q12" i="51"/>
  <c r="P12" i="51" s="1"/>
  <c r="BL23" i="45"/>
  <c r="BK23" i="45" s="1"/>
  <c r="BL42" i="45"/>
  <c r="BK42" i="45" s="1"/>
  <c r="BL26" i="45"/>
  <c r="BK26" i="45" s="1"/>
  <c r="Q25" i="51"/>
  <c r="P25" i="51" s="1"/>
  <c r="BL11" i="45"/>
  <c r="BK11" i="45" s="1"/>
  <c r="Q41" i="51"/>
  <c r="P41" i="51" s="1"/>
  <c r="Q18" i="51"/>
  <c r="P18" i="51" s="1"/>
  <c r="BL24" i="45"/>
  <c r="BK24" i="45" s="1"/>
  <c r="Q29" i="51"/>
  <c r="P29" i="51" s="1"/>
  <c r="Q16" i="51"/>
  <c r="P16" i="51" s="1"/>
  <c r="BL30" i="45"/>
  <c r="BK30" i="45" s="1"/>
  <c r="Q9" i="51"/>
  <c r="P9" i="51" s="1"/>
  <c r="BL18" i="45"/>
  <c r="BK18" i="45" s="1"/>
  <c r="Q44" i="51"/>
  <c r="P44" i="51" s="1"/>
  <c r="BL46" i="45"/>
  <c r="BK46" i="45" s="1"/>
  <c r="BL39" i="45"/>
  <c r="BK39" i="45" s="1"/>
  <c r="BL16" i="45"/>
  <c r="BK16" i="45" s="1"/>
  <c r="Q20" i="51"/>
  <c r="P20" i="51" s="1"/>
  <c r="BL13" i="45"/>
  <c r="BK13" i="45" s="1"/>
  <c r="Q47" i="51"/>
  <c r="P47" i="51" s="1"/>
  <c r="Q52" i="51"/>
  <c r="P52" i="51" s="1"/>
  <c r="BL9" i="45"/>
  <c r="BK9" i="45" s="1"/>
  <c r="BL44" i="45"/>
  <c r="BK44" i="45" s="1"/>
  <c r="BL51" i="45"/>
  <c r="BK51" i="45" s="1"/>
  <c r="Q39" i="51"/>
  <c r="P39" i="51" s="1"/>
  <c r="Q54" i="51"/>
  <c r="P54" i="51" s="1"/>
  <c r="BL40" i="45"/>
  <c r="BK40" i="45" s="1"/>
  <c r="Q8" i="51"/>
  <c r="P8" i="51" s="1"/>
  <c r="BL19" i="45"/>
  <c r="BK19" i="45" s="1"/>
  <c r="Q53" i="51"/>
  <c r="P53" i="51" s="1"/>
  <c r="BL21" i="45"/>
  <c r="BK21" i="45" s="1"/>
  <c r="BL12" i="45"/>
  <c r="BK12" i="45" s="1"/>
  <c r="BL47" i="45"/>
  <c r="BK47" i="45" s="1"/>
  <c r="Q13" i="51"/>
  <c r="P13" i="51" s="1"/>
  <c r="BL35" i="45"/>
  <c r="BK35" i="45" s="1"/>
  <c r="BL50" i="45"/>
  <c r="BK50" i="45" s="1"/>
  <c r="BL5" i="45"/>
  <c r="BK5" i="45" s="1"/>
  <c r="Q32" i="51"/>
  <c r="P32" i="51" s="1"/>
  <c r="BL28" i="45"/>
  <c r="BK28" i="45" s="1"/>
  <c r="Q36" i="51"/>
  <c r="P36" i="51" s="1"/>
  <c r="Q49" i="51"/>
  <c r="P49" i="51" s="1"/>
  <c r="Q35" i="51"/>
  <c r="P35" i="51" s="1"/>
  <c r="BL34" i="45"/>
  <c r="BK34" i="45" s="1"/>
  <c r="Q15" i="51"/>
  <c r="P15" i="51" s="1"/>
  <c r="BL29" i="45"/>
  <c r="BK29" i="45" s="1"/>
  <c r="BL27" i="45"/>
  <c r="BK27" i="45" s="1"/>
  <c r="BL32" i="45"/>
  <c r="BK32" i="45" s="1"/>
  <c r="Q22" i="51"/>
  <c r="P22" i="51" s="1"/>
  <c r="Q26" i="51"/>
  <c r="P26" i="51" s="1"/>
  <c r="BL33" i="45"/>
  <c r="BK33" i="45" s="1"/>
  <c r="BL43" i="45"/>
  <c r="BK43" i="45" s="1"/>
  <c r="BL49" i="45"/>
  <c r="BK49" i="45" s="1"/>
  <c r="Q43" i="51"/>
  <c r="P43" i="51" s="1"/>
  <c r="BL48" i="45"/>
  <c r="BK48" i="45" s="1"/>
  <c r="Q14" i="51"/>
  <c r="P14" i="51" s="1"/>
  <c r="Q46" i="51"/>
  <c r="P46" i="51" s="1"/>
  <c r="BL8" i="45"/>
  <c r="BK8" i="45" s="1"/>
  <c r="Q42" i="51"/>
  <c r="P42" i="51" s="1"/>
  <c r="Q37" i="51"/>
  <c r="P37" i="51" s="1"/>
  <c r="BL36" i="45"/>
  <c r="BK36" i="45" s="1"/>
  <c r="Q55" i="51"/>
  <c r="P55" i="51" s="1"/>
  <c r="BL10" i="45"/>
  <c r="BK10" i="45" s="1"/>
  <c r="Q45" i="51"/>
  <c r="P45" i="51" s="1"/>
  <c r="BL20" i="45"/>
  <c r="BK20" i="45" s="1"/>
  <c r="BL4" i="45"/>
  <c r="BK4" i="45" s="1"/>
  <c r="Q48" i="51"/>
  <c r="P48" i="51" s="1"/>
  <c r="BL17" i="45"/>
  <c r="BK17" i="45" s="1"/>
  <c r="Q17" i="51"/>
  <c r="P17" i="51" s="1"/>
  <c r="BL45" i="45"/>
  <c r="BK45" i="45" s="1"/>
  <c r="Q50" i="51"/>
  <c r="P50" i="51" s="1"/>
  <c r="Q31" i="51"/>
  <c r="P31" i="51" s="1"/>
  <c r="Q34" i="51"/>
  <c r="P34" i="51" s="1"/>
  <c r="BL38" i="45"/>
  <c r="BK38" i="45" s="1"/>
  <c r="BL7" i="45"/>
  <c r="BK7" i="45" s="1"/>
  <c r="Q11" i="51"/>
  <c r="P11" i="51" s="1"/>
  <c r="Q30" i="51"/>
  <c r="P30" i="51" s="1"/>
  <c r="BL14" i="45"/>
  <c r="BK14" i="45" s="1"/>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CA13" i="3"/>
  <c r="I13" i="3"/>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H14" i="3" l="1"/>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c r="CL8" i="3" l="1"/>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CO30" i="3" s="1"/>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P36" i="3" l="1"/>
  <c r="CO36" i="3"/>
  <c r="CQ36" i="3" s="1"/>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10" i="3" l="1"/>
  <c r="CQ11" i="3"/>
  <c r="CQ19" i="3"/>
  <c r="CQ37" i="3"/>
  <c r="CR37" i="3" s="1"/>
  <c r="F36" i="48" a="1"/>
  <c r="F36" i="48" s="1"/>
  <c r="E37" i="48"/>
  <c r="CQ20" i="3"/>
  <c r="CR20" i="3" s="1"/>
  <c r="CQ15" i="3"/>
  <c r="CR36" i="3"/>
  <c r="CQ14" i="3"/>
  <c r="CQ43" i="3"/>
  <c r="CQ44" i="3"/>
  <c r="CQ31" i="3"/>
  <c r="CR10" i="3" l="1"/>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U24" i="3"/>
  <c r="CS40" i="3"/>
  <c r="CS20" i="3"/>
  <c r="F39" i="48" l="1"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BF60" i="3" l="1"/>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AS55" i="3"/>
  <c r="AN55" i="3"/>
  <c r="AP55" i="3"/>
  <c r="AQ72" i="3"/>
  <c r="AO72" i="3"/>
  <c r="AK72" i="3" a="1"/>
  <c r="AK72" i="3" s="1"/>
  <c r="AT72" i="3"/>
  <c r="V22" i="45" s="1"/>
  <c r="T22" i="45"/>
  <c r="AS72" i="3"/>
  <c r="AM72" i="3"/>
  <c r="U22" i="45" s="1"/>
  <c r="AP72" i="3"/>
  <c r="AN72" i="3"/>
  <c r="AR72" i="3"/>
  <c r="AR62" i="3"/>
  <c r="T12" i="45"/>
  <c r="AP62" i="3"/>
  <c r="M112" i="3"/>
  <c r="AA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M45" i="3"/>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AT89" i="3"/>
  <c r="V39" i="45" s="1"/>
  <c r="AQ89" i="3"/>
  <c r="AN89" i="3"/>
  <c r="T39" i="45"/>
  <c r="AP89" i="3"/>
  <c r="AK89" i="3" a="1"/>
  <c r="AK89" i="3" s="1"/>
  <c r="AR89" i="3"/>
  <c r="AO89" i="3"/>
  <c r="AM89" i="3"/>
  <c r="U39" i="45" s="1"/>
  <c r="AS89" i="3"/>
  <c r="BL61" i="3"/>
  <c r="DL39" i="3"/>
  <c r="AU71" i="3" s="1"/>
  <c r="DL26" i="3"/>
  <c r="DL33" i="3"/>
  <c r="AU57" i="3" s="1"/>
  <c r="DL12" i="3"/>
  <c r="AU16" i="3" s="1"/>
  <c r="DN45" i="3" l="1" a="1"/>
  <c r="DN45" i="3" s="1"/>
  <c r="M125" i="3"/>
  <c r="AA125" i="3" s="1"/>
  <c r="AG110" i="3"/>
  <c r="AG109" i="3"/>
  <c r="N125" i="3"/>
  <c r="AF125" i="3" s="1"/>
  <c r="N123" i="3"/>
  <c r="AF123" i="3" s="1"/>
  <c r="AG108" i="3"/>
  <c r="M123" i="3"/>
  <c r="AA123" i="3" s="1"/>
  <c r="AG107" i="3"/>
  <c r="N120" i="3"/>
  <c r="AF121" i="3" s="1"/>
  <c r="AG106" i="3"/>
  <c r="N122" i="3"/>
  <c r="AF122" i="3" s="1"/>
  <c r="AG105" i="3"/>
  <c r="AG104" i="3"/>
  <c r="N121" i="3"/>
  <c r="AF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AE22" i="45" l="1"/>
  <c r="M187" i="46"/>
  <c r="DT125" i="3"/>
  <c r="K205" i="46"/>
  <c r="AE23" i="45"/>
  <c r="M195" i="46"/>
  <c r="C33" i="48" s="1" a="1"/>
  <c r="C33" i="48" s="1"/>
  <c r="B33" i="48" s="1"/>
  <c r="C205" i="46"/>
  <c r="M193" i="46"/>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34" i="48" a="1"/>
  <c r="C34" i="48" s="1"/>
  <c r="B34" i="48" s="1"/>
  <c r="B34" i="50" a="1"/>
  <c r="B34" i="50" s="1"/>
  <c r="B33" i="50" a="1"/>
  <c r="B33" i="50" s="1"/>
  <c r="C12" i="48" a="1"/>
  <c r="C12" i="48" s="1"/>
  <c r="C31" i="48" a="1"/>
  <c r="C31" i="48" s="1"/>
  <c r="B31" i="48" s="1"/>
  <c r="B31" i="50" a="1"/>
  <c r="B31" i="50"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48" s="1"/>
  <c r="B5" i="50" a="1"/>
  <c r="B5" i="50" s="1"/>
  <c r="B24" i="50" a="1"/>
  <c r="B24" i="50" s="1"/>
  <c r="C24" i="48" a="1"/>
  <c r="C24" i="48" s="1"/>
  <c r="B24" i="48"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B23" i="50" l="1"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V63" i="3" l="1"/>
  <c r="BV61" i="3"/>
  <c r="BV62" i="3"/>
  <c r="BV58" i="3"/>
  <c r="BV68" i="3"/>
  <c r="BV64" i="3"/>
  <c r="BV60" i="3"/>
  <c r="BV67" i="3"/>
  <c r="BV69" i="3"/>
  <c r="BV66" i="3"/>
  <c r="BW58" i="3" l="1"/>
  <c r="BX58" i="3" s="1"/>
  <c r="BW66" i="3"/>
  <c r="BX66" i="3" s="1"/>
  <c r="BW64" i="3"/>
  <c r="BW68" i="3"/>
  <c r="BW59" i="3"/>
  <c r="BW69" i="3"/>
  <c r="BX69" i="3" s="1"/>
  <c r="BW63" i="3"/>
  <c r="BW62" i="3"/>
  <c r="BW61" i="3"/>
  <c r="BW65" i="3"/>
  <c r="BW67" i="3"/>
  <c r="BW60" i="3"/>
  <c r="BX62" i="3" l="1"/>
  <c r="BX60" i="3"/>
  <c r="BX59" i="3"/>
  <c r="BX61" i="3"/>
  <c r="BX67" i="3"/>
  <c r="BX63" i="3"/>
  <c r="BY69" i="3" s="1"/>
  <c r="BX68" i="3"/>
  <c r="BX65" i="3"/>
  <c r="BX64" i="3"/>
  <c r="BY62" i="3" l="1"/>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s="1"/>
  <c r="BN69" i="3" s="1"/>
  <c r="CF62" i="3" l="1"/>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K102" i="3" a="1"/>
  <c r="AK102" i="3" s="1"/>
  <c r="AN103" i="3"/>
  <c r="BF104" i="3"/>
  <c r="AP103" i="3"/>
  <c r="AQ103" i="3"/>
  <c r="AK103" i="3" a="1"/>
  <c r="AK103" i="3" s="1"/>
  <c r="AO103" i="3"/>
  <c r="AR103" i="3"/>
  <c r="AT103" i="3"/>
  <c r="AS103" i="3"/>
  <c r="AM103" i="3"/>
  <c r="AQ102" i="3" l="1"/>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J106" i="3" s="1"/>
  <c r="BG110" i="3"/>
  <c r="BJ108" i="3" l="1"/>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M153" i="46"/>
  <c r="AA37" i="45"/>
  <c r="K171" i="46"/>
  <c r="C172" i="46" l="1"/>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EM156" i="46" s="1"/>
  <c r="C173" i="46"/>
  <c r="D13" i="48" s="1" a="1"/>
  <c r="D13" i="48" s="1"/>
  <c r="K173" i="46"/>
  <c r="A13" i="48" s="1" a="1"/>
  <c r="A13" i="48" s="1"/>
  <c r="B13" i="48" s="1"/>
  <c r="C179" i="46"/>
  <c r="AA49" i="45"/>
  <c r="M161" i="46"/>
  <c r="DT116" i="3"/>
  <c r="AE4" i="45"/>
  <c r="DT121" i="3"/>
  <c r="M183" i="46"/>
  <c r="C201" i="46"/>
  <c r="K201" i="46"/>
  <c r="B10" i="50" a="1"/>
  <c r="B10" i="50" s="1"/>
  <c r="A19" i="48" a="1"/>
  <c r="A19" i="48" s="1"/>
  <c r="B19" i="48" s="1"/>
  <c r="A19" i="50" a="1"/>
  <c r="A19" i="50" s="1"/>
  <c r="B19" i="50" a="1"/>
  <c r="B19" i="50" s="1"/>
  <c r="B6" i="50" a="1"/>
  <c r="B6" i="50" s="1"/>
  <c r="B9" i="50" a="1"/>
  <c r="B9" i="50" s="1"/>
  <c r="A11" i="50" a="1"/>
  <c r="A11" i="50" s="1"/>
  <c r="A11" i="48" a="1"/>
  <c r="A11" i="48" s="1"/>
  <c r="B11" i="48" s="1"/>
  <c r="B11" i="50" a="1"/>
  <c r="B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2" i="50" l="1"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AG35" i="51" a="1"/>
  <c r="G2" i="48" a="1"/>
  <c r="H2" i="50" l="1"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BL4" i="46" s="1"/>
  <c r="BL2" i="46" s="1"/>
  <c r="DF162" i="46"/>
  <c r="DX162" i="46"/>
  <c r="EG162" i="46"/>
  <c r="ED162" i="46"/>
  <c r="DL180" i="46"/>
  <c r="DO180" i="46"/>
  <c r="T162" i="46"/>
  <c r="H3" i="50" a="1"/>
  <c r="H3" i="50" s="1"/>
  <c r="CM266" i="46"/>
  <c r="CM264" i="46" s="1"/>
  <c r="BI266" i="46"/>
  <c r="BI264" i="46" s="1"/>
  <c r="BM198" i="46"/>
  <c r="ER266" i="46"/>
  <c r="DQ266" i="46"/>
  <c r="DQ264" i="46" s="1"/>
  <c r="AX198" i="46"/>
  <c r="AN266" i="46"/>
  <c r="ED198" i="46"/>
  <c r="EO266" i="46"/>
  <c r="EO264" i="46" s="1"/>
  <c r="CN208" i="46"/>
  <c r="G3" i="48" a="1"/>
  <c r="G3" i="48" s="1"/>
  <c r="FG266" i="46"/>
  <c r="EI266" i="46"/>
  <c r="EI264" i="46" s="1"/>
  <c r="DO208" i="46"/>
  <c r="DN266" i="46"/>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EC266" i="46"/>
  <c r="EC264" i="46" s="1"/>
  <c r="FJ266" i="46"/>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I4" i="46" s="1"/>
  <c r="EI2" i="46" s="1"/>
  <c r="EV208" i="46"/>
  <c r="DI208" i="46"/>
  <c r="CZ208" i="46"/>
  <c r="CK208" i="46"/>
  <c r="AO198" i="46"/>
  <c r="EM198" i="46"/>
  <c r="CH198" i="46"/>
  <c r="ED208" i="46"/>
  <c r="CQ208" i="46"/>
  <c r="DB266" i="46"/>
  <c r="DB264" i="46" s="1"/>
  <c r="BL266" i="46"/>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EX4" i="46" s="1"/>
  <c r="EX2" i="46" s="1"/>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FG264" i="46"/>
  <c r="BF264" i="46"/>
  <c r="DN264" i="46"/>
  <c r="CJ264" i="46"/>
  <c r="AH264" i="46"/>
  <c r="ER264" i="46"/>
  <c r="BL264" i="46"/>
  <c r="DZ4" i="46" l="1"/>
  <c r="DZ2" i="46" s="1"/>
  <c r="DW4" i="46"/>
  <c r="DW2" i="46" s="1"/>
  <c r="DH4" i="46"/>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DH2" i="46"/>
  <c r="EF263" i="46" l="1"/>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AI28" i="50"/>
  <c r="K18" i="50"/>
  <c r="H18" i="50"/>
  <c r="Y18" i="50"/>
  <c r="Z18" i="50"/>
  <c r="AE18" i="50"/>
  <c r="O18" i="50"/>
  <c r="AL18" i="50"/>
  <c r="W18" i="50"/>
  <c r="AG18" i="50"/>
  <c r="AH18" i="50"/>
  <c r="M18" i="50"/>
  <c r="AI18" i="50"/>
  <c r="AF18" i="50"/>
  <c r="AJ18" i="50"/>
  <c r="P18" i="50"/>
  <c r="K32" i="50"/>
  <c r="J32" i="50"/>
  <c r="I32" i="50"/>
  <c r="H32" i="50"/>
  <c r="Z32" i="50"/>
  <c r="S32" i="50"/>
  <c r="U32" i="50"/>
  <c r="AI32" i="50"/>
  <c r="V32" i="50"/>
  <c r="X32" i="50"/>
  <c r="L32" i="50"/>
  <c r="Q32" i="50"/>
  <c r="N32" i="50"/>
  <c r="AL32" i="50"/>
  <c r="W32" i="50"/>
  <c r="AD32" i="50"/>
  <c r="Y32" i="50"/>
  <c r="AM32" i="50"/>
  <c r="P32" i="50"/>
  <c r="R32" i="50"/>
  <c r="O32" i="50"/>
  <c r="AH32" i="50"/>
  <c r="J38" i="50"/>
  <c r="I38" i="50"/>
  <c r="K38" i="50"/>
  <c r="H38" i="50"/>
  <c r="P38" i="50"/>
  <c r="U38" i="50"/>
  <c r="AF38" i="50"/>
  <c r="AC38" i="50"/>
  <c r="V38" i="50"/>
  <c r="AE38" i="50"/>
  <c r="L38" i="50"/>
  <c r="AB38" i="50"/>
  <c r="Z38" i="50"/>
  <c r="M38" i="50"/>
  <c r="N38" i="50"/>
  <c r="R38" i="50"/>
  <c r="X38" i="50"/>
  <c r="AK38" i="50"/>
  <c r="T38" i="50"/>
  <c r="AM38" i="50"/>
  <c r="AG38" i="50"/>
  <c r="AA38" i="50"/>
  <c r="AH38" i="50"/>
  <c r="AI38" i="50"/>
  <c r="AL38" i="50"/>
  <c r="W38" i="50"/>
  <c r="N20" i="50"/>
  <c r="J49" i="50"/>
  <c r="K49" i="50"/>
  <c r="H49" i="50"/>
  <c r="AE49" i="50"/>
  <c r="AG49" i="50"/>
  <c r="Y49" i="50"/>
  <c r="R49" i="50"/>
  <c r="AI49" i="50"/>
  <c r="T49" i="50"/>
  <c r="AK49" i="50"/>
  <c r="AA49" i="50"/>
  <c r="U49" i="50"/>
  <c r="AF49" i="50"/>
  <c r="Q49" i="50"/>
  <c r="AD49" i="50"/>
  <c r="Z49" i="50"/>
  <c r="AL49" i="50"/>
  <c r="L49" i="50"/>
  <c r="P49" i="50"/>
  <c r="AH49" i="50"/>
  <c r="M49" i="50"/>
  <c r="W49" i="50"/>
  <c r="O49" i="50"/>
  <c r="AB49" i="50"/>
  <c r="S49" i="50"/>
  <c r="AC49" i="50"/>
  <c r="AJ49" i="50"/>
  <c r="X49" i="50"/>
  <c r="V49" i="50"/>
  <c r="AL4" i="50"/>
  <c r="J36" i="50"/>
  <c r="I36" i="50"/>
  <c r="K36" i="50"/>
  <c r="H36" i="50"/>
  <c r="P36" i="50"/>
  <c r="AJ36" i="50"/>
  <c r="U36" i="50"/>
  <c r="AK36" i="50"/>
  <c r="AG36" i="50"/>
  <c r="Q36" i="50"/>
  <c r="AC36" i="50"/>
  <c r="AA36" i="50"/>
  <c r="AB36" i="50"/>
  <c r="AE36" i="50"/>
  <c r="L36" i="50"/>
  <c r="V36" i="50"/>
  <c r="AH36" i="50"/>
  <c r="Z36" i="50"/>
  <c r="AI36" i="50"/>
  <c r="S36" i="50"/>
  <c r="AM36" i="50"/>
  <c r="O36" i="50"/>
  <c r="R36" i="50"/>
  <c r="X36" i="50"/>
  <c r="T36" i="50"/>
  <c r="AF36" i="50"/>
  <c r="Y36" i="50"/>
  <c r="W36" i="50"/>
  <c r="N36" i="50"/>
  <c r="AL36" i="50"/>
  <c r="H39" i="50"/>
  <c r="U39" i="50"/>
  <c r="V39" i="50"/>
  <c r="AF39" i="50"/>
  <c r="P39" i="50"/>
  <c r="AD39" i="50"/>
  <c r="Z39" i="50"/>
  <c r="J37" i="50"/>
  <c r="I37" i="50"/>
  <c r="K37" i="50"/>
  <c r="H37" i="50"/>
  <c r="V37" i="50"/>
  <c r="AL37" i="50"/>
  <c r="AB37" i="50"/>
  <c r="Y37" i="50"/>
  <c r="N37" i="50"/>
  <c r="AM37" i="50"/>
  <c r="O37" i="50"/>
  <c r="W37" i="50"/>
  <c r="P37" i="50"/>
  <c r="R37" i="50"/>
  <c r="S37" i="50"/>
  <c r="AK37" i="50"/>
  <c r="Z37" i="50"/>
  <c r="AH37" i="50"/>
  <c r="AE37" i="50"/>
  <c r="U37" i="50"/>
  <c r="AC37" i="50"/>
  <c r="AG37" i="50"/>
  <c r="M37" i="50"/>
  <c r="AJ37" i="50"/>
  <c r="X37" i="50"/>
  <c r="Q37" i="50"/>
  <c r="AI37" i="50"/>
  <c r="L37" i="50"/>
  <c r="Z16" i="50"/>
  <c r="AK16" i="50"/>
  <c r="AD16" i="50"/>
  <c r="AF16" i="50"/>
  <c r="AC16" i="50"/>
  <c r="T16" i="50"/>
  <c r="AH16" i="50"/>
  <c r="W16" i="50"/>
  <c r="AG16" i="50"/>
  <c r="O13" i="50"/>
  <c r="J17" i="50"/>
  <c r="AA17" i="50"/>
  <c r="Q17" i="50"/>
  <c r="X17" i="50"/>
  <c r="U17" i="50"/>
  <c r="N17" i="50"/>
  <c r="Y17" i="50"/>
  <c r="AC17" i="50"/>
  <c r="P25" i="50"/>
  <c r="J31" i="50"/>
  <c r="I31" i="50"/>
  <c r="H31" i="50"/>
  <c r="AM31" i="50"/>
  <c r="AB31" i="50"/>
  <c r="AC31" i="50"/>
  <c r="Q31" i="50"/>
  <c r="T31" i="50"/>
  <c r="AK31" i="50"/>
  <c r="O31" i="50"/>
  <c r="S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AJ38" i="50" l="1"/>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<sst xmlns="http://schemas.openxmlformats.org/spreadsheetml/2006/main" count="16874" uniqueCount="2800">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</sst>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19"/>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91" zoomScaleNormal="100" workbookViewId="0">
      <selection activeCell="AD111" sqref="AD111"/>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0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0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0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1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1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1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1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1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1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0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0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1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1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si="302"/>
        <v>W84</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España</v>
      </c>
      <c r="AB111" s="278"/>
      <c r="AC111" s="281"/>
      <c r="AD111" s="281"/>
      <c r="AE111" s="278"/>
      <c r="AF111" s="280" t="str">
        <f t="shared" ca="1" si="306"/>
        <v>Austria</v>
      </c>
      <c r="AG111" s="417">
        <f t="shared" si="307"/>
        <v>0</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si="302"/>
        <v>W83</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Portugal</v>
      </c>
      <c r="AB112" s="278"/>
      <c r="AC112" s="281"/>
      <c r="AD112" s="281"/>
      <c r="AE112" s="278"/>
      <c r="AF112" s="280" t="str">
        <f t="shared" ca="1" si="306"/>
        <v>Croacia</v>
      </c>
      <c r="AG112" s="417">
        <f t="shared" si="307"/>
        <v>0</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si="302"/>
        <v>W85</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Argelia</v>
      </c>
      <c r="AG113" s="417">
        <f t="shared" si="307"/>
        <v>0</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Egipto</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Argentina</v>
      </c>
      <c r="AB115" s="278"/>
      <c r="AC115" s="281"/>
      <c r="AD115" s="281"/>
      <c r="AE115" s="278"/>
      <c r="AF115" s="280" t="str">
        <f t="shared" ca="1" si="306"/>
        <v>Cabo Verde</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Colombia</v>
      </c>
      <c r="AB116" s="301"/>
      <c r="AC116" s="302"/>
      <c r="AD116" s="302"/>
      <c r="AE116" s="301"/>
      <c r="AF116" s="303" t="str">
        <f t="shared" ca="1" si="306"/>
        <v>Ghana</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c r="AD120" s="305"/>
      <c r="AE120" s="278"/>
      <c r="AF120" s="280" t="str">
        <f t="shared" ref="AF120:AF127" ca="1" si="333">+INDEX($N$101:$N$147,MATCH(AH120,$J$101:$J$147,0))</f>
        <v>Marruecos</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ca="1" si="332"/>
        <v>Paraguay</v>
      </c>
      <c r="AB121" s="278"/>
      <c r="AC121" s="307"/>
      <c r="AD121" s="307"/>
      <c r="AE121" s="278"/>
      <c r="AF121" s="280" t="str">
        <f t="shared" ca="1" si="333"/>
        <v>Francia</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ca="1" si="332"/>
        <v>Brasil</v>
      </c>
      <c r="AB122" s="278"/>
      <c r="AC122" s="307"/>
      <c r="AD122" s="307"/>
      <c r="AE122" s="278"/>
      <c r="AF122" s="280" t="str">
        <f t="shared" ca="1" si="333"/>
        <v>Noruega</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ca="1" si="332"/>
        <v>México</v>
      </c>
      <c r="AB123" s="278"/>
      <c r="AC123" s="307"/>
      <c r="AD123" s="307"/>
      <c r="AE123" s="278"/>
      <c r="AF123" s="280" t="str">
        <f t="shared" ca="1" si="333"/>
        <v>Inglaterra</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2"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ca="1" si="332"/>
        <v>Estados Unidos</v>
      </c>
      <c r="AB125" s="278"/>
      <c r="AC125" s="309"/>
      <c r="AD125" s="309"/>
      <c r="AE125" s="278"/>
      <c r="AF125" s="280" t="str">
        <f t="shared" ca="1" si="333"/>
        <v>Bélgica</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 ca="1">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 ca="1">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23</v>
      </c>
      <c r="T1" s="87"/>
      <c r="U1" s="65"/>
      <c r="V1" s="87">
        <f ca="1">+IFERROR(RANK(V2,OFFSET($S$2,0,0,1,$D$5*3),0),"-")</f>
        <v>28</v>
      </c>
      <c r="W1" s="87"/>
      <c r="X1" s="65"/>
      <c r="Y1" s="87">
        <f ca="1">+IFERROR(RANK(Y2,OFFSET($S$2,0,0,1,$D$5*3),0),"-")</f>
        <v>15</v>
      </c>
      <c r="Z1" s="87"/>
      <c r="AA1" s="65"/>
      <c r="AB1" s="87">
        <f ca="1">+IFERROR(RANK(AB2,OFFSET($S$2,0,0,1,$D$5*3),0),"-")</f>
        <v>7</v>
      </c>
      <c r="AC1" s="87"/>
      <c r="AD1" s="65"/>
      <c r="AE1" s="87">
        <f ca="1">+IFERROR(RANK(AE2,OFFSET($S$2,0,0,1,$D$5*3),0),"-")</f>
        <v>10</v>
      </c>
      <c r="AF1" s="87"/>
      <c r="AG1" s="65"/>
      <c r="AH1" s="87">
        <f ca="1">+IFERROR(RANK(AH2,OFFSET($S$2,0,0,1,$D$5*3),0),"-")</f>
        <v>26</v>
      </c>
      <c r="AI1" s="87"/>
      <c r="AJ1" s="65"/>
      <c r="AK1" s="87">
        <f ca="1">+IFERROR(RANK(AK2,OFFSET($S$2,0,0,1,$D$5*3),0),"-")</f>
        <v>35</v>
      </c>
      <c r="AL1" s="87"/>
      <c r="AM1" s="65"/>
      <c r="AN1" s="87">
        <f ca="1">+IFERROR(RANK(AN2,OFFSET($S$2,0,0,1,$D$5*3),0),"-")</f>
        <v>9</v>
      </c>
      <c r="AO1" s="87"/>
      <c r="AP1" s="65"/>
      <c r="AQ1" s="87">
        <f ca="1">+IFERROR(RANK(AQ2,OFFSET($S$2,0,0,1,$D$5*3),0),"-")</f>
        <v>1</v>
      </c>
      <c r="AR1" s="87"/>
      <c r="AS1" s="65"/>
      <c r="AT1" s="87">
        <f ca="1">+IFERROR(RANK(AT2,OFFSET($S$2,0,0,1,$D$5*3),0),"-")</f>
        <v>32</v>
      </c>
      <c r="AU1" s="87"/>
      <c r="AV1" s="65"/>
      <c r="AW1" s="87">
        <f ca="1">+IFERROR(RANK(AW2,OFFSET($S$2,0,0,1,$D$5*3),0),"-")</f>
        <v>29</v>
      </c>
      <c r="AX1" s="87"/>
      <c r="AY1" s="65"/>
      <c r="AZ1" s="87">
        <f ca="1">+IFERROR(RANK(AZ2,OFFSET($S$2,0,0,1,$D$5*3),0),"-")</f>
        <v>24</v>
      </c>
      <c r="BA1" s="87"/>
      <c r="BB1" s="65"/>
      <c r="BC1" s="87">
        <f ca="1">+IFERROR(RANK(BC2,OFFSET($S$2,0,0,1,$D$5*3),0),"-")</f>
        <v>25</v>
      </c>
      <c r="BD1" s="87"/>
      <c r="BE1" s="65"/>
      <c r="BF1" s="87">
        <f ca="1">+IFERROR(RANK(BF2,OFFSET($S$2,0,0,1,$D$5*3),0),"-")</f>
        <v>14</v>
      </c>
      <c r="BG1" s="87"/>
      <c r="BH1" s="65"/>
      <c r="BI1" s="87">
        <f ca="1">+IFERROR(RANK(BI2,OFFSET($S$2,0,0,1,$D$5*3),0),"-")</f>
        <v>16</v>
      </c>
      <c r="BJ1" s="87"/>
      <c r="BK1" s="65"/>
      <c r="BL1" s="87">
        <f ca="1">+IFERROR(RANK(BL2,OFFSET($S$2,0,0,1,$D$5*3),0),"-")</f>
        <v>2</v>
      </c>
      <c r="BM1" s="87"/>
      <c r="BN1" s="65"/>
      <c r="BO1" s="87">
        <f ca="1">+IFERROR(RANK(BO2,OFFSET($S$2,0,0,1,$D$5*3),0),"-")</f>
        <v>20</v>
      </c>
      <c r="BP1" s="87"/>
      <c r="BQ1" s="65"/>
      <c r="BR1" s="87">
        <f ca="1">+IFERROR(RANK(BR2,OFFSET($S$2,0,0,1,$D$5*3),0),"-")</f>
        <v>12</v>
      </c>
      <c r="BS1" s="87"/>
      <c r="BT1" s="65"/>
      <c r="BU1" s="87">
        <f ca="1">+IFERROR(RANK(BU2,OFFSET($S$2,0,0,1,$D$5*3),0),"-")</f>
        <v>36</v>
      </c>
      <c r="BV1" s="87"/>
      <c r="BW1" s="65"/>
      <c r="BX1" s="87">
        <f ca="1">+IFERROR(RANK(BX2,OFFSET($S$2,0,0,1,$D$5*3),0),"-")</f>
        <v>17</v>
      </c>
      <c r="BY1" s="87"/>
      <c r="BZ1" s="65"/>
      <c r="CA1" s="87">
        <f ca="1">+IFERROR(RANK(CA2,OFFSET($S$2,0,0,1,$D$5*3),0),"-")</f>
        <v>33</v>
      </c>
      <c r="CB1" s="87"/>
      <c r="CC1" s="65"/>
      <c r="CD1" s="87">
        <f ca="1">+IFERROR(RANK(CD2,OFFSET($S$2,0,0,1,$D$5*3),0),"-")</f>
        <v>30</v>
      </c>
      <c r="CE1" s="87"/>
      <c r="CF1" s="65"/>
      <c r="CG1" s="87">
        <f ca="1">+IFERROR(RANK(CG2,OFFSET($S$2,0,0,1,$D$5*3),0),"-")</f>
        <v>27</v>
      </c>
      <c r="CH1" s="87"/>
      <c r="CI1" s="65"/>
      <c r="CJ1" s="87">
        <f ca="1">+IFERROR(RANK(CJ2,OFFSET($S$2,0,0,1,$D$5*3),0),"-")</f>
        <v>13</v>
      </c>
      <c r="CK1" s="87"/>
      <c r="CL1" s="65"/>
      <c r="CM1" s="87">
        <f ca="1">+IFERROR(RANK(CM2,OFFSET($S$2,0,0,1,$D$5*3),0),"-")</f>
        <v>39</v>
      </c>
      <c r="CN1" s="87"/>
      <c r="CO1" s="65"/>
      <c r="CP1" s="87">
        <f ca="1">+IFERROR(RANK(CP2,OFFSET($S$2,0,0,1,$D$5*3),0),"-")</f>
        <v>6</v>
      </c>
      <c r="CQ1" s="87"/>
      <c r="CR1" s="65"/>
      <c r="CS1" s="87">
        <f ca="1">+IFERROR(RANK(CS2,OFFSET($S$2,0,0,1,$D$5*3),0),"-")</f>
        <v>5</v>
      </c>
      <c r="CT1" s="87"/>
      <c r="CU1" s="65"/>
      <c r="CV1" s="87">
        <f ca="1">+IFERROR(RANK(CV2,OFFSET($S$2,0,0,1,$D$5*3),0),"-")</f>
        <v>8</v>
      </c>
      <c r="CW1" s="87"/>
      <c r="CX1" s="65"/>
      <c r="CY1" s="87">
        <f ca="1">+IFERROR(RANK(CY2,OFFSET($S$2,0,0,1,$D$5*3),0),"-")</f>
        <v>40</v>
      </c>
      <c r="CZ1" s="87"/>
      <c r="DA1" s="65"/>
      <c r="DB1" s="87">
        <f ca="1">+IFERROR(RANK(DB2,OFFSET($S$2,0,0,1,$D$5*3),0),"-")</f>
        <v>3</v>
      </c>
      <c r="DC1" s="87"/>
      <c r="DD1" s="65"/>
      <c r="DE1" s="87">
        <f ca="1">+IFERROR(RANK(DE2,OFFSET($S$2,0,0,1,$D$5*3),0),"-")</f>
        <v>22</v>
      </c>
      <c r="DF1" s="87"/>
      <c r="DG1" s="65"/>
      <c r="DH1" s="87">
        <f ca="1">+IFERROR(RANK(DH2,OFFSET($S$2,0,0,1,$D$5*3),0),"-")</f>
        <v>18</v>
      </c>
      <c r="DI1" s="87"/>
      <c r="DJ1" s="65"/>
      <c r="DK1" s="87">
        <f ca="1">+IFERROR(RANK(DK2,OFFSET($S$2,0,0,1,$D$5*3),0),"-")</f>
        <v>31</v>
      </c>
      <c r="DL1" s="87"/>
      <c r="DM1" s="65"/>
      <c r="DN1" s="87">
        <f ca="1">+IFERROR(RANK(DN2,OFFSET($S$2,0,0,1,$D$5*3),0),"-")</f>
        <v>21</v>
      </c>
      <c r="DO1" s="87"/>
      <c r="DP1" s="65"/>
      <c r="DQ1" s="87">
        <f ca="1">+IFERROR(RANK(DQ2,OFFSET($S$2,0,0,1,$D$5*3),0),"-")</f>
        <v>41</v>
      </c>
      <c r="DR1" s="87"/>
      <c r="DS1" s="65"/>
      <c r="DT1" s="87">
        <f ca="1">+IFERROR(RANK(DT2,OFFSET($S$2,0,0,1,$D$5*3),0),"-")</f>
        <v>37</v>
      </c>
      <c r="DU1" s="87"/>
      <c r="DV1" s="65"/>
      <c r="DW1" s="87">
        <f ca="1">+IFERROR(RANK(DW2,OFFSET($S$2,0,0,1,$D$5*3),0),"-")</f>
        <v>4</v>
      </c>
      <c r="DX1" s="87"/>
      <c r="DY1" s="65"/>
      <c r="DZ1" s="87">
        <f ca="1">+IFERROR(RANK(DZ2,OFFSET($S$2,0,0,1,$D$5*3),0),"-")</f>
        <v>19</v>
      </c>
      <c r="EA1" s="87"/>
      <c r="EB1" s="65"/>
      <c r="EC1" s="87">
        <f ca="1">+IFERROR(RANK(EC2,OFFSET($S$2,0,0,1,$D$5*3),0),"-")</f>
        <v>38</v>
      </c>
      <c r="ED1" s="87"/>
      <c r="EE1" s="65"/>
      <c r="EF1" s="87">
        <f ca="1">+IFERROR(RANK(EF2,OFFSET($S$2,0,0,1,$D$5*3),0),"-")</f>
        <v>34</v>
      </c>
      <c r="EG1" s="87"/>
      <c r="EH1" s="65"/>
      <c r="EI1" s="87">
        <f ca="1">+IFERROR(RANK(EI2,OFFSET($S$2,0,0,1,$D$5*3),0),"-")</f>
        <v>11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235.99809999999999</v>
      </c>
      <c r="T2" s="87"/>
      <c r="U2" s="65"/>
      <c r="V2" s="87">
        <f t="shared" ref="V2" ca="1" si="0">V4-(COLUMN()/10000)</f>
        <v>230.99780000000001</v>
      </c>
      <c r="W2" s="87"/>
      <c r="X2" s="65"/>
      <c r="Y2" s="87">
        <f t="shared" ref="Y2" ca="1" si="1">Y4-(COLUMN()/10000)</f>
        <v>242.9975</v>
      </c>
      <c r="Z2" s="87"/>
      <c r="AA2" s="65"/>
      <c r="AB2" s="87">
        <f t="shared" ref="AB2" ca="1" si="2">AB4-(COLUMN()/10000)</f>
        <v>253.99719999999999</v>
      </c>
      <c r="AC2" s="87"/>
      <c r="AD2" s="65"/>
      <c r="AE2" s="87">
        <f t="shared" ref="AE2" ca="1" si="3">AE4-(COLUMN()/10000)</f>
        <v>249.99690000000001</v>
      </c>
      <c r="AF2" s="87"/>
      <c r="AG2" s="65"/>
      <c r="AH2" s="87">
        <f t="shared" ref="AH2" ca="1" si="4">AH4-(COLUMN()/10000)</f>
        <v>233.9966</v>
      </c>
      <c r="AI2" s="87"/>
      <c r="AJ2" s="65"/>
      <c r="AK2" s="87">
        <f t="shared" ref="AK2" ca="1" si="5">AK4-(COLUMN()/10000)</f>
        <v>226.99629999999999</v>
      </c>
      <c r="AL2" s="87"/>
      <c r="AM2" s="65"/>
      <c r="AN2" s="87">
        <f t="shared" ref="AN2" ca="1" si="6">AN4-(COLUMN()/10000)</f>
        <v>252.99600000000001</v>
      </c>
      <c r="AO2" s="87"/>
      <c r="AP2" s="65"/>
      <c r="AQ2" s="87">
        <f t="shared" ref="AQ2" ca="1" si="7">AQ4-(COLUMN()/10000)</f>
        <v>278.9957</v>
      </c>
      <c r="AR2" s="87"/>
      <c r="AS2" s="65"/>
      <c r="AT2" s="87">
        <f t="shared" ref="AT2" ca="1" si="8">AT4-(COLUMN()/10000)</f>
        <v>228.99539999999999</v>
      </c>
      <c r="AU2" s="87"/>
      <c r="AV2" s="65"/>
      <c r="AW2" s="87">
        <f t="shared" ref="AW2" ca="1" si="9">AW4-(COLUMN()/10000)</f>
        <v>230.99510000000001</v>
      </c>
      <c r="AX2" s="87"/>
      <c r="AY2" s="65"/>
      <c r="AZ2" s="87">
        <f t="shared" ref="AZ2" ca="1" si="10">AZ4-(COLUMN()/10000)</f>
        <v>234.9948</v>
      </c>
      <c r="BA2" s="87"/>
      <c r="BB2" s="65"/>
      <c r="BC2" s="87">
        <f t="shared" ref="BC2" ca="1" si="11">BC4-(COLUMN()/10000)</f>
        <v>234.99449999999999</v>
      </c>
      <c r="BD2" s="87"/>
      <c r="BE2" s="65"/>
      <c r="BF2" s="87">
        <f t="shared" ref="BF2" ca="1" si="12">BF4-(COLUMN()/10000)</f>
        <v>245.99420000000001</v>
      </c>
      <c r="BG2" s="87"/>
      <c r="BH2" s="65"/>
      <c r="BI2" s="87">
        <f t="shared" ref="BI2" ca="1" si="13">BI4-(COLUMN()/10000)</f>
        <v>242.9939</v>
      </c>
      <c r="BJ2" s="87"/>
      <c r="BK2" s="65"/>
      <c r="BL2" s="87">
        <f t="shared" ref="BL2" ca="1" si="14">BL4-(COLUMN()/10000)</f>
        <v>269.99360000000001</v>
      </c>
      <c r="BM2" s="87"/>
      <c r="BN2" s="65"/>
      <c r="BO2" s="87">
        <f t="shared" ref="BO2" ca="1" si="15">BO4-(COLUMN()/10000)</f>
        <v>238.9933</v>
      </c>
      <c r="BP2" s="87"/>
      <c r="BQ2" s="65"/>
      <c r="BR2" s="87">
        <f t="shared" ref="BR2" ca="1" si="16">BR4-(COLUMN()/10000)</f>
        <v>246.99299999999999</v>
      </c>
      <c r="BS2" s="87"/>
      <c r="BT2" s="65"/>
      <c r="BU2" s="87">
        <f t="shared" ref="BU2" ca="1" si="17">BU4-(COLUMN()/10000)</f>
        <v>225.99270000000001</v>
      </c>
      <c r="BV2" s="87"/>
      <c r="BW2" s="65"/>
      <c r="BX2" s="87">
        <f t="shared" ref="BX2" ca="1" si="18">BX4-(COLUMN()/10000)</f>
        <v>242.9924</v>
      </c>
      <c r="BY2" s="87"/>
      <c r="BZ2" s="65"/>
      <c r="CA2" s="87">
        <f t="shared" ref="CA2" ca="1" si="19">CA4-(COLUMN()/10000)</f>
        <v>227.99209999999999</v>
      </c>
      <c r="CB2" s="87"/>
      <c r="CC2" s="65"/>
      <c r="CD2" s="87">
        <f t="shared" ref="CD2" ca="1" si="20">CD4-(COLUMN()/10000)</f>
        <v>229.99180000000001</v>
      </c>
      <c r="CE2" s="87"/>
      <c r="CF2" s="65"/>
      <c r="CG2" s="87">
        <f t="shared" ref="CG2" ca="1" si="21">CG4-(COLUMN()/10000)</f>
        <v>231.9915</v>
      </c>
      <c r="CH2" s="87"/>
      <c r="CI2" s="65"/>
      <c r="CJ2" s="87">
        <f t="shared" ref="CJ2" ca="1" si="22">CJ4-(COLUMN()/10000)</f>
        <v>246.99119999999999</v>
      </c>
      <c r="CK2" s="87"/>
      <c r="CL2" s="65"/>
      <c r="CM2" s="87">
        <f t="shared" ref="CM2" ca="1" si="23">CM4-(COLUMN()/10000)</f>
        <v>221.99090000000001</v>
      </c>
      <c r="CN2" s="87"/>
      <c r="CO2" s="65"/>
      <c r="CP2" s="87">
        <f t="shared" ref="CP2" ca="1" si="24">CP4-(COLUMN()/10000)</f>
        <v>254.9906</v>
      </c>
      <c r="CQ2" s="87"/>
      <c r="CR2" s="65"/>
      <c r="CS2" s="87">
        <f t="shared" ref="CS2" ca="1" si="25">CS4-(COLUMN()/10000)</f>
        <v>257.99029999999999</v>
      </c>
      <c r="CT2" s="87"/>
      <c r="CU2" s="65"/>
      <c r="CV2" s="87">
        <f t="shared" ref="CV2" ca="1" si="26">CV4-(COLUMN()/10000)</f>
        <v>253.99</v>
      </c>
      <c r="CW2" s="87"/>
      <c r="CX2" s="65"/>
      <c r="CY2" s="87">
        <f t="shared" ref="CY2" ca="1" si="27">CY4-(COLUMN()/10000)</f>
        <v>212.9897</v>
      </c>
      <c r="CZ2" s="87"/>
      <c r="DA2" s="65"/>
      <c r="DB2" s="87">
        <f t="shared" ref="DB2" ca="1" si="28">DB4-(COLUMN()/10000)</f>
        <v>268.98939999999999</v>
      </c>
      <c r="DC2" s="87"/>
      <c r="DD2" s="65"/>
      <c r="DE2" s="87">
        <f t="shared" ref="DE2" ca="1" si="29">DE4-(COLUMN()/10000)</f>
        <v>236.98910000000001</v>
      </c>
      <c r="DF2" s="87"/>
      <c r="DG2" s="65"/>
      <c r="DH2" s="87">
        <f t="shared" ref="DH2" ca="1" si="30">DH4-(COLUMN()/10000)</f>
        <v>242.9888</v>
      </c>
      <c r="DI2" s="87"/>
      <c r="DJ2" s="65"/>
      <c r="DK2" s="87">
        <f t="shared" ref="DK2" ca="1" si="31">DK4-(COLUMN()/10000)</f>
        <v>229.98849999999999</v>
      </c>
      <c r="DL2" s="87"/>
      <c r="DM2" s="65"/>
      <c r="DN2" s="87">
        <f t="shared" ref="DN2" ca="1" si="32">DN4-(COLUMN()/10000)</f>
        <v>238.98820000000001</v>
      </c>
      <c r="DO2" s="87"/>
      <c r="DP2" s="65"/>
      <c r="DQ2" s="87">
        <f t="shared" ref="DQ2" ca="1" si="33">DQ4-(COLUMN()/10000)</f>
        <v>181.9879</v>
      </c>
      <c r="DR2" s="87"/>
      <c r="DS2" s="65"/>
      <c r="DT2" s="87">
        <f t="shared" ref="DT2" ca="1" si="34">DT4-(COLUMN()/10000)</f>
        <v>224.98759999999999</v>
      </c>
      <c r="DU2" s="87"/>
      <c r="DV2" s="65"/>
      <c r="DW2" s="87">
        <f t="shared" ref="DW2" ca="1" si="35">DW4-(COLUMN()/10000)</f>
        <v>261.9873</v>
      </c>
      <c r="DX2" s="87"/>
      <c r="DY2" s="65"/>
      <c r="DZ2" s="87">
        <f t="shared" ref="DZ2" ca="1" si="36">DZ4-(COLUMN()/10000)</f>
        <v>239.98699999999999</v>
      </c>
      <c r="EA2" s="87"/>
      <c r="EB2" s="65"/>
      <c r="EC2" s="87">
        <f t="shared" ref="EC2" ca="1" si="37">EC4-(COLUMN()/10000)</f>
        <v>222.98670000000001</v>
      </c>
      <c r="ED2" s="87"/>
      <c r="EE2" s="65"/>
      <c r="EF2" s="87">
        <f t="shared" ref="EF2" ca="1" si="38">EF4-(COLUMN()/10000)</f>
        <v>227.9864</v>
      </c>
      <c r="EG2" s="87"/>
      <c r="EH2" s="65"/>
      <c r="EI2" s="87">
        <f t="shared" ref="EI2" ca="1" si="39">EI4-(COLUMN()/10000)</f>
        <v>249.98609999999999</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23</v>
      </c>
      <c r="T3" s="87"/>
      <c r="U3" s="65"/>
      <c r="V3" s="87">
        <f ca="1">RANK(V4,OFFSET($S$4,0,0,1,$D$5*3),0)</f>
        <v>28</v>
      </c>
      <c r="W3" s="87"/>
      <c r="X3" s="65"/>
      <c r="Y3" s="87">
        <f ca="1">RANK(Y4,OFFSET($S$4,0,0,1,$D$5*3),0)</f>
        <v>15</v>
      </c>
      <c r="Z3" s="87"/>
      <c r="AA3" s="65"/>
      <c r="AB3" s="87">
        <f ca="1">RANK(AB4,OFFSET($S$4,0,0,1,$D$5*3),0)</f>
        <v>7</v>
      </c>
      <c r="AC3" s="87"/>
      <c r="AD3" s="65"/>
      <c r="AE3" s="87">
        <f ca="1">RANK(AE4,OFFSET($S$4,0,0,1,$D$5*3),0)</f>
        <v>10</v>
      </c>
      <c r="AF3" s="87"/>
      <c r="AG3" s="65"/>
      <c r="AH3" s="87">
        <f ca="1">RANK(AH4,OFFSET($S$4,0,0,1,$D$5*3),0)</f>
        <v>26</v>
      </c>
      <c r="AI3" s="87"/>
      <c r="AJ3" s="65"/>
      <c r="AK3" s="87">
        <f ca="1">RANK(AK4,OFFSET($S$4,0,0,1,$D$5*3),0)</f>
        <v>35</v>
      </c>
      <c r="AL3" s="87"/>
      <c r="AM3" s="65"/>
      <c r="AN3" s="87">
        <f ca="1">RANK(AN4,OFFSET($S$4,0,0,1,$D$5*3),0)</f>
        <v>9</v>
      </c>
      <c r="AO3" s="87"/>
      <c r="AP3" s="65"/>
      <c r="AQ3" s="87">
        <f ca="1">RANK(AQ4,OFFSET($S$4,0,0,1,$D$5*3),0)</f>
        <v>1</v>
      </c>
      <c r="AR3" s="87"/>
      <c r="AS3" s="65"/>
      <c r="AT3" s="87">
        <f ca="1">RANK(AT4,OFFSET($S$4,0,0,1,$D$5*3),0)</f>
        <v>32</v>
      </c>
      <c r="AU3" s="87"/>
      <c r="AV3" s="65"/>
      <c r="AW3" s="87">
        <f ca="1">RANK(AW4,OFFSET($S$4,0,0,1,$D$5*3),0)</f>
        <v>28</v>
      </c>
      <c r="AX3" s="87"/>
      <c r="AY3" s="65"/>
      <c r="AZ3" s="87">
        <f ca="1">RANK(AZ4,OFFSET($S$4,0,0,1,$D$5*3),0)</f>
        <v>24</v>
      </c>
      <c r="BA3" s="87"/>
      <c r="BB3" s="65"/>
      <c r="BC3" s="87">
        <f ca="1">RANK(BC4,OFFSET($S$4,0,0,1,$D$5*3),0)</f>
        <v>24</v>
      </c>
      <c r="BD3" s="87"/>
      <c r="BE3" s="65"/>
      <c r="BF3" s="87">
        <f ca="1">RANK(BF4,OFFSET($S$4,0,0,1,$D$5*3),0)</f>
        <v>14</v>
      </c>
      <c r="BG3" s="87"/>
      <c r="BH3" s="65"/>
      <c r="BI3" s="87">
        <f ca="1">RANK(BI4,OFFSET($S$4,0,0,1,$D$5*3),0)</f>
        <v>15</v>
      </c>
      <c r="BJ3" s="87"/>
      <c r="BK3" s="65"/>
      <c r="BL3" s="87">
        <f ca="1">RANK(BL4,OFFSET($S$4,0,0,1,$D$5*3),0)</f>
        <v>2</v>
      </c>
      <c r="BM3" s="87"/>
      <c r="BN3" s="65"/>
      <c r="BO3" s="87">
        <f ca="1">RANK(BO4,OFFSET($S$4,0,0,1,$D$5*3),0)</f>
        <v>20</v>
      </c>
      <c r="BP3" s="87"/>
      <c r="BQ3" s="65"/>
      <c r="BR3" s="87">
        <f ca="1">RANK(BR4,OFFSET($S$4,0,0,1,$D$5*3),0)</f>
        <v>12</v>
      </c>
      <c r="BS3" s="87"/>
      <c r="BT3" s="65"/>
      <c r="BU3" s="87">
        <f ca="1">RANK(BU4,OFFSET($S$4,0,0,1,$D$5*3),0)</f>
        <v>36</v>
      </c>
      <c r="BV3" s="87"/>
      <c r="BW3" s="65"/>
      <c r="BX3" s="87">
        <f ca="1">RANK(BX4,OFFSET($S$4,0,0,1,$D$5*3),0)</f>
        <v>15</v>
      </c>
      <c r="BY3" s="87"/>
      <c r="BZ3" s="65"/>
      <c r="CA3" s="87">
        <f ca="1">RANK(CA4,OFFSET($S$4,0,0,1,$D$5*3),0)</f>
        <v>33</v>
      </c>
      <c r="CB3" s="87"/>
      <c r="CC3" s="65"/>
      <c r="CD3" s="87">
        <f ca="1">RANK(CD4,OFFSET($S$4,0,0,1,$D$5*3),0)</f>
        <v>30</v>
      </c>
      <c r="CE3" s="87"/>
      <c r="CF3" s="65"/>
      <c r="CG3" s="87">
        <f ca="1">RANK(CG4,OFFSET($S$4,0,0,1,$D$5*3),0)</f>
        <v>27</v>
      </c>
      <c r="CH3" s="87"/>
      <c r="CI3" s="65"/>
      <c r="CJ3" s="87">
        <f ca="1">RANK(CJ4,OFFSET($S$4,0,0,1,$D$5*3),0)</f>
        <v>12</v>
      </c>
      <c r="CK3" s="87"/>
      <c r="CL3" s="65"/>
      <c r="CM3" s="87">
        <f ca="1">RANK(CM4,OFFSET($S$4,0,0,1,$D$5*3),0)</f>
        <v>39</v>
      </c>
      <c r="CN3" s="87"/>
      <c r="CO3" s="65"/>
      <c r="CP3" s="87">
        <f ca="1">RANK(CP4,OFFSET($S$4,0,0,1,$D$5*3),0)</f>
        <v>6</v>
      </c>
      <c r="CQ3" s="87"/>
      <c r="CR3" s="65"/>
      <c r="CS3" s="87">
        <f ca="1">RANK(CS4,OFFSET($S$4,0,0,1,$D$5*3),0)</f>
        <v>5</v>
      </c>
      <c r="CT3" s="87"/>
      <c r="CU3" s="65"/>
      <c r="CV3" s="87">
        <f ca="1">RANK(CV4,OFFSET($S$4,0,0,1,$D$5*3),0)</f>
        <v>7</v>
      </c>
      <c r="CW3" s="87"/>
      <c r="CX3" s="65"/>
      <c r="CY3" s="87">
        <f ca="1">RANK(CY4,OFFSET($S$4,0,0,1,$D$5*3),0)</f>
        <v>40</v>
      </c>
      <c r="CZ3" s="87"/>
      <c r="DA3" s="65"/>
      <c r="DB3" s="87">
        <f ca="1">RANK(DB4,OFFSET($S$4,0,0,1,$D$5*3),0)</f>
        <v>3</v>
      </c>
      <c r="DC3" s="87"/>
      <c r="DD3" s="65"/>
      <c r="DE3" s="87">
        <f ca="1">RANK(DE4,OFFSET($S$4,0,0,1,$D$5*3),0)</f>
        <v>22</v>
      </c>
      <c r="DF3" s="87"/>
      <c r="DG3" s="65"/>
      <c r="DH3" s="87">
        <f ca="1">RANK(DH4,OFFSET($S$4,0,0,1,$D$5*3),0)</f>
        <v>15</v>
      </c>
      <c r="DI3" s="87"/>
      <c r="DJ3" s="65"/>
      <c r="DK3" s="87">
        <f ca="1">RANK(DK4,OFFSET($S$4,0,0,1,$D$5*3),0)</f>
        <v>30</v>
      </c>
      <c r="DL3" s="87"/>
      <c r="DM3" s="65"/>
      <c r="DN3" s="87">
        <f ca="1">RANK(DN4,OFFSET($S$4,0,0,1,$D$5*3),0)</f>
        <v>20</v>
      </c>
      <c r="DO3" s="87"/>
      <c r="DP3" s="65"/>
      <c r="DQ3" s="87">
        <f ca="1">RANK(DQ4,OFFSET($S$4,0,0,1,$D$5*3),0)</f>
        <v>41</v>
      </c>
      <c r="DR3" s="87"/>
      <c r="DS3" s="65"/>
      <c r="DT3" s="87">
        <f ca="1">RANK(DT4,OFFSET($S$4,0,0,1,$D$5*3),0)</f>
        <v>37</v>
      </c>
      <c r="DU3" s="87"/>
      <c r="DV3" s="65"/>
      <c r="DW3" s="87">
        <f ca="1">RANK(DW4,OFFSET($S$4,0,0,1,$D$5*3),0)</f>
        <v>4</v>
      </c>
      <c r="DX3" s="87"/>
      <c r="DY3" s="65"/>
      <c r="DZ3" s="87">
        <f ca="1">RANK(DZ4,OFFSET($S$4,0,0,1,$D$5*3),0)</f>
        <v>19</v>
      </c>
      <c r="EA3" s="87"/>
      <c r="EB3" s="65"/>
      <c r="EC3" s="87">
        <f ca="1">RANK(EC4,OFFSET($S$4,0,0,1,$D$5*3),0)</f>
        <v>38</v>
      </c>
      <c r="ED3" s="87"/>
      <c r="EE3" s="65"/>
      <c r="EF3" s="87">
        <f ca="1">RANK(EF4,OFFSET($S$4,0,0,1,$D$5*3),0)</f>
        <v>33</v>
      </c>
      <c r="EG3" s="87"/>
      <c r="EH3" s="65"/>
      <c r="EI3" s="87">
        <f ca="1">RANK(EI4,OFFSET($S$4,0,0,1,$D$5*3),0)</f>
        <v>10</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236</v>
      </c>
      <c r="T4" s="68"/>
      <c r="U4" s="65"/>
      <c r="V4" s="67">
        <f ca="1">SUM(W6:W259)/2</f>
        <v>231</v>
      </c>
      <c r="W4" s="68"/>
      <c r="X4" s="65"/>
      <c r="Y4" s="67">
        <f ca="1">SUM(Z6:Z259)/2</f>
        <v>243</v>
      </c>
      <c r="Z4" s="68"/>
      <c r="AA4" s="65"/>
      <c r="AB4" s="67">
        <f ca="1">SUM(AC6:AC259)/2</f>
        <v>254</v>
      </c>
      <c r="AC4" s="68"/>
      <c r="AD4" s="65"/>
      <c r="AE4" s="67">
        <f ca="1">SUM(AF6:AF259)/2</f>
        <v>250</v>
      </c>
      <c r="AF4" s="68"/>
      <c r="AG4" s="65"/>
      <c r="AH4" s="67">
        <f ca="1">SUM(AI6:AI259)/2</f>
        <v>234</v>
      </c>
      <c r="AI4" s="68"/>
      <c r="AJ4" s="65"/>
      <c r="AK4" s="67">
        <f ca="1">SUM(AL6:AL259)/2</f>
        <v>227</v>
      </c>
      <c r="AL4" s="68"/>
      <c r="AM4" s="65"/>
      <c r="AN4" s="67">
        <f ca="1">SUM(AO6:AO259)/2</f>
        <v>253</v>
      </c>
      <c r="AO4" s="68"/>
      <c r="AP4" s="65"/>
      <c r="AQ4" s="67">
        <f ca="1">SUM(AR6:AR259)/2</f>
        <v>279</v>
      </c>
      <c r="AR4" s="68"/>
      <c r="AS4" s="65"/>
      <c r="AT4" s="67">
        <f ca="1">SUM(AU6:AU259)/2</f>
        <v>229</v>
      </c>
      <c r="AU4" s="68"/>
      <c r="AV4" s="65"/>
      <c r="AW4" s="67">
        <f ca="1">SUM(AX6:AX259)/2</f>
        <v>231</v>
      </c>
      <c r="AX4" s="68"/>
      <c r="AY4" s="65"/>
      <c r="AZ4" s="67">
        <f ca="1">SUM(BA6:BA259)/2</f>
        <v>235</v>
      </c>
      <c r="BA4" s="68"/>
      <c r="BB4" s="65"/>
      <c r="BC4" s="67">
        <f ca="1">SUM(BD6:BD259)/2</f>
        <v>235</v>
      </c>
      <c r="BD4" s="68"/>
      <c r="BE4" s="65"/>
      <c r="BF4" s="67">
        <f ca="1">SUM(BG6:BG259)/2</f>
        <v>246</v>
      </c>
      <c r="BG4" s="68"/>
      <c r="BH4" s="65"/>
      <c r="BI4" s="67">
        <f ca="1">SUM(BJ6:BJ259)/2</f>
        <v>243</v>
      </c>
      <c r="BJ4" s="68"/>
      <c r="BK4" s="65"/>
      <c r="BL4" s="67">
        <f ca="1">SUM(BM6:BM259)/2</f>
        <v>270</v>
      </c>
      <c r="BM4" s="68"/>
      <c r="BN4" s="65"/>
      <c r="BO4" s="67">
        <f ca="1">SUM(BP6:BP259)/2</f>
        <v>239</v>
      </c>
      <c r="BP4" s="68"/>
      <c r="BQ4" s="65"/>
      <c r="BR4" s="67">
        <f ca="1">SUM(BS6:BS259)/2</f>
        <v>247</v>
      </c>
      <c r="BS4" s="68"/>
      <c r="BT4" s="65"/>
      <c r="BU4" s="67">
        <f ca="1">SUM(BV6:BV259)/2</f>
        <v>226</v>
      </c>
      <c r="BV4" s="68"/>
      <c r="BW4" s="65"/>
      <c r="BX4" s="67">
        <f ca="1">SUM(BY6:BY259)/2</f>
        <v>243</v>
      </c>
      <c r="BY4" s="68"/>
      <c r="BZ4" s="65"/>
      <c r="CA4" s="67">
        <f ca="1">SUM(CB6:CB259)/2</f>
        <v>228</v>
      </c>
      <c r="CB4" s="68"/>
      <c r="CC4" s="65"/>
      <c r="CD4" s="67">
        <f ca="1">SUM(CE6:CE259)/2</f>
        <v>230</v>
      </c>
      <c r="CE4" s="68"/>
      <c r="CF4" s="65"/>
      <c r="CG4" s="67">
        <f ca="1">SUM(CH6:CH259)/2</f>
        <v>232</v>
      </c>
      <c r="CH4" s="68"/>
      <c r="CI4" s="65"/>
      <c r="CJ4" s="67">
        <f ca="1">SUM(CK6:CK259)/2</f>
        <v>247</v>
      </c>
      <c r="CK4" s="68"/>
      <c r="CL4" s="65"/>
      <c r="CM4" s="67">
        <f ca="1">SUM(CN6:CN259)/2</f>
        <v>222</v>
      </c>
      <c r="CN4" s="68"/>
      <c r="CO4" s="65"/>
      <c r="CP4" s="67">
        <f ca="1">SUM(CQ6:CQ259)/2</f>
        <v>255</v>
      </c>
      <c r="CQ4" s="68"/>
      <c r="CR4" s="65"/>
      <c r="CS4" s="67">
        <f ca="1">SUM(CT6:CT259)/2</f>
        <v>258</v>
      </c>
      <c r="CT4" s="68"/>
      <c r="CU4" s="65"/>
      <c r="CV4" s="67">
        <f ca="1">SUM(CW6:CW259)/2</f>
        <v>254</v>
      </c>
      <c r="CW4" s="68"/>
      <c r="CX4" s="65"/>
      <c r="CY4" s="67">
        <f ca="1">SUM(CZ6:CZ259)/2</f>
        <v>213</v>
      </c>
      <c r="CZ4" s="68"/>
      <c r="DA4" s="65"/>
      <c r="DB4" s="67">
        <f ca="1">SUM(DC6:DC259)/2</f>
        <v>269</v>
      </c>
      <c r="DC4" s="68"/>
      <c r="DD4" s="65"/>
      <c r="DE4" s="67">
        <f ca="1">SUM(DF6:DF259)/2</f>
        <v>237</v>
      </c>
      <c r="DF4" s="68"/>
      <c r="DG4" s="65"/>
      <c r="DH4" s="67">
        <f ca="1">SUM(DI6:DI259)/2</f>
        <v>243</v>
      </c>
      <c r="DI4" s="68"/>
      <c r="DJ4" s="65"/>
      <c r="DK4" s="67">
        <f ca="1">SUM(DL6:DL259)/2</f>
        <v>230</v>
      </c>
      <c r="DL4" s="68"/>
      <c r="DM4" s="65"/>
      <c r="DN4" s="67">
        <f ca="1">SUM(DO6:DO259)/2</f>
        <v>239</v>
      </c>
      <c r="DO4" s="68"/>
      <c r="DP4" s="65"/>
      <c r="DQ4" s="67">
        <f ca="1">SUM(DR6:DR259)/2</f>
        <v>182</v>
      </c>
      <c r="DR4" s="68"/>
      <c r="DS4" s="65"/>
      <c r="DT4" s="67">
        <f ca="1">SUM(DU6:DU259)/2</f>
        <v>225</v>
      </c>
      <c r="DU4" s="68"/>
      <c r="DV4" s="65"/>
      <c r="DW4" s="67">
        <f ca="1">SUM(DX6:DX259)/2</f>
        <v>262</v>
      </c>
      <c r="DX4" s="68"/>
      <c r="DY4" s="65"/>
      <c r="DZ4" s="67">
        <f ca="1">SUM(EA6:EA259)/2</f>
        <v>240</v>
      </c>
      <c r="EA4" s="68"/>
      <c r="EB4" s="65"/>
      <c r="EC4" s="67">
        <f ca="1">SUM(ED6:ED259)/2</f>
        <v>223</v>
      </c>
      <c r="ED4" s="68"/>
      <c r="EE4" s="65"/>
      <c r="EF4" s="67">
        <f ca="1">SUM(EG6:EG259)/2</f>
        <v>228</v>
      </c>
      <c r="EG4" s="68"/>
      <c r="EH4" s="65"/>
      <c r="EI4" s="67">
        <f ca="1">SUM(EJ6:EJ259)/2</f>
        <v>250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1"/>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51"/>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51"/>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51"/>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51"/>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Austria-España</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España-Austria</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Croacia-Portugal</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Portugal-Croacia</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Argelia-Suiza</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Suiza-Argelia</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Egipto-Australia</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Australia-Egipto</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Cabo Verde-Argentina</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Argentina-Cabo Verde</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Ghana-Colombia</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Colombia-Ghana</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5</v>
      </c>
      <c r="U180" s="65"/>
      <c r="V180" s="84"/>
      <c r="W180" s="71">
        <f t="shared" ref="W180" ca="1" si="798">SUM(W164:W179)</f>
        <v>4</v>
      </c>
      <c r="X180" s="65"/>
      <c r="Y180" s="84"/>
      <c r="Z180" s="71">
        <f t="shared" ref="Z180" ca="1" si="799">SUM(Z164:Z179)</f>
        <v>2</v>
      </c>
      <c r="AA180" s="65"/>
      <c r="AB180" s="84"/>
      <c r="AC180" s="71">
        <f t="shared" ref="AC180" ca="1" si="800">SUM(AC164:AC179)</f>
        <v>2</v>
      </c>
      <c r="AD180" s="65"/>
      <c r="AE180" s="84"/>
      <c r="AF180" s="71">
        <f t="shared" ref="AF180" ca="1" si="801">SUM(AF164:AF179)</f>
        <v>1</v>
      </c>
      <c r="AG180" s="65"/>
      <c r="AH180" s="84"/>
      <c r="AI180" s="71">
        <f t="shared" ref="AI180" ca="1" si="802">SUM(AI164:AI179)</f>
        <v>2</v>
      </c>
      <c r="AJ180" s="65"/>
      <c r="AK180" s="84"/>
      <c r="AL180" s="71">
        <f t="shared" ref="AL180" ca="1" si="803">SUM(AL164:AL179)</f>
        <v>7</v>
      </c>
      <c r="AM180" s="65"/>
      <c r="AN180" s="84"/>
      <c r="AO180" s="71">
        <f t="shared" ref="AO180" ca="1" si="804">SUM(AO164:AO179)</f>
        <v>11</v>
      </c>
      <c r="AP180" s="65"/>
      <c r="AQ180" s="84"/>
      <c r="AR180" s="71">
        <f t="shared" ref="AR180" ca="1" si="805">SUM(AR164:AR179)</f>
        <v>5</v>
      </c>
      <c r="AS180" s="65"/>
      <c r="AT180" s="84"/>
      <c r="AU180" s="71">
        <f t="shared" ref="AU180" ca="1" si="806">SUM(AU164:AU179)</f>
        <v>2</v>
      </c>
      <c r="AV180" s="65"/>
      <c r="AW180" s="84"/>
      <c r="AX180" s="71">
        <f t="shared" ref="AX180" ca="1" si="807">SUM(AX164:AX179)</f>
        <v>9</v>
      </c>
      <c r="AY180" s="65"/>
      <c r="AZ180" s="84"/>
      <c r="BA180" s="71">
        <f t="shared" ref="BA180" ca="1" si="808">SUM(BA164:BA179)</f>
        <v>5</v>
      </c>
      <c r="BB180" s="65"/>
      <c r="BC180" s="84"/>
      <c r="BD180" s="71">
        <f t="shared" ref="BD180" ca="1" si="809">SUM(BD164:BD179)</f>
        <v>0</v>
      </c>
      <c r="BE180" s="65"/>
      <c r="BF180" s="84"/>
      <c r="BG180" s="71">
        <f t="shared" ref="BG180" ca="1" si="810">SUM(BG164:BG179)</f>
        <v>1</v>
      </c>
      <c r="BH180" s="65"/>
      <c r="BI180" s="84"/>
      <c r="BJ180" s="71">
        <f t="shared" ref="BJ180" ca="1" si="811">SUM(BJ164:BJ179)</f>
        <v>3</v>
      </c>
      <c r="BK180" s="65"/>
      <c r="BL180" s="84"/>
      <c r="BM180" s="71">
        <f t="shared" ref="BM180" ca="1" si="812">SUM(BM164:BM179)</f>
        <v>12</v>
      </c>
      <c r="BN180" s="65"/>
      <c r="BO180" s="84"/>
      <c r="BP180" s="71">
        <f t="shared" ref="BP180" ca="1" si="813">SUM(BP164:BP179)</f>
        <v>5</v>
      </c>
      <c r="BQ180" s="65"/>
      <c r="BR180" s="84"/>
      <c r="BS180" s="71">
        <f t="shared" ref="BS180" ca="1" si="814">SUM(BS164:BS179)</f>
        <v>5</v>
      </c>
      <c r="BT180" s="65"/>
      <c r="BU180" s="84"/>
      <c r="BV180" s="71">
        <f t="shared" ref="BV180" ca="1" si="815">SUM(BV164:BV179)</f>
        <v>2</v>
      </c>
      <c r="BW180" s="65"/>
      <c r="BX180" s="84"/>
      <c r="BY180" s="71">
        <f t="shared" ref="BY180" ca="1" si="816">SUM(BY164:BY179)</f>
        <v>2</v>
      </c>
      <c r="BZ180" s="65"/>
      <c r="CA180" s="84"/>
      <c r="CB180" s="71">
        <f t="shared" ref="CB180" ca="1" si="817">SUM(CB164:CB179)</f>
        <v>0</v>
      </c>
      <c r="CC180" s="65"/>
      <c r="CD180" s="84"/>
      <c r="CE180" s="71">
        <f t="shared" ref="CE180" ca="1" si="818">SUM(CE164:CE179)</f>
        <v>1</v>
      </c>
      <c r="CF180" s="65"/>
      <c r="CG180" s="84"/>
      <c r="CH180" s="71">
        <f t="shared" ref="CH180" ca="1" si="819">SUM(CH164:CH179)</f>
        <v>8</v>
      </c>
      <c r="CI180" s="65"/>
      <c r="CJ180" s="84"/>
      <c r="CK180" s="71">
        <f t="shared" ref="CK180" ca="1" si="820">SUM(CK164:CK179)</f>
        <v>8</v>
      </c>
      <c r="CL180" s="65"/>
      <c r="CM180" s="84"/>
      <c r="CN180" s="71">
        <f t="shared" ref="CN180" ca="1" si="821">SUM(CN164:CN179)</f>
        <v>0</v>
      </c>
      <c r="CO180" s="65"/>
      <c r="CP180" s="84"/>
      <c r="CQ180" s="71">
        <f t="shared" ref="CQ180" ca="1" si="822">SUM(CQ164:CQ179)</f>
        <v>1</v>
      </c>
      <c r="CR180" s="65"/>
      <c r="CS180" s="84"/>
      <c r="CT180" s="71">
        <f t="shared" ref="CT180" ca="1" si="823">SUM(CT164:CT179)</f>
        <v>2</v>
      </c>
      <c r="CU180" s="65"/>
      <c r="CV180" s="84"/>
      <c r="CW180" s="71">
        <f t="shared" ref="CW180" ca="1" si="824">SUM(CW164:CW179)</f>
        <v>6</v>
      </c>
      <c r="CX180" s="65"/>
      <c r="CY180" s="84"/>
      <c r="CZ180" s="71">
        <f t="shared" ref="CZ180" ca="1" si="825">SUM(CZ164:CZ179)</f>
        <v>1</v>
      </c>
      <c r="DA180" s="65"/>
      <c r="DB180" s="84"/>
      <c r="DC180" s="71">
        <f t="shared" ref="DC180" ca="1" si="826">SUM(DC164:DC179)</f>
        <v>7</v>
      </c>
      <c r="DD180" s="65"/>
      <c r="DE180" s="84"/>
      <c r="DF180" s="71">
        <f t="shared" ref="DF180" ca="1" si="827">SUM(DF164:DF179)</f>
        <v>5</v>
      </c>
      <c r="DG180" s="65"/>
      <c r="DH180" s="84"/>
      <c r="DI180" s="71">
        <f t="shared" ref="DI180" ca="1" si="828">SUM(DI164:DI179)</f>
        <v>7</v>
      </c>
      <c r="DJ180" s="65"/>
      <c r="DK180" s="84"/>
      <c r="DL180" s="71">
        <f t="shared" ref="DL180" ca="1" si="829">SUM(DL164:DL179)</f>
        <v>0</v>
      </c>
      <c r="DM180" s="65"/>
      <c r="DN180" s="796"/>
      <c r="DO180" s="71">
        <f t="shared" ref="DO180" ca="1" si="830">SUM(DO164:DO179)</f>
        <v>2</v>
      </c>
      <c r="DP180" s="65"/>
      <c r="DQ180" s="796"/>
      <c r="DR180" s="71">
        <f t="shared" ref="DR180" ca="1" si="831">SUM(DR164:DR179)</f>
        <v>0</v>
      </c>
      <c r="DS180" s="65"/>
      <c r="DT180" s="84"/>
      <c r="DU180" s="71">
        <f t="shared" ref="DU180" ca="1" si="832">SUM(DU164:DU179)</f>
        <v>1</v>
      </c>
      <c r="DV180" s="65"/>
      <c r="DW180" s="84"/>
      <c r="DX180" s="71">
        <f t="shared" ref="DX180" ca="1" si="833">SUM(DX164:DX179)</f>
        <v>5</v>
      </c>
      <c r="DY180" s="65"/>
      <c r="DZ180" s="84"/>
      <c r="EA180" s="71">
        <f t="shared" ref="EA180" ca="1" si="834">SUM(EA164:EA179)</f>
        <v>5</v>
      </c>
      <c r="EB180" s="65"/>
      <c r="EC180" s="84"/>
      <c r="ED180" s="71">
        <f t="shared" ref="ED180" ca="1" si="835">SUM(ED164:ED179)</f>
        <v>6</v>
      </c>
      <c r="EE180" s="65"/>
      <c r="EF180" s="84"/>
      <c r="EG180" s="71">
        <f t="shared" ref="EG180" ca="1" si="836">SUM(EG164:EG179)</f>
        <v>3</v>
      </c>
      <c r="EH180" s="65"/>
      <c r="EI180" s="84"/>
      <c r="EJ180" s="71">
        <f t="shared" ref="EJ180" ca="1" si="837">SUM(EJ164:EJ179)</f>
        <v>4</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0</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0</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ca="1" si="847"/>
        <v>0</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4</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0</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4</v>
      </c>
      <c r="DM186" s="64"/>
      <c r="DN186" s="795" t="s">
        <v>1320</v>
      </c>
      <c r="DO186" s="73">
        <f t="shared" ca="1" si="880"/>
        <v>0</v>
      </c>
      <c r="DP186" s="64"/>
      <c r="DQ186" s="795" t="s">
        <v>76</v>
      </c>
      <c r="DR186" s="73">
        <f t="shared" ca="1" si="881"/>
        <v>4</v>
      </c>
      <c r="DS186" s="64"/>
      <c r="DT186" s="74" t="s">
        <v>79</v>
      </c>
      <c r="DU186" s="73">
        <f t="shared" ca="1" si="882"/>
        <v>0</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t="s">
        <v>1320</v>
      </c>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t="s">
        <v>1256</v>
      </c>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ca="1" si="847"/>
        <v>0</v>
      </c>
      <c r="U189" s="64"/>
      <c r="V189" s="74" t="s">
        <v>75</v>
      </c>
      <c r="W189" s="73">
        <f t="shared" ca="1" si="848"/>
        <v>0</v>
      </c>
      <c r="X189" s="64"/>
      <c r="Y189" s="74" t="s">
        <v>1261</v>
      </c>
      <c r="Z189" s="73">
        <f t="shared" ca="1" si="849"/>
        <v>0</v>
      </c>
      <c r="AA189" s="64"/>
      <c r="AB189" s="74" t="s">
        <v>75</v>
      </c>
      <c r="AC189" s="73">
        <f t="shared" ca="1" si="850"/>
        <v>0</v>
      </c>
      <c r="AD189" s="64"/>
      <c r="AE189" s="74" t="s">
        <v>75</v>
      </c>
      <c r="AF189" s="73">
        <f t="shared" ca="1" si="851"/>
        <v>0</v>
      </c>
      <c r="AG189" s="64"/>
      <c r="AH189" s="74" t="s">
        <v>75</v>
      </c>
      <c r="AI189" s="73">
        <f t="shared" ca="1" si="852"/>
        <v>0</v>
      </c>
      <c r="AJ189" s="64"/>
      <c r="AK189" s="74" t="s">
        <v>75</v>
      </c>
      <c r="AL189" s="73">
        <f t="shared" ca="1" si="853"/>
        <v>0</v>
      </c>
      <c r="AM189" s="64"/>
      <c r="AN189" s="74" t="s">
        <v>80</v>
      </c>
      <c r="AO189" s="73">
        <f t="shared" ca="1" si="854"/>
        <v>0</v>
      </c>
      <c r="AP189" s="64"/>
      <c r="AQ189" s="74" t="s">
        <v>75</v>
      </c>
      <c r="AR189" s="73">
        <f t="shared" ca="1" si="855"/>
        <v>0</v>
      </c>
      <c r="AS189" s="64"/>
      <c r="AT189" s="74" t="s">
        <v>75</v>
      </c>
      <c r="AU189" s="73">
        <f t="shared" ca="1" si="856"/>
        <v>0</v>
      </c>
      <c r="AV189" s="64"/>
      <c r="AW189" s="74" t="s">
        <v>80</v>
      </c>
      <c r="AX189" s="73">
        <f t="shared" ca="1" si="857"/>
        <v>0</v>
      </c>
      <c r="AY189" s="64"/>
      <c r="AZ189" s="74" t="s">
        <v>1266</v>
      </c>
      <c r="BA189" s="73">
        <f t="shared" ca="1" si="858"/>
        <v>0</v>
      </c>
      <c r="BB189" s="64"/>
      <c r="BC189" s="74" t="s">
        <v>75</v>
      </c>
      <c r="BD189" s="73">
        <f t="shared" ca="1" si="859"/>
        <v>0</v>
      </c>
      <c r="BE189" s="64"/>
      <c r="BF189" s="74" t="s">
        <v>75</v>
      </c>
      <c r="BG189" s="73">
        <f t="shared" ca="1" si="860"/>
        <v>0</v>
      </c>
      <c r="BH189" s="64"/>
      <c r="BI189" s="74" t="s">
        <v>75</v>
      </c>
      <c r="BJ189" s="73">
        <f t="shared" ca="1" si="861"/>
        <v>0</v>
      </c>
      <c r="BK189" s="64"/>
      <c r="BL189" s="74" t="s">
        <v>75</v>
      </c>
      <c r="BM189" s="73">
        <f t="shared" ca="1" si="862"/>
        <v>0</v>
      </c>
      <c r="BN189" s="64"/>
      <c r="BO189" s="74" t="s">
        <v>75</v>
      </c>
      <c r="BP189" s="73">
        <f t="shared" ca="1" si="863"/>
        <v>0</v>
      </c>
      <c r="BQ189" s="64"/>
      <c r="BR189" s="74" t="s">
        <v>75</v>
      </c>
      <c r="BS189" s="73">
        <f t="shared" ca="1" si="864"/>
        <v>0</v>
      </c>
      <c r="BT189" s="64"/>
      <c r="BU189" s="74" t="s">
        <v>75</v>
      </c>
      <c r="BV189" s="73">
        <f t="shared" ca="1" si="865"/>
        <v>0</v>
      </c>
      <c r="BW189" s="64"/>
      <c r="BX189" s="74" t="s">
        <v>75</v>
      </c>
      <c r="BY189" s="73">
        <f t="shared" ca="1" si="866"/>
        <v>0</v>
      </c>
      <c r="BZ189" s="64"/>
      <c r="CA189" s="74" t="s">
        <v>75</v>
      </c>
      <c r="CB189" s="73">
        <f t="shared" ca="1" si="867"/>
        <v>0</v>
      </c>
      <c r="CC189" s="64"/>
      <c r="CD189" s="74" t="s">
        <v>75</v>
      </c>
      <c r="CE189" s="73">
        <f t="shared" ca="1" si="868"/>
        <v>0</v>
      </c>
      <c r="CF189" s="64"/>
      <c r="CG189" s="74" t="s">
        <v>1259</v>
      </c>
      <c r="CH189" s="73">
        <f t="shared" ca="1" si="869"/>
        <v>4</v>
      </c>
      <c r="CI189" s="64"/>
      <c r="CJ189" s="74" t="s">
        <v>75</v>
      </c>
      <c r="CK189" s="73">
        <f t="shared" ca="1" si="870"/>
        <v>0</v>
      </c>
      <c r="CL189" s="64"/>
      <c r="CM189" s="74" t="s">
        <v>75</v>
      </c>
      <c r="CN189" s="73">
        <f t="shared" ca="1" si="871"/>
        <v>0</v>
      </c>
      <c r="CO189" s="64"/>
      <c r="CP189" s="74" t="s">
        <v>75</v>
      </c>
      <c r="CQ189" s="73">
        <f t="shared" ca="1" si="872"/>
        <v>0</v>
      </c>
      <c r="CR189" s="64"/>
      <c r="CS189" s="74" t="s">
        <v>75</v>
      </c>
      <c r="CT189" s="73">
        <f t="shared" ca="1" si="873"/>
        <v>0</v>
      </c>
      <c r="CU189" s="64"/>
      <c r="CV189" s="74" t="s">
        <v>75</v>
      </c>
      <c r="CW189" s="73">
        <f t="shared" ca="1" si="874"/>
        <v>0</v>
      </c>
      <c r="CX189" s="64"/>
      <c r="CY189" s="74" t="s">
        <v>75</v>
      </c>
      <c r="CZ189" s="73">
        <f t="shared" ca="1" si="875"/>
        <v>0</v>
      </c>
      <c r="DA189" s="64"/>
      <c r="DB189" s="74" t="s">
        <v>75</v>
      </c>
      <c r="DC189" s="73">
        <f t="shared" ca="1" si="876"/>
        <v>0</v>
      </c>
      <c r="DD189" s="64"/>
      <c r="DE189" s="74" t="s">
        <v>75</v>
      </c>
      <c r="DF189" s="73">
        <f t="shared" ca="1" si="877"/>
        <v>0</v>
      </c>
      <c r="DG189" s="64"/>
      <c r="DH189" s="74" t="s">
        <v>75</v>
      </c>
      <c r="DI189" s="73">
        <f t="shared" ca="1" si="878"/>
        <v>0</v>
      </c>
      <c r="DJ189" s="64"/>
      <c r="DK189" s="74" t="s">
        <v>75</v>
      </c>
      <c r="DL189" s="73">
        <f t="shared" ca="1" si="879"/>
        <v>0</v>
      </c>
      <c r="DM189" s="64"/>
      <c r="DN189" s="795" t="s">
        <v>75</v>
      </c>
      <c r="DO189" s="73">
        <f t="shared" ca="1" si="880"/>
        <v>0</v>
      </c>
      <c r="DP189" s="64"/>
      <c r="DQ189" s="795" t="s">
        <v>75</v>
      </c>
      <c r="DR189" s="73">
        <f t="shared" ca="1" si="881"/>
        <v>0</v>
      </c>
      <c r="DS189" s="64"/>
      <c r="DT189" s="74" t="s">
        <v>75</v>
      </c>
      <c r="DU189" s="73">
        <f t="shared" ca="1" si="882"/>
        <v>0</v>
      </c>
      <c r="DV189" s="64"/>
      <c r="DW189" s="74" t="s">
        <v>75</v>
      </c>
      <c r="DX189" s="73">
        <f t="shared" ca="1" si="883"/>
        <v>0</v>
      </c>
      <c r="DY189" s="64"/>
      <c r="DZ189" s="74" t="s">
        <v>1259</v>
      </c>
      <c r="EA189" s="73">
        <f t="shared" ca="1" si="884"/>
        <v>4</v>
      </c>
      <c r="EB189" s="64"/>
      <c r="EC189" s="74" t="s">
        <v>75</v>
      </c>
      <c r="ED189" s="73">
        <f t="shared" ca="1" si="885"/>
        <v>0</v>
      </c>
      <c r="EE189" s="64"/>
      <c r="EF189" s="74" t="s">
        <v>75</v>
      </c>
      <c r="EG189" s="73">
        <f t="shared" ca="1" si="886"/>
        <v>0</v>
      </c>
      <c r="EH189" s="64"/>
      <c r="EI189" s="74" t="s">
        <v>75</v>
      </c>
      <c r="EJ189" s="73">
        <f t="shared" ca="1" si="887"/>
        <v>0</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ca="1" si="847"/>
        <v>0</v>
      </c>
      <c r="U194" s="64"/>
      <c r="V194" s="74" t="s">
        <v>38</v>
      </c>
      <c r="W194" s="73">
        <f t="shared" ca="1" si="848"/>
        <v>0</v>
      </c>
      <c r="X194" s="64"/>
      <c r="Y194" s="74" t="s">
        <v>38</v>
      </c>
      <c r="Z194" s="73">
        <f t="shared" ca="1" si="849"/>
        <v>0</v>
      </c>
      <c r="AA194" s="64"/>
      <c r="AB194" s="74" t="s">
        <v>38</v>
      </c>
      <c r="AC194" s="73">
        <f t="shared" ca="1" si="850"/>
        <v>0</v>
      </c>
      <c r="AD194" s="64"/>
      <c r="AE194" s="74" t="s">
        <v>38</v>
      </c>
      <c r="AF194" s="73">
        <f t="shared" ca="1" si="851"/>
        <v>0</v>
      </c>
      <c r="AG194" s="64"/>
      <c r="AH194" s="74" t="s">
        <v>38</v>
      </c>
      <c r="AI194" s="73">
        <f t="shared" ca="1" si="852"/>
        <v>0</v>
      </c>
      <c r="AJ194" s="64"/>
      <c r="AK194" s="74" t="s">
        <v>38</v>
      </c>
      <c r="AL194" s="73">
        <f t="shared" ca="1" si="853"/>
        <v>0</v>
      </c>
      <c r="AM194" s="64"/>
      <c r="AN194" s="74" t="s">
        <v>38</v>
      </c>
      <c r="AO194" s="73">
        <f t="shared" ca="1" si="854"/>
        <v>0</v>
      </c>
      <c r="AP194" s="64"/>
      <c r="AQ194" s="74" t="s">
        <v>38</v>
      </c>
      <c r="AR194" s="73">
        <f t="shared" ca="1" si="855"/>
        <v>0</v>
      </c>
      <c r="AS194" s="64"/>
      <c r="AT194" s="74" t="s">
        <v>38</v>
      </c>
      <c r="AU194" s="73">
        <f t="shared" ca="1" si="856"/>
        <v>0</v>
      </c>
      <c r="AV194" s="64"/>
      <c r="AW194" s="74" t="s">
        <v>38</v>
      </c>
      <c r="AX194" s="73">
        <f t="shared" ca="1" si="857"/>
        <v>0</v>
      </c>
      <c r="AY194" s="64"/>
      <c r="AZ194" s="74" t="s">
        <v>38</v>
      </c>
      <c r="BA194" s="73">
        <f t="shared" ca="1" si="858"/>
        <v>0</v>
      </c>
      <c r="BB194" s="64"/>
      <c r="BC194" s="74" t="s">
        <v>38</v>
      </c>
      <c r="BD194" s="73">
        <f t="shared" ca="1" si="859"/>
        <v>0</v>
      </c>
      <c r="BE194" s="64"/>
      <c r="BF194" s="74" t="s">
        <v>38</v>
      </c>
      <c r="BG194" s="73">
        <f t="shared" ca="1" si="860"/>
        <v>0</v>
      </c>
      <c r="BH194" s="64"/>
      <c r="BI194" s="74" t="s">
        <v>38</v>
      </c>
      <c r="BJ194" s="73">
        <f t="shared" ca="1" si="861"/>
        <v>0</v>
      </c>
      <c r="BK194" s="64"/>
      <c r="BL194" s="74" t="s">
        <v>38</v>
      </c>
      <c r="BM194" s="73">
        <f t="shared" ca="1" si="862"/>
        <v>0</v>
      </c>
      <c r="BN194" s="64"/>
      <c r="BO194" s="74" t="s">
        <v>38</v>
      </c>
      <c r="BP194" s="73">
        <f t="shared" ca="1" si="863"/>
        <v>0</v>
      </c>
      <c r="BQ194" s="64"/>
      <c r="BR194" s="74" t="s">
        <v>38</v>
      </c>
      <c r="BS194" s="73">
        <f t="shared" ca="1" si="864"/>
        <v>0</v>
      </c>
      <c r="BT194" s="64"/>
      <c r="BU194" s="74" t="s">
        <v>38</v>
      </c>
      <c r="BV194" s="73">
        <f t="shared" ca="1" si="865"/>
        <v>0</v>
      </c>
      <c r="BW194" s="64"/>
      <c r="BX194" s="74" t="s">
        <v>38</v>
      </c>
      <c r="BY194" s="73">
        <f t="shared" ca="1" si="866"/>
        <v>0</v>
      </c>
      <c r="BZ194" s="64"/>
      <c r="CA194" s="74" t="s">
        <v>38</v>
      </c>
      <c r="CB194" s="73">
        <f t="shared" ca="1" si="867"/>
        <v>0</v>
      </c>
      <c r="CC194" s="64"/>
      <c r="CD194" s="74" t="s">
        <v>38</v>
      </c>
      <c r="CE194" s="73">
        <f t="shared" ca="1" si="868"/>
        <v>0</v>
      </c>
      <c r="CF194" s="64"/>
      <c r="CG194" s="74" t="s">
        <v>38</v>
      </c>
      <c r="CH194" s="73">
        <f t="shared" ca="1" si="869"/>
        <v>0</v>
      </c>
      <c r="CI194" s="64"/>
      <c r="CJ194" s="74" t="s">
        <v>38</v>
      </c>
      <c r="CK194" s="73">
        <f t="shared" ca="1" si="870"/>
        <v>0</v>
      </c>
      <c r="CL194" s="64"/>
      <c r="CM194" s="74" t="s">
        <v>38</v>
      </c>
      <c r="CN194" s="73">
        <f t="shared" ca="1" si="871"/>
        <v>0</v>
      </c>
      <c r="CO194" s="64"/>
      <c r="CP194" s="74" t="s">
        <v>38</v>
      </c>
      <c r="CQ194" s="73">
        <f t="shared" ca="1" si="872"/>
        <v>0</v>
      </c>
      <c r="CR194" s="64"/>
      <c r="CS194" s="74" t="s">
        <v>38</v>
      </c>
      <c r="CT194" s="73">
        <f t="shared" ca="1" si="873"/>
        <v>0</v>
      </c>
      <c r="CU194" s="64"/>
      <c r="CV194" s="74" t="s">
        <v>38</v>
      </c>
      <c r="CW194" s="73">
        <f t="shared" ca="1" si="874"/>
        <v>0</v>
      </c>
      <c r="CX194" s="64"/>
      <c r="CY194" s="74" t="s">
        <v>38</v>
      </c>
      <c r="CZ194" s="73">
        <f t="shared" ca="1" si="875"/>
        <v>0</v>
      </c>
      <c r="DA194" s="64"/>
      <c r="DB194" s="74" t="s">
        <v>38</v>
      </c>
      <c r="DC194" s="73">
        <f t="shared" ca="1" si="876"/>
        <v>0</v>
      </c>
      <c r="DD194" s="64"/>
      <c r="DE194" s="74" t="s">
        <v>38</v>
      </c>
      <c r="DF194" s="73">
        <f t="shared" ca="1" si="877"/>
        <v>0</v>
      </c>
      <c r="DG194" s="64"/>
      <c r="DH194" s="74" t="s">
        <v>38</v>
      </c>
      <c r="DI194" s="73">
        <f t="shared" ca="1" si="878"/>
        <v>0</v>
      </c>
      <c r="DJ194" s="64"/>
      <c r="DK194" s="74" t="s">
        <v>38</v>
      </c>
      <c r="DL194" s="73">
        <f t="shared" ca="1" si="879"/>
        <v>0</v>
      </c>
      <c r="DM194" s="64"/>
      <c r="DN194" s="795" t="s">
        <v>38</v>
      </c>
      <c r="DO194" s="73">
        <f t="shared" ca="1" si="880"/>
        <v>0</v>
      </c>
      <c r="DP194" s="64"/>
      <c r="DQ194" s="795" t="s">
        <v>38</v>
      </c>
      <c r="DR194" s="73">
        <f t="shared" ca="1" si="881"/>
        <v>0</v>
      </c>
      <c r="DS194" s="64"/>
      <c r="DT194" s="74" t="s">
        <v>38</v>
      </c>
      <c r="DU194" s="73">
        <f t="shared" ca="1" si="882"/>
        <v>0</v>
      </c>
      <c r="DV194" s="64"/>
      <c r="DW194" s="74" t="s">
        <v>38</v>
      </c>
      <c r="DX194" s="73">
        <f t="shared" ca="1" si="883"/>
        <v>0</v>
      </c>
      <c r="DY194" s="64"/>
      <c r="DZ194" s="74" t="s">
        <v>38</v>
      </c>
      <c r="EA194" s="73">
        <f t="shared" ca="1" si="884"/>
        <v>0</v>
      </c>
      <c r="EB194" s="64"/>
      <c r="EC194" s="74" t="s">
        <v>38</v>
      </c>
      <c r="ED194" s="73">
        <f t="shared" ca="1" si="885"/>
        <v>0</v>
      </c>
      <c r="EE194" s="64"/>
      <c r="EF194" s="74" t="s">
        <v>38</v>
      </c>
      <c r="EG194" s="73">
        <f t="shared" ca="1" si="886"/>
        <v>0</v>
      </c>
      <c r="EH194" s="64"/>
      <c r="EI194" s="74" t="s">
        <v>38</v>
      </c>
      <c r="EJ194" s="73">
        <f t="shared" ca="1" si="887"/>
        <v>0</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ca="1" si="847"/>
        <v>0</v>
      </c>
      <c r="U196" s="64"/>
      <c r="V196" s="74" t="s">
        <v>497</v>
      </c>
      <c r="W196" s="73">
        <f t="shared" ca="1" si="848"/>
        <v>4</v>
      </c>
      <c r="X196" s="64"/>
      <c r="Y196" s="74" t="s">
        <v>1550</v>
      </c>
      <c r="Z196" s="73">
        <f t="shared" ca="1" si="849"/>
        <v>0</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0</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ca="1" si="847"/>
        <v>0</v>
      </c>
      <c r="U197" s="64"/>
      <c r="V197" s="80" t="s">
        <v>79</v>
      </c>
      <c r="W197" s="81">
        <f t="shared" ca="1" si="848"/>
        <v>0</v>
      </c>
      <c r="X197" s="64"/>
      <c r="Y197" s="80" t="s">
        <v>79</v>
      </c>
      <c r="Z197" s="81">
        <f t="shared" ca="1" si="849"/>
        <v>0</v>
      </c>
      <c r="AA197" s="64"/>
      <c r="AB197" s="80" t="s">
        <v>79</v>
      </c>
      <c r="AC197" s="81">
        <f t="shared" ca="1" si="850"/>
        <v>0</v>
      </c>
      <c r="AD197" s="64"/>
      <c r="AE197" s="80" t="s">
        <v>1320</v>
      </c>
      <c r="AF197" s="81">
        <f t="shared" ca="1" si="851"/>
        <v>0</v>
      </c>
      <c r="AG197" s="64"/>
      <c r="AH197" s="80" t="s">
        <v>79</v>
      </c>
      <c r="AI197" s="81">
        <f t="shared" ca="1" si="852"/>
        <v>0</v>
      </c>
      <c r="AJ197" s="64"/>
      <c r="AK197" s="80" t="s">
        <v>79</v>
      </c>
      <c r="AL197" s="81">
        <f t="shared" ca="1" si="853"/>
        <v>0</v>
      </c>
      <c r="AM197" s="64"/>
      <c r="AN197" s="80" t="s">
        <v>79</v>
      </c>
      <c r="AO197" s="81">
        <f t="shared" ca="1" si="854"/>
        <v>0</v>
      </c>
      <c r="AP197" s="64"/>
      <c r="AQ197" s="80" t="s">
        <v>79</v>
      </c>
      <c r="AR197" s="81">
        <f t="shared" ca="1" si="855"/>
        <v>0</v>
      </c>
      <c r="AS197" s="64"/>
      <c r="AT197" s="80" t="s">
        <v>79</v>
      </c>
      <c r="AU197" s="81">
        <f t="shared" ca="1" si="856"/>
        <v>0</v>
      </c>
      <c r="AV197" s="64"/>
      <c r="AW197" s="80" t="s">
        <v>79</v>
      </c>
      <c r="AX197" s="81">
        <f t="shared" ca="1" si="857"/>
        <v>0</v>
      </c>
      <c r="AY197" s="64"/>
      <c r="AZ197" s="80" t="s">
        <v>79</v>
      </c>
      <c r="BA197" s="81">
        <f t="shared" ca="1" si="858"/>
        <v>0</v>
      </c>
      <c r="BB197" s="64"/>
      <c r="BC197" s="80" t="s">
        <v>79</v>
      </c>
      <c r="BD197" s="81">
        <f t="shared" ca="1" si="859"/>
        <v>0</v>
      </c>
      <c r="BE197" s="64"/>
      <c r="BF197" s="80" t="s">
        <v>79</v>
      </c>
      <c r="BG197" s="81">
        <f t="shared" ca="1" si="860"/>
        <v>0</v>
      </c>
      <c r="BH197" s="64"/>
      <c r="BI197" s="80" t="s">
        <v>79</v>
      </c>
      <c r="BJ197" s="81">
        <f t="shared" ca="1" si="861"/>
        <v>0</v>
      </c>
      <c r="BK197" s="64"/>
      <c r="BL197" s="80" t="s">
        <v>79</v>
      </c>
      <c r="BM197" s="81">
        <f t="shared" ca="1" si="862"/>
        <v>0</v>
      </c>
      <c r="BN197" s="64"/>
      <c r="BO197" s="80" t="s">
        <v>79</v>
      </c>
      <c r="BP197" s="81">
        <f t="shared" ca="1" si="863"/>
        <v>0</v>
      </c>
      <c r="BQ197" s="64"/>
      <c r="BR197" s="80" t="s">
        <v>79</v>
      </c>
      <c r="BS197" s="81">
        <f t="shared" ca="1" si="864"/>
        <v>0</v>
      </c>
      <c r="BT197" s="64"/>
      <c r="BU197" s="80" t="s">
        <v>79</v>
      </c>
      <c r="BV197" s="81">
        <f t="shared" ca="1" si="865"/>
        <v>0</v>
      </c>
      <c r="BW197" s="64"/>
      <c r="BX197" s="80" t="s">
        <v>1320</v>
      </c>
      <c r="BY197" s="81">
        <f t="shared" ca="1" si="866"/>
        <v>0</v>
      </c>
      <c r="BZ197" s="64"/>
      <c r="CA197" s="80" t="s">
        <v>79</v>
      </c>
      <c r="CB197" s="81">
        <f t="shared" ca="1" si="867"/>
        <v>0</v>
      </c>
      <c r="CC197" s="64"/>
      <c r="CD197" s="80" t="s">
        <v>79</v>
      </c>
      <c r="CE197" s="81">
        <f t="shared" ca="1" si="868"/>
        <v>0</v>
      </c>
      <c r="CF197" s="64"/>
      <c r="CG197" s="80" t="s">
        <v>79</v>
      </c>
      <c r="CH197" s="81">
        <f t="shared" ca="1" si="869"/>
        <v>0</v>
      </c>
      <c r="CI197" s="64"/>
      <c r="CJ197" s="80" t="s">
        <v>79</v>
      </c>
      <c r="CK197" s="81">
        <f t="shared" ca="1" si="870"/>
        <v>0</v>
      </c>
      <c r="CL197" s="64"/>
      <c r="CM197" s="80" t="s">
        <v>79</v>
      </c>
      <c r="CN197" s="81">
        <f t="shared" ca="1" si="871"/>
        <v>0</v>
      </c>
      <c r="CO197" s="64"/>
      <c r="CP197" s="80" t="s">
        <v>79</v>
      </c>
      <c r="CQ197" s="81">
        <f t="shared" ca="1" si="872"/>
        <v>0</v>
      </c>
      <c r="CR197" s="64"/>
      <c r="CS197" s="80" t="s">
        <v>79</v>
      </c>
      <c r="CT197" s="81">
        <f t="shared" ca="1" si="873"/>
        <v>0</v>
      </c>
      <c r="CU197" s="64"/>
      <c r="CV197" s="80" t="s">
        <v>79</v>
      </c>
      <c r="CW197" s="81">
        <f t="shared" ca="1" si="874"/>
        <v>0</v>
      </c>
      <c r="CX197" s="64"/>
      <c r="CY197" s="80" t="s">
        <v>79</v>
      </c>
      <c r="CZ197" s="81">
        <f t="shared" ca="1" si="875"/>
        <v>0</v>
      </c>
      <c r="DA197" s="64"/>
      <c r="DB197" s="80" t="s">
        <v>79</v>
      </c>
      <c r="DC197" s="81">
        <f t="shared" ca="1" si="876"/>
        <v>0</v>
      </c>
      <c r="DD197" s="64"/>
      <c r="DE197" s="80" t="s">
        <v>79</v>
      </c>
      <c r="DF197" s="81">
        <f t="shared" ca="1" si="877"/>
        <v>0</v>
      </c>
      <c r="DG197" s="64"/>
      <c r="DH197" s="80" t="s">
        <v>79</v>
      </c>
      <c r="DI197" s="81">
        <f t="shared" ca="1" si="878"/>
        <v>0</v>
      </c>
      <c r="DJ197" s="64"/>
      <c r="DK197" s="80" t="s">
        <v>79</v>
      </c>
      <c r="DL197" s="81">
        <f t="shared" ca="1" si="879"/>
        <v>0</v>
      </c>
      <c r="DM197" s="64"/>
      <c r="DN197" s="795" t="s">
        <v>79</v>
      </c>
      <c r="DO197" s="81">
        <f t="shared" ca="1" si="880"/>
        <v>0</v>
      </c>
      <c r="DP197" s="64"/>
      <c r="DQ197" s="795" t="s">
        <v>79</v>
      </c>
      <c r="DR197" s="81">
        <f t="shared" ca="1" si="881"/>
        <v>0</v>
      </c>
      <c r="DS197" s="64"/>
      <c r="DT197" s="80" t="s">
        <v>1320</v>
      </c>
      <c r="DU197" s="81">
        <f t="shared" ca="1" si="882"/>
        <v>0</v>
      </c>
      <c r="DV197" s="64"/>
      <c r="DW197" s="80" t="s">
        <v>79</v>
      </c>
      <c r="DX197" s="81">
        <f t="shared" ca="1" si="883"/>
        <v>0</v>
      </c>
      <c r="DY197" s="64"/>
      <c r="DZ197" s="80" t="s">
        <v>79</v>
      </c>
      <c r="EA197" s="81">
        <f t="shared" ca="1" si="884"/>
        <v>0</v>
      </c>
      <c r="EB197" s="64"/>
      <c r="EC197" s="80" t="s">
        <v>79</v>
      </c>
      <c r="ED197" s="81">
        <f t="shared" ca="1" si="885"/>
        <v>0</v>
      </c>
      <c r="EE197" s="64"/>
      <c r="EF197" s="80" t="s">
        <v>79</v>
      </c>
      <c r="EG197" s="81">
        <f t="shared" ca="1" si="886"/>
        <v>0</v>
      </c>
      <c r="EH197" s="64"/>
      <c r="EI197" s="80" t="s">
        <v>79</v>
      </c>
      <c r="EJ197" s="81">
        <f t="shared" ca="1" si="887"/>
        <v>0</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28</v>
      </c>
      <c r="U198" s="65"/>
      <c r="V198" s="84"/>
      <c r="W198" s="71">
        <f t="shared" ref="W198" ca="1" si="898">SUM(W182:W197)</f>
        <v>24</v>
      </c>
      <c r="X198" s="65"/>
      <c r="Y198" s="84"/>
      <c r="Z198" s="71">
        <f t="shared" ref="Z198" ca="1" si="899">SUM(Z182:Z197)</f>
        <v>24</v>
      </c>
      <c r="AA198" s="65"/>
      <c r="AB198" s="84"/>
      <c r="AC198" s="71">
        <f t="shared" ref="AC198" ca="1" si="900">SUM(AC182:AC197)</f>
        <v>28</v>
      </c>
      <c r="AD198" s="65"/>
      <c r="AE198" s="84"/>
      <c r="AF198" s="71">
        <f t="shared" ref="AF198" ca="1" si="901">SUM(AF182:AF197)</f>
        <v>40</v>
      </c>
      <c r="AG198" s="65"/>
      <c r="AH198" s="84"/>
      <c r="AI198" s="71">
        <f t="shared" ref="AI198" ca="1" si="902">SUM(AI182:AI197)</f>
        <v>36</v>
      </c>
      <c r="AJ198" s="65"/>
      <c r="AK198" s="84"/>
      <c r="AL198" s="71">
        <f t="shared" ref="AL198" ca="1" si="903">SUM(AL182:AL197)</f>
        <v>16</v>
      </c>
      <c r="AM198" s="65"/>
      <c r="AN198" s="84"/>
      <c r="AO198" s="71">
        <f t="shared" ref="AO198" ca="1" si="904">SUM(AO182:AO197)</f>
        <v>28</v>
      </c>
      <c r="AP198" s="65"/>
      <c r="AQ198" s="84"/>
      <c r="AR198" s="71">
        <f t="shared" ref="AR198" ca="1" si="905">SUM(AR182:AR197)</f>
        <v>36</v>
      </c>
      <c r="AS198" s="65"/>
      <c r="AT198" s="84"/>
      <c r="AU198" s="71">
        <f t="shared" ref="AU198" ca="1" si="906">SUM(AU182:AU197)</f>
        <v>20</v>
      </c>
      <c r="AV198" s="65"/>
      <c r="AW198" s="84"/>
      <c r="AX198" s="71">
        <f t="shared" ref="AX198" ca="1" si="907">SUM(AX182:AX197)</f>
        <v>20</v>
      </c>
      <c r="AY198" s="65"/>
      <c r="AZ198" s="84"/>
      <c r="BA198" s="71">
        <f t="shared" ref="BA198" ca="1" si="908">SUM(BA182:BA197)</f>
        <v>24</v>
      </c>
      <c r="BB198" s="65"/>
      <c r="BC198" s="84"/>
      <c r="BD198" s="71">
        <f t="shared" ref="BD198" ca="1" si="909">SUM(BD182:BD197)</f>
        <v>24</v>
      </c>
      <c r="BE198" s="65"/>
      <c r="BF198" s="84"/>
      <c r="BG198" s="71">
        <f t="shared" ref="BG198" ca="1" si="910">SUM(BG182:BG197)</f>
        <v>32</v>
      </c>
      <c r="BH198" s="65"/>
      <c r="BI198" s="84"/>
      <c r="BJ198" s="71">
        <f t="shared" ref="BJ198" ca="1" si="911">SUM(BJ182:BJ197)</f>
        <v>28</v>
      </c>
      <c r="BK198" s="65"/>
      <c r="BL198" s="84"/>
      <c r="BM198" s="71">
        <f t="shared" ref="BM198" ca="1" si="912">SUM(BM182:BM197)</f>
        <v>32</v>
      </c>
      <c r="BN198" s="65"/>
      <c r="BO198" s="84"/>
      <c r="BP198" s="71">
        <f t="shared" ref="BP198" ca="1" si="913">SUM(BP182:BP197)</f>
        <v>28</v>
      </c>
      <c r="BQ198" s="65"/>
      <c r="BR198" s="84"/>
      <c r="BS198" s="71">
        <f t="shared" ref="BS198" ca="1" si="914">SUM(BS182:BS197)</f>
        <v>28</v>
      </c>
      <c r="BT198" s="65"/>
      <c r="BU198" s="84"/>
      <c r="BV198" s="71">
        <f t="shared" ref="BV198" ca="1" si="915">SUM(BV182:BV197)</f>
        <v>24</v>
      </c>
      <c r="BW198" s="65"/>
      <c r="BX198" s="84"/>
      <c r="BY198" s="71">
        <f t="shared" ref="BY198" ca="1" si="916">SUM(BY182:BY197)</f>
        <v>28</v>
      </c>
      <c r="BZ198" s="65"/>
      <c r="CA198" s="84"/>
      <c r="CB198" s="71">
        <f t="shared" ref="CB198" ca="1" si="917">SUM(CB182:CB197)</f>
        <v>24</v>
      </c>
      <c r="CC198" s="65"/>
      <c r="CD198" s="84"/>
      <c r="CE198" s="71">
        <f t="shared" ref="CE198" ca="1" si="918">SUM(CE182:CE197)</f>
        <v>32</v>
      </c>
      <c r="CF198" s="65"/>
      <c r="CG198" s="84"/>
      <c r="CH198" s="71">
        <f t="shared" ref="CH198" ca="1" si="919">SUM(CH182:CH197)</f>
        <v>28</v>
      </c>
      <c r="CI198" s="65"/>
      <c r="CJ198" s="84"/>
      <c r="CK198" s="71">
        <f t="shared" ref="CK198" ca="1" si="920">SUM(CK182:CK197)</f>
        <v>28</v>
      </c>
      <c r="CL198" s="65"/>
      <c r="CM198" s="84"/>
      <c r="CN198" s="71">
        <f t="shared" ref="CN198" ca="1" si="921">SUM(CN182:CN197)</f>
        <v>24</v>
      </c>
      <c r="CO198" s="65"/>
      <c r="CP198" s="84"/>
      <c r="CQ198" s="71">
        <f t="shared" ref="CQ198" ca="1" si="922">SUM(CQ182:CQ197)</f>
        <v>36</v>
      </c>
      <c r="CR198" s="65"/>
      <c r="CS198" s="84"/>
      <c r="CT198" s="71">
        <f t="shared" ref="CT198" ca="1" si="923">SUM(CT182:CT197)</f>
        <v>32</v>
      </c>
      <c r="CU198" s="65"/>
      <c r="CV198" s="84"/>
      <c r="CW198" s="71">
        <f t="shared" ref="CW198" ca="1" si="924">SUM(CW182:CW197)</f>
        <v>28</v>
      </c>
      <c r="CX198" s="65"/>
      <c r="CY198" s="84"/>
      <c r="CZ198" s="71">
        <f t="shared" ref="CZ198" ca="1" si="925">SUM(CZ182:CZ197)</f>
        <v>28</v>
      </c>
      <c r="DA198" s="65"/>
      <c r="DB198" s="84"/>
      <c r="DC198" s="71">
        <f t="shared" ref="DC198" ca="1" si="926">SUM(DC182:DC197)</f>
        <v>32</v>
      </c>
      <c r="DD198" s="65"/>
      <c r="DE198" s="84"/>
      <c r="DF198" s="71">
        <f t="shared" ref="DF198" ca="1" si="927">SUM(DF182:DF197)</f>
        <v>28</v>
      </c>
      <c r="DG198" s="65"/>
      <c r="DH198" s="84"/>
      <c r="DI198" s="71">
        <f t="shared" ref="DI198" ca="1" si="928">SUM(DI182:DI197)</f>
        <v>24</v>
      </c>
      <c r="DJ198" s="65"/>
      <c r="DK198" s="84"/>
      <c r="DL198" s="71">
        <f t="shared" ref="DL198" ca="1" si="929">SUM(DL182:DL197)</f>
        <v>28</v>
      </c>
      <c r="DM198" s="65"/>
      <c r="DN198" s="796"/>
      <c r="DO198" s="71">
        <f t="shared" ref="DO198" ca="1" si="930">SUM(DO182:DO197)</f>
        <v>28</v>
      </c>
      <c r="DP198" s="65"/>
      <c r="DQ198" s="796"/>
      <c r="DR198" s="71">
        <f t="shared" ref="DR198" ca="1" si="931">SUM(DR182:DR197)</f>
        <v>20</v>
      </c>
      <c r="DS198" s="65"/>
      <c r="DT198" s="84"/>
      <c r="DU198" s="71">
        <f t="shared" ref="DU198" ca="1" si="932">SUM(DU182:DU197)</f>
        <v>28</v>
      </c>
      <c r="DV198" s="65"/>
      <c r="DW198" s="84"/>
      <c r="DX198" s="71">
        <f t="shared" ref="DX198" ca="1" si="933">SUM(DX182:DX197)</f>
        <v>24</v>
      </c>
      <c r="DY198" s="65"/>
      <c r="DZ198" s="84"/>
      <c r="EA198" s="71">
        <f t="shared" ref="EA198" ca="1" si="934">SUM(EA182:EA197)</f>
        <v>32</v>
      </c>
      <c r="EB198" s="65"/>
      <c r="EC198" s="84"/>
      <c r="ED198" s="71">
        <f t="shared" ref="ED198" ca="1" si="935">SUM(ED182:ED197)</f>
        <v>24</v>
      </c>
      <c r="EE198" s="65"/>
      <c r="EF198" s="84"/>
      <c r="EG198" s="71">
        <f t="shared" ref="EG198" ca="1" si="936">SUM(EG182:EG197)</f>
        <v>24</v>
      </c>
      <c r="EH198" s="65"/>
      <c r="EI198" s="84"/>
      <c r="EJ198" s="71">
        <f t="shared" ref="EJ198" ca="1" si="937">SUM(EJ182:EJ197)</f>
        <v>28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 ca="1">CONCATENATE(WORLDCUP!AF120,"-",WORLDCUP!AA120)</f>
        <v>Marruecos-Canadá</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 ca="1">CONCATENATE(WORLDCUP!AA120,"-",WORLDCUP!AF120)</f>
        <v>Canadá-Marruecos</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 ca="1">CONCATENATE(WORLDCUP!AF121,"-",WORLDCUP!AA121)</f>
        <v>Francia-Paraguay</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 ca="1">CONCATENATE(WORLDCUP!AA121,"-",WORLDCUP!AF121)</f>
        <v>Paraguay-Francia</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0</v>
      </c>
      <c r="B202" s="25">
        <f>WORLDCUP!AC122</f>
        <v>0</v>
      </c>
      <c r="C202" s="25" t="str">
        <f ca="1">CONCATENATE(WORLDCUP!AF122,"-",WORLDCUP!AA122)</f>
        <v>Noruega-Brasil</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 ca="1">CONCATENATE(WORLDCUP!AA122,"-",WORLDCUP!AF122)</f>
        <v>Brasil-Noruega</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0</v>
      </c>
      <c r="B203" s="25">
        <f>WORLDCUP!AC123</f>
        <v>0</v>
      </c>
      <c r="C203" s="25" t="str">
        <f ca="1">CONCATENATE(WORLDCUP!AF123,"-",WORLDCUP!AA123)</f>
        <v>Inglaterra-México</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 ca="1">CONCATENATE(WORLDCUP!AA123,"-",WORLDCUP!AF123)</f>
        <v>México-Inglaterra</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0</v>
      </c>
      <c r="B205" s="25">
        <f>WORLDCUP!AC125</f>
        <v>0</v>
      </c>
      <c r="C205" s="25" t="str">
        <f ca="1">CONCATENATE(WORLDCUP!AF125,"-",WORLDCUP!AA125)</f>
        <v>Bélgica-Estados Unidos</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 ca="1">CONCATENATE(WORLDCUP!AA125,"-",WORLDCUP!AF125)</f>
        <v>Estados Unidos-Bélgica</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13</v>
      </c>
      <c r="T263" s="25"/>
      <c r="U263" s="25"/>
      <c r="V263" s="25">
        <f ca="1">RANK(V264,OFFSET($S$264,0,0,1,$D$5*3),0)</f>
        <v>31</v>
      </c>
      <c r="W263" s="25"/>
      <c r="X263" s="25"/>
      <c r="Y263" s="25">
        <f ca="1">RANK(Y264,OFFSET($S$264,0,0,1,$D$5*3),0)</f>
        <v>34</v>
      </c>
      <c r="Z263" s="25"/>
      <c r="AA263" s="25"/>
      <c r="AB263" s="25">
        <f ca="1">RANK(AB264,OFFSET($S$264,0,0,1,$D$5*3),0)</f>
        <v>22</v>
      </c>
      <c r="AC263" s="25"/>
      <c r="AD263" s="25"/>
      <c r="AE263" s="25">
        <f ca="1">RANK(AE264,OFFSET($S$264,0,0,1,$D$5*3),0)</f>
        <v>2</v>
      </c>
      <c r="AF263" s="25"/>
      <c r="AG263" s="25"/>
      <c r="AH263" s="25">
        <f ca="1">RANK(AH264,OFFSET($S$264,0,0,1,$D$5*3),0)</f>
        <v>6</v>
      </c>
      <c r="AI263" s="25"/>
      <c r="AJ263" s="25"/>
      <c r="AK263" s="25">
        <f ca="1">RANK(AK264,OFFSET($S$264,0,0,1,$D$5*3),0)</f>
        <v>39</v>
      </c>
      <c r="AL263" s="25"/>
      <c r="AM263" s="25"/>
      <c r="AN263" s="25">
        <f ca="1">RANK(AN264,OFFSET($S$264,0,0,1,$D$5*3),0)</f>
        <v>4</v>
      </c>
      <c r="AO263" s="25"/>
      <c r="AP263" s="25"/>
      <c r="AQ263" s="25">
        <f ca="1">RANK(AQ264,OFFSET($S$264,0,0,1,$D$5*3),0)</f>
        <v>3</v>
      </c>
      <c r="AR263" s="25"/>
      <c r="AS263" s="25"/>
      <c r="AT263" s="25">
        <f ca="1">RANK(AT264,OFFSET($S$264,0,0,1,$D$5*3),0)</f>
        <v>40</v>
      </c>
      <c r="AU263" s="25"/>
      <c r="AV263" s="25"/>
      <c r="AW263" s="25">
        <f ca="1">RANK(AW264,OFFSET($S$264,0,0,1,$D$5*3),0)</f>
        <v>26</v>
      </c>
      <c r="AX263" s="25"/>
      <c r="AY263" s="25"/>
      <c r="AZ263" s="25">
        <f ca="1">RANK(AZ264,OFFSET($S$264,0,0,1,$D$5*3),0)</f>
        <v>27</v>
      </c>
      <c r="BA263" s="25"/>
      <c r="BB263" s="25"/>
      <c r="BC263" s="25">
        <f ca="1">RANK(BC264,OFFSET($S$264,0,0,1,$D$5*3),0)</f>
        <v>36</v>
      </c>
      <c r="BD263" s="25"/>
      <c r="BE263" s="25"/>
      <c r="BF263" s="25">
        <f ca="1">RANK(BF264,OFFSET($S$264,0,0,1,$D$5*3),0)</f>
        <v>14</v>
      </c>
      <c r="BG263" s="25"/>
      <c r="BH263" s="25"/>
      <c r="BI263" s="25">
        <f ca="1">RANK(BI264,OFFSET($S$264,0,0,1,$D$5*3),0)</f>
        <v>20</v>
      </c>
      <c r="BJ263" s="25"/>
      <c r="BK263" s="25"/>
      <c r="BL263" s="25">
        <f ca="1">RANK(BL264,OFFSET($S$264,0,0,1,$D$5*3),0)</f>
        <v>1</v>
      </c>
      <c r="BM263" s="25"/>
      <c r="BN263" s="25"/>
      <c r="BO263" s="25">
        <f ca="1">RANK(BO264,OFFSET($S$264,0,0,1,$D$5*3),0)</f>
        <v>15</v>
      </c>
      <c r="BP263" s="25"/>
      <c r="BQ263" s="25"/>
      <c r="BR263" s="25">
        <f ca="1">RANK(BR264,OFFSET($S$264,0,0,1,$D$5*3),0)</f>
        <v>16</v>
      </c>
      <c r="BS263" s="25"/>
      <c r="BT263" s="25"/>
      <c r="BU263" s="25">
        <f ca="1">RANK(BU264,OFFSET($S$264,0,0,1,$D$5*3),0)</f>
        <v>35</v>
      </c>
      <c r="BV263" s="25"/>
      <c r="BW263" s="25"/>
      <c r="BX263" s="25">
        <f ca="1">RANK(BX264,OFFSET($S$264,0,0,1,$D$5*3),0)</f>
        <v>23</v>
      </c>
      <c r="BY263" s="25"/>
      <c r="BZ263" s="25"/>
      <c r="CA263" s="25">
        <f ca="1">RANK(CA264,OFFSET($S$264,0,0,1,$D$5*3),0)</f>
        <v>37</v>
      </c>
      <c r="CB263" s="25"/>
      <c r="CC263" s="25"/>
      <c r="CD263" s="25">
        <f ca="1">RANK(CD264,OFFSET($S$264,0,0,1,$D$5*3),0)</f>
        <v>17</v>
      </c>
      <c r="CE263" s="25"/>
      <c r="CF263" s="25"/>
      <c r="CG263" s="25">
        <f ca="1">RANK(CG264,OFFSET($S$264,0,0,1,$D$5*3),0)</f>
        <v>9</v>
      </c>
      <c r="CH263" s="25"/>
      <c r="CI263" s="25"/>
      <c r="CJ263" s="25">
        <f ca="1">RANK(CJ264,OFFSET($S$264,0,0,1,$D$5*3),0)</f>
        <v>10</v>
      </c>
      <c r="CK263" s="25"/>
      <c r="CL263" s="25"/>
      <c r="CM263" s="25">
        <f ca="1">RANK(CM264,OFFSET($S$264,0,0,1,$D$5*3),0)</f>
        <v>38</v>
      </c>
      <c r="CN263" s="25"/>
      <c r="CO263" s="25"/>
      <c r="CP263" s="25">
        <f ca="1">RANK(CP264,OFFSET($S$264,0,0,1,$D$5*3),0)</f>
        <v>7</v>
      </c>
      <c r="CQ263" s="25"/>
      <c r="CR263" s="25"/>
      <c r="CS263" s="25">
        <f ca="1">RANK(CS264,OFFSET($S$264,0,0,1,$D$5*3),0)</f>
        <v>11</v>
      </c>
      <c r="CT263" s="25"/>
      <c r="CU263" s="25"/>
      <c r="CV263" s="25">
        <f ca="1">RANK(CV264,OFFSET($S$264,0,0,1,$D$5*3),0)</f>
        <v>12</v>
      </c>
      <c r="CW263" s="25"/>
      <c r="CX263" s="25"/>
      <c r="CY263" s="25">
        <f ca="1">RANK(CY264,OFFSET($S$264,0,0,1,$D$5*3),0)</f>
        <v>28</v>
      </c>
      <c r="CZ263" s="25"/>
      <c r="DA263" s="25"/>
      <c r="DB263" s="25">
        <f ca="1">RANK(DB264,OFFSET($S$264,0,0,1,$D$5*3),0)</f>
        <v>5</v>
      </c>
      <c r="DC263" s="25"/>
      <c r="DD263" s="25"/>
      <c r="DE263" s="25">
        <f ca="1">RANK(DE264,OFFSET($S$264,0,0,1,$D$5*3),0)</f>
        <v>18</v>
      </c>
      <c r="DF263" s="25"/>
      <c r="DG263" s="25"/>
      <c r="DH263" s="25">
        <f ca="1">RANK(DH264,OFFSET($S$264,0,0,1,$D$5*3),0)</f>
        <v>21</v>
      </c>
      <c r="DI263" s="25"/>
      <c r="DJ263" s="25"/>
      <c r="DK263" s="25">
        <f ca="1">RANK(DK264,OFFSET($S$264,0,0,1,$D$5*3),0)</f>
        <v>32</v>
      </c>
      <c r="DL263" s="25"/>
      <c r="DM263" s="25"/>
      <c r="DN263" s="25">
        <f ca="1">RANK(DN264,OFFSET($S$264,0,0,1,$D$5*3),0)</f>
        <v>24</v>
      </c>
      <c r="DO263" s="25"/>
      <c r="DP263" s="25"/>
      <c r="DQ263" s="25">
        <f ca="1">RANK(DQ264,OFFSET($S$264,0,0,1,$D$5*3),0)</f>
        <v>41</v>
      </c>
      <c r="DR263" s="25"/>
      <c r="DS263" s="25"/>
      <c r="DT263" s="25">
        <f ca="1">RANK(DT264,OFFSET($S$264,0,0,1,$D$5*3),0)</f>
        <v>29</v>
      </c>
      <c r="DU263" s="25"/>
      <c r="DV263" s="25"/>
      <c r="DW263" s="25">
        <f ca="1">RANK(DW264,OFFSET($S$264,0,0,1,$D$5*3),0)</f>
        <v>30</v>
      </c>
      <c r="DX263" s="25"/>
      <c r="DY263" s="25"/>
      <c r="DZ263" s="25">
        <f ca="1">RANK(DZ264,OFFSET($S$264,0,0,1,$D$5*3),0)</f>
        <v>8</v>
      </c>
      <c r="EA263" s="25"/>
      <c r="EB263" s="25"/>
      <c r="EC263" s="25">
        <f ca="1">RANK(EC264,OFFSET($S$264,0,0,1,$D$5*3),0)</f>
        <v>25</v>
      </c>
      <c r="ED263" s="25"/>
      <c r="EE263" s="25"/>
      <c r="EF263" s="25">
        <f ca="1">RANK(EF264,OFFSET($S$264,0,0,1,$D$5*3),0)</f>
        <v>33</v>
      </c>
      <c r="EG263" s="25"/>
      <c r="EH263" s="25"/>
      <c r="EI263" s="25">
        <f ca="1">RANK(EI264,OFFSET($S$264,0,0,1,$D$5*3),0)</f>
        <v>19</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32.998100000000001</v>
      </c>
      <c r="T264" s="25"/>
      <c r="U264" s="25"/>
      <c r="V264" s="25">
        <f t="shared" ref="V264" ca="1" si="2626">V266-(COLUMN()/10000)</f>
        <v>27.997800000000002</v>
      </c>
      <c r="W264" s="25"/>
      <c r="X264" s="25"/>
      <c r="Y264" s="25">
        <f t="shared" ref="Y264" ca="1" si="2627">Y266-(COLUMN()/10000)</f>
        <v>25.997499999999999</v>
      </c>
      <c r="Z264" s="25"/>
      <c r="AA264" s="25"/>
      <c r="AB264" s="25">
        <f t="shared" ref="AB264" ca="1" si="2628">AB266-(COLUMN()/10000)</f>
        <v>29.997199999999999</v>
      </c>
      <c r="AC264" s="25"/>
      <c r="AD264" s="25"/>
      <c r="AE264" s="25">
        <f t="shared" ref="AE264" ca="1" si="2629">AE266-(COLUMN()/10000)</f>
        <v>40.996899999999997</v>
      </c>
      <c r="AF264" s="25"/>
      <c r="AG264" s="25"/>
      <c r="AH264" s="25">
        <f t="shared" ref="AH264" ca="1" si="2630">AH266-(COLUMN()/10000)</f>
        <v>37.996600000000001</v>
      </c>
      <c r="AI264" s="25"/>
      <c r="AJ264" s="25"/>
      <c r="AK264" s="25">
        <f t="shared" ref="AK264" ca="1" si="2631">AK266-(COLUMN()/10000)</f>
        <v>22.996300000000002</v>
      </c>
      <c r="AL264" s="25"/>
      <c r="AM264" s="25"/>
      <c r="AN264" s="25">
        <f t="shared" ref="AN264" ca="1" si="2632">AN266-(COLUMN()/10000)</f>
        <v>38.996000000000002</v>
      </c>
      <c r="AO264" s="25"/>
      <c r="AP264" s="25"/>
      <c r="AQ264" s="25">
        <f t="shared" ref="AQ264" ca="1" si="2633">AQ266-(COLUMN()/10000)</f>
        <v>40.995699999999999</v>
      </c>
      <c r="AR264" s="25"/>
      <c r="AS264" s="25"/>
      <c r="AT264" s="25">
        <f t="shared" ref="AT264" ca="1" si="2634">AT266-(COLUMN()/10000)</f>
        <v>21.9954</v>
      </c>
      <c r="AU264" s="25"/>
      <c r="AV264" s="25"/>
      <c r="AW264" s="25">
        <f t="shared" ref="AW264" ca="1" si="2635">AW266-(COLUMN()/10000)</f>
        <v>28.995100000000001</v>
      </c>
      <c r="AX264" s="25"/>
      <c r="AY264" s="25"/>
      <c r="AZ264" s="25">
        <f t="shared" ref="AZ264" ca="1" si="2636">AZ266-(COLUMN()/10000)</f>
        <v>28.994800000000001</v>
      </c>
      <c r="BA264" s="25"/>
      <c r="BB264" s="25"/>
      <c r="BC264" s="25">
        <f t="shared" ref="BC264" ca="1" si="2637">BC266-(COLUMN()/10000)</f>
        <v>23.994499999999999</v>
      </c>
      <c r="BD264" s="25"/>
      <c r="BE264" s="25"/>
      <c r="BF264" s="25">
        <f t="shared" ref="BF264" ca="1" si="2638">BF266-(COLUMN()/10000)</f>
        <v>32.994199999999999</v>
      </c>
      <c r="BG264" s="25"/>
      <c r="BH264" s="25"/>
      <c r="BI264" s="25">
        <f t="shared" ref="BI264" ca="1" si="2639">BI266-(COLUMN()/10000)</f>
        <v>30.9939</v>
      </c>
      <c r="BJ264" s="25"/>
      <c r="BK264" s="25"/>
      <c r="BL264" s="25">
        <f t="shared" ref="BL264" ca="1" si="2640">BL266-(COLUMN()/10000)</f>
        <v>43.993600000000001</v>
      </c>
      <c r="BM264" s="25"/>
      <c r="BN264" s="25"/>
      <c r="BO264" s="25">
        <f t="shared" ref="BO264" ca="1" si="2641">BO266-(COLUMN()/10000)</f>
        <v>32.993299999999998</v>
      </c>
      <c r="BP264" s="25"/>
      <c r="BQ264" s="25"/>
      <c r="BR264" s="25">
        <f t="shared" ref="BR264" ca="1" si="2642">BR266-(COLUMN()/10000)</f>
        <v>32.993000000000002</v>
      </c>
      <c r="BS264" s="25"/>
      <c r="BT264" s="25"/>
      <c r="BU264" s="25">
        <f t="shared" ref="BU264" ca="1" si="2643">BU266-(COLUMN()/10000)</f>
        <v>25.992699999999999</v>
      </c>
      <c r="BV264" s="25"/>
      <c r="BW264" s="25"/>
      <c r="BX264" s="25">
        <f t="shared" ref="BX264" ca="1" si="2644">BX266-(COLUMN()/10000)</f>
        <v>29.9924</v>
      </c>
      <c r="BY264" s="25"/>
      <c r="BZ264" s="25"/>
      <c r="CA264" s="25">
        <f t="shared" ref="CA264" ca="1" si="2645">CA266-(COLUMN()/10000)</f>
        <v>23.992100000000001</v>
      </c>
      <c r="CB264" s="25"/>
      <c r="CC264" s="25"/>
      <c r="CD264" s="25">
        <f t="shared" ref="CD264" ca="1" si="2646">CD266-(COLUMN()/10000)</f>
        <v>32.991799999999998</v>
      </c>
      <c r="CE264" s="25"/>
      <c r="CF264" s="25"/>
      <c r="CG264" s="25">
        <f t="shared" ref="CG264" ca="1" si="2647">CG266-(COLUMN()/10000)</f>
        <v>35.991500000000002</v>
      </c>
      <c r="CH264" s="25"/>
      <c r="CI264" s="25"/>
      <c r="CJ264" s="25">
        <f t="shared" ref="CJ264" ca="1" si="2648">CJ266-(COLUMN()/10000)</f>
        <v>35.991199999999999</v>
      </c>
      <c r="CK264" s="25"/>
      <c r="CL264" s="25"/>
      <c r="CM264" s="25">
        <f t="shared" ref="CM264" ca="1" si="2649">CM266-(COLUMN()/10000)</f>
        <v>23.9909</v>
      </c>
      <c r="CN264" s="25"/>
      <c r="CO264" s="25"/>
      <c r="CP264" s="25">
        <f t="shared" ref="CP264" ca="1" si="2650">CP266-(COLUMN()/10000)</f>
        <v>36.990600000000001</v>
      </c>
      <c r="CQ264" s="25"/>
      <c r="CR264" s="25"/>
      <c r="CS264" s="25">
        <f t="shared" ref="CS264" ca="1" si="2651">CS266-(COLUMN()/10000)</f>
        <v>33.990299999999998</v>
      </c>
      <c r="CT264" s="25"/>
      <c r="CU264" s="25"/>
      <c r="CV264" s="25">
        <f t="shared" ref="CV264" ca="1" si="2652">CV266-(COLUMN()/10000)</f>
        <v>33.99</v>
      </c>
      <c r="CW264" s="25"/>
      <c r="CX264" s="25"/>
      <c r="CY264" s="25">
        <f t="shared" ref="CY264" ca="1" si="2653">CY266-(COLUMN()/10000)</f>
        <v>28.989699999999999</v>
      </c>
      <c r="CZ264" s="25"/>
      <c r="DA264" s="25"/>
      <c r="DB264" s="25">
        <f t="shared" ref="DB264" ca="1" si="2654">DB266-(COLUMN()/10000)</f>
        <v>38.989400000000003</v>
      </c>
      <c r="DC264" s="25"/>
      <c r="DD264" s="25"/>
      <c r="DE264" s="25">
        <f t="shared" ref="DE264" ca="1" si="2655">DE266-(COLUMN()/10000)</f>
        <v>32.989100000000001</v>
      </c>
      <c r="DF264" s="25"/>
      <c r="DG264" s="25"/>
      <c r="DH264" s="25">
        <f t="shared" ref="DH264" ca="1" si="2656">DH266-(COLUMN()/10000)</f>
        <v>30.988800000000001</v>
      </c>
      <c r="DI264" s="25"/>
      <c r="DJ264" s="25"/>
      <c r="DK264" s="25">
        <f t="shared" ref="DK264" ca="1" si="2657">DK266-(COLUMN()/10000)</f>
        <v>27.988499999999998</v>
      </c>
      <c r="DL264" s="25"/>
      <c r="DM264" s="25"/>
      <c r="DN264" s="25">
        <f t="shared" ref="DN264" ca="1" si="2658">DN266-(COLUMN()/10000)</f>
        <v>29.988199999999999</v>
      </c>
      <c r="DO264" s="25"/>
      <c r="DP264" s="25"/>
      <c r="DQ264" s="25">
        <f t="shared" ref="DQ264" ca="1" si="2659">DQ266-(COLUMN()/10000)</f>
        <v>19.9879</v>
      </c>
      <c r="DR264" s="25"/>
      <c r="DS264" s="25"/>
      <c r="DT264" s="25">
        <f t="shared" ref="DT264" ca="1" si="2660">DT266-(COLUMN()/10000)</f>
        <v>28.9876</v>
      </c>
      <c r="DU264" s="25"/>
      <c r="DV264" s="25"/>
      <c r="DW264" s="25">
        <f t="shared" ref="DW264" ca="1" si="2661">DW266-(COLUMN()/10000)</f>
        <v>28.987300000000001</v>
      </c>
      <c r="DX264" s="25"/>
      <c r="DY264" s="25"/>
      <c r="DZ264" s="25">
        <f t="shared" ref="DZ264" ca="1" si="2662">DZ266-(COLUMN()/10000)</f>
        <v>36.987000000000002</v>
      </c>
      <c r="EA264" s="25"/>
      <c r="EB264" s="25"/>
      <c r="EC264" s="25">
        <f t="shared" ref="EC264" ca="1" si="2663">EC266-(COLUMN()/10000)</f>
        <v>29.986699999999999</v>
      </c>
      <c r="ED264" s="25"/>
      <c r="EE264" s="25"/>
      <c r="EF264" s="25">
        <f t="shared" ref="EF264" ca="1" si="2664">EF266-(COLUMN()/10000)</f>
        <v>26.9864</v>
      </c>
      <c r="EG264" s="25"/>
      <c r="EH264" s="25"/>
      <c r="EI264" s="25">
        <f t="shared" ref="EI264" ca="1" si="2665">EI266-(COLUMN()/10000)</f>
        <v>31.9861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13</v>
      </c>
      <c r="T265" s="25"/>
      <c r="U265" s="25"/>
      <c r="V265" s="25">
        <f ca="1">RANK(V266,OFFSET($S$266,0,0,1,$D$5*3),0)</f>
        <v>31</v>
      </c>
      <c r="W265" s="25"/>
      <c r="X265" s="25"/>
      <c r="Y265" s="25">
        <f ca="1">RANK(Y266,OFFSET($S$266,0,0,1,$D$5*3),0)</f>
        <v>34</v>
      </c>
      <c r="Z265" s="25"/>
      <c r="AA265" s="25"/>
      <c r="AB265" s="25">
        <f ca="1">RANK(AB266,OFFSET($S$266,0,0,1,$D$5*3),0)</f>
        <v>22</v>
      </c>
      <c r="AC265" s="25"/>
      <c r="AD265" s="25"/>
      <c r="AE265" s="25">
        <f ca="1">RANK(AE266,OFFSET($S$266,0,0,1,$D$5*3),0)</f>
        <v>2</v>
      </c>
      <c r="AF265" s="25"/>
      <c r="AG265" s="25"/>
      <c r="AH265" s="25">
        <f ca="1">RANK(AH266,OFFSET($S$266,0,0,1,$D$5*3),0)</f>
        <v>6</v>
      </c>
      <c r="AI265" s="25"/>
      <c r="AJ265" s="25"/>
      <c r="AK265" s="25">
        <f ca="1">RANK(AK266,OFFSET($S$266,0,0,1,$D$5*3),0)</f>
        <v>39</v>
      </c>
      <c r="AL265" s="25"/>
      <c r="AM265" s="25"/>
      <c r="AN265" s="25">
        <f ca="1">RANK(AN266,OFFSET($S$266,0,0,1,$D$5*3),0)</f>
        <v>4</v>
      </c>
      <c r="AO265" s="25"/>
      <c r="AP265" s="25"/>
      <c r="AQ265" s="25">
        <f ca="1">RANK(AQ266,OFFSET($S$266,0,0,1,$D$5*3),0)</f>
        <v>2</v>
      </c>
      <c r="AR265" s="25"/>
      <c r="AS265" s="25"/>
      <c r="AT265" s="25">
        <f ca="1">RANK(AT266,OFFSET($S$266,0,0,1,$D$5*3),0)</f>
        <v>40</v>
      </c>
      <c r="AU265" s="25"/>
      <c r="AV265" s="25"/>
      <c r="AW265" s="25">
        <f ca="1">RANK(AW266,OFFSET($S$266,0,0,1,$D$5*3),0)</f>
        <v>26</v>
      </c>
      <c r="AX265" s="25"/>
      <c r="AY265" s="25"/>
      <c r="AZ265" s="25">
        <f ca="1">RANK(AZ266,OFFSET($S$266,0,0,1,$D$5*3),0)</f>
        <v>26</v>
      </c>
      <c r="BA265" s="25"/>
      <c r="BB265" s="25"/>
      <c r="BC265" s="25">
        <f ca="1">RANK(BC266,OFFSET($S$266,0,0,1,$D$5*3),0)</f>
        <v>36</v>
      </c>
      <c r="BD265" s="25"/>
      <c r="BE265" s="25"/>
      <c r="BF265" s="25">
        <f ca="1">RANK(BF266,OFFSET($S$266,0,0,1,$D$5*3),0)</f>
        <v>13</v>
      </c>
      <c r="BG265" s="25"/>
      <c r="BH265" s="25"/>
      <c r="BI265" s="25">
        <f ca="1">RANK(BI266,OFFSET($S$266,0,0,1,$D$5*3),0)</f>
        <v>20</v>
      </c>
      <c r="BJ265" s="25"/>
      <c r="BK265" s="25"/>
      <c r="BL265" s="25">
        <f ca="1">RANK(BL266,OFFSET($S$266,0,0,1,$D$5*3),0)</f>
        <v>1</v>
      </c>
      <c r="BM265" s="25"/>
      <c r="BN265" s="25"/>
      <c r="BO265" s="25">
        <f ca="1">RANK(BO266,OFFSET($S$266,0,0,1,$D$5*3),0)</f>
        <v>13</v>
      </c>
      <c r="BP265" s="25"/>
      <c r="BQ265" s="25"/>
      <c r="BR265" s="25">
        <f ca="1">RANK(BR266,OFFSET($S$266,0,0,1,$D$5*3),0)</f>
        <v>13</v>
      </c>
      <c r="BS265" s="25"/>
      <c r="BT265" s="25"/>
      <c r="BU265" s="25">
        <f ca="1">RANK(BU266,OFFSET($S$266,0,0,1,$D$5*3),0)</f>
        <v>34</v>
      </c>
      <c r="BV265" s="25"/>
      <c r="BW265" s="25"/>
      <c r="BX265" s="25">
        <f ca="1">RANK(BX266,OFFSET($S$266,0,0,1,$D$5*3),0)</f>
        <v>22</v>
      </c>
      <c r="BY265" s="25"/>
      <c r="BZ265" s="25"/>
      <c r="CA265" s="25">
        <f ca="1">RANK(CA266,OFFSET($S$266,0,0,1,$D$5*3),0)</f>
        <v>36</v>
      </c>
      <c r="CB265" s="25"/>
      <c r="CC265" s="25"/>
      <c r="CD265" s="25">
        <f ca="1">RANK(CD266,OFFSET($S$266,0,0,1,$D$5*3),0)</f>
        <v>13</v>
      </c>
      <c r="CE265" s="25"/>
      <c r="CF265" s="25"/>
      <c r="CG265" s="25">
        <f ca="1">RANK(CG266,OFFSET($S$266,0,0,1,$D$5*3),0)</f>
        <v>9</v>
      </c>
      <c r="CH265" s="25"/>
      <c r="CI265" s="25"/>
      <c r="CJ265" s="25">
        <f ca="1">RANK(CJ266,OFFSET($S$266,0,0,1,$D$5*3),0)</f>
        <v>9</v>
      </c>
      <c r="CK265" s="25"/>
      <c r="CL265" s="25"/>
      <c r="CM265" s="25">
        <f ca="1">RANK(CM266,OFFSET($S$266,0,0,1,$D$5*3),0)</f>
        <v>36</v>
      </c>
      <c r="CN265" s="25"/>
      <c r="CO265" s="25"/>
      <c r="CP265" s="25">
        <f ca="1">RANK(CP266,OFFSET($S$266,0,0,1,$D$5*3),0)</f>
        <v>7</v>
      </c>
      <c r="CQ265" s="25"/>
      <c r="CR265" s="25"/>
      <c r="CS265" s="25">
        <f ca="1">RANK(CS266,OFFSET($S$266,0,0,1,$D$5*3),0)</f>
        <v>11</v>
      </c>
      <c r="CT265" s="25"/>
      <c r="CU265" s="25"/>
      <c r="CV265" s="25">
        <f ca="1">RANK(CV266,OFFSET($S$266,0,0,1,$D$5*3),0)</f>
        <v>11</v>
      </c>
      <c r="CW265" s="25"/>
      <c r="CX265" s="25"/>
      <c r="CY265" s="25">
        <f ca="1">RANK(CY266,OFFSET($S$266,0,0,1,$D$5*3),0)</f>
        <v>26</v>
      </c>
      <c r="CZ265" s="25"/>
      <c r="DA265" s="25"/>
      <c r="DB265" s="25">
        <f ca="1">RANK(DB266,OFFSET($S$266,0,0,1,$D$5*3),0)</f>
        <v>4</v>
      </c>
      <c r="DC265" s="25"/>
      <c r="DD265" s="25"/>
      <c r="DE265" s="25">
        <f ca="1">RANK(DE266,OFFSET($S$266,0,0,1,$D$5*3),0)</f>
        <v>13</v>
      </c>
      <c r="DF265" s="25"/>
      <c r="DG265" s="25"/>
      <c r="DH265" s="25">
        <f ca="1">RANK(DH266,OFFSET($S$266,0,0,1,$D$5*3),0)</f>
        <v>20</v>
      </c>
      <c r="DI265" s="25"/>
      <c r="DJ265" s="25"/>
      <c r="DK265" s="25">
        <f ca="1">RANK(DK266,OFFSET($S$266,0,0,1,$D$5*3),0)</f>
        <v>31</v>
      </c>
      <c r="DL265" s="25"/>
      <c r="DM265" s="25"/>
      <c r="DN265" s="25">
        <f ca="1">RANK(DN266,OFFSET($S$266,0,0,1,$D$5*3),0)</f>
        <v>22</v>
      </c>
      <c r="DO265" s="25"/>
      <c r="DP265" s="25"/>
      <c r="DQ265" s="25">
        <f ca="1">RANK(DQ266,OFFSET($S$266,0,0,1,$D$5*3),0)</f>
        <v>41</v>
      </c>
      <c r="DR265" s="25"/>
      <c r="DS265" s="25"/>
      <c r="DT265" s="25">
        <f ca="1">RANK(DT266,OFFSET($S$266,0,0,1,$D$5*3),0)</f>
        <v>26</v>
      </c>
      <c r="DU265" s="25"/>
      <c r="DV265" s="25"/>
      <c r="DW265" s="25">
        <f ca="1">RANK(DW266,OFFSET($S$266,0,0,1,$D$5*3),0)</f>
        <v>26</v>
      </c>
      <c r="DX265" s="25"/>
      <c r="DY265" s="25"/>
      <c r="DZ265" s="25">
        <f ca="1">RANK(DZ266,OFFSET($S$266,0,0,1,$D$5*3),0)</f>
        <v>7</v>
      </c>
      <c r="EA265" s="25"/>
      <c r="EB265" s="25"/>
      <c r="EC265" s="25">
        <f ca="1">RANK(EC266,OFFSET($S$266,0,0,1,$D$5*3),0)</f>
        <v>22</v>
      </c>
      <c r="ED265" s="25"/>
      <c r="EE265" s="25"/>
      <c r="EF265" s="25">
        <f ca="1">RANK(EF266,OFFSET($S$266,0,0,1,$D$5*3),0)</f>
        <v>33</v>
      </c>
      <c r="EG265" s="25"/>
      <c r="EH265" s="25"/>
      <c r="EI265" s="25">
        <f ca="1">RANK(EI266,OFFSET($S$266,0,0,1,$D$5*3),0)</f>
        <v>19</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33</v>
      </c>
      <c r="T266" s="25"/>
      <c r="U266" s="25"/>
      <c r="V266" s="25">
        <f ca="1">SUMIFS((W6:W259),$H$6:$H$259,$M$262)</f>
        <v>28</v>
      </c>
      <c r="W266" s="25"/>
      <c r="X266" s="25"/>
      <c r="Y266" s="25">
        <f ca="1">SUMIFS((Z6:Z259),$H$6:$H$259,$M$262)</f>
        <v>26</v>
      </c>
      <c r="Z266" s="25"/>
      <c r="AA266" s="25"/>
      <c r="AB266" s="25">
        <f ca="1">SUMIFS((AC6:AC259),$H$6:$H$259,$M$262)</f>
        <v>30</v>
      </c>
      <c r="AC266" s="25"/>
      <c r="AD266" s="25"/>
      <c r="AE266" s="25">
        <f ca="1">SUMIFS((AF6:AF259),$H$6:$H$259,$M$262)</f>
        <v>41</v>
      </c>
      <c r="AF266" s="25"/>
      <c r="AG266" s="25"/>
      <c r="AH266" s="25">
        <f ca="1">SUMIFS((AI6:AI259),$H$6:$H$259,$M$262)</f>
        <v>38</v>
      </c>
      <c r="AI266" s="25"/>
      <c r="AJ266" s="25"/>
      <c r="AK266" s="25">
        <f ca="1">SUMIFS((AL6:AL259),$H$6:$H$259,$M$262)</f>
        <v>23</v>
      </c>
      <c r="AL266" s="25"/>
      <c r="AM266" s="25"/>
      <c r="AN266" s="25">
        <f ca="1">SUMIFS((AO6:AO259),$H$6:$H$259,$M$262)</f>
        <v>39</v>
      </c>
      <c r="AO266" s="25"/>
      <c r="AP266" s="25"/>
      <c r="AQ266" s="25">
        <f ca="1">SUMIFS((AR6:AR259),$H$6:$H$259,$M$262)</f>
        <v>41</v>
      </c>
      <c r="AR266" s="25"/>
      <c r="AS266" s="25"/>
      <c r="AT266" s="25">
        <f ca="1">SUMIFS((AU6:AU259),$H$6:$H$259,$M$262)</f>
        <v>22</v>
      </c>
      <c r="AU266" s="25"/>
      <c r="AV266" s="25"/>
      <c r="AW266" s="25">
        <f ca="1">SUMIFS((AX6:AX259),$H$6:$H$259,$M$262)</f>
        <v>29</v>
      </c>
      <c r="AX266" s="25"/>
      <c r="AY266" s="25"/>
      <c r="AZ266" s="25">
        <f ca="1">SUMIFS((BA6:BA259),$H$6:$H$259,$M$262)</f>
        <v>29</v>
      </c>
      <c r="BA266" s="25"/>
      <c r="BB266" s="25"/>
      <c r="BC266" s="25">
        <f ca="1">SUMIFS((BD6:BD259),$H$6:$H$259,$M$262)</f>
        <v>24</v>
      </c>
      <c r="BD266" s="25"/>
      <c r="BE266" s="25"/>
      <c r="BF266" s="25">
        <f ca="1">SUMIFS((BG6:BG259),$H$6:$H$259,$M$262)</f>
        <v>33</v>
      </c>
      <c r="BG266" s="25"/>
      <c r="BH266" s="25"/>
      <c r="BI266" s="25">
        <f ca="1">SUMIFS((BJ6:BJ259),$H$6:$H$259,$M$262)</f>
        <v>31</v>
      </c>
      <c r="BJ266" s="25"/>
      <c r="BK266" s="25"/>
      <c r="BL266" s="25">
        <f ca="1">SUMIFS((BM6:BM259),$H$6:$H$259,$M$262)</f>
        <v>44</v>
      </c>
      <c r="BM266" s="25"/>
      <c r="BN266" s="25"/>
      <c r="BO266" s="25">
        <f ca="1">SUMIFS((BP6:BP259),$H$6:$H$259,$M$262)</f>
        <v>33</v>
      </c>
      <c r="BP266" s="25"/>
      <c r="BQ266" s="25"/>
      <c r="BR266" s="25">
        <f ca="1">SUMIFS((BS6:BS259),$H$6:$H$259,$M$262)</f>
        <v>33</v>
      </c>
      <c r="BS266" s="25"/>
      <c r="BT266" s="25"/>
      <c r="BU266" s="25">
        <f ca="1">SUMIFS((BV6:BV259),$H$6:$H$259,$M$262)</f>
        <v>26</v>
      </c>
      <c r="BV266" s="25"/>
      <c r="BW266" s="25"/>
      <c r="BX266" s="25">
        <f ca="1">SUMIFS((BY6:BY259),$H$6:$H$259,$M$262)</f>
        <v>30</v>
      </c>
      <c r="BY266" s="25"/>
      <c r="BZ266" s="25"/>
      <c r="CA266" s="25">
        <f ca="1">SUMIFS((CB6:CB259),$H$6:$H$259,$M$262)</f>
        <v>24</v>
      </c>
      <c r="CB266" s="25"/>
      <c r="CC266" s="25"/>
      <c r="CD266" s="25">
        <f ca="1">SUMIFS((CE6:CE259),$H$6:$H$259,$M$262)</f>
        <v>33</v>
      </c>
      <c r="CE266" s="25"/>
      <c r="CF266" s="25"/>
      <c r="CG266" s="25">
        <f ca="1">SUMIFS((CH6:CH259),$H$6:$H$259,$M$262)</f>
        <v>36</v>
      </c>
      <c r="CH266" s="25"/>
      <c r="CI266" s="25"/>
      <c r="CJ266" s="25">
        <f ca="1">SUMIFS((CK6:CK259),$H$6:$H$259,$M$262)</f>
        <v>36</v>
      </c>
      <c r="CK266" s="25"/>
      <c r="CL266" s="25"/>
      <c r="CM266" s="25">
        <f ca="1">SUMIFS((CN6:CN259),$H$6:$H$259,$M$262)</f>
        <v>24</v>
      </c>
      <c r="CN266" s="25"/>
      <c r="CO266" s="25"/>
      <c r="CP266" s="25">
        <f ca="1">SUMIFS((CQ6:CQ259),$H$6:$H$259,$M$262)</f>
        <v>37</v>
      </c>
      <c r="CQ266" s="25"/>
      <c r="CR266" s="25"/>
      <c r="CS266" s="25">
        <f ca="1">SUMIFS((CT6:CT259),$H$6:$H$259,$M$262)</f>
        <v>34</v>
      </c>
      <c r="CT266" s="25"/>
      <c r="CU266" s="25"/>
      <c r="CV266" s="25">
        <f ca="1">SUMIFS((CW6:CW259),$H$6:$H$259,$M$262)</f>
        <v>34</v>
      </c>
      <c r="CW266" s="25"/>
      <c r="CX266" s="25"/>
      <c r="CY266" s="25">
        <f ca="1">SUMIFS((CZ6:CZ259),$H$6:$H$259,$M$262)</f>
        <v>29</v>
      </c>
      <c r="CZ266" s="25"/>
      <c r="DA266" s="25"/>
      <c r="DB266" s="25">
        <f ca="1">SUMIFS((DC6:DC259),$H$6:$H$259,$M$262)</f>
        <v>39</v>
      </c>
      <c r="DC266" s="25"/>
      <c r="DD266" s="25"/>
      <c r="DE266" s="25">
        <f ca="1">SUMIFS((DF6:DF259),$H$6:$H$259,$M$262)</f>
        <v>33</v>
      </c>
      <c r="DF266" s="25"/>
      <c r="DG266" s="25"/>
      <c r="DH266" s="25">
        <f ca="1">SUMIFS((DI6:DI259),$H$6:$H$259,$M$262)</f>
        <v>31</v>
      </c>
      <c r="DI266" s="25"/>
      <c r="DJ266" s="25"/>
      <c r="DK266" s="25">
        <f ca="1">SUMIFS((DL6:DL259),$H$6:$H$259,$M$262)</f>
        <v>28</v>
      </c>
      <c r="DL266" s="25"/>
      <c r="DM266" s="25"/>
      <c r="DN266" s="25">
        <f ca="1">SUMIFS((DO6:DO259),$H$6:$H$259,$M$262)</f>
        <v>30</v>
      </c>
      <c r="DO266" s="25"/>
      <c r="DP266" s="25"/>
      <c r="DQ266" s="25">
        <f ca="1">SUMIFS((DR6:DR259),$H$6:$H$259,$M$262)</f>
        <v>20</v>
      </c>
      <c r="DR266" s="25"/>
      <c r="DS266" s="25"/>
      <c r="DT266" s="25">
        <f ca="1">SUMIFS((DU6:DU259),$H$6:$H$259,$M$262)</f>
        <v>29</v>
      </c>
      <c r="DU266" s="25"/>
      <c r="DV266" s="25"/>
      <c r="DW266" s="25">
        <f ca="1">SUMIFS((DX6:DX259),$H$6:$H$259,$M$262)</f>
        <v>29</v>
      </c>
      <c r="DX266" s="25"/>
      <c r="DY266" s="25"/>
      <c r="DZ266" s="25">
        <f ca="1">SUMIFS((EA6:EA259),$H$6:$H$259,$M$262)</f>
        <v>37</v>
      </c>
      <c r="EA266" s="25"/>
      <c r="EB266" s="25"/>
      <c r="EC266" s="25">
        <f ca="1">SUMIFS((ED6:ED259),$H$6:$H$259,$M$262)</f>
        <v>30</v>
      </c>
      <c r="ED266" s="25"/>
      <c r="EE266" s="25"/>
      <c r="EF266" s="25">
        <f ca="1">SUMIFS((EG6:EG259),$H$6:$H$259,$M$262)</f>
        <v>27</v>
      </c>
      <c r="EG266" s="25"/>
      <c r="EH266" s="25"/>
      <c r="EI266" s="25">
        <f ca="1">SUMIFS((EJ6:EJ259),$H$6:$H$259,$M$262)</f>
        <v>32</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279</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5</v>
      </c>
      <c r="I5" s="92" cm="1">
        <f t="array" aca="1" ref="I5" ca="1">IFERROR(INDEX(Rango_Admin_Clas_Total,I$2,MATCH($A5,Rango_Admin_Clas_Primera,0)+1),"-")</f>
        <v>36</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270</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12</v>
      </c>
      <c r="I6" s="92" cm="1">
        <f t="array" aca="1" ref="I6" ca="1">IFERROR(INDEX(Rango_Admin_Clas_Total,I$2,MATCH($A6,Rango_Admin_Clas_Primera,0)+1),"-")</f>
        <v>32</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269</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7</v>
      </c>
      <c r="I7" s="92" cm="1">
        <f t="array" aca="1" ref="I7" ca="1">IFERROR(INDEX(Rango_Admin_Clas_Total,I$2,MATCH($A7,Rango_Admin_Clas_Primera,0)+1),"-")</f>
        <v>32</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262</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5</v>
      </c>
      <c r="I8" s="92" cm="1">
        <f t="array" aca="1" ref="I8" ca="1">IFERROR(INDEX(Rango_Admin_Clas_Total,I$2,MATCH($A8,Rango_Admin_Clas_Primera,0)+1),"-")</f>
        <v>24</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Kurtischamp</v>
      </c>
      <c r="D9" s="91">
        <f ca="1">IFERROR(HLOOKUP(A9,Rango_Admin_Clas,4,FALSE),"-")</f>
        <v>258</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2</v>
      </c>
      <c r="I9" s="92" cm="1">
        <f t="array" aca="1" ref="I9" ca="1">IFERROR(INDEX(Rango_Admin_Clas_Total,I$2,MATCH($A9,Rango_Admin_Clas_Primera,0)+1),"-")</f>
        <v>32</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William Hartley</v>
      </c>
      <c r="D10" s="91">
        <f ca="1">IFERROR(HLOOKUP(A10,Rango_Admin_Clas,4,FALSE),"-")</f>
        <v>255</v>
      </c>
      <c r="E10" s="92" cm="1">
        <f t="array" aca="1" ref="E10" ca="1">IFERROR(INDEX(Rango_Admin_Clas_Total,E$2,MATCH($A10,Rango_Admin_Clas_Primera,0)+1),"-")</f>
        <v>74</v>
      </c>
      <c r="F10" s="92" cm="1">
        <f t="array" aca="1" ref="F10" ca="1">IFERROR(INDEX(Rango_Admin_Clas_Total,F$2,MATCH($A10,Rango_Admin_Clas_Primera,0)+1),"-")</f>
        <v>60</v>
      </c>
      <c r="G10" s="92" cm="1">
        <f t="array" aca="1" ref="G10" ca="1">IFERROR(INDEX(Rango_Admin_Clas_Total,G$2,MATCH($A10,Rango_Admin_Clas_Primera,0)+1),"-")</f>
        <v>84</v>
      </c>
      <c r="H10" s="92" cm="1">
        <f t="array" aca="1" ref="H10" ca="1">IFERROR(INDEX(Rango_Admin_Clas_Total,H$2,MATCH($A10,Rango_Admin_Clas_Primera,0)+1),"-")</f>
        <v>1</v>
      </c>
      <c r="I10" s="92" cm="1">
        <f t="array" aca="1" ref="I10" ca="1">IFERROR(INDEX(Rango_Admin_Clas_Total,I$2,MATCH($A10,Rango_Admin_Clas_Primera,0)+1),"-")</f>
        <v>36</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Jaime Lafuente</v>
      </c>
      <c r="D11" s="91">
        <f ca="1">IFERROR(HLOOKUP(A11,Rango_Admin_Clas,4,FALSE),"-")</f>
        <v>254</v>
      </c>
      <c r="E11" s="92" cm="1">
        <f t="array" aca="1" ref="E11" ca="1">IFERROR(INDEX(Rango_Admin_Clas_Total,E$2,MATCH($A11,Rango_Admin_Clas_Primera,0)+1),"-")</f>
        <v>87</v>
      </c>
      <c r="F11" s="92" cm="1">
        <f t="array" aca="1" ref="F11" ca="1">IFERROR(INDEX(Rango_Admin_Clas_Total,F$2,MATCH($A11,Rango_Admin_Clas_Primera,0)+1),"-")</f>
        <v>62</v>
      </c>
      <c r="G11" s="92" cm="1">
        <f t="array" aca="1" ref="G11" ca="1">IFERROR(INDEX(Rango_Admin_Clas_Total,G$2,MATCH($A11,Rango_Admin_Clas_Primera,0)+1),"-")</f>
        <v>75</v>
      </c>
      <c r="H11" s="92" cm="1">
        <f t="array" aca="1" ref="H11" ca="1">IFERROR(INDEX(Rango_Admin_Clas_Total,H$2,MATCH($A11,Rango_Admin_Clas_Primera,0)+1),"-")</f>
        <v>2</v>
      </c>
      <c r="I11" s="92" cm="1">
        <f t="array" aca="1" ref="I11" ca="1">IFERROR(INDEX(Rango_Admin_Clas_Total,I$2,MATCH($A11,Rango_Admin_Clas_Primera,0)+1),"-")</f>
        <v>28</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KIRICOCHO</v>
      </c>
      <c r="D12" s="91">
        <f ca="1">IFERROR(HLOOKUP(A12,Rango_Admin_Clas,4,FALSE),"-")</f>
        <v>254</v>
      </c>
      <c r="E12" s="92" cm="1">
        <f t="array" aca="1" ref="E12" ca="1">IFERROR(INDEX(Rango_Admin_Clas_Total,E$2,MATCH($A12,Rango_Admin_Clas_Primera,0)+1),"-")</f>
        <v>80</v>
      </c>
      <c r="F12" s="92" cm="1">
        <f t="array" aca="1" ref="F12" ca="1">IFERROR(INDEX(Rango_Admin_Clas_Total,F$2,MATCH($A12,Rango_Admin_Clas_Primera,0)+1),"-")</f>
        <v>62</v>
      </c>
      <c r="G12" s="92" cm="1">
        <f t="array" aca="1" ref="G12" ca="1">IFERROR(INDEX(Rango_Admin_Clas_Total,G$2,MATCH($A12,Rango_Admin_Clas_Primera,0)+1),"-")</f>
        <v>78</v>
      </c>
      <c r="H12" s="92" cm="1">
        <f t="array" aca="1" ref="H12" ca="1">IFERROR(INDEX(Rango_Admin_Clas_Total,H$2,MATCH($A12,Rango_Admin_Clas_Primera,0)+1),"-")</f>
        <v>6</v>
      </c>
      <c r="I12" s="92" cm="1">
        <f t="array" aca="1" ref="I12" ca="1">IFERROR(INDEX(Rango_Admin_Clas_Total,I$2,MATCH($A12,Rango_Admin_Clas_Primera,0)+1),"-")</f>
        <v>28</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Antonio Zulueta Ramos</v>
      </c>
      <c r="D13" s="91">
        <f ca="1">IFERROR(HLOOKUP(A13,Rango_Admin_Clas,4,FALSE),"-")</f>
        <v>253</v>
      </c>
      <c r="E13" s="92" cm="1">
        <f t="array" aca="1" ref="E13" ca="1">IFERROR(INDEX(Rango_Admin_Clas_Total,E$2,MATCH($A13,Rango_Admin_Clas_Primera,0)+1),"-")</f>
        <v>72</v>
      </c>
      <c r="F13" s="92" cm="1">
        <f t="array" aca="1" ref="F13" ca="1">IFERROR(INDEX(Rango_Admin_Clas_Total,F$2,MATCH($A13,Rango_Admin_Clas_Primera,0)+1),"-")</f>
        <v>64</v>
      </c>
      <c r="G13" s="92" cm="1">
        <f t="array" aca="1" ref="G13" ca="1">IFERROR(INDEX(Rango_Admin_Clas_Total,G$2,MATCH($A13,Rango_Admin_Clas_Primera,0)+1),"-")</f>
        <v>78</v>
      </c>
      <c r="H13" s="92" cm="1">
        <f t="array" aca="1" ref="H13" ca="1">IFERROR(INDEX(Rango_Admin_Clas_Total,H$2,MATCH($A13,Rango_Admin_Clas_Primera,0)+1),"-")</f>
        <v>11</v>
      </c>
      <c r="I13" s="92" cm="1">
        <f t="array" aca="1" ref="I13" ca="1">IFERROR(INDEX(Rango_Admin_Clas_Total,I$2,MATCH($A13,Rango_Admin_Clas_Primera,0)+1),"-")</f>
        <v>28</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Pastor</v>
      </c>
      <c r="D14" s="91">
        <f ca="1">IFERROR(HLOOKUP(A14,Rango_Admin_Clas,4,FALSE),"-")</f>
        <v>250</v>
      </c>
      <c r="E14" s="92" cm="1">
        <f t="array" aca="1" ref="E14" ca="1">IFERROR(INDEX(Rango_Admin_Clas_Total,E$2,MATCH($A14,Rango_Admin_Clas_Primera,0)+1),"-")</f>
        <v>70</v>
      </c>
      <c r="F14" s="92" cm="1">
        <f t="array" aca="1" ref="F14" ca="1">IFERROR(INDEX(Rango_Admin_Clas_Total,F$2,MATCH($A14,Rango_Admin_Clas_Primera,0)+1),"-")</f>
        <v>64</v>
      </c>
      <c r="G14" s="92" cm="1">
        <f t="array" aca="1" ref="G14" ca="1">IFERROR(INDEX(Rango_Admin_Clas_Total,G$2,MATCH($A14,Rango_Admin_Clas_Primera,0)+1),"-")</f>
        <v>75</v>
      </c>
      <c r="H14" s="92" cm="1">
        <f t="array" aca="1" ref="H14" ca="1">IFERROR(INDEX(Rango_Admin_Clas_Total,H$2,MATCH($A14,Rango_Admin_Clas_Primera,0)+1),"-")</f>
        <v>1</v>
      </c>
      <c r="I14" s="92" cm="1">
        <f t="array" aca="1" ref="I14" ca="1">IFERROR(INDEX(Rango_Admin_Clas_Total,I$2,MATCH($A14,Rango_Admin_Clas_Primera,0)+1),"-")</f>
        <v>40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Alexander Schulte</v>
      </c>
      <c r="D15" s="91">
        <f ca="1">IFERROR(HLOOKUP(A15,Rango_Admin_Clas,4,FALSE),"-")</f>
        <v>250</v>
      </c>
      <c r="E15" s="92" cm="1">
        <f t="array" aca="1" ref="E15" ca="1">IFERROR(INDEX(Rango_Admin_Clas_Total,E$2,MATCH($A15,Rango_Admin_Clas_Primera,0)+1),"-")</f>
        <v>78</v>
      </c>
      <c r="F15" s="92" cm="1">
        <f t="array" aca="1" ref="F15" ca="1">IFERROR(INDEX(Rango_Admin_Clas_Total,F$2,MATCH($A15,Rango_Admin_Clas_Primera,0)+1),"-")</f>
        <v>62</v>
      </c>
      <c r="G15" s="92" cm="1">
        <f t="array" aca="1" ref="G15" ca="1">IFERROR(INDEX(Rango_Admin_Clas_Total,G$2,MATCH($A15,Rango_Admin_Clas_Primera,0)+1),"-")</f>
        <v>78</v>
      </c>
      <c r="H15" s="92" cm="1">
        <f t="array" aca="1" ref="H15" ca="1">IFERROR(INDEX(Rango_Admin_Clas_Total,H$2,MATCH($A15,Rango_Admin_Clas_Primera,0)+1),"-")</f>
        <v>4</v>
      </c>
      <c r="I15" s="92" cm="1">
        <f t="array" aca="1" ref="I15" ca="1">IFERROR(INDEX(Rango_Admin_Clas_Total,I$2,MATCH($A15,Rango_Admin_Clas_Primera,0)+1),"-")</f>
        <v>28</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MURO 204</v>
      </c>
      <c r="D16" s="91">
        <f ca="1">IFERROR(HLOOKUP(A16,Rango_Admin_Clas,4,FALSE),"-")</f>
        <v>247</v>
      </c>
      <c r="E16" s="92" cm="1">
        <f t="array" aca="1" ref="E16" ca="1">IFERROR(INDEX(Rango_Admin_Clas_Total,E$2,MATCH($A16,Rango_Admin_Clas_Primera,0)+1),"-")</f>
        <v>77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5</v>
      </c>
      <c r="I16" s="92" cm="1">
        <f t="array" aca="1" ref="I16" ca="1">IFERROR(INDEX(Rango_Admin_Clas_Total,I$2,MATCH($A16,Rango_Admin_Clas_Primera,0)+1),"-")</f>
        <v>28</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12</v>
      </c>
      <c r="C17" s="18" t="str">
        <f ca="1">IFERROR(HLOOKUP(A17,Rango_Admin_Clas,5,FALSE),"-")</f>
        <v>Lucas Oriol</v>
      </c>
      <c r="D17" s="91">
        <f ca="1">IFERROR(HLOOKUP(A17,Rango_Admin_Clas,4,FALSE),"-")</f>
        <v>247</v>
      </c>
      <c r="E17" s="92" cm="1">
        <f t="array" aca="1" ref="E17" ca="1">IFERROR(INDEX(Rango_Admin_Clas_Total,E$2,MATCH($A17,Rango_Admin_Clas_Primera,0)+1),"-")</f>
        <v>83</v>
      </c>
      <c r="F17" s="92" cm="1">
        <f t="array" aca="1" ref="F17" ca="1">IFERROR(INDEX(Rango_Admin_Clas_Total,F$2,MATCH($A17,Rango_Admin_Clas_Primera,0)+1),"-")</f>
        <v>56</v>
      </c>
      <c r="G17" s="92" cm="1">
        <f t="array" aca="1" ref="G17" ca="1">IFERROR(INDEX(Rango_Admin_Clas_Total,G$2,MATCH($A17,Rango_Admin_Clas_Primera,0)+1),"-")</f>
        <v>72</v>
      </c>
      <c r="H17" s="92" cm="1">
        <f t="array" aca="1" ref="H17" ca="1">IFERROR(INDEX(Rango_Admin_Clas_Total,H$2,MATCH($A17,Rango_Admin_Clas_Primera,0)+1),"-")</f>
        <v>8</v>
      </c>
      <c r="I17" s="92" cm="1">
        <f t="array" aca="1" ref="I17" ca="1">IFERROR(INDEX(Rango_Admin_Clas_Total,I$2,MATCH($A17,Rango_Admin_Clas_Primera,0)+1),"-")</f>
        <v>28</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JCU</v>
      </c>
      <c r="D18" s="91">
        <f ca="1">IFERROR(HLOOKUP(A18,Rango_Admin_Clas,4,FALSE),"-")</f>
        <v>246</v>
      </c>
      <c r="E18" s="92" cm="1">
        <f t="array" aca="1" ref="E18" ca="1">IFERROR(INDEX(Rango_Admin_Clas_Total,E$2,MATCH($A18,Rango_Admin_Clas_Primera,0)+1),"-")</f>
        <v>75</v>
      </c>
      <c r="F18" s="92" cm="1">
        <f t="array" aca="1" ref="F18" ca="1">IFERROR(INDEX(Rango_Admin_Clas_Total,F$2,MATCH($A18,Rango_Admin_Clas_Primera,0)+1),"-")</f>
        <v>66</v>
      </c>
      <c r="G18" s="92" cm="1">
        <f t="array" aca="1" ref="G18" ca="1">IFERROR(INDEX(Rango_Admin_Clas_Total,G$2,MATCH($A18,Rango_Admin_Clas_Primera,0)+1),"-")</f>
        <v>72</v>
      </c>
      <c r="H18" s="92" cm="1">
        <f t="array" aca="1" ref="H18" ca="1">IFERROR(INDEX(Rango_Admin_Clas_Total,H$2,MATCH($A18,Rango_Admin_Clas_Primera,0)+1),"-")</f>
        <v>1</v>
      </c>
      <c r="I18" s="92" cm="1">
        <f t="array" aca="1" ref="I18" ca="1">IFERROR(INDEX(Rango_Admin_Clas_Total,I$2,MATCH($A18,Rango_Admin_Clas_Primera,0)+1),"-")</f>
        <v>32</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Alejandro Lafuente</v>
      </c>
      <c r="D19" s="91">
        <f ca="1">IFERROR(HLOOKUP(A19,Rango_Admin_Clas,4,FALSE),"-")</f>
        <v>243</v>
      </c>
      <c r="E19" s="92" cm="1">
        <f t="array" aca="1" ref="E19" ca="1">IFERROR(INDEX(Rango_Admin_Clas_Total,E$2,MATCH($A19,Rango_Admin_Clas_Primera,0)+1),"-")</f>
        <v>75</v>
      </c>
      <c r="F19" s="92" cm="1">
        <f t="array" aca="1" ref="F19" ca="1">IFERROR(INDEX(Rango_Admin_Clas_Total,F$2,MATCH($A19,Rango_Admin_Clas_Primera,0)+1),"-")</f>
        <v>64</v>
      </c>
      <c r="G19" s="92" cm="1">
        <f t="array" aca="1" ref="G19" ca="1">IFERROR(INDEX(Rango_Admin_Clas_Total,G$2,MATCH($A19,Rango_Admin_Clas_Primera,0)+1),"-")</f>
        <v>78</v>
      </c>
      <c r="H19" s="92" cm="1">
        <f t="array" aca="1" ref="H19" ca="1">IFERROR(INDEX(Rango_Admin_Clas_Total,H$2,MATCH($A19,Rango_Admin_Clas_Primera,0)+1),"-")</f>
        <v>2</v>
      </c>
      <c r="I19" s="92" cm="1">
        <f t="array" aca="1" ref="I19" ca="1">IFERROR(INDEX(Rango_Admin_Clas_Total,I$2,MATCH($A19,Rango_Admin_Clas_Primera,0)+1),"-")</f>
        <v>24</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Joserra</v>
      </c>
      <c r="D20" s="91">
        <f ca="1">IFERROR(HLOOKUP(A20,Rango_Admin_Clas,4,FALSE),"-")</f>
        <v>243</v>
      </c>
      <c r="E20" s="92" cm="1">
        <f t="array" aca="1" ref="E20" ca="1">IFERROR(INDEX(Rango_Admin_Clas_Total,E$2,MATCH($A20,Rango_Admin_Clas_Primera,0)+1),"-")</f>
        <v>72</v>
      </c>
      <c r="F20" s="92" cm="1">
        <f t="array" aca="1" ref="F20" ca="1">IFERROR(INDEX(Rango_Admin_Clas_Total,F$2,MATCH($A20,Rango_Admin_Clas_Primera,0)+1),"-")</f>
        <v>62</v>
      </c>
      <c r="G20" s="92" cm="1">
        <f t="array" aca="1" ref="G20" ca="1">IFERROR(INDEX(Rango_Admin_Clas_Total,G$2,MATCH($A20,Rango_Admin_Clas_Primera,0)+1),"-")</f>
        <v>78</v>
      </c>
      <c r="H20" s="92" cm="1">
        <f t="array" aca="1" ref="H20" ca="1">IFERROR(INDEX(Rango_Admin_Clas_Total,H$2,MATCH($A20,Rango_Admin_Clas_Primera,0)+1),"-")</f>
        <v>3</v>
      </c>
      <c r="I20" s="92" cm="1">
        <f t="array" aca="1" ref="I20" ca="1">IFERROR(INDEX(Rango_Admin_Clas_Total,I$2,MATCH($A20,Rango_Admin_Clas_Primera,0)+1),"-")</f>
        <v>28</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15</v>
      </c>
      <c r="C21" s="18" t="str">
        <f ca="1">IFERROR(HLOOKUP(A21,Rango_Admin_Clas,5,FALSE),"-")</f>
        <v>Miguel San Martín</v>
      </c>
      <c r="D21" s="91">
        <f ca="1">IFERROR(HLOOKUP(A21,Rango_Admin_Clas,4,FALSE),"-")</f>
        <v>243</v>
      </c>
      <c r="E21" s="92" cm="1">
        <f t="array" aca="1" ref="E21" ca="1">IFERROR(INDEX(Rango_Admin_Clas_Total,E$2,MATCH($A21,Rango_Admin_Clas_Primera,0)+1),"-")</f>
        <v>74</v>
      </c>
      <c r="F21" s="92" cm="1">
        <f t="array" aca="1" ref="F21" ca="1">IFERROR(INDEX(Rango_Admin_Clas_Total,F$2,MATCH($A21,Rango_Admin_Clas_Primera,0)+1),"-")</f>
        <v>58</v>
      </c>
      <c r="G21" s="92" cm="1">
        <f t="array" aca="1" ref="G21" ca="1">IFERROR(INDEX(Rango_Admin_Clas_Total,G$2,MATCH($A21,Rango_Admin_Clas_Primera,0)+1),"-")</f>
        <v>81</v>
      </c>
      <c r="H21" s="92" cm="1">
        <f t="array" aca="1" ref="H21" ca="1">IFERROR(INDEX(Rango_Admin_Clas_Total,H$2,MATCH($A21,Rango_Admin_Clas_Primera,0)+1),"-")</f>
        <v>2</v>
      </c>
      <c r="I21" s="92" cm="1">
        <f t="array" aca="1" ref="I21" ca="1">IFERROR(INDEX(Rango_Admin_Clas_Total,I$2,MATCH($A21,Rango_Admin_Clas_Primera,0)+1),"-")</f>
        <v>28</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15</v>
      </c>
      <c r="C22" s="18" t="str">
        <f ca="1">IFERROR(HLOOKUP(A22,Rango_Admin_Clas,5,FALSE),"-")</f>
        <v>Miguel Suárez-Zuloaga</v>
      </c>
      <c r="D22" s="91">
        <f ca="1">IFERROR(HLOOKUP(A22,Rango_Admin_Clas,4,FALSE),"-")</f>
        <v>243</v>
      </c>
      <c r="E22" s="92" cm="1">
        <f t="array" aca="1" ref="E22" ca="1">IFERROR(INDEX(Rango_Admin_Clas_Total,E$2,MATCH($A22,Rango_Admin_Clas_Primera,0)+1),"-")</f>
        <v>78</v>
      </c>
      <c r="F22" s="92" cm="1">
        <f t="array" aca="1" ref="F22" ca="1">IFERROR(INDEX(Rango_Admin_Clas_Total,F$2,MATCH($A22,Rango_Admin_Clas_Primera,0)+1),"-")</f>
        <v>56</v>
      </c>
      <c r="G22" s="92" cm="1">
        <f t="array" aca="1" ref="G22" ca="1">IFERROR(INDEX(Rango_Admin_Clas_Total,G$2,MATCH($A22,Rango_Admin_Clas_Primera,0)+1),"-")</f>
        <v>78</v>
      </c>
      <c r="H22" s="92" cm="1">
        <f t="array" aca="1" ref="H22" ca="1">IFERROR(INDEX(Rango_Admin_Clas_Total,H$2,MATCH($A22,Rango_Admin_Clas_Primera,0)+1),"-")</f>
        <v>7</v>
      </c>
      <c r="I22" s="92" cm="1">
        <f t="array" aca="1" ref="I22" ca="1">IFERROR(INDEX(Rango_Admin_Clas_Total,I$2,MATCH($A22,Rango_Admin_Clas_Primera,0)+1),"-")</f>
        <v>24</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DIDI</v>
      </c>
      <c r="D23" s="91">
        <f ca="1">IFERROR(HLOOKUP(A23,Rango_Admin_Clas,4,FALSE),"-")</f>
        <v>240</v>
      </c>
      <c r="E23" s="92" cm="1">
        <f t="array" aca="1" ref="E23" ca="1">IFERROR(INDEX(Rango_Admin_Clas_Total,E$2,MATCH($A23,Rango_Admin_Clas_Primera,0)+1),"-")</f>
        <v>67</v>
      </c>
      <c r="F23" s="92" cm="1">
        <f t="array" aca="1" ref="F23" ca="1">IFERROR(INDEX(Rango_Admin_Clas_Total,F$2,MATCH($A23,Rango_Admin_Clas_Primera,0)+1),"-")</f>
        <v>58</v>
      </c>
      <c r="G23" s="92" cm="1">
        <f t="array" aca="1" ref="G23" ca="1">IFERROR(INDEX(Rango_Admin_Clas_Total,G$2,MATCH($A23,Rango_Admin_Clas_Primera,0)+1),"-")</f>
        <v>78</v>
      </c>
      <c r="H23" s="92" cm="1">
        <f t="array" aca="1" ref="H23" ca="1">IFERROR(INDEX(Rango_Admin_Clas_Total,H$2,MATCH($A23,Rango_Admin_Clas_Primera,0)+1),"-")</f>
        <v>5</v>
      </c>
      <c r="I23" s="92" cm="1">
        <f t="array" aca="1" ref="I23" ca="1">IFERROR(INDEX(Rango_Admin_Clas_Total,I$2,MATCH($A23,Rango_Admin_Clas_Primera,0)+1),"-")</f>
        <v>32</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Antonio del Ojo</v>
      </c>
      <c r="D24" s="91">
        <f ca="1">IFERROR(HLOOKUP(A24,Rango_Admin_Clas,4,FALSE),"-")</f>
        <v>239</v>
      </c>
      <c r="E24" s="92" cm="1">
        <f t="array" aca="1" ref="E24" ca="1">IFERROR(INDEX(Rango_Admin_Clas_Total,E$2,MATCH($A24,Rango_Admin_Clas_Primera,0)+1),"-")</f>
        <v>81</v>
      </c>
      <c r="F24" s="92" cm="1">
        <f t="array" aca="1" ref="F24" ca="1">IFERROR(INDEX(Rango_Admin_Clas_Total,F$2,MATCH($A24,Rango_Admin_Clas_Primera,0)+1),"-")</f>
        <v>50</v>
      </c>
      <c r="G24" s="92" cm="1">
        <f t="array" aca="1" ref="G24" ca="1">IFERROR(INDEX(Rango_Admin_Clas_Total,G$2,MATCH($A24,Rango_Admin_Clas_Primera,0)+1),"-")</f>
        <v>75</v>
      </c>
      <c r="H24" s="92" cm="1">
        <f t="array" aca="1" ref="H24" ca="1">IFERROR(INDEX(Rango_Admin_Clas_Total,H$2,MATCH($A24,Rango_Admin_Clas_Primera,0)+1),"-")</f>
        <v>5</v>
      </c>
      <c r="I24" s="92" cm="1">
        <f t="array" aca="1" ref="I24" ca="1">IFERROR(INDEX(Rango_Admin_Clas_Total,I$2,MATCH($A24,Rango_Admin_Clas_Primera,0)+1),"-")</f>
        <v>28</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AD Monchus</v>
      </c>
      <c r="D25" s="91">
        <f ca="1">IFERROR(HLOOKUP(A25,Rango_Admin_Clas,4,FALSE),"-")</f>
        <v>239</v>
      </c>
      <c r="E25" s="92" cm="1">
        <f t="array" aca="1" ref="E25" ca="1">IFERROR(INDEX(Rango_Admin_Clas_Total,E$2,MATCH($A25,Rango_Admin_Clas_Primera,0)+1),"-")</f>
        <v>67</v>
      </c>
      <c r="F25" s="92" cm="1">
        <f t="array" aca="1" ref="F25" ca="1">IFERROR(INDEX(Rango_Admin_Clas_Total,F$2,MATCH($A25,Rango_Admin_Clas_Primera,0)+1),"-")</f>
        <v>64</v>
      </c>
      <c r="G25" s="92" cm="1">
        <f t="array" aca="1" ref="G25" ca="1">IFERROR(INDEX(Rango_Admin_Clas_Total,G$2,MATCH($A25,Rango_Admin_Clas_Primera,0)+1),"-")</f>
        <v>78</v>
      </c>
      <c r="H25" s="92" cm="1">
        <f t="array" aca="1" ref="H25" ca="1">IFERROR(INDEX(Rango_Admin_Clas_Total,H$2,MATCH($A25,Rango_Admin_Clas_Primera,0)+1),"-")</f>
        <v>2</v>
      </c>
      <c r="I25" s="92" cm="1">
        <f t="array" aca="1" ref="I25" ca="1">IFERROR(INDEX(Rango_Admin_Clas_Total,I$2,MATCH($A25,Rango_Admin_Clas_Primera,0)+1),"-")</f>
        <v>28</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Vicuinho</v>
      </c>
      <c r="D26" s="91">
        <f ca="1">IFERROR(HLOOKUP(A26,Rango_Admin_Clas,4,FALSE),"-")</f>
        <v>237</v>
      </c>
      <c r="E26" s="92" cm="1">
        <f t="array" aca="1" ref="E26" ca="1">IFERROR(INDEX(Rango_Admin_Clas_Total,E$2,MATCH($A26,Rango_Admin_Clas_Primera,0)+1),"-")</f>
        <v>63</v>
      </c>
      <c r="F26" s="92" cm="1">
        <f t="array" aca="1" ref="F26" ca="1">IFERROR(INDEX(Rango_Admin_Clas_Total,F$2,MATCH($A26,Rango_Admin_Clas_Primera,0)+1),"-")</f>
        <v>66</v>
      </c>
      <c r="G26" s="92" cm="1">
        <f t="array" aca="1" ref="G26" ca="1">IFERROR(INDEX(Rango_Admin_Clas_Total,G$2,MATCH($A26,Rango_Admin_Clas_Primera,0)+1),"-")</f>
        <v>75</v>
      </c>
      <c r="H26" s="92" cm="1">
        <f t="array" aca="1" ref="H26" ca="1">IFERROR(INDEX(Rango_Admin_Clas_Total,H$2,MATCH($A26,Rango_Admin_Clas_Primera,0)+1),"-")</f>
        <v>5</v>
      </c>
      <c r="I26" s="92" cm="1">
        <f t="array" aca="1" ref="I26" ca="1">IFERROR(INDEX(Rango_Admin_Clas_Total,I$2,MATCH($A26,Rango_Admin_Clas_Primera,0)+1),"-")</f>
        <v>28</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Admin</v>
      </c>
      <c r="D27" s="91">
        <f ca="1">IFERROR(HLOOKUP(A27,Rango_Admin_Clas,4,FALSE),"-")</f>
        <v>236</v>
      </c>
      <c r="E27" s="92" cm="1">
        <f t="array" aca="1" ref="E27" ca="1">IFERROR(INDEX(Rango_Admin_Clas_Total,E$2,MATCH($A27,Rango_Admin_Clas_Primera,0)+1),"-")</f>
        <v>63</v>
      </c>
      <c r="F27" s="92" cm="1">
        <f t="array" aca="1" ref="F27" ca="1">IFERROR(INDEX(Rango_Admin_Clas_Total,F$2,MATCH($A27,Rango_Admin_Clas_Primera,0)+1),"-")</f>
        <v>62</v>
      </c>
      <c r="G27" s="92" cm="1">
        <f t="array" aca="1" ref="G27" ca="1">IFERROR(INDEX(Rango_Admin_Clas_Total,G$2,MATCH($A27,Rango_Admin_Clas_Primera,0)+1),"-")</f>
        <v>78</v>
      </c>
      <c r="H27" s="92" cm="1">
        <f t="array" aca="1" ref="H27" ca="1">IFERROR(INDEX(Rango_Admin_Clas_Total,H$2,MATCH($A27,Rango_Admin_Clas_Primera,0)+1),"-")</f>
        <v>5</v>
      </c>
      <c r="I27" s="92" cm="1">
        <f t="array" aca="1" ref="I27" ca="1">IFERROR(INDEX(Rango_Admin_Clas_Total,I$2,MATCH($A27,Rango_Admin_Clas_Primera,0)+1),"-")</f>
        <v>28</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Guillermo Murciano</v>
      </c>
      <c r="D28" s="91">
        <f ca="1">IFERROR(HLOOKUP(A28,Rango_Admin_Clas,4,FALSE),"-")</f>
        <v>235</v>
      </c>
      <c r="E28" s="92" cm="1">
        <f t="array" aca="1" ref="E28" ca="1">IFERROR(INDEX(Rango_Admin_Clas_Total,E$2,MATCH($A28,Rango_Admin_Clas_Primera,0)+1),"-")</f>
        <v>64</v>
      </c>
      <c r="F28" s="92" cm="1">
        <f t="array" aca="1" ref="F28" ca="1">IFERROR(INDEX(Rango_Admin_Clas_Total,F$2,MATCH($A28,Rango_Admin_Clas_Primera,0)+1),"-")</f>
        <v>64</v>
      </c>
      <c r="G28" s="92" cm="1">
        <f t="array" aca="1" ref="G28" ca="1">IFERROR(INDEX(Rango_Admin_Clas_Total,G$2,MATCH($A28,Rango_Admin_Clas_Primera,0)+1),"-")</f>
        <v>78</v>
      </c>
      <c r="H28" s="92" cm="1">
        <f t="array" aca="1" ref="H28" ca="1">IFERROR(INDEX(Rango_Admin_Clas_Total,H$2,MATCH($A28,Rango_Admin_Clas_Primera,0)+1),"-")</f>
        <v>5</v>
      </c>
      <c r="I28" s="92" cm="1">
        <f t="array" aca="1" ref="I28" ca="1">IFERROR(INDEX(Rango_Admin_Clas_Total,I$2,MATCH($A28,Rango_Admin_Clas_Primera,0)+1),"-")</f>
        <v>24</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Ignacio de Lecea</v>
      </c>
      <c r="D29" s="91">
        <f ca="1">IFERROR(HLOOKUP(A29,Rango_Admin_Clas,4,FALSE),"-")</f>
        <v>235</v>
      </c>
      <c r="E29" s="92" cm="1">
        <f t="array" aca="1" ref="E29" ca="1">IFERROR(INDEX(Rango_Admin_Clas_Total,E$2,MATCH($A29,Rango_Admin_Clas_Primera,0)+1),"-")</f>
        <v>74</v>
      </c>
      <c r="F29" s="92" cm="1">
        <f t="array" aca="1" ref="F29" ca="1">IFERROR(INDEX(Rango_Admin_Clas_Total,F$2,MATCH($A29,Rango_Admin_Clas_Primera,0)+1),"-")</f>
        <v>56</v>
      </c>
      <c r="G29" s="92" cm="1">
        <f t="array" aca="1" ref="G29" ca="1">IFERROR(INDEX(Rango_Admin_Clas_Total,G$2,MATCH($A29,Rango_Admin_Clas_Primera,0)+1),"-")</f>
        <v>81</v>
      </c>
      <c r="H29" s="92" cm="1">
        <f t="array" aca="1" ref="H29" ca="1">IFERROR(INDEX(Rango_Admin_Clas_Total,H$2,MATCH($A29,Rango_Admin_Clas_Primera,0)+1),"-")</f>
        <v>0</v>
      </c>
      <c r="I29" s="92" cm="1">
        <f t="array" aca="1" ref="I29" ca="1">IFERROR(INDEX(Rango_Admin_Clas_Total,I$2,MATCH($A29,Rango_Admin_Clas_Primera,0)+1),"-")</f>
        <v>24</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Jaime García de la Riva</v>
      </c>
      <c r="D30" s="91">
        <f ca="1">IFERROR(HLOOKUP(A30,Rango_Admin_Clas,4,FALSE),"-")</f>
        <v>234</v>
      </c>
      <c r="E30" s="92" cm="1">
        <f t="array" aca="1" ref="E30" ca="1">IFERROR(INDEX(Rango_Admin_Clas_Total,E$2,MATCH($A30,Rango_Admin_Clas_Primera,0)+1),"-")</f>
        <v>71</v>
      </c>
      <c r="F30" s="92" cm="1">
        <f t="array" aca="1" ref="F30" ca="1">IFERROR(INDEX(Rango_Admin_Clas_Total,F$2,MATCH($A30,Rango_Admin_Clas_Primera,0)+1),"-")</f>
        <v>50</v>
      </c>
      <c r="G30" s="92" cm="1">
        <f t="array" aca="1" ref="G30" ca="1">IFERROR(INDEX(Rango_Admin_Clas_Total,G$2,MATCH($A30,Rango_Admin_Clas_Primera,0)+1),"-")</f>
        <v>75</v>
      </c>
      <c r="H30" s="92" cm="1">
        <f t="array" aca="1" ref="H30" ca="1">IFERROR(INDEX(Rango_Admin_Clas_Total,H$2,MATCH($A30,Rango_Admin_Clas_Primera,0)+1),"-")</f>
        <v>2</v>
      </c>
      <c r="I30" s="92" cm="1">
        <f t="array" aca="1" ref="I30" ca="1">IFERROR(INDEX(Rango_Admin_Clas_Total,I$2,MATCH($A30,Rango_Admin_Clas_Primera,0)+1),"-")</f>
        <v>36</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Florentino Netanyahu</v>
      </c>
      <c r="D31" s="91">
        <f ca="1">IFERROR(HLOOKUP(A31,Rango_Admin_Clas,4,FALSE),"-")</f>
        <v>232</v>
      </c>
      <c r="E31" s="92" cm="1">
        <f t="array" aca="1" ref="E31" ca="1">IFERROR(INDEX(Rango_Admin_Clas_Total,E$2,MATCH($A31,Rango_Admin_Clas_Primera,0)+1),"-")</f>
        <v>67</v>
      </c>
      <c r="F31" s="92" cm="1">
        <f t="array" aca="1" ref="F31" ca="1">IFERROR(INDEX(Rango_Admin_Clas_Total,F$2,MATCH($A31,Rango_Admin_Clas_Primera,0)+1),"-")</f>
        <v>54</v>
      </c>
      <c r="G31" s="92" cm="1">
        <f t="array" aca="1" ref="G31" ca="1">IFERROR(INDEX(Rango_Admin_Clas_Total,G$2,MATCH($A31,Rango_Admin_Clas_Primera,0)+1),"-")</f>
        <v>75</v>
      </c>
      <c r="H31" s="92" cm="1">
        <f t="array" aca="1" ref="H31" ca="1">IFERROR(INDEX(Rango_Admin_Clas_Total,H$2,MATCH($A31,Rango_Admin_Clas_Primera,0)+1),"-")</f>
        <v>8</v>
      </c>
      <c r="I31" s="92" cm="1">
        <f t="array" aca="1" ref="I31" ca="1">IFERROR(INDEX(Rango_Admin_Clas_Total,I$2,MATCH($A31,Rango_Admin_Clas_Primera,0)+1),"-")</f>
        <v>28</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Luis B</v>
      </c>
      <c r="D32" s="91">
        <f ca="1">IFERROR(HLOOKUP(A32,Rango_Admin_Clas,4,FALSE),"-")</f>
        <v>231</v>
      </c>
      <c r="E32" s="92" cm="1">
        <f t="array" aca="1" ref="E32" ca="1">IFERROR(INDEX(Rango_Admin_Clas_Total,E$2,MATCH($A32,Rango_Admin_Clas_Primera,0)+1),"-")</f>
        <v>58</v>
      </c>
      <c r="F32" s="92" cm="1">
        <f t="array" aca="1" ref="F32" ca="1">IFERROR(INDEX(Rango_Admin_Clas_Total,F$2,MATCH($A32,Rango_Admin_Clas_Primera,0)+1),"-")</f>
        <v>64</v>
      </c>
      <c r="G32" s="92" cm="1">
        <f t="array" aca="1" ref="G32" ca="1">IFERROR(INDEX(Rango_Admin_Clas_Total,G$2,MATCH($A32,Rango_Admin_Clas_Primera,0)+1),"-")</f>
        <v>81</v>
      </c>
      <c r="H32" s="92" cm="1">
        <f t="array" aca="1" ref="H32" ca="1">IFERROR(INDEX(Rango_Admin_Clas_Total,H$2,MATCH($A32,Rango_Admin_Clas_Primera,0)+1),"-")</f>
        <v>4</v>
      </c>
      <c r="I32" s="92" cm="1">
        <f t="array" aca="1" ref="I32" ca="1">IFERROR(INDEX(Rango_Admin_Clas_Total,I$2,MATCH($A32,Rango_Admin_Clas_Primera,0)+1),"-")</f>
        <v>24</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28</v>
      </c>
      <c r="C33" s="18" t="str">
        <f ca="1">IFERROR(HLOOKUP(A33,Rango_Admin_Clas,5,FALSE),"-")</f>
        <v>Fercho Muro Matosex</v>
      </c>
      <c r="D33" s="91">
        <f ca="1">IFERROR(HLOOKUP(A33,Rango_Admin_Clas,4,FALSE),"-")</f>
        <v>231</v>
      </c>
      <c r="E33" s="92" cm="1">
        <f t="array" aca="1" ref="E33" ca="1">IFERROR(INDEX(Rango_Admin_Clas_Total,E$2,MATCH($A33,Rango_Admin_Clas_Primera,0)+1),"-")</f>
        <v>62</v>
      </c>
      <c r="F33" s="92" cm="1">
        <f t="array" aca="1" ref="F33" ca="1">IFERROR(INDEX(Rango_Admin_Clas_Total,F$2,MATCH($A33,Rango_Admin_Clas_Primera,0)+1),"-")</f>
        <v>56</v>
      </c>
      <c r="G33" s="92" cm="1">
        <f t="array" aca="1" ref="G33" ca="1">IFERROR(INDEX(Rango_Admin_Clas_Total,G$2,MATCH($A33,Rango_Admin_Clas_Primera,0)+1),"-")</f>
        <v>84</v>
      </c>
      <c r="H33" s="92" cm="1">
        <f t="array" aca="1" ref="H33" ca="1">IFERROR(INDEX(Rango_Admin_Clas_Total,H$2,MATCH($A33,Rango_Admin_Clas_Primera,0)+1),"-")</f>
        <v>9</v>
      </c>
      <c r="I33" s="92" cm="1">
        <f t="array" aca="1" ref="I33" ca="1">IFERROR(INDEX(Rango_Admin_Clas_Total,I$2,MATCH($A33,Rango_Admin_Clas_Primera,0)+1),"-")</f>
        <v>20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bau</v>
      </c>
      <c r="D34" s="91">
        <f ca="1">IFERROR(HLOOKUP(A34,Rango_Admin_Clas,4,FALSE),"-")</f>
        <v>230</v>
      </c>
      <c r="E34" s="92" cm="1">
        <f t="array" aca="1" ref="E34" ca="1">IFERROR(INDEX(Rango_Admin_Clas_Total,E$2,MATCH($A34,Rango_Admin_Clas_Primera,0)+1),"-")</f>
        <v>69</v>
      </c>
      <c r="F34" s="92" cm="1">
        <f t="array" aca="1" ref="F34" ca="1">IFERROR(INDEX(Rango_Admin_Clas_Total,F$2,MATCH($A34,Rango_Admin_Clas_Primera,0)+1),"-")</f>
        <v>50</v>
      </c>
      <c r="G34" s="92" cm="1">
        <f t="array" aca="1" ref="G34" ca="1">IFERROR(INDEX(Rango_Admin_Clas_Total,G$2,MATCH($A34,Rango_Admin_Clas_Primera,0)+1),"-")</f>
        <v>78</v>
      </c>
      <c r="H34" s="92" cm="1">
        <f t="array" aca="1" ref="H34" ca="1">IFERROR(INDEX(Rango_Admin_Clas_Total,H$2,MATCH($A34,Rango_Admin_Clas_Primera,0)+1),"-")</f>
        <v>1</v>
      </c>
      <c r="I34" s="92" cm="1">
        <f t="array" aca="1" ref="I34" ca="1">IFERROR(INDEX(Rango_Admin_Clas_Total,I$2,MATCH($A34,Rango_Admin_Clas_Primera,0)+1),"-")</f>
        <v>32</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Gratacós</v>
      </c>
      <c r="D35" s="91">
        <f ca="1">IFERROR(HLOOKUP(A35,Rango_Admin_Clas,4,FALSE),"-")</f>
        <v>230</v>
      </c>
      <c r="E35" s="92" cm="1">
        <f t="array" aca="1" ref="E35" ca="1">IFERROR(INDEX(Rango_Admin_Clas_Total,E$2,MATCH($A35,Rango_Admin_Clas_Primera,0)+1),"-")</f>
        <v>79</v>
      </c>
      <c r="F35" s="92" cm="1">
        <f t="array" aca="1" ref="F35" ca="1">IFERROR(INDEX(Rango_Admin_Clas_Total,F$2,MATCH($A35,Rango_Admin_Clas_Primera,0)+1),"-")</f>
        <v>48</v>
      </c>
      <c r="G35" s="92" cm="1">
        <f t="array" aca="1" ref="G35" ca="1">IFERROR(INDEX(Rango_Admin_Clas_Total,G$2,MATCH($A35,Rango_Admin_Clas_Primera,0)+1),"-")</f>
        <v>75</v>
      </c>
      <c r="H35" s="92" cm="1">
        <f t="array" aca="1" ref="H35" ca="1">IFERROR(INDEX(Rango_Admin_Clas_Total,H$2,MATCH($A35,Rango_Admin_Clas_Primera,0)+1),"-")</f>
        <v>0</v>
      </c>
      <c r="I35" s="92" cm="1">
        <f t="array" aca="1" ref="I35" ca="1">IFERROR(INDEX(Rango_Admin_Clas_Total,I$2,MATCH($A35,Rango_Admin_Clas_Primera,0)+1),"-")</f>
        <v>28</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Chente Muñoz</v>
      </c>
      <c r="D36" s="91">
        <f ca="1">IFERROR(HLOOKUP(A36,Rango_Admin_Clas,4,FALSE),"-")</f>
        <v>229</v>
      </c>
      <c r="E36" s="92" cm="1">
        <f t="array" aca="1" ref="E36" ca="1">IFERROR(INDEX(Rango_Admin_Clas_Total,E$2,MATCH($A36,Rango_Admin_Clas_Primera,0)+1),"-")</f>
        <v>60</v>
      </c>
      <c r="F36" s="92" cm="1">
        <f t="array" aca="1" ref="F36" ca="1">IFERROR(INDEX(Rango_Admin_Clas_Total,F$2,MATCH($A36,Rango_Admin_Clas_Primera,0)+1),"-")</f>
        <v>66</v>
      </c>
      <c r="G36" s="92" cm="1">
        <f t="array" aca="1" ref="G36" ca="1">IFERROR(INDEX(Rango_Admin_Clas_Total,G$2,MATCH($A36,Rango_Admin_Clas_Primera,0)+1),"-")</f>
        <v>81</v>
      </c>
      <c r="H36" s="92" cm="1">
        <f t="array" aca="1" ref="H36" ca="1">IFERROR(INDEX(Rango_Admin_Clas_Total,H$2,MATCH($A36,Rango_Admin_Clas_Primera,0)+1),"-")</f>
        <v>2</v>
      </c>
      <c r="I36" s="92" cm="1">
        <f t="array" aca="1" ref="I36" ca="1">IFERROR(INDEX(Rango_Admin_Clas_Total,I$2,MATCH($A36,Rango_Admin_Clas_Primera,0)+1),"-")</f>
        <v>20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Pablo C</v>
      </c>
      <c r="D37" s="91">
        <f ca="1">IFERROR(HLOOKUP(A37,Rango_Admin_Clas,4,FALSE),"-")</f>
        <v>228</v>
      </c>
      <c r="E37" s="92" cm="1">
        <f t="array" aca="1" ref="E37" ca="1">IFERROR(INDEX(Rango_Admin_Clas_Total,E$2,MATCH($A37,Rango_Admin_Clas_Primera,0)+1),"-")</f>
        <v>67</v>
      </c>
      <c r="F37" s="92" cm="1">
        <f t="array" aca="1" ref="F37" ca="1">IFERROR(INDEX(Rango_Admin_Clas_Total,F$2,MATCH($A37,Rango_Admin_Clas_Primera,0)+1),"-")</f>
        <v>56</v>
      </c>
      <c r="G37" s="92" cm="1">
        <f t="array" aca="1" ref="G37" ca="1">IFERROR(INDEX(Rango_Admin_Clas_Total,G$2,MATCH($A37,Rango_Admin_Clas_Primera,0)+1),"-")</f>
        <v>81</v>
      </c>
      <c r="H37" s="92" cm="1">
        <f t="array" aca="1" ref="H37" ca="1">IFERROR(INDEX(Rango_Admin_Clas_Total,H$2,MATCH($A37,Rango_Admin_Clas_Primera,0)+1),"-")</f>
        <v>0</v>
      </c>
      <c r="I37" s="92" cm="1">
        <f t="array" aca="1" ref="I37" ca="1">IFERROR(INDEX(Rango_Admin_Clas_Total,I$2,MATCH($A37,Rango_Admin_Clas_Primera,0)+1),"-")</f>
        <v>24</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33</v>
      </c>
      <c r="C38" s="18" t="str">
        <f ca="1">IFERROR(HLOOKUP(A38,Rango_Admin_Clas,5,FALSE),"-")</f>
        <v>Ricardo Soto</v>
      </c>
      <c r="D38" s="91">
        <f ca="1">IFERROR(HLOOKUP(A38,Rango_Admin_Clas,4,FALSE),"-")</f>
        <v>228</v>
      </c>
      <c r="E38" s="92" cm="1">
        <f t="array" aca="1" ref="E38" ca="1">IFERROR(INDEX(Rango_Admin_Clas_Total,E$2,MATCH($A38,Rango_Admin_Clas_Primera,0)+1),"-")</f>
        <v>71</v>
      </c>
      <c r="F38" s="92" cm="1">
        <f t="array" aca="1" ref="F38" ca="1">IFERROR(INDEX(Rango_Admin_Clas_Total,F$2,MATCH($A38,Rango_Admin_Clas_Primera,0)+1),"-")</f>
        <v>52</v>
      </c>
      <c r="G38" s="92" cm="1">
        <f t="array" aca="1" ref="G38" ca="1">IFERROR(INDEX(Rango_Admin_Clas_Total,G$2,MATCH($A38,Rango_Admin_Clas_Primera,0)+1),"-")</f>
        <v>78</v>
      </c>
      <c r="H38" s="92" cm="1">
        <f t="array" aca="1" ref="H38" ca="1">IFERROR(INDEX(Rango_Admin_Clas_Total,H$2,MATCH($A38,Rango_Admin_Clas_Primera,0)+1),"-")</f>
        <v>3</v>
      </c>
      <c r="I38" s="92" cm="1">
        <f t="array" aca="1" ref="I38" ca="1">IFERROR(INDEX(Rango_Admin_Clas_Total,I$2,MATCH($A38,Rango_Admin_Clas_Primera,0)+1),"-")</f>
        <v>24</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Nacho Novo</v>
      </c>
      <c r="D39" s="91">
        <f ca="1">IFERROR(HLOOKUP(A39,Rango_Admin_Clas,4,FALSE),"-")</f>
        <v>227</v>
      </c>
      <c r="E39" s="92" cm="1">
        <f t="array" aca="1" ref="E39" ca="1">IFERROR(INDEX(Rango_Admin_Clas_Total,E$2,MATCH($A39,Rango_Admin_Clas_Primera,0)+1),"-")</f>
        <v>65</v>
      </c>
      <c r="F39" s="92" cm="1">
        <f t="array" aca="1" ref="F39" ca="1">IFERROR(INDEX(Rango_Admin_Clas_Total,F$2,MATCH($A39,Rango_Admin_Clas_Primera,0)+1),"-")</f>
        <v>58</v>
      </c>
      <c r="G39" s="92" cm="1">
        <f t="array" aca="1" ref="G39" ca="1">IFERROR(INDEX(Rango_Admin_Clas_Total,G$2,MATCH($A39,Rango_Admin_Clas_Primera,0)+1),"-")</f>
        <v>81</v>
      </c>
      <c r="H39" s="92" cm="1">
        <f t="array" aca="1" ref="H39" ca="1">IFERROR(INDEX(Rango_Admin_Clas_Total,H$2,MATCH($A39,Rango_Admin_Clas_Primera,0)+1),"-")</f>
        <v>7</v>
      </c>
      <c r="I39" s="92" cm="1">
        <f t="array" aca="1" ref="I39" ca="1">IFERROR(INDEX(Rango_Admin_Clas_Total,I$2,MATCH($A39,Rango_Admin_Clas_Primera,0)+1),"-")</f>
        <v>16</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Hulk Rexach</v>
      </c>
      <c r="D40" s="91">
        <f ca="1">IFERROR(HLOOKUP(A40,Rango_Admin_Clas,4,FALSE),"-")</f>
        <v>226</v>
      </c>
      <c r="E40" s="92" cm="1">
        <f t="array" aca="1" ref="E40" ca="1">IFERROR(INDEX(Rango_Admin_Clas_Total,E$2,MATCH($A40,Rango_Admin_Clas_Primera,0)+1),"-")</f>
        <v>66</v>
      </c>
      <c r="F40" s="92" cm="1">
        <f t="array" aca="1" ref="F40" ca="1">IFERROR(INDEX(Rango_Admin_Clas_Total,F$2,MATCH($A40,Rango_Admin_Clas_Primera,0)+1),"-")</f>
        <v>56</v>
      </c>
      <c r="G40" s="92" cm="1">
        <f t="array" aca="1" ref="G40" ca="1">IFERROR(INDEX(Rango_Admin_Clas_Total,G$2,MATCH($A40,Rango_Admin_Clas_Primera,0)+1),"-")</f>
        <v>78</v>
      </c>
      <c r="H40" s="92" cm="1">
        <f t="array" aca="1" ref="H40" ca="1">IFERROR(INDEX(Rango_Admin_Clas_Total,H$2,MATCH($A40,Rango_Admin_Clas_Primera,0)+1),"-")</f>
        <v>2</v>
      </c>
      <c r="I40" s="92" cm="1">
        <f t="array" aca="1" ref="I40" ca="1">IFERROR(INDEX(Rango_Admin_Clas_Total,I$2,MATCH($A40,Rango_Admin_Clas_Primera,0)+1),"-")</f>
        <v>24</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 xml:space="preserve">Martín Matoses </v>
      </c>
      <c r="D41" s="91">
        <f ca="1">IFERROR(HLOOKUP(A41,Rango_Admin_Clas,4,FALSE),"-")</f>
        <v>225</v>
      </c>
      <c r="E41" s="92" cm="1">
        <f t="array" aca="1" ref="E41" ca="1">IFERROR(INDEX(Rango_Admin_Clas_Total,E$2,MATCH($A41,Rango_Admin_Clas_Primera,0)+1),"-")</f>
        <v>68</v>
      </c>
      <c r="F41" s="92" cm="1">
        <f t="array" aca="1" ref="F41" ca="1">IFERROR(INDEX(Rango_Admin_Clas_Total,F$2,MATCH($A41,Rango_Admin_Clas_Primera,0)+1),"-")</f>
        <v>44</v>
      </c>
      <c r="G41" s="92" cm="1">
        <f t="array" aca="1" ref="G41" ca="1">IFERROR(INDEX(Rango_Admin_Clas_Total,G$2,MATCH($A41,Rango_Admin_Clas_Primera,0)+1),"-")</f>
        <v>84</v>
      </c>
      <c r="H41" s="92" cm="1">
        <f t="array" aca="1" ref="H41" ca="1">IFERROR(INDEX(Rango_Admin_Clas_Total,H$2,MATCH($A41,Rango_Admin_Clas_Primera,0)+1),"-")</f>
        <v>1</v>
      </c>
      <c r="I41" s="92" cm="1">
        <f t="array" aca="1" ref="I41" ca="1">IFERROR(INDEX(Rango_Admin_Clas_Total,I$2,MATCH($A41,Rango_Admin_Clas_Primera,0)+1),"-")</f>
        <v>28</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 xml:space="preserve">Ignacio Núñez </v>
      </c>
      <c r="D42" s="91">
        <f ca="1">IFERROR(HLOOKUP(A42,Rango_Admin_Clas,4,FALSE),"-")</f>
        <v>223</v>
      </c>
      <c r="E42" s="92" cm="1">
        <f t="array" aca="1" ref="E42" ca="1">IFERROR(INDEX(Rango_Admin_Clas_Total,E$2,MATCH($A42,Rango_Admin_Clas_Primera,0)+1),"-")</f>
        <v>67</v>
      </c>
      <c r="F42" s="92" cm="1">
        <f t="array" aca="1" ref="F42" ca="1">IFERROR(INDEX(Rango_Admin_Clas_Total,F$2,MATCH($A42,Rango_Admin_Clas_Primera,0)+1),"-")</f>
        <v>48</v>
      </c>
      <c r="G42" s="92" cm="1">
        <f t="array" aca="1" ref="G42" ca="1">IFERROR(INDEX(Rango_Admin_Clas_Total,G$2,MATCH($A42,Rango_Admin_Clas_Primera,0)+1),"-")</f>
        <v>78</v>
      </c>
      <c r="H42" s="92" cm="1">
        <f t="array" aca="1" ref="H42" ca="1">IFERROR(INDEX(Rango_Admin_Clas_Total,H$2,MATCH($A42,Rango_Admin_Clas_Primera,0)+1),"-")</f>
        <v>6</v>
      </c>
      <c r="I42" s="92" cm="1">
        <f t="array" aca="1" ref="I42" ca="1">IFERROR(INDEX(Rango_Admin_Clas_Total,I$2,MATCH($A42,Rango_Admin_Clas_Primera,0)+1),"-")</f>
        <v>24</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YTD</v>
      </c>
      <c r="D43" s="91">
        <f ca="1">IFERROR(HLOOKUP(A43,Rango_Admin_Clas,4,FALSE),"-")</f>
        <v>222</v>
      </c>
      <c r="E43" s="92" cm="1">
        <f t="array" aca="1" ref="E43" ca="1">IFERROR(INDEX(Rango_Admin_Clas_Total,E$2,MATCH($A43,Rango_Admin_Clas_Primera,0)+1),"-")</f>
        <v>65</v>
      </c>
      <c r="F43" s="92" cm="1">
        <f t="array" aca="1" ref="F43" ca="1">IFERROR(INDEX(Rango_Admin_Clas_Total,F$2,MATCH($A43,Rango_Admin_Clas_Primera,0)+1),"-")</f>
        <v>58</v>
      </c>
      <c r="G43" s="92" cm="1">
        <f t="array" aca="1" ref="G43" ca="1">IFERROR(INDEX(Rango_Admin_Clas_Total,G$2,MATCH($A43,Rango_Admin_Clas_Primera,0)+1),"-")</f>
        <v>75</v>
      </c>
      <c r="H43" s="92" cm="1">
        <f t="array" aca="1" ref="H43" ca="1">IFERROR(INDEX(Rango_Admin_Clas_Total,H$2,MATCH($A43,Rango_Admin_Clas_Primera,0)+1),"-")</f>
        <v>0</v>
      </c>
      <c r="I43" s="92" cm="1">
        <f t="array" aca="1" ref="I43" ca="1">IFERROR(INDEX(Rango_Admin_Clas_Total,I$2,MATCH($A43,Rango_Admin_Clas_Primera,0)+1),"-")</f>
        <v>24</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BeliBeltrán</v>
      </c>
      <c r="D44" s="91">
        <f ca="1">IFERROR(HLOOKUP(A44,Rango_Admin_Clas,4,FALSE),"-")</f>
        <v>213</v>
      </c>
      <c r="E44" s="92" cm="1">
        <f t="array" aca="1" ref="E44" ca="1">IFERROR(INDEX(Rango_Admin_Clas_Total,E$2,MATCH($A44,Rango_Admin_Clas_Primera,0)+1),"-")</f>
        <v>58</v>
      </c>
      <c r="F44" s="92" cm="1">
        <f t="array" aca="1" ref="F44" ca="1">IFERROR(INDEX(Rango_Admin_Clas_Total,F$2,MATCH($A44,Rango_Admin_Clas_Primera,0)+1),"-")</f>
        <v>54</v>
      </c>
      <c r="G44" s="92" cm="1">
        <f t="array" aca="1" ref="G44" ca="1">IFERROR(INDEX(Rango_Admin_Clas_Total,G$2,MATCH($A44,Rango_Admin_Clas_Primera,0)+1),"-")</f>
        <v>72</v>
      </c>
      <c r="H44" s="92" cm="1">
        <f t="array" aca="1" ref="H44" ca="1">IFERROR(INDEX(Rango_Admin_Clas_Total,H$2,MATCH($A44,Rango_Admin_Clas_Primera,0)+1),"-")</f>
        <v>1</v>
      </c>
      <c r="I44" s="92" cm="1">
        <f t="array" aca="1" ref="I44" ca="1">IFERROR(INDEX(Rango_Admin_Clas_Total,I$2,MATCH($A44,Rango_Admin_Clas_Primera,0)+1),"-")</f>
        <v>28</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182</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0</v>
      </c>
      <c r="I45" s="92" cm="1">
        <f t="array" aca="1" ref="I45" ca="1">IFERROR(INDEX(Rango_Admin_Clas_Total,I$2,MATCH($A45,Rango_Admin_Clas_Primera,0)+1),"-")</f>
        <v>20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 xml:space="preserve">España-Austria
</v>
      </c>
      <c r="R3" s="449" t="str">
        <f ca="1"/>
        <v xml:space="preserve">Portugal-Croacia
</v>
      </c>
      <c r="S3" s="449" t="str">
        <f ca="1"/>
        <v xml:space="preserve">Suiza-Argelia
</v>
      </c>
      <c r="T3" s="449" t="str">
        <f ca="1"/>
        <v xml:space="preserve">Australia-Egipto
</v>
      </c>
      <c r="U3" s="449" t="str">
        <f ca="1"/>
        <v xml:space="preserve">Argentina-Cabo Verde
</v>
      </c>
      <c r="V3" s="449" t="str">
        <f ca="1"/>
        <v xml:space="preserve">Colombia-Ghana
</v>
      </c>
      <c r="W3" s="449" t="str">
        <f ca="1"/>
        <v>Octavofinalista-1
 (Canadá)</v>
      </c>
      <c r="X3" s="449" t="str">
        <f ca="1"/>
        <v>Octavofinalista-2
 (Paraguay)</v>
      </c>
      <c r="Y3" s="449" t="str">
        <f ca="1"/>
        <v>Octavofinalista-3
 (Brasil)</v>
      </c>
      <c r="Z3" s="449" t="str">
        <f ca="1"/>
        <v>Octavofinalista-4
 (México)</v>
      </c>
      <c r="AA3" s="449" t="str">
        <f ca="1"/>
        <v>Octavofinalista-5
 (W83)</v>
      </c>
      <c r="AB3" s="449" t="str">
        <f ca="1"/>
        <v>Octavofinalista-6
 (Estados Unidos)</v>
      </c>
      <c r="AC3" s="449" t="str">
        <f ca="1"/>
        <v>Octavofinalista-7
 (W86)</v>
      </c>
      <c r="AD3" s="449" t="str">
        <f ca="1"/>
        <v>Octavofinalista-8
 (W85)</v>
      </c>
      <c r="AE3" s="449" t="str">
        <f ca="1"/>
        <v>Octavofinalista-9
 (Marruecos)</v>
      </c>
      <c r="AF3" s="449" t="str">
        <f ca="1"/>
        <v>Octavofinalista-10
 (Francia)</v>
      </c>
      <c r="AG3" s="449" t="str">
        <f ca="1"/>
        <v>Octavofinalista-11
 (Noruega)</v>
      </c>
      <c r="AH3" s="449" t="str">
        <f ca="1"/>
        <v>Octavofinalista-12
 (Inglaterra)</v>
      </c>
      <c r="AI3" s="449" t="str">
        <f ca="1"/>
        <v>Octavofinalista-13
 (W84)</v>
      </c>
      <c r="AJ3" s="449" t="str">
        <f ca="1"/>
        <v>Octavofinalista-14
 (Bélgica)</v>
      </c>
      <c r="AK3" s="449" t="str">
        <f ca="1"/>
        <v>Octavofinalista-15
 (W88)</v>
      </c>
      <c r="AL3" s="449" t="str">
        <f ca="1"/>
        <v>Octavofinalista-16
 (W87)</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 xml:space="preserve">España-Austria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 xml:space="preserve">Portugal-Croacia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 xml:space="preserve">Suiza-Argelia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 xml:space="preserve">Australia-Egipto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 xml:space="preserve">Argentina-Cabo Verde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 xml:space="preserve">Colombia-Ghana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(W83)</v>
      </c>
      <c r="C24" s="8" t="str" cm="1">
        <f t="array" aca="1" ref="C24" ca="1">IFERROR(IF(INDEX(ADMIN!$M$6:$M$258,SMALL(IF(ADMIN!$G$6:$G$258=$J$1,ROW(ADMIN!$G$6:$G$258)-ROW(ADMIN!$G$6)+1),ROWS($A$1:A21)))="-", "", " ("&amp;INDEX(ADMIN!$M$6:$M$258,SMALL(IF(ADMIN!$G$6:$G$258=$J$1,ROW(ADMIN!$G$6:$G$258)-ROW(ADMIN!$G$6)+1),ROWS($A$1:A21)))&amp;")"),"")</f>
        <v xml:space="preserve"> (W83)</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(W86)</v>
      </c>
      <c r="C26" s="8" t="str" cm="1">
        <f t="array" aca="1" ref="C26" ca="1">IFERROR(IF(INDEX(ADMIN!$M$6:$M$258,SMALL(IF(ADMIN!$G$6:$G$258=$J$1,ROW(ADMIN!$G$6:$G$258)-ROW(ADMIN!$G$6)+1),ROWS($A$1:A23)))="-", "", " ("&amp;INDEX(ADMIN!$M$6:$M$258,SMALL(IF(ADMIN!$G$6:$G$258=$J$1,ROW(ADMIN!$G$6:$G$258)-ROW(ADMIN!$G$6)+1),ROWS($A$1:A23)))&amp;")"),"")</f>
        <v xml:space="preserve"> (W86)</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(W85)</v>
      </c>
      <c r="C27" s="8" t="str" cm="1">
        <f t="array" aca="1" ref="C27" ca="1">IFERROR(IF(INDEX(ADMIN!$M$6:$M$258,SMALL(IF(ADMIN!$G$6:$G$258=$J$1,ROW(ADMIN!$G$6:$G$258)-ROW(ADMIN!$G$6)+1),ROWS($A$1:A24)))="-", "", " ("&amp;INDEX(ADMIN!$M$6:$M$258,SMALL(IF(ADMIN!$G$6:$G$258=$J$1,ROW(ADMIN!$G$6:$G$258)-ROW(ADMIN!$G$6)+1),ROWS($A$1:A24)))&amp;")"),"")</f>
        <v xml:space="preserve"> (W85)</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(W84)</v>
      </c>
      <c r="C32" s="8" t="str" cm="1">
        <f t="array" aca="1" ref="C32" ca="1">IFERROR(IF(INDEX(ADMIN!$M$6:$M$258,SMALL(IF(ADMIN!$G$6:$G$258=$J$1,ROW(ADMIN!$G$6:$G$258)-ROW(ADMIN!$G$6)+1),ROWS($A$1:A29)))="-", "", " ("&amp;INDEX(ADMIN!$M$6:$M$258,SMALL(IF(ADMIN!$G$6:$G$258=$J$1,ROW(ADMIN!$G$6:$G$258)-ROW(ADMIN!$G$6)+1),ROWS($A$1:A29)))&amp;")"),"")</f>
        <v xml:space="preserve"> (W84)</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(W88)</v>
      </c>
      <c r="C34" s="8" t="str" cm="1">
        <f t="array" aca="1" ref="C34" ca="1">IFERROR(IF(INDEX(ADMIN!$M$6:$M$258,SMALL(IF(ADMIN!$G$6:$G$258=$J$1,ROW(ADMIN!$G$6:$G$258)-ROW(ADMIN!$G$6)+1),ROWS($A$1:A31)))="-", "", " ("&amp;INDEX(ADMIN!$M$6:$M$258,SMALL(IF(ADMIN!$G$6:$G$258=$J$1,ROW(ADMIN!$G$6:$G$258)-ROW(ADMIN!$G$6)+1),ROWS($A$1:A31)))&amp;")"),"")</f>
        <v xml:space="preserve"> (W88)</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(W87)</v>
      </c>
      <c r="C35" s="8" t="str" cm="1">
        <f t="array" aca="1" ref="C35" ca="1">IFERROR(IF(INDEX(ADMIN!$M$6:$M$258,SMALL(IF(ADMIN!$G$6:$G$258=$J$1,ROW(ADMIN!$G$6:$G$258)-ROW(ADMIN!$G$6)+1),ROWS($A$1:A32)))="-", "", " ("&amp;INDEX(ADMIN!$M$6:$M$258,SMALL(IF(ADMIN!$G$6:$G$258=$J$1,ROW(ADMIN!$G$6:$G$258)-ROW(ADMIN!$G$6)+1),ROWS($A$1:A32)))&amp;")"),"")</f>
        <v xml:space="preserve"> (W87)</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v>
      </c>
      <c r="S3" s="449" t="str">
        <f ca="1"/>
        <v>Portugal-Croacia
 (-)</v>
      </c>
      <c r="T3" s="449" t="str">
        <f ca="1"/>
        <v>Suiza-Argelia
 (-)</v>
      </c>
      <c r="U3" s="449" t="str">
        <f ca="1"/>
        <v>Australia-Egipto
 (-)</v>
      </c>
      <c r="V3" s="449" t="str">
        <f ca="1"/>
        <v>Argentina-Cabo Verde
 (-)</v>
      </c>
      <c r="W3" s="449" t="str">
        <f ca="1"/>
        <v>Colombia-Ghana
 (-)</v>
      </c>
      <c r="X3" s="449" t="str">
        <f ca="1"/>
        <v>Octavofinalista-1
 (Canadá)</v>
      </c>
      <c r="Y3" s="449" t="str">
        <f ca="1"/>
        <v>Octavofinalista-2
 (Paraguay)</v>
      </c>
      <c r="Z3" s="449" t="str">
        <f ca="1"/>
        <v>Octavofinalista-3
 (Brasil)</v>
      </c>
      <c r="AA3" s="449" t="str">
        <f ca="1"/>
        <v>Octavofinalista-4
 (México)</v>
      </c>
      <c r="AB3" s="449" t="str">
        <f ca="1"/>
        <v>Octavofinalista-5
 (W83)</v>
      </c>
      <c r="AC3" s="449" t="str">
        <f ca="1"/>
        <v>Octavofinalista-6
 (Estados Unidos)</v>
      </c>
      <c r="AD3" s="449" t="str">
        <f ca="1"/>
        <v>Octavofinalista-7
 (W86)</v>
      </c>
      <c r="AE3" s="449" t="str">
        <f ca="1"/>
        <v>Octavofinalista-8
 (W85)</v>
      </c>
      <c r="AF3" s="449" t="str">
        <f ca="1"/>
        <v>Octavofinalista-9
 (Marruecos)</v>
      </c>
      <c r="AG3" s="449" t="str">
        <f ca="1"/>
        <v>Octavofinalista-10
 (Francia)</v>
      </c>
      <c r="AH3" s="449" t="str">
        <f ca="1"/>
        <v>Octavofinalista-11
 (Noruega)</v>
      </c>
      <c r="AI3" s="449" t="str">
        <f ca="1"/>
        <v>Octavofinalista-12
 (Inglaterra)</v>
      </c>
      <c r="AJ3" s="449" t="str">
        <f ca="1"/>
        <v>Octavofinalista-13
 (W84)</v>
      </c>
      <c r="AK3" s="449" t="str">
        <f ca="1"/>
        <v>Octavofinalista-14
 (Bélgica)</v>
      </c>
      <c r="AL3" s="449" t="str">
        <f ca="1"/>
        <v>Octavofinalista-15
 (W88)</v>
      </c>
      <c r="AM3" s="449" t="str">
        <f ca="1"/>
        <v>Octavofinalista-16
 (W87)</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Migay Marcos</v>
      </c>
      <c r="G4" s="22">
        <f ca="1">IFERROR(HLOOKUP(C4,Rango_Admin_DailyClas,4,FALSE),"-")</f>
        <v>44</v>
      </c>
      <c r="H4" s="429">
        <f ca="1">IFERROR(VLOOKUP(H$2,Rango_Admin_DailyPred,MATCH($F4,Rango_Admin_DailyPred_Primera,0)+1,0),"-")</f>
        <v>0</v>
      </c>
      <c r="I4" s="429">
        <f ca="1">IFERROR(VLOOKUP(I$2,Rango_Admin_DailyPred,MATCH($F4,Rango_Admin_DailyPred_Primera,0)+1,0),"-")</f>
        <v>4</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4</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0</v>
      </c>
      <c r="R4" s="429">
        <f ca="1">IFERROR(VLOOKUP(R$2,Rango_Admin_DailyPred,MATCH($F4,Rango_Admin_DailyPred_Primera,0)+1,0),"-")</f>
        <v>0</v>
      </c>
      <c r="S4" s="429">
        <f ca="1">IFERROR(VLOOKUP(S$2,Rango_Admin_DailyPred,MATCH($F4,Rango_Admin_DailyPred_Primera,0)+1,0),"-")</f>
        <v>0</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4</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0</v>
      </c>
      <c r="AC4" s="429">
        <f ca="1">IFERROR(VLOOKUP(AC$2,Rango_Admin_DailyPred,MATCH($F4,Rango_Admin_DailyPred_Primera,0)+1,0),"-")</f>
        <v>4</v>
      </c>
      <c r="AD4" s="429">
        <f ca="1">IFERROR(VLOOKUP(AD$2,Rango_Admin_DailyPred,MATCH($F4,Rango_Admin_DailyPred_Primera,0)+1,0),"-")</f>
        <v>0</v>
      </c>
      <c r="AE4" s="429">
        <f ca="1">IFERROR(VLOOKUP(AE$2,Rango_Admin_DailyPred,MATCH($F4,Rango_Admin_DailyPred_Primera,0)+1,0),"-")</f>
        <v>0</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0</v>
      </c>
      <c r="AI4" s="429">
        <f ca="1">IFERROR(VLOOKUP(AI$2,Rango_Admin_DailyPred,MATCH($F4,Rango_Admin_DailyPred_Primera,0)+1,0),"-")</f>
        <v>4</v>
      </c>
      <c r="AJ4" s="429">
        <f ca="1">IFERROR(VLOOKUP(AJ$2,Rango_Admin_DailyPred,MATCH($F4,Rango_Admin_DailyPred_Primera,0)+1,0),"-")</f>
        <v>0</v>
      </c>
      <c r="AK4" s="429">
        <f ca="1">IFERROR(VLOOKUP(AK$2,Rango_Admin_DailyPred,MATCH($F4,Rango_Admin_DailyPred_Primera,0)+1,0),"-")</f>
        <v>4</v>
      </c>
      <c r="AL4" s="429">
        <f ca="1">IFERROR(VLOOKUP(AL$2,Rango_Admin_DailyPred,MATCH($F4,Rango_Admin_DailyPred_Primera,0)+1,0),"-")</f>
        <v>0</v>
      </c>
      <c r="AM4" s="429">
        <f ca="1">IFERROR(VLOOKUP(AM$2,Rango_Admin_DailyPred,MATCH($F4,Rango_Admin_DailyPred_Primera,0)+1,0),"-")</f>
        <v>0</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2</v>
      </c>
      <c r="F5" s="448" t="str">
        <f ca="1">IFERROR(HLOOKUP(C5,Rango_Admin_DailyClas,5,FALSE),"-")</f>
        <v>Pastor</v>
      </c>
      <c r="G5" s="22">
        <f ca="1">IFERROR(HLOOKUP(C5,Rango_Admin_DailyClas,4,FALSE),"-")</f>
        <v>41</v>
      </c>
      <c r="H5" s="429">
        <f ca="1">IFERROR(VLOOKUP(H$2,Rango_Admin_DailyPred,MATCH($F5,Rango_Admin_DailyPred_Primera,0)+1,0),"-")</f>
        <v>0</v>
      </c>
      <c r="I5" s="429">
        <f ca="1">IFERROR(VLOOKUP(I$2,Rango_Admin_DailyPred,MATCH($F5,Rango_Admin_DailyPred_Primera,0)+1,0),"-")</f>
        <v>0</v>
      </c>
      <c r="J5" s="429">
        <f ca="1">IFERROR(VLOOKUP(J$2,Rango_Admin_DailyPred,MATCH($F5,Rango_Admin_DailyPred_Primera,0)+1,0),"-")</f>
        <v>0</v>
      </c>
      <c r="K5" s="429">
        <f ca="1">IFERROR(VLOOKUP(K$2,Rango_Admin_DailyPred,MATCH($F5,Rango_Admin_DailyPred_Primera,0)+1,0),"-")</f>
        <v>0</v>
      </c>
      <c r="L5" s="429">
        <f ca="1">IFERROR(VLOOKUP(L$2,Rango_Admin_DailyPred,MATCH($F5,Rango_Admin_DailyPred_Primera,0)+1,0),"-")</f>
        <v>0</v>
      </c>
      <c r="M5" s="429">
        <f ca="1">IFERROR(VLOOKUP(M$2,Rango_Admin_DailyPred,MATCH($F5,Rango_Admin_DailyPred_Primera,0)+1,0),"-")</f>
        <v>1</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0</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4</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0</v>
      </c>
      <c r="AC5" s="429">
        <f ca="1">IFERROR(VLOOKUP(AC$2,Rango_Admin_DailyPred,MATCH($F5,Rango_Admin_DailyPred_Primera,0)+1,0),"-")</f>
        <v>4</v>
      </c>
      <c r="AD5" s="429">
        <f ca="1">IFERROR(VLOOKUP(AD$2,Rango_Admin_DailyPred,MATCH($F5,Rango_Admin_DailyPred_Primera,0)+1,0),"-")</f>
        <v>0</v>
      </c>
      <c r="AE5" s="429">
        <f ca="1">IFERROR(VLOOKUP(AE$2,Rango_Admin_DailyPred,MATCH($F5,Rango_Admin_DailyPred_Primera,0)+1,0),"-")</f>
        <v>0</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4</v>
      </c>
      <c r="AI5" s="429">
        <f ca="1">IFERROR(VLOOKUP(AI$2,Rango_Admin_DailyPred,MATCH($F5,Rango_Admin_DailyPred_Primera,0)+1,0),"-")</f>
        <v>4</v>
      </c>
      <c r="AJ5" s="429">
        <f ca="1">IFERROR(VLOOKUP(AJ$2,Rango_Admin_DailyPred,MATCH($F5,Rango_Admin_DailyPred_Primera,0)+1,0),"-")</f>
        <v>0</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0</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2</v>
      </c>
      <c r="F6" s="448" t="str">
        <f ca="1">IFERROR(HLOOKUP(C6,Rango_Admin_DailyClas,5,FALSE),"-")</f>
        <v>Carlos Murciano</v>
      </c>
      <c r="G6" s="22">
        <f ca="1">IFERROR(HLOOKUP(C6,Rango_Admin_DailyClas,4,FALSE),"-")</f>
        <v>41</v>
      </c>
      <c r="H6" s="429">
        <f ca="1">IFERROR(VLOOKUP(H$2,Rango_Admin_DailyPred,MATCH($F6,Rango_Admin_DailyPred_Primera,0)+1,0),"-")</f>
        <v>0</v>
      </c>
      <c r="I6" s="429">
        <f ca="1">IFERROR(VLOOKUP(I$2,Rango_Admin_DailyPred,MATCH($F6,Rango_Admin_DailyPred_Primera,0)+1,0),"-")</f>
        <v>0</v>
      </c>
      <c r="J6" s="429">
        <f ca="1">IFERROR(VLOOKUP(J$2,Rango_Admin_DailyPred,MATCH($F6,Rango_Admin_DailyPred_Primera,0)+1,0),"-")</f>
        <v>0</v>
      </c>
      <c r="K6" s="429">
        <f ca="1">IFERROR(VLOOKUP(K$2,Rango_Admin_DailyPred,MATCH($F6,Rango_Admin_DailyPred_Primera,0)+1,0),"-")</f>
        <v>4</v>
      </c>
      <c r="L6" s="429">
        <f ca="1">IFERROR(VLOOKUP(L$2,Rango_Admin_DailyPred,MATCH($F6,Rango_Admin_DailyPred_Primera,0)+1,0),"-")</f>
        <v>0</v>
      </c>
      <c r="M6" s="429">
        <f ca="1">IFERROR(VLOOKUP(M$2,Rango_Admin_DailyPred,MATCH($F6,Rango_Admin_DailyPred_Primera,0)+1,0),"-")</f>
        <v>0</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1</v>
      </c>
      <c r="R6" s="429">
        <f ca="1">IFERROR(VLOOKUP(R$2,Rango_Admin_DailyPred,MATCH($F6,Rango_Admin_DailyPred_Primera,0)+1,0),"-")</f>
        <v>0</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0</v>
      </c>
      <c r="AC6" s="429">
        <f ca="1">IFERROR(VLOOKUP(AC$2,Rango_Admin_DailyPred,MATCH($F6,Rango_Admin_DailyPred_Primera,0)+1,0),"-")</f>
        <v>4</v>
      </c>
      <c r="AD6" s="429">
        <f ca="1">IFERROR(VLOOKUP(AD$2,Rango_Admin_DailyPred,MATCH($F6,Rango_Admin_DailyPred_Primera,0)+1,0),"-")</f>
        <v>0</v>
      </c>
      <c r="AE6" s="429">
        <f ca="1">IFERROR(VLOOKUP(AE$2,Rango_Admin_DailyPred,MATCH($F6,Rango_Admin_DailyPred_Primera,0)+1,0),"-")</f>
        <v>0</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0</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0</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Antonio Zulueta Ramos</v>
      </c>
      <c r="G7" s="22">
        <f ca="1">IFERROR(HLOOKUP(C7,Rango_Admin_DailyClas,4,FALSE),"-")</f>
        <v>39</v>
      </c>
      <c r="H7" s="429">
        <f ca="1">IFERROR(VLOOKUP(H$2,Rango_Admin_DailyPred,MATCH($F7,Rango_Admin_DailyPred_Primera,0)+1,0),"-")</f>
        <v>0</v>
      </c>
      <c r="I7" s="429">
        <f ca="1">IFERROR(VLOOKUP(I$2,Rango_Admin_DailyPred,MATCH($F7,Rango_Admin_DailyPred_Primera,0)+1,0),"-")</f>
        <v>4</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2</v>
      </c>
      <c r="M7" s="429">
        <f ca="1">IFERROR(VLOOKUP(M$2,Rango_Admin_DailyPred,MATCH($F7,Rango_Admin_DailyPred_Primera,0)+1,0),"-")</f>
        <v>0</v>
      </c>
      <c r="N7" s="429">
        <f ca="1">IFERROR(VLOOKUP(N$2,Rango_Admin_DailyPred,MATCH($F7,Rango_Admin_DailyPred_Primera,0)+1,0),"-")</f>
        <v>0</v>
      </c>
      <c r="O7" s="429">
        <f ca="1">IFERROR(VLOOKUP(O$2,Rango_Admin_DailyPred,MATCH($F7,Rango_Admin_DailyPred_Primera,0)+1,0),"-")</f>
        <v>1</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0</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4</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0</v>
      </c>
      <c r="AB7" s="429">
        <f ca="1">IFERROR(VLOOKUP(AB$2,Rango_Admin_DailyPred,MATCH($F7,Rango_Admin_DailyPred_Primera,0)+1,0),"-")</f>
        <v>0</v>
      </c>
      <c r="AC7" s="429">
        <f ca="1">IFERROR(VLOOKUP(AC$2,Rango_Admin_DailyPred,MATCH($F7,Rango_Admin_DailyPred_Primera,0)+1,0),"-")</f>
        <v>0</v>
      </c>
      <c r="AD7" s="429">
        <f ca="1">IFERROR(VLOOKUP(AD$2,Rango_Admin_DailyPred,MATCH($F7,Rango_Admin_DailyPred_Primera,0)+1,0),"-")</f>
        <v>0</v>
      </c>
      <c r="AE7" s="429">
        <f ca="1">IFERROR(VLOOKUP(AE$2,Rango_Admin_DailyPred,MATCH($F7,Rango_Admin_DailyPred_Primera,0)+1,0),"-")</f>
        <v>0</v>
      </c>
      <c r="AF7" s="429">
        <f ca="1">IFERROR(VLOOKUP(AF$2,Rango_Admin_DailyPred,MATCH($F7,Rango_Admin_DailyPred_Primera,0)+1,0),"-")</f>
        <v>0</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0</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0</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4</v>
      </c>
      <c r="F8" s="448" t="str">
        <f ca="1">IFERROR(HLOOKUP(C8,Rango_Admin_DailyClas,5,FALSE),"-")</f>
        <v>Fernando Carlos García-Ramos Redondo</v>
      </c>
      <c r="G8" s="22">
        <f ca="1">IFERROR(HLOOKUP(C8,Rango_Admin_DailyClas,4,FALSE),"-")</f>
        <v>39</v>
      </c>
      <c r="H8" s="429">
        <f ca="1">IFERROR(VLOOKUP(H$2,Rango_Admin_DailyPred,MATCH($F8,Rango_Admin_DailyPred_Primera,0)+1,0),"-")</f>
        <v>0</v>
      </c>
      <c r="I8" s="429">
        <f ca="1">IFERROR(VLOOKUP(I$2,Rango_Admin_DailyPred,MATCH($F8,Rango_Admin_DailyPred_Primera,0)+1,0),"-")</f>
        <v>4</v>
      </c>
      <c r="J8" s="429">
        <f ca="1">IFERROR(VLOOKUP(J$2,Rango_Admin_DailyPred,MATCH($F8,Rango_Admin_DailyPred_Primera,0)+1,0),"-")</f>
        <v>0</v>
      </c>
      <c r="K8" s="429">
        <f ca="1">IFERROR(VLOOKUP(K$2,Rango_Admin_DailyPred,MATCH($F8,Rango_Admin_DailyPred_Primera,0)+1,0),"-")</f>
        <v>2</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0</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0</v>
      </c>
      <c r="Y8" s="429">
        <f ca="1">IFERROR(VLOOKUP(Y$2,Rango_Admin_DailyPred,MATCH($F8,Rango_Admin_DailyPred_Primera,0)+1,0),"-")</f>
        <v>0</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0</v>
      </c>
      <c r="AD8" s="429">
        <f ca="1">IFERROR(VLOOKUP(AD$2,Rango_Admin_DailyPred,MATCH($F8,Rango_Admin_DailyPred_Primera,0)+1,0),"-")</f>
        <v>0</v>
      </c>
      <c r="AE8" s="429">
        <f ca="1">IFERROR(VLOOKUP(AE$2,Rango_Admin_DailyPred,MATCH($F8,Rango_Admin_DailyPred_Primera,0)+1,0),"-")</f>
        <v>0</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0</v>
      </c>
      <c r="AK8" s="429">
        <f ca="1">IFERROR(VLOOKUP(AK$2,Rango_Admin_DailyPred,MATCH($F8,Rango_Admin_DailyPred_Primera,0)+1,0),"-")</f>
        <v>4</v>
      </c>
      <c r="AL8" s="429">
        <f ca="1">IFERROR(VLOOKUP(AL$2,Rango_Admin_DailyPred,MATCH($F8,Rango_Admin_DailyPred_Primera,0)+1,0),"-")</f>
        <v>4</v>
      </c>
      <c r="AM8" s="429">
        <f ca="1">IFERROR(VLOOKUP(AM$2,Rango_Admin_DailyPred,MATCH($F8,Rango_Admin_DailyPred_Primera,0)+1,0),"-")</f>
        <v>0</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Jaime García de la Riva</v>
      </c>
      <c r="G9" s="22">
        <f ca="1">IFERROR(HLOOKUP(C9,Rango_Admin_DailyClas,4,FALSE),"-")</f>
        <v>38</v>
      </c>
      <c r="H9" s="429">
        <f ca="1">IFERROR(VLOOKUP(H$2,Rango_Admin_DailyPred,MATCH($F9,Rango_Admin_DailyPred_Primera,0)+1,0),"-")</f>
        <v>0</v>
      </c>
      <c r="I9" s="429">
        <f ca="1">IFERROR(VLOOKUP(I$2,Rango_Admin_DailyPred,MATCH($F9,Rango_Admin_DailyPred_Primera,0)+1,0),"-")</f>
        <v>0</v>
      </c>
      <c r="J9" s="429">
        <f ca="1">IFERROR(VLOOKUP(J$2,Rango_Admin_DailyPred,MATCH($F9,Rango_Admin_DailyPred_Primera,0)+1,0),"-")</f>
        <v>2</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0</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0</v>
      </c>
      <c r="AE9" s="429">
        <f ca="1">IFERROR(VLOOKUP(AE$2,Rango_Admin_DailyPred,MATCH($F9,Rango_Admin_DailyPred_Primera,0)+1,0),"-")</f>
        <v>0</v>
      </c>
      <c r="AF9" s="429">
        <f ca="1">IFERROR(VLOOKUP(AF$2,Rango_Admin_DailyPred,MATCH($F9,Rango_Admin_DailyPred_Primera,0)+1,0),"-")</f>
        <v>4</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0</v>
      </c>
      <c r="AJ9" s="429">
        <f ca="1">IFERROR(VLOOKUP(AJ$2,Rango_Admin_DailyPred,MATCH($F9,Rango_Admin_DailyPred_Primera,0)+1,0),"-")</f>
        <v>0</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0</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7</v>
      </c>
      <c r="F10" s="448" t="str">
        <f ca="1">IFERROR(HLOOKUP(C10,Rango_Admin_DailyClas,5,FALSE),"-")</f>
        <v>William Hartley</v>
      </c>
      <c r="G10" s="22">
        <f ca="1">IFERROR(HLOOKUP(C10,Rango_Admin_DailyClas,4,FALSE),"-")</f>
        <v>37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0</v>
      </c>
      <c r="AC10" s="429">
        <f ca="1">IFERROR(VLOOKUP(AC$2,Rango_Admin_DailyPred,MATCH($F10,Rango_Admin_DailyPred_Primera,0)+1,0),"-")</f>
        <v>0</v>
      </c>
      <c r="AD10" s="429">
        <f ca="1">IFERROR(VLOOKUP(AD$2,Rango_Admin_DailyPred,MATCH($F10,Rango_Admin_DailyPred_Primera,0)+1,0),"-")</f>
        <v>0</v>
      </c>
      <c r="AE10" s="429">
        <f ca="1">IFERROR(VLOOKUP(AE$2,Rango_Admin_DailyPred,MATCH($F10,Rango_Admin_DailyPred_Primera,0)+1,0),"-")</f>
        <v>0</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0</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0</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7</v>
      </c>
      <c r="F11" s="448" t="str">
        <f ca="1">IFERROR(HLOOKUP(C11,Rango_Admin_DailyClas,5,FALSE),"-")</f>
        <v>DIDI</v>
      </c>
      <c r="G11" s="22">
        <f ca="1">IFERROR(HLOOKUP(C11,Rango_Admin_DailyClas,4,FALSE),"-")</f>
        <v>37</v>
      </c>
      <c r="H11" s="429">
        <f ca="1">IFERROR(VLOOKUP(H$2,Rango_Admin_DailyPred,MATCH($F11,Rango_Admin_DailyPred_Primera,0)+1,0),"-")</f>
        <v>0</v>
      </c>
      <c r="I11" s="429">
        <f ca="1">IFERROR(VLOOKUP(I$2,Rango_Admin_DailyPred,MATCH($F11,Rango_Admin_DailyPred_Primera,0)+1,0),"-")</f>
        <v>0</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0</v>
      </c>
      <c r="N11" s="429">
        <f ca="1">IFERROR(VLOOKUP(N$2,Rango_Admin_DailyPred,MATCH($F11,Rango_Admin_DailyPred_Primera,0)+1,0),"-")</f>
        <v>0</v>
      </c>
      <c r="O11" s="429">
        <f ca="1">IFERROR(VLOOKUP(O$2,Rango_Admin_DailyPred,MATCH($F11,Rango_Admin_DailyPred_Primera,0)+1,0),"-")</f>
        <v>2</v>
      </c>
      <c r="P11" s="429">
        <f ca="1">IFERROR(VLOOKUP(P$2,Rango_Admin_DailyPred,MATCH($F11,Rango_Admin_DailyPred_Primera,0)+1,0),"-")</f>
        <v>2</v>
      </c>
      <c r="Q11" s="429">
        <f ca="1">IFERROR(VLOOKUP(Q$2,Rango_Admin_DailyPred,MATCH($F11,Rango_Admin_DailyPred_Primera,0)+1,0),"-")</f>
        <v>1</v>
      </c>
      <c r="R11" s="429">
        <f ca="1">IFERROR(VLOOKUP(R$2,Rango_Admin_DailyPred,MATCH($F11,Rango_Admin_DailyPred_Primera,0)+1,0),"-")</f>
        <v>0</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0</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0</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4</v>
      </c>
      <c r="AI11" s="429">
        <f ca="1">IFERROR(VLOOKUP(AI$2,Rango_Admin_DailyPred,MATCH($F11,Rango_Admin_DailyPred_Primera,0)+1,0),"-")</f>
        <v>4</v>
      </c>
      <c r="AJ11" s="429">
        <f ca="1">IFERROR(VLOOKUP(AJ$2,Rango_Admin_DailyPred,MATCH($F11,Rango_Admin_DailyPred_Primera,0)+1,0),"-")</f>
        <v>0</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0</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Florentino Netanyahu</v>
      </c>
      <c r="G12" s="22">
        <f ca="1">IFERROR(HLOOKUP(C12,Rango_Admin_DailyClas,4,FALSE),"-")</f>
        <v>36</v>
      </c>
      <c r="H12" s="429">
        <f ca="1">IFERROR(VLOOKUP(H$2,Rango_Admin_DailyPred,MATCH($F12,Rango_Admin_DailyPred_Primera,0)+1,0),"-")</f>
        <v>0</v>
      </c>
      <c r="I12" s="429">
        <f ca="1">IFERROR(VLOOKUP(I$2,Rango_Admin_DailyPred,MATCH($F12,Rango_Admin_DailyPred_Primera,0)+1,0),"-")</f>
        <v>4</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1</v>
      </c>
      <c r="N12" s="429">
        <f ca="1">IFERROR(VLOOKUP(N$2,Rango_Admin_DailyPred,MATCH($F12,Rango_Admin_DailyPred_Primera,0)+1,0),"-")</f>
        <v>1</v>
      </c>
      <c r="O12" s="429">
        <f ca="1">IFERROR(VLOOKUP(O$2,Rango_Admin_DailyPred,MATCH($F12,Rango_Admin_DailyPred_Primera,0)+1,0),"-")</f>
        <v>1</v>
      </c>
      <c r="P12" s="429">
        <f ca="1">IFERROR(VLOOKUP(P$2,Rango_Admin_DailyPred,MATCH($F12,Rango_Admin_DailyPred_Primera,0)+1,0),"-")</f>
        <v>0</v>
      </c>
      <c r="Q12" s="429">
        <f ca="1">IFERROR(VLOOKUP(Q$2,Rango_Admin_DailyPred,MATCH($F12,Rango_Admin_DailyPred_Primera,0)+1,0),"-")</f>
        <v>1</v>
      </c>
      <c r="R12" s="429">
        <f ca="1">IFERROR(VLOOKUP(R$2,Rango_Admin_DailyPred,MATCH($F12,Rango_Admin_DailyPred_Primera,0)+1,0),"-")</f>
        <v>0</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0</v>
      </c>
      <c r="AC12" s="429">
        <f ca="1">IFERROR(VLOOKUP(AC$2,Rango_Admin_DailyPred,MATCH($F12,Rango_Admin_DailyPred_Primera,0)+1,0),"-")</f>
        <v>4</v>
      </c>
      <c r="AD12" s="429">
        <f ca="1">IFERROR(VLOOKUP(AD$2,Rango_Admin_DailyPred,MATCH($F12,Rango_Admin_DailyPred_Primera,0)+1,0),"-")</f>
        <v>0</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0</v>
      </c>
      <c r="AI12" s="429">
        <f ca="1">IFERROR(VLOOKUP(AI$2,Rango_Admin_DailyPred,MATCH($F12,Rango_Admin_DailyPred_Primera,0)+1,0),"-")</f>
        <v>4</v>
      </c>
      <c r="AJ12" s="429">
        <f ca="1">IFERROR(VLOOKUP(AJ$2,Rango_Admin_DailyPred,MATCH($F12,Rango_Admin_DailyPred_Primera,0)+1,0),"-")</f>
        <v>0</v>
      </c>
      <c r="AK12" s="429">
        <f ca="1">IFERROR(VLOOKUP(AK$2,Rango_Admin_DailyPred,MATCH($F12,Rango_Admin_DailyPred_Primera,0)+1,0),"-")</f>
        <v>4</v>
      </c>
      <c r="AL12" s="429">
        <f ca="1">IFERROR(VLOOKUP(AL$2,Rango_Admin_DailyPred,MATCH($F12,Rango_Admin_DailyPred_Primera,0)+1,0),"-")</f>
        <v>0</v>
      </c>
      <c r="AM12" s="429">
        <f ca="1">IFERROR(VLOOKUP(AM$2,Rango_Admin_DailyPred,MATCH($F12,Rango_Admin_DailyPred_Primera,0)+1,0),"-")</f>
        <v>0</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Lucas Oriol</v>
      </c>
      <c r="G13" s="22">
        <f ca="1">IFERROR(HLOOKUP(C13,Rango_Admin_DailyClas,4,FALSE),"-")</f>
        <v>36</v>
      </c>
      <c r="H13" s="429">
        <f ca="1">IFERROR(VLOOKUP(H$2,Rango_Admin_DailyPred,MATCH($F13,Rango_Admin_DailyPred_Primera,0)+1,0),"-")</f>
        <v>0</v>
      </c>
      <c r="I13" s="429">
        <f ca="1">IFERROR(VLOOKUP(I$2,Rango_Admin_DailyPred,MATCH($F13,Rango_Admin_DailyPred_Primera,0)+1,0),"-")</f>
        <v>4</v>
      </c>
      <c r="J13" s="429">
        <f ca="1">IFERROR(VLOOKUP(J$2,Rango_Admin_DailyPred,MATCH($F13,Rango_Admin_DailyPred_Primera,0)+1,0),"-")</f>
        <v>0</v>
      </c>
      <c r="K13" s="429">
        <f ca="1">IFERROR(VLOOKUP(K$2,Rango_Admin_DailyPred,MATCH($F13,Rango_Admin_DailyPred_Primera,0)+1,0),"-")</f>
        <v>4</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0</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0</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0</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0</v>
      </c>
      <c r="AC13" s="429">
        <f ca="1">IFERROR(VLOOKUP(AC$2,Rango_Admin_DailyPred,MATCH($F13,Rango_Admin_DailyPred_Primera,0)+1,0),"-")</f>
        <v>4</v>
      </c>
      <c r="AD13" s="429">
        <f ca="1">IFERROR(VLOOKUP(AD$2,Rango_Admin_DailyPred,MATCH($F13,Rango_Admin_DailyPred_Primera,0)+1,0),"-")</f>
        <v>0</v>
      </c>
      <c r="AE13" s="429">
        <f ca="1">IFERROR(VLOOKUP(AE$2,Rango_Admin_DailyPred,MATCH($F13,Rango_Admin_DailyPred_Primera,0)+1,0),"-")</f>
        <v>0</v>
      </c>
      <c r="AF13" s="429">
        <f ca="1">IFERROR(VLOOKUP(AF$2,Rango_Admin_DailyPred,MATCH($F13,Rango_Admin_DailyPred_Primera,0)+1,0),"-")</f>
        <v>0</v>
      </c>
      <c r="AG13" s="429">
        <f ca="1">IFERROR(VLOOKUP(AG$2,Rango_Admin_DailyPred,MATCH($F13,Rango_Admin_DailyPred_Primera,0)+1,0),"-")</f>
        <v>4</v>
      </c>
      <c r="AH13" s="429">
        <f ca="1">IFERROR(VLOOKUP(AH$2,Rango_Admin_DailyPred,MATCH($F13,Rango_Admin_DailyPred_Primera,0)+1,0),"-")</f>
        <v>4</v>
      </c>
      <c r="AI13" s="429">
        <f ca="1">IFERROR(VLOOKUP(AI$2,Rango_Admin_DailyPred,MATCH($F13,Rango_Admin_DailyPred_Primera,0)+1,0),"-")</f>
        <v>4</v>
      </c>
      <c r="AJ13" s="429">
        <f ca="1">IFERROR(VLOOKUP(AJ$2,Rango_Admin_DailyPred,MATCH($F13,Rango_Admin_DailyPred_Primera,0)+1,0),"-")</f>
        <v>0</v>
      </c>
      <c r="AK13" s="429">
        <f ca="1">IFERROR(VLOOKUP(AK$2,Rango_Admin_DailyPred,MATCH($F13,Rango_Admin_DailyPred_Primera,0)+1,0),"-")</f>
        <v>4</v>
      </c>
      <c r="AL13" s="429">
        <f ca="1">IFERROR(VLOOKUP(AL$2,Rango_Admin_DailyPred,MATCH($F13,Rango_Admin_DailyPred_Primera,0)+1,0),"-")</f>
        <v>0</v>
      </c>
      <c r="AM13" s="429">
        <f ca="1">IFERROR(VLOOKUP(AM$2,Rango_Admin_DailyPred,MATCH($F13,Rango_Admin_DailyPred_Primera,0)+1,0),"-")</f>
        <v>0</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v>
      </c>
      <c r="C14" s="8">
        <v>11</v>
      </c>
      <c r="D14" s="90"/>
      <c r="E14" s="409">
        <f ca="1">IFERROR(HLOOKUP(C14,Rango_Admin_DailyClas,3,FALSE),"-")</f>
        <v>11</v>
      </c>
      <c r="F14" s="448" t="str">
        <f ca="1">IFERROR(HLOOKUP(C14,Rango_Admin_DailyClas,5,FALSE),"-")</f>
        <v>Kurtischamp</v>
      </c>
      <c r="G14" s="22">
        <f ca="1">IFERROR(HLOOKUP(C14,Rango_Admin_DailyClas,4,FALSE),"-")</f>
        <v>34</v>
      </c>
      <c r="H14" s="429">
        <f ca="1">IFERROR(VLOOKUP(H$2,Rango_Admin_DailyPred,MATCH($F14,Rango_Admin_DailyPred_Primera,0)+1,0),"-")</f>
        <v>0</v>
      </c>
      <c r="I14" s="429">
        <f ca="1">IFERROR(VLOOKUP(I$2,Rango_Admin_DailyPred,MATCH($F14,Rango_Admin_DailyPred_Primera,0)+1,0),"-")</f>
        <v>1</v>
      </c>
      <c r="J14" s="429">
        <f ca="1">IFERROR(VLOOKUP(J$2,Rango_Admin_DailyPred,MATCH($F14,Rango_Admin_DailyPred_Primera,0)+1,0),"-")</f>
        <v>0</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1</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0</v>
      </c>
      <c r="AC14" s="429">
        <f ca="1">IFERROR(VLOOKUP(AC$2,Rango_Admin_DailyPred,MATCH($F14,Rango_Admin_DailyPred_Primera,0)+1,0),"-")</f>
        <v>0</v>
      </c>
      <c r="AD14" s="429">
        <f ca="1">IFERROR(VLOOKUP(AD$2,Rango_Admin_DailyPred,MATCH($F14,Rango_Admin_DailyPred_Primera,0)+1,0),"-")</f>
        <v>0</v>
      </c>
      <c r="AE14" s="429">
        <f ca="1">IFERROR(VLOOKUP(AE$2,Rango_Admin_DailyPred,MATCH($F14,Rango_Admin_DailyPred_Primera,0)+1,0),"-")</f>
        <v>0</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0</v>
      </c>
      <c r="AI14" s="429">
        <f ca="1">IFERROR(VLOOKUP(AI$2,Rango_Admin_DailyPred,MATCH($F14,Rango_Admin_DailyPred_Primera,0)+1,0),"-")</f>
        <v>4</v>
      </c>
      <c r="AJ14" s="429">
        <f ca="1">IFERROR(VLOOKUP(AJ$2,Rango_Admin_DailyPred,MATCH($F14,Rango_Admin_DailyPred_Primera,0)+1,0),"-")</f>
        <v>0</v>
      </c>
      <c r="AK14" s="429">
        <f ca="1">IFERROR(VLOOKUP(AK$2,Rango_Admin_DailyPred,MATCH($F14,Rango_Admin_DailyPred_Primera,0)+1,0),"-")</f>
        <v>4</v>
      </c>
      <c r="AL14" s="429">
        <f ca="1">IFERROR(VLOOKUP(AL$2,Rango_Admin_DailyPred,MATCH($F14,Rango_Admin_DailyPred_Primera,0)+1,0),"-")</f>
        <v>4</v>
      </c>
      <c r="AM14" s="429">
        <f ca="1">IFERROR(VLOOKUP(AM$2,Rango_Admin_DailyPred,MATCH($F14,Rango_Admin_DailyPred_Primera,0)+1,0),"-")</f>
        <v>0</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v>
      </c>
      <c r="C15" s="8">
        <v>12</v>
      </c>
      <c r="D15" s="19"/>
      <c r="E15" s="409">
        <f ca="1">IFERROR(HLOOKUP(C15,Rango_Admin_DailyClas,3,FALSE),"-")</f>
        <v>11</v>
      </c>
      <c r="F15" s="448" t="str">
        <f ca="1">IFERROR(HLOOKUP(C15,Rango_Admin_DailyClas,5,FALSE),"-")</f>
        <v>KIRICOCHO</v>
      </c>
      <c r="G15" s="22">
        <f ca="1">IFERROR(HLOOKUP(C15,Rango_Admin_DailyClas,4,FALSE),"-")</f>
        <v>34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4</v>
      </c>
      <c r="L15" s="429">
        <f ca="1">IFERROR(VLOOKUP(L$2,Rango_Admin_DailyPred,MATCH($F15,Rango_Admin_DailyPred_Primera,0)+1,0),"-")</f>
        <v>0</v>
      </c>
      <c r="M15" s="429">
        <f ca="1">IFERROR(VLOOKUP(M$2,Rango_Admin_DailyPred,MATCH($F15,Rango_Admin_DailyPred_Primera,0)+1,0),"-")</f>
        <v>1</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0</v>
      </c>
      <c r="S15" s="429">
        <f ca="1">IFERROR(VLOOKUP(S$2,Rango_Admin_DailyPred,MATCH($F15,Rango_Admin_DailyPred_Primera,0)+1,0),"-")</f>
        <v>0</v>
      </c>
      <c r="T15" s="429">
        <f ca="1">IFERROR(VLOOKUP(T$2,Rango_Admin_DailyPred,MATCH($F15,Rango_Admin_DailyPred_Primera,0)+1,0),"-")</f>
        <v>0</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0</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4</v>
      </c>
      <c r="AB15" s="429">
        <f ca="1">IFERROR(VLOOKUP(AB$2,Rango_Admin_DailyPred,MATCH($F15,Rango_Admin_DailyPred_Primera,0)+1,0),"-")</f>
        <v>0</v>
      </c>
      <c r="AC15" s="429">
        <f ca="1">IFERROR(VLOOKUP(AC$2,Rango_Admin_DailyPred,MATCH($F15,Rango_Admin_DailyPred_Primera,0)+1,0),"-")</f>
        <v>0</v>
      </c>
      <c r="AD15" s="429">
        <f ca="1">IFERROR(VLOOKUP(AD$2,Rango_Admin_DailyPred,MATCH($F15,Rango_Admin_DailyPred_Primera,0)+1,0),"-")</f>
        <v>0</v>
      </c>
      <c r="AE15" s="429">
        <f ca="1">IFERROR(VLOOKUP(AE$2,Rango_Admin_DailyPred,MATCH($F15,Rango_Admin_DailyPred_Primera,0)+1,0),"-")</f>
        <v>0</v>
      </c>
      <c r="AF15" s="429">
        <f ca="1">IFERROR(VLOOKUP(AF$2,Rango_Admin_DailyPred,MATCH($F15,Rango_Admin_DailyPred_Primera,0)+1,0),"-")</f>
        <v>4</v>
      </c>
      <c r="AG15" s="429">
        <f ca="1">IFERROR(VLOOKUP(AG$2,Rango_Admin_DailyPred,MATCH($F15,Rango_Admin_DailyPred_Primera,0)+1,0),"-")</f>
        <v>4</v>
      </c>
      <c r="AH15" s="429">
        <f ca="1">IFERROR(VLOOKUP(AH$2,Rango_Admin_DailyPred,MATCH($F15,Rango_Admin_DailyPred_Primera,0)+1,0),"-")</f>
        <v>4</v>
      </c>
      <c r="AI15" s="429">
        <f ca="1">IFERROR(VLOOKUP(AI$2,Rango_Admin_DailyPred,MATCH($F15,Rango_Admin_DailyPred_Primera,0)+1,0),"-")</f>
        <v>4</v>
      </c>
      <c r="AJ15" s="429">
        <f ca="1">IFERROR(VLOOKUP(AJ$2,Rango_Admin_DailyPred,MATCH($F15,Rango_Admin_DailyPred_Primera,0)+1,0),"-")</f>
        <v>0</v>
      </c>
      <c r="AK15" s="429">
        <f ca="1">IFERROR(VLOOKUP(AK$2,Rango_Admin_DailyPred,MATCH($F15,Rango_Admin_DailyPred_Primera,0)+1,0),"-")</f>
        <v>4</v>
      </c>
      <c r="AL15" s="429">
        <f ca="1">IFERROR(VLOOKUP(AL$2,Rango_Admin_DailyPred,MATCH($F15,Rango_Admin_DailyPred_Primera,0)+1,0),"-")</f>
        <v>0</v>
      </c>
      <c r="AM15" s="429">
        <f ca="1">IFERROR(VLOOKUP(AM$2,Rango_Admin_DailyPred,MATCH($F15,Rango_Admin_DailyPred_Primera,0)+1,0),"-")</f>
        <v>0</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v>
      </c>
      <c r="C16" s="8">
        <v>13</v>
      </c>
      <c r="D16" s="19"/>
      <c r="E16" s="409">
        <f ca="1">IFERROR(HLOOKUP(C16,Rango_Admin_DailyClas,3,FALSE),"-")</f>
        <v>13</v>
      </c>
      <c r="F16" s="448" t="str">
        <f ca="1">IFERROR(HLOOKUP(C16,Rango_Admin_DailyClas,5,FALSE),"-")</f>
        <v>Admin</v>
      </c>
      <c r="G16" s="22">
        <f ca="1">IFERROR(HLOOKUP(C16,Rango_Admin_DailyClas,4,FALSE),"-")</f>
        <v>33</v>
      </c>
      <c r="H16" s="429">
        <f ca="1">IFERROR(VLOOKUP(H$2,Rango_Admin_DailyPred,MATCH($F16,Rango_Admin_DailyPred_Primera,0)+1,0),"-")</f>
        <v>0</v>
      </c>
      <c r="I16" s="429">
        <f ca="1">IFERROR(VLOOKUP(I$2,Rango_Admin_DailyPred,MATCH($F16,Rango_Admin_DailyPred_Primera,0)+1,0),"-")</f>
        <v>0</v>
      </c>
      <c r="J16" s="429">
        <f ca="1">IFERROR(VLOOKUP(J$2,Rango_Admin_DailyPred,MATCH($F16,Rango_Admin_DailyPred_Primera,0)+1,0),"-")</f>
        <v>0</v>
      </c>
      <c r="K16" s="429">
        <f ca="1">IFERROR(VLOOKUP(K$2,Rango_Admin_DailyPred,MATCH($F16,Rango_Admin_DailyPred_Primera,0)+1,0),"-")</f>
        <v>0</v>
      </c>
      <c r="L16" s="429">
        <f ca="1">IFERROR(VLOOKUP(L$2,Rango_Admin_DailyPred,MATCH($F16,Rango_Admin_DailyPred_Primera,0)+1,0),"-")</f>
        <v>1</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4</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0</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0</v>
      </c>
      <c r="AC16" s="429">
        <f ca="1">IFERROR(VLOOKUP(AC$2,Rango_Admin_DailyPred,MATCH($F16,Rango_Admin_DailyPred_Primera,0)+1,0),"-")</f>
        <v>4</v>
      </c>
      <c r="AD16" s="429">
        <f ca="1">IFERROR(VLOOKUP(AD$2,Rango_Admin_DailyPred,MATCH($F16,Rango_Admin_DailyPred_Primera,0)+1,0),"-")</f>
        <v>0</v>
      </c>
      <c r="AE16" s="429">
        <f ca="1">IFERROR(VLOOKUP(AE$2,Rango_Admin_DailyPred,MATCH($F16,Rango_Admin_DailyPred_Primera,0)+1,0),"-")</f>
        <v>0</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4</v>
      </c>
      <c r="AI16" s="429">
        <f ca="1">IFERROR(VLOOKUP(AI$2,Rango_Admin_DailyPred,MATCH($F16,Rango_Admin_DailyPred_Primera,0)+1,0),"-")</f>
        <v>4</v>
      </c>
      <c r="AJ16" s="429">
        <f ca="1">IFERROR(VLOOKUP(AJ$2,Rango_Admin_DailyPred,MATCH($F16,Rango_Admin_DailyPred_Primera,0)+1,0),"-")</f>
        <v>0</v>
      </c>
      <c r="AK16" s="429">
        <f ca="1">IFERROR(VLOOKUP(AK$2,Rango_Admin_DailyPred,MATCH($F16,Rango_Admin_DailyPred_Primera,0)+1,0),"-")</f>
        <v>0</v>
      </c>
      <c r="AL16" s="429">
        <f ca="1">IFERROR(VLOOKUP(AL$2,Rango_Admin_DailyPred,MATCH($F16,Rango_Admin_DailyPred_Primera,0)+1,0),"-")</f>
        <v>0</v>
      </c>
      <c r="AM16" s="429">
        <f ca="1">IFERROR(VLOOKUP(AM$2,Rango_Admin_DailyPred,MATCH($F16,Rango_Admin_DailyPred_Primera,0)+1,0),"-")</f>
        <v>0</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v>
      </c>
      <c r="C17" s="8">
        <v>14</v>
      </c>
      <c r="D17" s="19"/>
      <c r="E17" s="409">
        <f ca="1">IFERROR(HLOOKUP(C17,Rango_Admin_DailyClas,3,FALSE),"-")</f>
        <v>13</v>
      </c>
      <c r="F17" s="448" t="str">
        <f ca="1">IFERROR(HLOOKUP(C17,Rango_Admin_DailyClas,5,FALSE),"-")</f>
        <v>JCU</v>
      </c>
      <c r="G17" s="22">
        <f ca="1">IFERROR(HLOOKUP(C17,Rango_Admin_DailyClas,4,FALSE),"-")</f>
        <v>33</v>
      </c>
      <c r="H17" s="429">
        <f ca="1">IFERROR(VLOOKUP(H$2,Rango_Admin_DailyPred,MATCH($F17,Rango_Admin_DailyPred_Primera,0)+1,0),"-")</f>
        <v>0</v>
      </c>
      <c r="I17" s="429">
        <f ca="1">IFERROR(VLOOKUP(I$2,Rango_Admin_DailyPred,MATCH($F17,Rango_Admin_DailyPred_Primera,0)+1,0),"-")</f>
        <v>1</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0</v>
      </c>
      <c r="P17" s="429">
        <f ca="1">IFERROR(VLOOKUP(P$2,Rango_Admin_DailyPred,MATCH($F17,Rango_Admin_DailyPred_Primera,0)+1,0),"-")</f>
        <v>0</v>
      </c>
      <c r="Q17" s="429">
        <f ca="1">IFERROR(VLOOKUP(Q$2,Rango_Admin_DailyPred,MATCH($F17,Rango_Admin_DailyPred_Primera,0)+1,0),"-")</f>
        <v>0</v>
      </c>
      <c r="R17" s="429">
        <f ca="1">IFERROR(VLOOKUP(R$2,Rango_Admin_DailyPred,MATCH($F17,Rango_Admin_DailyPred_Primera,0)+1,0),"-")</f>
        <v>0</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0</v>
      </c>
      <c r="AE17" s="429">
        <f ca="1">IFERROR(VLOOKUP(AE$2,Rango_Admin_DailyPred,MATCH($F17,Rango_Admin_DailyPred_Primera,0)+1,0),"-")</f>
        <v>0</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0</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0</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v>
      </c>
      <c r="C18" s="8">
        <v>15</v>
      </c>
      <c r="D18" s="19"/>
      <c r="E18" s="409">
        <f ca="1">IFERROR(HLOOKUP(C18,Rango_Admin_DailyClas,3,FALSE),"-")</f>
        <v>13</v>
      </c>
      <c r="F18" s="448" t="str">
        <f ca="1">IFERROR(HLOOKUP(C18,Rango_Admin_DailyClas,5,FALSE),"-")</f>
        <v>Antonio del Ojo</v>
      </c>
      <c r="G18" s="22">
        <f ca="1">IFERROR(HLOOKUP(C18,Rango_Admin_DailyClas,4,FALSE),"-")</f>
        <v>33</v>
      </c>
      <c r="H18" s="429">
        <f ca="1">IFERROR(VLOOKUP(H$2,Rango_Admin_DailyPred,MATCH($F18,Rango_Admin_DailyPred_Primera,0)+1,0),"-")</f>
        <v>0</v>
      </c>
      <c r="I18" s="429">
        <f ca="1">IFERROR(VLOOKUP(I$2,Rango_Admin_DailyPred,MATCH($F18,Rango_Admin_DailyPred_Primera,0)+1,0),"-")</f>
        <v>1</v>
      </c>
      <c r="J18" s="429">
        <f ca="1">IFERROR(VLOOKUP(J$2,Rango_Admin_DailyPred,MATCH($F18,Rango_Admin_DailyPred_Primera,0)+1,0),"-")</f>
        <v>0</v>
      </c>
      <c r="K18" s="429">
        <f ca="1">IFERROR(VLOOKUP(K$2,Rango_Admin_DailyPred,MATCH($F18,Rango_Admin_DailyPred_Primera,0)+1,0),"-")</f>
        <v>0</v>
      </c>
      <c r="L18" s="429">
        <f ca="1">IFERROR(VLOOKUP(L$2,Rango_Admin_DailyPred,MATCH($F18,Rango_Admin_DailyPred_Primera,0)+1,0),"-")</f>
        <v>0</v>
      </c>
      <c r="M18" s="429">
        <f ca="1">IFERROR(VLOOKUP(M$2,Rango_Admin_DailyPred,MATCH($F18,Rango_Admin_DailyPred_Primera,0)+1,0),"-")</f>
        <v>4</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0</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0</v>
      </c>
      <c r="AD18" s="429">
        <f ca="1">IFERROR(VLOOKUP(AD$2,Rango_Admin_DailyPred,MATCH($F18,Rango_Admin_DailyPred_Primera,0)+1,0),"-")</f>
        <v>0</v>
      </c>
      <c r="AE18" s="429">
        <f ca="1">IFERROR(VLOOKUP(AE$2,Rango_Admin_DailyPred,MATCH($F18,Rango_Admin_DailyPred_Primera,0)+1,0),"-")</f>
        <v>0</v>
      </c>
      <c r="AF18" s="429">
        <f ca="1">IFERROR(VLOOKUP(AF$2,Rango_Admin_DailyPred,MATCH($F18,Rango_Admin_DailyPred_Primera,0)+1,0),"-")</f>
        <v>4</v>
      </c>
      <c r="AG18" s="429">
        <f ca="1">IFERROR(VLOOKUP(AG$2,Rango_Admin_DailyPred,MATCH($F18,Rango_Admin_DailyPred_Primera,0)+1,0),"-")</f>
        <v>4</v>
      </c>
      <c r="AH18" s="429">
        <f ca="1">IFERROR(VLOOKUP(AH$2,Rango_Admin_DailyPred,MATCH($F18,Rango_Admin_DailyPred_Primera,0)+1,0),"-")</f>
        <v>0</v>
      </c>
      <c r="AI18" s="429">
        <f ca="1">IFERROR(VLOOKUP(AI$2,Rango_Admin_DailyPred,MATCH($F18,Rango_Admin_DailyPred_Primera,0)+1,0),"-")</f>
        <v>4</v>
      </c>
      <c r="AJ18" s="429">
        <f ca="1">IFERROR(VLOOKUP(AJ$2,Rango_Admin_DailyPred,MATCH($F18,Rango_Admin_DailyPred_Primera,0)+1,0),"-")</f>
        <v>0</v>
      </c>
      <c r="AK18" s="429">
        <f ca="1">IFERROR(VLOOKUP(AK$2,Rango_Admin_DailyPred,MATCH($F18,Rango_Admin_DailyPred_Primera,0)+1,0),"-")</f>
        <v>4</v>
      </c>
      <c r="AL18" s="429">
        <f ca="1">IFERROR(VLOOKUP(AL$2,Rango_Admin_DailyPred,MATCH($F18,Rango_Admin_DailyPred_Primera,0)+1,0),"-")</f>
        <v>4</v>
      </c>
      <c r="AM18" s="429">
        <f ca="1">IFERROR(VLOOKUP(AM$2,Rango_Admin_DailyPred,MATCH($F18,Rango_Admin_DailyPred_Primera,0)+1,0),"-")</f>
        <v>0</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v>
      </c>
      <c r="C19" s="8">
        <v>16</v>
      </c>
      <c r="D19" s="19"/>
      <c r="E19" s="409">
        <f ca="1">IFERROR(HLOOKUP(C19,Rango_Admin_DailyClas,3,FALSE),"-")</f>
        <v>13</v>
      </c>
      <c r="F19" s="448" t="str">
        <f ca="1">IFERROR(HLOOKUP(C19,Rango_Admin_DailyClas,5,FALSE),"-")</f>
        <v>MURO 204</v>
      </c>
      <c r="G19" s="22">
        <f ca="1">IFERROR(HLOOKUP(C19,Rango_Admin_DailyClas,4,FALSE),"-")</f>
        <v>33</v>
      </c>
      <c r="H19" s="429">
        <f ca="1">IFERROR(VLOOKUP(H$2,Rango_Admin_DailyPred,MATCH($F19,Rango_Admin_DailyPred_Primera,0)+1,0),"-")</f>
        <v>0</v>
      </c>
      <c r="I19" s="429">
        <f ca="1">IFERROR(VLOOKUP(I$2,Rango_Admin_DailyPred,MATCH($F19,Rango_Admin_DailyPred_Primera,0)+1,0),"-")</f>
        <v>1</v>
      </c>
      <c r="J19" s="429">
        <f ca="1">IFERROR(VLOOKUP(J$2,Rango_Admin_DailyPred,MATCH($F19,Rango_Admin_DailyPred_Primera,0)+1,0),"-")</f>
        <v>0</v>
      </c>
      <c r="K19" s="429">
        <f ca="1">IFERROR(VLOOKUP(K$2,Rango_Admin_DailyPred,MATCH($F19,Rango_Admin_DailyPred_Primera,0)+1,0),"-")</f>
        <v>4</v>
      </c>
      <c r="L19" s="429">
        <f ca="1">IFERROR(VLOOKUP(L$2,Rango_Admin_DailyPred,MATCH($F19,Rango_Admin_DailyPred_Primera,0)+1,0),"-")</f>
        <v>0</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0</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0</v>
      </c>
      <c r="AC19" s="429">
        <f ca="1">IFERROR(VLOOKUP(AC$2,Rango_Admin_DailyPred,MATCH($F19,Rango_Admin_DailyPred_Primera,0)+1,0),"-")</f>
        <v>0</v>
      </c>
      <c r="AD19" s="429">
        <f ca="1">IFERROR(VLOOKUP(AD$2,Rango_Admin_DailyPred,MATCH($F19,Rango_Admin_DailyPred_Primera,0)+1,0),"-")</f>
        <v>0</v>
      </c>
      <c r="AE19" s="429">
        <f ca="1">IFERROR(VLOOKUP(AE$2,Rango_Admin_DailyPred,MATCH($F19,Rango_Admin_DailyPred_Primera,0)+1,0),"-")</f>
        <v>0</v>
      </c>
      <c r="AF19" s="429">
        <f ca="1">IFERROR(VLOOKUP(AF$2,Rango_Admin_DailyPred,MATCH($F19,Rango_Admin_DailyPred_Primera,0)+1,0),"-")</f>
        <v>4</v>
      </c>
      <c r="AG19" s="429">
        <f ca="1">IFERROR(VLOOKUP(AG$2,Rango_Admin_DailyPred,MATCH($F19,Rango_Admin_DailyPred_Primera,0)+1,0),"-")</f>
        <v>4</v>
      </c>
      <c r="AH19" s="429">
        <f ca="1">IFERROR(VLOOKUP(AH$2,Rango_Admin_DailyPred,MATCH($F19,Rango_Admin_DailyPred_Primera,0)+1,0),"-")</f>
        <v>0</v>
      </c>
      <c r="AI19" s="429">
        <f ca="1">IFERROR(VLOOKUP(AI$2,Rango_Admin_DailyPred,MATCH($F19,Rango_Admin_DailyPred_Primera,0)+1,0),"-")</f>
        <v>4</v>
      </c>
      <c r="AJ19" s="429">
        <f ca="1">IFERROR(VLOOKUP(AJ$2,Rango_Admin_DailyPred,MATCH($F19,Rango_Admin_DailyPred_Primera,0)+1,0),"-")</f>
        <v>0</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0</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13</v>
      </c>
      <c r="F20" s="448" t="str">
        <f ca="1">IFERROR(HLOOKUP(C20,Rango_Admin_DailyClas,5,FALSE),"-")</f>
        <v>bau</v>
      </c>
      <c r="G20" s="22">
        <f ca="1">IFERROR(HLOOKUP(C20,Rango_Admin_DailyClas,4,FALSE),"-")</f>
        <v>33</v>
      </c>
      <c r="H20" s="429">
        <f ca="1">IFERROR(VLOOKUP(H$2,Rango_Admin_DailyPred,MATCH($F20,Rango_Admin_DailyPred_Primera,0)+1,0),"-")</f>
        <v>0</v>
      </c>
      <c r="I20" s="429">
        <f ca="1">IFERROR(VLOOKUP(I$2,Rango_Admin_DailyPred,MATCH($F20,Rango_Admin_DailyPred_Primera,0)+1,0),"-")</f>
        <v>0</v>
      </c>
      <c r="J20" s="429">
        <f ca="1">IFERROR(VLOOKUP(J$2,Rango_Admin_DailyPred,MATCH($F20,Rango_Admin_DailyPred_Primera,0)+1,0),"-")</f>
        <v>0</v>
      </c>
      <c r="K20" s="429">
        <f ca="1">IFERROR(VLOOKUP(K$2,Rango_Admin_DailyPred,MATCH($F20,Rango_Admin_DailyPred_Primera,0)+1,0),"-")</f>
        <v>0</v>
      </c>
      <c r="L20" s="429">
        <f ca="1">IFERROR(VLOOKUP(L$2,Rango_Admin_DailyPred,MATCH($F20,Rango_Admin_DailyPred_Primera,0)+1,0),"-")</f>
        <v>0</v>
      </c>
      <c r="M20" s="429">
        <f ca="1">IFERROR(VLOOKUP(M$2,Rango_Admin_DailyPred,MATCH($F20,Rango_Admin_DailyPred_Primera,0)+1,0),"-")</f>
        <v>1</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0</v>
      </c>
      <c r="S20" s="429">
        <f ca="1">IFERROR(VLOOKUP(S$2,Rango_Admin_DailyPred,MATCH($F20,Rango_Admin_DailyPred_Primera,0)+1,0),"-")</f>
        <v>0</v>
      </c>
      <c r="T20" s="429">
        <f ca="1">IFERROR(VLOOKUP(T$2,Rango_Admin_DailyPred,MATCH($F20,Rango_Admin_DailyPred_Primera,0)+1,0),"-")</f>
        <v>0</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0</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4</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0</v>
      </c>
      <c r="AE20" s="429">
        <f ca="1">IFERROR(VLOOKUP(AE$2,Rango_Admin_DailyPred,MATCH($F20,Rango_Admin_DailyPred_Primera,0)+1,0),"-")</f>
        <v>0</v>
      </c>
      <c r="AF20" s="429">
        <f ca="1">IFERROR(VLOOKUP(AF$2,Rango_Admin_DailyPred,MATCH($F20,Rango_Admin_DailyPred_Primera,0)+1,0),"-")</f>
        <v>4</v>
      </c>
      <c r="AG20" s="429">
        <f ca="1">IFERROR(VLOOKUP(AG$2,Rango_Admin_DailyPred,MATCH($F20,Rango_Admin_DailyPred_Primera,0)+1,0),"-")</f>
        <v>4</v>
      </c>
      <c r="AH20" s="429">
        <f ca="1">IFERROR(VLOOKUP(AH$2,Rango_Admin_DailyPred,MATCH($F20,Rango_Admin_DailyPred_Primera,0)+1,0),"-")</f>
        <v>4</v>
      </c>
      <c r="AI20" s="429">
        <f ca="1">IFERROR(VLOOKUP(AI$2,Rango_Admin_DailyPred,MATCH($F20,Rango_Admin_DailyPred_Primera,0)+1,0),"-")</f>
        <v>0</v>
      </c>
      <c r="AJ20" s="429">
        <f ca="1">IFERROR(VLOOKUP(AJ$2,Rango_Admin_DailyPred,MATCH($F20,Rango_Admin_DailyPred_Primera,0)+1,0),"-")</f>
        <v>0</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0</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13</v>
      </c>
      <c r="F21" s="448" t="str">
        <f ca="1">IFERROR(HLOOKUP(C21,Rango_Admin_DailyClas,5,FALSE),"-")</f>
        <v>Vicuinho</v>
      </c>
      <c r="G21" s="22">
        <f ca="1">IFERROR(HLOOKUP(C21,Rango_Admin_DailyClas,4,FALSE),"-")</f>
        <v>33</v>
      </c>
      <c r="H21" s="429">
        <f ca="1">IFERROR(VLOOKUP(H$2,Rango_Admin_DailyPred,MATCH($F21,Rango_Admin_DailyPred_Primera,0)+1,0),"-")</f>
        <v>0</v>
      </c>
      <c r="I21" s="429">
        <f ca="1">IFERROR(VLOOKUP(I$2,Rango_Admin_DailyPred,MATCH($F21,Rango_Admin_DailyPred_Primera,0)+1,0),"-")</f>
        <v>1</v>
      </c>
      <c r="J21" s="429">
        <f ca="1">IFERROR(VLOOKUP(J$2,Rango_Admin_DailyPred,MATCH($F21,Rango_Admin_DailyPred_Primera,0)+1,0),"-")</f>
        <v>0</v>
      </c>
      <c r="K21" s="429">
        <f ca="1">IFERROR(VLOOKUP(K$2,Rango_Admin_DailyPred,MATCH($F21,Rango_Admin_DailyPred_Primera,0)+1,0),"-")</f>
        <v>4</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0</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4</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0</v>
      </c>
      <c r="AC21" s="429">
        <f ca="1">IFERROR(VLOOKUP(AC$2,Rango_Admin_DailyPred,MATCH($F21,Rango_Admin_DailyPred_Primera,0)+1,0),"-")</f>
        <v>0</v>
      </c>
      <c r="AD21" s="429">
        <f ca="1">IFERROR(VLOOKUP(AD$2,Rango_Admin_DailyPred,MATCH($F21,Rango_Admin_DailyPred_Primera,0)+1,0),"-")</f>
        <v>0</v>
      </c>
      <c r="AE21" s="429">
        <f ca="1">IFERROR(VLOOKUP(AE$2,Rango_Admin_DailyPred,MATCH($F21,Rango_Admin_DailyPred_Primera,0)+1,0),"-")</f>
        <v>0</v>
      </c>
      <c r="AF21" s="429">
        <f ca="1">IFERROR(VLOOKUP(AF$2,Rango_Admin_DailyPred,MATCH($F21,Rango_Admin_DailyPred_Primera,0)+1,0),"-")</f>
        <v>0</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0</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0</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Alexander Schulte</v>
      </c>
      <c r="G22" s="22">
        <f ca="1">IFERROR(HLOOKUP(C22,Rango_Admin_DailyClas,4,FALSE),"-")</f>
        <v>32</v>
      </c>
      <c r="H22" s="429">
        <f ca="1">IFERROR(VLOOKUP(H$2,Rango_Admin_DailyPred,MATCH($F22,Rango_Admin_DailyPred_Primera,0)+1,0),"-")</f>
        <v>0</v>
      </c>
      <c r="I22" s="429">
        <f ca="1">IFERROR(VLOOKUP(I$2,Rango_Admin_DailyPred,MATCH($F22,Rango_Admin_DailyPred_Primera,0)+1,0),"-")</f>
        <v>4</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0</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0</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0</v>
      </c>
      <c r="S22" s="429">
        <f ca="1">IFERROR(VLOOKUP(S$2,Rango_Admin_DailyPred,MATCH($F22,Rango_Admin_DailyPred_Primera,0)+1,0),"-")</f>
        <v>0</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0</v>
      </c>
      <c r="AC22" s="429">
        <f ca="1">IFERROR(VLOOKUP(AC$2,Rango_Admin_DailyPred,MATCH($F22,Rango_Admin_DailyPred_Primera,0)+1,0),"-")</f>
        <v>0</v>
      </c>
      <c r="AD22" s="429">
        <f ca="1">IFERROR(VLOOKUP(AD$2,Rango_Admin_DailyPred,MATCH($F22,Rango_Admin_DailyPred_Primera,0)+1,0),"-")</f>
        <v>0</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0</v>
      </c>
      <c r="AI22" s="429">
        <f ca="1">IFERROR(VLOOKUP(AI$2,Rango_Admin_DailyPred,MATCH($F22,Rango_Admin_DailyPred_Primera,0)+1,0),"-")</f>
        <v>4</v>
      </c>
      <c r="AJ22" s="429">
        <f ca="1">IFERROR(VLOOKUP(AJ$2,Rango_Admin_DailyPred,MATCH($F22,Rango_Admin_DailyPred_Primera,0)+1,0),"-")</f>
        <v>0</v>
      </c>
      <c r="AK22" s="429">
        <f ca="1">IFERROR(VLOOKUP(AK$2,Rango_Admin_DailyPred,MATCH($F22,Rango_Admin_DailyPred_Primera,0)+1,0),"-")</f>
        <v>4</v>
      </c>
      <c r="AL22" s="429">
        <f ca="1">IFERROR(VLOOKUP(AL$2,Rango_Admin_DailyPred,MATCH($F22,Rango_Admin_DailyPred_Primera,0)+1,0),"-")</f>
        <v>4</v>
      </c>
      <c r="AM22" s="429">
        <f ca="1">IFERROR(VLOOKUP(AM$2,Rango_Admin_DailyPred,MATCH($F22,Rango_Admin_DailyPred_Primera,0)+1,0),"-")</f>
        <v>0</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20</v>
      </c>
      <c r="F23" s="448" t="str">
        <f ca="1">IFERROR(HLOOKUP(C23,Rango_Admin_DailyClas,5,FALSE),"-")</f>
        <v>Joserra</v>
      </c>
      <c r="G23" s="22">
        <f ca="1">IFERROR(HLOOKUP(C23,Rango_Admin_DailyClas,4,FALSE),"-")</f>
        <v>31</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2</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0</v>
      </c>
      <c r="S23" s="429">
        <f ca="1">IFERROR(VLOOKUP(S$2,Rango_Admin_DailyPred,MATCH($F23,Rango_Admin_DailyPred_Primera,0)+1,0),"-")</f>
        <v>0</v>
      </c>
      <c r="T23" s="429">
        <f ca="1">IFERROR(VLOOKUP(T$2,Rango_Admin_DailyPred,MATCH($F23,Rango_Admin_DailyPred_Primera,0)+1,0),"-")</f>
        <v>0</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0</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0</v>
      </c>
      <c r="AE23" s="429">
        <f ca="1">IFERROR(VLOOKUP(AE$2,Rango_Admin_DailyPred,MATCH($F23,Rango_Admin_DailyPred_Primera,0)+1,0),"-")</f>
        <v>0</v>
      </c>
      <c r="AF23" s="429">
        <f ca="1">IFERROR(VLOOKUP(AF$2,Rango_Admin_DailyPred,MATCH($F23,Rango_Admin_DailyPred_Primera,0)+1,0),"-")</f>
        <v>0</v>
      </c>
      <c r="AG23" s="429">
        <f ca="1">IFERROR(VLOOKUP(AG$2,Rango_Admin_DailyPred,MATCH($F23,Rango_Admin_DailyPred_Primera,0)+1,0),"-")</f>
        <v>4</v>
      </c>
      <c r="AH23" s="429">
        <f ca="1">IFERROR(VLOOKUP(AH$2,Rango_Admin_DailyPred,MATCH($F23,Rango_Admin_DailyPred_Primera,0)+1,0),"-")</f>
        <v>4</v>
      </c>
      <c r="AI23" s="429">
        <f ca="1">IFERROR(VLOOKUP(AI$2,Rango_Admin_DailyPred,MATCH($F23,Rango_Admin_DailyPred_Primera,0)+1,0),"-")</f>
        <v>4</v>
      </c>
      <c r="AJ23" s="429">
        <f ca="1">IFERROR(VLOOKUP(AJ$2,Rango_Admin_DailyPred,MATCH($F23,Rango_Admin_DailyPred_Primera,0)+1,0),"-")</f>
        <v>0</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0</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(W83)</v>
      </c>
      <c r="C24" s="8">
        <v>21</v>
      </c>
      <c r="D24" s="19"/>
      <c r="E24" s="409">
        <f ca="1">IFERROR(HLOOKUP(C24,Rango_Admin_DailyClas,3,FALSE),"-")</f>
        <v>20</v>
      </c>
      <c r="F24" s="448" t="str">
        <f ca="1">IFERROR(HLOOKUP(C24,Rango_Admin_DailyClas,5,FALSE),"-")</f>
        <v>Miguel Suárez-Zuloaga</v>
      </c>
      <c r="G24" s="22">
        <f ca="1">IFERROR(HLOOKUP(C24,Rango_Admin_DailyClas,4,FALSE),"-")</f>
        <v>31</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2</v>
      </c>
      <c r="L24" s="429">
        <f ca="1">IFERROR(VLOOKUP(L$2,Rango_Admin_DailyPred,MATCH($F24,Rango_Admin_DailyPred_Primera,0)+1,0),"-")</f>
        <v>0</v>
      </c>
      <c r="M24" s="429">
        <f ca="1">IFERROR(VLOOKUP(M$2,Rango_Admin_DailyPred,MATCH($F24,Rango_Admin_DailyPred_Primera,0)+1,0),"-")</f>
        <v>4</v>
      </c>
      <c r="N24" s="429">
        <f ca="1">IFERROR(VLOOKUP(N$2,Rango_Admin_DailyPred,MATCH($F24,Rango_Admin_DailyPred_Primera,0)+1,0),"-")</f>
        <v>0</v>
      </c>
      <c r="O24" s="429">
        <f ca="1">IFERROR(VLOOKUP(O$2,Rango_Admin_DailyPred,MATCH($F24,Rango_Admin_DailyPred_Primera,0)+1,0),"-")</f>
        <v>0</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0</v>
      </c>
      <c r="S24" s="429">
        <f ca="1">IFERROR(VLOOKUP(S$2,Rango_Admin_DailyPred,MATCH($F24,Rango_Admin_DailyPred_Primera,0)+1,0),"-")</f>
        <v>0</v>
      </c>
      <c r="T24" s="429">
        <f ca="1">IFERROR(VLOOKUP(T$2,Rango_Admin_DailyPred,MATCH($F24,Rango_Admin_DailyPred_Primera,0)+1,0),"-")</f>
        <v>0</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4</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0</v>
      </c>
      <c r="AB24" s="429">
        <f ca="1">IFERROR(VLOOKUP(AB$2,Rango_Admin_DailyPred,MATCH($F24,Rango_Admin_DailyPred_Primera,0)+1,0),"-")</f>
        <v>0</v>
      </c>
      <c r="AC24" s="429">
        <f ca="1">IFERROR(VLOOKUP(AC$2,Rango_Admin_DailyPred,MATCH($F24,Rango_Admin_DailyPred_Primera,0)+1,0),"-")</f>
        <v>0</v>
      </c>
      <c r="AD24" s="429">
        <f ca="1">IFERROR(VLOOKUP(AD$2,Rango_Admin_DailyPred,MATCH($F24,Rango_Admin_DailyPred_Primera,0)+1,0),"-")</f>
        <v>0</v>
      </c>
      <c r="AE24" s="429">
        <f ca="1">IFERROR(VLOOKUP(AE$2,Rango_Admin_DailyPred,MATCH($F24,Rango_Admin_DailyPred_Primera,0)+1,0),"-")</f>
        <v>0</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0</v>
      </c>
      <c r="AI24" s="429">
        <f ca="1">IFERROR(VLOOKUP(AI$2,Rango_Admin_DailyPred,MATCH($F24,Rango_Admin_DailyPred_Primera,0)+1,0),"-")</f>
        <v>4</v>
      </c>
      <c r="AJ24" s="429">
        <f ca="1">IFERROR(VLOOKUP(AJ$2,Rango_Admin_DailyPred,MATCH($F24,Rango_Admin_DailyPred_Primera,0)+1,0),"-")</f>
        <v>0</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0</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22</v>
      </c>
      <c r="F25" s="448" t="str">
        <f ca="1">IFERROR(HLOOKUP(C25,Rango_Admin_DailyClas,5,FALSE),"-")</f>
        <v>Jaime Lafuente</v>
      </c>
      <c r="G25" s="22">
        <f ca="1">IFERROR(HLOOKUP(C25,Rango_Admin_DailyClas,4,FALSE),"-")</f>
        <v>30</v>
      </c>
      <c r="H25" s="429">
        <f ca="1">IFERROR(VLOOKUP(H$2,Rango_Admin_DailyPred,MATCH($F25,Rango_Admin_DailyPred_Primera,0)+1,0),"-")</f>
        <v>0</v>
      </c>
      <c r="I25" s="429">
        <f ca="1">IFERROR(VLOOKUP(I$2,Rango_Admin_DailyPred,MATCH($F25,Rango_Admin_DailyPred_Primera,0)+1,0),"-")</f>
        <v>1</v>
      </c>
      <c r="J25" s="429">
        <f ca="1">IFERROR(VLOOKUP(J$2,Rango_Admin_DailyPred,MATCH($F25,Rango_Admin_DailyPred_Primera,0)+1,0),"-")</f>
        <v>0</v>
      </c>
      <c r="K25" s="429">
        <f ca="1">IFERROR(VLOOKUP(K$2,Rango_Admin_DailyPred,MATCH($F25,Rango_Admin_DailyPred_Primera,0)+1,0),"-")</f>
        <v>0</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0</v>
      </c>
      <c r="S25" s="429">
        <f ca="1">IFERROR(VLOOKUP(S$2,Rango_Admin_DailyPred,MATCH($F25,Rango_Admin_DailyPred_Primera,0)+1,0),"-")</f>
        <v>0</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0</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0</v>
      </c>
      <c r="AC25" s="429">
        <f ca="1">IFERROR(VLOOKUP(AC$2,Rango_Admin_DailyPred,MATCH($F25,Rango_Admin_DailyPred_Primera,0)+1,0),"-")</f>
        <v>0</v>
      </c>
      <c r="AD25" s="429">
        <f ca="1">IFERROR(VLOOKUP(AD$2,Rango_Admin_DailyPred,MATCH($F25,Rango_Admin_DailyPred_Primera,0)+1,0),"-")</f>
        <v>0</v>
      </c>
      <c r="AE25" s="429">
        <f ca="1">IFERROR(VLOOKUP(AE$2,Rango_Admin_DailyPred,MATCH($F25,Rango_Admin_DailyPred_Primera,0)+1,0),"-")</f>
        <v>0</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0</v>
      </c>
      <c r="AK25" s="429">
        <f ca="1">IFERROR(VLOOKUP(AK$2,Rango_Admin_DailyPred,MATCH($F25,Rango_Admin_DailyPred_Primera,0)+1,0),"-")</f>
        <v>4</v>
      </c>
      <c r="AL25" s="429">
        <f ca="1">IFERROR(VLOOKUP(AL$2,Rango_Admin_DailyPred,MATCH($F25,Rango_Admin_DailyPred_Primera,0)+1,0),"-")</f>
        <v>4</v>
      </c>
      <c r="AM25" s="429">
        <f ca="1">IFERROR(VLOOKUP(AM$2,Rango_Admin_DailyPred,MATCH($F25,Rango_Admin_DailyPred_Primera,0)+1,0),"-")</f>
        <v>0</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(W86)</v>
      </c>
      <c r="C26" s="8">
        <v>23</v>
      </c>
      <c r="D26" s="19"/>
      <c r="E26" s="409">
        <f ca="1">IFERROR(HLOOKUP(C26,Rango_Admin_DailyClas,3,FALSE),"-")</f>
        <v>22</v>
      </c>
      <c r="F26" s="448" t="str">
        <f ca="1">IFERROR(HLOOKUP(C26,Rango_Admin_DailyClas,5,FALSE),"-")</f>
        <v>Miguel San Martín</v>
      </c>
      <c r="G26" s="22">
        <f ca="1">IFERROR(HLOOKUP(C26,Rango_Admin_DailyClas,4,FALSE),"-")</f>
        <v>30</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0</v>
      </c>
      <c r="N26" s="429">
        <f ca="1">IFERROR(VLOOKUP(N$2,Rango_Admin_DailyPred,MATCH($F26,Rango_Admin_DailyPred_Primera,0)+1,0),"-")</f>
        <v>0</v>
      </c>
      <c r="O26" s="429">
        <f ca="1">IFERROR(VLOOKUP(O$2,Rango_Admin_DailyPred,MATCH($F26,Rango_Admin_DailyPred_Primera,0)+1,0),"-")</f>
        <v>1</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0</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0</v>
      </c>
      <c r="AC26" s="429">
        <f ca="1">IFERROR(VLOOKUP(AC$2,Rango_Admin_DailyPred,MATCH($F26,Rango_Admin_DailyPred_Primera,0)+1,0),"-")</f>
        <v>0</v>
      </c>
      <c r="AD26" s="429">
        <f ca="1">IFERROR(VLOOKUP(AD$2,Rango_Admin_DailyPred,MATCH($F26,Rango_Admin_DailyPred_Primera,0)+1,0),"-")</f>
        <v>0</v>
      </c>
      <c r="AE26" s="429">
        <f ca="1">IFERROR(VLOOKUP(AE$2,Rango_Admin_DailyPred,MATCH($F26,Rango_Admin_DailyPred_Primera,0)+1,0),"-")</f>
        <v>0</v>
      </c>
      <c r="AF26" s="429">
        <f ca="1">IFERROR(VLOOKUP(AF$2,Rango_Admin_DailyPred,MATCH($F26,Rango_Admin_DailyPred_Primera,0)+1,0),"-")</f>
        <v>4</v>
      </c>
      <c r="AG26" s="429">
        <f ca="1">IFERROR(VLOOKUP(AG$2,Rango_Admin_DailyPred,MATCH($F26,Rango_Admin_DailyPred_Primera,0)+1,0),"-")</f>
        <v>4</v>
      </c>
      <c r="AH26" s="429">
        <f ca="1">IFERROR(VLOOKUP(AH$2,Rango_Admin_DailyPred,MATCH($F26,Rango_Admin_DailyPred_Primera,0)+1,0),"-")</f>
        <v>0</v>
      </c>
      <c r="AI26" s="429">
        <f ca="1">IFERROR(VLOOKUP(AI$2,Rango_Admin_DailyPred,MATCH($F26,Rango_Admin_DailyPred_Primera,0)+1,0),"-")</f>
        <v>4</v>
      </c>
      <c r="AJ26" s="429">
        <f ca="1">IFERROR(VLOOKUP(AJ$2,Rango_Admin_DailyPred,MATCH($F26,Rango_Admin_DailyPred_Primera,0)+1,0),"-")</f>
        <v>0</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0</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(W85)</v>
      </c>
      <c r="C27" s="8">
        <v>24</v>
      </c>
      <c r="D27" s="19"/>
      <c r="E27" s="409">
        <f ca="1">IFERROR(HLOOKUP(C27,Rango_Admin_DailyClas,3,FALSE),"-")</f>
        <v>22</v>
      </c>
      <c r="F27" s="448" t="str">
        <f ca="1">IFERROR(HLOOKUP(C27,Rango_Admin_DailyClas,5,FALSE),"-")</f>
        <v>AD Monchus</v>
      </c>
      <c r="G27" s="22">
        <f ca="1">IFERROR(HLOOKUP(C27,Rango_Admin_DailyClas,4,FALSE),"-")</f>
        <v>30</v>
      </c>
      <c r="H27" s="429">
        <f ca="1">IFERROR(VLOOKUP(H$2,Rango_Admin_DailyPred,MATCH($F27,Rango_Admin_DailyPred_Primera,0)+1,0),"-")</f>
        <v>0</v>
      </c>
      <c r="I27" s="429">
        <f ca="1">IFERROR(VLOOKUP(I$2,Rango_Admin_DailyPred,MATCH($F27,Rango_Admin_DailyPred_Primera,0)+1,0),"-")</f>
        <v>1</v>
      </c>
      <c r="J27" s="429">
        <f ca="1">IFERROR(VLOOKUP(J$2,Rango_Admin_DailyPred,MATCH($F27,Rango_Admin_DailyPred_Primera,0)+1,0),"-")</f>
        <v>0</v>
      </c>
      <c r="K27" s="429">
        <f ca="1">IFERROR(VLOOKUP(K$2,Rango_Admin_DailyPred,MATCH($F27,Rango_Admin_DailyPred_Primera,0)+1,0),"-")</f>
        <v>0</v>
      </c>
      <c r="L27" s="429">
        <f ca="1">IFERROR(VLOOKUP(L$2,Rango_Admin_DailyPred,MATCH($F27,Rango_Admin_DailyPred_Primera,0)+1,0),"-")</f>
        <v>0</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0</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4</v>
      </c>
      <c r="AB27" s="429">
        <f ca="1">IFERROR(VLOOKUP(AB$2,Rango_Admin_DailyPred,MATCH($F27,Rango_Admin_DailyPred_Primera,0)+1,0),"-")</f>
        <v>0</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0</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0</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22</v>
      </c>
      <c r="F28" s="448" t="str">
        <f ca="1">IFERROR(HLOOKUP(C28,Rango_Admin_DailyClas,5,FALSE),"-")</f>
        <v xml:space="preserve">Ignacio Núñez </v>
      </c>
      <c r="G28" s="22">
        <f ca="1">IFERROR(HLOOKUP(C28,Rango_Admin_DailyClas,4,FALSE),"-")</f>
        <v>30</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0</v>
      </c>
      <c r="S28" s="429">
        <f ca="1">IFERROR(VLOOKUP(S$2,Rango_Admin_DailyPred,MATCH($F28,Rango_Admin_DailyPred_Primera,0)+1,0),"-")</f>
        <v>0</v>
      </c>
      <c r="T28" s="429">
        <f ca="1">IFERROR(VLOOKUP(T$2,Rango_Admin_DailyPred,MATCH($F28,Rango_Admin_DailyPred_Primera,0)+1,0),"-")</f>
        <v>0</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0</v>
      </c>
      <c r="AE28" s="429">
        <f ca="1">IFERROR(VLOOKUP(AE$2,Rango_Admin_DailyPred,MATCH($F28,Rango_Admin_DailyPred_Primera,0)+1,0),"-")</f>
        <v>0</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0</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0</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Fercho Muro Matosex</v>
      </c>
      <c r="G29" s="22">
        <f ca="1">IFERROR(HLOOKUP(C29,Rango_Admin_DailyClas,4,FALSE),"-")</f>
        <v>29</v>
      </c>
      <c r="H29" s="429">
        <f ca="1">IFERROR(VLOOKUP(H$2,Rango_Admin_DailyPred,MATCH($F29,Rango_Admin_DailyPred_Primera,0)+1,0),"-")</f>
        <v>0</v>
      </c>
      <c r="I29" s="429">
        <f ca="1">IFERROR(VLOOKUP(I$2,Rango_Admin_DailyPred,MATCH($F29,Rango_Admin_DailyPred_Primera,0)+1,0),"-")</f>
        <v>4</v>
      </c>
      <c r="J29" s="429">
        <f ca="1">IFERROR(VLOOKUP(J$2,Rango_Admin_DailyPred,MATCH($F29,Rango_Admin_DailyPred_Primera,0)+1,0),"-")</f>
        <v>0</v>
      </c>
      <c r="K29" s="429">
        <f ca="1">IFERROR(VLOOKUP(K$2,Rango_Admin_DailyPred,MATCH($F29,Rango_Admin_DailyPred_Primera,0)+1,0),"-")</f>
        <v>4</v>
      </c>
      <c r="L29" s="429">
        <f ca="1">IFERROR(VLOOKUP(L$2,Rango_Admin_DailyPred,MATCH($F29,Rango_Admin_DailyPred_Primera,0)+1,0),"-")</f>
        <v>0</v>
      </c>
      <c r="M29" s="429">
        <f ca="1">IFERROR(VLOOKUP(M$2,Rango_Admin_DailyPred,MATCH($F29,Rango_Admin_DailyPred_Primera,0)+1,0),"-")</f>
        <v>0</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1</v>
      </c>
      <c r="Q29" s="429">
        <f ca="1">IFERROR(VLOOKUP(Q$2,Rango_Admin_DailyPred,MATCH($F29,Rango_Admin_DailyPred_Primera,0)+1,0),"-")</f>
        <v>0</v>
      </c>
      <c r="R29" s="429">
        <f ca="1">IFERROR(VLOOKUP(R$2,Rango_Admin_DailyPred,MATCH($F29,Rango_Admin_DailyPred_Primera,0)+1,0),"-")</f>
        <v>0</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0</v>
      </c>
      <c r="AB29" s="429">
        <f ca="1">IFERROR(VLOOKUP(AB$2,Rango_Admin_DailyPred,MATCH($F29,Rango_Admin_DailyPred_Primera,0)+1,0),"-")</f>
        <v>0</v>
      </c>
      <c r="AC29" s="429">
        <f ca="1">IFERROR(VLOOKUP(AC$2,Rango_Admin_DailyPred,MATCH($F29,Rango_Admin_DailyPred_Primera,0)+1,0),"-")</f>
        <v>0</v>
      </c>
      <c r="AD29" s="429">
        <f ca="1">IFERROR(VLOOKUP(AD$2,Rango_Admin_DailyPred,MATCH($F29,Rango_Admin_DailyPred_Primera,0)+1,0),"-")</f>
        <v>0</v>
      </c>
      <c r="AE29" s="429">
        <f ca="1">IFERROR(VLOOKUP(AE$2,Rango_Admin_DailyPred,MATCH($F29,Rango_Admin_DailyPred_Primera,0)+1,0),"-")</f>
        <v>0</v>
      </c>
      <c r="AF29" s="429">
        <f ca="1">IFERROR(VLOOKUP(AF$2,Rango_Admin_DailyPred,MATCH($F29,Rango_Admin_DailyPred_Primera,0)+1,0),"-")</f>
        <v>0</v>
      </c>
      <c r="AG29" s="429">
        <f ca="1">IFERROR(VLOOKUP(AG$2,Rango_Admin_DailyPred,MATCH($F29,Rango_Admin_DailyPred_Primera,0)+1,0),"-")</f>
        <v>4</v>
      </c>
      <c r="AH29" s="429">
        <f ca="1">IFERROR(VLOOKUP(AH$2,Rango_Admin_DailyPred,MATCH($F29,Rango_Admin_DailyPred_Primera,0)+1,0),"-")</f>
        <v>0</v>
      </c>
      <c r="AI29" s="429">
        <f ca="1">IFERROR(VLOOKUP(AI$2,Rango_Admin_DailyPred,MATCH($F29,Rango_Admin_DailyPred_Primera,0)+1,0),"-")</f>
        <v>4</v>
      </c>
      <c r="AJ29" s="429">
        <f ca="1">IFERROR(VLOOKUP(AJ$2,Rango_Admin_DailyPred,MATCH($F29,Rango_Admin_DailyPred_Primera,0)+1,0),"-")</f>
        <v>0</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0</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Guillermo Murciano</v>
      </c>
      <c r="G30" s="22">
        <f ca="1">IFERROR(HLOOKUP(C30,Rango_Admin_DailyClas,4,FALSE),"-")</f>
        <v>29</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0</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0</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0</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0</v>
      </c>
      <c r="AE30" s="429">
        <f ca="1">IFERROR(VLOOKUP(AE$2,Rango_Admin_DailyPred,MATCH($F30,Rango_Admin_DailyPred_Primera,0)+1,0),"-")</f>
        <v>0</v>
      </c>
      <c r="AF30" s="429">
        <f ca="1">IFERROR(VLOOKUP(AF$2,Rango_Admin_DailyPred,MATCH($F30,Rango_Admin_DailyPred_Primera,0)+1,0),"-")</f>
        <v>4</v>
      </c>
      <c r="AG30" s="429">
        <f ca="1">IFERROR(VLOOKUP(AG$2,Rango_Admin_DailyPred,MATCH($F30,Rango_Admin_DailyPred_Primera,0)+1,0),"-")</f>
        <v>4</v>
      </c>
      <c r="AH30" s="429">
        <f ca="1">IFERROR(VLOOKUP(AH$2,Rango_Admin_DailyPred,MATCH($F30,Rango_Admin_DailyPred_Primera,0)+1,0),"-")</f>
        <v>4</v>
      </c>
      <c r="AI30" s="429">
        <f ca="1">IFERROR(VLOOKUP(AI$2,Rango_Admin_DailyPred,MATCH($F30,Rango_Admin_DailyPred_Primera,0)+1,0),"-")</f>
        <v>4</v>
      </c>
      <c r="AJ30" s="429">
        <f ca="1">IFERROR(VLOOKUP(AJ$2,Rango_Admin_DailyPred,MATCH($F30,Rango_Admin_DailyPred_Primera,0)+1,0),"-")</f>
        <v>0</v>
      </c>
      <c r="AK30" s="429">
        <f ca="1">IFERROR(VLOOKUP(AK$2,Rango_Admin_DailyPred,MATCH($F30,Rango_Admin_DailyPred_Primera,0)+1,0),"-")</f>
        <v>4</v>
      </c>
      <c r="AL30" s="429">
        <f ca="1">IFERROR(VLOOKUP(AL$2,Rango_Admin_DailyPred,MATCH($F30,Rango_Admin_DailyPred_Primera,0)+1,0),"-")</f>
        <v>0</v>
      </c>
      <c r="AM30" s="429">
        <f ca="1">IFERROR(VLOOKUP(AM$2,Rango_Admin_DailyPred,MATCH($F30,Rango_Admin_DailyPred_Primera,0)+1,0),"-")</f>
        <v>0</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26</v>
      </c>
      <c r="F31" s="448" t="str">
        <f ca="1">IFERROR(HLOOKUP(C31,Rango_Admin_DailyClas,5,FALSE),"-")</f>
        <v>BeliBeltrán</v>
      </c>
      <c r="G31" s="22">
        <f ca="1">IFERROR(HLOOKUP(C31,Rango_Admin_DailyClas,4,FALSE),"-")</f>
        <v>29</v>
      </c>
      <c r="H31" s="429">
        <f ca="1">IFERROR(VLOOKUP(H$2,Rango_Admin_DailyPred,MATCH($F31,Rango_Admin_DailyPred_Primera,0)+1,0),"-")</f>
        <v>0</v>
      </c>
      <c r="I31" s="429">
        <f ca="1">IFERROR(VLOOKUP(I$2,Rango_Admin_DailyPred,MATCH($F31,Rango_Admin_DailyPred_Primera,0)+1,0),"-")</f>
        <v>0</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1</v>
      </c>
      <c r="M31" s="429">
        <f ca="1">IFERROR(VLOOKUP(M$2,Rango_Admin_DailyPred,MATCH($F31,Rango_Admin_DailyPred_Primera,0)+1,0),"-")</f>
        <v>0</v>
      </c>
      <c r="N31" s="429">
        <f ca="1">IFERROR(VLOOKUP(N$2,Rango_Admin_DailyPred,MATCH($F31,Rango_Admin_DailyPred_Primera,0)+1,0),"-")</f>
        <v>0</v>
      </c>
      <c r="O31" s="429">
        <f ca="1">IFERROR(VLOOKUP(O$2,Rango_Admin_DailyPred,MATCH($F31,Rango_Admin_DailyPred_Primera,0)+1,0),"-")</f>
        <v>0</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0</v>
      </c>
      <c r="S31" s="429">
        <f ca="1">IFERROR(VLOOKUP(S$2,Rango_Admin_DailyPred,MATCH($F31,Rango_Admin_DailyPred_Primera,0)+1,0),"-")</f>
        <v>0</v>
      </c>
      <c r="T31" s="429">
        <f ca="1">IFERROR(VLOOKUP(T$2,Rango_Admin_DailyPred,MATCH($F31,Rango_Admin_DailyPred_Primera,0)+1,0),"-")</f>
        <v>0</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4</v>
      </c>
      <c r="AB31" s="429">
        <f ca="1">IFERROR(VLOOKUP(AB$2,Rango_Admin_DailyPred,MATCH($F31,Rango_Admin_DailyPred_Primera,0)+1,0),"-")</f>
        <v>0</v>
      </c>
      <c r="AC31" s="429">
        <f ca="1">IFERROR(VLOOKUP(AC$2,Rango_Admin_DailyPred,MATCH($F31,Rango_Admin_DailyPred_Primera,0)+1,0),"-")</f>
        <v>0</v>
      </c>
      <c r="AD31" s="429">
        <f ca="1">IFERROR(VLOOKUP(AD$2,Rango_Admin_DailyPred,MATCH($F31,Rango_Admin_DailyPred_Primera,0)+1,0),"-")</f>
        <v>0</v>
      </c>
      <c r="AE31" s="429">
        <f ca="1">IFERROR(VLOOKUP(AE$2,Rango_Admin_DailyPred,MATCH($F31,Rango_Admin_DailyPred_Primera,0)+1,0),"-")</f>
        <v>0</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4</v>
      </c>
      <c r="AI31" s="429">
        <f ca="1">IFERROR(VLOOKUP(AI$2,Rango_Admin_DailyPred,MATCH($F31,Rango_Admin_DailyPred_Primera,0)+1,0),"-")</f>
        <v>4</v>
      </c>
      <c r="AJ31" s="429">
        <f ca="1">IFERROR(VLOOKUP(AJ$2,Rango_Admin_DailyPred,MATCH($F31,Rango_Admin_DailyPred_Primera,0)+1,0),"-")</f>
        <v>0</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0</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(W84)</v>
      </c>
      <c r="C32" s="8">
        <v>29</v>
      </c>
      <c r="D32" s="19"/>
      <c r="E32" s="409">
        <f ca="1">IFERROR(HLOOKUP(C32,Rango_Admin_DailyClas,3,FALSE),"-")</f>
        <v>26</v>
      </c>
      <c r="F32" s="448" t="str">
        <f ca="1">IFERROR(HLOOKUP(C32,Rango_Admin_DailyClas,5,FALSE),"-")</f>
        <v xml:space="preserve">Martín Matoses </v>
      </c>
      <c r="G32" s="22">
        <f ca="1">IFERROR(HLOOKUP(C32,Rango_Admin_DailyClas,4,FALSE),"-")</f>
        <v>29</v>
      </c>
      <c r="H32" s="429">
        <f ca="1">IFERROR(VLOOKUP(H$2,Rango_Admin_DailyPred,MATCH($F32,Rango_Admin_DailyPred_Primera,0)+1,0),"-")</f>
        <v>0</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0</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1</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4</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4</v>
      </c>
      <c r="AD32" s="429">
        <f ca="1">IFERROR(VLOOKUP(AD$2,Rango_Admin_DailyPred,MATCH($F32,Rango_Admin_DailyPred_Primera,0)+1,0),"-")</f>
        <v>0</v>
      </c>
      <c r="AE32" s="429">
        <f ca="1">IFERROR(VLOOKUP(AE$2,Rango_Admin_DailyPred,MATCH($F32,Rango_Admin_DailyPred_Primera,0)+1,0),"-")</f>
        <v>0</v>
      </c>
      <c r="AF32" s="429">
        <f ca="1">IFERROR(VLOOKUP(AF$2,Rango_Admin_DailyPred,MATCH($F32,Rango_Admin_DailyPred_Primera,0)+1,0),"-")</f>
        <v>0</v>
      </c>
      <c r="AG32" s="429">
        <f ca="1">IFERROR(VLOOKUP(AG$2,Rango_Admin_DailyPred,MATCH($F32,Rango_Admin_DailyPred_Primera,0)+1,0),"-")</f>
        <v>4</v>
      </c>
      <c r="AH32" s="429">
        <f ca="1">IFERROR(VLOOKUP(AH$2,Rango_Admin_DailyPred,MATCH($F32,Rango_Admin_DailyPred_Primera,0)+1,0),"-")</f>
        <v>4</v>
      </c>
      <c r="AI32" s="429">
        <f ca="1">IFERROR(VLOOKUP(AI$2,Rango_Admin_DailyPred,MATCH($F32,Rango_Admin_DailyPred_Primera,0)+1,0),"-")</f>
        <v>0</v>
      </c>
      <c r="AJ32" s="429">
        <f ca="1">IFERROR(VLOOKUP(AJ$2,Rango_Admin_DailyPred,MATCH($F32,Rango_Admin_DailyPred_Primera,0)+1,0),"-")</f>
        <v>0</v>
      </c>
      <c r="AK32" s="429">
        <f ca="1">IFERROR(VLOOKUP(AK$2,Rango_Admin_DailyPred,MATCH($F32,Rango_Admin_DailyPred_Primera,0)+1,0),"-")</f>
        <v>4</v>
      </c>
      <c r="AL32" s="429">
        <f ca="1">IFERROR(VLOOKUP(AL$2,Rango_Admin_DailyPred,MATCH($F32,Rango_Admin_DailyPred_Primera,0)+1,0),"-")</f>
        <v>0</v>
      </c>
      <c r="AM32" s="429">
        <f ca="1">IFERROR(VLOOKUP(AM$2,Rango_Admin_DailyPred,MATCH($F32,Rango_Admin_DailyPred_Primera,0)+1,0),"-")</f>
        <v>0</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26</v>
      </c>
      <c r="F33" s="448" t="str">
        <f ca="1">IFERROR(HLOOKUP(C33,Rango_Admin_DailyClas,5,FALSE),"-")</f>
        <v>IGNACIO LAFUENTE</v>
      </c>
      <c r="G33" s="22">
        <f ca="1">IFERROR(HLOOKUP(C33,Rango_Admin_DailyClas,4,FALSE),"-")</f>
        <v>29</v>
      </c>
      <c r="H33" s="429">
        <f ca="1">IFERROR(VLOOKUP(H$2,Rango_Admin_DailyPred,MATCH($F33,Rango_Admin_DailyPred_Primera,0)+1,0),"-")</f>
        <v>0</v>
      </c>
      <c r="I33" s="429">
        <f ca="1">IFERROR(VLOOKUP(I$2,Rango_Admin_DailyPred,MATCH($F33,Rango_Admin_DailyPred_Primera,0)+1,0),"-")</f>
        <v>2</v>
      </c>
      <c r="J33" s="429">
        <f ca="1">IFERROR(VLOOKUP(J$2,Rango_Admin_DailyPred,MATCH($F33,Rango_Admin_DailyPred_Primera,0)+1,0),"-")</f>
        <v>0</v>
      </c>
      <c r="K33" s="429">
        <f ca="1">IFERROR(VLOOKUP(K$2,Rango_Admin_DailyPred,MATCH($F33,Rango_Admin_DailyPred_Primera,0)+1,0),"-")</f>
        <v>2</v>
      </c>
      <c r="L33" s="429">
        <f ca="1">IFERROR(VLOOKUP(L$2,Rango_Admin_DailyPred,MATCH($F33,Rango_Admin_DailyPred_Primera,0)+1,0),"-")</f>
        <v>0</v>
      </c>
      <c r="M33" s="429">
        <f ca="1">IFERROR(VLOOKUP(M$2,Rango_Admin_DailyPred,MATCH($F33,Rango_Admin_DailyPred_Primera,0)+1,0),"-")</f>
        <v>1</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0</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0</v>
      </c>
      <c r="AC33" s="429">
        <f ca="1">IFERROR(VLOOKUP(AC$2,Rango_Admin_DailyPred,MATCH($F33,Rango_Admin_DailyPred_Primera,0)+1,0),"-")</f>
        <v>0</v>
      </c>
      <c r="AD33" s="429">
        <f ca="1">IFERROR(VLOOKUP(AD$2,Rango_Admin_DailyPred,MATCH($F33,Rango_Admin_DailyPred_Primera,0)+1,0),"-")</f>
        <v>0</v>
      </c>
      <c r="AE33" s="429">
        <f ca="1">IFERROR(VLOOKUP(AE$2,Rango_Admin_DailyPred,MATCH($F33,Rango_Admin_DailyPred_Primera,0)+1,0),"-")</f>
        <v>0</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0</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0</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(W88)</v>
      </c>
      <c r="C34" s="8">
        <v>31</v>
      </c>
      <c r="D34" s="19"/>
      <c r="E34" s="409">
        <f ca="1">IFERROR(HLOOKUP(C34,Rango_Admin_DailyClas,3,FALSE),"-")</f>
        <v>31</v>
      </c>
      <c r="F34" s="448" t="str">
        <f ca="1">IFERROR(HLOOKUP(C34,Rango_Admin_DailyClas,5,FALSE),"-")</f>
        <v>Luis B</v>
      </c>
      <c r="G34" s="22">
        <f ca="1">IFERROR(HLOOKUP(C34,Rango_Admin_DailyClas,4,FALSE),"-")</f>
        <v>28</v>
      </c>
      <c r="H34" s="429">
        <f ca="1">IFERROR(VLOOKUP(H$2,Rango_Admin_DailyPred,MATCH($F34,Rango_Admin_DailyPred_Primera,0)+1,0),"-")</f>
        <v>0</v>
      </c>
      <c r="I34" s="429">
        <f ca="1">IFERROR(VLOOKUP(I$2,Rango_Admin_DailyPred,MATCH($F34,Rango_Admin_DailyPred_Primera,0)+1,0),"-")</f>
        <v>2</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1</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0</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0</v>
      </c>
      <c r="AB34" s="429">
        <f ca="1">IFERROR(VLOOKUP(AB$2,Rango_Admin_DailyPred,MATCH($F34,Rango_Admin_DailyPred_Primera,0)+1,0),"-")</f>
        <v>0</v>
      </c>
      <c r="AC34" s="429">
        <f ca="1">IFERROR(VLOOKUP(AC$2,Rango_Admin_DailyPred,MATCH($F34,Rango_Admin_DailyPred_Primera,0)+1,0),"-")</f>
        <v>4</v>
      </c>
      <c r="AD34" s="429">
        <f ca="1">IFERROR(VLOOKUP(AD$2,Rango_Admin_DailyPred,MATCH($F34,Rango_Admin_DailyPred_Primera,0)+1,0),"-")</f>
        <v>0</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0</v>
      </c>
      <c r="AI34" s="429">
        <f ca="1">IFERROR(VLOOKUP(AI$2,Rango_Admin_DailyPred,MATCH($F34,Rango_Admin_DailyPred_Primera,0)+1,0),"-")</f>
        <v>4</v>
      </c>
      <c r="AJ34" s="429">
        <f ca="1">IFERROR(VLOOKUP(AJ$2,Rango_Admin_DailyPred,MATCH($F34,Rango_Admin_DailyPred_Primera,0)+1,0),"-")</f>
        <v>0</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0</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(W87)</v>
      </c>
      <c r="C35" s="8">
        <v>32</v>
      </c>
      <c r="D35" s="19"/>
      <c r="E35" s="409">
        <f ca="1">IFERROR(HLOOKUP(C35,Rango_Admin_DailyClas,3,FALSE),"-")</f>
        <v>31</v>
      </c>
      <c r="F35" s="448" t="str">
        <f ca="1">IFERROR(HLOOKUP(C35,Rango_Admin_DailyClas,5,FALSE),"-")</f>
        <v>Gratacós</v>
      </c>
      <c r="G35" s="22">
        <f ca="1">IFERROR(HLOOKUP(C35,Rango_Admin_DailyClas,4,FALSE),"-")</f>
        <v>28</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0</v>
      </c>
      <c r="N35" s="429">
        <f ca="1">IFERROR(VLOOKUP(N$2,Rango_Admin_DailyPred,MATCH($F35,Rango_Admin_DailyPred_Primera,0)+1,0),"-")</f>
        <v>0</v>
      </c>
      <c r="O35" s="429">
        <f ca="1">IFERROR(VLOOKUP(O$2,Rango_Admin_DailyPred,MATCH($F35,Rango_Admin_DailyPred_Primera,0)+1,0),"-")</f>
        <v>0</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0</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0</v>
      </c>
      <c r="AE35" s="429">
        <f ca="1">IFERROR(VLOOKUP(AE$2,Rango_Admin_DailyPred,MATCH($F35,Rango_Admin_DailyPred_Primera,0)+1,0),"-")</f>
        <v>0</v>
      </c>
      <c r="AF35" s="429">
        <f ca="1">IFERROR(VLOOKUP(AF$2,Rango_Admin_DailyPred,MATCH($F35,Rango_Admin_DailyPred_Primera,0)+1,0),"-")</f>
        <v>4</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0</v>
      </c>
      <c r="AJ35" s="429">
        <f ca="1">IFERROR(VLOOKUP(AJ$2,Rango_Admin_DailyPred,MATCH($F35,Rango_Admin_DailyPred_Primera,0)+1,0),"-")</f>
        <v>0</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0</v>
      </c>
      <c r="AN35" s="297"/>
    </row>
    <row r="36" spans="1:40">
      <c r="A36" s="8"/>
      <c r="B36" s="8"/>
      <c r="C36" s="8">
        <v>33</v>
      </c>
      <c r="D36" s="19"/>
      <c r="E36" s="409">
        <f ca="1">IFERROR(HLOOKUP(C36,Rango_Admin_DailyClas,3,FALSE),"-")</f>
        <v>33</v>
      </c>
      <c r="F36" s="448" t="str">
        <f ca="1">IFERROR(HLOOKUP(C36,Rango_Admin_DailyClas,5,FALSE),"-")</f>
        <v>Ricardo Soto</v>
      </c>
      <c r="G36" s="22">
        <f ca="1">IFERROR(HLOOKUP(C36,Rango_Admin_DailyClas,4,FALSE),"-")</f>
        <v>27</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2</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0</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4</v>
      </c>
      <c r="AB36" s="429">
        <f ca="1">IFERROR(VLOOKUP(AB$2,Rango_Admin_DailyPred,MATCH($F36,Rango_Admin_DailyPred_Primera,0)+1,0),"-")</f>
        <v>0</v>
      </c>
      <c r="AC36" s="429">
        <f ca="1">IFERROR(VLOOKUP(AC$2,Rango_Admin_DailyPred,MATCH($F36,Rango_Admin_DailyPred_Primera,0)+1,0),"-")</f>
        <v>4</v>
      </c>
      <c r="AD36" s="429">
        <f ca="1">IFERROR(VLOOKUP(AD$2,Rango_Admin_DailyPred,MATCH($F36,Rango_Admin_DailyPred_Primera,0)+1,0),"-")</f>
        <v>0</v>
      </c>
      <c r="AE36" s="429">
        <f ca="1">IFERROR(VLOOKUP(AE$2,Rango_Admin_DailyPred,MATCH($F36,Rango_Admin_DailyPred_Primera,0)+1,0),"-")</f>
        <v>0</v>
      </c>
      <c r="AF36" s="429">
        <f ca="1">IFERROR(VLOOKUP(AF$2,Rango_Admin_DailyPred,MATCH($F36,Rango_Admin_DailyPred_Primera,0)+1,0),"-")</f>
        <v>0</v>
      </c>
      <c r="AG36" s="429">
        <f ca="1">IFERROR(VLOOKUP(AG$2,Rango_Admin_DailyPred,MATCH($F36,Rango_Admin_DailyPred_Primera,0)+1,0),"-")</f>
        <v>0</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0</v>
      </c>
      <c r="AK36" s="429">
        <f ca="1">IFERROR(VLOOKUP(AK$2,Rango_Admin_DailyPred,MATCH($F36,Rango_Admin_DailyPred_Primera,0)+1,0),"-")</f>
        <v>4</v>
      </c>
      <c r="AL36" s="429">
        <f ca="1">IFERROR(VLOOKUP(AL$2,Rango_Admin_DailyPred,MATCH($F36,Rango_Admin_DailyPred_Primera,0)+1,0),"-")</f>
        <v>0</v>
      </c>
      <c r="AM36" s="429">
        <f ca="1">IFERROR(VLOOKUP(AM$2,Rango_Admin_DailyPred,MATCH($F36,Rango_Admin_DailyPred_Primera,0)+1,0),"-")</f>
        <v>0</v>
      </c>
      <c r="AN36" s="297"/>
    </row>
    <row r="37" spans="1:40">
      <c r="A37" s="8"/>
      <c r="B37" s="8"/>
      <c r="C37" s="8">
        <v>34</v>
      </c>
      <c r="D37" s="19"/>
      <c r="E37" s="409">
        <f ca="1">IFERROR(HLOOKUP(C37,Rango_Admin_DailyClas,3,FALSE),"-")</f>
        <v>34</v>
      </c>
      <c r="F37" s="448" t="str">
        <f ca="1">IFERROR(HLOOKUP(C37,Rango_Admin_DailyClas,5,FALSE),"-")</f>
        <v>Alejandro Lafuente</v>
      </c>
      <c r="G37" s="22">
        <f ca="1">IFERROR(HLOOKUP(C37,Rango_Admin_DailyClas,4,FALSE),"-")</f>
        <v>26</v>
      </c>
      <c r="H37" s="429">
        <f ca="1">IFERROR(VLOOKUP(H$2,Rango_Admin_DailyPred,MATCH($F37,Rango_Admin_DailyPred_Primera,0)+1,0),"-")</f>
        <v>0</v>
      </c>
      <c r="I37" s="429">
        <f ca="1">IFERROR(VLOOKUP(I$2,Rango_Admin_DailyPred,MATCH($F37,Rango_Admin_DailyPred_Primera,0)+1,0),"-")</f>
        <v>1</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1</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0</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0</v>
      </c>
      <c r="X37" s="429">
        <f ca="1">IFERROR(VLOOKUP(X$2,Rango_Admin_DailyPred,MATCH($F37,Rango_Admin_DailyPred_Primera,0)+1,0),"-")</f>
        <v>0</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4</v>
      </c>
      <c r="AB37" s="429">
        <f ca="1">IFERROR(VLOOKUP(AB$2,Rango_Admin_DailyPred,MATCH($F37,Rango_Admin_DailyPred_Primera,0)+1,0),"-")</f>
        <v>0</v>
      </c>
      <c r="AC37" s="429">
        <f ca="1">IFERROR(VLOOKUP(AC$2,Rango_Admin_DailyPred,MATCH($F37,Rango_Admin_DailyPred_Primera,0)+1,0),"-")</f>
        <v>0</v>
      </c>
      <c r="AD37" s="429">
        <f ca="1">IFERROR(VLOOKUP(AD$2,Rango_Admin_DailyPred,MATCH($F37,Rango_Admin_DailyPred_Primera,0)+1,0),"-")</f>
        <v>0</v>
      </c>
      <c r="AE37" s="429">
        <f ca="1">IFERROR(VLOOKUP(AE$2,Rango_Admin_DailyPred,MATCH($F37,Rango_Admin_DailyPred_Primera,0)+1,0),"-")</f>
        <v>0</v>
      </c>
      <c r="AF37" s="429">
        <f ca="1">IFERROR(VLOOKUP(AF$2,Rango_Admin_DailyPred,MATCH($F37,Rango_Admin_DailyPred_Primera,0)+1,0),"-")</f>
        <v>0</v>
      </c>
      <c r="AG37" s="429">
        <f ca="1">IFERROR(VLOOKUP(AG$2,Rango_Admin_DailyPred,MATCH($F37,Rango_Admin_DailyPred_Primera,0)+1,0),"-")</f>
        <v>4</v>
      </c>
      <c r="AH37" s="429">
        <f ca="1">IFERROR(VLOOKUP(AH$2,Rango_Admin_DailyPred,MATCH($F37,Rango_Admin_DailyPred_Primera,0)+1,0),"-")</f>
        <v>4</v>
      </c>
      <c r="AI37" s="429">
        <f ca="1">IFERROR(VLOOKUP(AI$2,Rango_Admin_DailyPred,MATCH($F37,Rango_Admin_DailyPred_Primera,0)+1,0),"-")</f>
        <v>4</v>
      </c>
      <c r="AJ37" s="429">
        <f ca="1">IFERROR(VLOOKUP(AJ$2,Rango_Admin_DailyPred,MATCH($F37,Rango_Admin_DailyPred_Primera,0)+1,0),"-")</f>
        <v>0</v>
      </c>
      <c r="AK37" s="429">
        <f ca="1">IFERROR(VLOOKUP(AK$2,Rango_Admin_DailyPred,MATCH($F37,Rango_Admin_DailyPred_Primera,0)+1,0),"-")</f>
        <v>4</v>
      </c>
      <c r="AL37" s="429">
        <f ca="1">IFERROR(VLOOKUP(AL$2,Rango_Admin_DailyPred,MATCH($F37,Rango_Admin_DailyPred_Primera,0)+1,0),"-")</f>
        <v>0</v>
      </c>
      <c r="AM37" s="429">
        <f ca="1">IFERROR(VLOOKUP(AM$2,Rango_Admin_DailyPred,MATCH($F37,Rango_Admin_DailyPred_Primera,0)+1,0),"-")</f>
        <v>0</v>
      </c>
      <c r="AN37" s="297"/>
    </row>
    <row r="38" spans="1:40">
      <c r="A38" s="8"/>
      <c r="B38" s="8"/>
      <c r="C38" s="8">
        <v>35</v>
      </c>
      <c r="D38" s="19"/>
      <c r="E38" s="409">
        <f ca="1">IFERROR(HLOOKUP(C38,Rango_Admin_DailyClas,3,FALSE),"-")</f>
        <v>34</v>
      </c>
      <c r="F38" s="448" t="str">
        <f ca="1">IFERROR(HLOOKUP(C38,Rango_Admin_DailyClas,5,FALSE),"-")</f>
        <v>Hulk Rexach</v>
      </c>
      <c r="G38" s="22">
        <f ca="1">IFERROR(HLOOKUP(C38,Rango_Admin_DailyClas,4,FALSE),"-")</f>
        <v>26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1</v>
      </c>
      <c r="N38" s="429">
        <f ca="1">IFERROR(VLOOKUP(N$2,Rango_Admin_DailyPred,MATCH($F38,Rango_Admin_DailyPred_Primera,0)+1,0),"-")</f>
        <v>0</v>
      </c>
      <c r="O38" s="429">
        <f ca="1">IFERROR(VLOOKUP(O$2,Rango_Admin_DailyPred,MATCH($F38,Rango_Admin_DailyPred_Primera,0)+1,0),"-")</f>
        <v>1</v>
      </c>
      <c r="P38" s="429">
        <f ca="1">IFERROR(VLOOKUP(P$2,Rango_Admin_DailyPred,MATCH($F38,Rango_Admin_DailyPred_Primera,0)+1,0),"-")</f>
        <v>0</v>
      </c>
      <c r="Q38" s="429">
        <f ca="1">IFERROR(VLOOKUP(Q$2,Rango_Admin_DailyPred,MATCH($F38,Rango_Admin_DailyPred_Primera,0)+1,0),"-")</f>
        <v>0</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0</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0</v>
      </c>
      <c r="AB38" s="429">
        <f ca="1">IFERROR(VLOOKUP(AB$2,Rango_Admin_DailyPred,MATCH($F38,Rango_Admin_DailyPred_Primera,0)+1,0),"-")</f>
        <v>0</v>
      </c>
      <c r="AC38" s="429">
        <f ca="1">IFERROR(VLOOKUP(AC$2,Rango_Admin_DailyPred,MATCH($F38,Rango_Admin_DailyPred_Primera,0)+1,0),"-")</f>
        <v>0</v>
      </c>
      <c r="AD38" s="429">
        <f ca="1">IFERROR(VLOOKUP(AD$2,Rango_Admin_DailyPred,MATCH($F38,Rango_Admin_DailyPred_Primera,0)+1,0),"-")</f>
        <v>0</v>
      </c>
      <c r="AE38" s="429">
        <f ca="1">IFERROR(VLOOKUP(AE$2,Rango_Admin_DailyPred,MATCH($F38,Rango_Admin_DailyPred_Primera,0)+1,0),"-")</f>
        <v>0</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0</v>
      </c>
      <c r="AI38" s="429">
        <f ca="1">IFERROR(VLOOKUP(AI$2,Rango_Admin_DailyPred,MATCH($F38,Rango_Admin_DailyPred_Primera,0)+1,0),"-")</f>
        <v>4</v>
      </c>
      <c r="AJ38" s="429">
        <f ca="1">IFERROR(VLOOKUP(AJ$2,Rango_Admin_DailyPred,MATCH($F38,Rango_Admin_DailyPred_Primera,0)+1,0),"-")</f>
        <v>0</v>
      </c>
      <c r="AK38" s="429">
        <f ca="1">IFERROR(VLOOKUP(AK$2,Rango_Admin_DailyPred,MATCH($F38,Rango_Admin_DailyPred_Primera,0)+1,0),"-")</f>
        <v>4</v>
      </c>
      <c r="AL38" s="429">
        <f ca="1">IFERROR(VLOOKUP(AL$2,Rango_Admin_DailyPred,MATCH($F38,Rango_Admin_DailyPred_Primera,0)+1,0),"-")</f>
        <v>4</v>
      </c>
      <c r="AM38" s="429">
        <f ca="1">IFERROR(VLOOKUP(AM$2,Rango_Admin_DailyPred,MATCH($F38,Rango_Admin_DailyPred_Primera,0)+1,0),"-")</f>
        <v>0</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24</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0</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0</v>
      </c>
      <c r="AE39" s="429">
        <f ca="1">IFERROR(VLOOKUP(AE$2,Rango_Admin_DailyPred,MATCH($F39,Rango_Admin_DailyPred_Primera,0)+1,0),"-")</f>
        <v>0</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0</v>
      </c>
      <c r="AK39" s="429">
        <f ca="1">IFERROR(VLOOKUP(AK$2,Rango_Admin_DailyPred,MATCH($F39,Rango_Admin_DailyPred_Primera,0)+1,0),"-")</f>
        <v>4</v>
      </c>
      <c r="AL39" s="429">
        <f ca="1">IFERROR(VLOOKUP(AL$2,Rango_Admin_DailyPred,MATCH($F39,Rango_Admin_DailyPred_Primera,0)+1,0),"-")</f>
        <v>0</v>
      </c>
      <c r="AM39" s="429">
        <f ca="1">IFERROR(VLOOKUP(AM$2,Rango_Admin_DailyPred,MATCH($F39,Rango_Admin_DailyPred_Primera,0)+1,0),"-")</f>
        <v>0</v>
      </c>
      <c r="AN39" s="297"/>
    </row>
    <row r="40" spans="1:40">
      <c r="A40" s="8"/>
      <c r="B40" s="8"/>
      <c r="C40" s="8">
        <v>37</v>
      </c>
      <c r="D40" s="19"/>
      <c r="E40" s="409">
        <f ca="1">IFERROR(HLOOKUP(C40,Rango_Admin_DailyClas,3,FALSE),"-")</f>
        <v>36</v>
      </c>
      <c r="F40" s="448" t="str">
        <f ca="1">IFERROR(HLOOKUP(C40,Rango_Admin_DailyClas,5,FALSE),"-")</f>
        <v>Pablo C</v>
      </c>
      <c r="G40" s="22">
        <f ca="1">IFERROR(HLOOKUP(C40,Rango_Admin_DailyClas,4,FALSE),"-")</f>
        <v>24</v>
      </c>
      <c r="H40" s="429">
        <f ca="1">IFERROR(VLOOKUP(H$2,Rango_Admin_DailyPred,MATCH($F40,Rango_Admin_DailyPred_Primera,0)+1,0),"-")</f>
        <v>0</v>
      </c>
      <c r="I40" s="429">
        <f ca="1">IFERROR(VLOOKUP(I$2,Rango_Admin_DailyPred,MATCH($F40,Rango_Admin_DailyPred_Primera,0)+1,0),"-")</f>
        <v>0</v>
      </c>
      <c r="J40" s="429">
        <f ca="1">IFERROR(VLOOKUP(J$2,Rango_Admin_DailyPred,MATCH($F40,Rango_Admin_DailyPred_Primera,0)+1,0),"-")</f>
        <v>0</v>
      </c>
      <c r="K40" s="429">
        <f ca="1">IFERROR(VLOOKUP(K$2,Rango_Admin_DailyPred,MATCH($F40,Rango_Admin_DailyPred_Primera,0)+1,0),"-")</f>
        <v>0</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0</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0</v>
      </c>
      <c r="X40" s="429">
        <f ca="1">IFERROR(VLOOKUP(X$2,Rango_Admin_DailyPred,MATCH($F40,Rango_Admin_DailyPred_Primera,0)+1,0),"-")</f>
        <v>4</v>
      </c>
      <c r="Y40" s="429">
        <f ca="1">IFERROR(VLOOKUP(Y$2,Rango_Admin_DailyPred,MATCH($F40,Rango_Admin_DailyPred_Primera,0)+1,0),"-")</f>
        <v>0</v>
      </c>
      <c r="Z40" s="429">
        <f ca="1">IFERROR(VLOOKUP(Z$2,Rango_Admin_DailyPred,MATCH($F40,Rango_Admin_DailyPred_Primera,0)+1,0),"-")</f>
        <v>0</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0</v>
      </c>
      <c r="AE40" s="429">
        <f ca="1">IFERROR(VLOOKUP(AE$2,Rango_Admin_DailyPred,MATCH($F40,Rango_Admin_DailyPred_Primera,0)+1,0),"-")</f>
        <v>0</v>
      </c>
      <c r="AF40" s="429">
        <f ca="1">IFERROR(VLOOKUP(AF$2,Rango_Admin_DailyPred,MATCH($F40,Rango_Admin_DailyPred_Primera,0)+1,0),"-")</f>
        <v>4</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0</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0</v>
      </c>
      <c r="AN40" s="297"/>
    </row>
    <row r="41" spans="1:40">
      <c r="A41" s="8"/>
      <c r="B41" s="8"/>
      <c r="C41" s="8">
        <v>38</v>
      </c>
      <c r="D41" s="19"/>
      <c r="E41" s="409">
        <f ca="1">IFERROR(HLOOKUP(C41,Rango_Admin_DailyClas,3,FALSE),"-")</f>
        <v>36</v>
      </c>
      <c r="F41" s="448" t="str">
        <f ca="1">IFERROR(HLOOKUP(C41,Rango_Admin_DailyClas,5,FALSE),"-")</f>
        <v>YTD</v>
      </c>
      <c r="G41" s="22">
        <f ca="1">IFERROR(HLOOKUP(C41,Rango_Admin_DailyClas,4,FALSE),"-")</f>
        <v>24</v>
      </c>
      <c r="H41" s="429">
        <f ca="1">IFERROR(VLOOKUP(H$2,Rango_Admin_DailyPred,MATCH($F41,Rango_Admin_DailyPred_Primera,0)+1,0),"-")</f>
        <v>0</v>
      </c>
      <c r="I41" s="429">
        <f ca="1">IFERROR(VLOOKUP(I$2,Rango_Admin_DailyPred,MATCH($F41,Rango_Admin_DailyPred_Primera,0)+1,0),"-")</f>
        <v>0</v>
      </c>
      <c r="J41" s="429">
        <f ca="1">IFERROR(VLOOKUP(J$2,Rango_Admin_DailyPred,MATCH($F41,Rango_Admin_DailyPred_Primera,0)+1,0),"-")</f>
        <v>0</v>
      </c>
      <c r="K41" s="429">
        <f ca="1">IFERROR(VLOOKUP(K$2,Rango_Admin_DailyPred,MATCH($F41,Rango_Admin_DailyPred_Primera,0)+1,0),"-")</f>
        <v>0</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0</v>
      </c>
      <c r="AC41" s="429">
        <f ca="1">IFERROR(VLOOKUP(AC$2,Rango_Admin_DailyPred,MATCH($F41,Rango_Admin_DailyPred_Primera,0)+1,0),"-")</f>
        <v>0</v>
      </c>
      <c r="AD41" s="429">
        <f ca="1">IFERROR(VLOOKUP(AD$2,Rango_Admin_DailyPred,MATCH($F41,Rango_Admin_DailyPred_Primera,0)+1,0),"-")</f>
        <v>0</v>
      </c>
      <c r="AE41" s="429">
        <f ca="1">IFERROR(VLOOKUP(AE$2,Rango_Admin_DailyPred,MATCH($F41,Rango_Admin_DailyPred_Primera,0)+1,0),"-")</f>
        <v>0</v>
      </c>
      <c r="AF41" s="429">
        <f ca="1">IFERROR(VLOOKUP(AF$2,Rango_Admin_DailyPred,MATCH($F41,Rango_Admin_DailyPred_Primera,0)+1,0),"-")</f>
        <v>0</v>
      </c>
      <c r="AG41" s="429">
        <f ca="1">IFERROR(VLOOKUP(AG$2,Rango_Admin_DailyPred,MATCH($F41,Rango_Admin_DailyPred_Primera,0)+1,0),"-")</f>
        <v>4</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0</v>
      </c>
      <c r="AK41" s="429">
        <f ca="1">IFERROR(VLOOKUP(AK$2,Rango_Admin_DailyPred,MATCH($F41,Rango_Admin_DailyPred_Primera,0)+1,0),"-")</f>
        <v>0</v>
      </c>
      <c r="AL41" s="429">
        <f ca="1">IFERROR(VLOOKUP(AL$2,Rango_Admin_DailyPred,MATCH($F41,Rango_Admin_DailyPred_Primera,0)+1,0),"-")</f>
        <v>4</v>
      </c>
      <c r="AM41" s="429">
        <f ca="1">IFERROR(VLOOKUP(AM$2,Rango_Admin_DailyPred,MATCH($F41,Rango_Admin_DailyPred_Primera,0)+1,0),"-")</f>
        <v>0</v>
      </c>
      <c r="AN41" s="297"/>
    </row>
    <row r="42" spans="1:40">
      <c r="A42" s="8"/>
      <c r="B42" s="8"/>
      <c r="C42" s="8">
        <v>39</v>
      </c>
      <c r="D42" s="19"/>
      <c r="E42" s="409">
        <f ca="1">IFERROR(HLOOKUP(C42,Rango_Admin_DailyClas,3,FALSE),"-")</f>
        <v>39</v>
      </c>
      <c r="F42" s="448" t="str">
        <f ca="1">IFERROR(HLOOKUP(C42,Rango_Admin_DailyClas,5,FALSE),"-")</f>
        <v>Nacho Novo</v>
      </c>
      <c r="G42" s="22">
        <f ca="1">IFERROR(HLOOKUP(C42,Rango_Admin_DailyClas,4,FALSE),"-")</f>
        <v>23</v>
      </c>
      <c r="H42" s="429">
        <f ca="1">IFERROR(VLOOKUP(H$2,Rango_Admin_DailyPred,MATCH($F42,Rango_Admin_DailyPred_Primera,0)+1,0),"-")</f>
        <v>0</v>
      </c>
      <c r="I42" s="429">
        <f ca="1">IFERROR(VLOOKUP(I$2,Rango_Admin_DailyPred,MATCH($F42,Rango_Admin_DailyPred_Primera,0)+1,0),"-")</f>
        <v>1</v>
      </c>
      <c r="J42" s="429">
        <f ca="1">IFERROR(VLOOKUP(J$2,Rango_Admin_DailyPred,MATCH($F42,Rango_Admin_DailyPred_Primera,0)+1,0),"-")</f>
        <v>0</v>
      </c>
      <c r="K42" s="429">
        <f ca="1">IFERROR(VLOOKUP(K$2,Rango_Admin_DailyPred,MATCH($F42,Rango_Admin_DailyPred_Primera,0)+1,0),"-")</f>
        <v>2</v>
      </c>
      <c r="L42" s="429">
        <f ca="1">IFERROR(VLOOKUP(L$2,Rango_Admin_DailyPred,MATCH($F42,Rango_Admin_DailyPred_Primera,0)+1,0),"-")</f>
        <v>0</v>
      </c>
      <c r="M42" s="429">
        <f ca="1">IFERROR(VLOOKUP(M$2,Rango_Admin_DailyPred,MATCH($F42,Rango_Admin_DailyPred_Primera,0)+1,0),"-")</f>
        <v>4</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0</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0</v>
      </c>
      <c r="Y42" s="429">
        <f ca="1">IFERROR(VLOOKUP(Y$2,Rango_Admin_DailyPred,MATCH($F42,Rango_Admin_DailyPred_Primera,0)+1,0),"-")</f>
        <v>0</v>
      </c>
      <c r="Z42" s="429">
        <f ca="1">IFERROR(VLOOKUP(Z$2,Rango_Admin_DailyPred,MATCH($F42,Rango_Admin_DailyPred_Primera,0)+1,0),"-")</f>
        <v>4</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0</v>
      </c>
      <c r="AE42" s="429">
        <f ca="1">IFERROR(VLOOKUP(AE$2,Rango_Admin_DailyPred,MATCH($F42,Rango_Admin_DailyPred_Primera,0)+1,0),"-")</f>
        <v>0</v>
      </c>
      <c r="AF42" s="429">
        <f ca="1">IFERROR(VLOOKUP(AF$2,Rango_Admin_DailyPred,MATCH($F42,Rango_Admin_DailyPred_Primera,0)+1,0),"-")</f>
        <v>0</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0</v>
      </c>
      <c r="AK42" s="429">
        <f ca="1">IFERROR(VLOOKUP(AK$2,Rango_Admin_DailyPred,MATCH($F42,Rango_Admin_DailyPred_Primera,0)+1,0),"-")</f>
        <v>4</v>
      </c>
      <c r="AL42" s="429">
        <f ca="1">IFERROR(VLOOKUP(AL$2,Rango_Admin_DailyPred,MATCH($F42,Rango_Admin_DailyPred_Primera,0)+1,0),"-")</f>
        <v>0</v>
      </c>
      <c r="AM42" s="429">
        <f ca="1">IFERROR(VLOOKUP(AM$2,Rango_Admin_DailyPred,MATCH($F42,Rango_Admin_DailyPred_Primera,0)+1,0),"-")</f>
        <v>0</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22</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0</v>
      </c>
      <c r="S43" s="429">
        <f ca="1">IFERROR(VLOOKUP(S$2,Rango_Admin_DailyPred,MATCH($F43,Rango_Admin_DailyPred_Primera,0)+1,0),"-")</f>
        <v>0</v>
      </c>
      <c r="T43" s="429">
        <f ca="1">IFERROR(VLOOKUP(T$2,Rango_Admin_DailyPred,MATCH($F43,Rango_Admin_DailyPred_Primera,0)+1,0),"-")</f>
        <v>0</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0</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0</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0</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0</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20</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0</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0</v>
      </c>
      <c r="AE44" s="429">
        <f ca="1">IFERROR(VLOOKUP(AE$2,Rango_Admin_DailyPred,MATCH($F44,Rango_Admin_DailyPred_Primera,0)+1,0),"-")</f>
        <v>0</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0</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0</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0.78846153846153844</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1285</v>
      </c>
      <c r="F13" s="456">
        <f ca="1">IFERROR(E13/E12,0)</f>
        <v>0.20078124999999999</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25.7</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241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1</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1</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1</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1</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1</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1</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1</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1</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1</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1</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2026-07-02T05:31:49Z</dcterms:modified>
  <cp:category/>
</cp:coreProperties>
</file>