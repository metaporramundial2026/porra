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49" documentId="13_ncr:1_{AF5F34E1-3CEA-4E5C-856E-DF27FFEF07FE}" xr6:coauthVersionLast="47" xr6:coauthVersionMax="47" xr10:uidLastSave="{32527D29-8BB0-4924-A3CA-FE95456BB51A}"/>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5"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M207" i="46" s="1"/>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M8" i="46" s="1"/>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Q202" i="46" s="1"/>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M29" i="46" s="1"/>
  <c r="P29" i="46"/>
  <c r="O9" i="46"/>
  <c r="O10" i="46"/>
  <c r="O11" i="46"/>
  <c r="O12" i="46"/>
  <c r="O13" i="46"/>
  <c r="O14" i="46"/>
  <c r="O15" i="46"/>
  <c r="O16" i="46"/>
  <c r="O17" i="46"/>
  <c r="O18" i="46"/>
  <c r="O19" i="46"/>
  <c r="O20" i="46"/>
  <c r="O21" i="46"/>
  <c r="Q21" i="46" s="1"/>
  <c r="O22" i="46"/>
  <c r="O23" i="46"/>
  <c r="O24" i="46"/>
  <c r="O25" i="46"/>
  <c r="O26" i="46"/>
  <c r="O27" i="46"/>
  <c r="O28" i="46"/>
  <c r="N28" i="46"/>
  <c r="P28" i="46"/>
  <c r="O29" i="46"/>
  <c r="O30" i="46"/>
  <c r="P9" i="46"/>
  <c r="P10" i="46"/>
  <c r="P11" i="46"/>
  <c r="P12" i="46"/>
  <c r="P13" i="46"/>
  <c r="M13" i="46" s="1"/>
  <c r="P14" i="46"/>
  <c r="P15" i="46"/>
  <c r="P16" i="46"/>
  <c r="P17" i="46"/>
  <c r="Q17" i="46" s="1"/>
  <c r="P18" i="46"/>
  <c r="P19" i="46"/>
  <c r="P20" i="46"/>
  <c r="P21" i="46"/>
  <c r="P22" i="46"/>
  <c r="P23" i="46"/>
  <c r="P24" i="46"/>
  <c r="P25" i="46"/>
  <c r="P26" i="46"/>
  <c r="P27" i="46"/>
  <c r="P30" i="46"/>
  <c r="N9" i="46"/>
  <c r="N10" i="46"/>
  <c r="N11" i="46"/>
  <c r="M11" i="46" s="1"/>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Q52" i="46" s="1"/>
  <c r="P51" i="46"/>
  <c r="O51" i="46"/>
  <c r="P50" i="46"/>
  <c r="O50" i="46"/>
  <c r="P49" i="46"/>
  <c r="O49" i="46"/>
  <c r="P48" i="46"/>
  <c r="O48" i="46"/>
  <c r="P47" i="46"/>
  <c r="Q47" i="46" s="1"/>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s="1"/>
  <c r="FG5" i="46"/>
  <c r="FG267" i="46" s="1"/>
  <c r="FD5" i="46"/>
  <c r="FD267" i="46" s="1"/>
  <c r="FA5" i="46"/>
  <c r="FA267" i="46" s="1"/>
  <c r="EX5" i="46"/>
  <c r="EX267" i="46" s="1"/>
  <c r="EU5" i="46"/>
  <c r="EU267" i="46" s="1"/>
  <c r="ER5" i="46"/>
  <c r="ER267" i="46" s="1"/>
  <c r="EO5" i="46"/>
  <c r="EO267" i="46" s="1"/>
  <c r="EL5" i="46"/>
  <c r="EL267" i="46" s="1"/>
  <c r="EI5" i="46"/>
  <c r="EI267" i="46" s="1"/>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s="1"/>
  <c r="D337" i="36"/>
  <c r="C41" i="46" s="1"/>
  <c r="D336" i="36"/>
  <c r="C40" i="46" s="1"/>
  <c r="D320" i="36"/>
  <c r="C24" i="46" s="1"/>
  <c r="D312" i="36"/>
  <c r="C16" i="46" s="1"/>
  <c r="D311" i="36"/>
  <c r="C15" i="46" s="1"/>
  <c r="D309" i="36"/>
  <c r="C13" i="46" s="1"/>
  <c r="D308" i="36"/>
  <c r="C12" i="46" s="1"/>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s="1"/>
  <c r="D27" i="36"/>
  <c r="W12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s="1"/>
  <c r="D128" i="36"/>
  <c r="D81" i="36"/>
  <c r="B3" i="34" s="1"/>
  <c r="D113" i="36"/>
  <c r="D51" i="36"/>
  <c r="AL149" i="3" s="1"/>
  <c r="D120" i="36"/>
  <c r="D15" i="36"/>
  <c r="C7" i="30" s="1"/>
  <c r="D64" i="36"/>
  <c r="Z6" i="3" s="1"/>
  <c r="D50" i="36"/>
  <c r="AM148" i="3" s="1"/>
  <c r="D29" i="36"/>
  <c r="W141" i="3" s="1"/>
  <c r="D116" i="36"/>
  <c r="D22" i="36"/>
  <c r="BC5" i="3" s="1"/>
  <c r="BC57" i="3" s="1"/>
  <c r="D49" i="36"/>
  <c r="AL148" i="3" s="1"/>
  <c r="D127" i="36"/>
  <c r="D16" i="36"/>
  <c r="X3" i="3" s="1"/>
  <c r="D63" i="36"/>
  <c r="Z4" i="3" s="1"/>
  <c r="D282" i="36"/>
  <c r="D68" i="36"/>
  <c r="D48" i="36"/>
  <c r="C9" i="30" s="1"/>
  <c r="D469" i="36"/>
  <c r="S4" i="47" s="1"/>
  <c r="D422" i="36"/>
  <c r="D348" i="36"/>
  <c r="D435" i="36"/>
  <c r="D454" i="36"/>
  <c r="D4" i="47" s="1"/>
  <c r="D304" i="36"/>
  <c r="C8" i="46" s="1"/>
  <c r="D317" i="36"/>
  <c r="C21" i="46" s="1"/>
  <c r="D363" i="36"/>
  <c r="D342" i="36"/>
  <c r="C46" i="46" s="1"/>
  <c r="D437" i="36"/>
  <c r="D307" i="36"/>
  <c r="C11" i="46" s="1"/>
  <c r="D319" i="36"/>
  <c r="C23" i="46" s="1"/>
  <c r="D324" i="36"/>
  <c r="C28" i="46" s="1"/>
  <c r="D38" i="36"/>
  <c r="W158" i="3" s="1"/>
  <c r="D468" i="36"/>
  <c r="K248" i="46" s="1"/>
  <c r="D184" i="36"/>
  <c r="K114" i="46" s="1"/>
  <c r="D181" i="36"/>
  <c r="K111" i="46" s="1"/>
  <c r="D136" i="36"/>
  <c r="K79" i="46" s="1"/>
  <c r="D494" i="36"/>
  <c r="D3" i="51" s="1"/>
  <c r="D486" i="36"/>
  <c r="D493" i="36"/>
  <c r="D485" i="36"/>
  <c r="D500" i="36"/>
  <c r="I7" i="51" s="1"/>
  <c r="D495" i="36"/>
  <c r="D4" i="51" s="1"/>
  <c r="D499" i="36"/>
  <c r="H7" i="51" s="1"/>
  <c r="D491" i="36"/>
  <c r="D481" i="36"/>
  <c r="G3" i="50" s="1"/>
  <c r="D173" i="36"/>
  <c r="K103" i="46" s="1"/>
  <c r="D157" i="36"/>
  <c r="K87" i="46" s="1"/>
  <c r="D310" i="36"/>
  <c r="C14" i="46" s="1"/>
  <c r="D318" i="36"/>
  <c r="C22" i="46" s="1"/>
  <c r="D326" i="36"/>
  <c r="C30" i="46" s="1"/>
  <c r="D145" i="36"/>
  <c r="K235" i="46" s="1"/>
  <c r="D37" i="36"/>
  <c r="W156" i="3" s="1"/>
  <c r="D144" i="36"/>
  <c r="K231" i="46" s="1"/>
  <c r="D192" i="36"/>
  <c r="K122" i="46" s="1"/>
  <c r="D166" i="36"/>
  <c r="K96" i="46" s="1"/>
  <c r="D141" i="36"/>
  <c r="K209" i="46" s="1"/>
  <c r="D176" i="36"/>
  <c r="K106" i="46" s="1"/>
  <c r="D168" i="36"/>
  <c r="D160" i="36"/>
  <c r="K90" i="46" s="1"/>
  <c r="D152" i="36"/>
  <c r="K82" i="46" s="1"/>
  <c r="D183" i="36"/>
  <c r="K113" i="46" s="1"/>
  <c r="D159" i="36"/>
  <c r="K89" i="46" s="1"/>
  <c r="D151" i="36"/>
  <c r="K81" i="46" s="1"/>
  <c r="D196" i="36"/>
  <c r="K126" i="46" s="1"/>
  <c r="D188" i="36"/>
  <c r="K118" i="46" s="1"/>
  <c r="D467" i="36"/>
  <c r="Q4" i="47" s="1"/>
  <c r="D195" i="36"/>
  <c r="K125" i="46" s="1"/>
  <c r="D187" i="36"/>
  <c r="K117" i="46" s="1"/>
  <c r="D179" i="36"/>
  <c r="D163" i="36"/>
  <c r="K93" i="46" s="1"/>
  <c r="D139" i="36"/>
  <c r="K181" i="46" s="1"/>
  <c r="D178" i="36"/>
  <c r="K108" i="46" s="1"/>
  <c r="D170" i="36"/>
  <c r="K100" i="46" s="1"/>
  <c r="D162" i="36"/>
  <c r="K92" i="46" s="1"/>
  <c r="D154" i="36"/>
  <c r="K84" i="46" s="1"/>
  <c r="D177" i="36"/>
  <c r="K107" i="46" s="1"/>
  <c r="D153" i="36"/>
  <c r="K83" i="46" s="1"/>
  <c r="D202" i="36"/>
  <c r="K236" i="46" s="1"/>
  <c r="D200" i="36"/>
  <c r="K215" i="46" s="1"/>
  <c r="D199" i="36"/>
  <c r="K184" i="46" s="1"/>
  <c r="D93" i="36"/>
  <c r="D89" i="36"/>
  <c r="L9" i="34" s="1"/>
  <c r="D95" i="36"/>
  <c r="L15" i="34" s="1"/>
  <c r="D94" i="36"/>
  <c r="L14" i="34" s="1"/>
  <c r="D112" i="36"/>
  <c r="D98" i="36"/>
  <c r="L21" i="34" s="1"/>
  <c r="D91" i="36"/>
  <c r="L11" i="34" s="1"/>
  <c r="D88" i="36"/>
  <c r="D90" i="36"/>
  <c r="D87" i="36"/>
  <c r="L5" i="34" s="1"/>
  <c r="Q60" i="46"/>
  <c r="M66" i="46"/>
  <c r="E222" i="46"/>
  <c r="E207" i="46"/>
  <c r="D366" i="36"/>
  <c r="D443" i="36"/>
  <c r="D43" i="36"/>
  <c r="AA156" i="3" s="1"/>
  <c r="M37" i="46"/>
  <c r="E179" i="46"/>
  <c r="E247" i="46"/>
  <c r="E206" i="46"/>
  <c r="D77" i="36"/>
  <c r="D78" i="36"/>
  <c r="D510" i="36"/>
  <c r="D56" i="36"/>
  <c r="AN5" i="3" s="1"/>
  <c r="AN45" i="3" s="1"/>
  <c r="D261" i="36"/>
  <c r="C58" i="46" s="1"/>
  <c r="D58" i="36"/>
  <c r="AP5" i="3" s="1"/>
  <c r="AP85" i="3" s="1"/>
  <c r="D369" i="36"/>
  <c r="D511" i="36"/>
  <c r="D59" i="36"/>
  <c r="AQ5" i="3" s="1"/>
  <c r="D264" i="36"/>
  <c r="H256" i="46" s="1"/>
  <c r="D61" i="36"/>
  <c r="AS5" i="3" s="1"/>
  <c r="D54" i="36"/>
  <c r="BD5" i="3" s="1"/>
  <c r="BD57" i="3" s="1"/>
  <c r="D62" i="36"/>
  <c r="AT5" i="3" s="1"/>
  <c r="D137" i="36"/>
  <c r="H152" i="46" s="1"/>
  <c r="D260" i="36"/>
  <c r="H172" i="46" s="1"/>
  <c r="M74" i="46"/>
  <c r="M72" i="46"/>
  <c r="M43" i="46"/>
  <c r="M16" i="46"/>
  <c r="M65" i="46"/>
  <c r="M33" i="46"/>
  <c r="Q244" i="46"/>
  <c r="Q179" i="46"/>
  <c r="E221" i="46"/>
  <c r="Q45" i="46"/>
  <c r="Q76" i="46"/>
  <c r="E233" i="46"/>
  <c r="M61" i="46"/>
  <c r="M45" i="46"/>
  <c r="M69" i="46"/>
  <c r="Q201" i="46"/>
  <c r="M221" i="46"/>
  <c r="M49" i="46"/>
  <c r="M77" i="46"/>
  <c r="M57" i="46"/>
  <c r="E223" i="46"/>
  <c r="M26" i="46"/>
  <c r="M36" i="46"/>
  <c r="M50" i="46"/>
  <c r="M47" i="46"/>
  <c r="M62" i="46"/>
  <c r="M44" i="46"/>
  <c r="M53" i="46"/>
  <c r="M14" i="46"/>
  <c r="M17" i="46"/>
  <c r="D107" i="36"/>
  <c r="M84" i="34" s="1"/>
  <c r="S267" i="46"/>
  <c r="M20" i="46" l="1"/>
  <c r="M7" i="46"/>
  <c r="Q27" i="46"/>
  <c r="Q13" i="46"/>
  <c r="Q74" i="46"/>
  <c r="T7" i="51"/>
  <c r="C39" i="46"/>
  <c r="D76" i="36"/>
  <c r="D97" i="36"/>
  <c r="L20" i="34" s="1"/>
  <c r="D96" i="36"/>
  <c r="L18" i="34" s="1"/>
  <c r="D161" i="36"/>
  <c r="K91" i="46" s="1"/>
  <c r="D186" i="36"/>
  <c r="K116" i="46" s="1"/>
  <c r="D459" i="36"/>
  <c r="K198" i="46" s="1"/>
  <c r="D158" i="36"/>
  <c r="K88" i="46" s="1"/>
  <c r="D276" i="36"/>
  <c r="D460" i="36"/>
  <c r="K208" i="46" s="1"/>
  <c r="D480" i="36"/>
  <c r="F3" i="50" s="1"/>
  <c r="D502" i="36"/>
  <c r="H6" i="51" s="1"/>
  <c r="D182" i="36"/>
  <c r="K112" i="46" s="1"/>
  <c r="D347" i="36"/>
  <c r="D438" i="36"/>
  <c r="D281" i="36"/>
  <c r="D23" i="36"/>
  <c r="AV3" i="3" s="1"/>
  <c r="D5" i="36"/>
  <c r="D129" i="36"/>
  <c r="D70" i="36"/>
  <c r="D47" i="36"/>
  <c r="D431" i="36"/>
  <c r="D415" i="36"/>
  <c r="D395" i="36"/>
  <c r="D377" i="36"/>
  <c r="D349" i="36"/>
  <c r="D434" i="36"/>
  <c r="D313" i="36"/>
  <c r="C17" i="46" s="1"/>
  <c r="D146" i="36"/>
  <c r="K239" i="46" s="1"/>
  <c r="D505" i="36"/>
  <c r="D371" i="36"/>
  <c r="D46" i="36"/>
  <c r="AH160" i="3" s="1"/>
  <c r="D167" i="36"/>
  <c r="K97" i="46" s="1"/>
  <c r="D41" i="36"/>
  <c r="AA154" i="3" s="1"/>
  <c r="M253" i="46" s="1"/>
  <c r="AR253" i="46" s="1"/>
  <c r="D263" i="36"/>
  <c r="C60" i="46" s="1"/>
  <c r="D75" i="36"/>
  <c r="D92" i="36"/>
  <c r="L12" i="34" s="1"/>
  <c r="D104" i="36"/>
  <c r="L32" i="34" s="1"/>
  <c r="D169" i="36"/>
  <c r="K99" i="46" s="1"/>
  <c r="D194" i="36"/>
  <c r="K124" i="46" s="1"/>
  <c r="D463" i="36"/>
  <c r="K230" i="46" s="1"/>
  <c r="D175" i="36"/>
  <c r="D189" i="36"/>
  <c r="K119" i="46" s="1"/>
  <c r="D174" i="36"/>
  <c r="K104" i="46" s="1"/>
  <c r="D272" i="36"/>
  <c r="D484" i="36"/>
  <c r="D8" i="51" s="1"/>
  <c r="D171" i="36"/>
  <c r="K101" i="46" s="1"/>
  <c r="D333" i="36"/>
  <c r="C37" i="46" s="1"/>
  <c r="D355" i="36"/>
  <c r="D343" i="36"/>
  <c r="C47" i="46" s="1"/>
  <c r="D280" i="36"/>
  <c r="D18" i="36"/>
  <c r="Z3" i="3" s="1"/>
  <c r="Z75" i="3" s="1"/>
  <c r="D132" i="36"/>
  <c r="D119" i="36"/>
  <c r="D66" i="36"/>
  <c r="D430" i="36"/>
  <c r="D412" i="36"/>
  <c r="D394" i="36"/>
  <c r="D376" i="36"/>
  <c r="D346" i="36"/>
  <c r="D451" i="36"/>
  <c r="B1" i="47" s="1"/>
  <c r="D316" i="36"/>
  <c r="C20" i="46" s="1"/>
  <c r="D506" i="36"/>
  <c r="D55" i="36"/>
  <c r="AM5" i="3" s="1"/>
  <c r="AM53" i="3" s="1"/>
  <c r="D19" i="36"/>
  <c r="AA3" i="3" s="1"/>
  <c r="AA91" i="3" s="1"/>
  <c r="D364" i="36"/>
  <c r="D102" i="36"/>
  <c r="D105" i="36"/>
  <c r="L35" i="34" s="1"/>
  <c r="D185" i="36"/>
  <c r="K115" i="46" s="1"/>
  <c r="D143" i="36"/>
  <c r="K225" i="46" s="1"/>
  <c r="D36" i="36"/>
  <c r="W155" i="3" s="1"/>
  <c r="D191" i="36"/>
  <c r="K121" i="46" s="1"/>
  <c r="D149" i="36"/>
  <c r="K249" i="46" s="1"/>
  <c r="C62" i="46" s="1"/>
  <c r="D39" i="36"/>
  <c r="W159" i="3" s="1"/>
  <c r="K257" i="46" s="1"/>
  <c r="D504" i="36"/>
  <c r="D487" i="36"/>
  <c r="D11" i="51" s="1"/>
  <c r="D148" i="36"/>
  <c r="K246" i="46" s="1"/>
  <c r="D315" i="36"/>
  <c r="C19" i="46" s="1"/>
  <c r="D381" i="36"/>
  <c r="D356" i="36"/>
  <c r="D283" i="36"/>
  <c r="D31" i="36"/>
  <c r="AA149" i="3" s="1"/>
  <c r="D133" i="36"/>
  <c r="D118" i="36"/>
  <c r="D428" i="36"/>
  <c r="D410" i="36"/>
  <c r="D392" i="36"/>
  <c r="D362" i="36"/>
  <c r="D344" i="36"/>
  <c r="M7" i="51" s="1"/>
  <c r="D452" i="36"/>
  <c r="B4" i="47" s="1"/>
  <c r="D321" i="36"/>
  <c r="C25" i="46" s="1"/>
  <c r="D20" i="36"/>
  <c r="AD3" i="3" s="1"/>
  <c r="AD67" i="3" s="1"/>
  <c r="D373" i="36"/>
  <c r="D45" i="36"/>
  <c r="AA159" i="3" s="1"/>
  <c r="M257" i="46" s="1"/>
  <c r="T257" i="46" s="1"/>
  <c r="D365" i="36"/>
  <c r="EO30" i="46" s="1"/>
  <c r="D302" i="36"/>
  <c r="D99" i="36"/>
  <c r="L23" i="34" s="1"/>
  <c r="D106" i="36"/>
  <c r="L38" i="34" s="1"/>
  <c r="D193" i="36"/>
  <c r="K123" i="46" s="1"/>
  <c r="D147" i="36"/>
  <c r="K243" i="46" s="1"/>
  <c r="D270" i="36"/>
  <c r="D457" i="36"/>
  <c r="K162" i="46" s="1"/>
  <c r="D273" i="36"/>
  <c r="D474" i="36"/>
  <c r="G1" i="48" s="1"/>
  <c r="D479" i="36"/>
  <c r="E3" i="50" s="1"/>
  <c r="D488" i="36"/>
  <c r="D12" i="51" s="1"/>
  <c r="D74" i="36"/>
  <c r="AY3" i="3" s="1"/>
  <c r="D306" i="36"/>
  <c r="C10" i="46" s="1"/>
  <c r="D389" i="36"/>
  <c r="D374" i="36"/>
  <c r="D284" i="36"/>
  <c r="D65" i="36"/>
  <c r="Z8" i="3" s="1"/>
  <c r="Z89" i="3" s="1"/>
  <c r="D121" i="36"/>
  <c r="D126" i="36"/>
  <c r="D427" i="36"/>
  <c r="D409" i="36"/>
  <c r="D391" i="36"/>
  <c r="D361" i="36"/>
  <c r="D303" i="36"/>
  <c r="D7" i="46" s="1"/>
  <c r="D453" i="36"/>
  <c r="C4" i="47" s="1"/>
  <c r="D322" i="36"/>
  <c r="C26" i="46" s="1"/>
  <c r="D442" i="36"/>
  <c r="D50" i="46" s="1"/>
  <c r="D262" i="36"/>
  <c r="C59" i="46" s="1"/>
  <c r="D266" i="36"/>
  <c r="L2" i="32" s="1"/>
  <c r="D444" i="36"/>
  <c r="C50" i="46" s="1"/>
  <c r="D103" i="36"/>
  <c r="L6" i="34" s="1"/>
  <c r="D108" i="36"/>
  <c r="L41" i="34" s="1"/>
  <c r="D458" i="36"/>
  <c r="K180" i="46" s="1"/>
  <c r="D35" i="36"/>
  <c r="W154" i="3" s="1"/>
  <c r="K253" i="46" s="1"/>
  <c r="D455" i="36"/>
  <c r="K78" i="46" s="1"/>
  <c r="D461" i="36"/>
  <c r="K218" i="46" s="1"/>
  <c r="D165" i="36"/>
  <c r="K95" i="46" s="1"/>
  <c r="D475" i="36"/>
  <c r="F3" i="48" s="1"/>
  <c r="D513" i="36"/>
  <c r="D497" i="36"/>
  <c r="E7" i="51" s="1"/>
  <c r="D73" i="36"/>
  <c r="D332" i="36"/>
  <c r="C36" i="46" s="1"/>
  <c r="D397" i="36"/>
  <c r="D382" i="36"/>
  <c r="D277" i="36"/>
  <c r="D53" i="36"/>
  <c r="AJ5" i="3" s="1"/>
  <c r="AJ29" i="3" s="1"/>
  <c r="D52" i="36"/>
  <c r="AM149" i="3" s="1"/>
  <c r="D115" i="36"/>
  <c r="D426" i="36"/>
  <c r="D408" i="36"/>
  <c r="D388" i="36"/>
  <c r="D360" i="36"/>
  <c r="D301" i="36"/>
  <c r="D325" i="36"/>
  <c r="C29" i="46" s="1"/>
  <c r="D507" i="36"/>
  <c r="D21" i="36"/>
  <c r="AF3" i="3" s="1"/>
  <c r="AF51" i="3" s="1"/>
  <c r="D135" i="36"/>
  <c r="K5" i="46" s="1"/>
  <c r="C56" i="46" s="1"/>
  <c r="D57" i="36"/>
  <c r="AO5" i="3" s="1"/>
  <c r="AO29" i="3" s="1"/>
  <c r="D446" i="36"/>
  <c r="D100" i="36"/>
  <c r="L25" i="34" s="1"/>
  <c r="D109" i="36"/>
  <c r="L42" i="34" s="1"/>
  <c r="D462" i="36"/>
  <c r="K224" i="46" s="1"/>
  <c r="D269" i="36"/>
  <c r="D156" i="36"/>
  <c r="K86" i="46" s="1"/>
  <c r="D465" i="36"/>
  <c r="O4" i="47" s="1"/>
  <c r="D190" i="36"/>
  <c r="K120" i="46" s="1"/>
  <c r="D150" i="36"/>
  <c r="K80" i="46" s="1"/>
  <c r="D489" i="36"/>
  <c r="D13" i="51" s="1"/>
  <c r="D492" i="36"/>
  <c r="D16" i="51" s="1"/>
  <c r="D72" i="36"/>
  <c r="D323" i="36"/>
  <c r="C27" i="46" s="1"/>
  <c r="D405" i="36"/>
  <c r="D390" i="36"/>
  <c r="D278" i="36"/>
  <c r="D117" i="36"/>
  <c r="D123" i="36"/>
  <c r="D84" i="36"/>
  <c r="B2" i="34" s="1"/>
  <c r="D285" i="36"/>
  <c r="D425" i="36"/>
  <c r="D407" i="36"/>
  <c r="D387" i="36"/>
  <c r="D359" i="36"/>
  <c r="D300" i="36"/>
  <c r="D327" i="36"/>
  <c r="C31" i="46" s="1"/>
  <c r="D60" i="36"/>
  <c r="AR5" i="3" s="1"/>
  <c r="AR61" i="3" s="1"/>
  <c r="D508" i="36"/>
  <c r="D445" i="36"/>
  <c r="D101" i="36"/>
  <c r="L27" i="34" s="1"/>
  <c r="D198" i="36"/>
  <c r="K153" i="46" s="1"/>
  <c r="D466" i="36"/>
  <c r="P4" i="47" s="1"/>
  <c r="D470" i="36"/>
  <c r="D164" i="36"/>
  <c r="K94" i="46" s="1"/>
  <c r="D32" i="36"/>
  <c r="W150" i="3" s="1"/>
  <c r="K250" i="46" s="1"/>
  <c r="D142" i="36"/>
  <c r="K219" i="46" s="1"/>
  <c r="D140" i="36"/>
  <c r="K199" i="46" s="1"/>
  <c r="D490" i="36"/>
  <c r="D14" i="51" s="1"/>
  <c r="D501" i="36"/>
  <c r="H5" i="51" s="1"/>
  <c r="D464" i="36"/>
  <c r="N4" i="47" s="1"/>
  <c r="D314" i="36"/>
  <c r="C18" i="46" s="1"/>
  <c r="D413" i="36"/>
  <c r="D398" i="36"/>
  <c r="D279" i="36"/>
  <c r="D30" i="36"/>
  <c r="W145" i="3" s="1"/>
  <c r="D122" i="36"/>
  <c r="D4" i="36"/>
  <c r="K8" i="30" s="1"/>
  <c r="D7" i="36"/>
  <c r="C5" i="30" s="1"/>
  <c r="D424" i="36"/>
  <c r="D404" i="36"/>
  <c r="D386" i="36"/>
  <c r="D358" i="36"/>
  <c r="D341" i="36"/>
  <c r="C45" i="46" s="1"/>
  <c r="D9" i="36"/>
  <c r="D328" i="36"/>
  <c r="C32" i="46" s="1"/>
  <c r="D441" i="36"/>
  <c r="C49" i="46" s="1"/>
  <c r="D512" i="36"/>
  <c r="D368" i="36"/>
  <c r="FA200" i="46" s="1"/>
  <c r="D509" i="36"/>
  <c r="D86" i="36"/>
  <c r="L4" i="34" s="1"/>
  <c r="D201" i="36"/>
  <c r="K226" i="46" s="1"/>
  <c r="D34" i="36"/>
  <c r="W152" i="3" s="1"/>
  <c r="K252" i="46" s="1"/>
  <c r="D372" i="36"/>
  <c r="D172" i="36"/>
  <c r="K102" i="46" s="1"/>
  <c r="D40" i="36"/>
  <c r="W160" i="3" s="1"/>
  <c r="K258" i="46" s="1"/>
  <c r="D33" i="36"/>
  <c r="W151" i="3" s="1"/>
  <c r="K251" i="46" s="1"/>
  <c r="D271" i="36"/>
  <c r="D498" i="36"/>
  <c r="D503" i="36"/>
  <c r="D197" i="36"/>
  <c r="K127" i="46" s="1"/>
  <c r="D305" i="36"/>
  <c r="C9" i="46" s="1"/>
  <c r="D421" i="36"/>
  <c r="D406" i="36"/>
  <c r="D69" i="36"/>
  <c r="AZ61" i="3" s="1"/>
  <c r="D83" i="36"/>
  <c r="B16" i="34" s="1"/>
  <c r="D82" i="36"/>
  <c r="B15" i="34" s="1"/>
  <c r="D124" i="36"/>
  <c r="D25" i="36"/>
  <c r="W99" i="3" s="1"/>
  <c r="D423" i="36"/>
  <c r="D403" i="36"/>
  <c r="D385" i="36"/>
  <c r="D357" i="36"/>
  <c r="D340" i="36"/>
  <c r="C44" i="46" s="1"/>
  <c r="D10" i="36"/>
  <c r="D331" i="36"/>
  <c r="C35" i="46" s="1"/>
  <c r="D42" i="36"/>
  <c r="AA155" i="3" s="1"/>
  <c r="M254" i="46" s="1"/>
  <c r="T254" i="46" s="1"/>
  <c r="D370" i="36"/>
  <c r="D44" i="36"/>
  <c r="AH158" i="3" s="1"/>
  <c r="D110" i="36"/>
  <c r="L45" i="34" s="1"/>
  <c r="D203" i="36"/>
  <c r="K240" i="46" s="1"/>
  <c r="D456" i="36"/>
  <c r="F4" i="47" s="1"/>
  <c r="D155" i="36"/>
  <c r="K85" i="46" s="1"/>
  <c r="D180" i="36"/>
  <c r="K110" i="46" s="1"/>
  <c r="D274" i="36"/>
  <c r="D275" i="36"/>
  <c r="D334" i="36"/>
  <c r="C38" i="46" s="1"/>
  <c r="D478" i="36"/>
  <c r="D496" i="36"/>
  <c r="D5" i="51" s="1"/>
  <c r="D138" i="36"/>
  <c r="K163" i="46" s="1"/>
  <c r="D330" i="36"/>
  <c r="C34" i="46" s="1"/>
  <c r="D329" i="36"/>
  <c r="C33" i="46" s="1"/>
  <c r="D414" i="36"/>
  <c r="D17" i="36"/>
  <c r="Y3" i="3" s="1"/>
  <c r="Y83" i="3" s="1"/>
  <c r="D125" i="36"/>
  <c r="D130" i="36"/>
  <c r="D114" i="36"/>
  <c r="D26" i="36"/>
  <c r="W118" i="3" s="1"/>
  <c r="D420" i="36"/>
  <c r="D402" i="36"/>
  <c r="D384" i="36"/>
  <c r="D354" i="36"/>
  <c r="D339" i="36"/>
  <c r="C43" i="46" s="1"/>
  <c r="D299" i="36"/>
  <c r="C5" i="46" s="1"/>
  <c r="Q26" i="46"/>
  <c r="K245" i="46"/>
  <c r="H202" i="46"/>
  <c r="AH156" i="3"/>
  <c r="AG156" i="3" s="1"/>
  <c r="R7" i="51"/>
  <c r="Q62" i="46"/>
  <c r="B3" i="30"/>
  <c r="H212" i="46"/>
  <c r="C61" i="46"/>
  <c r="H258" i="46"/>
  <c r="Q25" i="6"/>
  <c r="H251" i="46"/>
  <c r="H205" i="46"/>
  <c r="H204" i="46"/>
  <c r="K196" i="46"/>
  <c r="H211" i="46"/>
  <c r="K259" i="46"/>
  <c r="H207" i="46"/>
  <c r="R4" i="47"/>
  <c r="P202" i="46"/>
  <c r="AJ3" i="3"/>
  <c r="AJ60" i="3" s="1"/>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s="1"/>
  <c r="Q58" i="46"/>
  <c r="Q59" i="46"/>
  <c r="Q66" i="46"/>
  <c r="P206" i="46"/>
  <c r="H210" i="46"/>
  <c r="H179" i="46"/>
  <c r="H252" i="46"/>
  <c r="Q22" i="6"/>
  <c r="H247" i="46"/>
  <c r="AL5" i="3"/>
  <c r="AL69" i="3" s="1"/>
  <c r="AY69" i="3" s="1"/>
  <c r="Q53" i="46"/>
  <c r="Q75" i="46"/>
  <c r="CN75" i="46" s="1"/>
  <c r="Q223" i="46"/>
  <c r="S7" i="51"/>
  <c r="H257" i="46"/>
  <c r="H216" i="46"/>
  <c r="H200" i="46"/>
  <c r="H187" i="46"/>
  <c r="H215" i="46"/>
  <c r="Q56" i="46"/>
  <c r="K182" i="46"/>
  <c r="Q9" i="46"/>
  <c r="Q36" i="46"/>
  <c r="Q40" i="46"/>
  <c r="Q44" i="46"/>
  <c r="T44" i="46" s="1"/>
  <c r="Q30" i="46"/>
  <c r="P203" i="46"/>
  <c r="Q203" i="46"/>
  <c r="Q207" i="46"/>
  <c r="Q65" i="46"/>
  <c r="Q232" i="46"/>
  <c r="Q33" i="46"/>
  <c r="Q37" i="46"/>
  <c r="Q41" i="46"/>
  <c r="Q49" i="46"/>
  <c r="P204" i="46"/>
  <c r="P247" i="46"/>
  <c r="Q39" i="46"/>
  <c r="Q77" i="46"/>
  <c r="P222" i="46"/>
  <c r="T77" i="46"/>
  <c r="M177" i="46"/>
  <c r="M169" i="46"/>
  <c r="M255" i="46"/>
  <c r="Z255" i="46" s="1"/>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s="1"/>
  <c r="D432" i="36"/>
  <c r="H147" i="46"/>
  <c r="H132" i="46"/>
  <c r="H161" i="46"/>
  <c r="K197" i="46"/>
  <c r="ER54" i="46"/>
  <c r="EU54" i="46"/>
  <c r="FG54" i="46"/>
  <c r="FJ54" i="46"/>
  <c r="EI54" i="46"/>
  <c r="EL54" i="46"/>
  <c r="EO54" i="46"/>
  <c r="EX54" i="46"/>
  <c r="FA54" i="46"/>
  <c r="FD54" i="46"/>
  <c r="D367" i="36"/>
  <c r="H244" i="46"/>
  <c r="H201" i="46"/>
  <c r="H214" i="46"/>
  <c r="H155" i="46"/>
  <c r="H140" i="46"/>
  <c r="H138" i="46"/>
  <c r="K193" i="46"/>
  <c r="K183" i="46"/>
  <c r="FD220" i="46"/>
  <c r="EI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77" i="46"/>
  <c r="W53" i="46"/>
  <c r="W45" i="46"/>
  <c r="W36" i="46"/>
  <c r="W52" i="46"/>
  <c r="W44" i="46"/>
  <c r="W26" i="46"/>
  <c r="W75" i="46"/>
  <c r="W33" i="46"/>
  <c r="W17" i="46"/>
  <c r="W7" i="46"/>
  <c r="W74" i="46"/>
  <c r="W66" i="46"/>
  <c r="W58" i="46"/>
  <c r="W41" i="46"/>
  <c r="W65" i="46"/>
  <c r="W49" i="46"/>
  <c r="W56"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AI33" i="46"/>
  <c r="BG33" i="46"/>
  <c r="CE33" i="46"/>
  <c r="AI26" i="46"/>
  <c r="AL33" i="46"/>
  <c r="BJ33" i="46"/>
  <c r="BJ26" i="46"/>
  <c r="AO33" i="46"/>
  <c r="BM33" i="46"/>
  <c r="BV17" i="46"/>
  <c r="CH26" i="46"/>
  <c r="AR33" i="46"/>
  <c r="BP33" i="46"/>
  <c r="AU33" i="46"/>
  <c r="BS33" i="46"/>
  <c r="AC33" i="46"/>
  <c r="AI36" i="46"/>
  <c r="BG36" i="46"/>
  <c r="CE36" i="46"/>
  <c r="AF33" i="46"/>
  <c r="AL36" i="46"/>
  <c r="BJ36" i="46"/>
  <c r="CH36" i="46"/>
  <c r="AX33" i="46"/>
  <c r="AO36" i="46"/>
  <c r="BM36" i="46"/>
  <c r="CK36" i="46"/>
  <c r="BA33" i="46"/>
  <c r="AR36" i="46"/>
  <c r="BP36" i="46"/>
  <c r="CN36" i="46"/>
  <c r="AI37" i="46"/>
  <c r="BG37" i="46"/>
  <c r="CE37" i="46"/>
  <c r="BD33" i="46"/>
  <c r="AU36" i="46"/>
  <c r="BS36" i="46"/>
  <c r="AL37" i="46"/>
  <c r="BJ37" i="46"/>
  <c r="BA36" i="46"/>
  <c r="AC37" i="46"/>
  <c r="BM37" i="46"/>
  <c r="AO41" i="46"/>
  <c r="BM41" i="46"/>
  <c r="CK41" i="46"/>
  <c r="BD36" i="46"/>
  <c r="AF37" i="46"/>
  <c r="BP37" i="46"/>
  <c r="AR41" i="46"/>
  <c r="BP41" i="46"/>
  <c r="CN41" i="46"/>
  <c r="Z44" i="46"/>
  <c r="AX44" i="46"/>
  <c r="BV44" i="46"/>
  <c r="AO45" i="46"/>
  <c r="BM45" i="46"/>
  <c r="CK45" i="46"/>
  <c r="Z33" i="46"/>
  <c r="BV36" i="46"/>
  <c r="AO37" i="46"/>
  <c r="BS37" i="46"/>
  <c r="BV33" i="46"/>
  <c r="BY36" i="46"/>
  <c r="AR37" i="46"/>
  <c r="BV37" i="46"/>
  <c r="CB36" i="46"/>
  <c r="AU37" i="46"/>
  <c r="AX41" i="46"/>
  <c r="CB41" i="46"/>
  <c r="AC44" i="46"/>
  <c r="BD44" i="46"/>
  <c r="CE44" i="46"/>
  <c r="AL45" i="46"/>
  <c r="BP45" i="46"/>
  <c r="CQ45" i="46"/>
  <c r="AI47" i="46"/>
  <c r="BG47" i="46"/>
  <c r="CE47" i="46"/>
  <c r="AO49" i="46"/>
  <c r="BM49" i="46"/>
  <c r="CK49" i="46"/>
  <c r="AX37" i="46"/>
  <c r="BA41" i="46"/>
  <c r="CE41" i="46"/>
  <c r="AF44" i="46"/>
  <c r="BG44" i="46"/>
  <c r="CH44" i="46"/>
  <c r="AR45" i="46"/>
  <c r="BS45" i="46"/>
  <c r="AL47" i="46"/>
  <c r="BJ47" i="46"/>
  <c r="CH47" i="46"/>
  <c r="AR49" i="46"/>
  <c r="BP49" i="46"/>
  <c r="CN49" i="46"/>
  <c r="BA37" i="46"/>
  <c r="Z41" i="46"/>
  <c r="BD41" i="46"/>
  <c r="CH41" i="46"/>
  <c r="AI44" i="46"/>
  <c r="BJ44" i="46"/>
  <c r="AU45" i="46"/>
  <c r="BV45" i="46"/>
  <c r="AO47" i="46"/>
  <c r="BM47" i="46"/>
  <c r="CK47" i="46"/>
  <c r="AU49" i="46"/>
  <c r="BS49" i="46"/>
  <c r="BD37" i="46"/>
  <c r="AC41" i="46"/>
  <c r="BG41" i="46"/>
  <c r="CQ41" i="46"/>
  <c r="AL44" i="46"/>
  <c r="BM44" i="46"/>
  <c r="AX45" i="46"/>
  <c r="BY45" i="46"/>
  <c r="AR47" i="46"/>
  <c r="BP47" i="46"/>
  <c r="CN47" i="46"/>
  <c r="Z49" i="46"/>
  <c r="AX49" i="46"/>
  <c r="BV49" i="46"/>
  <c r="BY33" i="46"/>
  <c r="Z36" i="46"/>
  <c r="BY37" i="46"/>
  <c r="AF41" i="46"/>
  <c r="BJ41" i="46"/>
  <c r="AO44" i="46"/>
  <c r="BP44" i="46"/>
  <c r="Z45" i="46"/>
  <c r="BA45" i="46"/>
  <c r="CB45" i="46"/>
  <c r="AU47" i="46"/>
  <c r="BS47" i="46"/>
  <c r="CQ47" i="46"/>
  <c r="AC49" i="46"/>
  <c r="BA49" i="46"/>
  <c r="BY49" i="46"/>
  <c r="CB33" i="46"/>
  <c r="BS41" i="46"/>
  <c r="BS44" i="46"/>
  <c r="AF45" i="46"/>
  <c r="BD47" i="46"/>
  <c r="CB49" i="46"/>
  <c r="AL52" i="46"/>
  <c r="BJ52" i="46"/>
  <c r="CH52" i="46"/>
  <c r="AC53" i="46"/>
  <c r="BA53" i="46"/>
  <c r="BY53" i="46"/>
  <c r="AC56" i="46"/>
  <c r="BA56" i="46"/>
  <c r="BY56" i="46"/>
  <c r="AI58" i="46"/>
  <c r="BG58" i="46"/>
  <c r="CE58" i="46"/>
  <c r="AC36" i="46"/>
  <c r="BV41" i="46"/>
  <c r="BY44" i="46"/>
  <c r="AI45" i="46"/>
  <c r="BV47" i="46"/>
  <c r="CE49" i="46"/>
  <c r="AO52" i="46"/>
  <c r="BM52" i="46"/>
  <c r="CK52" i="46"/>
  <c r="AF53" i="46"/>
  <c r="BD53" i="46"/>
  <c r="CB53" i="46"/>
  <c r="AF56" i="46"/>
  <c r="BD56" i="46"/>
  <c r="CB56" i="46"/>
  <c r="AL58" i="46"/>
  <c r="BJ58" i="46"/>
  <c r="CH58" i="46"/>
  <c r="AF36" i="46"/>
  <c r="BY41" i="46"/>
  <c r="CB44" i="46"/>
  <c r="BD45" i="46"/>
  <c r="BY47" i="46"/>
  <c r="AF49" i="46"/>
  <c r="CH49" i="46"/>
  <c r="AR52" i="46"/>
  <c r="BP52" i="46"/>
  <c r="CN52" i="46"/>
  <c r="AI53" i="46"/>
  <c r="BG53" i="46"/>
  <c r="CE53" i="46"/>
  <c r="AI56" i="46"/>
  <c r="BG56" i="46"/>
  <c r="CE56" i="46"/>
  <c r="AO58" i="46"/>
  <c r="BM58" i="46"/>
  <c r="CK58" i="46"/>
  <c r="AX36" i="46"/>
  <c r="Z37" i="46"/>
  <c r="BG45" i="46"/>
  <c r="Z47" i="46"/>
  <c r="CB47" i="46"/>
  <c r="AI49" i="46"/>
  <c r="AU52" i="46"/>
  <c r="BS52" i="46"/>
  <c r="CQ52" i="46"/>
  <c r="AL53" i="46"/>
  <c r="BJ53" i="46"/>
  <c r="CH53" i="46"/>
  <c r="AL56" i="46"/>
  <c r="BJ56" i="46"/>
  <c r="CB37" i="46"/>
  <c r="BJ45" i="46"/>
  <c r="AC47" i="46"/>
  <c r="AL49" i="46"/>
  <c r="Z52" i="46"/>
  <c r="AX52" i="46"/>
  <c r="BV52" i="46"/>
  <c r="AO53" i="46"/>
  <c r="BM53" i="46"/>
  <c r="AO56" i="46"/>
  <c r="BM56" i="46"/>
  <c r="AU44" i="46"/>
  <c r="CN45" i="46"/>
  <c r="AX47" i="46"/>
  <c r="BD52" i="46"/>
  <c r="Z53" i="46"/>
  <c r="Z58" i="46"/>
  <c r="BP58" i="46"/>
  <c r="AU62" i="46"/>
  <c r="BS62" i="46"/>
  <c r="AL63" i="46"/>
  <c r="BJ63" i="46"/>
  <c r="CH63" i="46"/>
  <c r="BA44" i="46"/>
  <c r="BA47" i="46"/>
  <c r="BG52" i="46"/>
  <c r="AR53"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X53" i="46"/>
  <c r="AU56" i="46"/>
  <c r="AR58" i="46"/>
  <c r="BY58" i="46"/>
  <c r="AF62" i="46"/>
  <c r="BD62" i="46"/>
  <c r="CB62" i="46"/>
  <c r="AU63" i="46"/>
  <c r="BS63" i="46"/>
  <c r="CQ63" i="46"/>
  <c r="AU41" i="46"/>
  <c r="BD49" i="46"/>
  <c r="AC52" i="46"/>
  <c r="CE52" i="46"/>
  <c r="BP53" i="46"/>
  <c r="AX56" i="46"/>
  <c r="AU58" i="46"/>
  <c r="CB58" i="46"/>
  <c r="AI62" i="46"/>
  <c r="BG62" i="46"/>
  <c r="CE62" i="46"/>
  <c r="Z63" i="46"/>
  <c r="AX63" i="46"/>
  <c r="BV63" i="46"/>
  <c r="BA58" i="46"/>
  <c r="BP62" i="46"/>
  <c r="BA63" i="46"/>
  <c r="AO65" i="46"/>
  <c r="BP65" i="46"/>
  <c r="CQ65" i="46"/>
  <c r="AL66" i="46"/>
  <c r="BJ66" i="46"/>
  <c r="CH66" i="46"/>
  <c r="BD58" i="46"/>
  <c r="CH62" i="46"/>
  <c r="BD63" i="46"/>
  <c r="AR65" i="46"/>
  <c r="BS65" i="46"/>
  <c r="AO66" i="46"/>
  <c r="BM66" i="46"/>
  <c r="CK66" i="46"/>
  <c r="CK62" i="46"/>
  <c r="BG63" i="46"/>
  <c r="AU65" i="46"/>
  <c r="BY65" i="46"/>
  <c r="AR66" i="46"/>
  <c r="BP66" i="46"/>
  <c r="CN66" i="46"/>
  <c r="BG49" i="46"/>
  <c r="AL62" i="46"/>
  <c r="CN62" i="46"/>
  <c r="BY63" i="46"/>
  <c r="BA65" i="46"/>
  <c r="CB65" i="46"/>
  <c r="AU66" i="46"/>
  <c r="BS66" i="46"/>
  <c r="CQ66" i="46"/>
  <c r="BJ49" i="46"/>
  <c r="BP56" i="46"/>
  <c r="AO62" i="46"/>
  <c r="CB63" i="46"/>
  <c r="AC65" i="46"/>
  <c r="BD65" i="46"/>
  <c r="CE65" i="46"/>
  <c r="Z66" i="46"/>
  <c r="AX66" i="46"/>
  <c r="BV66" i="46"/>
  <c r="AC45" i="46"/>
  <c r="AR62" i="46"/>
  <c r="CE63" i="46"/>
  <c r="AF65" i="46"/>
  <c r="CN65" i="46"/>
  <c r="AF66" i="46"/>
  <c r="AU74" i="46"/>
  <c r="BS74" i="46"/>
  <c r="CQ74" i="46"/>
  <c r="AL75" i="46"/>
  <c r="BJ75" i="46"/>
  <c r="CH75" i="46"/>
  <c r="CH45" i="46"/>
  <c r="BM62" i="46"/>
  <c r="AL65" i="46"/>
  <c r="BA66" i="46"/>
  <c r="AC74" i="46"/>
  <c r="BA74" i="46"/>
  <c r="BY74" i="46"/>
  <c r="AR75" i="46"/>
  <c r="BP75" i="46"/>
  <c r="AF52" i="46"/>
  <c r="BG65" i="46"/>
  <c r="BD66" i="46"/>
  <c r="AF74" i="46"/>
  <c r="BD74" i="46"/>
  <c r="CB74" i="46"/>
  <c r="AU75" i="46"/>
  <c r="BS75" i="46"/>
  <c r="AF47" i="46"/>
  <c r="AI52" i="46"/>
  <c r="BJ65" i="46"/>
  <c r="BG66" i="46"/>
  <c r="AI74" i="46"/>
  <c r="BG74" i="46"/>
  <c r="CE74" i="46"/>
  <c r="Z75" i="46"/>
  <c r="AX75" i="46"/>
  <c r="BV75" i="46"/>
  <c r="BA52" i="46"/>
  <c r="AC63" i="46"/>
  <c r="BM65" i="46"/>
  <c r="BY66" i="46"/>
  <c r="BS53" i="46"/>
  <c r="CH65" i="46"/>
  <c r="Z74" i="46"/>
  <c r="BV74" i="46"/>
  <c r="BM75" i="46"/>
  <c r="AO77" i="46"/>
  <c r="BM77" i="46"/>
  <c r="BV53" i="46"/>
  <c r="CK65" i="46"/>
  <c r="AL74" i="46"/>
  <c r="CH74" i="46"/>
  <c r="AC75" i="46"/>
  <c r="BY75" i="46"/>
  <c r="AR77" i="46"/>
  <c r="BP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R44" i="46"/>
  <c r="AI65" i="46"/>
  <c r="BG77" i="46"/>
  <c r="Q46" i="46"/>
  <c r="P221" i="46"/>
  <c r="Q222" i="46"/>
  <c r="Q68" i="46"/>
  <c r="Q16" i="46"/>
  <c r="T65" i="46"/>
  <c r="Q29" i="46"/>
  <c r="Q220" i="46"/>
  <c r="Q14" i="46"/>
  <c r="Q233" i="46"/>
  <c r="Q8" i="46"/>
  <c r="P178" i="46"/>
  <c r="P174" i="46"/>
  <c r="Q173" i="46"/>
  <c r="Q169" i="46"/>
  <c r="T47" i="46"/>
  <c r="Q50" i="46"/>
  <c r="T75" i="46"/>
  <c r="Q70" i="46"/>
  <c r="Q71" i="46"/>
  <c r="Q23" i="46"/>
  <c r="M46" i="46"/>
  <c r="M71" i="46"/>
  <c r="M70" i="46"/>
  <c r="M23" i="46"/>
  <c r="Q22" i="46"/>
  <c r="M22" i="46"/>
  <c r="Q200" i="46"/>
  <c r="T53"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AL51" i="46" s="1"/>
  <c r="Q51" i="46"/>
  <c r="T63" i="46"/>
  <c r="Q11" i="46"/>
  <c r="M64" i="46"/>
  <c r="M25" i="46"/>
  <c r="M10" i="46"/>
  <c r="Q18" i="46"/>
  <c r="Q57" i="46"/>
  <c r="Q61" i="46"/>
  <c r="Q69" i="46"/>
  <c r="Q73" i="46"/>
  <c r="M73" i="46"/>
  <c r="M12" i="46"/>
  <c r="M24" i="46"/>
  <c r="Q171" i="46"/>
  <c r="M32" i="46"/>
  <c r="M40" i="46"/>
  <c r="T40" i="46" s="1"/>
  <c r="Q48" i="46"/>
  <c r="M27" i="46"/>
  <c r="M19" i="46"/>
  <c r="D65" i="46"/>
  <c r="M59" i="46"/>
  <c r="T59" i="46" s="1"/>
  <c r="M15" i="46"/>
  <c r="P170" i="46"/>
  <c r="M60" i="46"/>
  <c r="M68" i="46"/>
  <c r="T68" i="46" s="1"/>
  <c r="M200" i="46"/>
  <c r="M76"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s="1"/>
  <c r="X43" i="3" s="1"/>
  <c r="X19" i="3"/>
  <c r="X35" i="3" s="1"/>
  <c r="X100" i="3"/>
  <c r="X137" i="3"/>
  <c r="X67" i="3"/>
  <c r="X51" i="3"/>
  <c r="X119" i="3"/>
  <c r="X75" i="3"/>
  <c r="X59" i="3"/>
  <c r="AO61"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6" i="46"/>
  <c r="E167" i="46"/>
  <c r="T48" i="46"/>
  <c r="T45" i="46"/>
  <c r="M38" i="46"/>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K154" i="46" l="1"/>
  <c r="FA232" i="46"/>
  <c r="ER232" i="46"/>
  <c r="K131" i="46"/>
  <c r="EL232" i="46"/>
  <c r="K144" i="46"/>
  <c r="K142" i="46"/>
  <c r="AJ101" i="3"/>
  <c r="AJ13" i="3"/>
  <c r="BV254" i="46"/>
  <c r="AH154" i="3"/>
  <c r="AG154" i="3" s="1"/>
  <c r="EU232" i="46"/>
  <c r="FJ244" i="46"/>
  <c r="K140" i="46"/>
  <c r="AZ37" i="3"/>
  <c r="K157" i="46"/>
  <c r="EL244" i="46"/>
  <c r="K141" i="46"/>
  <c r="K156" i="46"/>
  <c r="K149" i="46"/>
  <c r="FG244" i="46"/>
  <c r="K130" i="46"/>
  <c r="AZ5" i="3"/>
  <c r="EO232" i="46"/>
  <c r="EI244" i="46"/>
  <c r="K148" i="46"/>
  <c r="AZ29" i="3"/>
  <c r="K155" i="46"/>
  <c r="FJ232" i="46"/>
  <c r="FD244" i="46"/>
  <c r="FG232" i="46"/>
  <c r="FA244" i="46"/>
  <c r="K134" i="46"/>
  <c r="K159" i="46"/>
  <c r="K161" i="46"/>
  <c r="EI232" i="46"/>
  <c r="K151" i="46"/>
  <c r="K145" i="46"/>
  <c r="K152" i="46"/>
  <c r="EO244" i="46"/>
  <c r="K147" i="46"/>
  <c r="EX232" i="46"/>
  <c r="K133" i="46"/>
  <c r="EU200" i="46"/>
  <c r="FD232" i="46"/>
  <c r="EU244" i="46"/>
  <c r="EX244" i="46"/>
  <c r="AZ93" i="3"/>
  <c r="ER244" i="46"/>
  <c r="K143" i="46"/>
  <c r="E4" i="47"/>
  <c r="J5" i="46"/>
  <c r="K228" i="46"/>
  <c r="AJ53" i="3"/>
  <c r="Z33" i="3"/>
  <c r="EI200" i="46"/>
  <c r="CN254" i="46"/>
  <c r="Z32" i="3"/>
  <c r="AJ85" i="3"/>
  <c r="AJ21" i="3"/>
  <c r="DI254" i="46"/>
  <c r="Z40" i="3"/>
  <c r="AJ77" i="3"/>
  <c r="FJ200" i="46"/>
  <c r="ES254" i="46"/>
  <c r="AJ37" i="3"/>
  <c r="CE254" i="46"/>
  <c r="AJ69" i="3"/>
  <c r="FG200" i="46"/>
  <c r="AI254" i="46"/>
  <c r="AJ61" i="3"/>
  <c r="CB254" i="46"/>
  <c r="AH155" i="3"/>
  <c r="AG155" i="3" s="1"/>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s="1"/>
  <c r="BP258" i="46" s="1"/>
  <c r="K132" i="46"/>
  <c r="K238" i="46"/>
  <c r="Y142" i="3"/>
  <c r="Y51" i="3"/>
  <c r="H4" i="47"/>
  <c r="Y91" i="3"/>
  <c r="Y11" i="3"/>
  <c r="Y27" i="3" s="1"/>
  <c r="Y43" i="3" s="1"/>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s="1"/>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s="1"/>
  <c r="FG30" i="46"/>
  <c r="FH30" i="46" s="1"/>
  <c r="CW30" i="46"/>
  <c r="DR30" i="46"/>
  <c r="Y119" i="3"/>
  <c r="H229" i="46"/>
  <c r="AF19" i="3"/>
  <c r="AF35" i="3" s="1"/>
  <c r="EJ66" i="46"/>
  <c r="EG45" i="46"/>
  <c r="BM253" i="46"/>
  <c r="DU254" i="46"/>
  <c r="Z254" i="46"/>
  <c r="FE254" i="46"/>
  <c r="Y137" i="3"/>
  <c r="H233" i="46"/>
  <c r="FJ30" i="46"/>
  <c r="FK30" i="46" s="1"/>
  <c r="Y19" i="3"/>
  <c r="Y35" i="3" s="1"/>
  <c r="AC253" i="46"/>
  <c r="Y130" i="3"/>
  <c r="H241" i="46"/>
  <c r="G4" i="47"/>
  <c r="L4" i="47"/>
  <c r="CT65" i="46"/>
  <c r="CW21" i="46"/>
  <c r="FG253" i="46"/>
  <c r="FH253" i="46" s="1"/>
  <c r="CT49" i="46"/>
  <c r="C7" i="46"/>
  <c r="ED63" i="46"/>
  <c r="K4" i="47"/>
  <c r="ES66" i="46"/>
  <c r="DF17" i="46"/>
  <c r="EM7" i="46"/>
  <c r="ES74" i="46"/>
  <c r="AZ21" i="3"/>
  <c r="FB49" i="46"/>
  <c r="DI47" i="46"/>
  <c r="FE7" i="46"/>
  <c r="FB52" i="46"/>
  <c r="DF41" i="46"/>
  <c r="FB66" i="46"/>
  <c r="ED45" i="46"/>
  <c r="CT17" i="46"/>
  <c r="AA158" i="3"/>
  <c r="M256" i="46" s="1"/>
  <c r="CN256" i="46" s="1"/>
  <c r="ES65" i="46"/>
  <c r="FA253" i="46"/>
  <c r="FB253" i="46" s="1"/>
  <c r="DX6" i="46"/>
  <c r="K241" i="46"/>
  <c r="EV74" i="46"/>
  <c r="ED65" i="46"/>
  <c r="CT45" i="46"/>
  <c r="EJ17" i="46"/>
  <c r="CW253" i="46"/>
  <c r="EO6" i="46"/>
  <c r="EP6" i="46" s="1"/>
  <c r="Z11" i="3"/>
  <c r="Z27" i="3" s="1"/>
  <c r="Z43" i="3" s="1"/>
  <c r="CT74" i="46"/>
  <c r="FE66" i="46"/>
  <c r="EY49" i="46"/>
  <c r="AO253" i="46"/>
  <c r="AZ45" i="3"/>
  <c r="EA47" i="46"/>
  <c r="Z59" i="3"/>
  <c r="DI66" i="46"/>
  <c r="EM41" i="46"/>
  <c r="CT7" i="46"/>
  <c r="AF130" i="3"/>
  <c r="ED21" i="46"/>
  <c r="CW7" i="46"/>
  <c r="CT253" i="46"/>
  <c r="AZ85" i="3"/>
  <c r="EA74" i="46"/>
  <c r="DU26" i="46"/>
  <c r="DO26" i="46"/>
  <c r="DI26" i="46"/>
  <c r="ES21" i="46"/>
  <c r="FB17" i="46"/>
  <c r="DF13" i="46"/>
  <c r="DX13" i="46"/>
  <c r="ES7" i="46"/>
  <c r="DC6" i="46"/>
  <c r="DF36" i="46"/>
  <c r="AD83" i="3"/>
  <c r="Z51" i="3"/>
  <c r="AD91" i="3"/>
  <c r="AA11" i="3"/>
  <c r="AA27" i="3" s="1"/>
  <c r="AA43" i="3" s="1"/>
  <c r="AM45" i="3"/>
  <c r="EP74" i="46"/>
  <c r="EY74" i="46"/>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s="1"/>
  <c r="EU6" i="46"/>
  <c r="EV6" i="46" s="1"/>
  <c r="K237" i="46"/>
  <c r="K128" i="46"/>
  <c r="Z91" i="3"/>
  <c r="DX74" i="46"/>
  <c r="EA52" i="46"/>
  <c r="DC47" i="46"/>
  <c r="EG7" i="46"/>
  <c r="EY41" i="46"/>
  <c r="EJ21" i="46"/>
  <c r="DI7" i="46"/>
  <c r="EG253" i="46"/>
  <c r="EO253" i="46"/>
  <c r="EP253" i="46" s="1"/>
  <c r="EI6" i="46"/>
  <c r="EJ6" i="46" s="1"/>
  <c r="ER6" i="46"/>
  <c r="ES6" i="46" s="1"/>
  <c r="EY37" i="46"/>
  <c r="AD35" i="3"/>
  <c r="Z19" i="3"/>
  <c r="Z35" i="3" s="1"/>
  <c r="AA119" i="3"/>
  <c r="AM77" i="3"/>
  <c r="DC60" i="46"/>
  <c r="FB74" i="46"/>
  <c r="FK65" i="46"/>
  <c r="EA66" i="46"/>
  <c r="EM74"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FE74" i="46"/>
  <c r="DF74" i="46"/>
  <c r="DO74" i="46"/>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s="1"/>
  <c r="CE253" i="46"/>
  <c r="CZ253" i="46"/>
  <c r="FD6" i="46"/>
  <c r="FE6" i="46" s="1"/>
  <c r="CW6" i="46"/>
  <c r="ED26" i="46"/>
  <c r="CZ74" i="46"/>
  <c r="AR21" i="3"/>
  <c r="AA67" i="3"/>
  <c r="AM29" i="3"/>
  <c r="FH74" i="46"/>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s="1"/>
  <c r="EG6" i="46"/>
  <c r="AC3" i="3"/>
  <c r="AC75" i="3" s="1"/>
  <c r="ES63" i="46"/>
  <c r="ED52" i="46"/>
  <c r="DX17" i="46"/>
  <c r="CZ6" i="46"/>
  <c r="DF66" i="46"/>
  <c r="FK7" i="46"/>
  <c r="AD119" i="3"/>
  <c r="AR77" i="3"/>
  <c r="AA137" i="3"/>
  <c r="AM101" i="3"/>
  <c r="DI74" i="46"/>
  <c r="DU66" i="46"/>
  <c r="DC66" i="46"/>
  <c r="EA41" i="46"/>
  <c r="CW65" i="46"/>
  <c r="EV65" i="46"/>
  <c r="ES52" i="46"/>
  <c r="FE63" i="46"/>
  <c r="FH52" i="46"/>
  <c r="EM47" i="46"/>
  <c r="DX41" i="46"/>
  <c r="DF47" i="46"/>
  <c r="DR45" i="46"/>
  <c r="EG21" i="46"/>
  <c r="FK17" i="46"/>
  <c r="FE17" i="46"/>
  <c r="DC17" i="46"/>
  <c r="FB7" i="46"/>
  <c r="EY7" i="46"/>
  <c r="EI253" i="46"/>
  <c r="EJ253" i="46" s="1"/>
  <c r="ER253" i="46"/>
  <c r="ES253" i="46" s="1"/>
  <c r="BA253" i="46"/>
  <c r="DI6" i="46"/>
  <c r="AZ69" i="3"/>
  <c r="EY13" i="46"/>
  <c r="AA75" i="3"/>
  <c r="AA146" i="3"/>
  <c r="BE5" i="3"/>
  <c r="BE57" i="3" s="1"/>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s="1"/>
  <c r="AH159" i="3"/>
  <c r="AG159" i="3" s="1"/>
  <c r="EV53" i="46"/>
  <c r="AM21" i="3"/>
  <c r="DU74" i="46"/>
  <c r="DI45" i="46"/>
  <c r="ED74"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CW74" i="46"/>
  <c r="AA19" i="3"/>
  <c r="AA35" i="3" s="1"/>
  <c r="AD19" i="3"/>
  <c r="DR75" i="46"/>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s="1"/>
  <c r="DO6" i="46"/>
  <c r="DF6" i="46"/>
  <c r="T1" i="6"/>
  <c r="ED66" i="46"/>
  <c r="EJ7" i="46"/>
  <c r="Z67" i="3"/>
  <c r="DL72" i="46"/>
  <c r="FK74" i="46"/>
  <c r="DF52" i="46"/>
  <c r="Z83" i="3"/>
  <c r="AA100" i="3"/>
  <c r="AD130" i="3"/>
  <c r="CW63" i="46"/>
  <c r="EJ74" i="46"/>
  <c r="DI65" i="46"/>
  <c r="EV63" i="46"/>
  <c r="CZ63" i="46"/>
  <c r="EG65" i="46"/>
  <c r="DC41" i="46"/>
  <c r="EP65" i="46"/>
  <c r="EV47" i="46"/>
  <c r="DO52" i="46"/>
  <c r="FE58" i="46"/>
  <c r="EA45" i="46"/>
  <c r="FE47" i="46"/>
  <c r="DR41" i="46"/>
  <c r="EV45" i="46"/>
  <c r="DL41" i="46"/>
  <c r="FK26" i="46"/>
  <c r="FE26" i="46"/>
  <c r="FE13" i="46"/>
  <c r="DR13" i="46"/>
  <c r="EP7" i="46"/>
  <c r="DX253" i="46"/>
  <c r="EU253" i="46"/>
  <c r="EV253" i="46" s="1"/>
  <c r="FD253" i="46"/>
  <c r="FE253" i="46" s="1"/>
  <c r="DL6" i="46"/>
  <c r="EX6" i="46"/>
  <c r="EY6" i="46" s="1"/>
  <c r="DF77" i="46"/>
  <c r="J4" i="47"/>
  <c r="AZ53" i="3"/>
  <c r="AZ77" i="3"/>
  <c r="K139" i="46"/>
  <c r="DC74" i="46"/>
  <c r="EP47" i="46"/>
  <c r="EY26" i="46"/>
  <c r="DF21" i="46"/>
  <c r="FK13" i="46"/>
  <c r="EL6" i="46"/>
  <c r="EM6" i="46" s="1"/>
  <c r="ED41" i="46"/>
  <c r="FH63" i="46"/>
  <c r="EY45" i="46"/>
  <c r="DR21" i="46"/>
  <c r="EM13" i="46"/>
  <c r="CW56" i="46"/>
  <c r="DR74"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s="1"/>
  <c r="C64" i="46"/>
  <c r="AZ13" i="3"/>
  <c r="K12" i="30"/>
  <c r="AR29" i="3"/>
  <c r="AO77" i="3"/>
  <c r="M4" i="47"/>
  <c r="DF30" i="46"/>
  <c r="EL30" i="46"/>
  <c r="EM30" i="46" s="1"/>
  <c r="H1" i="50"/>
  <c r="EX30" i="46"/>
  <c r="EY30" i="46" s="1"/>
  <c r="DO30" i="46"/>
  <c r="Q23" i="6"/>
  <c r="H220" i="46"/>
  <c r="L13" i="34"/>
  <c r="AR85" i="3"/>
  <c r="EA30" i="46"/>
  <c r="AO21" i="3"/>
  <c r="DC30" i="46"/>
  <c r="H228" i="46"/>
  <c r="H226" i="46"/>
  <c r="AR69" i="3"/>
  <c r="AF119" i="3"/>
  <c r="K3" i="45"/>
  <c r="K11" i="45" s="1"/>
  <c r="K19" i="45" s="1"/>
  <c r="K27" i="45" s="1"/>
  <c r="K35" i="45" s="1"/>
  <c r="K43" i="45" s="1"/>
  <c r="W3" i="45" s="1"/>
  <c r="W11" i="45" s="1"/>
  <c r="W19" i="45" s="1"/>
  <c r="W27" i="45" s="1"/>
  <c r="W35" i="45" s="1"/>
  <c r="W43" i="45" s="1"/>
  <c r="AF11" i="3"/>
  <c r="AF27" i="3" s="1"/>
  <c r="AR45" i="3"/>
  <c r="BG5" i="3"/>
  <c r="BG57" i="3" s="1"/>
  <c r="EU30" i="46"/>
  <c r="EV30" i="46" s="1"/>
  <c r="AF146" i="3"/>
  <c r="AR13" i="3"/>
  <c r="AO93" i="3"/>
  <c r="DX30" i="46"/>
  <c r="AF75" i="3"/>
  <c r="H222" i="46"/>
  <c r="AO45" i="3"/>
  <c r="BJ5" i="3"/>
  <c r="BJ57" i="3" s="1"/>
  <c r="AO37" i="3"/>
  <c r="FD30" i="46"/>
  <c r="FE30" i="46" s="1"/>
  <c r="CZ30" i="46"/>
  <c r="AO101" i="3"/>
  <c r="AF83" i="3"/>
  <c r="AR101" i="3"/>
  <c r="AO85" i="3"/>
  <c r="FA30" i="46"/>
  <c r="FB30" i="46" s="1"/>
  <c r="ER30" i="46"/>
  <c r="ES30" i="46" s="1"/>
  <c r="H221" i="46"/>
  <c r="H223" i="46"/>
  <c r="AF59" i="3"/>
  <c r="AR37" i="3"/>
  <c r="AO53" i="3"/>
  <c r="AF67" i="3"/>
  <c r="EI30" i="46"/>
  <c r="EJ30" i="46" s="1"/>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FB75" i="46"/>
  <c r="EG58" i="46"/>
  <c r="DX75" i="46"/>
  <c r="DF75" i="46"/>
  <c r="DR58" i="46"/>
  <c r="EM58" i="46"/>
  <c r="DF58" i="46"/>
  <c r="EA58" i="46"/>
  <c r="EJ58" i="46"/>
  <c r="DC77" i="46"/>
  <c r="CQ58" i="46"/>
  <c r="CW58" i="46"/>
  <c r="DC58" i="46"/>
  <c r="DU58" i="46"/>
  <c r="DI58" i="46"/>
  <c r="EA75" i="46"/>
  <c r="FK75" i="46"/>
  <c r="EY58" i="46"/>
  <c r="EG75" i="46"/>
  <c r="EM75" i="46"/>
  <c r="DX58" i="46"/>
  <c r="FB58" i="46"/>
  <c r="EV75" i="46"/>
  <c r="DO75" i="46"/>
  <c r="EP58" i="46"/>
  <c r="CZ75" i="46"/>
  <c r="ES75" i="46"/>
  <c r="CQ75" i="46"/>
  <c r="CZ58" i="46"/>
  <c r="CW75" i="46"/>
  <c r="CN58" i="46"/>
  <c r="FK58" i="46"/>
  <c r="FE75" i="46"/>
  <c r="FH75" i="46"/>
  <c r="DX53" i="46"/>
  <c r="DI75" i="46"/>
  <c r="EJ75" i="46"/>
  <c r="FB44" i="46"/>
  <c r="CT75" i="46"/>
  <c r="ED75" i="46"/>
  <c r="FH58" i="46"/>
  <c r="DC75" i="46"/>
  <c r="EY75" i="46"/>
  <c r="DL75" i="46"/>
  <c r="CT58" i="46"/>
  <c r="EV58" i="46"/>
  <c r="ES58" i="46"/>
  <c r="ED58" i="46"/>
  <c r="DU75" i="46"/>
  <c r="EP75" i="46"/>
  <c r="DO58" i="46"/>
  <c r="DI67" i="46"/>
  <c r="BP253" i="46"/>
  <c r="AX253" i="46"/>
  <c r="DR53" i="46"/>
  <c r="DX77" i="46"/>
  <c r="ES77" i="46"/>
  <c r="FB53" i="46"/>
  <c r="EY44" i="46"/>
  <c r="ES53" i="46"/>
  <c r="EV44" i="46"/>
  <c r="EV77" i="46"/>
  <c r="ED77" i="46"/>
  <c r="CZ77" i="46"/>
  <c r="DU77" i="46"/>
  <c r="DX44" i="46"/>
  <c r="ED53" i="46"/>
  <c r="DU53" i="46"/>
  <c r="DU44" i="46"/>
  <c r="CZ53" i="46"/>
  <c r="CW77" i="46"/>
  <c r="EP77" i="46"/>
  <c r="EM53" i="46"/>
  <c r="DF53" i="46"/>
  <c r="CW53" i="46"/>
  <c r="CQ44" i="46"/>
  <c r="DR77" i="46"/>
  <c r="FE53" i="46"/>
  <c r="FB77" i="46"/>
  <c r="CT77" i="46"/>
  <c r="FK77" i="46"/>
  <c r="FH77" i="46"/>
  <c r="DC44" i="46"/>
  <c r="EG53" i="46"/>
  <c r="ED44" i="46"/>
  <c r="ES44" i="46"/>
  <c r="EP53" i="46"/>
  <c r="EA77" i="46"/>
  <c r="EM77" i="46"/>
  <c r="EJ77" i="46"/>
  <c r="FE77" i="46"/>
  <c r="EA44" i="46"/>
  <c r="DI53" i="46"/>
  <c r="DO44" i="46"/>
  <c r="EM44" i="46"/>
  <c r="DO77" i="46"/>
  <c r="DL77" i="46"/>
  <c r="EG77" i="46"/>
  <c r="FH53" i="46"/>
  <c r="CK53" i="46"/>
  <c r="FE44" i="46"/>
  <c r="EY53" i="46"/>
  <c r="CN44" i="46"/>
  <c r="DL44" i="46"/>
  <c r="FK44" i="46"/>
  <c r="DL53" i="46"/>
  <c r="CQ77" i="46"/>
  <c r="CN77" i="46"/>
  <c r="DI77" i="46"/>
  <c r="EJ53" i="46"/>
  <c r="CQ53" i="46"/>
  <c r="CW44" i="46"/>
  <c r="EA53" i="46"/>
  <c r="CK44" i="46"/>
  <c r="EJ44" i="46"/>
  <c r="FH44" i="46"/>
  <c r="EP44" i="46"/>
  <c r="AL85" i="3"/>
  <c r="AY85" i="3" s="1"/>
  <c r="AL13" i="3"/>
  <c r="AY13" i="3" s="1"/>
  <c r="CK77" i="46"/>
  <c r="CN53" i="46"/>
  <c r="CZ44" i="46"/>
  <c r="DC53" i="46"/>
  <c r="DI44" i="46"/>
  <c r="EG44" i="46"/>
  <c r="DR44" i="46"/>
  <c r="AL37" i="3"/>
  <c r="AY37" i="3" s="1"/>
  <c r="AL53" i="3"/>
  <c r="AY53" i="3" s="1"/>
  <c r="AL93" i="3"/>
  <c r="AY93" i="3" s="1"/>
  <c r="EY77" i="46"/>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s="1"/>
  <c r="AL101" i="3"/>
  <c r="AL21" i="3"/>
  <c r="AY21" i="3" s="1"/>
  <c r="AL61" i="3"/>
  <c r="AY61" i="3" s="1"/>
  <c r="AL77" i="3"/>
  <c r="AY77" i="3" s="1"/>
  <c r="AL45" i="3"/>
  <c r="AY45" i="3" s="1"/>
  <c r="H3" i="45"/>
  <c r="H11" i="45" s="1"/>
  <c r="H19" i="45" s="1"/>
  <c r="H27" i="45" s="1"/>
  <c r="H35" i="45" s="1"/>
  <c r="H43" i="45" s="1"/>
  <c r="T3" i="45" s="1"/>
  <c r="T11" i="45" s="1"/>
  <c r="T19" i="45" s="1"/>
  <c r="T27" i="45" s="1"/>
  <c r="T35" i="45" s="1"/>
  <c r="T43" i="45" s="1"/>
  <c r="T32" i="46"/>
  <c r="BV69" i="46"/>
  <c r="BY69" i="46"/>
  <c r="AC69" i="46"/>
  <c r="AR72" i="46"/>
  <c r="BA69" i="46"/>
  <c r="Z61" i="46"/>
  <c r="AR69" i="46"/>
  <c r="FK76" i="46"/>
  <c r="BP76" i="46"/>
  <c r="DR67" i="46"/>
  <c r="EV69" i="46"/>
  <c r="AX76" i="46"/>
  <c r="EM76" i="46"/>
  <c r="EM67" i="46"/>
  <c r="FB76" i="46"/>
  <c r="DO69" i="46"/>
  <c r="BP72" i="46"/>
  <c r="DC76" i="46"/>
  <c r="CB69" i="46"/>
  <c r="DI70" i="46"/>
  <c r="DL76"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DO72" i="46"/>
  <c r="Z72" i="46"/>
  <c r="ES72" i="46"/>
  <c r="BD72" i="46"/>
  <c r="DF72" i="46"/>
  <c r="ED72" i="46"/>
  <c r="BJ72" i="46"/>
  <c r="EM72" i="46"/>
  <c r="AX72" i="46"/>
  <c r="CB72" i="46"/>
  <c r="FK72" i="46"/>
  <c r="BV72" i="46"/>
  <c r="CZ72" i="46"/>
  <c r="AO72" i="46"/>
  <c r="DR72" i="46"/>
  <c r="AC72" i="46"/>
  <c r="DX72" i="46"/>
  <c r="BM72" i="46"/>
  <c r="EP72" i="46"/>
  <c r="BA72" i="46"/>
  <c r="EV72" i="46"/>
  <c r="CE72" i="46"/>
  <c r="CK72" i="46"/>
  <c r="AU72" i="46"/>
  <c r="BY72" i="46"/>
  <c r="EJ72" i="46"/>
  <c r="CH72" i="46"/>
  <c r="AI72" i="46"/>
  <c r="AL72" i="46"/>
  <c r="EG72" i="46"/>
  <c r="BS72" i="46"/>
  <c r="CW72" i="46"/>
  <c r="EY72" i="46"/>
  <c r="CN72" i="46"/>
  <c r="DC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EJ76" i="46"/>
  <c r="CZ60" i="46"/>
  <c r="BG72" i="46"/>
  <c r="AU70" i="46"/>
  <c r="ED76" i="46"/>
  <c r="BG73" i="46"/>
  <c r="BP67" i="46"/>
  <c r="FB72" i="46"/>
  <c r="EP61" i="46"/>
  <c r="AI73" i="46"/>
  <c r="DX64" i="46"/>
  <c r="CQ72" i="46"/>
  <c r="FE72"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CQ76" i="46"/>
  <c r="EV71" i="46"/>
  <c r="AR76" i="46"/>
  <c r="AX64" i="46"/>
  <c r="DO67" i="46"/>
  <c r="CH76" i="46"/>
  <c r="CE71" i="46"/>
  <c r="DI68" i="46"/>
  <c r="DU72"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CN76" i="46"/>
  <c r="DC71" i="46"/>
  <c r="DR73" i="46"/>
  <c r="BJ64" i="46"/>
  <c r="AU76" i="46"/>
  <c r="FE76" i="46"/>
  <c r="BJ76" i="46"/>
  <c r="FH72" i="46"/>
  <c r="EY71" i="46"/>
  <c r="AF72"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DO76" i="46"/>
  <c r="EG7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BM76" i="46"/>
  <c r="EM61" i="46"/>
  <c r="T27" i="46"/>
  <c r="W76" i="46"/>
  <c r="BV76" i="46"/>
  <c r="AC76" i="46"/>
  <c r="AF76" i="46"/>
  <c r="AI76" i="46"/>
  <c r="CK76" i="46"/>
  <c r="DI76" i="46"/>
  <c r="CT76" i="46"/>
  <c r="BA76" i="46"/>
  <c r="BD76" i="46"/>
  <c r="BG76" i="46"/>
  <c r="AL76" i="46"/>
  <c r="DR76" i="46"/>
  <c r="BY76" i="46"/>
  <c r="CB76" i="46"/>
  <c r="CE76" i="46"/>
  <c r="EP76" i="46"/>
  <c r="CW76" i="46"/>
  <c r="CZ76" i="46"/>
  <c r="DU76" i="46"/>
  <c r="DX76" i="46"/>
  <c r="EA76" i="46"/>
  <c r="DF76" i="46"/>
  <c r="ES76" i="46"/>
  <c r="EV76" i="46"/>
  <c r="EY76" i="46"/>
  <c r="Z76"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BS76" i="46"/>
  <c r="FH76" i="46"/>
  <c r="AO76"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EI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AC100" i="3" l="1"/>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EP78" i="46"/>
  <c r="CN78" i="46"/>
  <c r="DI78" i="46"/>
  <c r="ED78" i="46"/>
  <c r="EA78" i="46"/>
  <c r="AU78" i="46"/>
  <c r="DO78" i="46"/>
  <c r="BJ78" i="46"/>
  <c r="AX78" i="46"/>
  <c r="DX78" i="46"/>
  <c r="ES78" i="46"/>
  <c r="EM78" i="46"/>
  <c r="FB78" i="46"/>
  <c r="BG78" i="46"/>
  <c r="EJ78" i="46"/>
  <c r="EG78" i="46"/>
  <c r="CK78" i="46"/>
  <c r="BP78" i="46"/>
  <c r="CH78" i="46"/>
  <c r="CZ78" i="46"/>
  <c r="BA78" i="46"/>
  <c r="CQ78" i="46"/>
  <c r="Z78" i="46"/>
  <c r="AL78" i="46"/>
  <c r="AO78" i="46"/>
  <c r="FK78" i="46"/>
  <c r="CE78" i="46"/>
  <c r="FH78" i="46"/>
  <c r="CW78" i="46"/>
  <c r="AI78" i="46"/>
  <c r="AF78" i="46"/>
  <c r="CT78" i="46"/>
  <c r="DL78" i="46"/>
  <c r="BY78" i="46"/>
  <c r="AC78" i="46"/>
  <c r="BV78" i="46"/>
  <c r="BS78" i="46"/>
  <c r="DF78" i="46"/>
  <c r="EY78" i="46"/>
  <c r="EV78" i="46"/>
  <c r="AR78" i="46"/>
  <c r="BM78" i="46"/>
  <c r="DC78" i="46"/>
  <c r="DU78" i="46"/>
  <c r="BD45" i="3"/>
  <c r="BC45" i="3" s="1"/>
  <c r="CB78" i="46"/>
  <c r="BD78" i="46"/>
  <c r="DR78" i="46"/>
  <c r="FE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U3" i="32"/>
  <c r="W32"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35"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121" i="3"/>
  <c r="Y133"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V31" i="3" l="1"/>
  <c r="BU39" i="3"/>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X23" i="3" s="1"/>
  <c r="BU46" i="3"/>
  <c r="BV22" i="3"/>
  <c r="BV38" i="3"/>
  <c r="BV40" i="3"/>
  <c r="BV41" i="3"/>
  <c r="BV39" i="3"/>
  <c r="F18" i="48" a="1"/>
  <c r="F18" i="48" s="1"/>
  <c r="E19" i="48"/>
  <c r="BX31" i="3" l="1"/>
  <c r="BX39" i="3"/>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CB27" i="3" s="1"/>
  <c r="I81" i="3"/>
  <c r="CB45" i="3" s="1"/>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I52" i="3"/>
  <c r="H57" i="3"/>
  <c r="I53" i="3"/>
  <c r="H38" i="3"/>
  <c r="I32" i="3"/>
  <c r="H56" i="3"/>
  <c r="I22" i="3"/>
  <c r="I41" i="3"/>
  <c r="I78" i="3"/>
  <c r="H40" i="3"/>
  <c r="I39" i="3"/>
  <c r="H33" i="3"/>
  <c r="H12" i="3"/>
  <c r="H70" i="3"/>
  <c r="H79" i="3"/>
  <c r="CB43" i="3" s="1"/>
  <c r="I24" i="3"/>
  <c r="H20" i="3"/>
  <c r="I56" i="3"/>
  <c r="H28" i="3"/>
  <c r="CA19" i="3" s="1"/>
  <c r="I93" i="3"/>
  <c r="CA52" i="3" s="1"/>
  <c r="H52" i="3"/>
  <c r="I28" i="3"/>
  <c r="H54" i="3"/>
  <c r="I40" i="3"/>
  <c r="CB23" i="3" s="1"/>
  <c r="I71" i="3"/>
  <c r="I76" i="3"/>
  <c r="CB42" i="3" s="1"/>
  <c r="H96" i="3"/>
  <c r="CA50" i="3" s="1"/>
  <c r="I68" i="3"/>
  <c r="H80" i="3"/>
  <c r="H5" i="3"/>
  <c r="I49" i="3"/>
  <c r="H85" i="3"/>
  <c r="CB49" i="3" s="1"/>
  <c r="I70" i="3"/>
  <c r="I8" i="3"/>
  <c r="I46" i="3"/>
  <c r="I37" i="3"/>
  <c r="I86" i="3"/>
  <c r="H69" i="3"/>
  <c r="H7" i="3"/>
  <c r="H41" i="3"/>
  <c r="I9" i="3"/>
  <c r="H71" i="3"/>
  <c r="I13" i="3"/>
  <c r="I38" i="3"/>
  <c r="I47" i="3"/>
  <c r="H14" i="3"/>
  <c r="H53" i="3"/>
  <c r="CB33" i="3" s="1"/>
  <c r="H48" i="3"/>
  <c r="H17" i="3"/>
  <c r="Q9" i="6" a="1"/>
  <c r="Q9" i="6" s="1"/>
  <c r="G19" i="46"/>
  <c r="I97" i="3"/>
  <c r="CB51" i="3" s="1"/>
  <c r="H68" i="3"/>
  <c r="I20" i="3"/>
  <c r="I96" i="3"/>
  <c r="H29" i="3"/>
  <c r="H93" i="3"/>
  <c r="H6" i="3"/>
  <c r="H9" i="3"/>
  <c r="I5" i="3"/>
  <c r="I69" i="3"/>
  <c r="CA16" i="3"/>
  <c r="CB16" i="3"/>
  <c r="CA47" i="3"/>
  <c r="CB46" i="3"/>
  <c r="CB47" i="3"/>
  <c r="E23" i="48"/>
  <c r="F22" i="48" a="1"/>
  <c r="F22" i="48" s="1"/>
  <c r="CB31" i="3" l="1"/>
  <c r="CA34" i="3"/>
  <c r="CA36" i="3"/>
  <c r="CC36" i="3" s="1"/>
  <c r="CA27" i="3"/>
  <c r="CC27" i="3" s="1"/>
  <c r="CB37" i="3"/>
  <c r="CA45" i="3"/>
  <c r="CC45" i="3" s="1"/>
  <c r="CA43" i="3"/>
  <c r="CC43" i="3" s="1"/>
  <c r="CB26" i="3"/>
  <c r="CB9" i="3"/>
  <c r="CA42" i="3"/>
  <c r="CC42" i="3" s="1"/>
  <c r="CB44" i="3"/>
  <c r="CA18" i="3"/>
  <c r="CB20" i="3"/>
  <c r="CB18" i="3"/>
  <c r="CA53" i="3"/>
  <c r="CB12" i="3"/>
  <c r="CA44" i="3"/>
  <c r="CA31" i="3"/>
  <c r="CA12" i="3"/>
  <c r="CA20" i="3"/>
  <c r="CA11" i="3"/>
  <c r="CB53" i="3"/>
  <c r="CA46" i="3"/>
  <c r="CC46" i="3" s="1"/>
  <c r="CA14" i="3"/>
  <c r="CB14" i="3"/>
  <c r="CA15" i="3"/>
  <c r="CB17" i="3"/>
  <c r="CB15" i="3"/>
  <c r="CA17" i="3"/>
  <c r="CB6" i="3"/>
  <c r="CC6" i="3" s="1"/>
  <c r="CB39" i="3"/>
  <c r="CB50" i="3"/>
  <c r="CC50" i="3" s="1"/>
  <c r="CA48" i="3"/>
  <c r="CC48" i="3" s="1"/>
  <c r="CA49" i="3"/>
  <c r="CC49" i="3" s="1"/>
  <c r="CB35" i="3"/>
  <c r="CA30" i="3"/>
  <c r="CB11" i="3"/>
  <c r="CA13" i="3"/>
  <c r="CC13" i="3" s="1"/>
  <c r="CB10" i="3"/>
  <c r="CA10" i="3"/>
  <c r="CA9"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B38" i="3"/>
  <c r="CA24" i="3"/>
  <c r="CA26" i="3"/>
  <c r="CA25" i="3"/>
  <c r="CB19" i="3"/>
  <c r="CC19" i="3" s="1"/>
  <c r="CB25" i="3"/>
  <c r="CA23" i="3"/>
  <c r="CC23" i="3" s="1"/>
  <c r="CA38" i="3"/>
  <c r="CA41" i="3"/>
  <c r="CA22" i="3"/>
  <c r="CA39" i="3"/>
  <c r="CB41" i="3"/>
  <c r="CB40" i="3"/>
  <c r="Q10" i="6" a="1"/>
  <c r="Q10" i="6" s="1"/>
  <c r="Q11" i="6" s="1" a="1"/>
  <c r="Q11" i="6" s="1"/>
  <c r="Q12" i="6" s="1" a="1"/>
  <c r="Q12" i="6" s="1"/>
  <c r="CC16" i="3"/>
  <c r="CC47" i="3"/>
  <c r="E24" i="48"/>
  <c r="F23" i="48" a="1"/>
  <c r="F23" i="48" s="1"/>
  <c r="CC31" i="3" l="1"/>
  <c r="CC37" i="3"/>
  <c r="CC9" i="3"/>
  <c r="CC44" i="3"/>
  <c r="CC26" i="3"/>
  <c r="CC20" i="3"/>
  <c r="CC18" i="3"/>
  <c r="CC53" i="3"/>
  <c r="CC11" i="3"/>
  <c r="CC12"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42" i="48" a="1"/>
  <c r="A42"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CF48" i="3" s="1"/>
  <c r="K95" i="3"/>
  <c r="CF51" i="3" s="1"/>
  <c r="L84" i="3"/>
  <c r="K78" i="3"/>
  <c r="K76" i="3"/>
  <c r="L95" i="3"/>
  <c r="L92" i="3"/>
  <c r="CF50" i="3" s="1"/>
  <c r="K29" i="3"/>
  <c r="K94" i="3"/>
  <c r="CF52" i="3" s="1"/>
  <c r="L80" i="3"/>
  <c r="L78" i="3"/>
  <c r="L24" i="3"/>
  <c r="K80" i="3"/>
  <c r="L76" i="3"/>
  <c r="L88" i="3"/>
  <c r="K20" i="3"/>
  <c r="L40" i="3"/>
  <c r="CF23" i="3" s="1"/>
  <c r="K37" i="3"/>
  <c r="K48" i="3"/>
  <c r="L96" i="3"/>
  <c r="L30" i="3"/>
  <c r="K57" i="3"/>
  <c r="K5" i="3"/>
  <c r="K12" i="3"/>
  <c r="L16" i="3"/>
  <c r="CF13" i="3" s="1"/>
  <c r="K86" i="3"/>
  <c r="L17" i="3"/>
  <c r="L94" i="3"/>
  <c r="K93" i="3"/>
  <c r="K54" i="3"/>
  <c r="L57" i="3"/>
  <c r="K71" i="3"/>
  <c r="K72" i="3"/>
  <c r="L12" i="3"/>
  <c r="L49" i="3"/>
  <c r="K55" i="3"/>
  <c r="K81" i="3"/>
  <c r="K17" i="3"/>
  <c r="K85" i="3"/>
  <c r="L7" i="3"/>
  <c r="L77" i="3"/>
  <c r="L15" i="3"/>
  <c r="K47" i="3"/>
  <c r="L86" i="3"/>
  <c r="K65" i="3"/>
  <c r="K63" i="3"/>
  <c r="L45" i="3"/>
  <c r="K22" i="3"/>
  <c r="L60" i="3"/>
  <c r="K46" i="3"/>
  <c r="L23" i="3"/>
  <c r="CF14" i="3" s="1"/>
  <c r="L25" i="3"/>
  <c r="K24" i="3"/>
  <c r="L46" i="3"/>
  <c r="L48" i="3"/>
  <c r="K38" i="3"/>
  <c r="K69" i="3"/>
  <c r="L41" i="3"/>
  <c r="L70" i="3"/>
  <c r="CF38" i="3" s="1"/>
  <c r="K68" i="3"/>
  <c r="K56" i="3"/>
  <c r="L20" i="3"/>
  <c r="L32" i="3"/>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K53" i="3"/>
  <c r="CF33" i="3" s="1"/>
  <c r="L4" i="3"/>
  <c r="L64" i="3"/>
  <c r="CF35" i="3" s="1"/>
  <c r="L54" i="3"/>
  <c r="K88" i="3"/>
  <c r="K87" i="3"/>
  <c r="CF47" i="3" s="1"/>
  <c r="K61" i="3"/>
  <c r="CF37" i="3" s="1"/>
  <c r="L47" i="3"/>
  <c r="CF29" i="3" s="1"/>
  <c r="CF49" i="3"/>
  <c r="CF45" i="3"/>
  <c r="CF16" i="3"/>
  <c r="E9" i="51"/>
  <c r="CF22" i="3"/>
  <c r="CF27" i="3"/>
  <c r="CF26" i="3"/>
  <c r="B46" i="51"/>
  <c r="B47" i="51" s="1"/>
  <c r="E10" i="51"/>
  <c r="E28" i="48"/>
  <c r="F27" i="48" a="1"/>
  <c r="F27" i="48" s="1"/>
  <c r="E12" i="51"/>
  <c r="E11" i="51"/>
  <c r="CF25" i="3" l="1"/>
  <c r="CF32" i="3"/>
  <c r="CF44" i="3"/>
  <c r="CF28" i="3"/>
  <c r="CF53" i="3"/>
  <c r="CF46" i="3"/>
  <c r="CF30" i="3"/>
  <c r="CF31" i="3"/>
  <c r="CF43" i="3"/>
  <c r="CF21" i="3"/>
  <c r="CF6" i="3"/>
  <c r="CF11" i="3"/>
  <c r="CF18" i="3"/>
  <c r="CF34" i="3"/>
  <c r="CF10" i="3"/>
  <c r="CF42" i="3"/>
  <c r="CF20" i="3"/>
  <c r="CF15" i="3"/>
  <c r="CF39" i="3"/>
  <c r="CF9" i="3"/>
  <c r="CF41" i="3"/>
  <c r="F12" i="51"/>
  <c r="F10" i="51"/>
  <c r="F11" i="51" s="1"/>
  <c r="F9" i="51"/>
  <c r="F8" i="51"/>
  <c r="E29" i="48"/>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0" i="48"/>
  <c r="F29" i="48" a="1"/>
  <c r="F29" i="48" s="1"/>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E31" i="48"/>
  <c r="F30" i="48" a="1"/>
  <c r="F30" i="48" s="1"/>
  <c r="O88" i="3" l="1"/>
  <c r="O93" i="3"/>
  <c r="O78" i="3"/>
  <c r="O53" i="3"/>
  <c r="CJ32" i="3" s="1"/>
  <c r="N96" i="3"/>
  <c r="O80" i="3"/>
  <c r="N47" i="3"/>
  <c r="O22" i="3"/>
  <c r="CJ17" i="3" s="1"/>
  <c r="N84" i="3"/>
  <c r="CJ47" i="3" s="1"/>
  <c r="O97" i="3"/>
  <c r="O16" i="3"/>
  <c r="N15" i="3"/>
  <c r="O15" i="3"/>
  <c r="O61" i="3"/>
  <c r="CJ36" i="3" s="1"/>
  <c r="CJ37" i="3"/>
  <c r="N13" i="3"/>
  <c r="CJ13" i="3" s="1"/>
  <c r="N65" i="3"/>
  <c r="O69" i="3"/>
  <c r="CK40" i="3" s="1"/>
  <c r="O62" i="3"/>
  <c r="N55" i="3"/>
  <c r="O20" i="3"/>
  <c r="CI14" i="3" s="1"/>
  <c r="O64" i="3"/>
  <c r="N5" i="3"/>
  <c r="CK9" i="3" s="1"/>
  <c r="O14" i="3"/>
  <c r="N93" i="3"/>
  <c r="N33" i="3"/>
  <c r="N52" i="3"/>
  <c r="CJ31" i="3" s="1"/>
  <c r="O57" i="3"/>
  <c r="N17" i="3"/>
  <c r="O31" i="3"/>
  <c r="O84" i="3"/>
  <c r="O45" i="3"/>
  <c r="N9" i="3"/>
  <c r="O52" i="3"/>
  <c r="CJ30" i="3" s="1"/>
  <c r="N80" i="3"/>
  <c r="O55" i="3"/>
  <c r="O81" i="3"/>
  <c r="N76" i="3"/>
  <c r="CK43" i="3" s="1"/>
  <c r="O29" i="3"/>
  <c r="CI20" i="3" s="1"/>
  <c r="O71" i="3"/>
  <c r="N69" i="3"/>
  <c r="CI41" i="3" s="1"/>
  <c r="O37" i="3"/>
  <c r="CI24" i="3" s="1"/>
  <c r="O60" i="3"/>
  <c r="O47" i="3"/>
  <c r="N8" i="3"/>
  <c r="N31" i="3"/>
  <c r="N48" i="3"/>
  <c r="O54" i="3"/>
  <c r="CK30" i="3" s="1"/>
  <c r="N16" i="3"/>
  <c r="O56" i="3"/>
  <c r="O38" i="3"/>
  <c r="N73" i="3"/>
  <c r="N24" i="3"/>
  <c r="N64" i="3"/>
  <c r="O5" i="3"/>
  <c r="CI8" i="3" s="1"/>
  <c r="O70" i="3"/>
  <c r="CJ38" i="3" s="1"/>
  <c r="N39" i="3"/>
  <c r="O40" i="3"/>
  <c r="O13" i="3"/>
  <c r="N22" i="3"/>
  <c r="N89" i="3"/>
  <c r="O4" i="3"/>
  <c r="CI6" i="3" s="1"/>
  <c r="N62" i="3"/>
  <c r="O92" i="3"/>
  <c r="CI50" i="3" s="1"/>
  <c r="N60" i="3"/>
  <c r="CJ35" i="3" s="1"/>
  <c r="O41" i="3"/>
  <c r="N36" i="3"/>
  <c r="CK23" i="3" s="1"/>
  <c r="N4" i="3"/>
  <c r="CK7" i="3" s="1"/>
  <c r="N92" i="3"/>
  <c r="CK51" i="3" s="1"/>
  <c r="O76" i="3"/>
  <c r="CI42" i="3" s="1"/>
  <c r="N79" i="3"/>
  <c r="N81" i="3"/>
  <c r="N46" i="3"/>
  <c r="N68" i="3"/>
  <c r="CK39" i="3" s="1"/>
  <c r="O49" i="3"/>
  <c r="O32" i="3"/>
  <c r="N23" i="3"/>
  <c r="N70" i="3"/>
  <c r="N20" i="3"/>
  <c r="CK15" i="3" s="1"/>
  <c r="N30" i="3"/>
  <c r="O39" i="3"/>
  <c r="N29" i="3"/>
  <c r="CK21" i="3" s="1"/>
  <c r="N40" i="3"/>
  <c r="O8" i="3"/>
  <c r="CK27" i="3" s="1"/>
  <c r="O33" i="3"/>
  <c r="N94" i="3"/>
  <c r="O9" i="3"/>
  <c r="O23" i="3"/>
  <c r="O95" i="3"/>
  <c r="N87" i="3"/>
  <c r="N88" i="3"/>
  <c r="CJ28" i="3"/>
  <c r="CJ51" i="3"/>
  <c r="CJ19" i="3"/>
  <c r="CI12" i="3"/>
  <c r="CK35" i="3"/>
  <c r="CK45" i="3"/>
  <c r="CJ45" i="3"/>
  <c r="CJ42" i="3"/>
  <c r="CI10" i="3"/>
  <c r="CK6" i="3"/>
  <c r="CK33" i="3"/>
  <c r="CJ52" i="3"/>
  <c r="CJ53" i="3"/>
  <c r="CI15" i="3"/>
  <c r="CK48" i="3"/>
  <c r="CJ29" i="3"/>
  <c r="CK50" i="3"/>
  <c r="CI33" i="3"/>
  <c r="CK37" i="3"/>
  <c r="CK44" i="3"/>
  <c r="CK28" i="3"/>
  <c r="CJ10" i="3"/>
  <c r="CJ21" i="3"/>
  <c r="CJ49" i="3"/>
  <c r="CI32" i="3"/>
  <c r="CJ43" i="3"/>
  <c r="CI47" i="3"/>
  <c r="CK18" i="3"/>
  <c r="CK36" i="3"/>
  <c r="CI49" i="3"/>
  <c r="CI17" i="3"/>
  <c r="CK53" i="3"/>
  <c r="CI31" i="3"/>
  <c r="CJ11" i="3"/>
  <c r="CK13" i="3"/>
  <c r="CI35" i="3"/>
  <c r="CI18" i="3"/>
  <c r="CK19" i="3"/>
  <c r="CI46" i="3"/>
  <c r="CK24" i="3"/>
  <c r="CI26" i="3"/>
  <c r="CK42" i="3"/>
  <c r="CI25" i="3"/>
  <c r="CI40" i="3"/>
  <c r="CJ12" i="3"/>
  <c r="CK41" i="3"/>
  <c r="CI27" i="3"/>
  <c r="CK26" i="3"/>
  <c r="CI23" i="3"/>
  <c r="CJ20" i="3"/>
  <c r="CI16" i="3"/>
  <c r="CI51" i="3"/>
  <c r="CI43" i="3"/>
  <c r="CI38" i="3"/>
  <c r="CI45" i="3"/>
  <c r="CK31" i="3"/>
  <c r="CK22" i="3"/>
  <c r="CJ33" i="3"/>
  <c r="CI22" i="3"/>
  <c r="CI11" i="3"/>
  <c r="CI7" i="3"/>
  <c r="CK52" i="3"/>
  <c r="CJ44" i="3"/>
  <c r="CK25" i="3"/>
  <c r="CI44" i="3"/>
  <c r="CK47" i="3"/>
  <c r="CI53" i="3"/>
  <c r="CK46" i="3"/>
  <c r="CJ46" i="3"/>
  <c r="CK49" i="3"/>
  <c r="CI9" i="3"/>
  <c r="CK38" i="3"/>
  <c r="CK17" i="3"/>
  <c r="CK8" i="3"/>
  <c r="CI29" i="3"/>
  <c r="CJ9" i="3"/>
  <c r="CK10" i="3"/>
  <c r="CJ50" i="3"/>
  <c r="CK16" i="3"/>
  <c r="CJ18" i="3"/>
  <c r="CI36" i="3"/>
  <c r="CK20" i="3"/>
  <c r="CI21" i="3"/>
  <c r="CI19" i="3"/>
  <c r="CJ22" i="3"/>
  <c r="CK29" i="3"/>
  <c r="CK14" i="3"/>
  <c r="CI28" i="3"/>
  <c r="CI34" i="3"/>
  <c r="CK12" i="3"/>
  <c r="CJ16" i="3"/>
  <c r="CJ48" i="3"/>
  <c r="CI39" i="3"/>
  <c r="CI37" i="3"/>
  <c r="CI30" i="3"/>
  <c r="CK11" i="3"/>
  <c r="CI52" i="3"/>
  <c r="CK34" i="3"/>
  <c r="CK32" i="3"/>
  <c r="CI48" i="3"/>
  <c r="CI13" i="3"/>
  <c r="CJ6" i="3"/>
  <c r="CJ24" i="3"/>
  <c r="CJ8" i="3"/>
  <c r="CJ7" i="3"/>
  <c r="CJ39" i="3"/>
  <c r="CJ23" i="3"/>
  <c r="CJ25" i="3"/>
  <c r="CJ34" i="3"/>
  <c r="CJ27" i="3"/>
  <c r="CJ26" i="3"/>
  <c r="CJ41" i="3"/>
  <c r="E32" i="48"/>
  <c r="F31" i="48" a="1"/>
  <c r="F31" i="48" s="1"/>
  <c r="CJ15" i="3" l="1"/>
  <c r="CL15" i="3" s="1"/>
  <c r="CL32" i="3"/>
  <c r="CL42" i="3"/>
  <c r="CL41" i="3"/>
  <c r="CL53" i="3"/>
  <c r="CJ14" i="3"/>
  <c r="CL14" i="3" s="1"/>
  <c r="CL30" i="3"/>
  <c r="CL28" i="3"/>
  <c r="CL13" i="3"/>
  <c r="CL11" i="3"/>
  <c r="CL35" i="3"/>
  <c r="CL19" i="3"/>
  <c r="CJ40" i="3"/>
  <c r="CL40" i="3" s="1"/>
  <c r="CL9" i="3"/>
  <c r="CL50" i="3"/>
  <c r="CL48" i="3"/>
  <c r="CL49" i="3"/>
  <c r="CL37" i="3"/>
  <c r="CL29" i="3"/>
  <c r="CL23" i="3"/>
  <c r="CL2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E33" i="48"/>
  <c r="F32" i="48" a="1"/>
  <c r="F32" i="48" s="1"/>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F33" i="48" a="1"/>
  <c r="F33" i="48" s="1"/>
  <c r="E34" i="48"/>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F34" i="48" a="1"/>
  <c r="F34" i="48" s="1"/>
  <c r="E35" i="48"/>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Q65" i="3"/>
  <c r="R63" i="3"/>
  <c r="Q84" i="3"/>
  <c r="R69" i="3"/>
  <c r="R15" i="3"/>
  <c r="Q52" i="3"/>
  <c r="Q96" i="3"/>
  <c r="R96" i="3"/>
  <c r="Q94" i="3"/>
  <c r="R28" i="3"/>
  <c r="R47" i="3"/>
  <c r="R56" i="3"/>
  <c r="Q20" i="3"/>
  <c r="Q63" i="3"/>
  <c r="R78" i="3"/>
  <c r="Q39" i="3"/>
  <c r="Q41" i="3"/>
  <c r="R65" i="3"/>
  <c r="R92" i="3"/>
  <c r="F35" i="48" a="1"/>
  <c r="F35" i="48" s="1"/>
  <c r="E36" i="48"/>
  <c r="CP30" i="3" l="1"/>
  <c r="CP9" i="3"/>
  <c r="CO38" i="3"/>
  <c r="CO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P24" i="3"/>
  <c r="CO30" i="3"/>
  <c r="CQ30" i="3" s="1"/>
  <c r="CO31" i="3"/>
  <c r="CO28" i="3"/>
  <c r="CO48" i="3"/>
  <c r="CP28" i="3"/>
  <c r="CP29" i="3"/>
  <c r="CO37" i="3"/>
  <c r="CO47" i="3"/>
  <c r="CP42" i="3"/>
  <c r="CO14" i="3"/>
  <c r="CO33" i="3"/>
  <c r="E37" i="48"/>
  <c r="F36" i="48" a="1"/>
  <c r="F36" i="48" s="1"/>
  <c r="CQ9" i="3" l="1"/>
  <c r="CQ38" i="3"/>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E38" i="48"/>
  <c r="F37" i="48" a="1"/>
  <c r="F37" i="48" s="1"/>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F38" i="48" a="1"/>
  <c r="F38" i="48" s="1"/>
  <c r="E39" i="48"/>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E40" i="48"/>
  <c r="F39" i="48" a="1"/>
  <c r="F39" i="48" s="1"/>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E41" i="48"/>
  <c r="F40" i="48" a="1"/>
  <c r="F40" i="48" s="1"/>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E42" i="48"/>
  <c r="F41" i="48" a="1"/>
  <c r="F41" i="48" s="1"/>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E43" i="48"/>
  <c r="F42" i="48" a="1"/>
  <c r="F42" i="48" s="1"/>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E44" i="48"/>
  <c r="F43" i="48" a="1"/>
  <c r="F43" i="48"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E45" i="48"/>
  <c r="F44" i="48" a="1"/>
  <c r="F44" i="48" s="1"/>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F45" i="48" a="1"/>
  <c r="F45" i="48" s="1"/>
  <c r="E46" i="48"/>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F46" i="48" a="1"/>
  <c r="F46" i="48" s="1"/>
  <c r="E47" i="48"/>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8" i="48"/>
  <c r="F47" i="48" a="1"/>
  <c r="F47" i="48" s="1"/>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49" i="48"/>
  <c r="F48" i="48" a="1"/>
  <c r="F48" i="48" s="1"/>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F49" i="48" a="1"/>
  <c r="F49" i="48" s="1"/>
  <c r="E50" i="48"/>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F50" i="48" a="1"/>
  <c r="F50" i="48" s="1"/>
  <c r="E51" i="48"/>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E52" i="48"/>
  <c r="F51" i="48" a="1"/>
  <c r="F51" i="48" s="1"/>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F52" i="48" a="1"/>
  <c r="F52" i="48" s="1"/>
  <c r="E53" i="48"/>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F53" i="48" a="1"/>
  <c r="F53" i="48" s="1"/>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FH85" i="46"/>
  <c r="EJ85" i="46"/>
  <c r="DL85" i="46"/>
  <c r="CN85" i="46"/>
  <c r="BP85" i="46"/>
  <c r="AR85" i="46"/>
  <c r="FE85" i="46"/>
  <c r="EG85" i="46"/>
  <c r="DI85" i="46"/>
  <c r="CK85" i="46"/>
  <c r="BM85" i="46"/>
  <c r="AO85" i="46"/>
  <c r="EV85" i="46"/>
  <c r="DX85" i="46"/>
  <c r="CZ85" i="46"/>
  <c r="CB85" i="46"/>
  <c r="BD85" i="46"/>
  <c r="AF85" i="46"/>
  <c r="FK85" i="46"/>
  <c r="DU85" i="46"/>
  <c r="CH85" i="46"/>
  <c r="AX85" i="46"/>
  <c r="FB85" i="46"/>
  <c r="DR85" i="46"/>
  <c r="CE85" i="46"/>
  <c r="AU85" i="46"/>
  <c r="EY85" i="46"/>
  <c r="DO85" i="46"/>
  <c r="BY85" i="46"/>
  <c r="AL85" i="46"/>
  <c r="ES85" i="46"/>
  <c r="DF85" i="46"/>
  <c r="BV85" i="46"/>
  <c r="AI85" i="46"/>
  <c r="EP85" i="46"/>
  <c r="DC85" i="46"/>
  <c r="BS85" i="46"/>
  <c r="AC85" i="46"/>
  <c r="EM85" i="46"/>
  <c r="CW85" i="46"/>
  <c r="BJ85" i="46"/>
  <c r="Z85" i="46"/>
  <c r="ED85" i="46"/>
  <c r="CT85" i="46"/>
  <c r="BG85" i="46"/>
  <c r="W85" i="46"/>
  <c r="BA85" i="46"/>
  <c r="EA85" i="46"/>
  <c r="CQ85" i="46"/>
  <c r="T126" i="46"/>
  <c r="EY126" i="46"/>
  <c r="EA126" i="46"/>
  <c r="DC126" i="46"/>
  <c r="CE126" i="46"/>
  <c r="BG126" i="46"/>
  <c r="AI126" i="46"/>
  <c r="FK126" i="46"/>
  <c r="EJ126" i="46"/>
  <c r="DI126" i="46"/>
  <c r="CH126" i="46"/>
  <c r="BD126" i="46"/>
  <c r="AC126" i="46"/>
  <c r="FH126" i="46"/>
  <c r="EG126" i="46"/>
  <c r="DF126" i="46"/>
  <c r="CB126" i="46"/>
  <c r="BA126" i="46"/>
  <c r="Z126" i="46"/>
  <c r="FE126" i="46"/>
  <c r="ED126" i="46"/>
  <c r="CZ126" i="46"/>
  <c r="BY126" i="46"/>
  <c r="AX126" i="46"/>
  <c r="W126" i="46"/>
  <c r="FB126" i="46"/>
  <c r="DX126" i="46"/>
  <c r="CW126" i="46"/>
  <c r="BV126" i="46"/>
  <c r="AU126" i="46"/>
  <c r="EV126" i="46"/>
  <c r="DU126" i="46"/>
  <c r="CT126" i="46"/>
  <c r="BS126" i="46"/>
  <c r="AR126" i="46"/>
  <c r="ES126" i="46"/>
  <c r="DR126" i="46"/>
  <c r="CQ126" i="46"/>
  <c r="BP126" i="46"/>
  <c r="AO126" i="46"/>
  <c r="EP126" i="46"/>
  <c r="DO126" i="46"/>
  <c r="CN126" i="46"/>
  <c r="BM126" i="46"/>
  <c r="AL126" i="46"/>
  <c r="EM126" i="46"/>
  <c r="DL126" i="46"/>
  <c r="CK126" i="46"/>
  <c r="BJ126" i="46"/>
  <c r="AF126" i="46"/>
  <c r="T98" i="46"/>
  <c r="FB98" i="46"/>
  <c r="ED98" i="46"/>
  <c r="DF98" i="46"/>
  <c r="CH98" i="46"/>
  <c r="BJ98" i="46"/>
  <c r="AL98" i="46"/>
  <c r="FK98" i="46"/>
  <c r="EJ98" i="46"/>
  <c r="DI98" i="46"/>
  <c r="CE98" i="46"/>
  <c r="BD98" i="46"/>
  <c r="AC98" i="46"/>
  <c r="FH98" i="46"/>
  <c r="EG98" i="46"/>
  <c r="DC98" i="46"/>
  <c r="CB98" i="46"/>
  <c r="BA98" i="46"/>
  <c r="Z98" i="46"/>
  <c r="FE98" i="46"/>
  <c r="EA98" i="46"/>
  <c r="CZ98" i="46"/>
  <c r="BY98" i="46"/>
  <c r="AX98" i="46"/>
  <c r="W98" i="46"/>
  <c r="EY98" i="46"/>
  <c r="DX98" i="46"/>
  <c r="CW98" i="46"/>
  <c r="BV98" i="46"/>
  <c r="AU98" i="46"/>
  <c r="EV98" i="46"/>
  <c r="DU98" i="46"/>
  <c r="CT98" i="46"/>
  <c r="BS98" i="46"/>
  <c r="AR98" i="46"/>
  <c r="ES98" i="46"/>
  <c r="DR98" i="46"/>
  <c r="CQ98" i="46"/>
  <c r="BP98" i="46"/>
  <c r="AO98" i="46"/>
  <c r="DO98" i="46"/>
  <c r="DL98" i="46"/>
  <c r="CN98" i="46"/>
  <c r="CK98" i="46"/>
  <c r="BM98" i="46"/>
  <c r="BG98" i="46"/>
  <c r="EP98" i="46"/>
  <c r="AI98" i="46"/>
  <c r="EM98" i="46"/>
  <c r="AF98" i="46"/>
  <c r="T122" i="46"/>
  <c r="EY122" i="46"/>
  <c r="EA122" i="46"/>
  <c r="DC122" i="46"/>
  <c r="CE122" i="46"/>
  <c r="BG122" i="46"/>
  <c r="AI122" i="46"/>
  <c r="FK122" i="46"/>
  <c r="EJ122" i="46"/>
  <c r="DI122" i="46"/>
  <c r="CH122" i="46"/>
  <c r="BD122" i="46"/>
  <c r="AC122" i="46"/>
  <c r="FH122" i="46"/>
  <c r="EG122" i="46"/>
  <c r="DF122" i="46"/>
  <c r="CB122" i="46"/>
  <c r="BA122" i="46"/>
  <c r="Z122" i="46"/>
  <c r="EV122" i="46"/>
  <c r="ES122" i="46"/>
  <c r="FB122" i="46"/>
  <c r="DL122" i="46"/>
  <c r="BV122" i="46"/>
  <c r="AO122" i="46"/>
  <c r="EP122" i="46"/>
  <c r="CZ122" i="46"/>
  <c r="BS122" i="46"/>
  <c r="AL122" i="46"/>
  <c r="EM122" i="46"/>
  <c r="CW122" i="46"/>
  <c r="BP122" i="46"/>
  <c r="AF122" i="46"/>
  <c r="ED122" i="46"/>
  <c r="CT122" i="46"/>
  <c r="BM122" i="46"/>
  <c r="W122" i="46"/>
  <c r="CQ122" i="46"/>
  <c r="CN122" i="46"/>
  <c r="CK122" i="46"/>
  <c r="FE122" i="46"/>
  <c r="BY122" i="46"/>
  <c r="DX122" i="46"/>
  <c r="BJ122" i="46"/>
  <c r="DO122" i="46"/>
  <c r="AX122" i="46"/>
  <c r="AU122" i="46"/>
  <c r="AR122" i="46"/>
  <c r="DU122" i="46"/>
  <c r="DR122" i="46"/>
  <c r="T121" i="46"/>
  <c r="EY121" i="46"/>
  <c r="EA121" i="46"/>
  <c r="DC121" i="46"/>
  <c r="CE121" i="46"/>
  <c r="BG121" i="46"/>
  <c r="AI121" i="46"/>
  <c r="EV121" i="46"/>
  <c r="DX121" i="46"/>
  <c r="CZ121" i="46"/>
  <c r="CB121" i="46"/>
  <c r="BD121" i="46"/>
  <c r="AF121" i="46"/>
  <c r="ES121" i="46"/>
  <c r="DU121" i="46"/>
  <c r="CW121" i="46"/>
  <c r="BY121" i="46"/>
  <c r="BA121" i="46"/>
  <c r="AC121" i="46"/>
  <c r="EP121" i="46"/>
  <c r="DR121" i="46"/>
  <c r="CT121" i="46"/>
  <c r="BV121" i="46"/>
  <c r="AX121" i="46"/>
  <c r="Z121" i="46"/>
  <c r="FK121" i="46"/>
  <c r="DO121" i="46"/>
  <c r="BS121" i="46"/>
  <c r="W121" i="46"/>
  <c r="FH121" i="46"/>
  <c r="DL121" i="46"/>
  <c r="BP121" i="46"/>
  <c r="FE121" i="46"/>
  <c r="DI121" i="46"/>
  <c r="BM121" i="46"/>
  <c r="FB121" i="46"/>
  <c r="DF121" i="46"/>
  <c r="BJ121" i="46"/>
  <c r="EM121" i="46"/>
  <c r="CQ121" i="46"/>
  <c r="AU121" i="46"/>
  <c r="EG121" i="46"/>
  <c r="ED121" i="46"/>
  <c r="CN121" i="46"/>
  <c r="CK121" i="46"/>
  <c r="CH121" i="46"/>
  <c r="EJ121" i="46"/>
  <c r="AR121" i="46"/>
  <c r="AO121" i="46"/>
  <c r="AL121" i="46"/>
  <c r="T95" i="46"/>
  <c r="ES95" i="46"/>
  <c r="DU95" i="46"/>
  <c r="CW95" i="46"/>
  <c r="BY95" i="46"/>
  <c r="BA95" i="46"/>
  <c r="AC95" i="46"/>
  <c r="FB95" i="46"/>
  <c r="ED95" i="46"/>
  <c r="DF95" i="46"/>
  <c r="CH95" i="46"/>
  <c r="BJ95" i="46"/>
  <c r="AL95" i="46"/>
  <c r="EJ95" i="46"/>
  <c r="DC95" i="46"/>
  <c r="BV95" i="46"/>
  <c r="AR95" i="46"/>
  <c r="FK95" i="46"/>
  <c r="EG95" i="46"/>
  <c r="CZ95" i="46"/>
  <c r="BS95" i="46"/>
  <c r="AO95" i="46"/>
  <c r="FH95" i="46"/>
  <c r="EA95" i="46"/>
  <c r="CT95" i="46"/>
  <c r="BP95" i="46"/>
  <c r="AI95" i="46"/>
  <c r="EY95" i="46"/>
  <c r="DR95" i="46"/>
  <c r="CN95" i="46"/>
  <c r="BG95" i="46"/>
  <c r="Z95" i="46"/>
  <c r="EV95" i="46"/>
  <c r="DO95" i="46"/>
  <c r="CK95" i="46"/>
  <c r="BD95" i="46"/>
  <c r="W95" i="46"/>
  <c r="EP95" i="46"/>
  <c r="DL95" i="46"/>
  <c r="CE95" i="46"/>
  <c r="AX95" i="46"/>
  <c r="AU95" i="46"/>
  <c r="FE95" i="46"/>
  <c r="AF95" i="46"/>
  <c r="EM95" i="46"/>
  <c r="DX95" i="46"/>
  <c r="DI95" i="46"/>
  <c r="CQ95" i="46"/>
  <c r="CB95" i="46"/>
  <c r="BM95" i="46"/>
  <c r="T115" i="46"/>
  <c r="EV115" i="46"/>
  <c r="DX115" i="46"/>
  <c r="CZ115" i="46"/>
  <c r="CB115" i="46"/>
  <c r="BD115" i="46"/>
  <c r="AF115" i="46"/>
  <c r="FH115" i="46"/>
  <c r="EG115" i="46"/>
  <c r="DF115" i="46"/>
  <c r="CE115" i="46"/>
  <c r="BA115" i="46"/>
  <c r="Z115" i="46"/>
  <c r="FE115" i="46"/>
  <c r="ED115" i="46"/>
  <c r="DC115" i="46"/>
  <c r="BY115" i="46"/>
  <c r="AX115" i="46"/>
  <c r="W115" i="46"/>
  <c r="FB115" i="46"/>
  <c r="EA115" i="46"/>
  <c r="CW115" i="46"/>
  <c r="BV115" i="46"/>
  <c r="AU115" i="46"/>
  <c r="EY115" i="46"/>
  <c r="DU115" i="46"/>
  <c r="CT115" i="46"/>
  <c r="BS115" i="46"/>
  <c r="AR115" i="46"/>
  <c r="ES115" i="46"/>
  <c r="DR115" i="46"/>
  <c r="CQ115" i="46"/>
  <c r="BP115" i="46"/>
  <c r="AO115" i="46"/>
  <c r="FK115" i="46"/>
  <c r="CK115" i="46"/>
  <c r="EP115" i="46"/>
  <c r="CH115" i="46"/>
  <c r="EM115" i="46"/>
  <c r="BM115" i="46"/>
  <c r="EJ115" i="46"/>
  <c r="BJ115" i="46"/>
  <c r="DO115" i="46"/>
  <c r="BG115" i="46"/>
  <c r="CN115" i="46"/>
  <c r="AL115" i="46"/>
  <c r="AI115" i="46"/>
  <c r="AC115" i="46"/>
  <c r="DL115" i="46"/>
  <c r="DI115" i="46"/>
  <c r="T118" i="46"/>
  <c r="FB118" i="46"/>
  <c r="ED118" i="46"/>
  <c r="DF118" i="46"/>
  <c r="CH118" i="46"/>
  <c r="BJ118" i="46"/>
  <c r="AL118" i="46"/>
  <c r="EV118" i="46"/>
  <c r="DU118" i="46"/>
  <c r="CT118" i="46"/>
  <c r="BS118" i="46"/>
  <c r="AR118" i="46"/>
  <c r="FH118" i="46"/>
  <c r="EA118" i="46"/>
  <c r="CW118" i="46"/>
  <c r="BP118" i="46"/>
  <c r="AI118" i="46"/>
  <c r="FE118" i="46"/>
  <c r="DX118" i="46"/>
  <c r="CQ118" i="46"/>
  <c r="BM118" i="46"/>
  <c r="AF118" i="46"/>
  <c r="EY118" i="46"/>
  <c r="DR118" i="46"/>
  <c r="CN118" i="46"/>
  <c r="BG118" i="46"/>
  <c r="AC118" i="46"/>
  <c r="ES118" i="46"/>
  <c r="DO118" i="46"/>
  <c r="CK118" i="46"/>
  <c r="BD118" i="46"/>
  <c r="Z118" i="46"/>
  <c r="EP118" i="46"/>
  <c r="DL118" i="46"/>
  <c r="CE118" i="46"/>
  <c r="BA118" i="46"/>
  <c r="W118" i="46"/>
  <c r="DI118" i="46"/>
  <c r="AO118" i="46"/>
  <c r="DC118" i="46"/>
  <c r="CZ118" i="46"/>
  <c r="CB118" i="46"/>
  <c r="FK118" i="46"/>
  <c r="BY118" i="46"/>
  <c r="EM118" i="46"/>
  <c r="EJ118" i="46"/>
  <c r="EG118" i="46"/>
  <c r="BV118" i="46"/>
  <c r="AU118" i="46"/>
  <c r="AX118" i="46"/>
  <c r="FH124" i="46"/>
  <c r="EJ124" i="46"/>
  <c r="DL124" i="46"/>
  <c r="CN124" i="46"/>
  <c r="BP124" i="46"/>
  <c r="AR124" i="46"/>
  <c r="FE124" i="46"/>
  <c r="EG124" i="46"/>
  <c r="DI124" i="46"/>
  <c r="CK124" i="46"/>
  <c r="BM124" i="46"/>
  <c r="AO124" i="46"/>
  <c r="FB124" i="46"/>
  <c r="ED124" i="46"/>
  <c r="DF124" i="46"/>
  <c r="CH124" i="46"/>
  <c r="BJ124" i="46"/>
  <c r="AL124" i="46"/>
  <c r="ES124" i="46"/>
  <c r="DC124" i="46"/>
  <c r="BV124" i="46"/>
  <c r="AF124" i="46"/>
  <c r="EP124" i="46"/>
  <c r="CZ124" i="46"/>
  <c r="BS124" i="46"/>
  <c r="AC124" i="46"/>
  <c r="EM124" i="46"/>
  <c r="CW124" i="46"/>
  <c r="BG124" i="46"/>
  <c r="Z124" i="46"/>
  <c r="EA124" i="46"/>
  <c r="CT124" i="46"/>
  <c r="BD124" i="46"/>
  <c r="W124" i="46"/>
  <c r="EY124" i="46"/>
  <c r="CB124" i="46"/>
  <c r="EV124" i="46"/>
  <c r="BY124" i="46"/>
  <c r="DX124" i="46"/>
  <c r="BA124" i="46"/>
  <c r="DU124" i="46"/>
  <c r="AX124" i="46"/>
  <c r="DR124" i="46"/>
  <c r="AU124" i="46"/>
  <c r="DO124" i="46"/>
  <c r="AI124" i="46"/>
  <c r="FK124" i="46"/>
  <c r="CQ124" i="46"/>
  <c r="CE124" i="46"/>
  <c r="T97" i="46"/>
  <c r="FK97" i="46"/>
  <c r="EM97" i="46"/>
  <c r="DO97" i="46"/>
  <c r="CQ97" i="46"/>
  <c r="BS97" i="46"/>
  <c r="AU97" i="46"/>
  <c r="W97" i="46"/>
  <c r="EY97" i="46"/>
  <c r="DX97" i="46"/>
  <c r="CW97" i="46"/>
  <c r="BV97" i="46"/>
  <c r="AR97" i="46"/>
  <c r="EV97" i="46"/>
  <c r="DU97" i="46"/>
  <c r="CT97" i="46"/>
  <c r="BP97" i="46"/>
  <c r="AO97" i="46"/>
  <c r="EP97" i="46"/>
  <c r="DL97" i="46"/>
  <c r="CK97" i="46"/>
  <c r="BJ97" i="46"/>
  <c r="AI97" i="46"/>
  <c r="EJ97" i="46"/>
  <c r="DI97" i="46"/>
  <c r="CH97" i="46"/>
  <c r="BG97" i="46"/>
  <c r="AF97" i="46"/>
  <c r="FH97" i="46"/>
  <c r="EG97" i="46"/>
  <c r="DF97" i="46"/>
  <c r="CE97" i="46"/>
  <c r="BD97" i="46"/>
  <c r="AC97" i="46"/>
  <c r="ES97" i="46"/>
  <c r="BY97" i="46"/>
  <c r="ED97" i="46"/>
  <c r="BM97" i="46"/>
  <c r="EA97" i="46"/>
  <c r="BA97" i="46"/>
  <c r="DR97" i="46"/>
  <c r="AX97" i="46"/>
  <c r="DC97" i="46"/>
  <c r="AL97" i="46"/>
  <c r="CZ97" i="46"/>
  <c r="Z97" i="46"/>
  <c r="FE97" i="46"/>
  <c r="CN97" i="46"/>
  <c r="FB97" i="46"/>
  <c r="CB97" i="46"/>
  <c r="T120" i="46"/>
  <c r="FH120" i="46"/>
  <c r="EJ120" i="46"/>
  <c r="DL120" i="46"/>
  <c r="CN120" i="46"/>
  <c r="BP120" i="46"/>
  <c r="AR120" i="46"/>
  <c r="FE120" i="46"/>
  <c r="EG120" i="46"/>
  <c r="DI120" i="46"/>
  <c r="CK120" i="46"/>
  <c r="BM120" i="46"/>
  <c r="AO120" i="46"/>
  <c r="FB120" i="46"/>
  <c r="ED120" i="46"/>
  <c r="DF120" i="46"/>
  <c r="CH120" i="46"/>
  <c r="BJ120" i="46"/>
  <c r="AL120" i="46"/>
  <c r="EY120" i="46"/>
  <c r="EA120" i="46"/>
  <c r="DC120" i="46"/>
  <c r="CE120" i="46"/>
  <c r="BG120" i="46"/>
  <c r="AI120" i="46"/>
  <c r="DX120" i="46"/>
  <c r="CB120" i="46"/>
  <c r="AF120" i="46"/>
  <c r="DU120" i="46"/>
  <c r="BY120" i="46"/>
  <c r="AC120" i="46"/>
  <c r="DR120" i="46"/>
  <c r="BV120" i="46"/>
  <c r="Z120" i="46"/>
  <c r="FK120" i="46"/>
  <c r="DO120" i="46"/>
  <c r="BS120" i="46"/>
  <c r="W120" i="46"/>
  <c r="EV120" i="46"/>
  <c r="CZ120" i="46"/>
  <c r="BD120" i="46"/>
  <c r="CT120" i="46"/>
  <c r="CQ120" i="46"/>
  <c r="BA120" i="46"/>
  <c r="AX120" i="46"/>
  <c r="ES120" i="46"/>
  <c r="AU120" i="46"/>
  <c r="EP120" i="46"/>
  <c r="EM120" i="46"/>
  <c r="CW120" i="46"/>
  <c r="T94" i="46"/>
  <c r="FB94" i="46"/>
  <c r="ED94" i="46"/>
  <c r="DF94" i="46"/>
  <c r="CH94" i="46"/>
  <c r="BJ94" i="46"/>
  <c r="AL94" i="46"/>
  <c r="EV94" i="46"/>
  <c r="DU94" i="46"/>
  <c r="CT94" i="46"/>
  <c r="BS94" i="46"/>
  <c r="AR94" i="46"/>
  <c r="ES94" i="46"/>
  <c r="DR94" i="46"/>
  <c r="CQ94" i="46"/>
  <c r="BP94" i="46"/>
  <c r="AO94" i="46"/>
  <c r="EP94" i="46"/>
  <c r="DO94" i="46"/>
  <c r="CN94" i="46"/>
  <c r="BM94" i="46"/>
  <c r="AI94" i="46"/>
  <c r="EA94" i="46"/>
  <c r="CE94" i="46"/>
  <c r="AU94" i="46"/>
  <c r="FK94" i="46"/>
  <c r="DX94" i="46"/>
  <c r="CB94" i="46"/>
  <c r="AF94" i="46"/>
  <c r="FH94" i="46"/>
  <c r="DL94" i="46"/>
  <c r="BY94" i="46"/>
  <c r="AC94" i="46"/>
  <c r="FE94" i="46"/>
  <c r="DI94" i="46"/>
  <c r="BV94" i="46"/>
  <c r="Z94" i="46"/>
  <c r="EY94" i="46"/>
  <c r="DC94" i="46"/>
  <c r="BG94" i="46"/>
  <c r="W94" i="46"/>
  <c r="EM94" i="46"/>
  <c r="CZ94" i="46"/>
  <c r="BD94" i="46"/>
  <c r="EJ94" i="46"/>
  <c r="CW94" i="46"/>
  <c r="BA94" i="46"/>
  <c r="EG94" i="46"/>
  <c r="CK94" i="46"/>
  <c r="AX94" i="46"/>
  <c r="T91" i="46"/>
  <c r="FB91" i="46"/>
  <c r="ED91" i="46"/>
  <c r="DF91" i="46"/>
  <c r="CH91" i="46"/>
  <c r="BJ91" i="46"/>
  <c r="AL91" i="46"/>
  <c r="EY91" i="46"/>
  <c r="EA91" i="46"/>
  <c r="DC91" i="46"/>
  <c r="CE91" i="46"/>
  <c r="BG91" i="46"/>
  <c r="AI91" i="46"/>
  <c r="EV91" i="46"/>
  <c r="DX91" i="46"/>
  <c r="CZ91" i="46"/>
  <c r="CB91" i="46"/>
  <c r="BD91" i="46"/>
  <c r="AF91" i="46"/>
  <c r="ES91" i="46"/>
  <c r="DU91" i="46"/>
  <c r="CW91" i="46"/>
  <c r="BY91" i="46"/>
  <c r="BA91" i="46"/>
  <c r="AC91" i="46"/>
  <c r="EP91" i="46"/>
  <c r="DR91" i="46"/>
  <c r="CT91" i="46"/>
  <c r="BV91" i="46"/>
  <c r="AX91" i="46"/>
  <c r="Z91" i="46"/>
  <c r="DL91" i="46"/>
  <c r="AU91" i="46"/>
  <c r="FK91" i="46"/>
  <c r="DI91" i="46"/>
  <c r="AR91" i="46"/>
  <c r="FH91" i="46"/>
  <c r="CQ91" i="46"/>
  <c r="AO91" i="46"/>
  <c r="FE91" i="46"/>
  <c r="CN91" i="46"/>
  <c r="W91" i="46"/>
  <c r="EM91" i="46"/>
  <c r="CK91" i="46"/>
  <c r="EJ91" i="46"/>
  <c r="BS91" i="46"/>
  <c r="EG91" i="46"/>
  <c r="BP91" i="46"/>
  <c r="DO91" i="46"/>
  <c r="BM91" i="46"/>
  <c r="T112" i="46"/>
  <c r="FB112" i="46"/>
  <c r="ED112" i="46"/>
  <c r="FH112" i="46"/>
  <c r="EG112" i="46"/>
  <c r="DF112" i="46"/>
  <c r="CH112" i="46"/>
  <c r="BJ112" i="46"/>
  <c r="AL112" i="46"/>
  <c r="FE112" i="46"/>
  <c r="EA112" i="46"/>
  <c r="DC112" i="46"/>
  <c r="CE112" i="46"/>
  <c r="BG112" i="46"/>
  <c r="AI112" i="46"/>
  <c r="EY112" i="46"/>
  <c r="DX112" i="46"/>
  <c r="CZ112" i="46"/>
  <c r="CB112" i="46"/>
  <c r="BD112" i="46"/>
  <c r="AF112" i="46"/>
  <c r="EV112" i="46"/>
  <c r="DU112" i="46"/>
  <c r="CW112" i="46"/>
  <c r="BY112" i="46"/>
  <c r="BA112" i="46"/>
  <c r="AC112" i="46"/>
  <c r="ES112" i="46"/>
  <c r="DR112" i="46"/>
  <c r="CT112" i="46"/>
  <c r="BV112" i="46"/>
  <c r="AX112" i="46"/>
  <c r="Z112" i="46"/>
  <c r="DL112" i="46"/>
  <c r="AU112" i="46"/>
  <c r="DI112" i="46"/>
  <c r="AR112" i="46"/>
  <c r="CQ112" i="46"/>
  <c r="AO112" i="46"/>
  <c r="FK112" i="46"/>
  <c r="CN112" i="46"/>
  <c r="W112" i="46"/>
  <c r="EP112" i="46"/>
  <c r="CK112" i="46"/>
  <c r="BM112" i="46"/>
  <c r="EM112" i="46"/>
  <c r="EJ112" i="46"/>
  <c r="DO112" i="46"/>
  <c r="BS112" i="46"/>
  <c r="BP112" i="46"/>
  <c r="FK116" i="46"/>
  <c r="EM116" i="46"/>
  <c r="DO116" i="46"/>
  <c r="CQ116" i="46"/>
  <c r="BS116" i="46"/>
  <c r="AU116" i="46"/>
  <c r="W116" i="46"/>
  <c r="FH116" i="46"/>
  <c r="EJ116" i="46"/>
  <c r="DL116" i="46"/>
  <c r="CN116" i="46"/>
  <c r="BP116" i="46"/>
  <c r="AR116" i="46"/>
  <c r="FE116" i="46"/>
  <c r="EA116" i="46"/>
  <c r="CW116" i="46"/>
  <c r="BM116" i="46"/>
  <c r="AI116" i="46"/>
  <c r="FB116" i="46"/>
  <c r="DX116" i="46"/>
  <c r="CT116" i="46"/>
  <c r="BJ116" i="46"/>
  <c r="AF116" i="46"/>
  <c r="EY116" i="46"/>
  <c r="DU116" i="46"/>
  <c r="CK116" i="46"/>
  <c r="BG116" i="46"/>
  <c r="AC116" i="46"/>
  <c r="EV116" i="46"/>
  <c r="DR116" i="46"/>
  <c r="CH116" i="46"/>
  <c r="BD116" i="46"/>
  <c r="Z116" i="46"/>
  <c r="ES116" i="46"/>
  <c r="DI116" i="46"/>
  <c r="CE116" i="46"/>
  <c r="BA116" i="46"/>
  <c r="CB116" i="46"/>
  <c r="BY116" i="46"/>
  <c r="EP116" i="46"/>
  <c r="BV116" i="46"/>
  <c r="EG116" i="46"/>
  <c r="AX116" i="46"/>
  <c r="ED116" i="46"/>
  <c r="AO116" i="46"/>
  <c r="DF116" i="46"/>
  <c r="DC116" i="46"/>
  <c r="CZ116" i="46"/>
  <c r="AL116" i="46"/>
  <c r="T96" i="46"/>
  <c r="EV96" i="46"/>
  <c r="DX96" i="46"/>
  <c r="CZ96" i="46"/>
  <c r="CB96" i="46"/>
  <c r="BD96" i="46"/>
  <c r="AF96" i="46"/>
  <c r="EM96" i="46"/>
  <c r="DL96" i="46"/>
  <c r="CK96" i="46"/>
  <c r="BJ96" i="46"/>
  <c r="AI96" i="46"/>
  <c r="FK96" i="46"/>
  <c r="EJ96" i="46"/>
  <c r="DI96" i="46"/>
  <c r="CH96" i="46"/>
  <c r="BG96" i="46"/>
  <c r="AC96" i="46"/>
  <c r="FE96" i="46"/>
  <c r="ED96" i="46"/>
  <c r="DC96" i="46"/>
  <c r="BY96" i="46"/>
  <c r="AX96" i="46"/>
  <c r="W96" i="46"/>
  <c r="FB96" i="46"/>
  <c r="EA96" i="46"/>
  <c r="CW96" i="46"/>
  <c r="BV96" i="46"/>
  <c r="AU96" i="46"/>
  <c r="EY96" i="46"/>
  <c r="DU96" i="46"/>
  <c r="CT96" i="46"/>
  <c r="BS96" i="46"/>
  <c r="AR96" i="46"/>
  <c r="DF96" i="46"/>
  <c r="AL96" i="46"/>
  <c r="CQ96" i="46"/>
  <c r="Z96" i="46"/>
  <c r="FH96" i="46"/>
  <c r="CN96" i="46"/>
  <c r="ES96" i="46"/>
  <c r="CE96" i="46"/>
  <c r="EP96" i="46"/>
  <c r="BP96" i="46"/>
  <c r="EG96" i="46"/>
  <c r="BM96" i="46"/>
  <c r="DR96" i="46"/>
  <c r="BA96" i="46"/>
  <c r="DO96" i="46"/>
  <c r="AO96" i="46"/>
  <c r="T104" i="46"/>
  <c r="EV104" i="46"/>
  <c r="DX104" i="46"/>
  <c r="CZ104" i="46"/>
  <c r="CB104" i="46"/>
  <c r="BD104" i="46"/>
  <c r="AF104" i="46"/>
  <c r="EY104" i="46"/>
  <c r="DU104" i="46"/>
  <c r="CT104" i="46"/>
  <c r="BS104" i="46"/>
  <c r="AR104" i="46"/>
  <c r="FE104" i="46"/>
  <c r="EA104" i="46"/>
  <c r="CQ104" i="46"/>
  <c r="BM104" i="46"/>
  <c r="AI104" i="46"/>
  <c r="FB104" i="46"/>
  <c r="DR104" i="46"/>
  <c r="CN104" i="46"/>
  <c r="BJ104" i="46"/>
  <c r="AC104" i="46"/>
  <c r="ES104" i="46"/>
  <c r="DO104" i="46"/>
  <c r="CK104" i="46"/>
  <c r="BG104" i="46"/>
  <c r="Z104" i="46"/>
  <c r="EP104" i="46"/>
  <c r="DL104" i="46"/>
  <c r="CH104" i="46"/>
  <c r="BA104" i="46"/>
  <c r="W104" i="46"/>
  <c r="EM104" i="46"/>
  <c r="DI104" i="46"/>
  <c r="CE104" i="46"/>
  <c r="AX104" i="46"/>
  <c r="FH104" i="46"/>
  <c r="BV104" i="46"/>
  <c r="EJ104" i="46"/>
  <c r="BP104" i="46"/>
  <c r="EG104" i="46"/>
  <c r="AU104" i="46"/>
  <c r="ED104" i="46"/>
  <c r="AO104" i="46"/>
  <c r="DF104" i="46"/>
  <c r="AL104" i="46"/>
  <c r="DC104" i="46"/>
  <c r="FK104" i="46"/>
  <c r="CW104" i="46"/>
  <c r="BY104" i="46"/>
  <c r="T123" i="46"/>
  <c r="FK123" i="46"/>
  <c r="EM123" i="46"/>
  <c r="DO123" i="46"/>
  <c r="CQ123" i="46"/>
  <c r="BS123" i="46"/>
  <c r="AU123" i="46"/>
  <c r="W123" i="46"/>
  <c r="EP123" i="46"/>
  <c r="DL123" i="46"/>
  <c r="CK123" i="46"/>
  <c r="BJ123" i="46"/>
  <c r="AI123" i="46"/>
  <c r="EJ123" i="46"/>
  <c r="DI123" i="46"/>
  <c r="CH123" i="46"/>
  <c r="BG123" i="46"/>
  <c r="AF123" i="46"/>
  <c r="FH123" i="46"/>
  <c r="EG123" i="46"/>
  <c r="DF123" i="46"/>
  <c r="CE123" i="46"/>
  <c r="FE123" i="46"/>
  <c r="ED123" i="46"/>
  <c r="DC123" i="46"/>
  <c r="DU123" i="46"/>
  <c r="BV123" i="46"/>
  <c r="AL123" i="46"/>
  <c r="DR123" i="46"/>
  <c r="BP123" i="46"/>
  <c r="AC123" i="46"/>
  <c r="FB123" i="46"/>
  <c r="CZ123" i="46"/>
  <c r="BM123" i="46"/>
  <c r="Z123" i="46"/>
  <c r="EY123" i="46"/>
  <c r="CW123" i="46"/>
  <c r="BD123" i="46"/>
  <c r="EV123" i="46"/>
  <c r="CT123" i="46"/>
  <c r="BA123" i="46"/>
  <c r="ES123" i="46"/>
  <c r="CN123" i="46"/>
  <c r="AX123" i="46"/>
  <c r="EA123" i="46"/>
  <c r="DX123" i="46"/>
  <c r="CB123" i="46"/>
  <c r="BY123" i="46"/>
  <c r="AR123" i="46"/>
  <c r="AO123" i="46"/>
  <c r="T93" i="46"/>
  <c r="FK93" i="46"/>
  <c r="EM93" i="46"/>
  <c r="DO93" i="46"/>
  <c r="CQ93" i="46"/>
  <c r="BS93" i="46"/>
  <c r="AU93" i="46"/>
  <c r="W93" i="46"/>
  <c r="EJ93" i="46"/>
  <c r="EV93" i="46"/>
  <c r="DR93" i="46"/>
  <c r="CN93" i="46"/>
  <c r="BM93" i="46"/>
  <c r="AL93" i="46"/>
  <c r="ES93" i="46"/>
  <c r="DL93" i="46"/>
  <c r="CK93" i="46"/>
  <c r="BJ93" i="46"/>
  <c r="AI93" i="46"/>
  <c r="EP93" i="46"/>
  <c r="DI93" i="46"/>
  <c r="CH93" i="46"/>
  <c r="BG93" i="46"/>
  <c r="AF93" i="46"/>
  <c r="EG93" i="46"/>
  <c r="DF93" i="46"/>
  <c r="CE93" i="46"/>
  <c r="BD93" i="46"/>
  <c r="AC93" i="46"/>
  <c r="FH93" i="46"/>
  <c r="ED93" i="46"/>
  <c r="DC93" i="46"/>
  <c r="CB93" i="46"/>
  <c r="BA93" i="46"/>
  <c r="Z93" i="46"/>
  <c r="FE93" i="46"/>
  <c r="EA93" i="46"/>
  <c r="CZ93" i="46"/>
  <c r="BY93" i="46"/>
  <c r="AX93" i="46"/>
  <c r="FB93" i="46"/>
  <c r="DX93" i="46"/>
  <c r="CW93" i="46"/>
  <c r="BV93" i="46"/>
  <c r="AR93" i="46"/>
  <c r="CT93" i="46"/>
  <c r="BP93" i="46"/>
  <c r="AO93" i="46"/>
  <c r="EY93" i="46"/>
  <c r="DU93" i="46"/>
  <c r="T108" i="46"/>
  <c r="ES108" i="46"/>
  <c r="DU108" i="46"/>
  <c r="CW108" i="46"/>
  <c r="BY108" i="46"/>
  <c r="BA108" i="46"/>
  <c r="AC108" i="46"/>
  <c r="EP108" i="46"/>
  <c r="DR108" i="46"/>
  <c r="CT108" i="46"/>
  <c r="BV108" i="46"/>
  <c r="AX108" i="46"/>
  <c r="Z108" i="46"/>
  <c r="FK108" i="46"/>
  <c r="EM108" i="46"/>
  <c r="DO108" i="46"/>
  <c r="CQ108" i="46"/>
  <c r="BS108" i="46"/>
  <c r="AU108" i="46"/>
  <c r="W108" i="46"/>
  <c r="FH108" i="46"/>
  <c r="EJ108" i="46"/>
  <c r="DL108" i="46"/>
  <c r="CN108" i="46"/>
  <c r="BP108" i="46"/>
  <c r="AR108" i="46"/>
  <c r="FE108" i="46"/>
  <c r="EG108" i="46"/>
  <c r="DI108" i="46"/>
  <c r="CK108" i="46"/>
  <c r="BM108" i="46"/>
  <c r="AO108" i="46"/>
  <c r="FB108" i="46"/>
  <c r="CZ108" i="46"/>
  <c r="AI108" i="46"/>
  <c r="EY108" i="46"/>
  <c r="CH108" i="46"/>
  <c r="AF108" i="46"/>
  <c r="EV108" i="46"/>
  <c r="CE108" i="46"/>
  <c r="ED108" i="46"/>
  <c r="CB108" i="46"/>
  <c r="EA108" i="46"/>
  <c r="BJ108" i="46"/>
  <c r="DX108" i="46"/>
  <c r="BG108" i="46"/>
  <c r="BD108" i="46"/>
  <c r="AL108" i="46"/>
  <c r="DF108" i="46"/>
  <c r="DC108" i="46"/>
  <c r="T117" i="46"/>
  <c r="FH117" i="46"/>
  <c r="EJ117" i="46"/>
  <c r="DL117" i="46"/>
  <c r="CN117" i="46"/>
  <c r="BP117" i="46"/>
  <c r="AR117" i="46"/>
  <c r="FB117" i="46"/>
  <c r="EA117" i="46"/>
  <c r="CZ117" i="46"/>
  <c r="BY117" i="46"/>
  <c r="AX117" i="46"/>
  <c r="W117" i="46"/>
  <c r="EY117" i="46"/>
  <c r="DX117" i="46"/>
  <c r="CW117" i="46"/>
  <c r="BV117" i="46"/>
  <c r="AU117" i="46"/>
  <c r="EP117" i="46"/>
  <c r="DO117" i="46"/>
  <c r="CK117" i="46"/>
  <c r="BJ117" i="46"/>
  <c r="AI117" i="46"/>
  <c r="ED117" i="46"/>
  <c r="CH117" i="46"/>
  <c r="AO117" i="46"/>
  <c r="DU117" i="46"/>
  <c r="CE117" i="46"/>
  <c r="AL117" i="46"/>
  <c r="FK117" i="46"/>
  <c r="DR117" i="46"/>
  <c r="CB117" i="46"/>
  <c r="AF117" i="46"/>
  <c r="FE117" i="46"/>
  <c r="DI117" i="46"/>
  <c r="BS117" i="46"/>
  <c r="AC117" i="46"/>
  <c r="EV117" i="46"/>
  <c r="DF117" i="46"/>
  <c r="BM117" i="46"/>
  <c r="Z117" i="46"/>
  <c r="CT117" i="46"/>
  <c r="CQ117" i="46"/>
  <c r="BG117" i="46"/>
  <c r="BD117" i="46"/>
  <c r="ES117" i="46"/>
  <c r="BA117" i="46"/>
  <c r="EM117" i="46"/>
  <c r="EG117" i="46"/>
  <c r="DC117" i="46"/>
  <c r="ES84" i="46"/>
  <c r="DU84" i="46"/>
  <c r="CW84" i="46"/>
  <c r="BY84" i="46"/>
  <c r="BA84" i="46"/>
  <c r="AC84" i="46"/>
  <c r="EP84" i="46"/>
  <c r="DR84" i="46"/>
  <c r="CT84" i="46"/>
  <c r="BV84" i="46"/>
  <c r="AX84" i="46"/>
  <c r="Z84" i="46"/>
  <c r="FK84" i="46"/>
  <c r="EM84" i="46"/>
  <c r="DO84" i="46"/>
  <c r="CQ84" i="46"/>
  <c r="BS84" i="46"/>
  <c r="AU84" i="46"/>
  <c r="W84" i="46"/>
  <c r="FH84" i="46"/>
  <c r="EJ84" i="46"/>
  <c r="DL84" i="46"/>
  <c r="CN84" i="46"/>
  <c r="BP84" i="46"/>
  <c r="AR84" i="46"/>
  <c r="FE84" i="46"/>
  <c r="EG84" i="46"/>
  <c r="DI84" i="46"/>
  <c r="CK84" i="46"/>
  <c r="BM84" i="46"/>
  <c r="AO84" i="46"/>
  <c r="FB84" i="46"/>
  <c r="ED84" i="46"/>
  <c r="DF84" i="46"/>
  <c r="CH84" i="46"/>
  <c r="BJ84" i="46"/>
  <c r="AL84" i="46"/>
  <c r="EY84" i="46"/>
  <c r="EA84" i="46"/>
  <c r="DC84" i="46"/>
  <c r="CE84" i="46"/>
  <c r="BG84" i="46"/>
  <c r="AI84" i="46"/>
  <c r="BD84" i="46"/>
  <c r="AF84" i="46"/>
  <c r="EV84" i="46"/>
  <c r="DX84" i="46"/>
  <c r="CB84" i="46"/>
  <c r="CZ84" i="46"/>
  <c r="T101" i="46"/>
  <c r="EY101" i="46"/>
  <c r="EA101" i="46"/>
  <c r="DC101" i="46"/>
  <c r="CE101" i="46"/>
  <c r="BG101" i="46"/>
  <c r="AI101" i="46"/>
  <c r="EV101" i="46"/>
  <c r="DX101" i="46"/>
  <c r="CZ101" i="46"/>
  <c r="CB101" i="46"/>
  <c r="BD101" i="46"/>
  <c r="AF101" i="46"/>
  <c r="ES101" i="46"/>
  <c r="DU101" i="46"/>
  <c r="CW101" i="46"/>
  <c r="BY101" i="46"/>
  <c r="BA101" i="46"/>
  <c r="AC101" i="46"/>
  <c r="EP101" i="46"/>
  <c r="DR101" i="46"/>
  <c r="CT101" i="46"/>
  <c r="BV101" i="46"/>
  <c r="AX101" i="46"/>
  <c r="Z101" i="46"/>
  <c r="FK101" i="46"/>
  <c r="EM101" i="46"/>
  <c r="DO101" i="46"/>
  <c r="CQ101" i="46"/>
  <c r="BS101" i="46"/>
  <c r="AU101" i="46"/>
  <c r="W101" i="46"/>
  <c r="FE101" i="46"/>
  <c r="CN101" i="46"/>
  <c r="AL101" i="46"/>
  <c r="FB101" i="46"/>
  <c r="CK101" i="46"/>
  <c r="EJ101" i="46"/>
  <c r="CH101" i="46"/>
  <c r="EG101" i="46"/>
  <c r="BP101" i="46"/>
  <c r="ED101" i="46"/>
  <c r="BM101" i="46"/>
  <c r="DL101" i="46"/>
  <c r="BJ101" i="46"/>
  <c r="AR101" i="46"/>
  <c r="AO101" i="46"/>
  <c r="FH101" i="46"/>
  <c r="DI101" i="46"/>
  <c r="DF101" i="46"/>
  <c r="T83" i="46"/>
  <c r="FB83" i="46"/>
  <c r="ED83" i="46"/>
  <c r="DF83" i="46"/>
  <c r="CH83" i="46"/>
  <c r="BJ83" i="46"/>
  <c r="AL83" i="46"/>
  <c r="EY83" i="46"/>
  <c r="EA83" i="46"/>
  <c r="DC83" i="46"/>
  <c r="CE83" i="46"/>
  <c r="BG83" i="46"/>
  <c r="AI83" i="46"/>
  <c r="EV83" i="46"/>
  <c r="DX83" i="46"/>
  <c r="CZ83" i="46"/>
  <c r="CB83" i="46"/>
  <c r="BD83" i="46"/>
  <c r="AF83" i="46"/>
  <c r="ES83" i="46"/>
  <c r="DU83" i="46"/>
  <c r="CW83" i="46"/>
  <c r="BY83" i="46"/>
  <c r="BA83" i="46"/>
  <c r="AC83" i="46"/>
  <c r="EP83" i="46"/>
  <c r="DR83" i="46"/>
  <c r="CT83" i="46"/>
  <c r="BV83" i="46"/>
  <c r="AX83" i="46"/>
  <c r="Z83" i="46"/>
  <c r="FK83" i="46"/>
  <c r="EM83" i="46"/>
  <c r="DO83" i="46"/>
  <c r="CQ83" i="46"/>
  <c r="BS83" i="46"/>
  <c r="AU83" i="46"/>
  <c r="W83" i="46"/>
  <c r="FH83" i="46"/>
  <c r="EJ83" i="46"/>
  <c r="DL83" i="46"/>
  <c r="CN83" i="46"/>
  <c r="BP83" i="46"/>
  <c r="AR83" i="46"/>
  <c r="FE83" i="46"/>
  <c r="AO83" i="46"/>
  <c r="EG83" i="46"/>
  <c r="DI83" i="46"/>
  <c r="CK83" i="46"/>
  <c r="BM83" i="46"/>
  <c r="T110" i="46"/>
  <c r="EV110" i="46"/>
  <c r="DX110" i="46"/>
  <c r="CZ110" i="46"/>
  <c r="CB110" i="46"/>
  <c r="BD110" i="46"/>
  <c r="AF110" i="46"/>
  <c r="ES110" i="46"/>
  <c r="DU110" i="46"/>
  <c r="CW110" i="46"/>
  <c r="BY110" i="46"/>
  <c r="BA110" i="46"/>
  <c r="AC110" i="46"/>
  <c r="EM110" i="46"/>
  <c r="DI110" i="46"/>
  <c r="CE110" i="46"/>
  <c r="AU110" i="46"/>
  <c r="EJ110" i="46"/>
  <c r="DF110" i="46"/>
  <c r="BV110" i="46"/>
  <c r="AR110" i="46"/>
  <c r="FK110" i="46"/>
  <c r="EG110" i="46"/>
  <c r="DC110" i="46"/>
  <c r="BS110" i="46"/>
  <c r="AO110" i="46"/>
  <c r="FH110" i="46"/>
  <c r="ED110" i="46"/>
  <c r="CT110" i="46"/>
  <c r="BP110" i="46"/>
  <c r="AL110" i="46"/>
  <c r="FE110" i="46"/>
  <c r="EA110" i="46"/>
  <c r="CQ110" i="46"/>
  <c r="BM110" i="46"/>
  <c r="AI110" i="46"/>
  <c r="CK110" i="46"/>
  <c r="FB110" i="46"/>
  <c r="CH110" i="46"/>
  <c r="EY110" i="46"/>
  <c r="BJ110" i="46"/>
  <c r="EP110" i="46"/>
  <c r="BG110" i="46"/>
  <c r="DR110" i="46"/>
  <c r="AX110" i="46"/>
  <c r="DO110" i="46"/>
  <c r="Z110" i="46"/>
  <c r="W110" i="46"/>
  <c r="DL110" i="46"/>
  <c r="CN110" i="46"/>
  <c r="T92" i="46"/>
  <c r="ES92" i="46"/>
  <c r="DU92" i="46"/>
  <c r="CW92" i="46"/>
  <c r="BY92" i="46"/>
  <c r="BA92" i="46"/>
  <c r="AC92" i="46"/>
  <c r="EP92" i="46"/>
  <c r="DR92" i="46"/>
  <c r="CT92" i="46"/>
  <c r="BV92" i="46"/>
  <c r="AX92" i="46"/>
  <c r="Z92" i="46"/>
  <c r="FK92" i="46"/>
  <c r="EM92" i="46"/>
  <c r="DO92" i="46"/>
  <c r="CQ92" i="46"/>
  <c r="BS92" i="46"/>
  <c r="AU92" i="46"/>
  <c r="W92" i="46"/>
  <c r="FH92" i="46"/>
  <c r="EJ92" i="46"/>
  <c r="DL92" i="46"/>
  <c r="CN92" i="46"/>
  <c r="BP92" i="46"/>
  <c r="AR92" i="46"/>
  <c r="FE92" i="46"/>
  <c r="EG92" i="46"/>
  <c r="DI92" i="46"/>
  <c r="CK92" i="46"/>
  <c r="BM92" i="46"/>
  <c r="AO92" i="46"/>
  <c r="EY92" i="46"/>
  <c r="CH92" i="46"/>
  <c r="AF92" i="46"/>
  <c r="EV92" i="46"/>
  <c r="CE92" i="46"/>
  <c r="ED92" i="46"/>
  <c r="CB92" i="46"/>
  <c r="EA92" i="46"/>
  <c r="BJ92" i="46"/>
  <c r="DX92" i="46"/>
  <c r="BG92" i="46"/>
  <c r="DF92" i="46"/>
  <c r="BD92" i="46"/>
  <c r="DC92" i="46"/>
  <c r="AL92" i="46"/>
  <c r="FB92" i="46"/>
  <c r="CZ92" i="46"/>
  <c r="AI92" i="46"/>
  <c r="T125" i="46"/>
  <c r="FH125" i="46"/>
  <c r="EJ125" i="46"/>
  <c r="DL125" i="46"/>
  <c r="CN125" i="46"/>
  <c r="BP125" i="46"/>
  <c r="AR125" i="46"/>
  <c r="FE125" i="46"/>
  <c r="EG125" i="46"/>
  <c r="DI125" i="46"/>
  <c r="CK125" i="46"/>
  <c r="BM125" i="46"/>
  <c r="AO125" i="46"/>
  <c r="EM125" i="46"/>
  <c r="DC125" i="46"/>
  <c r="BY125" i="46"/>
  <c r="AU125" i="46"/>
  <c r="ED125" i="46"/>
  <c r="CZ125" i="46"/>
  <c r="BV125" i="46"/>
  <c r="AL125" i="46"/>
  <c r="FK125" i="46"/>
  <c r="EA125" i="46"/>
  <c r="CW125" i="46"/>
  <c r="BS125" i="46"/>
  <c r="AI125" i="46"/>
  <c r="FB125" i="46"/>
  <c r="DX125" i="46"/>
  <c r="CT125" i="46"/>
  <c r="BJ125" i="46"/>
  <c r="AF125" i="46"/>
  <c r="EY125" i="46"/>
  <c r="CQ125" i="46"/>
  <c r="AC125" i="46"/>
  <c r="EV125" i="46"/>
  <c r="CH125" i="46"/>
  <c r="Z125" i="46"/>
  <c r="ES125" i="46"/>
  <c r="CE125" i="46"/>
  <c r="W125" i="46"/>
  <c r="EP125" i="46"/>
  <c r="CB125" i="46"/>
  <c r="DU125" i="46"/>
  <c r="BG125" i="46"/>
  <c r="DF125" i="46"/>
  <c r="BD125" i="46"/>
  <c r="BA125" i="46"/>
  <c r="AX125" i="46"/>
  <c r="DR125" i="46"/>
  <c r="DO125" i="46"/>
  <c r="T106" i="46"/>
  <c r="FK106" i="46"/>
  <c r="EM106" i="46"/>
  <c r="DO106" i="46"/>
  <c r="CQ106" i="46"/>
  <c r="BS106" i="46"/>
  <c r="AU106" i="46"/>
  <c r="W106" i="46"/>
  <c r="FH106" i="46"/>
  <c r="EG106" i="46"/>
  <c r="DF106" i="46"/>
  <c r="CE106" i="46"/>
  <c r="BD106" i="46"/>
  <c r="AC106" i="46"/>
  <c r="FE106" i="46"/>
  <c r="ED106" i="46"/>
  <c r="DC106" i="46"/>
  <c r="CB106" i="46"/>
  <c r="BA106" i="46"/>
  <c r="Z106" i="46"/>
  <c r="FB106" i="46"/>
  <c r="EA106" i="46"/>
  <c r="CZ106" i="46"/>
  <c r="BY106" i="46"/>
  <c r="AX106" i="46"/>
  <c r="EY106" i="46"/>
  <c r="DX106" i="46"/>
  <c r="CW106" i="46"/>
  <c r="BV106" i="46"/>
  <c r="AR106" i="46"/>
  <c r="ES106" i="46"/>
  <c r="CN106" i="46"/>
  <c r="AL106" i="46"/>
  <c r="EP106" i="46"/>
  <c r="CK106" i="46"/>
  <c r="AI106" i="46"/>
  <c r="EJ106" i="46"/>
  <c r="CH106" i="46"/>
  <c r="AF106" i="46"/>
  <c r="DU106" i="46"/>
  <c r="BP106" i="46"/>
  <c r="DR106" i="46"/>
  <c r="BM106" i="46"/>
  <c r="DL106" i="46"/>
  <c r="BJ106" i="46"/>
  <c r="DI106" i="46"/>
  <c r="BG106" i="46"/>
  <c r="CT106" i="46"/>
  <c r="AO106" i="46"/>
  <c r="EV106" i="46"/>
  <c r="T89" i="46"/>
  <c r="EV89" i="46"/>
  <c r="DX89" i="46"/>
  <c r="CZ89" i="46"/>
  <c r="FH89" i="46"/>
  <c r="EJ89" i="46"/>
  <c r="DL89" i="46"/>
  <c r="CN89" i="46"/>
  <c r="BP89" i="46"/>
  <c r="AR89" i="46"/>
  <c r="EY89" i="46"/>
  <c r="DR89" i="46"/>
  <c r="CK89" i="46"/>
  <c r="BJ89" i="46"/>
  <c r="AI89" i="46"/>
  <c r="ES89" i="46"/>
  <c r="DO89" i="46"/>
  <c r="CH89" i="46"/>
  <c r="BG89" i="46"/>
  <c r="AF89" i="46"/>
  <c r="EP89" i="46"/>
  <c r="DI89" i="46"/>
  <c r="CE89" i="46"/>
  <c r="BD89" i="46"/>
  <c r="AC89" i="46"/>
  <c r="EM89" i="46"/>
  <c r="DF89" i="46"/>
  <c r="CB89" i="46"/>
  <c r="BA89" i="46"/>
  <c r="Z89" i="46"/>
  <c r="EG89" i="46"/>
  <c r="DC89" i="46"/>
  <c r="BY89" i="46"/>
  <c r="AX89" i="46"/>
  <c r="W89" i="46"/>
  <c r="FK89" i="46"/>
  <c r="ED89" i="46"/>
  <c r="CW89" i="46"/>
  <c r="BV89" i="46"/>
  <c r="AU89" i="46"/>
  <c r="FE89" i="46"/>
  <c r="EA89" i="46"/>
  <c r="CT89" i="46"/>
  <c r="BS89" i="46"/>
  <c r="AO89" i="46"/>
  <c r="FB89" i="46"/>
  <c r="DU89" i="46"/>
  <c r="CQ89" i="46"/>
  <c r="BM89" i="46"/>
  <c r="AL89" i="46"/>
  <c r="T113" i="46"/>
  <c r="ES113" i="46"/>
  <c r="DU113" i="46"/>
  <c r="CW113" i="46"/>
  <c r="BY113" i="46"/>
  <c r="BA113" i="46"/>
  <c r="AC113" i="46"/>
  <c r="EP113" i="46"/>
  <c r="DO113" i="46"/>
  <c r="CN113" i="46"/>
  <c r="BM113" i="46"/>
  <c r="AL113" i="46"/>
  <c r="EM113" i="46"/>
  <c r="DL113" i="46"/>
  <c r="CK113" i="46"/>
  <c r="BJ113" i="46"/>
  <c r="AI113" i="46"/>
  <c r="FK113" i="46"/>
  <c r="EJ113" i="46"/>
  <c r="DI113" i="46"/>
  <c r="CH113" i="46"/>
  <c r="BG113" i="46"/>
  <c r="AF113" i="46"/>
  <c r="FH113" i="46"/>
  <c r="EG113" i="46"/>
  <c r="DF113" i="46"/>
  <c r="CE113" i="46"/>
  <c r="BD113" i="46"/>
  <c r="Z113" i="46"/>
  <c r="FE113" i="46"/>
  <c r="ED113" i="46"/>
  <c r="DC113" i="46"/>
  <c r="CB113" i="46"/>
  <c r="AX113" i="46"/>
  <c r="W113" i="46"/>
  <c r="EY113" i="46"/>
  <c r="BV113" i="46"/>
  <c r="EV113" i="46"/>
  <c r="BS113" i="46"/>
  <c r="EA113" i="46"/>
  <c r="BP113" i="46"/>
  <c r="DX113" i="46"/>
  <c r="AU113" i="46"/>
  <c r="DR113" i="46"/>
  <c r="AR113" i="46"/>
  <c r="CT113" i="46"/>
  <c r="CQ113" i="46"/>
  <c r="AO113" i="46"/>
  <c r="FB113" i="46"/>
  <c r="CZ113" i="46"/>
  <c r="T119" i="46"/>
  <c r="ES119" i="46"/>
  <c r="DU119" i="46"/>
  <c r="CW119" i="46"/>
  <c r="BY119" i="46"/>
  <c r="BA119" i="46"/>
  <c r="AC119" i="46"/>
  <c r="EP119" i="46"/>
  <c r="DR119" i="46"/>
  <c r="CT119" i="46"/>
  <c r="BV119" i="46"/>
  <c r="AX119" i="46"/>
  <c r="Z119" i="46"/>
  <c r="FK119" i="46"/>
  <c r="EG119" i="46"/>
  <c r="DC119" i="46"/>
  <c r="BS119" i="46"/>
  <c r="AO119" i="46"/>
  <c r="FE119" i="46"/>
  <c r="DX119" i="46"/>
  <c r="CK119" i="46"/>
  <c r="BD119" i="46"/>
  <c r="FB119" i="46"/>
  <c r="DO119" i="46"/>
  <c r="CH119" i="46"/>
  <c r="AU119" i="46"/>
  <c r="EY119" i="46"/>
  <c r="DL119" i="46"/>
  <c r="CE119" i="46"/>
  <c r="AR119" i="46"/>
  <c r="EV119" i="46"/>
  <c r="DI119" i="46"/>
  <c r="CB119" i="46"/>
  <c r="AL119" i="46"/>
  <c r="EM119" i="46"/>
  <c r="DF119" i="46"/>
  <c r="BP119" i="46"/>
  <c r="AI119" i="46"/>
  <c r="EA119" i="46"/>
  <c r="W119" i="46"/>
  <c r="CZ119" i="46"/>
  <c r="CQ119" i="46"/>
  <c r="CN119" i="46"/>
  <c r="BM119" i="46"/>
  <c r="ED119" i="46"/>
  <c r="BJ119" i="46"/>
  <c r="BG119" i="46"/>
  <c r="AF119" i="46"/>
  <c r="FH119" i="46"/>
  <c r="EJ119" i="46"/>
  <c r="T103" i="46"/>
  <c r="FE103" i="46"/>
  <c r="EG103" i="46"/>
  <c r="DI103" i="46"/>
  <c r="CK103" i="46"/>
  <c r="BM103" i="46"/>
  <c r="AO103" i="46"/>
  <c r="EM103" i="46"/>
  <c r="DL103" i="46"/>
  <c r="CH103" i="46"/>
  <c r="BG103" i="46"/>
  <c r="AF103" i="46"/>
  <c r="EV103" i="46"/>
  <c r="DR103" i="46"/>
  <c r="CN103" i="46"/>
  <c r="BD103" i="46"/>
  <c r="Z103" i="46"/>
  <c r="ES103" i="46"/>
  <c r="DO103" i="46"/>
  <c r="CE103" i="46"/>
  <c r="BA103" i="46"/>
  <c r="W103" i="46"/>
  <c r="EP103" i="46"/>
  <c r="DF103" i="46"/>
  <c r="CB103" i="46"/>
  <c r="AX103" i="46"/>
  <c r="EJ103" i="46"/>
  <c r="DC103" i="46"/>
  <c r="BY103" i="46"/>
  <c r="AU103" i="46"/>
  <c r="FK103" i="46"/>
  <c r="ED103" i="46"/>
  <c r="CZ103" i="46"/>
  <c r="BV103" i="46"/>
  <c r="AR103" i="46"/>
  <c r="EY103" i="46"/>
  <c r="BP103" i="46"/>
  <c r="EA103" i="46"/>
  <c r="BJ103" i="46"/>
  <c r="DX103" i="46"/>
  <c r="AL103" i="46"/>
  <c r="DU103" i="46"/>
  <c r="AI103" i="46"/>
  <c r="CW103" i="46"/>
  <c r="AC103" i="46"/>
  <c r="CT103" i="46"/>
  <c r="FH103" i="46"/>
  <c r="FB103" i="46"/>
  <c r="CQ103" i="46"/>
  <c r="BS103" i="46"/>
  <c r="T86" i="46"/>
  <c r="EY86" i="46"/>
  <c r="EA86" i="46"/>
  <c r="DC86" i="46"/>
  <c r="CE86" i="46"/>
  <c r="BG86" i="46"/>
  <c r="AI86" i="46"/>
  <c r="EV86" i="46"/>
  <c r="DX86" i="46"/>
  <c r="CZ86" i="46"/>
  <c r="CB86" i="46"/>
  <c r="BD86" i="46"/>
  <c r="AF86" i="46"/>
  <c r="ES86" i="46"/>
  <c r="DU86" i="46"/>
  <c r="CW86" i="46"/>
  <c r="BY86" i="46"/>
  <c r="BA86" i="46"/>
  <c r="AC86" i="46"/>
  <c r="FK86" i="46"/>
  <c r="EM86" i="46"/>
  <c r="DO86" i="46"/>
  <c r="CQ86" i="46"/>
  <c r="BS86" i="46"/>
  <c r="AU86" i="46"/>
  <c r="W86" i="46"/>
  <c r="EJ86" i="46"/>
  <c r="CN86" i="46"/>
  <c r="AR86" i="46"/>
  <c r="EG86" i="46"/>
  <c r="CK86" i="46"/>
  <c r="AO86" i="46"/>
  <c r="ED86" i="46"/>
  <c r="CH86" i="46"/>
  <c r="AL86" i="46"/>
  <c r="DR86" i="46"/>
  <c r="BV86" i="46"/>
  <c r="Z86" i="46"/>
  <c r="FH86" i="46"/>
  <c r="DL86" i="46"/>
  <c r="BP86" i="46"/>
  <c r="FE86" i="46"/>
  <c r="DI86" i="46"/>
  <c r="BM86" i="46"/>
  <c r="FB86" i="46"/>
  <c r="DF86" i="46"/>
  <c r="BJ86" i="46"/>
  <c r="EP86" i="46"/>
  <c r="CT86" i="46"/>
  <c r="AX86" i="46"/>
  <c r="T81" i="46"/>
  <c r="EV81" i="46"/>
  <c r="DX81" i="46"/>
  <c r="CZ81" i="46"/>
  <c r="CB81" i="46"/>
  <c r="BD81" i="46"/>
  <c r="AF81" i="46"/>
  <c r="ES81" i="46"/>
  <c r="DU81" i="46"/>
  <c r="CW81" i="46"/>
  <c r="BY81" i="46"/>
  <c r="BA81" i="46"/>
  <c r="AC81" i="46"/>
  <c r="EP81" i="46"/>
  <c r="DR81" i="46"/>
  <c r="CT81" i="46"/>
  <c r="BV81" i="46"/>
  <c r="AX81" i="46"/>
  <c r="Z81" i="46"/>
  <c r="FK81" i="46"/>
  <c r="EM81" i="46"/>
  <c r="DO81" i="46"/>
  <c r="CQ81" i="46"/>
  <c r="BS81" i="46"/>
  <c r="AU81" i="46"/>
  <c r="W81" i="46"/>
  <c r="FH81" i="46"/>
  <c r="EJ81" i="46"/>
  <c r="DL81" i="46"/>
  <c r="CN81" i="46"/>
  <c r="BP81" i="46"/>
  <c r="AR81" i="46"/>
  <c r="ED81" i="46"/>
  <c r="BM81" i="46"/>
  <c r="EA81" i="46"/>
  <c r="BJ81" i="46"/>
  <c r="DI81" i="46"/>
  <c r="BG81" i="46"/>
  <c r="EG81" i="46"/>
  <c r="DF81" i="46"/>
  <c r="AO81" i="46"/>
  <c r="CE81" i="46"/>
  <c r="FE81" i="46"/>
  <c r="DC81" i="46"/>
  <c r="AL81" i="46"/>
  <c r="FB81" i="46"/>
  <c r="CK81" i="46"/>
  <c r="AI81" i="46"/>
  <c r="EY81" i="46"/>
  <c r="CH81" i="46"/>
  <c r="T90" i="46"/>
  <c r="FK90" i="46"/>
  <c r="EM90" i="46"/>
  <c r="DO90" i="46"/>
  <c r="CQ90" i="46"/>
  <c r="BS90" i="46"/>
  <c r="AU90" i="46"/>
  <c r="W90" i="46"/>
  <c r="FH90" i="46"/>
  <c r="EJ90" i="46"/>
  <c r="DL90" i="46"/>
  <c r="CN90" i="46"/>
  <c r="BP90" i="46"/>
  <c r="AR90" i="46"/>
  <c r="EY90" i="46"/>
  <c r="EA90" i="46"/>
  <c r="DC90" i="46"/>
  <c r="CE90" i="46"/>
  <c r="BG90" i="46"/>
  <c r="AI90" i="46"/>
  <c r="EV90" i="46"/>
  <c r="DI90" i="46"/>
  <c r="BY90" i="46"/>
  <c r="AL90" i="46"/>
  <c r="ES90" i="46"/>
  <c r="DF90" i="46"/>
  <c r="BV90" i="46"/>
  <c r="AF90" i="46"/>
  <c r="EP90" i="46"/>
  <c r="CZ90" i="46"/>
  <c r="BM90" i="46"/>
  <c r="AC90" i="46"/>
  <c r="EG90" i="46"/>
  <c r="CW90" i="46"/>
  <c r="BJ90" i="46"/>
  <c r="Z90" i="46"/>
  <c r="ED90" i="46"/>
  <c r="CT90" i="46"/>
  <c r="BD90" i="46"/>
  <c r="DX90" i="46"/>
  <c r="CK90" i="46"/>
  <c r="BA90" i="46"/>
  <c r="FE90" i="46"/>
  <c r="DU90" i="46"/>
  <c r="CH90" i="46"/>
  <c r="AX90" i="46"/>
  <c r="FB90" i="46"/>
  <c r="DR90" i="46"/>
  <c r="CB90" i="46"/>
  <c r="AO90" i="46"/>
  <c r="T114" i="46"/>
  <c r="FH114" i="46"/>
  <c r="EJ114" i="46"/>
  <c r="DL114" i="46"/>
  <c r="CN114" i="46"/>
  <c r="BP114" i="46"/>
  <c r="AR114" i="46"/>
  <c r="FE114" i="46"/>
  <c r="EG114" i="46"/>
  <c r="DI114" i="46"/>
  <c r="CK114" i="46"/>
  <c r="BM114" i="46"/>
  <c r="AO114" i="46"/>
  <c r="EV114" i="46"/>
  <c r="FB114" i="46"/>
  <c r="DU114" i="46"/>
  <c r="CQ114" i="46"/>
  <c r="BG114" i="46"/>
  <c r="AC114" i="46"/>
  <c r="EY114" i="46"/>
  <c r="DR114" i="46"/>
  <c r="CH114" i="46"/>
  <c r="BD114" i="46"/>
  <c r="Z114" i="46"/>
  <c r="ES114" i="46"/>
  <c r="DO114" i="46"/>
  <c r="CE114" i="46"/>
  <c r="BA114" i="46"/>
  <c r="W114" i="46"/>
  <c r="EP114" i="46"/>
  <c r="DF114" i="46"/>
  <c r="CB114" i="46"/>
  <c r="AX114" i="46"/>
  <c r="EM114" i="46"/>
  <c r="DC114" i="46"/>
  <c r="BY114" i="46"/>
  <c r="AU114" i="46"/>
  <c r="CW114" i="46"/>
  <c r="CT114" i="46"/>
  <c r="BV114" i="46"/>
  <c r="FK114" i="46"/>
  <c r="BS114" i="46"/>
  <c r="ED114" i="46"/>
  <c r="BJ114" i="46"/>
  <c r="CZ114" i="46"/>
  <c r="AL114" i="46"/>
  <c r="AI114" i="46"/>
  <c r="AF114" i="46"/>
  <c r="EA114" i="46"/>
  <c r="DX114" i="46"/>
  <c r="T82" i="46"/>
  <c r="FK82" i="46"/>
  <c r="EM82" i="46"/>
  <c r="DO82" i="46"/>
  <c r="CQ82" i="46"/>
  <c r="BS82" i="46"/>
  <c r="AU82" i="46"/>
  <c r="W82" i="46"/>
  <c r="FH82" i="46"/>
  <c r="EJ82" i="46"/>
  <c r="DL82" i="46"/>
  <c r="CN82" i="46"/>
  <c r="BP82" i="46"/>
  <c r="AR82" i="46"/>
  <c r="FE82" i="46"/>
  <c r="EG82" i="46"/>
  <c r="DI82" i="46"/>
  <c r="CK82" i="46"/>
  <c r="BM82" i="46"/>
  <c r="AO82" i="46"/>
  <c r="FB82" i="46"/>
  <c r="ED82" i="46"/>
  <c r="DF82" i="46"/>
  <c r="CH82" i="46"/>
  <c r="BJ82" i="46"/>
  <c r="AL82" i="46"/>
  <c r="EY82" i="46"/>
  <c r="EA82" i="46"/>
  <c r="DC82" i="46"/>
  <c r="CE82" i="46"/>
  <c r="BG82" i="46"/>
  <c r="AI82" i="46"/>
  <c r="EV82" i="46"/>
  <c r="DX82" i="46"/>
  <c r="CZ82" i="46"/>
  <c r="CB82" i="46"/>
  <c r="BD82" i="46"/>
  <c r="AF82" i="46"/>
  <c r="ES82" i="46"/>
  <c r="DU82" i="46"/>
  <c r="CW82" i="46"/>
  <c r="BY82" i="46"/>
  <c r="BA82" i="46"/>
  <c r="AC82" i="46"/>
  <c r="EP82" i="46"/>
  <c r="DR82" i="46"/>
  <c r="CT82" i="46"/>
  <c r="BV82" i="46"/>
  <c r="AX82" i="46"/>
  <c r="Z82" i="46"/>
  <c r="T109" i="46"/>
  <c r="FH109" i="46"/>
  <c r="EJ109" i="46"/>
  <c r="DL109" i="46"/>
  <c r="CN109" i="46"/>
  <c r="BP109" i="46"/>
  <c r="AR109" i="46"/>
  <c r="FE109" i="46"/>
  <c r="EG109" i="46"/>
  <c r="DI109" i="46"/>
  <c r="CK109" i="46"/>
  <c r="BM109" i="46"/>
  <c r="AO109" i="46"/>
  <c r="FB109" i="46"/>
  <c r="ED109" i="46"/>
  <c r="DF109" i="46"/>
  <c r="CH109" i="46"/>
  <c r="BJ109" i="46"/>
  <c r="AL109" i="46"/>
  <c r="EY109" i="46"/>
  <c r="EA109" i="46"/>
  <c r="DC109" i="46"/>
  <c r="CE109" i="46"/>
  <c r="BG109" i="46"/>
  <c r="AI109" i="46"/>
  <c r="EV109" i="46"/>
  <c r="DX109" i="46"/>
  <c r="CZ109" i="46"/>
  <c r="CB109" i="46"/>
  <c r="BD109" i="46"/>
  <c r="AF109" i="46"/>
  <c r="EM109" i="46"/>
  <c r="BV109" i="46"/>
  <c r="DU109" i="46"/>
  <c r="BS109" i="46"/>
  <c r="DR109" i="46"/>
  <c r="BA109" i="46"/>
  <c r="DO109" i="46"/>
  <c r="AX109" i="46"/>
  <c r="CW109" i="46"/>
  <c r="AU109" i="46"/>
  <c r="FK109" i="46"/>
  <c r="CT109" i="46"/>
  <c r="AC109" i="46"/>
  <c r="CQ109" i="46"/>
  <c r="BY109" i="46"/>
  <c r="Z109" i="46"/>
  <c r="W109" i="46"/>
  <c r="ES109" i="46"/>
  <c r="EP109" i="46"/>
  <c r="T107" i="46"/>
  <c r="FB107" i="46"/>
  <c r="ED107" i="46"/>
  <c r="DF107" i="46"/>
  <c r="CH107" i="46"/>
  <c r="BJ107" i="46"/>
  <c r="AL107" i="46"/>
  <c r="ES107" i="46"/>
  <c r="DU107" i="46"/>
  <c r="CW107" i="46"/>
  <c r="BY107" i="46"/>
  <c r="BA107" i="46"/>
  <c r="AC107" i="46"/>
  <c r="EP107" i="46"/>
  <c r="DR107" i="46"/>
  <c r="CT107" i="46"/>
  <c r="BV107" i="46"/>
  <c r="EY107" i="46"/>
  <c r="DL107" i="46"/>
  <c r="CB107" i="46"/>
  <c r="AR107" i="46"/>
  <c r="EV107" i="46"/>
  <c r="DI107" i="46"/>
  <c r="BS107" i="46"/>
  <c r="AO107" i="46"/>
  <c r="EM107" i="46"/>
  <c r="DC107" i="46"/>
  <c r="BP107" i="46"/>
  <c r="AI107" i="46"/>
  <c r="EJ107" i="46"/>
  <c r="CZ107" i="46"/>
  <c r="BM107" i="46"/>
  <c r="AF107" i="46"/>
  <c r="EG107" i="46"/>
  <c r="CQ107" i="46"/>
  <c r="BG107" i="46"/>
  <c r="Z107" i="46"/>
  <c r="FK107" i="46"/>
  <c r="EA107" i="46"/>
  <c r="CN107" i="46"/>
  <c r="BD107" i="46"/>
  <c r="W107" i="46"/>
  <c r="FH107" i="46"/>
  <c r="FE107" i="46"/>
  <c r="DX107" i="46"/>
  <c r="DO107" i="46"/>
  <c r="CK107" i="46"/>
  <c r="CE107" i="46"/>
  <c r="AX107" i="46"/>
  <c r="AU107" i="46"/>
  <c r="T127" i="46"/>
  <c r="EV127" i="46"/>
  <c r="DX127" i="46"/>
  <c r="CZ127" i="46"/>
  <c r="CB127" i="46"/>
  <c r="BD127" i="46"/>
  <c r="AF127" i="46"/>
  <c r="FH127" i="46"/>
  <c r="EG127" i="46"/>
  <c r="DF127" i="46"/>
  <c r="CE127" i="46"/>
  <c r="BA127" i="46"/>
  <c r="Z127" i="46"/>
  <c r="FE127" i="46"/>
  <c r="ED127" i="46"/>
  <c r="DC127" i="46"/>
  <c r="BY127" i="46"/>
  <c r="AX127" i="46"/>
  <c r="W127" i="46"/>
  <c r="FB127" i="46"/>
  <c r="EA127" i="46"/>
  <c r="CW127" i="46"/>
  <c r="BV127" i="46"/>
  <c r="AU127" i="46"/>
  <c r="EY127" i="46"/>
  <c r="DU127" i="46"/>
  <c r="CT127" i="46"/>
  <c r="BS127" i="46"/>
  <c r="AR127" i="46"/>
  <c r="ES127" i="46"/>
  <c r="DR127" i="46"/>
  <c r="CQ127" i="46"/>
  <c r="BP127" i="46"/>
  <c r="AO127" i="46"/>
  <c r="EP127" i="46"/>
  <c r="CH127" i="46"/>
  <c r="EM127" i="46"/>
  <c r="BM127" i="46"/>
  <c r="EJ127" i="46"/>
  <c r="BJ127" i="46"/>
  <c r="DO127" i="46"/>
  <c r="BG127" i="46"/>
  <c r="DL127" i="46"/>
  <c r="AL127" i="46"/>
  <c r="DI127" i="46"/>
  <c r="AI127" i="46"/>
  <c r="CN127" i="46"/>
  <c r="AC127" i="46"/>
  <c r="FK127" i="46"/>
  <c r="CK127" i="46"/>
  <c r="T99" i="46"/>
  <c r="ES99" i="46"/>
  <c r="DU99" i="46"/>
  <c r="CW99" i="46"/>
  <c r="BY99" i="46"/>
  <c r="BA99" i="46"/>
  <c r="AC99" i="46"/>
  <c r="EP99" i="46"/>
  <c r="DR99" i="46"/>
  <c r="CT99" i="46"/>
  <c r="BV99" i="46"/>
  <c r="AX99" i="46"/>
  <c r="Z99" i="46"/>
  <c r="FK99" i="46"/>
  <c r="EM99" i="46"/>
  <c r="DO99" i="46"/>
  <c r="CQ99" i="46"/>
  <c r="BS99" i="46"/>
  <c r="AU99" i="46"/>
  <c r="W99" i="46"/>
  <c r="FH99" i="46"/>
  <c r="EJ99" i="46"/>
  <c r="DL99" i="46"/>
  <c r="CN99" i="46"/>
  <c r="BP99" i="46"/>
  <c r="AR99" i="46"/>
  <c r="FE99" i="46"/>
  <c r="EG99" i="46"/>
  <c r="DI99" i="46"/>
  <c r="CK99" i="46"/>
  <c r="BM99" i="46"/>
  <c r="AO99" i="46"/>
  <c r="EV99" i="46"/>
  <c r="CE99" i="46"/>
  <c r="ED99" i="46"/>
  <c r="CB99" i="46"/>
  <c r="EA99" i="46"/>
  <c r="BJ99" i="46"/>
  <c r="DX99" i="46"/>
  <c r="BG99" i="46"/>
  <c r="DF99" i="46"/>
  <c r="BD99" i="46"/>
  <c r="DC99" i="46"/>
  <c r="AL99" i="46"/>
  <c r="FB99" i="46"/>
  <c r="EY99" i="46"/>
  <c r="CZ99" i="46"/>
  <c r="CH99" i="46"/>
  <c r="AI99" i="46"/>
  <c r="AF99" i="46"/>
  <c r="T100" i="46"/>
  <c r="FH100" i="46"/>
  <c r="EJ100" i="46"/>
  <c r="DL100" i="46"/>
  <c r="CN100" i="46"/>
  <c r="BP100" i="46"/>
  <c r="AR100" i="46"/>
  <c r="FE100" i="46"/>
  <c r="EG100" i="46"/>
  <c r="DI100" i="46"/>
  <c r="CK100" i="46"/>
  <c r="BM100" i="46"/>
  <c r="AO100" i="46"/>
  <c r="FB100" i="46"/>
  <c r="ED100" i="46"/>
  <c r="DF100" i="46"/>
  <c r="CH100" i="46"/>
  <c r="BJ100" i="46"/>
  <c r="AL100" i="46"/>
  <c r="EY100" i="46"/>
  <c r="EA100" i="46"/>
  <c r="DC100" i="46"/>
  <c r="CE100" i="46"/>
  <c r="BG100" i="46"/>
  <c r="AI100" i="46"/>
  <c r="EV100" i="46"/>
  <c r="DX100" i="46"/>
  <c r="CZ100" i="46"/>
  <c r="CB100" i="46"/>
  <c r="BD100" i="46"/>
  <c r="AF100" i="46"/>
  <c r="DR100" i="46"/>
  <c r="BA100" i="46"/>
  <c r="DO100" i="46"/>
  <c r="AX100" i="46"/>
  <c r="CW100" i="46"/>
  <c r="AU100" i="46"/>
  <c r="FK100" i="46"/>
  <c r="CT100" i="46"/>
  <c r="AC100" i="46"/>
  <c r="ES100" i="46"/>
  <c r="CQ100" i="46"/>
  <c r="Z100" i="46"/>
  <c r="EP100" i="46"/>
  <c r="BY100" i="46"/>
  <c r="W100" i="46"/>
  <c r="EM100" i="46"/>
  <c r="DU100" i="46"/>
  <c r="BV100" i="46"/>
  <c r="BS100" i="46"/>
  <c r="T102" i="46"/>
  <c r="ES102" i="46"/>
  <c r="DU102" i="46"/>
  <c r="CW102" i="46"/>
  <c r="BY102" i="46"/>
  <c r="BA102" i="46"/>
  <c r="AC102" i="46"/>
  <c r="EY102" i="46"/>
  <c r="DX102" i="46"/>
  <c r="CT102" i="46"/>
  <c r="BS102" i="46"/>
  <c r="AR102" i="46"/>
  <c r="EV102" i="46"/>
  <c r="DR102" i="46"/>
  <c r="CQ102" i="46"/>
  <c r="BP102" i="46"/>
  <c r="AO102" i="46"/>
  <c r="EP102" i="46"/>
  <c r="DO102" i="46"/>
  <c r="CN102" i="46"/>
  <c r="BM102" i="46"/>
  <c r="AL102" i="46"/>
  <c r="EM102" i="46"/>
  <c r="DL102" i="46"/>
  <c r="CK102" i="46"/>
  <c r="BJ102" i="46"/>
  <c r="AI102" i="46"/>
  <c r="FK102" i="46"/>
  <c r="EJ102" i="46"/>
  <c r="DI102" i="46"/>
  <c r="CH102" i="46"/>
  <c r="BG102" i="46"/>
  <c r="AF102" i="46"/>
  <c r="ED102" i="46"/>
  <c r="BD102" i="46"/>
  <c r="EA102" i="46"/>
  <c r="AX102" i="46"/>
  <c r="DF102" i="46"/>
  <c r="AU102" i="46"/>
  <c r="DC102" i="46"/>
  <c r="Z102" i="46"/>
  <c r="FH102" i="46"/>
  <c r="CZ102" i="46"/>
  <c r="W102" i="46"/>
  <c r="FE102" i="46"/>
  <c r="CE102" i="46"/>
  <c r="FB102" i="46"/>
  <c r="EG102" i="46"/>
  <c r="CB102" i="46"/>
  <c r="BV102" i="46"/>
  <c r="T87" i="46"/>
  <c r="EP87" i="46"/>
  <c r="DR87" i="46"/>
  <c r="CT87" i="46"/>
  <c r="BV87" i="46"/>
  <c r="AX87" i="46"/>
  <c r="Z87" i="46"/>
  <c r="FK87" i="46"/>
  <c r="EM87" i="46"/>
  <c r="DO87" i="46"/>
  <c r="CQ87" i="46"/>
  <c r="BS87" i="46"/>
  <c r="AU87" i="46"/>
  <c r="W87" i="46"/>
  <c r="FH87" i="46"/>
  <c r="EJ87" i="46"/>
  <c r="DL87" i="46"/>
  <c r="CN87" i="46"/>
  <c r="BP87" i="46"/>
  <c r="AR87" i="46"/>
  <c r="FE87" i="46"/>
  <c r="EG87" i="46"/>
  <c r="DI87" i="46"/>
  <c r="CK87" i="46"/>
  <c r="BM87" i="46"/>
  <c r="AO87" i="46"/>
  <c r="FB87" i="46"/>
  <c r="ED87" i="46"/>
  <c r="DF87" i="46"/>
  <c r="CH87" i="46"/>
  <c r="BJ87" i="46"/>
  <c r="AL87" i="46"/>
  <c r="DC87" i="46"/>
  <c r="BA87" i="46"/>
  <c r="CZ87" i="46"/>
  <c r="AI87" i="46"/>
  <c r="EY87" i="46"/>
  <c r="CW87" i="46"/>
  <c r="AF87" i="46"/>
  <c r="EV87" i="46"/>
  <c r="CE87" i="46"/>
  <c r="AC87" i="46"/>
  <c r="ES87" i="46"/>
  <c r="CB87" i="46"/>
  <c r="EA87" i="46"/>
  <c r="BY87" i="46"/>
  <c r="DX87" i="46"/>
  <c r="BG87" i="46"/>
  <c r="DU87" i="46"/>
  <c r="BD87" i="46"/>
  <c r="T80" i="46"/>
  <c r="FE80" i="46"/>
  <c r="EG80" i="46"/>
  <c r="DI80" i="46"/>
  <c r="CK80" i="46"/>
  <c r="BM80" i="46"/>
  <c r="AO80" i="46"/>
  <c r="FB80" i="46"/>
  <c r="ED80" i="46"/>
  <c r="DF80" i="46"/>
  <c r="CH80" i="46"/>
  <c r="EY80" i="46"/>
  <c r="EA80" i="46"/>
  <c r="DC80" i="46"/>
  <c r="CE80" i="46"/>
  <c r="BG80" i="46"/>
  <c r="AI80" i="46"/>
  <c r="EV80" i="46"/>
  <c r="DX80" i="46"/>
  <c r="CZ80" i="46"/>
  <c r="CB80" i="46"/>
  <c r="BD80" i="46"/>
  <c r="AF80" i="46"/>
  <c r="ES80" i="46"/>
  <c r="DU80" i="46"/>
  <c r="CW80" i="46"/>
  <c r="BY80" i="46"/>
  <c r="BA80" i="46"/>
  <c r="AC80" i="46"/>
  <c r="FH80" i="46"/>
  <c r="CQ80" i="46"/>
  <c r="AR80" i="46"/>
  <c r="EP80" i="46"/>
  <c r="CN80" i="46"/>
  <c r="AL80" i="46"/>
  <c r="EM80" i="46"/>
  <c r="BV80" i="46"/>
  <c r="Z80" i="46"/>
  <c r="EJ80" i="46"/>
  <c r="BS80" i="46"/>
  <c r="W80" i="46"/>
  <c r="FK80" i="46"/>
  <c r="DR80" i="46"/>
  <c r="BP80" i="46"/>
  <c r="CT80" i="46"/>
  <c r="DO80" i="46"/>
  <c r="BJ80" i="46"/>
  <c r="DL80" i="46"/>
  <c r="AX80" i="46"/>
  <c r="AU80" i="46"/>
  <c r="T88" i="46"/>
  <c r="FE88" i="46"/>
  <c r="EG88" i="46"/>
  <c r="DI88" i="46"/>
  <c r="CK88" i="46"/>
  <c r="BM88" i="46"/>
  <c r="AO88" i="46"/>
  <c r="FB88" i="46"/>
  <c r="ED88" i="46"/>
  <c r="DF88" i="46"/>
  <c r="CH88" i="46"/>
  <c r="BJ88" i="46"/>
  <c r="AL88" i="46"/>
  <c r="EY88" i="46"/>
  <c r="EA88" i="46"/>
  <c r="DC88" i="46"/>
  <c r="CE88" i="46"/>
  <c r="BG88" i="46"/>
  <c r="AI88" i="46"/>
  <c r="EV88" i="46"/>
  <c r="DX88" i="46"/>
  <c r="CZ88" i="46"/>
  <c r="CB88" i="46"/>
  <c r="BD88" i="46"/>
  <c r="AF88" i="46"/>
  <c r="ES88" i="46"/>
  <c r="DU88" i="46"/>
  <c r="CW88" i="46"/>
  <c r="BY88" i="46"/>
  <c r="BA88" i="46"/>
  <c r="AC88" i="46"/>
  <c r="EP88" i="46"/>
  <c r="DR88" i="46"/>
  <c r="CT88" i="46"/>
  <c r="BV88" i="46"/>
  <c r="FK88" i="46"/>
  <c r="EM88" i="46"/>
  <c r="DO88" i="46"/>
  <c r="CQ88" i="46"/>
  <c r="DL88" i="46"/>
  <c r="W88" i="46"/>
  <c r="CN88" i="46"/>
  <c r="BS88" i="46"/>
  <c r="BP88" i="46"/>
  <c r="AX88" i="46"/>
  <c r="AU88" i="46"/>
  <c r="FH88" i="46"/>
  <c r="AR88" i="46"/>
  <c r="EJ88" i="46"/>
  <c r="Z88" i="46"/>
  <c r="T111" i="46"/>
  <c r="FK111" i="46"/>
  <c r="EM111" i="46"/>
  <c r="DO111" i="46"/>
  <c r="CQ111" i="46"/>
  <c r="BS111" i="46"/>
  <c r="AU111" i="46"/>
  <c r="W111" i="46"/>
  <c r="FH111" i="46"/>
  <c r="EJ111" i="46"/>
  <c r="DL111" i="46"/>
  <c r="CN111" i="46"/>
  <c r="BP111" i="46"/>
  <c r="AR111" i="46"/>
  <c r="FB111" i="46"/>
  <c r="ED111" i="46"/>
  <c r="DF111" i="46"/>
  <c r="CH111" i="46"/>
  <c r="BJ111" i="46"/>
  <c r="AL111" i="46"/>
  <c r="EV111" i="46"/>
  <c r="DI111" i="46"/>
  <c r="BY111" i="46"/>
  <c r="AI111" i="46"/>
  <c r="ES111" i="46"/>
  <c r="DC111" i="46"/>
  <c r="BV111" i="46"/>
  <c r="AF111" i="46"/>
  <c r="EP111" i="46"/>
  <c r="CZ111" i="46"/>
  <c r="BM111" i="46"/>
  <c r="AC111" i="46"/>
  <c r="EG111" i="46"/>
  <c r="CW111" i="46"/>
  <c r="BG111" i="46"/>
  <c r="Z111" i="46"/>
  <c r="EA111" i="46"/>
  <c r="CT111" i="46"/>
  <c r="BD111" i="46"/>
  <c r="CK111" i="46"/>
  <c r="CE111" i="46"/>
  <c r="CB111" i="46"/>
  <c r="FE111" i="46"/>
  <c r="BA111" i="46"/>
  <c r="EY111" i="46"/>
  <c r="AX111" i="46"/>
  <c r="DX111" i="46"/>
  <c r="AO111" i="46"/>
  <c r="DU111" i="46"/>
  <c r="DR111" i="46"/>
  <c r="T105" i="46"/>
  <c r="EV105" i="46"/>
  <c r="DX105" i="46"/>
  <c r="CZ105" i="46"/>
  <c r="CB105" i="46"/>
  <c r="BD105" i="46"/>
  <c r="AF105" i="46"/>
  <c r="EY105" i="46"/>
  <c r="DU105" i="46"/>
  <c r="CT105" i="46"/>
  <c r="BS105" i="46"/>
  <c r="AR105" i="46"/>
  <c r="ES105" i="46"/>
  <c r="DR105" i="46"/>
  <c r="CQ105" i="46"/>
  <c r="BP105" i="46"/>
  <c r="AO105" i="46"/>
  <c r="FB105" i="46"/>
  <c r="DL105" i="46"/>
  <c r="CE105" i="46"/>
  <c r="AU105" i="46"/>
  <c r="EP105" i="46"/>
  <c r="DI105" i="46"/>
  <c r="BY105" i="46"/>
  <c r="AL105" i="46"/>
  <c r="EM105" i="46"/>
  <c r="DF105" i="46"/>
  <c r="BV105" i="46"/>
  <c r="AI105" i="46"/>
  <c r="EJ105" i="46"/>
  <c r="DC105" i="46"/>
  <c r="BM105" i="46"/>
  <c r="AC105" i="46"/>
  <c r="EG105" i="46"/>
  <c r="CW105" i="46"/>
  <c r="BJ105" i="46"/>
  <c r="Z105" i="46"/>
  <c r="FK105" i="46"/>
  <c r="ED105" i="46"/>
  <c r="CN105" i="46"/>
  <c r="FH105" i="46"/>
  <c r="EA105" i="46"/>
  <c r="BA105" i="46"/>
  <c r="AX105" i="46"/>
  <c r="W105" i="46"/>
  <c r="FE105" i="46"/>
  <c r="DO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DO128" i="46" l="1"/>
  <c r="BV128" i="46"/>
  <c r="DX128" i="46"/>
  <c r="CH128" i="46"/>
  <c r="CW128" i="46"/>
  <c r="EG128" i="46"/>
  <c r="DU128" i="46"/>
  <c r="BP128" i="46"/>
  <c r="AL128" i="46"/>
  <c r="ES128" i="46"/>
  <c r="AI128" i="46"/>
  <c r="ED128" i="46"/>
  <c r="FE128" i="46"/>
  <c r="AX128" i="46"/>
  <c r="DR128" i="46"/>
  <c r="CN128" i="46"/>
  <c r="BG128" i="46"/>
  <c r="FB128" i="46"/>
  <c r="FK128" i="46"/>
  <c r="EV128" i="46"/>
  <c r="DL128" i="46"/>
  <c r="W128" i="46"/>
  <c r="EP128" i="46"/>
  <c r="AF128" i="46"/>
  <c r="CE128" i="46"/>
  <c r="AO128" i="46"/>
  <c r="EM128" i="46"/>
  <c r="BS128" i="46"/>
  <c r="AR128" i="46"/>
  <c r="AC128" i="46"/>
  <c r="BD128" i="46"/>
  <c r="DC128" i="46"/>
  <c r="BM128" i="46"/>
  <c r="CT128" i="46"/>
  <c r="EJ128" i="46"/>
  <c r="CQ128" i="46"/>
  <c r="BA128" i="46"/>
  <c r="CB128" i="46"/>
  <c r="EA128" i="46"/>
  <c r="CK128" i="46"/>
  <c r="DF128" i="46"/>
  <c r="AU128" i="46"/>
  <c r="BJ128" i="46"/>
  <c r="Z128" i="46"/>
  <c r="FH128" i="46"/>
  <c r="BY128" i="46"/>
  <c r="CZ128" i="46"/>
  <c r="EY128" i="46"/>
  <c r="DI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BG120" i="3"/>
  <c r="AZ106" i="3" s="1"/>
  <c r="BG121" i="3"/>
  <c r="AZ107" i="3" s="1"/>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DX166" i="46"/>
  <c r="FK167" i="46"/>
  <c r="BA169" i="46"/>
  <c r="CN170" i="46"/>
  <c r="EA171" i="46"/>
  <c r="CK164" i="46"/>
  <c r="AR165" i="46"/>
  <c r="CE166" i="46"/>
  <c r="FK165" i="46"/>
  <c r="BA167" i="46"/>
  <c r="EP165" i="46"/>
  <c r="AF167" i="46"/>
  <c r="BS168" i="46"/>
  <c r="DF169" i="46"/>
  <c r="ES170" i="46"/>
  <c r="AI172" i="46"/>
  <c r="AU166" i="46"/>
  <c r="BY168" i="46"/>
  <c r="DL169" i="46"/>
  <c r="EY170" i="46"/>
  <c r="EV173" i="46"/>
  <c r="Z164" i="46"/>
  <c r="DC165" i="46"/>
  <c r="EP166" i="46"/>
  <c r="EP168" i="46"/>
  <c r="BA166" i="46"/>
  <c r="CE168" i="46"/>
  <c r="DR169" i="46"/>
  <c r="FE170" i="46"/>
  <c r="FB173" i="46"/>
  <c r="AU164" i="46"/>
  <c r="DU165" i="46"/>
  <c r="FH166" i="46"/>
  <c r="EV168" i="46"/>
  <c r="DX165" i="46"/>
  <c r="FK166" i="46"/>
  <c r="EY168" i="46"/>
  <c r="EA165" i="46"/>
  <c r="FE168" i="46"/>
  <c r="DI170" i="46"/>
  <c r="AI174" i="46"/>
  <c r="ED175" i="46"/>
  <c r="BG178" i="46"/>
  <c r="CT179" i="46"/>
  <c r="FH168" i="46"/>
  <c r="W170" i="46"/>
  <c r="DL172" i="46"/>
  <c r="CK175" i="46"/>
  <c r="DX170" i="46"/>
  <c r="AO174" i="46"/>
  <c r="EJ175" i="46"/>
  <c r="FH167" i="46"/>
  <c r="EV169" i="46"/>
  <c r="DU171" i="46"/>
  <c r="CW173" i="46"/>
  <c r="EJ174" i="46"/>
  <c r="W175" i="46"/>
  <c r="AU170" i="46"/>
  <c r="DX172" i="46"/>
  <c r="CT175" i="46"/>
  <c r="EG176" i="46"/>
  <c r="W178" i="46"/>
  <c r="BJ179" i="46"/>
  <c r="BA172" i="46"/>
  <c r="EM173" i="46"/>
  <c r="BA175" i="46"/>
  <c r="CN176" i="46"/>
  <c r="EY174" i="46"/>
  <c r="AU176" i="46"/>
  <c r="CT177" i="46"/>
  <c r="EG178" i="46"/>
  <c r="DO173" i="46"/>
  <c r="AI175" i="46"/>
  <c r="BA179" i="46"/>
  <c r="EP173" i="46"/>
  <c r="BD175" i="46"/>
  <c r="BD179" i="46"/>
  <c r="BG176" i="46"/>
  <c r="DF177" i="46"/>
  <c r="ES178" i="46"/>
  <c r="CN166" i="46"/>
  <c r="CK174" i="46"/>
  <c r="Z176" i="46"/>
  <c r="CE177" i="46"/>
  <c r="DR178" i="46"/>
  <c r="FE179" i="46"/>
  <c r="CW172" i="46"/>
  <c r="EM176" i="46"/>
  <c r="BG167" i="46"/>
  <c r="DO169" i="46"/>
  <c r="CW171" i="46"/>
  <c r="DF176" i="46"/>
  <c r="EY177" i="46"/>
  <c r="DC175" i="46"/>
  <c r="BY179" i="46"/>
  <c r="EJ164" i="46"/>
  <c r="DO164" i="46"/>
  <c r="DI165" i="46"/>
  <c r="EV166" i="46"/>
  <c r="DL170" i="46"/>
  <c r="EY171" i="46"/>
  <c r="AL166" i="46"/>
  <c r="BY167" i="46"/>
  <c r="BD167" i="46"/>
  <c r="CQ168" i="46"/>
  <c r="ED169" i="46"/>
  <c r="BG172" i="46"/>
  <c r="BD165" i="46"/>
  <c r="CQ166" i="46"/>
  <c r="DC168" i="46"/>
  <c r="EP169" i="46"/>
  <c r="BJ165" i="46"/>
  <c r="CW166" i="46"/>
  <c r="BJ164" i="46"/>
  <c r="AF169" i="46"/>
  <c r="FB170" i="46"/>
  <c r="Z171" i="46"/>
  <c r="AR177" i="46"/>
  <c r="CE178" i="46"/>
  <c r="DR179" i="46"/>
  <c r="FB172" i="46"/>
  <c r="AR169" i="46"/>
  <c r="AL171" i="46"/>
  <c r="FH175" i="46"/>
  <c r="AU178" i="46"/>
  <c r="CN172" i="46"/>
  <c r="BY175" i="46"/>
  <c r="DL176" i="46"/>
  <c r="CE176" i="46"/>
  <c r="EA177" i="46"/>
  <c r="EA175" i="46"/>
  <c r="AR178" i="46"/>
  <c r="CE179" i="46"/>
  <c r="W169" i="46"/>
  <c r="W171" i="46"/>
  <c r="CT176" i="46"/>
  <c r="EM177" i="46"/>
  <c r="BA173" i="46"/>
  <c r="EP176" i="46"/>
  <c r="CB176" i="46"/>
  <c r="FB177" i="46"/>
  <c r="AL168" i="46"/>
  <c r="BY169" i="46"/>
  <c r="CW164" i="46"/>
  <c r="BP165" i="46"/>
  <c r="DC166" i="46"/>
  <c r="W174" i="46"/>
  <c r="BG164" i="46"/>
  <c r="EY165" i="46"/>
  <c r="DL168" i="46"/>
  <c r="EY169" i="46"/>
  <c r="AC174" i="46"/>
  <c r="Z173" i="46"/>
  <c r="BM174" i="46"/>
  <c r="FB175" i="46"/>
  <c r="CB170" i="46"/>
  <c r="DI175" i="46"/>
  <c r="AI173" i="46"/>
  <c r="BV174" i="46"/>
  <c r="AL172" i="46"/>
  <c r="EG173" i="46"/>
  <c r="AU175" i="46"/>
  <c r="CQ170" i="46"/>
  <c r="DR175" i="46"/>
  <c r="FE176" i="46"/>
  <c r="CH179" i="46"/>
  <c r="CW168" i="46"/>
  <c r="DC170" i="46"/>
  <c r="EV175" i="46"/>
  <c r="AX178" i="46"/>
  <c r="CK179" i="46"/>
  <c r="EV170" i="46"/>
  <c r="BJ176" i="46"/>
  <c r="DI177" i="46"/>
  <c r="EV178" i="46"/>
  <c r="AI179" i="46"/>
  <c r="EJ172" i="46"/>
  <c r="AC177" i="46"/>
  <c r="CW178" i="46"/>
  <c r="EG165" i="46"/>
  <c r="W167" i="46"/>
  <c r="BJ168" i="46"/>
  <c r="CW169" i="46"/>
  <c r="EJ170" i="46"/>
  <c r="Z172" i="46"/>
  <c r="DI164" i="46"/>
  <c r="CN165" i="46"/>
  <c r="EA166" i="46"/>
  <c r="W165" i="46"/>
  <c r="BJ166" i="46"/>
  <c r="CW167" i="46"/>
  <c r="AO166" i="46"/>
  <c r="CB167" i="46"/>
  <c r="DO168" i="46"/>
  <c r="FB169" i="46"/>
  <c r="AR171" i="46"/>
  <c r="CE172" i="46"/>
  <c r="CZ165" i="46"/>
  <c r="EM166" i="46"/>
  <c r="EJ168" i="46"/>
  <c r="AO172" i="46"/>
  <c r="AU174" i="46"/>
  <c r="BV164" i="46"/>
  <c r="Z167" i="46"/>
  <c r="DF165" i="46"/>
  <c r="ES166" i="46"/>
  <c r="ES168" i="46"/>
  <c r="AU172" i="46"/>
  <c r="BA174" i="46"/>
  <c r="CQ164" i="46"/>
  <c r="AL167" i="46"/>
  <c r="FE165" i="46"/>
  <c r="AU167" i="46"/>
  <c r="CH168" i="46"/>
  <c r="DU169" i="46"/>
  <c r="FH170" i="46"/>
  <c r="AX172" i="46"/>
  <c r="AC164" i="46"/>
  <c r="DU164" i="46"/>
  <c r="DL165" i="46"/>
  <c r="EY166" i="46"/>
  <c r="AU165" i="46"/>
  <c r="CH166" i="46"/>
  <c r="DU167" i="46"/>
  <c r="Z165" i="46"/>
  <c r="BM166" i="46"/>
  <c r="CZ167" i="46"/>
  <c r="EM168" i="46"/>
  <c r="AC170" i="46"/>
  <c r="BP171" i="46"/>
  <c r="DC172" i="46"/>
  <c r="EV165" i="46"/>
  <c r="AF171" i="46"/>
  <c r="BS172" i="46"/>
  <c r="AF173" i="46"/>
  <c r="BS174" i="46"/>
  <c r="DC164" i="46"/>
  <c r="BM167" i="46"/>
  <c r="FB165" i="46"/>
  <c r="AO171" i="46"/>
  <c r="CB172" i="46"/>
  <c r="AL173" i="46"/>
  <c r="BY174" i="46"/>
  <c r="DF164" i="46"/>
  <c r="BV167" i="46"/>
  <c r="CE167" i="46"/>
  <c r="AI169" i="46"/>
  <c r="BV170" i="46"/>
  <c r="CH167" i="46"/>
  <c r="CN167" i="46"/>
  <c r="EG169" i="46"/>
  <c r="DI171" i="46"/>
  <c r="CN173" i="46"/>
  <c r="EA174" i="46"/>
  <c r="BA176" i="46"/>
  <c r="CN177" i="46"/>
  <c r="EA178" i="46"/>
  <c r="AO169" i="46"/>
  <c r="FK170" i="46"/>
  <c r="AC171" i="46"/>
  <c r="AC173" i="46"/>
  <c r="BP174" i="46"/>
  <c r="FE175" i="46"/>
  <c r="FK164" i="46"/>
  <c r="ED167" i="46"/>
  <c r="EM169" i="46"/>
  <c r="DR171" i="46"/>
  <c r="CT173" i="46"/>
  <c r="EG174" i="46"/>
  <c r="AL170" i="46"/>
  <c r="DU172" i="46"/>
  <c r="CQ175" i="46"/>
  <c r="AR166" i="46"/>
  <c r="BD169" i="46"/>
  <c r="AX171" i="46"/>
  <c r="AR173" i="46"/>
  <c r="CE174" i="46"/>
  <c r="BD177" i="46"/>
  <c r="CQ178" i="46"/>
  <c r="ED179" i="46"/>
  <c r="CZ170" i="46"/>
  <c r="DU175" i="46"/>
  <c r="EY176" i="46"/>
  <c r="AF174" i="46"/>
  <c r="BS177" i="46"/>
  <c r="DF178" i="46"/>
  <c r="ES179" i="46"/>
  <c r="BG174" i="46"/>
  <c r="BV177" i="46"/>
  <c r="DI178" i="46"/>
  <c r="EV179" i="46"/>
  <c r="W173" i="46"/>
  <c r="FK176" i="46"/>
  <c r="AC179" i="46"/>
  <c r="CQ172" i="46"/>
  <c r="EJ176" i="46"/>
  <c r="CH165" i="46"/>
  <c r="W177" i="46"/>
  <c r="BJ178" i="46"/>
  <c r="CW179" i="46"/>
  <c r="CZ175" i="46"/>
  <c r="AF178" i="46"/>
  <c r="BS179" i="46"/>
  <c r="DX174" i="46"/>
  <c r="BJ177" i="46"/>
  <c r="ED178" i="46"/>
  <c r="DO176" i="46"/>
  <c r="EV164" i="46"/>
  <c r="AF166" i="46"/>
  <c r="DF168" i="46"/>
  <c r="ES169" i="46"/>
  <c r="AO164" i="46"/>
  <c r="EJ165" i="46"/>
  <c r="BS165" i="46"/>
  <c r="DF166" i="46"/>
  <c r="ES167" i="46"/>
  <c r="AX165" i="46"/>
  <c r="CK166" i="46"/>
  <c r="DX167" i="46"/>
  <c r="FK168" i="46"/>
  <c r="EA172" i="46"/>
  <c r="DC167" i="46"/>
  <c r="AI170" i="46"/>
  <c r="BV171" i="46"/>
  <c r="DI172" i="46"/>
  <c r="BJ173" i="46"/>
  <c r="CW174" i="46"/>
  <c r="Z168" i="46"/>
  <c r="DL167" i="46"/>
  <c r="BP169" i="46"/>
  <c r="EA164" i="46"/>
  <c r="DR167" i="46"/>
  <c r="EV171" i="46"/>
  <c r="W172" i="46"/>
  <c r="BM173" i="46"/>
  <c r="CZ174" i="46"/>
  <c r="CH170" i="46"/>
  <c r="DO175" i="46"/>
  <c r="BV173" i="46"/>
  <c r="DI174" i="46"/>
  <c r="AO176" i="46"/>
  <c r="CB177" i="46"/>
  <c r="DO178" i="46"/>
  <c r="BD174" i="46"/>
  <c r="AF175" i="46"/>
  <c r="FB174" i="46"/>
  <c r="AX176" i="46"/>
  <c r="CW177" i="46"/>
  <c r="EJ178" i="46"/>
  <c r="ES173" i="46"/>
  <c r="BS167" i="46"/>
  <c r="AI171" i="46"/>
  <c r="BV172" i="46"/>
  <c r="EG164" i="46"/>
  <c r="BA170" i="46"/>
  <c r="CN171" i="46"/>
  <c r="Z170" i="46"/>
  <c r="BM171" i="46"/>
  <c r="CZ172" i="46"/>
  <c r="BD173" i="46"/>
  <c r="CQ174" i="46"/>
  <c r="DR164" i="46"/>
  <c r="AI167" i="46"/>
  <c r="EM164" i="46"/>
  <c r="DI167" i="46"/>
  <c r="AC168" i="46"/>
  <c r="AF168" i="46"/>
  <c r="DR173" i="46"/>
  <c r="FE174" i="46"/>
  <c r="AL175" i="46"/>
  <c r="BY176" i="46"/>
  <c r="DL177" i="46"/>
  <c r="EY178" i="46"/>
  <c r="ED165" i="46"/>
  <c r="CK169" i="46"/>
  <c r="BY171" i="46"/>
  <c r="FK171" i="46"/>
  <c r="AF172" i="46"/>
  <c r="EA173" i="46"/>
  <c r="AR175" i="46"/>
  <c r="FH172" i="46"/>
  <c r="DC169" i="46"/>
  <c r="CK171" i="46"/>
  <c r="FB179" i="46"/>
  <c r="EM170" i="46"/>
  <c r="ES175" i="46"/>
  <c r="DL173" i="46"/>
  <c r="AU179" i="46"/>
  <c r="BD176" i="46"/>
  <c r="DC177" i="46"/>
  <c r="EP178" i="46"/>
  <c r="BG175" i="46"/>
  <c r="BD166" i="46"/>
  <c r="CQ167" i="46"/>
  <c r="ED168" i="46"/>
  <c r="BG171" i="46"/>
  <c r="CT172" i="46"/>
  <c r="BA164" i="46"/>
  <c r="ES164" i="46"/>
  <c r="FH165" i="46"/>
  <c r="CQ165" i="46"/>
  <c r="ED166" i="46"/>
  <c r="BV165" i="46"/>
  <c r="DI166" i="46"/>
  <c r="EV167" i="46"/>
  <c r="AL169" i="46"/>
  <c r="BY170" i="46"/>
  <c r="DL171" i="46"/>
  <c r="EY172" i="46"/>
  <c r="BJ167" i="46"/>
  <c r="BG170" i="46"/>
  <c r="CT171" i="46"/>
  <c r="EG172" i="46"/>
  <c r="CB173" i="46"/>
  <c r="DO174" i="46"/>
  <c r="EY164" i="46"/>
  <c r="EJ167" i="46"/>
  <c r="AX168" i="46"/>
  <c r="BP167" i="46"/>
  <c r="Z169" i="46"/>
  <c r="BM170" i="46"/>
  <c r="CZ171" i="46"/>
  <c r="EM172" i="46"/>
  <c r="CH173" i="46"/>
  <c r="DU174" i="46"/>
  <c r="FB164" i="46"/>
  <c r="EY167" i="46"/>
  <c r="BD168" i="46"/>
  <c r="W166" i="46"/>
  <c r="FB167" i="46"/>
  <c r="BG168" i="46"/>
  <c r="CT169" i="46"/>
  <c r="EP164" i="46"/>
  <c r="FE167" i="46"/>
  <c r="BM168" i="46"/>
  <c r="BM172" i="46"/>
  <c r="EY173" i="46"/>
  <c r="BJ175" i="46"/>
  <c r="CW176" i="46"/>
  <c r="EJ177" i="46"/>
  <c r="Z179" i="46"/>
  <c r="EA167" i="46"/>
  <c r="EJ169" i="46"/>
  <c r="DO171" i="46"/>
  <c r="CQ173" i="46"/>
  <c r="ED174" i="46"/>
  <c r="AO168" i="46"/>
  <c r="BY172" i="46"/>
  <c r="FH173" i="46"/>
  <c r="BP175" i="46"/>
  <c r="ED170" i="46"/>
  <c r="AR174" i="46"/>
  <c r="EM175" i="46"/>
  <c r="FE169" i="46"/>
  <c r="ED171" i="46"/>
  <c r="DC173" i="46"/>
  <c r="EP174" i="46"/>
  <c r="Z175" i="46"/>
  <c r="BM176" i="46"/>
  <c r="CZ177" i="46"/>
  <c r="EM178" i="46"/>
  <c r="AL165" i="46"/>
  <c r="BY166" i="46"/>
  <c r="BM169" i="46"/>
  <c r="BA171" i="46"/>
  <c r="AU173" i="46"/>
  <c r="CH174" i="46"/>
  <c r="DX175" i="46"/>
  <c r="AO178" i="46"/>
  <c r="CB179" i="46"/>
  <c r="DF170" i="46"/>
  <c r="CH176" i="46"/>
  <c r="ED177" i="46"/>
  <c r="EP170" i="46"/>
  <c r="CQ176" i="46"/>
  <c r="EG177" i="46"/>
  <c r="EY175" i="46"/>
  <c r="BA178" i="46"/>
  <c r="CN179" i="46"/>
  <c r="CZ168" i="46"/>
  <c r="CB175" i="46"/>
  <c r="Z178" i="46"/>
  <c r="BM179" i="46"/>
  <c r="DU166" i="46"/>
  <c r="CN174" i="46"/>
  <c r="AF176" i="46"/>
  <c r="CH177" i="46"/>
  <c r="DU178" i="46"/>
  <c r="FH179" i="46"/>
  <c r="BG177" i="46"/>
  <c r="AC169" i="46"/>
  <c r="BP170" i="46"/>
  <c r="DC171" i="46"/>
  <c r="EP172" i="46"/>
  <c r="AC167" i="46"/>
  <c r="AU168" i="46"/>
  <c r="CH169" i="46"/>
  <c r="DU170" i="46"/>
  <c r="FH171" i="46"/>
  <c r="DI168" i="46"/>
  <c r="EP167" i="46"/>
  <c r="DX168" i="46"/>
  <c r="AC176" i="46"/>
  <c r="BP177" i="46"/>
  <c r="DC178" i="46"/>
  <c r="EP179" i="46"/>
  <c r="AI168" i="46"/>
  <c r="FB171" i="46"/>
  <c r="BM175" i="46"/>
  <c r="AF170" i="46"/>
  <c r="AC166" i="46"/>
  <c r="BP168" i="46"/>
  <c r="CZ169" i="46"/>
  <c r="CH171" i="46"/>
  <c r="BS175" i="46"/>
  <c r="EG170" i="46"/>
  <c r="EJ173" i="46"/>
  <c r="DL174" i="46"/>
  <c r="EP171" i="46"/>
  <c r="DR176" i="46"/>
  <c r="AI177" i="46"/>
  <c r="FB176" i="46"/>
  <c r="AL177" i="46"/>
  <c r="EA176" i="46"/>
  <c r="ED176" i="46"/>
  <c r="BD178" i="46"/>
  <c r="CQ179" i="46"/>
  <c r="DR174" i="46"/>
  <c r="AI176" i="46"/>
  <c r="CK177" i="46"/>
  <c r="AO179" i="46"/>
  <c r="CK167" i="46"/>
  <c r="EJ179" i="46"/>
  <c r="CQ177" i="46"/>
  <c r="AL178" i="46"/>
  <c r="AX164" i="46"/>
  <c r="CT164" i="46"/>
  <c r="CZ176" i="46"/>
  <c r="BP179" i="46"/>
  <c r="EG179" i="46"/>
  <c r="AR179" i="46"/>
  <c r="BP164" i="46"/>
  <c r="AI166" i="46"/>
  <c r="BS173" i="46"/>
  <c r="Z174" i="46"/>
  <c r="CB178" i="46"/>
  <c r="BA177" i="46"/>
  <c r="AC172" i="46"/>
  <c r="CB174" i="46"/>
  <c r="FK169" i="46"/>
  <c r="CW175" i="46"/>
  <c r="DO177" i="46"/>
  <c r="W164" i="46"/>
  <c r="CQ169" i="46"/>
  <c r="AF164" i="46"/>
  <c r="AO165" i="46"/>
  <c r="CB166" i="46"/>
  <c r="DO167" i="46"/>
  <c r="FB168" i="46"/>
  <c r="DO165" i="46"/>
  <c r="FB166" i="46"/>
  <c r="CT165" i="46"/>
  <c r="EG166" i="46"/>
  <c r="AX169" i="46"/>
  <c r="DX171" i="46"/>
  <c r="CZ173" i="46"/>
  <c r="EM174" i="46"/>
  <c r="CT170" i="46"/>
  <c r="CK168" i="46"/>
  <c r="BV166" i="46"/>
  <c r="EG168" i="46"/>
  <c r="CB169" i="46"/>
  <c r="BS171" i="46"/>
  <c r="CH175" i="46"/>
  <c r="DU176" i="46"/>
  <c r="FH177" i="46"/>
  <c r="EG175" i="46"/>
  <c r="CE170" i="46"/>
  <c r="BP173" i="46"/>
  <c r="FK175" i="46"/>
  <c r="AR172" i="46"/>
  <c r="AX174" i="46"/>
  <c r="ED172" i="46"/>
  <c r="EV174" i="46"/>
  <c r="BM177" i="46"/>
  <c r="FK177" i="46"/>
  <c r="FH176" i="46"/>
  <c r="AO177" i="46"/>
  <c r="AX177" i="46"/>
  <c r="CK178" i="46"/>
  <c r="DX179" i="46"/>
  <c r="BV176" i="46"/>
  <c r="DR177" i="46"/>
  <c r="CZ179" i="46"/>
  <c r="BJ170" i="46"/>
  <c r="DU177" i="46"/>
  <c r="DX164" i="46"/>
  <c r="AR164" i="46"/>
  <c r="BV178" i="46"/>
  <c r="BS169" i="46"/>
  <c r="EP177" i="46"/>
  <c r="EA168" i="46"/>
  <c r="CE175" i="46"/>
  <c r="AC178" i="46"/>
  <c r="DO170" i="46"/>
  <c r="DU173" i="46"/>
  <c r="AF177" i="46"/>
  <c r="BP176" i="46"/>
  <c r="BD172" i="46"/>
  <c r="AX173" i="46"/>
  <c r="EA179" i="46"/>
  <c r="BM178" i="46"/>
  <c r="AO167" i="46"/>
  <c r="BS170" i="46"/>
  <c r="EM171" i="46"/>
  <c r="ED164" i="46"/>
  <c r="BM165" i="46"/>
  <c r="CZ166" i="46"/>
  <c r="EM167" i="46"/>
  <c r="EM165" i="46"/>
  <c r="DR165" i="46"/>
  <c r="FE166" i="46"/>
  <c r="CE169" i="46"/>
  <c r="FE171" i="46"/>
  <c r="DX173" i="46"/>
  <c r="FK174" i="46"/>
  <c r="BA168" i="46"/>
  <c r="EA170" i="46"/>
  <c r="DR168" i="46"/>
  <c r="AF165" i="46"/>
  <c r="DR166" i="46"/>
  <c r="EJ166" i="46"/>
  <c r="DF175" i="46"/>
  <c r="ES176" i="46"/>
  <c r="AO173" i="46"/>
  <c r="CK172" i="46"/>
  <c r="AL179" i="46"/>
  <c r="BY178" i="46"/>
  <c r="BD171" i="46"/>
  <c r="AL164" i="46"/>
  <c r="CN164" i="46"/>
  <c r="CT167" i="46"/>
  <c r="CB165" i="46"/>
  <c r="DF179" i="46"/>
  <c r="CQ171" i="46"/>
  <c r="AC175" i="46"/>
  <c r="BJ174" i="46"/>
  <c r="BG179" i="46"/>
  <c r="CN178" i="46"/>
  <c r="FK179" i="46"/>
  <c r="DL164" i="46"/>
  <c r="BG166" i="46"/>
  <c r="CT166" i="46"/>
  <c r="FE173" i="46"/>
  <c r="DI179" i="46"/>
  <c r="AU177" i="46"/>
  <c r="DU179" i="46"/>
  <c r="CT178" i="46"/>
  <c r="EP175" i="46"/>
  <c r="FE178" i="46"/>
  <c r="CH164" i="46"/>
  <c r="CB164" i="46"/>
  <c r="CK173" i="46"/>
  <c r="BG173" i="46"/>
  <c r="AL174" i="46"/>
  <c r="ES165" i="46"/>
  <c r="FE172" i="46"/>
  <c r="FK173" i="46"/>
  <c r="CK176" i="46"/>
  <c r="FK178" i="46"/>
  <c r="DL179" i="46"/>
  <c r="W179" i="46"/>
  <c r="BS176" i="46"/>
  <c r="FB178" i="46"/>
  <c r="CT174" i="46"/>
  <c r="CN175" i="46"/>
  <c r="AX170" i="46"/>
  <c r="EG167" i="46"/>
  <c r="BG165" i="46"/>
  <c r="BS164" i="46"/>
  <c r="CH178" i="46"/>
  <c r="BA165" i="46"/>
  <c r="CB171" i="46"/>
  <c r="BY173" i="46"/>
  <c r="BM164" i="46"/>
  <c r="CK170" i="46"/>
  <c r="FK172" i="46"/>
  <c r="BG169" i="46"/>
  <c r="EG171" i="46"/>
  <c r="DF173" i="46"/>
  <c r="ES174" i="46"/>
  <c r="AC165" i="46"/>
  <c r="BP166" i="46"/>
  <c r="DU168" i="46"/>
  <c r="AI165" i="46"/>
  <c r="BP172" i="46"/>
  <c r="FH174" i="46"/>
  <c r="CH172" i="46"/>
  <c r="DF174" i="46"/>
  <c r="BV168" i="46"/>
  <c r="BV175" i="46"/>
  <c r="DI176" i="46"/>
  <c r="EV177" i="46"/>
  <c r="EM179" i="46"/>
  <c r="DO179" i="46"/>
  <c r="BY177" i="46"/>
  <c r="DL178" i="46"/>
  <c r="EY179" i="46"/>
  <c r="BV169" i="46"/>
  <c r="BJ171" i="46"/>
  <c r="DC176" i="46"/>
  <c r="ES177" i="46"/>
  <c r="BD170" i="46"/>
  <c r="DX178" i="46"/>
  <c r="DX169" i="46"/>
  <c r="ES172" i="46"/>
  <c r="AL176" i="46"/>
  <c r="EV176" i="46"/>
  <c r="AI164" i="46"/>
  <c r="AR168" i="46"/>
  <c r="CN169" i="46"/>
  <c r="ED173" i="46"/>
  <c r="DL166" i="46"/>
  <c r="CE165" i="46"/>
  <c r="DF172" i="46"/>
  <c r="BY164" i="46"/>
  <c r="DR170" i="46"/>
  <c r="BY165" i="46"/>
  <c r="BS166" i="46"/>
  <c r="EA169" i="46"/>
  <c r="AX179" i="46"/>
  <c r="AR170" i="46"/>
  <c r="CE171" i="46"/>
  <c r="DR172" i="46"/>
  <c r="FE164" i="46"/>
  <c r="W168" i="46"/>
  <c r="BJ169" i="46"/>
  <c r="CW170" i="46"/>
  <c r="EJ171" i="46"/>
  <c r="CB168" i="46"/>
  <c r="DF167" i="46"/>
  <c r="DO166" i="46"/>
  <c r="FH169" i="46"/>
  <c r="AO170" i="46"/>
  <c r="AR167" i="46"/>
  <c r="CT168" i="46"/>
  <c r="CW165" i="46"/>
  <c r="EV172" i="46"/>
  <c r="AI178" i="46"/>
  <c r="BV179" i="46"/>
  <c r="AO175" i="46"/>
  <c r="DL175" i="46"/>
  <c r="AU169" i="46"/>
  <c r="AU171" i="46"/>
  <c r="AX167" i="46"/>
  <c r="DI173" i="46"/>
  <c r="ES171" i="46"/>
  <c r="DX176" i="46"/>
  <c r="W176" i="46"/>
  <c r="AF179" i="46"/>
  <c r="Z177" i="46"/>
  <c r="DF171" i="46"/>
  <c r="DC179" i="46"/>
  <c r="BD164" i="46"/>
  <c r="CZ164" i="46"/>
  <c r="CE164" i="46"/>
  <c r="AR176" i="46"/>
  <c r="FE177" i="46"/>
  <c r="CE173" i="46"/>
  <c r="AX166" i="46"/>
  <c r="DO172" i="46"/>
  <c r="DC174" i="46"/>
  <c r="BS178" i="46"/>
  <c r="DI169" i="46"/>
  <c r="CZ178" i="46"/>
  <c r="BJ172" i="46"/>
  <c r="FH164" i="46"/>
  <c r="CN168" i="46"/>
  <c r="AX175" i="46"/>
  <c r="DX177" i="46"/>
  <c r="BP178" i="46"/>
  <c r="FH178" i="46"/>
  <c r="Z130" i="46"/>
  <c r="BM131" i="46"/>
  <c r="CZ132" i="46"/>
  <c r="EM133" i="46"/>
  <c r="AC135" i="46"/>
  <c r="BP136" i="46"/>
  <c r="DC137" i="46"/>
  <c r="EP138" i="46"/>
  <c r="AF140" i="46"/>
  <c r="BS141" i="46"/>
  <c r="DF142" i="46"/>
  <c r="AC130" i="46"/>
  <c r="BP131" i="46"/>
  <c r="DC132" i="46"/>
  <c r="EP133" i="46"/>
  <c r="AF135" i="46"/>
  <c r="BS136" i="46"/>
  <c r="DF137" i="46"/>
  <c r="ES138" i="46"/>
  <c r="AI140" i="46"/>
  <c r="BV141" i="46"/>
  <c r="DI142" i="46"/>
  <c r="AI130" i="46"/>
  <c r="BV131" i="46"/>
  <c r="DI132" i="46"/>
  <c r="EV133" i="46"/>
  <c r="AL135" i="46"/>
  <c r="BY136" i="46"/>
  <c r="DL137" i="46"/>
  <c r="EY138" i="46"/>
  <c r="AO140" i="46"/>
  <c r="CB141" i="46"/>
  <c r="DO142" i="46"/>
  <c r="AL130" i="46"/>
  <c r="BY131" i="46"/>
  <c r="DL132" i="46"/>
  <c r="EY133" i="46"/>
  <c r="AO135" i="46"/>
  <c r="CB136" i="46"/>
  <c r="AX130" i="46"/>
  <c r="CK131" i="46"/>
  <c r="DX132" i="46"/>
  <c r="FK133" i="46"/>
  <c r="BA135" i="46"/>
  <c r="CN136" i="46"/>
  <c r="EA137" i="46"/>
  <c r="BD140" i="46"/>
  <c r="CQ141" i="46"/>
  <c r="ED142" i="46"/>
  <c r="BA130" i="46"/>
  <c r="CN131" i="46"/>
  <c r="EA132" i="46"/>
  <c r="BD135" i="46"/>
  <c r="CQ136" i="46"/>
  <c r="ED137" i="46"/>
  <c r="BG140" i="46"/>
  <c r="CT141" i="46"/>
  <c r="EG142" i="46"/>
  <c r="BG130" i="46"/>
  <c r="CT131" i="46"/>
  <c r="EG132" i="46"/>
  <c r="W134" i="46"/>
  <c r="BJ135" i="46"/>
  <c r="CW136" i="46"/>
  <c r="EJ137" i="46"/>
  <c r="Z139" i="46"/>
  <c r="BM140" i="46"/>
  <c r="CZ141" i="46"/>
  <c r="EM142" i="46"/>
  <c r="BJ130" i="46"/>
  <c r="CW131" i="46"/>
  <c r="EJ132" i="46"/>
  <c r="Z134" i="46"/>
  <c r="BM135" i="46"/>
  <c r="CZ136" i="46"/>
  <c r="BV130" i="46"/>
  <c r="DI131" i="46"/>
  <c r="EV132" i="46"/>
  <c r="AL134" i="46"/>
  <c r="BY135" i="46"/>
  <c r="DL136" i="46"/>
  <c r="EY137" i="46"/>
  <c r="AO139" i="46"/>
  <c r="CB140" i="46"/>
  <c r="DO141" i="46"/>
  <c r="FB142" i="46"/>
  <c r="BY130" i="46"/>
  <c r="DL131" i="46"/>
  <c r="EY132" i="46"/>
  <c r="AO134" i="46"/>
  <c r="CB135" i="46"/>
  <c r="DO136" i="46"/>
  <c r="FB137" i="46"/>
  <c r="AR139" i="46"/>
  <c r="CE140" i="46"/>
  <c r="DR141" i="46"/>
  <c r="FE142" i="46"/>
  <c r="CE130" i="46"/>
  <c r="DR131" i="46"/>
  <c r="FE132" i="46"/>
  <c r="AU134" i="46"/>
  <c r="CH135" i="46"/>
  <c r="DU136" i="46"/>
  <c r="FH137" i="46"/>
  <c r="AX139" i="46"/>
  <c r="CK140" i="46"/>
  <c r="DX141" i="46"/>
  <c r="FK142" i="46"/>
  <c r="CH130" i="46"/>
  <c r="DU131" i="46"/>
  <c r="FH132" i="46"/>
  <c r="AX134" i="46"/>
  <c r="CK135" i="46"/>
  <c r="DX136" i="46"/>
  <c r="CT130" i="46"/>
  <c r="EG131" i="46"/>
  <c r="W133" i="46"/>
  <c r="BJ134" i="46"/>
  <c r="CW135" i="46"/>
  <c r="EJ136" i="46"/>
  <c r="Z138" i="46"/>
  <c r="BM139" i="46"/>
  <c r="CZ140" i="46"/>
  <c r="EM141" i="46"/>
  <c r="CW130" i="46"/>
  <c r="EJ131" i="46"/>
  <c r="Z133" i="46"/>
  <c r="BM134" i="46"/>
  <c r="CZ135" i="46"/>
  <c r="EM136" i="46"/>
  <c r="AC138" i="46"/>
  <c r="BP139" i="46"/>
  <c r="DC140" i="46"/>
  <c r="EP141" i="46"/>
  <c r="DC130" i="46"/>
  <c r="EP131" i="46"/>
  <c r="AF133" i="46"/>
  <c r="BS134" i="46"/>
  <c r="DF135" i="46"/>
  <c r="ES136" i="46"/>
  <c r="AI138" i="46"/>
  <c r="BV139" i="46"/>
  <c r="DI140" i="46"/>
  <c r="EV141" i="46"/>
  <c r="DF130" i="46"/>
  <c r="ES131" i="46"/>
  <c r="AI133" i="46"/>
  <c r="BV134" i="46"/>
  <c r="DI135" i="46"/>
  <c r="EV136" i="46"/>
  <c r="DR130" i="46"/>
  <c r="FE131" i="46"/>
  <c r="AU133" i="46"/>
  <c r="CH134" i="46"/>
  <c r="DU135" i="46"/>
  <c r="FH136" i="46"/>
  <c r="AX138" i="46"/>
  <c r="CK139" i="46"/>
  <c r="DX140" i="46"/>
  <c r="FK141" i="46"/>
  <c r="DU130" i="46"/>
  <c r="FH131" i="46"/>
  <c r="AX133" i="46"/>
  <c r="CK134" i="46"/>
  <c r="DX135" i="46"/>
  <c r="FK136" i="46"/>
  <c r="BA138" i="46"/>
  <c r="CN139" i="46"/>
  <c r="EA140" i="46"/>
  <c r="EA130" i="46"/>
  <c r="BD133" i="46"/>
  <c r="CQ134" i="46"/>
  <c r="ED135" i="46"/>
  <c r="BG138" i="46"/>
  <c r="CT139" i="46"/>
  <c r="EG140" i="46"/>
  <c r="W142" i="46"/>
  <c r="ED130" i="46"/>
  <c r="BG133" i="46"/>
  <c r="CT134" i="46"/>
  <c r="EG135" i="46"/>
  <c r="W137" i="46"/>
  <c r="EP130" i="46"/>
  <c r="AF132" i="46"/>
  <c r="BS133" i="46"/>
  <c r="DF134" i="46"/>
  <c r="ES135" i="46"/>
  <c r="AI137" i="46"/>
  <c r="BV138" i="46"/>
  <c r="DI139" i="46"/>
  <c r="EV140" i="46"/>
  <c r="AL142" i="46"/>
  <c r="ES130" i="46"/>
  <c r="AI132" i="46"/>
  <c r="BV133" i="46"/>
  <c r="DI134" i="46"/>
  <c r="EV135" i="46"/>
  <c r="AL137" i="46"/>
  <c r="BY138" i="46"/>
  <c r="DL139" i="46"/>
  <c r="EY140" i="46"/>
  <c r="AO142" i="46"/>
  <c r="EY130" i="46"/>
  <c r="AO132" i="46"/>
  <c r="CB133" i="46"/>
  <c r="DO134" i="46"/>
  <c r="FB135" i="46"/>
  <c r="AR137" i="46"/>
  <c r="CE138" i="46"/>
  <c r="DR139" i="46"/>
  <c r="FE140" i="46"/>
  <c r="AU142" i="46"/>
  <c r="FB130" i="46"/>
  <c r="AR132" i="46"/>
  <c r="CE133" i="46"/>
  <c r="DR134" i="46"/>
  <c r="FE135" i="46"/>
  <c r="BD132" i="46"/>
  <c r="CQ133" i="46"/>
  <c r="ED134" i="46"/>
  <c r="BG137" i="46"/>
  <c r="CT138" i="46"/>
  <c r="EG139" i="46"/>
  <c r="W141" i="46"/>
  <c r="BJ142" i="46"/>
  <c r="BG132" i="46"/>
  <c r="CT133" i="46"/>
  <c r="EG134" i="46"/>
  <c r="W136" i="46"/>
  <c r="BJ137" i="46"/>
  <c r="CW138" i="46"/>
  <c r="EJ139" i="46"/>
  <c r="Z141" i="46"/>
  <c r="BM142" i="46"/>
  <c r="Z131" i="46"/>
  <c r="BM132" i="46"/>
  <c r="CZ133" i="46"/>
  <c r="EM134" i="46"/>
  <c r="AC136" i="46"/>
  <c r="BP137" i="46"/>
  <c r="DC138" i="46"/>
  <c r="EP139" i="46"/>
  <c r="AF141" i="46"/>
  <c r="BS142" i="46"/>
  <c r="AC131" i="46"/>
  <c r="BP132" i="46"/>
  <c r="DC133" i="46"/>
  <c r="EP134" i="46"/>
  <c r="AF136" i="46"/>
  <c r="AO131" i="46"/>
  <c r="CB132" i="46"/>
  <c r="DO133" i="46"/>
  <c r="FB134" i="46"/>
  <c r="AR136" i="46"/>
  <c r="CE137" i="46"/>
  <c r="DR138" i="46"/>
  <c r="FE139" i="46"/>
  <c r="AU141" i="46"/>
  <c r="CH142" i="46"/>
  <c r="AR131" i="46"/>
  <c r="CE132" i="46"/>
  <c r="DR133" i="46"/>
  <c r="FE134" i="46"/>
  <c r="AU136" i="46"/>
  <c r="CH137" i="46"/>
  <c r="DU138" i="46"/>
  <c r="FH139" i="46"/>
  <c r="AX141" i="46"/>
  <c r="CK142" i="46"/>
  <c r="AX131" i="46"/>
  <c r="CK132" i="46"/>
  <c r="DX133" i="46"/>
  <c r="FK134" i="46"/>
  <c r="BA136" i="46"/>
  <c r="CN137" i="46"/>
  <c r="EA138" i="46"/>
  <c r="BD141" i="46"/>
  <c r="CQ142" i="46"/>
  <c r="BA131" i="46"/>
  <c r="CN132" i="46"/>
  <c r="EA133" i="46"/>
  <c r="BD136" i="46"/>
  <c r="CQ137" i="46"/>
  <c r="ED138" i="46"/>
  <c r="BG141" i="46"/>
  <c r="CT142" i="46"/>
  <c r="BD130" i="46"/>
  <c r="CQ131" i="46"/>
  <c r="ED132" i="46"/>
  <c r="W139" i="46"/>
  <c r="BJ140" i="46"/>
  <c r="CW141" i="46"/>
  <c r="EJ142" i="46"/>
  <c r="FB143" i="46"/>
  <c r="AR145" i="46"/>
  <c r="CE146" i="46"/>
  <c r="W135" i="46"/>
  <c r="BJ136" i="46"/>
  <c r="CW137" i="46"/>
  <c r="EJ138" i="46"/>
  <c r="AR143" i="46"/>
  <c r="CE144" i="46"/>
  <c r="DR145" i="46"/>
  <c r="FE146" i="46"/>
  <c r="AI134" i="46"/>
  <c r="BV135" i="46"/>
  <c r="DI136" i="46"/>
  <c r="EV137" i="46"/>
  <c r="BS143" i="46"/>
  <c r="DF144" i="46"/>
  <c r="ES145" i="46"/>
  <c r="AI147" i="46"/>
  <c r="BV148" i="46"/>
  <c r="DI149" i="46"/>
  <c r="EV150" i="46"/>
  <c r="AL152" i="46"/>
  <c r="BY153" i="46"/>
  <c r="AL133" i="46"/>
  <c r="DL135" i="46"/>
  <c r="CB142" i="46"/>
  <c r="EP147" i="46"/>
  <c r="AX149" i="46"/>
  <c r="CK150" i="46"/>
  <c r="DX151" i="46"/>
  <c r="FK152" i="46"/>
  <c r="DU154" i="46"/>
  <c r="FH155" i="46"/>
  <c r="AX157" i="46"/>
  <c r="CK158" i="46"/>
  <c r="DX159" i="46"/>
  <c r="BD131" i="46"/>
  <c r="ED133" i="46"/>
  <c r="CT140" i="46"/>
  <c r="W145" i="46"/>
  <c r="BJ146" i="46"/>
  <c r="AR148" i="46"/>
  <c r="CE149" i="46"/>
  <c r="DR150" i="46"/>
  <c r="FE151" i="46"/>
  <c r="BS131" i="46"/>
  <c r="ES133" i="46"/>
  <c r="W138" i="46"/>
  <c r="CW140" i="46"/>
  <c r="AF145" i="46"/>
  <c r="BS146" i="46"/>
  <c r="AU148" i="46"/>
  <c r="CH149" i="46"/>
  <c r="DU150" i="46"/>
  <c r="FH151" i="46"/>
  <c r="W153" i="46"/>
  <c r="CE131" i="46"/>
  <c r="FE133" i="46"/>
  <c r="BD138" i="46"/>
  <c r="ED140" i="46"/>
  <c r="AL145" i="46"/>
  <c r="BY146" i="46"/>
  <c r="BD148" i="46"/>
  <c r="CQ149" i="46"/>
  <c r="ED150" i="46"/>
  <c r="AF153" i="46"/>
  <c r="FH154" i="46"/>
  <c r="AX156" i="46"/>
  <c r="CK157" i="46"/>
  <c r="DX158" i="46"/>
  <c r="FK159" i="46"/>
  <c r="BY137" i="46"/>
  <c r="DO137" i="46"/>
  <c r="FB138" i="46"/>
  <c r="AR140" i="46"/>
  <c r="CE141" i="46"/>
  <c r="DR142" i="46"/>
  <c r="CZ130" i="46"/>
  <c r="EM131" i="46"/>
  <c r="AF138" i="46"/>
  <c r="BS139" i="46"/>
  <c r="DF140" i="46"/>
  <c r="ES141" i="46"/>
  <c r="AC144" i="46"/>
  <c r="BP145" i="46"/>
  <c r="DC146" i="46"/>
  <c r="AF134" i="46"/>
  <c r="BS135" i="46"/>
  <c r="DF136" i="46"/>
  <c r="ES137" i="46"/>
  <c r="BP143" i="46"/>
  <c r="DC144" i="46"/>
  <c r="EP145" i="46"/>
  <c r="AF147" i="46"/>
  <c r="AR133" i="46"/>
  <c r="CE134" i="46"/>
  <c r="DR135" i="46"/>
  <c r="FE136" i="46"/>
  <c r="CQ143" i="46"/>
  <c r="ED144" i="46"/>
  <c r="BG147" i="46"/>
  <c r="CT148" i="46"/>
  <c r="EG149" i="46"/>
  <c r="W151" i="46"/>
  <c r="BJ152" i="46"/>
  <c r="CW153" i="46"/>
  <c r="AI131" i="46"/>
  <c r="DI133" i="46"/>
  <c r="CH140" i="46"/>
  <c r="FH142" i="46"/>
  <c r="BA146" i="46"/>
  <c r="AL148" i="46"/>
  <c r="BY149" i="46"/>
  <c r="DL150" i="46"/>
  <c r="EY151" i="46"/>
  <c r="ES154" i="46"/>
  <c r="AI156" i="46"/>
  <c r="BV157" i="46"/>
  <c r="DI158" i="46"/>
  <c r="EV159" i="46"/>
  <c r="EA131" i="46"/>
  <c r="Z136" i="46"/>
  <c r="CZ138" i="46"/>
  <c r="W144" i="46"/>
  <c r="BJ145" i="46"/>
  <c r="CW146" i="46"/>
  <c r="BS148" i="46"/>
  <c r="DF149" i="46"/>
  <c r="ES150" i="46"/>
  <c r="AU153" i="46"/>
  <c r="ED131" i="46"/>
  <c r="AI136" i="46"/>
  <c r="DI138" i="46"/>
  <c r="Z144" i="46"/>
  <c r="BM145" i="46"/>
  <c r="CZ146" i="46"/>
  <c r="BY148" i="46"/>
  <c r="DL149" i="46"/>
  <c r="EY150" i="46"/>
  <c r="AX153" i="46"/>
  <c r="FK131" i="46"/>
  <c r="AO136" i="46"/>
  <c r="DO138" i="46"/>
  <c r="AO144" i="46"/>
  <c r="CB145" i="46"/>
  <c r="DO146" i="46"/>
  <c r="CE148" i="46"/>
  <c r="DR149" i="46"/>
  <c r="FE150" i="46"/>
  <c r="BG153" i="46"/>
  <c r="AI155" i="46"/>
  <c r="BV156" i="46"/>
  <c r="DI157" i="46"/>
  <c r="EV158" i="46"/>
  <c r="AL160" i="46"/>
  <c r="BP133" i="46"/>
  <c r="DU142" i="46"/>
  <c r="AF131" i="46"/>
  <c r="EM137" i="46"/>
  <c r="AC139" i="46"/>
  <c r="BP140" i="46"/>
  <c r="DC141" i="46"/>
  <c r="EP142" i="46"/>
  <c r="EV130" i="46"/>
  <c r="AO137" i="46"/>
  <c r="CB138" i="46"/>
  <c r="DO139" i="46"/>
  <c r="FB140" i="46"/>
  <c r="BA144" i="46"/>
  <c r="CN145" i="46"/>
  <c r="EA146" i="46"/>
  <c r="AO133" i="46"/>
  <c r="CB134" i="46"/>
  <c r="DO135" i="46"/>
  <c r="FB136" i="46"/>
  <c r="CN143" i="46"/>
  <c r="EA144" i="46"/>
  <c r="BD147" i="46"/>
  <c r="BA132" i="46"/>
  <c r="CN133" i="46"/>
  <c r="EA134" i="46"/>
  <c r="BG142" i="46"/>
  <c r="DO143" i="46"/>
  <c r="FB144" i="46"/>
  <c r="AR146" i="46"/>
  <c r="CE147" i="46"/>
  <c r="DR148" i="46"/>
  <c r="FE149" i="46"/>
  <c r="AU151" i="46"/>
  <c r="CH152" i="46"/>
  <c r="DU153" i="46"/>
  <c r="DO131" i="46"/>
  <c r="BS138" i="46"/>
  <c r="ES140" i="46"/>
  <c r="BD145" i="46"/>
  <c r="CQ146" i="46"/>
  <c r="BM148" i="46"/>
  <c r="CZ149" i="46"/>
  <c r="EM150" i="46"/>
  <c r="AO153" i="46"/>
  <c r="BG156" i="46"/>
  <c r="CT157" i="46"/>
  <c r="EG158" i="46"/>
  <c r="W160" i="46"/>
  <c r="CK136" i="46"/>
  <c r="FK138" i="46"/>
  <c r="Z143" i="46"/>
  <c r="BM144" i="46"/>
  <c r="CZ145" i="46"/>
  <c r="EM146" i="46"/>
  <c r="CW148" i="46"/>
  <c r="EJ149" i="46"/>
  <c r="AI152" i="46"/>
  <c r="BV153" i="46"/>
  <c r="AC134" i="46"/>
  <c r="DC136" i="46"/>
  <c r="AC143" i="46"/>
  <c r="BP144" i="46"/>
  <c r="DC145" i="46"/>
  <c r="EP146" i="46"/>
  <c r="CZ148" i="46"/>
  <c r="EM149" i="46"/>
  <c r="AO152" i="46"/>
  <c r="CB153" i="46"/>
  <c r="BA134" i="46"/>
  <c r="EA136" i="46"/>
  <c r="AI143" i="46"/>
  <c r="BV144" i="46"/>
  <c r="DI145" i="46"/>
  <c r="EV146" i="46"/>
  <c r="DF148" i="46"/>
  <c r="ES149" i="46"/>
  <c r="AU152" i="46"/>
  <c r="FK137" i="46"/>
  <c r="BA139" i="46"/>
  <c r="CN140" i="46"/>
  <c r="EA141" i="46"/>
  <c r="AX136" i="46"/>
  <c r="CK137" i="46"/>
  <c r="DX138" i="46"/>
  <c r="FK139" i="46"/>
  <c r="AL143" i="46"/>
  <c r="BY144" i="46"/>
  <c r="DL145" i="46"/>
  <c r="EY146" i="46"/>
  <c r="AX132" i="46"/>
  <c r="CK133" i="46"/>
  <c r="DX134" i="46"/>
  <c r="FK135" i="46"/>
  <c r="BD142" i="46"/>
  <c r="DL143" i="46"/>
  <c r="EY144" i="46"/>
  <c r="AO146" i="46"/>
  <c r="CB147" i="46"/>
  <c r="W130" i="46"/>
  <c r="BJ131" i="46"/>
  <c r="CW132" i="46"/>
  <c r="EJ133" i="46"/>
  <c r="AC140" i="46"/>
  <c r="BP141" i="46"/>
  <c r="DC142" i="46"/>
  <c r="EM143" i="46"/>
  <c r="AC145" i="46"/>
  <c r="BP146" i="46"/>
  <c r="DC147" i="46"/>
  <c r="EP148" i="46"/>
  <c r="AF150" i="46"/>
  <c r="BS151" i="46"/>
  <c r="DF152" i="46"/>
  <c r="ES153" i="46"/>
  <c r="CE136" i="46"/>
  <c r="FE138" i="46"/>
  <c r="AX144" i="46"/>
  <c r="CK145" i="46"/>
  <c r="DX146" i="46"/>
  <c r="CN148" i="46"/>
  <c r="EA149" i="46"/>
  <c r="AC152" i="46"/>
  <c r="BP153" i="46"/>
  <c r="AR155" i="46"/>
  <c r="CE156" i="46"/>
  <c r="DR157" i="46"/>
  <c r="FE158" i="46"/>
  <c r="AU160" i="46"/>
  <c r="W132" i="46"/>
  <c r="CW134" i="46"/>
  <c r="BJ141" i="46"/>
  <c r="BG143" i="46"/>
  <c r="CT144" i="46"/>
  <c r="EG145" i="46"/>
  <c r="Z147" i="46"/>
  <c r="DX148" i="46"/>
  <c r="FK149" i="46"/>
  <c r="Z151" i="46"/>
  <c r="BM152" i="46"/>
  <c r="CZ153" i="46"/>
  <c r="Z132" i="46"/>
  <c r="CZ134" i="46"/>
  <c r="BY141" i="46"/>
  <c r="BM143" i="46"/>
  <c r="CZ144" i="46"/>
  <c r="EM145" i="46"/>
  <c r="AC147" i="46"/>
  <c r="EA148" i="46"/>
  <c r="AC151" i="46"/>
  <c r="BP152" i="46"/>
  <c r="DC153" i="46"/>
  <c r="AU132" i="46"/>
  <c r="DU134" i="46"/>
  <c r="CK141" i="46"/>
  <c r="BY143" i="46"/>
  <c r="DL144" i="46"/>
  <c r="EY145" i="46"/>
  <c r="AO147" i="46"/>
  <c r="EG148" i="46"/>
  <c r="AI151" i="46"/>
  <c r="BV152" i="46"/>
  <c r="AL138" i="46"/>
  <c r="BY139" i="46"/>
  <c r="DL140" i="46"/>
  <c r="EY141" i="46"/>
  <c r="BG135" i="46"/>
  <c r="CT136" i="46"/>
  <c r="EG137" i="46"/>
  <c r="BJ143" i="46"/>
  <c r="CW144" i="46"/>
  <c r="EJ145" i="46"/>
  <c r="BG131" i="46"/>
  <c r="CT132" i="46"/>
  <c r="EG133" i="46"/>
  <c r="Z140" i="46"/>
  <c r="BM141" i="46"/>
  <c r="CZ142" i="46"/>
  <c r="EJ143" i="46"/>
  <c r="Z145" i="46"/>
  <c r="BM146" i="46"/>
  <c r="CZ147" i="46"/>
  <c r="BS130" i="46"/>
  <c r="DF131" i="46"/>
  <c r="ES132" i="46"/>
  <c r="AL139" i="46"/>
  <c r="BY140" i="46"/>
  <c r="DL141" i="46"/>
  <c r="EY142" i="46"/>
  <c r="FK143" i="46"/>
  <c r="BA145" i="46"/>
  <c r="CN146" i="46"/>
  <c r="EA147" i="46"/>
  <c r="BD150" i="46"/>
  <c r="CQ151" i="46"/>
  <c r="ED152" i="46"/>
  <c r="BY134" i="46"/>
  <c r="EY136" i="46"/>
  <c r="AO141" i="46"/>
  <c r="BA143" i="46"/>
  <c r="CN144" i="46"/>
  <c r="EA145" i="46"/>
  <c r="DO148" i="46"/>
  <c r="FB149" i="46"/>
  <c r="BD152" i="46"/>
  <c r="CQ153" i="46"/>
  <c r="AC154" i="46"/>
  <c r="BP155" i="46"/>
  <c r="DC156" i="46"/>
  <c r="EP157" i="46"/>
  <c r="AF159" i="46"/>
  <c r="BS160" i="46"/>
  <c r="CQ132" i="46"/>
  <c r="BG139" i="46"/>
  <c r="EG141" i="46"/>
  <c r="CW143" i="46"/>
  <c r="EJ144" i="46"/>
  <c r="BJ147" i="46"/>
  <c r="EY148" i="46"/>
  <c r="BA151" i="46"/>
  <c r="CN152" i="46"/>
  <c r="EA153" i="46"/>
  <c r="AF130" i="46"/>
  <c r="DF132" i="46"/>
  <c r="BJ139" i="46"/>
  <c r="EJ141" i="46"/>
  <c r="CZ143" i="46"/>
  <c r="EM144" i="46"/>
  <c r="BM147" i="46"/>
  <c r="FB148" i="46"/>
  <c r="BD151" i="46"/>
  <c r="CQ152" i="46"/>
  <c r="ED153" i="46"/>
  <c r="AR130" i="46"/>
  <c r="DR132" i="46"/>
  <c r="CQ139" i="46"/>
  <c r="DI143" i="46"/>
  <c r="EV144" i="46"/>
  <c r="BS147" i="46"/>
  <c r="FH148" i="46"/>
  <c r="W150" i="46"/>
  <c r="BJ151" i="46"/>
  <c r="CW152" i="46"/>
  <c r="BJ138" i="46"/>
  <c r="CW139" i="46"/>
  <c r="EJ140" i="46"/>
  <c r="Z142" i="46"/>
  <c r="AC133" i="46"/>
  <c r="BP134" i="46"/>
  <c r="DC135" i="46"/>
  <c r="EP136" i="46"/>
  <c r="CH143" i="46"/>
  <c r="DU144" i="46"/>
  <c r="FH145" i="46"/>
  <c r="BP130" i="46"/>
  <c r="DC131" i="46"/>
  <c r="EP132" i="46"/>
  <c r="AI139" i="46"/>
  <c r="BV140" i="46"/>
  <c r="DI141" i="46"/>
  <c r="EV142" i="46"/>
  <c r="FH143" i="46"/>
  <c r="AX145" i="46"/>
  <c r="CK146" i="46"/>
  <c r="DX147" i="46"/>
  <c r="DO130" i="46"/>
  <c r="FB131" i="46"/>
  <c r="AU138" i="46"/>
  <c r="CH139" i="46"/>
  <c r="DU140" i="46"/>
  <c r="FH141" i="46"/>
  <c r="AL144" i="46"/>
  <c r="BY145" i="46"/>
  <c r="DL146" i="46"/>
  <c r="EY147" i="46"/>
  <c r="AO149" i="46"/>
  <c r="CB150" i="46"/>
  <c r="DO151" i="46"/>
  <c r="FB152" i="46"/>
  <c r="BV132" i="46"/>
  <c r="EV134" i="46"/>
  <c r="AU139" i="46"/>
  <c r="DU141" i="46"/>
  <c r="CK143" i="46"/>
  <c r="DX144" i="46"/>
  <c r="FK145" i="46"/>
  <c r="AX147" i="46"/>
  <c r="ES148" i="46"/>
  <c r="AR151" i="46"/>
  <c r="CE152" i="46"/>
  <c r="DR153" i="46"/>
  <c r="BA154" i="46"/>
  <c r="CN155" i="46"/>
  <c r="EA156" i="46"/>
  <c r="BD159" i="46"/>
  <c r="CN130" i="46"/>
  <c r="BM137" i="46"/>
  <c r="EM139" i="46"/>
  <c r="EG143" i="46"/>
  <c r="CN147" i="46"/>
  <c r="AO150" i="46"/>
  <c r="CB151" i="46"/>
  <c r="DO152" i="46"/>
  <c r="FB153" i="46"/>
  <c r="CQ130" i="46"/>
  <c r="BV137" i="46"/>
  <c r="EV139" i="46"/>
  <c r="EP143" i="46"/>
  <c r="CQ147" i="46"/>
  <c r="AR150" i="46"/>
  <c r="CE151" i="46"/>
  <c r="DR152" i="46"/>
  <c r="FE153" i="46"/>
  <c r="DX130" i="46"/>
  <c r="CB137" i="46"/>
  <c r="FB139" i="46"/>
  <c r="EV143" i="46"/>
  <c r="CW147" i="46"/>
  <c r="AU137" i="46"/>
  <c r="CH138" i="46"/>
  <c r="DU139" i="46"/>
  <c r="FH140" i="46"/>
  <c r="AX142" i="46"/>
  <c r="AL132" i="46"/>
  <c r="BY133" i="46"/>
  <c r="DL134" i="46"/>
  <c r="EY135" i="46"/>
  <c r="AR142" i="46"/>
  <c r="DF143" i="46"/>
  <c r="ES144" i="46"/>
  <c r="AI146" i="46"/>
  <c r="DL130" i="46"/>
  <c r="EY131" i="46"/>
  <c r="AR138" i="46"/>
  <c r="CE139" i="46"/>
  <c r="DR140" i="46"/>
  <c r="FE141" i="46"/>
  <c r="AI144" i="46"/>
  <c r="BV145" i="46"/>
  <c r="DI146" i="46"/>
  <c r="EV147" i="46"/>
  <c r="FK130" i="46"/>
  <c r="BD137" i="46"/>
  <c r="CQ138" i="46"/>
  <c r="ED139" i="46"/>
  <c r="W143" i="46"/>
  <c r="BJ144" i="46"/>
  <c r="CW145" i="46"/>
  <c r="EJ146" i="46"/>
  <c r="Z148" i="46"/>
  <c r="BM149" i="46"/>
  <c r="CZ150" i="46"/>
  <c r="EM151" i="46"/>
  <c r="AC153" i="46"/>
  <c r="CB130" i="46"/>
  <c r="FB132" i="46"/>
  <c r="AF137" i="46"/>
  <c r="DF139" i="46"/>
  <c r="DX143" i="46"/>
  <c r="FK144" i="46"/>
  <c r="CH147" i="46"/>
  <c r="AI150" i="46"/>
  <c r="BV151" i="46"/>
  <c r="DI152" i="46"/>
  <c r="EV153" i="46"/>
  <c r="BY154" i="46"/>
  <c r="DL155" i="46"/>
  <c r="EY156" i="46"/>
  <c r="AO158" i="46"/>
  <c r="CB159" i="46"/>
  <c r="AX135" i="46"/>
  <c r="DX137" i="46"/>
  <c r="AC142" i="46"/>
  <c r="DR147" i="46"/>
  <c r="AC149" i="46"/>
  <c r="BP150" i="46"/>
  <c r="DC151" i="46"/>
  <c r="EP152" i="46"/>
  <c r="BP135" i="46"/>
  <c r="EP137" i="46"/>
  <c r="AF142" i="46"/>
  <c r="DU147" i="46"/>
  <c r="AF149" i="46"/>
  <c r="BS150" i="46"/>
  <c r="DF151" i="46"/>
  <c r="ES152" i="46"/>
  <c r="CN135" i="46"/>
  <c r="BS137" i="46"/>
  <c r="DF138" i="46"/>
  <c r="ES139" i="46"/>
  <c r="AI141" i="46"/>
  <c r="BV142" i="46"/>
  <c r="AU131" i="46"/>
  <c r="CH132" i="46"/>
  <c r="DU133" i="46"/>
  <c r="FH134" i="46"/>
  <c r="BA141" i="46"/>
  <c r="CN142" i="46"/>
  <c r="ED143" i="46"/>
  <c r="BG146" i="46"/>
  <c r="FH130" i="46"/>
  <c r="BA137" i="46"/>
  <c r="CN138" i="46"/>
  <c r="EA139" i="46"/>
  <c r="BG144" i="46"/>
  <c r="CT145" i="46"/>
  <c r="EG146" i="46"/>
  <c r="Z135" i="46"/>
  <c r="BM136" i="46"/>
  <c r="CZ137" i="46"/>
  <c r="EM138" i="46"/>
  <c r="AU143" i="46"/>
  <c r="CH144" i="46"/>
  <c r="DU145" i="46"/>
  <c r="FH146" i="46"/>
  <c r="AX148" i="46"/>
  <c r="CK149" i="46"/>
  <c r="DX150" i="46"/>
  <c r="FK151" i="46"/>
  <c r="BA153" i="46"/>
  <c r="EM130" i="46"/>
  <c r="AR135" i="46"/>
  <c r="DR137" i="46"/>
  <c r="DL147" i="46"/>
  <c r="W149" i="46"/>
  <c r="BJ150" i="46"/>
  <c r="CW151" i="46"/>
  <c r="EJ152" i="46"/>
  <c r="CW154" i="46"/>
  <c r="EJ155" i="46"/>
  <c r="Z157" i="46"/>
  <c r="BM158" i="46"/>
  <c r="CZ159" i="46"/>
  <c r="BJ133" i="46"/>
  <c r="EJ135" i="46"/>
  <c r="W140" i="46"/>
  <c r="CW142" i="46"/>
  <c r="Z146" i="46"/>
  <c r="FB147" i="46"/>
  <c r="BD149" i="46"/>
  <c r="CQ150" i="46"/>
  <c r="ED151" i="46"/>
  <c r="BM133" i="46"/>
  <c r="EM135" i="46"/>
  <c r="AL140" i="46"/>
  <c r="DL142" i="46"/>
  <c r="AC146" i="46"/>
  <c r="FE147" i="46"/>
  <c r="BG149" i="46"/>
  <c r="CT150" i="46"/>
  <c r="EG151" i="46"/>
  <c r="BA142" i="46"/>
  <c r="EG147" i="46"/>
  <c r="AX150" i="46"/>
  <c r="EJ154" i="46"/>
  <c r="BD158" i="46"/>
  <c r="CQ159" i="46"/>
  <c r="AU140" i="46"/>
  <c r="CH141" i="46"/>
  <c r="DF133" i="46"/>
  <c r="BA133" i="46"/>
  <c r="BP138" i="46"/>
  <c r="DC143" i="46"/>
  <c r="BP147" i="46"/>
  <c r="CT152" i="46"/>
  <c r="DR136" i="46"/>
  <c r="Z137" i="46"/>
  <c r="AO143" i="46"/>
  <c r="DO145" i="46"/>
  <c r="FH144" i="46"/>
  <c r="EV138" i="46"/>
  <c r="BD139" i="46"/>
  <c r="EA143" i="46"/>
  <c r="CK147" i="46"/>
  <c r="AL150" i="46"/>
  <c r="CQ135" i="46"/>
  <c r="BS145" i="46"/>
  <c r="AF148" i="46"/>
  <c r="CT153" i="46"/>
  <c r="CZ154" i="46"/>
  <c r="EM155" i="46"/>
  <c r="AO159" i="46"/>
  <c r="CB160" i="46"/>
  <c r="CZ139" i="46"/>
  <c r="DI148" i="46"/>
  <c r="AU150" i="46"/>
  <c r="FH153" i="46"/>
  <c r="EG154" i="46"/>
  <c r="EA135" i="46"/>
  <c r="CH145" i="46"/>
  <c r="AO148" i="46"/>
  <c r="DL153" i="46"/>
  <c r="DF154" i="46"/>
  <c r="ES155" i="46"/>
  <c r="EV151" i="46"/>
  <c r="FH152" i="46"/>
  <c r="BM153" i="46"/>
  <c r="CE154" i="46"/>
  <c r="DO144" i="46"/>
  <c r="CZ151" i="46"/>
  <c r="DL152" i="46"/>
  <c r="Z153" i="46"/>
  <c r="BG154" i="46"/>
  <c r="CT155" i="46"/>
  <c r="EG156" i="46"/>
  <c r="DU155" i="46"/>
  <c r="ED156" i="46"/>
  <c r="CE159" i="46"/>
  <c r="ED160" i="46"/>
  <c r="ES161" i="46"/>
  <c r="DI144" i="46"/>
  <c r="EP153" i="46"/>
  <c r="BS155" i="46"/>
  <c r="CQ156" i="46"/>
  <c r="AR159" i="46"/>
  <c r="DF160" i="46"/>
  <c r="DX161" i="46"/>
  <c r="AR141" i="46"/>
  <c r="DR144" i="46"/>
  <c r="AF146" i="46"/>
  <c r="BV155" i="46"/>
  <c r="CW156" i="46"/>
  <c r="AX159" i="46"/>
  <c r="DI160" i="46"/>
  <c r="EA161" i="46"/>
  <c r="DF141" i="46"/>
  <c r="EG144" i="46"/>
  <c r="CH146" i="46"/>
  <c r="CK155" i="46"/>
  <c r="DF156" i="46"/>
  <c r="BA159" i="46"/>
  <c r="DL160" i="46"/>
  <c r="ED161" i="46"/>
  <c r="ED141" i="46"/>
  <c r="DR146" i="46"/>
  <c r="CQ155" i="46"/>
  <c r="DI156" i="46"/>
  <c r="DO160" i="46"/>
  <c r="BY157" i="46"/>
  <c r="FE159" i="46"/>
  <c r="EP158" i="46"/>
  <c r="DI161" i="46"/>
  <c r="ES159" i="46"/>
  <c r="AC158" i="46"/>
  <c r="EV160" i="46"/>
  <c r="AU161" i="46"/>
  <c r="W148" i="46"/>
  <c r="DU146" i="46"/>
  <c r="FK150" i="46"/>
  <c r="DF158" i="46"/>
  <c r="FK161" i="46"/>
  <c r="BV161" i="46"/>
  <c r="CH133" i="46"/>
  <c r="DX142" i="46"/>
  <c r="FK147" i="46"/>
  <c r="BY150" i="46"/>
  <c r="CH153" i="46"/>
  <c r="AO157" i="46"/>
  <c r="CB158" i="46"/>
  <c r="DO159" i="46"/>
  <c r="DL138" i="46"/>
  <c r="EY139" i="46"/>
  <c r="BS140" i="46"/>
  <c r="ED147" i="46"/>
  <c r="BV150" i="46"/>
  <c r="EV152" i="46"/>
  <c r="CW133" i="46"/>
  <c r="CK138" i="46"/>
  <c r="DR143" i="46"/>
  <c r="EG130" i="46"/>
  <c r="EM140" i="46"/>
  <c r="AL141" i="46"/>
  <c r="W146" i="46"/>
  <c r="ES147" i="46"/>
  <c r="CN150" i="46"/>
  <c r="CB139" i="46"/>
  <c r="CQ148" i="46"/>
  <c r="AC150" i="46"/>
  <c r="EY153" i="46"/>
  <c r="ED154" i="46"/>
  <c r="AI158" i="46"/>
  <c r="BV159" i="46"/>
  <c r="DC160" i="46"/>
  <c r="DI150" i="46"/>
  <c r="DC139" i="46"/>
  <c r="DL148" i="46"/>
  <c r="BA150" i="46"/>
  <c r="EM154" i="46"/>
  <c r="CQ145" i="46"/>
  <c r="BG148" i="46"/>
  <c r="DO153" i="46"/>
  <c r="DI154" i="46"/>
  <c r="CE153" i="46"/>
  <c r="CK154" i="46"/>
  <c r="DX155" i="46"/>
  <c r="FK156" i="46"/>
  <c r="AC159" i="46"/>
  <c r="DU137" i="46"/>
  <c r="AI142" i="46"/>
  <c r="AR157" i="46"/>
  <c r="DR159" i="46"/>
  <c r="FE160" i="46"/>
  <c r="ED155" i="46"/>
  <c r="EJ156" i="46"/>
  <c r="CH159" i="46"/>
  <c r="EG160" i="46"/>
  <c r="EV161" i="46"/>
  <c r="EG155" i="46"/>
  <c r="EM156" i="46"/>
  <c r="CK159" i="46"/>
  <c r="EJ160" i="46"/>
  <c r="EY161" i="46"/>
  <c r="EV155" i="46"/>
  <c r="EV156" i="46"/>
  <c r="CT159" i="46"/>
  <c r="EM160" i="46"/>
  <c r="FB161" i="46"/>
  <c r="BP157" i="46"/>
  <c r="FH157" i="46"/>
  <c r="AL151" i="46"/>
  <c r="CW159" i="46"/>
  <c r="FE161" i="46"/>
  <c r="Z160" i="46"/>
  <c r="CK153" i="46"/>
  <c r="AO155" i="46"/>
  <c r="Z159" i="46"/>
  <c r="CK156" i="46"/>
  <c r="FK158" i="46"/>
  <c r="DR161" i="46"/>
  <c r="BJ149" i="46"/>
  <c r="AF157" i="46"/>
  <c r="BM160" i="46"/>
  <c r="BM138" i="46"/>
  <c r="CW160" i="46"/>
  <c r="AX140" i="46"/>
  <c r="AL149" i="46"/>
  <c r="DC150" i="46"/>
  <c r="DX152" i="46"/>
  <c r="DI153" i="46"/>
  <c r="Z156" i="46"/>
  <c r="BM157" i="46"/>
  <c r="CZ158" i="46"/>
  <c r="EM159" i="46"/>
  <c r="FB141" i="46"/>
  <c r="BP142" i="46"/>
  <c r="BV146" i="46"/>
  <c r="BA148" i="46"/>
  <c r="EA150" i="46"/>
  <c r="CQ140" i="46"/>
  <c r="ES134" i="46"/>
  <c r="AU135" i="46"/>
  <c r="AU145" i="46"/>
  <c r="EA142" i="46"/>
  <c r="CT146" i="46"/>
  <c r="BP148" i="46"/>
  <c r="EP150" i="46"/>
  <c r="DF150" i="46"/>
  <c r="FK154" i="46"/>
  <c r="AC157" i="46"/>
  <c r="BP158" i="46"/>
  <c r="DC159" i="46"/>
  <c r="EA160" i="46"/>
  <c r="DO150" i="46"/>
  <c r="DX139" i="46"/>
  <c r="ED148" i="46"/>
  <c r="BG150" i="46"/>
  <c r="EP154" i="46"/>
  <c r="DI137" i="46"/>
  <c r="FB145" i="46"/>
  <c r="CB148" i="46"/>
  <c r="EG153" i="46"/>
  <c r="DR154" i="46"/>
  <c r="FE155" i="46"/>
  <c r="W158" i="46"/>
  <c r="BJ159" i="46"/>
  <c r="CH157" i="46"/>
  <c r="FH159" i="46"/>
  <c r="FE137" i="46"/>
  <c r="BA157" i="46"/>
  <c r="EA159" i="46"/>
  <c r="FH160" i="46"/>
  <c r="BD157" i="46"/>
  <c r="ED159" i="46"/>
  <c r="FK160" i="46"/>
  <c r="BJ157" i="46"/>
  <c r="EJ159" i="46"/>
  <c r="EV157" i="46"/>
  <c r="AO161" i="46"/>
  <c r="EV145" i="46"/>
  <c r="CQ154" i="46"/>
  <c r="AF156" i="46"/>
  <c r="EM147" i="46"/>
  <c r="DO154" i="46"/>
  <c r="AR156" i="46"/>
  <c r="BP160" i="46"/>
  <c r="AF154" i="46"/>
  <c r="DO157" i="46"/>
  <c r="DR160" i="46"/>
  <c r="W161" i="46"/>
  <c r="EY159" i="46"/>
  <c r="BS158" i="46"/>
  <c r="FB160" i="46"/>
  <c r="BP161" i="46"/>
  <c r="BJ148" i="46"/>
  <c r="CN161" i="46"/>
  <c r="AL157" i="46"/>
  <c r="CT160" i="46"/>
  <c r="BP149" i="46"/>
  <c r="EY152" i="46"/>
  <c r="EJ153" i="46"/>
  <c r="BG155" i="46"/>
  <c r="CT156" i="46"/>
  <c r="EG157" i="46"/>
  <c r="AL136" i="46"/>
  <c r="BM130" i="46"/>
  <c r="BS144" i="46"/>
  <c r="ES146" i="46"/>
  <c r="DC148" i="46"/>
  <c r="BY142" i="46"/>
  <c r="ED136" i="46"/>
  <c r="AC137" i="46"/>
  <c r="AX143" i="46"/>
  <c r="DX145" i="46"/>
  <c r="CQ144" i="46"/>
  <c r="DU148" i="46"/>
  <c r="BG157" i="46"/>
  <c r="CT158" i="46"/>
  <c r="EG159" i="46"/>
  <c r="EY160" i="46"/>
  <c r="AX146" i="46"/>
  <c r="EG150" i="46"/>
  <c r="CN141" i="46"/>
  <c r="EM148" i="46"/>
  <c r="CE150" i="46"/>
  <c r="EY154" i="46"/>
  <c r="BA158" i="46"/>
  <c r="CN159" i="46"/>
  <c r="FE145" i="46"/>
  <c r="EA157" i="46"/>
  <c r="AC161" i="46"/>
  <c r="CQ157" i="46"/>
  <c r="CW157" i="46"/>
  <c r="CZ157" i="46"/>
  <c r="AO138" i="46"/>
  <c r="BV147" i="46"/>
  <c r="DC158" i="46"/>
  <c r="CK161" i="46"/>
  <c r="CW155" i="46"/>
  <c r="DO156" i="46"/>
  <c r="CT143" i="46"/>
  <c r="CT137" i="46"/>
  <c r="DR155" i="46"/>
  <c r="DX156" i="46"/>
  <c r="DX160" i="46"/>
  <c r="AX151" i="46"/>
  <c r="DL158" i="46"/>
  <c r="CQ161" i="46"/>
  <c r="AC160" i="46"/>
  <c r="CN153" i="46"/>
  <c r="AX152" i="46"/>
  <c r="BD155" i="46"/>
  <c r="AI159" i="46"/>
  <c r="FE156" i="46"/>
  <c r="EJ161" i="46"/>
  <c r="CW149" i="46"/>
  <c r="AI157" i="46"/>
  <c r="CQ160" i="46"/>
  <c r="FH150" i="46"/>
  <c r="FK153" i="46"/>
  <c r="AR154" i="46"/>
  <c r="CE155" i="46"/>
  <c r="DR156" i="46"/>
  <c r="FE157" i="46"/>
  <c r="DC134" i="46"/>
  <c r="EP135" i="46"/>
  <c r="FE130" i="46"/>
  <c r="AL131" i="46"/>
  <c r="AU130" i="46"/>
  <c r="EP144" i="46"/>
  <c r="FE148" i="46"/>
  <c r="BG151" i="46"/>
  <c r="CB144" i="46"/>
  <c r="FB133" i="46"/>
  <c r="EG138" i="46"/>
  <c r="AF139" i="46"/>
  <c r="DU143" i="46"/>
  <c r="BJ132" i="46"/>
  <c r="AU146" i="46"/>
  <c r="BA156" i="46"/>
  <c r="CN157" i="46"/>
  <c r="EA158" i="46"/>
  <c r="W131" i="46"/>
  <c r="EY143" i="46"/>
  <c r="FB146" i="46"/>
  <c r="CT147" i="46"/>
  <c r="BV149" i="46"/>
  <c r="W152" i="46"/>
  <c r="AX155" i="46"/>
  <c r="BG136" i="46"/>
  <c r="BD146" i="46"/>
  <c r="W155" i="46"/>
  <c r="FB150" i="46"/>
  <c r="AU157" i="46"/>
  <c r="CH158" i="46"/>
  <c r="DU159" i="46"/>
  <c r="BM151" i="46"/>
  <c r="AR158" i="46"/>
  <c r="BA161" i="46"/>
  <c r="ED157" i="46"/>
  <c r="AF161" i="46"/>
  <c r="EJ157" i="46"/>
  <c r="AI161" i="46"/>
  <c r="BV143" i="46"/>
  <c r="ES157" i="46"/>
  <c r="AL161" i="46"/>
  <c r="CE143" i="46"/>
  <c r="BG159" i="46"/>
  <c r="EG161" i="46"/>
  <c r="BS157" i="46"/>
  <c r="CE157" i="46"/>
  <c r="BS153" i="46"/>
  <c r="FE154" i="46"/>
  <c r="AC155" i="46"/>
  <c r="BP156" i="46"/>
  <c r="CN160" i="46"/>
  <c r="DX157" i="46"/>
  <c r="DU160" i="46"/>
  <c r="Z161" i="46"/>
  <c r="EJ150" i="46"/>
  <c r="BV158" i="46"/>
  <c r="BS161" i="46"/>
  <c r="DU149" i="46"/>
  <c r="AL146" i="46"/>
  <c r="AC148" i="46"/>
  <c r="CK151" i="46"/>
  <c r="BP154" i="46"/>
  <c r="DC155" i="46"/>
  <c r="EP156" i="46"/>
  <c r="W159" i="46"/>
  <c r="BJ160" i="46"/>
  <c r="BY132" i="46"/>
  <c r="CH131" i="46"/>
  <c r="DU132" i="46"/>
  <c r="CZ131" i="46"/>
  <c r="AO130" i="46"/>
  <c r="AI149" i="46"/>
  <c r="DI151" i="46"/>
  <c r="FE144" i="46"/>
  <c r="DO140" i="46"/>
  <c r="AC141" i="46"/>
  <c r="BA149" i="46"/>
  <c r="FH138" i="46"/>
  <c r="ES143" i="46"/>
  <c r="ED146" i="46"/>
  <c r="BY147" i="46"/>
  <c r="BS149" i="46"/>
  <c r="AU155" i="46"/>
  <c r="CH156" i="46"/>
  <c r="DU157" i="46"/>
  <c r="FH158" i="46"/>
  <c r="AR144" i="46"/>
  <c r="EV149" i="46"/>
  <c r="BY151" i="46"/>
  <c r="CB152" i="46"/>
  <c r="AO154" i="46"/>
  <c r="CB155" i="46"/>
  <c r="CB131" i="46"/>
  <c r="FE143" i="46"/>
  <c r="FK146" i="46"/>
  <c r="DF147" i="46"/>
  <c r="CB149" i="46"/>
  <c r="Z152" i="46"/>
  <c r="BA155" i="46"/>
  <c r="BV136" i="46"/>
  <c r="CB146" i="46"/>
  <c r="AL147" i="46"/>
  <c r="AR134" i="46"/>
  <c r="AO156" i="46"/>
  <c r="CB157" i="46"/>
  <c r="DO158" i="46"/>
  <c r="FB159" i="46"/>
  <c r="CH148" i="46"/>
  <c r="DX149" i="46"/>
  <c r="BS152" i="46"/>
  <c r="AI154" i="46"/>
  <c r="CE158" i="46"/>
  <c r="AI160" i="46"/>
  <c r="BY161" i="46"/>
  <c r="BD134" i="46"/>
  <c r="Z150" i="46"/>
  <c r="CT151" i="46"/>
  <c r="AU158" i="46"/>
  <c r="BD161" i="46"/>
  <c r="BG134" i="46"/>
  <c r="BM150" i="46"/>
  <c r="DR151" i="46"/>
  <c r="AX158" i="46"/>
  <c r="BG161" i="46"/>
  <c r="Z149" i="46"/>
  <c r="CH150" i="46"/>
  <c r="DU151" i="46"/>
  <c r="BG158" i="46"/>
  <c r="BJ161" i="46"/>
  <c r="AU149" i="46"/>
  <c r="CW150" i="46"/>
  <c r="FB151" i="46"/>
  <c r="EP159" i="46"/>
  <c r="EP140" i="46"/>
  <c r="FB157" i="46"/>
  <c r="FK157" i="46"/>
  <c r="AL158" i="46"/>
  <c r="AX161" i="46"/>
  <c r="FB155" i="46"/>
  <c r="FB156" i="46"/>
  <c r="W157" i="46"/>
  <c r="EP160" i="46"/>
  <c r="BY156" i="46"/>
  <c r="EY158" i="46"/>
  <c r="DL161" i="46"/>
  <c r="AF160" i="46"/>
  <c r="DX153" i="46"/>
  <c r="BG152" i="46"/>
  <c r="FK155" i="46"/>
  <c r="BM159" i="46"/>
  <c r="FH156" i="46"/>
  <c r="EM161" i="46"/>
  <c r="FH161" i="46"/>
  <c r="BY158" i="46"/>
  <c r="FH135" i="46"/>
  <c r="DL151" i="46"/>
  <c r="CN154" i="46"/>
  <c r="EA155" i="46"/>
  <c r="AU159" i="46"/>
  <c r="CH160" i="46"/>
  <c r="AC132" i="46"/>
  <c r="DL133" i="46"/>
  <c r="FH133" i="46"/>
  <c r="CN134" i="46"/>
  <c r="AI145" i="46"/>
  <c r="CN149" i="46"/>
  <c r="CK130" i="46"/>
  <c r="CE142" i="46"/>
  <c r="EY134" i="46"/>
  <c r="CE135" i="46"/>
  <c r="BG145" i="46"/>
  <c r="DC149" i="46"/>
  <c r="ES142" i="46"/>
  <c r="AF144" i="46"/>
  <c r="ED149" i="46"/>
  <c r="BP151" i="46"/>
  <c r="BY152" i="46"/>
  <c r="AL154" i="46"/>
  <c r="BY155" i="46"/>
  <c r="DL156" i="46"/>
  <c r="EY157" i="46"/>
  <c r="FK132" i="46"/>
  <c r="EJ151" i="46"/>
  <c r="EM152" i="46"/>
  <c r="BD153" i="46"/>
  <c r="BV154" i="46"/>
  <c r="DI155" i="46"/>
  <c r="AU144" i="46"/>
  <c r="EY149" i="46"/>
  <c r="CH151" i="46"/>
  <c r="CK152" i="46"/>
  <c r="AU154" i="46"/>
  <c r="CH155" i="46"/>
  <c r="DX131" i="46"/>
  <c r="BA140" i="46"/>
  <c r="DI147" i="46"/>
  <c r="CT149" i="46"/>
  <c r="AF151" i="46"/>
  <c r="AF152" i="46"/>
  <c r="CB143" i="46"/>
  <c r="DF146" i="46"/>
  <c r="AU147" i="46"/>
  <c r="AR149" i="46"/>
  <c r="AF155" i="46"/>
  <c r="BS156" i="46"/>
  <c r="DF157" i="46"/>
  <c r="ES158" i="46"/>
  <c r="FH147" i="46"/>
  <c r="DX154" i="46"/>
  <c r="AU156" i="46"/>
  <c r="DU158" i="46"/>
  <c r="BV160" i="46"/>
  <c r="CW161" i="46"/>
  <c r="CK148" i="46"/>
  <c r="DC152" i="46"/>
  <c r="BD154" i="46"/>
  <c r="CN158" i="46"/>
  <c r="AO160" i="46"/>
  <c r="CB161" i="46"/>
  <c r="EJ148" i="46"/>
  <c r="DU152" i="46"/>
  <c r="BJ154" i="46"/>
  <c r="CQ158" i="46"/>
  <c r="AR160" i="46"/>
  <c r="CE161" i="46"/>
  <c r="AR147" i="46"/>
  <c r="EV148" i="46"/>
  <c r="EA152" i="46"/>
  <c r="BM154" i="46"/>
  <c r="W156" i="46"/>
  <c r="CW158" i="46"/>
  <c r="BA160" i="46"/>
  <c r="CH161" i="46"/>
  <c r="BA147" i="46"/>
  <c r="FK148" i="46"/>
  <c r="DO147" i="46"/>
  <c r="CT154" i="46"/>
  <c r="AL156" i="46"/>
  <c r="DR158" i="46"/>
  <c r="CT161" i="46"/>
  <c r="DC157" i="46"/>
  <c r="DL159" i="46"/>
  <c r="EP151" i="46"/>
  <c r="DL154" i="46"/>
  <c r="EY155" i="46"/>
  <c r="AF158" i="46"/>
  <c r="BS159" i="46"/>
  <c r="DI130" i="46"/>
  <c r="EV131" i="46"/>
  <c r="EJ130" i="46"/>
  <c r="BS132" i="46"/>
  <c r="EM132" i="46"/>
  <c r="CH136" i="46"/>
  <c r="AF143" i="46"/>
  <c r="DF145" i="46"/>
  <c r="EP149" i="46"/>
  <c r="AR152" i="46"/>
  <c r="EJ134" i="46"/>
  <c r="AI135" i="46"/>
  <c r="AO145" i="46"/>
  <c r="CK144" i="46"/>
  <c r="EG136" i="46"/>
  <c r="AX137" i="46"/>
  <c r="BD143" i="46"/>
  <c r="ED145" i="46"/>
  <c r="W147" i="46"/>
  <c r="FH149" i="46"/>
  <c r="DO132" i="46"/>
  <c r="EA151" i="46"/>
  <c r="EG152" i="46"/>
  <c r="AR153" i="46"/>
  <c r="BS154" i="46"/>
  <c r="DF155" i="46"/>
  <c r="ES156" i="46"/>
  <c r="AX160" i="46"/>
  <c r="CT135" i="46"/>
  <c r="CE145" i="46"/>
  <c r="AI148" i="46"/>
  <c r="DF153" i="46"/>
  <c r="DC154" i="46"/>
  <c r="EP155" i="46"/>
  <c r="ES151" i="46"/>
  <c r="FE152" i="46"/>
  <c r="BJ153" i="46"/>
  <c r="CB154" i="46"/>
  <c r="DO155" i="46"/>
  <c r="BD144" i="46"/>
  <c r="CN151" i="46"/>
  <c r="CZ152" i="46"/>
  <c r="AX154" i="46"/>
  <c r="FK140" i="46"/>
  <c r="EJ147" i="46"/>
  <c r="DO149" i="46"/>
  <c r="AO151" i="46"/>
  <c r="BA152" i="46"/>
  <c r="Z154" i="46"/>
  <c r="BM155" i="46"/>
  <c r="CZ156" i="46"/>
  <c r="EM157" i="46"/>
  <c r="EM153" i="46"/>
  <c r="BJ155" i="46"/>
  <c r="CN156" i="46"/>
  <c r="AL159" i="46"/>
  <c r="CZ160" i="46"/>
  <c r="DU161" i="46"/>
  <c r="EA154" i="46"/>
  <c r="BD156" i="46"/>
  <c r="ED158" i="46"/>
  <c r="BY160" i="46"/>
  <c r="CZ161" i="46"/>
  <c r="AI153" i="46"/>
  <c r="EV154" i="46"/>
  <c r="BJ156" i="46"/>
  <c r="EJ158" i="46"/>
  <c r="CE160" i="46"/>
  <c r="DC161" i="46"/>
  <c r="AL153" i="46"/>
  <c r="FB154" i="46"/>
  <c r="Z155" i="46"/>
  <c r="BM156" i="46"/>
  <c r="EM158" i="46"/>
  <c r="CK160" i="46"/>
  <c r="DF161" i="46"/>
  <c r="CH154" i="46"/>
  <c r="AC156" i="46"/>
  <c r="BD160" i="46"/>
  <c r="CZ155" i="46"/>
  <c r="DU156" i="46"/>
  <c r="BY159" i="46"/>
  <c r="EP161" i="46"/>
  <c r="BJ158" i="46"/>
  <c r="BM161" i="46"/>
  <c r="AL155" i="46"/>
  <c r="CB156" i="46"/>
  <c r="FB158" i="46"/>
  <c r="DO161" i="46"/>
  <c r="BG160" i="46"/>
  <c r="ES160" i="46"/>
  <c r="DL157" i="46"/>
  <c r="DI159" i="46"/>
  <c r="AR161" i="46"/>
  <c r="BP159" i="46"/>
  <c r="DF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EJ162" i="46"/>
  <c r="BM162" i="46"/>
  <c r="AR162" i="46"/>
  <c r="AF162" i="46"/>
  <c r="EY162" i="46"/>
  <c r="CW162" i="46"/>
  <c r="CE162" i="46"/>
  <c r="BJ162" i="46"/>
  <c r="BD180" i="46"/>
  <c r="AI180" i="46"/>
  <c r="ES180" i="46"/>
  <c r="AC180" i="46"/>
  <c r="FK162" i="46"/>
  <c r="DR162" i="46"/>
  <c r="AL162" i="46"/>
  <c r="AL180" i="46"/>
  <c r="CT180" i="46"/>
  <c r="BA180" i="46"/>
  <c r="EM180" i="46"/>
  <c r="CK180" i="46"/>
  <c r="AO162" i="46"/>
  <c r="BS162" i="46"/>
  <c r="W162" i="46"/>
  <c r="BD162" i="46"/>
  <c r="ES162" i="46"/>
  <c r="CT162" i="46"/>
  <c r="BY162" i="46"/>
  <c r="BG162" i="46"/>
  <c r="FE180" i="46"/>
  <c r="BS180" i="46"/>
  <c r="AF180" i="46"/>
  <c r="EP180" i="46"/>
  <c r="DR180" i="46"/>
  <c r="DO180" i="46"/>
  <c r="FE162" i="46"/>
  <c r="EM162" i="46"/>
  <c r="CB162" i="46"/>
  <c r="ED162" i="46"/>
  <c r="AI162" i="46"/>
  <c r="CE180" i="46"/>
  <c r="DL180" i="46"/>
  <c r="AR180" i="46"/>
  <c r="DF180" i="46"/>
  <c r="CQ180" i="46"/>
  <c r="EJ180" i="46"/>
  <c r="DI162" i="46"/>
  <c r="CK162" i="46"/>
  <c r="DX162" i="46"/>
  <c r="CQ162" i="46"/>
  <c r="CN162" i="46"/>
  <c r="BP162" i="46"/>
  <c r="CZ162" i="46"/>
  <c r="EP162" i="46"/>
  <c r="DF162" i="46"/>
  <c r="BV162" i="46"/>
  <c r="BA162" i="46"/>
  <c r="BP180" i="46"/>
  <c r="FB180" i="46"/>
  <c r="EG180" i="46"/>
  <c r="EV180" i="46"/>
  <c r="FK180" i="46"/>
  <c r="DC180" i="46"/>
  <c r="BV180" i="46"/>
  <c r="BJ180" i="46"/>
  <c r="EG162" i="46"/>
  <c r="EA162" i="46"/>
  <c r="AC162" i="46"/>
  <c r="FH180" i="46"/>
  <c r="CZ180" i="46"/>
  <c r="BM180" i="46"/>
  <c r="DX180" i="46"/>
  <c r="AX180" i="46"/>
  <c r="EY180" i="46"/>
  <c r="EA180" i="46"/>
  <c r="CW180" i="46"/>
  <c r="AU180" i="46"/>
  <c r="DO162" i="46"/>
  <c r="EV162" i="46"/>
  <c r="FB162" i="46"/>
  <c r="DC162" i="46"/>
  <c r="CH162" i="46"/>
  <c r="AX162" i="46"/>
  <c r="CB180" i="46"/>
  <c r="W180" i="46"/>
  <c r="BG180" i="46"/>
  <c r="Z180" i="46"/>
  <c r="AU162" i="46"/>
  <c r="FH162" i="46"/>
  <c r="DL162" i="46"/>
  <c r="DU162" i="46"/>
  <c r="Z162" i="46"/>
  <c r="CH180" i="46"/>
  <c r="CN180" i="46"/>
  <c r="ED180" i="46"/>
  <c r="AO180" i="46"/>
  <c r="DU180" i="46"/>
  <c r="DI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EP200" i="46"/>
  <c r="EM201" i="46"/>
  <c r="Z201" i="46"/>
  <c r="BP200" i="46"/>
  <c r="BY201" i="46"/>
  <c r="DF200" i="46"/>
  <c r="DX201" i="46"/>
  <c r="AI202" i="46"/>
  <c r="BV203" i="46"/>
  <c r="AL202" i="46"/>
  <c r="BY203" i="46"/>
  <c r="AO202" i="46"/>
  <c r="CB203" i="46"/>
  <c r="EJ202" i="46"/>
  <c r="BG200" i="46"/>
  <c r="EM202" i="46"/>
  <c r="DC201" i="46"/>
  <c r="AO203" i="46"/>
  <c r="BY202" i="46"/>
  <c r="DL203" i="46"/>
  <c r="AU205" i="46"/>
  <c r="BJ200" i="46"/>
  <c r="CN201" i="46"/>
  <c r="FK201" i="46"/>
  <c r="AX201" i="46"/>
  <c r="CQ200" i="46"/>
  <c r="CW201" i="46"/>
  <c r="EV200" i="46"/>
  <c r="EV201" i="46"/>
  <c r="BG202" i="46"/>
  <c r="CT203" i="46"/>
  <c r="BJ202" i="46"/>
  <c r="CW203" i="46"/>
  <c r="BM202" i="46"/>
  <c r="CZ203" i="46"/>
  <c r="BV200" i="46"/>
  <c r="FH202" i="46"/>
  <c r="DL200" i="46"/>
  <c r="AI201" i="46"/>
  <c r="FK202" i="46"/>
  <c r="FE201" i="46"/>
  <c r="Z202" i="46"/>
  <c r="BM203" i="46"/>
  <c r="CW202" i="46"/>
  <c r="EJ203" i="46"/>
  <c r="EV202" i="46"/>
  <c r="FK203" i="46"/>
  <c r="AF204" i="46"/>
  <c r="BS205" i="46"/>
  <c r="CZ200" i="46"/>
  <c r="DL201" i="46"/>
  <c r="AL200" i="46"/>
  <c r="BV201" i="46"/>
  <c r="DR200" i="46"/>
  <c r="DU201" i="46"/>
  <c r="CE202" i="46"/>
  <c r="DR203" i="46"/>
  <c r="CH202" i="46"/>
  <c r="DU203" i="46"/>
  <c r="CK202" i="46"/>
  <c r="DX203" i="46"/>
  <c r="CH201" i="46"/>
  <c r="AI203" i="46"/>
  <c r="CK201" i="46"/>
  <c r="AL203" i="46"/>
  <c r="AX202" i="46"/>
  <c r="CK203" i="46"/>
  <c r="EJ200" i="46"/>
  <c r="DU202" i="46"/>
  <c r="BD204" i="46"/>
  <c r="CQ205" i="46"/>
  <c r="EA200" i="46"/>
  <c r="EJ201" i="46"/>
  <c r="W201" i="46"/>
  <c r="CB200" i="46"/>
  <c r="CT201" i="46"/>
  <c r="FH200" i="46"/>
  <c r="ES201" i="46"/>
  <c r="DC202" i="46"/>
  <c r="EP203" i="46"/>
  <c r="DF202" i="46"/>
  <c r="ES203" i="46"/>
  <c r="DI202" i="46"/>
  <c r="EV203" i="46"/>
  <c r="EY201" i="46"/>
  <c r="BG203" i="46"/>
  <c r="FB201" i="46"/>
  <c r="W202" i="46"/>
  <c r="BJ203" i="46"/>
  <c r="BV202" i="46"/>
  <c r="DI203" i="46"/>
  <c r="ES202" i="46"/>
  <c r="CB204" i="46"/>
  <c r="DO205" i="46"/>
  <c r="FB200" i="46"/>
  <c r="FH201" i="46"/>
  <c r="W200" i="46"/>
  <c r="AU201" i="46"/>
  <c r="DC200" i="46"/>
  <c r="DR201" i="46"/>
  <c r="AF201" i="46"/>
  <c r="AF200" i="46"/>
  <c r="EA202" i="46"/>
  <c r="BS200" i="46"/>
  <c r="ED202" i="46"/>
  <c r="FK200" i="46"/>
  <c r="EG202" i="46"/>
  <c r="AR202" i="46"/>
  <c r="CE203" i="46"/>
  <c r="AU202" i="46"/>
  <c r="CH203" i="46"/>
  <c r="CT202" i="46"/>
  <c r="EG203" i="46"/>
  <c r="AO201" i="46"/>
  <c r="CZ204" i="46"/>
  <c r="AX200" i="46"/>
  <c r="BS201" i="46"/>
  <c r="ED200" i="46"/>
  <c r="EP201" i="46"/>
  <c r="BD201" i="46"/>
  <c r="CH200" i="46"/>
  <c r="EY202" i="46"/>
  <c r="DX200" i="46"/>
  <c r="FB202" i="46"/>
  <c r="FE202" i="46"/>
  <c r="BP202" i="46"/>
  <c r="DC203" i="46"/>
  <c r="BS202" i="46"/>
  <c r="DF203" i="46"/>
  <c r="AR200" i="46"/>
  <c r="DR202" i="46"/>
  <c r="FE203" i="46"/>
  <c r="DF201" i="46"/>
  <c r="AR203" i="46"/>
  <c r="DX204" i="46"/>
  <c r="CN200" i="46"/>
  <c r="CQ201" i="46"/>
  <c r="AC201" i="46"/>
  <c r="BD200" i="46"/>
  <c r="CB201" i="46"/>
  <c r="EM200" i="46"/>
  <c r="BJ201" i="46"/>
  <c r="Z203" i="46"/>
  <c r="BM201" i="46"/>
  <c r="AC203" i="46"/>
  <c r="CE201" i="46"/>
  <c r="AF203" i="46"/>
  <c r="CN202" i="46"/>
  <c r="EA203" i="46"/>
  <c r="CQ202" i="46"/>
  <c r="ED203" i="46"/>
  <c r="CT200" i="46"/>
  <c r="EP202" i="46"/>
  <c r="AC202" i="46"/>
  <c r="BP203" i="46"/>
  <c r="AR201" i="46"/>
  <c r="DO200" i="46"/>
  <c r="DO201" i="46"/>
  <c r="Z200" i="46"/>
  <c r="BA201" i="46"/>
  <c r="CE200" i="46"/>
  <c r="CZ201" i="46"/>
  <c r="EA201" i="46"/>
  <c r="AX203" i="46"/>
  <c r="ED201" i="46"/>
  <c r="BA203" i="46"/>
  <c r="EG201" i="46"/>
  <c r="BD203" i="46"/>
  <c r="DL202" i="46"/>
  <c r="EY203" i="46"/>
  <c r="DO202" i="46"/>
  <c r="FB203" i="46"/>
  <c r="EY200" i="46"/>
  <c r="AL201" i="46"/>
  <c r="BA202" i="46"/>
  <c r="CN203" i="46"/>
  <c r="W205" i="46"/>
  <c r="FB206" i="46"/>
  <c r="Z205" i="46"/>
  <c r="BM206" i="46"/>
  <c r="ED204" i="46"/>
  <c r="DI204" i="46"/>
  <c r="EV205" i="46"/>
  <c r="AL207" i="46"/>
  <c r="CQ204" i="46"/>
  <c r="ED205" i="46"/>
  <c r="EY206" i="46"/>
  <c r="AO205" i="46"/>
  <c r="CB206" i="46"/>
  <c r="EG207" i="46"/>
  <c r="AR207" i="46"/>
  <c r="CQ203" i="46"/>
  <c r="BG205" i="46"/>
  <c r="CT206" i="46"/>
  <c r="EM207" i="46"/>
  <c r="CB202" i="46"/>
  <c r="BV204" i="46"/>
  <c r="DI205" i="46"/>
  <c r="EP206" i="46"/>
  <c r="BG206" i="46"/>
  <c r="DR207" i="46"/>
  <c r="EJ204" i="46"/>
  <c r="CE205" i="46"/>
  <c r="CN204" i="46"/>
  <c r="CW200" i="46"/>
  <c r="EG200" i="46"/>
  <c r="EM205" i="46"/>
  <c r="AC207" i="46"/>
  <c r="W203" i="46"/>
  <c r="AX205" i="46"/>
  <c r="CK206" i="46"/>
  <c r="FB204" i="46"/>
  <c r="AR206" i="46"/>
  <c r="EG204" i="46"/>
  <c r="W206" i="46"/>
  <c r="BJ207" i="46"/>
  <c r="EM204" i="46"/>
  <c r="AX204" i="46"/>
  <c r="CK205" i="46"/>
  <c r="DX206" i="46"/>
  <c r="FK207" i="46"/>
  <c r="BV207" i="46"/>
  <c r="BP204" i="46"/>
  <c r="DC205" i="46"/>
  <c r="EG206" i="46"/>
  <c r="AX207" i="46"/>
  <c r="DR204" i="46"/>
  <c r="FE205" i="46"/>
  <c r="FH203" i="46"/>
  <c r="AC204" i="46"/>
  <c r="BP205" i="46"/>
  <c r="DC206" i="46"/>
  <c r="EY207" i="46"/>
  <c r="AI205" i="46"/>
  <c r="EV206" i="46"/>
  <c r="DI200" i="46"/>
  <c r="AO200" i="46"/>
  <c r="FK205" i="46"/>
  <c r="BA207" i="46"/>
  <c r="AI204" i="46"/>
  <c r="BV205" i="46"/>
  <c r="DI206" i="46"/>
  <c r="AC205" i="46"/>
  <c r="BP206" i="46"/>
  <c r="FE204" i="46"/>
  <c r="AU206" i="46"/>
  <c r="CH207" i="46"/>
  <c r="CT204" i="46"/>
  <c r="EG205" i="46"/>
  <c r="FE206" i="46"/>
  <c r="AI206" i="46"/>
  <c r="DC207" i="46"/>
  <c r="DL204" i="46"/>
  <c r="EY205" i="46"/>
  <c r="CE207" i="46"/>
  <c r="BY204" i="46"/>
  <c r="DL205" i="46"/>
  <c r="ES206" i="46"/>
  <c r="AU200" i="46"/>
  <c r="FE207" i="46"/>
  <c r="ES200" i="46"/>
  <c r="AL206" i="46"/>
  <c r="BY207" i="46"/>
  <c r="BG201" i="46"/>
  <c r="BG204" i="46"/>
  <c r="CT205" i="46"/>
  <c r="AU203" i="46"/>
  <c r="BA205" i="46"/>
  <c r="CN206" i="46"/>
  <c r="AF205" i="46"/>
  <c r="BS206" i="46"/>
  <c r="DF207" i="46"/>
  <c r="AI207" i="46"/>
  <c r="EP204" i="46"/>
  <c r="AR205" i="46"/>
  <c r="CE206" i="46"/>
  <c r="EJ207" i="46"/>
  <c r="FH204" i="46"/>
  <c r="BA206" i="46"/>
  <c r="DL207" i="46"/>
  <c r="CZ202" i="46"/>
  <c r="W207" i="46"/>
  <c r="DU204" i="46"/>
  <c r="FH205" i="46"/>
  <c r="DX207" i="46"/>
  <c r="BA200" i="46"/>
  <c r="CK200" i="46"/>
  <c r="BJ206" i="46"/>
  <c r="CW207" i="46"/>
  <c r="CE204" i="46"/>
  <c r="DR205" i="46"/>
  <c r="AL204" i="46"/>
  <c r="BY205" i="46"/>
  <c r="DL206" i="46"/>
  <c r="AF202" i="46"/>
  <c r="BS203" i="46"/>
  <c r="BD205" i="46"/>
  <c r="CQ206" i="46"/>
  <c r="ED207" i="46"/>
  <c r="BP207" i="46"/>
  <c r="BA204" i="46"/>
  <c r="CN205" i="46"/>
  <c r="EA206" i="46"/>
  <c r="BD202" i="46"/>
  <c r="DO203" i="46"/>
  <c r="W204" i="46"/>
  <c r="BJ205" i="46"/>
  <c r="CW206" i="46"/>
  <c r="EP207" i="46"/>
  <c r="BD207" i="46"/>
  <c r="AF207" i="46"/>
  <c r="CQ207" i="46"/>
  <c r="AR204" i="46"/>
  <c r="DR206" i="46"/>
  <c r="FE200" i="46"/>
  <c r="EV204" i="46"/>
  <c r="CH206" i="46"/>
  <c r="DU207" i="46"/>
  <c r="DC204" i="46"/>
  <c r="EP205" i="46"/>
  <c r="DI201" i="46"/>
  <c r="BJ204" i="46"/>
  <c r="CW205" i="46"/>
  <c r="AO204" i="46"/>
  <c r="CB205" i="46"/>
  <c r="DO206" i="46"/>
  <c r="FB207" i="46"/>
  <c r="AC206" i="46"/>
  <c r="CT207" i="46"/>
  <c r="AO207" i="46"/>
  <c r="CW204" i="46"/>
  <c r="EJ205" i="46"/>
  <c r="FH206" i="46"/>
  <c r="AU207" i="46"/>
  <c r="BS204" i="46"/>
  <c r="DF205" i="46"/>
  <c r="EJ206" i="46"/>
  <c r="CK207" i="46"/>
  <c r="DX202" i="46"/>
  <c r="Z207" i="46"/>
  <c r="BM207" i="46"/>
  <c r="BV206" i="46"/>
  <c r="BM200" i="46"/>
  <c r="DF206" i="46"/>
  <c r="ES207" i="46"/>
  <c r="EA204" i="46"/>
  <c r="CH204" i="46"/>
  <c r="DU205" i="46"/>
  <c r="BM204" i="46"/>
  <c r="CZ205" i="46"/>
  <c r="EM206" i="46"/>
  <c r="AL205" i="46"/>
  <c r="BY206" i="46"/>
  <c r="EA207" i="46"/>
  <c r="BS207" i="46"/>
  <c r="ES204" i="46"/>
  <c r="CB207" i="46"/>
  <c r="DO204" i="46"/>
  <c r="FB205" i="46"/>
  <c r="BD206" i="46"/>
  <c r="DO207" i="46"/>
  <c r="BG207" i="46"/>
  <c r="Z206" i="46"/>
  <c r="EA205" i="46"/>
  <c r="DU200" i="46"/>
  <c r="ED206" i="46"/>
  <c r="EY204" i="46"/>
  <c r="AO206" i="46"/>
  <c r="DF204" i="46"/>
  <c r="ES205" i="46"/>
  <c r="CK204" i="46"/>
  <c r="DX205" i="46"/>
  <c r="FK206" i="46"/>
  <c r="AU204" i="46"/>
  <c r="CH205" i="46"/>
  <c r="DU206" i="46"/>
  <c r="FH207" i="46"/>
  <c r="AF206" i="46"/>
  <c r="CZ207" i="46"/>
  <c r="AX206" i="46"/>
  <c r="DI207" i="46"/>
  <c r="FK204" i="46"/>
  <c r="EM203" i="46"/>
  <c r="Z204" i="46"/>
  <c r="BM205" i="46"/>
  <c r="CZ206" i="46"/>
  <c r="EV207" i="46"/>
  <c r="CN207" i="46"/>
  <c r="AC200" i="46"/>
  <c r="BY200" i="46"/>
  <c r="DL182" i="46"/>
  <c r="EY183" i="46"/>
  <c r="W182" i="46"/>
  <c r="BJ183" i="46"/>
  <c r="CT182" i="46"/>
  <c r="EG183" i="46"/>
  <c r="EJ182" i="46"/>
  <c r="AU182" i="46"/>
  <c r="CH183" i="46"/>
  <c r="DR182" i="46"/>
  <c r="FE183" i="46"/>
  <c r="FH182" i="46"/>
  <c r="BS182" i="46"/>
  <c r="DF183" i="46"/>
  <c r="EP182" i="46"/>
  <c r="AC182" i="46"/>
  <c r="AI183" i="46"/>
  <c r="CQ182" i="46"/>
  <c r="ED183" i="46"/>
  <c r="AF182" i="46"/>
  <c r="BG183" i="46"/>
  <c r="DO182" i="46"/>
  <c r="FB183" i="46"/>
  <c r="AO183" i="46"/>
  <c r="AR182" i="46"/>
  <c r="CE183" i="46"/>
  <c r="EM182" i="46"/>
  <c r="Z182" i="46"/>
  <c r="BP182" i="46"/>
  <c r="DC183" i="46"/>
  <c r="FK182" i="46"/>
  <c r="AX182" i="46"/>
  <c r="CN182" i="46"/>
  <c r="EA183" i="46"/>
  <c r="AL183" i="46"/>
  <c r="BV182" i="46"/>
  <c r="BD182" i="46"/>
  <c r="CQ183" i="46"/>
  <c r="DF182" i="46"/>
  <c r="EG182" i="46"/>
  <c r="CT184" i="46"/>
  <c r="BA183" i="46"/>
  <c r="ES184" i="46"/>
  <c r="BD184" i="46"/>
  <c r="BY182" i="46"/>
  <c r="DC184" i="46"/>
  <c r="EY185" i="46"/>
  <c r="ED185" i="46"/>
  <c r="EM184" i="46"/>
  <c r="DI185" i="46"/>
  <c r="DC186" i="46"/>
  <c r="AL186" i="46"/>
  <c r="BS184" i="46"/>
  <c r="EP186" i="46"/>
  <c r="AC186" i="46"/>
  <c r="BM186" i="46"/>
  <c r="BG187" i="46"/>
  <c r="DI187" i="46"/>
  <c r="FH187" i="46"/>
  <c r="AF186" i="46"/>
  <c r="CZ188" i="46"/>
  <c r="DC188" i="46"/>
  <c r="DF188" i="46"/>
  <c r="DI188" i="46"/>
  <c r="AC187" i="46"/>
  <c r="FH188" i="46"/>
  <c r="AF187" i="46"/>
  <c r="FK188" i="46"/>
  <c r="AL187" i="46"/>
  <c r="CW189" i="46"/>
  <c r="EJ190" i="46"/>
  <c r="AF189" i="46"/>
  <c r="EY189" i="46"/>
  <c r="CH189" i="46"/>
  <c r="CT189" i="46"/>
  <c r="BS190" i="46"/>
  <c r="CW191" i="46"/>
  <c r="AC191" i="46"/>
  <c r="FB190" i="46"/>
  <c r="DC190" i="46"/>
  <c r="ED191" i="46"/>
  <c r="FK190" i="46"/>
  <c r="AR191" i="46"/>
  <c r="EP189" i="46"/>
  <c r="CK190" i="46"/>
  <c r="DO191" i="46"/>
  <c r="AX191" i="46"/>
  <c r="BY192" i="46"/>
  <c r="DL193" i="46"/>
  <c r="EY194" i="46"/>
  <c r="AO196" i="46"/>
  <c r="DX192" i="46"/>
  <c r="FK193" i="46"/>
  <c r="BM190" i="46"/>
  <c r="DC192" i="46"/>
  <c r="EP193" i="46"/>
  <c r="DR191" i="46"/>
  <c r="CH192" i="46"/>
  <c r="DU193" i="46"/>
  <c r="EG192" i="46"/>
  <c r="CB182" i="46"/>
  <c r="DO183" i="46"/>
  <c r="ED182" i="46"/>
  <c r="FE182" i="46"/>
  <c r="EA182" i="46"/>
  <c r="DR184" i="46"/>
  <c r="CW183" i="46"/>
  <c r="CB184" i="46"/>
  <c r="EA184" i="46"/>
  <c r="CE182" i="46"/>
  <c r="FB185" i="46"/>
  <c r="EG185" i="46"/>
  <c r="AR183" i="46"/>
  <c r="EA186" i="46"/>
  <c r="AX185" i="46"/>
  <c r="BJ186" i="46"/>
  <c r="W186" i="46"/>
  <c r="CB183" i="46"/>
  <c r="Z185" i="46"/>
  <c r="BA186" i="46"/>
  <c r="DX186" i="46"/>
  <c r="CE187" i="46"/>
  <c r="AC185" i="46"/>
  <c r="EG187" i="46"/>
  <c r="CN186" i="46"/>
  <c r="DU185" i="46"/>
  <c r="DX188" i="46"/>
  <c r="EA188" i="46"/>
  <c r="ED188" i="46"/>
  <c r="EG188" i="46"/>
  <c r="BS187" i="46"/>
  <c r="BV187" i="46"/>
  <c r="BY187" i="46"/>
  <c r="DU189" i="46"/>
  <c r="FH190" i="46"/>
  <c r="BD189" i="46"/>
  <c r="AX188" i="46"/>
  <c r="DF189" i="46"/>
  <c r="AO189" i="46"/>
  <c r="FK189" i="46"/>
  <c r="CT190" i="46"/>
  <c r="DU191" i="46"/>
  <c r="AR186" i="46"/>
  <c r="BD191" i="46"/>
  <c r="CT188" i="46"/>
  <c r="ED190" i="46"/>
  <c r="FB191" i="46"/>
  <c r="AF190" i="46"/>
  <c r="BP191" i="46"/>
  <c r="DO190" i="46"/>
  <c r="EM191" i="46"/>
  <c r="CW192" i="46"/>
  <c r="EJ193" i="46"/>
  <c r="Z195" i="46"/>
  <c r="BM196" i="46"/>
  <c r="Z189" i="46"/>
  <c r="EV192" i="46"/>
  <c r="AL194" i="46"/>
  <c r="EA192" i="46"/>
  <c r="CQ190" i="46"/>
  <c r="DF192" i="46"/>
  <c r="ES193" i="46"/>
  <c r="FE192" i="46"/>
  <c r="CZ182" i="46"/>
  <c r="EM183" i="46"/>
  <c r="FB182" i="46"/>
  <c r="AX183" i="46"/>
  <c r="EP184" i="46"/>
  <c r="ES183" i="46"/>
  <c r="BG182" i="46"/>
  <c r="CZ184" i="46"/>
  <c r="BP183" i="46"/>
  <c r="EY184" i="46"/>
  <c r="Z183" i="46"/>
  <c r="EJ183" i="46"/>
  <c r="AF185" i="46"/>
  <c r="FE185" i="46"/>
  <c r="AR185" i="46"/>
  <c r="DO184" i="46"/>
  <c r="EY186" i="46"/>
  <c r="DO185" i="46"/>
  <c r="CH186" i="46"/>
  <c r="AU186" i="46"/>
  <c r="CQ185" i="46"/>
  <c r="BY186" i="46"/>
  <c r="DC187" i="46"/>
  <c r="FE187" i="46"/>
  <c r="FK184" i="46"/>
  <c r="EV186" i="46"/>
  <c r="EV188" i="46"/>
  <c r="EY188" i="46"/>
  <c r="W187" i="46"/>
  <c r="FB188" i="46"/>
  <c r="Z187" i="46"/>
  <c r="FE188" i="46"/>
  <c r="CZ187" i="46"/>
  <c r="DF187" i="46"/>
  <c r="W188" i="46"/>
  <c r="DO187" i="46"/>
  <c r="ES189" i="46"/>
  <c r="AI191" i="46"/>
  <c r="CB189" i="46"/>
  <c r="EP188" i="46"/>
  <c r="ED189" i="46"/>
  <c r="BM189" i="46"/>
  <c r="DU190" i="46"/>
  <c r="ES191" i="46"/>
  <c r="AU189" i="46"/>
  <c r="AU190" i="46"/>
  <c r="CB191" i="46"/>
  <c r="AF191" i="46"/>
  <c r="FE190" i="46"/>
  <c r="AO191" i="46"/>
  <c r="BV189" i="46"/>
  <c r="BG190" i="46"/>
  <c r="CN191" i="46"/>
  <c r="EP190" i="46"/>
  <c r="FK191" i="46"/>
  <c r="DU192" i="46"/>
  <c r="FH193" i="46"/>
  <c r="AX195" i="46"/>
  <c r="CK196" i="46"/>
  <c r="W193" i="46"/>
  <c r="BJ194" i="46"/>
  <c r="CQ189" i="46"/>
  <c r="EY192" i="46"/>
  <c r="AO194" i="46"/>
  <c r="ED192" i="46"/>
  <c r="AF193" i="46"/>
  <c r="DX182" i="46"/>
  <c r="FK183" i="46"/>
  <c r="CT183" i="46"/>
  <c r="AC184" i="46"/>
  <c r="EY182" i="46"/>
  <c r="DX184" i="46"/>
  <c r="DL183" i="46"/>
  <c r="BV183" i="46"/>
  <c r="CW182" i="46"/>
  <c r="AL184" i="46"/>
  <c r="BD185" i="46"/>
  <c r="AI185" i="46"/>
  <c r="BJ184" i="46"/>
  <c r="BP185" i="46"/>
  <c r="DF186" i="46"/>
  <c r="BA185" i="46"/>
  <c r="BV185" i="46"/>
  <c r="BS186" i="46"/>
  <c r="Z186" i="46"/>
  <c r="ES185" i="46"/>
  <c r="CW186" i="46"/>
  <c r="EA187" i="46"/>
  <c r="AR187" i="46"/>
  <c r="BD186" i="46"/>
  <c r="AX187" i="46"/>
  <c r="DI186" i="46"/>
  <c r="BA187" i="46"/>
  <c r="DL186" i="46"/>
  <c r="BD187" i="46"/>
  <c r="FH186" i="46"/>
  <c r="BJ187" i="46"/>
  <c r="EP187" i="46"/>
  <c r="AR188" i="46"/>
  <c r="ES187" i="46"/>
  <c r="AU188" i="46"/>
  <c r="EV187" i="46"/>
  <c r="Z188" i="46"/>
  <c r="CZ189" i="46"/>
  <c r="AI189" i="46"/>
  <c r="FB189" i="46"/>
  <c r="CK189" i="46"/>
  <c r="EV190" i="46"/>
  <c r="DL189" i="46"/>
  <c r="BV190" i="46"/>
  <c r="CZ191" i="46"/>
  <c r="W190" i="46"/>
  <c r="BG191" i="46"/>
  <c r="AC190" i="46"/>
  <c r="BM191" i="46"/>
  <c r="EM189" i="46"/>
  <c r="CH190" i="46"/>
  <c r="DL191" i="46"/>
  <c r="ES192" i="46"/>
  <c r="AI194" i="46"/>
  <c r="BV195" i="46"/>
  <c r="DI196" i="46"/>
  <c r="AU193" i="46"/>
  <c r="CH194" i="46"/>
  <c r="Z193" i="46"/>
  <c r="BM194" i="46"/>
  <c r="FH189" i="46"/>
  <c r="FB192" i="46"/>
  <c r="BD193" i="46"/>
  <c r="EV182" i="46"/>
  <c r="AI182" i="46"/>
  <c r="AO182" i="46"/>
  <c r="EP183" i="46"/>
  <c r="BA184" i="46"/>
  <c r="BD183" i="46"/>
  <c r="EV184" i="46"/>
  <c r="FH183" i="46"/>
  <c r="DR183" i="46"/>
  <c r="AC183" i="46"/>
  <c r="CH184" i="46"/>
  <c r="CB185" i="46"/>
  <c r="AO184" i="46"/>
  <c r="BG185" i="46"/>
  <c r="AL185" i="46"/>
  <c r="AF183" i="46"/>
  <c r="DF184" i="46"/>
  <c r="CN185" i="46"/>
  <c r="ED186" i="46"/>
  <c r="DR185" i="46"/>
  <c r="EM185" i="46"/>
  <c r="CQ186" i="46"/>
  <c r="W185" i="46"/>
  <c r="AX186" i="46"/>
  <c r="DU186" i="46"/>
  <c r="EY187" i="46"/>
  <c r="BM184" i="46"/>
  <c r="DL184" i="46"/>
  <c r="CK186" i="46"/>
  <c r="BP187" i="46"/>
  <c r="CT185" i="46"/>
  <c r="CH187" i="46"/>
  <c r="CQ187" i="46"/>
  <c r="CT187" i="46"/>
  <c r="CW187" i="46"/>
  <c r="BP188" i="46"/>
  <c r="BS188" i="46"/>
  <c r="FB187" i="46"/>
  <c r="DR188" i="46"/>
  <c r="AR190" i="46"/>
  <c r="DX189" i="46"/>
  <c r="BG189" i="46"/>
  <c r="BA188" i="46"/>
  <c r="DI189" i="46"/>
  <c r="CW190" i="46"/>
  <c r="DX191" i="46"/>
  <c r="AU187" i="46"/>
  <c r="AX189" i="46"/>
  <c r="AX190" i="46"/>
  <c r="CE191" i="46"/>
  <c r="AL191" i="46"/>
  <c r="DR187" i="46"/>
  <c r="BS189" i="46"/>
  <c r="BD190" i="46"/>
  <c r="CK191" i="46"/>
  <c r="DI190" i="46"/>
  <c r="EJ191" i="46"/>
  <c r="BG194" i="46"/>
  <c r="CT195" i="46"/>
  <c r="EG196" i="46"/>
  <c r="AF192" i="46"/>
  <c r="BS193" i="46"/>
  <c r="DF194" i="46"/>
  <c r="AX193" i="46"/>
  <c r="CK194" i="46"/>
  <c r="AC193" i="46"/>
  <c r="AO192" i="46"/>
  <c r="CB193" i="46"/>
  <c r="BM183" i="46"/>
  <c r="W183" i="46"/>
  <c r="AL182" i="46"/>
  <c r="BM182" i="46"/>
  <c r="Z184" i="46"/>
  <c r="BY184" i="46"/>
  <c r="CZ183" i="46"/>
  <c r="AI184" i="46"/>
  <c r="BY183" i="46"/>
  <c r="ED184" i="46"/>
  <c r="CZ185" i="46"/>
  <c r="CK184" i="46"/>
  <c r="CE185" i="46"/>
  <c r="AR184" i="46"/>
  <c r="BJ185" i="46"/>
  <c r="AO185" i="46"/>
  <c r="FB184" i="46"/>
  <c r="DL185" i="46"/>
  <c r="AI186" i="46"/>
  <c r="FE184" i="46"/>
  <c r="FB186" i="46"/>
  <c r="DO186" i="46"/>
  <c r="BY185" i="46"/>
  <c r="BV186" i="46"/>
  <c r="DI184" i="46"/>
  <c r="AO187" i="46"/>
  <c r="ES186" i="46"/>
  <c r="CN187" i="46"/>
  <c r="DX183" i="46"/>
  <c r="AO186" i="46"/>
  <c r="DU187" i="46"/>
  <c r="AF188" i="46"/>
  <c r="DX187" i="46"/>
  <c r="AI188" i="46"/>
  <c r="ED187" i="46"/>
  <c r="AL188" i="46"/>
  <c r="EM187" i="46"/>
  <c r="AO188" i="46"/>
  <c r="CN188" i="46"/>
  <c r="CQ188" i="46"/>
  <c r="AC189" i="46"/>
  <c r="BP190" i="46"/>
  <c r="EV189" i="46"/>
  <c r="CE189" i="46"/>
  <c r="ES188" i="46"/>
  <c r="EG189" i="46"/>
  <c r="Z191" i="46"/>
  <c r="DX190" i="46"/>
  <c r="EV191" i="46"/>
  <c r="DO189" i="46"/>
  <c r="BY190" i="46"/>
  <c r="DC191" i="46"/>
  <c r="Z190" i="46"/>
  <c r="BJ191" i="46"/>
  <c r="EJ189" i="46"/>
  <c r="CE190" i="46"/>
  <c r="DI191" i="46"/>
  <c r="EM190" i="46"/>
  <c r="FH191" i="46"/>
  <c r="AU191" i="46"/>
  <c r="AR193" i="46"/>
  <c r="CE194" i="46"/>
  <c r="DR195" i="46"/>
  <c r="FE196" i="46"/>
  <c r="BD192" i="46"/>
  <c r="CQ193" i="46"/>
  <c r="ED194" i="46"/>
  <c r="AI192" i="46"/>
  <c r="BV193" i="46"/>
  <c r="DI194" i="46"/>
  <c r="BA193" i="46"/>
  <c r="BM192" i="46"/>
  <c r="CZ193" i="46"/>
  <c r="CK183" i="46"/>
  <c r="AU183" i="46"/>
  <c r="BJ182" i="46"/>
  <c r="CK182" i="46"/>
  <c r="AX184" i="46"/>
  <c r="BA182" i="46"/>
  <c r="CW184" i="46"/>
  <c r="EV183" i="46"/>
  <c r="BG184" i="46"/>
  <c r="DU183" i="46"/>
  <c r="DX185" i="46"/>
  <c r="DC182" i="46"/>
  <c r="EG184" i="46"/>
  <c r="DC185" i="46"/>
  <c r="CN184" i="46"/>
  <c r="CH185" i="46"/>
  <c r="AU184" i="46"/>
  <c r="BM185" i="46"/>
  <c r="EJ185" i="46"/>
  <c r="AU185" i="46"/>
  <c r="BG186" i="46"/>
  <c r="W184" i="46"/>
  <c r="BP184" i="46"/>
  <c r="EM186" i="46"/>
  <c r="EP185" i="46"/>
  <c r="CT186" i="46"/>
  <c r="CN183" i="46"/>
  <c r="BP186" i="46"/>
  <c r="CB186" i="46"/>
  <c r="BM187" i="46"/>
  <c r="DL187" i="46"/>
  <c r="CZ186" i="46"/>
  <c r="FK187" i="46"/>
  <c r="BD188" i="46"/>
  <c r="BG188" i="46"/>
  <c r="BJ188" i="46"/>
  <c r="BM188" i="46"/>
  <c r="DL188" i="46"/>
  <c r="DO188" i="46"/>
  <c r="BA189" i="46"/>
  <c r="CN190" i="46"/>
  <c r="AC188" i="46"/>
  <c r="FK185" i="46"/>
  <c r="DC189" i="46"/>
  <c r="AL189" i="46"/>
  <c r="FE189" i="46"/>
  <c r="BA191" i="46"/>
  <c r="EY190" i="46"/>
  <c r="CZ190" i="46"/>
  <c r="EA191" i="46"/>
  <c r="CB187" i="46"/>
  <c r="BP189" i="46"/>
  <c r="BA190" i="46"/>
  <c r="CH191" i="46"/>
  <c r="DF190" i="46"/>
  <c r="EG191" i="46"/>
  <c r="W189" i="46"/>
  <c r="AI190" i="46"/>
  <c r="BS191" i="46"/>
  <c r="AC192" i="46"/>
  <c r="BP193" i="46"/>
  <c r="DC194" i="46"/>
  <c r="EP195" i="46"/>
  <c r="BV191" i="46"/>
  <c r="CB192" i="46"/>
  <c r="DO193" i="46"/>
  <c r="FB194" i="46"/>
  <c r="BG192" i="46"/>
  <c r="CT193" i="46"/>
  <c r="EG194" i="46"/>
  <c r="AL192" i="46"/>
  <c r="BY193" i="46"/>
  <c r="EP191" i="46"/>
  <c r="CK192" i="46"/>
  <c r="DX193" i="46"/>
  <c r="DI183" i="46"/>
  <c r="BS183" i="46"/>
  <c r="CH182" i="46"/>
  <c r="DI182" i="46"/>
  <c r="BV184" i="46"/>
  <c r="ES182" i="46"/>
  <c r="DU184" i="46"/>
  <c r="AF184" i="46"/>
  <c r="CE184" i="46"/>
  <c r="EV185" i="46"/>
  <c r="EA185" i="46"/>
  <c r="DU182" i="46"/>
  <c r="EJ184" i="46"/>
  <c r="DF185" i="46"/>
  <c r="CQ184" i="46"/>
  <c r="CK185" i="46"/>
  <c r="FH185" i="46"/>
  <c r="CW185" i="46"/>
  <c r="CE186" i="46"/>
  <c r="FH184" i="46"/>
  <c r="FK186" i="46"/>
  <c r="DR186" i="46"/>
  <c r="AI187" i="46"/>
  <c r="EG186" i="46"/>
  <c r="EJ186" i="46"/>
  <c r="CK187" i="46"/>
  <c r="BS185" i="46"/>
  <c r="EJ187" i="46"/>
  <c r="FE186" i="46"/>
  <c r="CB188" i="46"/>
  <c r="CE188" i="46"/>
  <c r="CH188" i="46"/>
  <c r="CK188" i="46"/>
  <c r="EJ188" i="46"/>
  <c r="EM188" i="46"/>
  <c r="BY189" i="46"/>
  <c r="DL190" i="46"/>
  <c r="DU188" i="46"/>
  <c r="EA189" i="46"/>
  <c r="BJ189" i="46"/>
  <c r="BV188" i="46"/>
  <c r="AR189" i="46"/>
  <c r="AO190" i="46"/>
  <c r="BY191" i="46"/>
  <c r="BY188" i="46"/>
  <c r="EA190" i="46"/>
  <c r="EY191" i="46"/>
  <c r="DR189" i="46"/>
  <c r="CB190" i="46"/>
  <c r="DF191" i="46"/>
  <c r="CW188" i="46"/>
  <c r="EG190" i="46"/>
  <c r="FE191" i="46"/>
  <c r="CN189" i="46"/>
  <c r="BJ190" i="46"/>
  <c r="CQ191" i="46"/>
  <c r="BA192" i="46"/>
  <c r="CN193" i="46"/>
  <c r="EA194" i="46"/>
  <c r="AL190" i="46"/>
  <c r="CZ192" i="46"/>
  <c r="EM193" i="46"/>
  <c r="CT191" i="46"/>
  <c r="CE192" i="46"/>
  <c r="DR193" i="46"/>
  <c r="FE194" i="46"/>
  <c r="BJ192" i="46"/>
  <c r="CW193" i="46"/>
  <c r="DR190" i="46"/>
  <c r="DI192" i="46"/>
  <c r="BS195" i="46"/>
  <c r="DF196" i="46"/>
  <c r="FK194" i="46"/>
  <c r="AU195" i="46"/>
  <c r="CH196" i="46"/>
  <c r="BA194" i="46"/>
  <c r="AL193" i="46"/>
  <c r="DF195" i="46"/>
  <c r="BG195" i="46"/>
  <c r="CZ194" i="46"/>
  <c r="DL194" i="46"/>
  <c r="Z196" i="46"/>
  <c r="EM197" i="46"/>
  <c r="BY196" i="46"/>
  <c r="EV195" i="46"/>
  <c r="DX196" i="46"/>
  <c r="AR194" i="46"/>
  <c r="AF197" i="46"/>
  <c r="CE197" i="46"/>
  <c r="ED197" i="46"/>
  <c r="AO195" i="46"/>
  <c r="CZ196" i="46"/>
  <c r="CN197" i="46"/>
  <c r="CW195" i="46"/>
  <c r="EJ196" i="46"/>
  <c r="BY195" i="46"/>
  <c r="DL196" i="46"/>
  <c r="CQ194" i="46"/>
  <c r="AI196" i="46"/>
  <c r="BP192" i="46"/>
  <c r="DC193" i="46"/>
  <c r="EG195" i="46"/>
  <c r="CH195" i="46"/>
  <c r="W191" i="46"/>
  <c r="EP194" i="46"/>
  <c r="AI195" i="46"/>
  <c r="ES194" i="46"/>
  <c r="AL195" i="46"/>
  <c r="BV196" i="46"/>
  <c r="FK197" i="46"/>
  <c r="DU195" i="46"/>
  <c r="DU196" i="46"/>
  <c r="AC197" i="46"/>
  <c r="BD197" i="46"/>
  <c r="DC197" i="46"/>
  <c r="BA196" i="46"/>
  <c r="FB197" i="46"/>
  <c r="EV196" i="46"/>
  <c r="DL197" i="46"/>
  <c r="EV193" i="46"/>
  <c r="CE193" i="46"/>
  <c r="DX195" i="46"/>
  <c r="FK196" i="46"/>
  <c r="CZ195" i="46"/>
  <c r="EM196" i="46"/>
  <c r="DX194" i="46"/>
  <c r="W195" i="46"/>
  <c r="BJ196" i="46"/>
  <c r="DR192" i="46"/>
  <c r="FE193" i="46"/>
  <c r="W194" i="46"/>
  <c r="FH195" i="46"/>
  <c r="AO193" i="46"/>
  <c r="DI195" i="46"/>
  <c r="BJ195" i="46"/>
  <c r="BM195" i="46"/>
  <c r="CQ195" i="46"/>
  <c r="DR196" i="46"/>
  <c r="FH196" i="46"/>
  <c r="Z197" i="46"/>
  <c r="BA197" i="46"/>
  <c r="FH192" i="46"/>
  <c r="CB197" i="46"/>
  <c r="EA197" i="46"/>
  <c r="CW196" i="46"/>
  <c r="EV194" i="46"/>
  <c r="AO197" i="46"/>
  <c r="BP195" i="46"/>
  <c r="CQ192" i="46"/>
  <c r="AX196" i="46"/>
  <c r="ES196" i="46"/>
  <c r="BM197" i="46"/>
  <c r="EY196" i="46"/>
  <c r="AR197" i="46"/>
  <c r="EJ197" i="46"/>
  <c r="W196" i="46"/>
  <c r="DU194" i="46"/>
  <c r="BG196" i="46"/>
  <c r="DO192" i="46"/>
  <c r="EM194" i="46"/>
  <c r="AF195" i="46"/>
  <c r="BM193" i="46"/>
  <c r="AL196" i="46"/>
  <c r="CB196" i="46"/>
  <c r="BG197" i="46"/>
  <c r="DF197" i="46"/>
  <c r="BP196" i="46"/>
  <c r="FE197" i="46"/>
  <c r="EG193" i="46"/>
  <c r="EY195" i="46"/>
  <c r="AU192" i="46"/>
  <c r="CH193" i="46"/>
  <c r="EA195" i="46"/>
  <c r="BA195" i="46"/>
  <c r="CN196" i="46"/>
  <c r="BD194" i="46"/>
  <c r="BS192" i="46"/>
  <c r="DF193" i="46"/>
  <c r="EJ195" i="46"/>
  <c r="CK195" i="46"/>
  <c r="CN195" i="46"/>
  <c r="FB196" i="46"/>
  <c r="W197" i="46"/>
  <c r="AX197" i="46"/>
  <c r="BY197" i="46"/>
  <c r="CZ197" i="46"/>
  <c r="EY197" i="46"/>
  <c r="CT196" i="46"/>
  <c r="AL197" i="46"/>
  <c r="BP197" i="46"/>
  <c r="FH197" i="46"/>
  <c r="BS196" i="46"/>
  <c r="FE195" i="46"/>
  <c r="CE195" i="46"/>
  <c r="DO197" i="46"/>
  <c r="AR192" i="46"/>
  <c r="AU194" i="46"/>
  <c r="DL192" i="46"/>
  <c r="EY193" i="46"/>
  <c r="FB195" i="46"/>
  <c r="CB195" i="46"/>
  <c r="DO196" i="46"/>
  <c r="CT194" i="46"/>
  <c r="EJ192" i="46"/>
  <c r="Z194" i="46"/>
  <c r="FK195" i="46"/>
  <c r="BG193" i="46"/>
  <c r="DL195" i="46"/>
  <c r="W192" i="46"/>
  <c r="BJ193" i="46"/>
  <c r="DO195" i="46"/>
  <c r="AU197" i="46"/>
  <c r="Z192" i="46"/>
  <c r="BV197" i="46"/>
  <c r="CW197" i="46"/>
  <c r="DX197" i="46"/>
  <c r="DO194" i="46"/>
  <c r="CK197" i="46"/>
  <c r="CE196" i="46"/>
  <c r="FB193" i="46"/>
  <c r="EP197" i="46"/>
  <c r="CT192" i="46"/>
  <c r="CB194" i="46"/>
  <c r="AC196" i="46"/>
  <c r="ES190" i="46"/>
  <c r="AX194" i="46"/>
  <c r="AI193" i="46"/>
  <c r="DC195" i="46"/>
  <c r="EP196" i="46"/>
  <c r="EJ194" i="46"/>
  <c r="AC195" i="46"/>
  <c r="BP194" i="46"/>
  <c r="BV192" i="46"/>
  <c r="DI193" i="46"/>
  <c r="EM195" i="46"/>
  <c r="CN192" i="46"/>
  <c r="EA193" i="46"/>
  <c r="ES195" i="46"/>
  <c r="BS197" i="46"/>
  <c r="CT197" i="46"/>
  <c r="DU197" i="46"/>
  <c r="AU196" i="46"/>
  <c r="EV197" i="46"/>
  <c r="ED196" i="46"/>
  <c r="BJ197" i="46"/>
  <c r="DI197" i="46"/>
  <c r="FH194" i="46"/>
  <c r="BS194" i="46"/>
  <c r="BV194" i="46"/>
  <c r="DC196" i="46"/>
  <c r="FK192" i="46"/>
  <c r="DR194" i="46"/>
  <c r="BD196" i="46"/>
  <c r="CN194" i="46"/>
  <c r="AF196" i="46"/>
  <c r="AX192" i="46"/>
  <c r="CK193" i="46"/>
  <c r="ED195" i="46"/>
  <c r="BD195" i="46"/>
  <c r="CW194" i="46"/>
  <c r="EM192" i="46"/>
  <c r="AC194" i="46"/>
  <c r="EP192" i="46"/>
  <c r="AF194" i="46"/>
  <c r="CQ197" i="46"/>
  <c r="DR197" i="46"/>
  <c r="ED193" i="46"/>
  <c r="AR196" i="46"/>
  <c r="ES197" i="46"/>
  <c r="CQ196" i="46"/>
  <c r="BY194" i="46"/>
  <c r="AI197" i="46"/>
  <c r="CH197" i="46"/>
  <c r="EG197" i="46"/>
  <c r="AR195" i="46"/>
  <c r="EA196"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Z198" i="46" l="1"/>
  <c r="CH198" i="46"/>
  <c r="DX198" i="46"/>
  <c r="EV198" i="46"/>
  <c r="FE208" i="46"/>
  <c r="AI198" i="46"/>
  <c r="CK208" i="46"/>
  <c r="ES208" i="46"/>
  <c r="EG208" i="46"/>
  <c r="AL198" i="46"/>
  <c r="BY208" i="46"/>
  <c r="DF198" i="46"/>
  <c r="AF198" i="46"/>
  <c r="AO198" i="46"/>
  <c r="AX198" i="46"/>
  <c r="AC198" i="46"/>
  <c r="DI208" i="46"/>
  <c r="EA198" i="46"/>
  <c r="BA198" i="46"/>
  <c r="BM208" i="46"/>
  <c r="BA208" i="46"/>
  <c r="AO208" i="46"/>
  <c r="CW208" i="46"/>
  <c r="CT208" i="46"/>
  <c r="BS208" i="46"/>
  <c r="EP208" i="46"/>
  <c r="EY198" i="46"/>
  <c r="CK198" i="46"/>
  <c r="CN198" i="46"/>
  <c r="FK198" i="46"/>
  <c r="AR198" i="46"/>
  <c r="EP198" i="46"/>
  <c r="DR198" i="46"/>
  <c r="CT198" i="46"/>
  <c r="DU208" i="46"/>
  <c r="EA208" i="46"/>
  <c r="AF208" i="46"/>
  <c r="ED208" i="46"/>
  <c r="DF208" i="46"/>
  <c r="CH208" i="46"/>
  <c r="BJ208" i="46"/>
  <c r="AL208" i="46"/>
  <c r="BG198" i="46"/>
  <c r="CB198" i="46"/>
  <c r="FB198" i="46"/>
  <c r="Z208" i="46"/>
  <c r="DO208" i="46"/>
  <c r="DC208" i="46"/>
  <c r="FH208" i="46"/>
  <c r="CB208" i="46"/>
  <c r="DL208" i="46"/>
  <c r="FK208" i="46"/>
  <c r="BP208" i="46"/>
  <c r="EM208" i="46"/>
  <c r="ED198" i="46"/>
  <c r="CW198" i="46"/>
  <c r="FE198" i="46"/>
  <c r="EG198" i="46"/>
  <c r="AC208" i="46"/>
  <c r="BV208" i="46"/>
  <c r="AI208" i="46"/>
  <c r="CN208" i="46"/>
  <c r="AU208" i="46"/>
  <c r="W208" i="46"/>
  <c r="BJ198" i="46"/>
  <c r="DC198" i="46"/>
  <c r="BM198" i="46"/>
  <c r="BV198" i="46"/>
  <c r="BP198" i="46"/>
  <c r="Z198" i="46"/>
  <c r="DO198" i="46"/>
  <c r="CQ198" i="46"/>
  <c r="BS198" i="46"/>
  <c r="AU198" i="46"/>
  <c r="W198" i="46"/>
  <c r="DR208" i="46"/>
  <c r="EY208" i="46"/>
  <c r="CE208" i="46"/>
  <c r="BG208" i="46"/>
  <c r="CE198" i="46"/>
  <c r="DU198" i="46"/>
  <c r="ES198" i="46"/>
  <c r="BY198" i="46"/>
  <c r="CQ208" i="46"/>
  <c r="BD198" i="46"/>
  <c r="DI198" i="46"/>
  <c r="EM198" i="46"/>
  <c r="FH198" i="46"/>
  <c r="EJ198" i="46"/>
  <c r="DL198" i="46"/>
  <c r="BD208" i="46"/>
  <c r="AR208" i="46"/>
  <c r="FB208" i="46"/>
  <c r="AX208" i="46"/>
  <c r="EV208" i="46"/>
  <c r="EJ208" i="46"/>
  <c r="DX208" i="46"/>
  <c r="CZ208" i="46"/>
  <c r="AP35" i="51"/>
  <c r="T208" i="46"/>
  <c r="G24" i="48"/>
  <c r="G9" i="48"/>
  <c r="G28" i="48"/>
  <c r="G26" i="48"/>
  <c r="G16" i="48"/>
  <c r="G25" i="48"/>
  <c r="G18" i="48"/>
  <c r="G11" i="48"/>
  <c r="G27" i="48"/>
  <c r="G12" i="48"/>
  <c r="G20" i="48"/>
  <c r="G19" i="48"/>
  <c r="G17" i="48"/>
  <c r="G14" i="48"/>
  <c r="G13" i="48"/>
  <c r="G15" i="48"/>
  <c r="G21" i="48"/>
  <c r="G22" i="48"/>
  <c r="G10" i="48"/>
  <c r="G23"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ED220" i="46"/>
  <c r="AR221" i="46"/>
  <c r="BP221" i="46"/>
  <c r="CN221" i="46"/>
  <c r="DL221" i="46"/>
  <c r="EJ221" i="46"/>
  <c r="FH221" i="46"/>
  <c r="AI222" i="46"/>
  <c r="BG222" i="46"/>
  <c r="CE222" i="46"/>
  <c r="DC222" i="46"/>
  <c r="EA222" i="46"/>
  <c r="EY222" i="46"/>
  <c r="Z223" i="46"/>
  <c r="AX223" i="46"/>
  <c r="BV223" i="46"/>
  <c r="CT223" i="46"/>
  <c r="DR223" i="46"/>
  <c r="EP223" i="46"/>
  <c r="CT220" i="46"/>
  <c r="W221" i="46"/>
  <c r="AU221" i="46"/>
  <c r="BS221" i="46"/>
  <c r="CQ221" i="46"/>
  <c r="DO221" i="46"/>
  <c r="EM221" i="46"/>
  <c r="FK221" i="46"/>
  <c r="AL222" i="46"/>
  <c r="BJ222" i="46"/>
  <c r="CH222" i="46"/>
  <c r="DF222" i="46"/>
  <c r="ED222" i="46"/>
  <c r="FB222" i="46"/>
  <c r="AC223" i="46"/>
  <c r="BA223" i="46"/>
  <c r="BY223" i="46"/>
  <c r="CW223" i="46"/>
  <c r="DU223" i="46"/>
  <c r="ES223" i="46"/>
  <c r="BJ220" i="46"/>
  <c r="FB220" i="46"/>
  <c r="Z221" i="46"/>
  <c r="AX221" i="46"/>
  <c r="BV221" i="46"/>
  <c r="CT221" i="46"/>
  <c r="DR221" i="46"/>
  <c r="EP221" i="46"/>
  <c r="AO222" i="46"/>
  <c r="BM222" i="46"/>
  <c r="CK222" i="46"/>
  <c r="DI222" i="46"/>
  <c r="EG222" i="46"/>
  <c r="FE222" i="46"/>
  <c r="AF223" i="46"/>
  <c r="BD223" i="46"/>
  <c r="CB223" i="46"/>
  <c r="CZ223" i="46"/>
  <c r="DX223" i="46"/>
  <c r="EV223" i="46"/>
  <c r="Z220" i="46"/>
  <c r="DR220" i="46"/>
  <c r="AC221" i="46"/>
  <c r="BA221" i="46"/>
  <c r="BY221" i="46"/>
  <c r="CW221" i="46"/>
  <c r="DU221" i="46"/>
  <c r="ES221" i="46"/>
  <c r="AR222" i="46"/>
  <c r="BP222" i="46"/>
  <c r="CN222" i="46"/>
  <c r="DL222" i="46"/>
  <c r="EJ222" i="46"/>
  <c r="FH222" i="46"/>
  <c r="AI223" i="46"/>
  <c r="BG223" i="46"/>
  <c r="CE223" i="46"/>
  <c r="DC223" i="46"/>
  <c r="EA223" i="46"/>
  <c r="EY223" i="46"/>
  <c r="CH220" i="46"/>
  <c r="AF221" i="46"/>
  <c r="BD221" i="46"/>
  <c r="CB221" i="46"/>
  <c r="CZ221" i="46"/>
  <c r="DX221" i="46"/>
  <c r="EV221" i="46"/>
  <c r="W222" i="46"/>
  <c r="AU222" i="46"/>
  <c r="BS222" i="46"/>
  <c r="CQ222" i="46"/>
  <c r="DO222" i="46"/>
  <c r="EM222" i="46"/>
  <c r="FK222" i="46"/>
  <c r="AL223" i="46"/>
  <c r="BJ223" i="46"/>
  <c r="CH223" i="46"/>
  <c r="DF223" i="46"/>
  <c r="ED223" i="46"/>
  <c r="FB223" i="46"/>
  <c r="AX220" i="46"/>
  <c r="EP220" i="46"/>
  <c r="AI221" i="46"/>
  <c r="BG221" i="46"/>
  <c r="CE221" i="46"/>
  <c r="DC221" i="46"/>
  <c r="EA221" i="46"/>
  <c r="EY221" i="46"/>
  <c r="Z222" i="46"/>
  <c r="AX222" i="46"/>
  <c r="BV222" i="46"/>
  <c r="CT222" i="46"/>
  <c r="DR222" i="46"/>
  <c r="EP222" i="46"/>
  <c r="AO223" i="46"/>
  <c r="BM223" i="46"/>
  <c r="CK223" i="46"/>
  <c r="DI223" i="46"/>
  <c r="EG223" i="46"/>
  <c r="FE223" i="46"/>
  <c r="BJ221" i="46"/>
  <c r="FB221" i="46"/>
  <c r="CW222" i="46"/>
  <c r="AR223" i="46"/>
  <c r="EJ223" i="46"/>
  <c r="BM221" i="46"/>
  <c r="FE221" i="46"/>
  <c r="CZ222" i="46"/>
  <c r="AU223" i="46"/>
  <c r="EM223" i="46"/>
  <c r="CH221" i="46"/>
  <c r="AC222" i="46"/>
  <c r="DU222" i="46"/>
  <c r="BP223" i="46"/>
  <c r="FH223" i="46"/>
  <c r="DF220" i="46"/>
  <c r="CK221" i="46"/>
  <c r="AF222" i="46"/>
  <c r="DX222" i="46"/>
  <c r="BS223" i="46"/>
  <c r="FK223" i="46"/>
  <c r="DF221" i="46"/>
  <c r="BA222" i="46"/>
  <c r="ES222" i="46"/>
  <c r="CN223" i="46"/>
  <c r="DI221" i="46"/>
  <c r="BD222" i="46"/>
  <c r="EV222" i="46"/>
  <c r="CQ223" i="46"/>
  <c r="BV220" i="46"/>
  <c r="AL221" i="46"/>
  <c r="ED221" i="46"/>
  <c r="BY222" i="46"/>
  <c r="DL223" i="46"/>
  <c r="AO221" i="46"/>
  <c r="CB222" i="46"/>
  <c r="DO223" i="46"/>
  <c r="EG221" i="46"/>
  <c r="W223" i="46"/>
  <c r="CK220" i="46"/>
  <c r="BP220" i="46"/>
  <c r="AU220" i="46"/>
  <c r="CB220" i="46"/>
  <c r="AR220" i="46"/>
  <c r="BA220" i="46"/>
  <c r="BM220" i="46"/>
  <c r="BS220" i="46"/>
  <c r="AC220" i="46"/>
  <c r="EM220" i="46"/>
  <c r="CQ220" i="46"/>
  <c r="EA220" i="46"/>
  <c r="FK220" i="46"/>
  <c r="CZ220" i="46"/>
  <c r="DX220" i="46"/>
  <c r="DC220" i="46"/>
  <c r="ES220" i="46"/>
  <c r="AF220" i="46"/>
  <c r="CE220" i="46"/>
  <c r="DU220" i="46"/>
  <c r="DI220" i="46"/>
  <c r="EV220" i="46"/>
  <c r="AI220" i="46"/>
  <c r="EJ220" i="46"/>
  <c r="EG220" i="46"/>
  <c r="EY220" i="46"/>
  <c r="FH220" i="46"/>
  <c r="BY220" i="46"/>
  <c r="AO220" i="46"/>
  <c r="BG220" i="46"/>
  <c r="BD220" i="46"/>
  <c r="CN220" i="46"/>
  <c r="FE220" i="46"/>
  <c r="CW220" i="46"/>
  <c r="DO220" i="46"/>
  <c r="DL220" i="46"/>
  <c r="W220" i="46"/>
  <c r="AR210" i="46"/>
  <c r="BP210" i="46"/>
  <c r="CN210" i="46"/>
  <c r="DL210" i="46"/>
  <c r="EJ210" i="46"/>
  <c r="FH210" i="46"/>
  <c r="AI211" i="46"/>
  <c r="BG211" i="46"/>
  <c r="CE211" i="46"/>
  <c r="DC211" i="46"/>
  <c r="EA211" i="46"/>
  <c r="EY211" i="46"/>
  <c r="AC210" i="46"/>
  <c r="BA210" i="46"/>
  <c r="BY210" i="46"/>
  <c r="CW210" i="46"/>
  <c r="DU210" i="46"/>
  <c r="ES210" i="46"/>
  <c r="AX210" i="46"/>
  <c r="CE210" i="46"/>
  <c r="DI210" i="46"/>
  <c r="EP210" i="46"/>
  <c r="W211" i="46"/>
  <c r="AX211" i="46"/>
  <c r="BY211" i="46"/>
  <c r="CZ211" i="46"/>
  <c r="ED211" i="46"/>
  <c r="FE211" i="46"/>
  <c r="AL212" i="46"/>
  <c r="BJ212" i="46"/>
  <c r="CH212" i="46"/>
  <c r="DF212" i="46"/>
  <c r="ED212" i="46"/>
  <c r="FB212" i="46"/>
  <c r="W210" i="46"/>
  <c r="BD210" i="46"/>
  <c r="CH210" i="46"/>
  <c r="DO210" i="46"/>
  <c r="EV210" i="46"/>
  <c r="Z211" i="46"/>
  <c r="BA211" i="46"/>
  <c r="CB211" i="46"/>
  <c r="DF211" i="46"/>
  <c r="EG211" i="46"/>
  <c r="FH211" i="46"/>
  <c r="AO212" i="46"/>
  <c r="BM212" i="46"/>
  <c r="CK212" i="46"/>
  <c r="DI212" i="46"/>
  <c r="EG212" i="46"/>
  <c r="FE212" i="46"/>
  <c r="Z210" i="46"/>
  <c r="BG210" i="46"/>
  <c r="CK210" i="46"/>
  <c r="DR210" i="46"/>
  <c r="EY210" i="46"/>
  <c r="AC211" i="46"/>
  <c r="BD211" i="46"/>
  <c r="CH211" i="46"/>
  <c r="DI211" i="46"/>
  <c r="EJ211" i="46"/>
  <c r="FK211" i="46"/>
  <c r="AR212" i="46"/>
  <c r="BP212" i="46"/>
  <c r="CN212" i="46"/>
  <c r="DL212" i="46"/>
  <c r="EJ212" i="46"/>
  <c r="FH212" i="46"/>
  <c r="AF210" i="46"/>
  <c r="BJ210" i="46"/>
  <c r="CQ210" i="46"/>
  <c r="DX210" i="46"/>
  <c r="FB210" i="46"/>
  <c r="AF211" i="46"/>
  <c r="BJ211" i="46"/>
  <c r="CK211" i="46"/>
  <c r="DL211" i="46"/>
  <c r="EM211" i="46"/>
  <c r="W212" i="46"/>
  <c r="AU212" i="46"/>
  <c r="BS212" i="46"/>
  <c r="CQ212" i="46"/>
  <c r="DO212" i="46"/>
  <c r="EM212" i="46"/>
  <c r="FK212" i="46"/>
  <c r="AI210" i="46"/>
  <c r="BM210" i="46"/>
  <c r="CT210" i="46"/>
  <c r="EA210" i="46"/>
  <c r="FE210" i="46"/>
  <c r="AL211" i="46"/>
  <c r="BM211" i="46"/>
  <c r="CN211" i="46"/>
  <c r="DO211" i="46"/>
  <c r="EP211" i="46"/>
  <c r="Z212" i="46"/>
  <c r="AX212" i="46"/>
  <c r="BV212" i="46"/>
  <c r="CT212" i="46"/>
  <c r="DR212" i="46"/>
  <c r="EP212" i="46"/>
  <c r="AL210" i="46"/>
  <c r="BS210" i="46"/>
  <c r="CZ210" i="46"/>
  <c r="ED210" i="46"/>
  <c r="FK210" i="46"/>
  <c r="AO211" i="46"/>
  <c r="BP211" i="46"/>
  <c r="CQ211" i="46"/>
  <c r="DR211" i="46"/>
  <c r="ES211" i="46"/>
  <c r="AO210" i="46"/>
  <c r="BV210" i="46"/>
  <c r="DC210" i="46"/>
  <c r="EG210" i="46"/>
  <c r="AR211" i="46"/>
  <c r="BS211" i="46"/>
  <c r="CT211" i="46"/>
  <c r="DU211" i="46"/>
  <c r="EV211" i="46"/>
  <c r="CW211" i="46"/>
  <c r="AF212" i="46"/>
  <c r="CW212" i="46"/>
  <c r="EY212" i="46"/>
  <c r="AC213" i="46"/>
  <c r="BA213" i="46"/>
  <c r="BY213" i="46"/>
  <c r="CW213" i="46"/>
  <c r="DU213" i="46"/>
  <c r="ES213" i="46"/>
  <c r="AR214" i="46"/>
  <c r="BP214" i="46"/>
  <c r="CN214" i="46"/>
  <c r="DL214" i="46"/>
  <c r="EJ214" i="46"/>
  <c r="FH214" i="46"/>
  <c r="AI215" i="46"/>
  <c r="BG215" i="46"/>
  <c r="CE215" i="46"/>
  <c r="DC215" i="46"/>
  <c r="EA215" i="46"/>
  <c r="EY215" i="46"/>
  <c r="Z216" i="46"/>
  <c r="AX216" i="46"/>
  <c r="BV216" i="46"/>
  <c r="CT216" i="46"/>
  <c r="DR216" i="46"/>
  <c r="EP216" i="46"/>
  <c r="AO217" i="46"/>
  <c r="BM217" i="46"/>
  <c r="CK217" i="46"/>
  <c r="DI217" i="46"/>
  <c r="EG217" i="46"/>
  <c r="FE217" i="46"/>
  <c r="DX211" i="46"/>
  <c r="AI212" i="46"/>
  <c r="CZ212" i="46"/>
  <c r="AF213" i="46"/>
  <c r="BD213" i="46"/>
  <c r="CB213" i="46"/>
  <c r="CZ213" i="46"/>
  <c r="DX213" i="46"/>
  <c r="EV213" i="46"/>
  <c r="W214" i="46"/>
  <c r="AU214" i="46"/>
  <c r="BS214" i="46"/>
  <c r="CQ214" i="46"/>
  <c r="DO214" i="46"/>
  <c r="EM214" i="46"/>
  <c r="FK214" i="46"/>
  <c r="AL215" i="46"/>
  <c r="BJ215" i="46"/>
  <c r="CH215" i="46"/>
  <c r="DF215" i="46"/>
  <c r="ED215" i="46"/>
  <c r="FB215" i="46"/>
  <c r="AC216" i="46"/>
  <c r="BA216" i="46"/>
  <c r="BY216" i="46"/>
  <c r="CW216" i="46"/>
  <c r="DU216" i="46"/>
  <c r="ES216" i="46"/>
  <c r="AR217" i="46"/>
  <c r="BP217" i="46"/>
  <c r="CN217" i="46"/>
  <c r="DL217" i="46"/>
  <c r="EJ217" i="46"/>
  <c r="FH217" i="46"/>
  <c r="AU210" i="46"/>
  <c r="FB211" i="46"/>
  <c r="BA212" i="46"/>
  <c r="DC212" i="46"/>
  <c r="AI213" i="46"/>
  <c r="BG213" i="46"/>
  <c r="CE213" i="46"/>
  <c r="DC213" i="46"/>
  <c r="EA213" i="46"/>
  <c r="EY213" i="46"/>
  <c r="Z214" i="46"/>
  <c r="AX214" i="46"/>
  <c r="BV214" i="46"/>
  <c r="CT214" i="46"/>
  <c r="DR214" i="46"/>
  <c r="EP214" i="46"/>
  <c r="AO215" i="46"/>
  <c r="BM215" i="46"/>
  <c r="CK215" i="46"/>
  <c r="DI215" i="46"/>
  <c r="EG215" i="46"/>
  <c r="FE215" i="46"/>
  <c r="AF216" i="46"/>
  <c r="BD216" i="46"/>
  <c r="CB216" i="46"/>
  <c r="CZ216" i="46"/>
  <c r="DX216" i="46"/>
  <c r="EV216" i="46"/>
  <c r="W217" i="46"/>
  <c r="AU217" i="46"/>
  <c r="BS217" i="46"/>
  <c r="CQ217" i="46"/>
  <c r="DO217" i="46"/>
  <c r="EM217" i="46"/>
  <c r="FK217" i="46"/>
  <c r="CB210" i="46"/>
  <c r="BD212" i="46"/>
  <c r="DU212" i="46"/>
  <c r="AL213" i="46"/>
  <c r="BJ213" i="46"/>
  <c r="CH213" i="46"/>
  <c r="DF213" i="46"/>
  <c r="ED213" i="46"/>
  <c r="FB213" i="46"/>
  <c r="AC214" i="46"/>
  <c r="BA214" i="46"/>
  <c r="BY214" i="46"/>
  <c r="CW214" i="46"/>
  <c r="DU214" i="46"/>
  <c r="ES214" i="46"/>
  <c r="AR215" i="46"/>
  <c r="BP215" i="46"/>
  <c r="CN215" i="46"/>
  <c r="DL215" i="46"/>
  <c r="EJ215" i="46"/>
  <c r="FH215" i="46"/>
  <c r="AI216" i="46"/>
  <c r="BG216" i="46"/>
  <c r="CE216" i="46"/>
  <c r="DC216" i="46"/>
  <c r="EA216" i="46"/>
  <c r="EY216" i="46"/>
  <c r="Z217" i="46"/>
  <c r="AX217" i="46"/>
  <c r="BV217" i="46"/>
  <c r="CT217" i="46"/>
  <c r="DR217" i="46"/>
  <c r="EP217" i="46"/>
  <c r="DF210" i="46"/>
  <c r="BG212" i="46"/>
  <c r="DX212" i="46"/>
  <c r="AO213" i="46"/>
  <c r="BM213" i="46"/>
  <c r="CK213" i="46"/>
  <c r="DI213" i="46"/>
  <c r="EG213" i="46"/>
  <c r="FE213" i="46"/>
  <c r="AF214" i="46"/>
  <c r="BD214" i="46"/>
  <c r="CB214" i="46"/>
  <c r="CZ214" i="46"/>
  <c r="DX214" i="46"/>
  <c r="EV214" i="46"/>
  <c r="W215" i="46"/>
  <c r="AU215" i="46"/>
  <c r="BS215" i="46"/>
  <c r="CQ215" i="46"/>
  <c r="DO215" i="46"/>
  <c r="EM215" i="46"/>
  <c r="FK215" i="46"/>
  <c r="AL216" i="46"/>
  <c r="BJ216" i="46"/>
  <c r="CH216" i="46"/>
  <c r="DF216" i="46"/>
  <c r="ED216" i="46"/>
  <c r="FB216" i="46"/>
  <c r="AC217" i="46"/>
  <c r="BA217" i="46"/>
  <c r="BY217" i="46"/>
  <c r="CW217" i="46"/>
  <c r="DU217" i="46"/>
  <c r="ES217" i="46"/>
  <c r="EM210" i="46"/>
  <c r="BY212" i="46"/>
  <c r="EA212" i="46"/>
  <c r="AR213" i="46"/>
  <c r="BP213" i="46"/>
  <c r="CN213" i="46"/>
  <c r="DL213" i="46"/>
  <c r="EJ213" i="46"/>
  <c r="FH213" i="46"/>
  <c r="AI214" i="46"/>
  <c r="BG214" i="46"/>
  <c r="CE214" i="46"/>
  <c r="DC214" i="46"/>
  <c r="EA214" i="46"/>
  <c r="EY214" i="46"/>
  <c r="Z215" i="46"/>
  <c r="AX215" i="46"/>
  <c r="BV215" i="46"/>
  <c r="CT215" i="46"/>
  <c r="DR215" i="46"/>
  <c r="EP215" i="46"/>
  <c r="AO216" i="46"/>
  <c r="BM216" i="46"/>
  <c r="CK216" i="46"/>
  <c r="DI216" i="46"/>
  <c r="EG216" i="46"/>
  <c r="FE216" i="46"/>
  <c r="AU211" i="46"/>
  <c r="CB212" i="46"/>
  <c r="ES212" i="46"/>
  <c r="W213" i="46"/>
  <c r="AU213" i="46"/>
  <c r="BS213" i="46"/>
  <c r="CQ213" i="46"/>
  <c r="DO213" i="46"/>
  <c r="EM213" i="46"/>
  <c r="FK213" i="46"/>
  <c r="AL214" i="46"/>
  <c r="BJ214" i="46"/>
  <c r="CH214" i="46"/>
  <c r="DF214" i="46"/>
  <c r="ED214" i="46"/>
  <c r="FB214" i="46"/>
  <c r="AC215" i="46"/>
  <c r="BA215" i="46"/>
  <c r="BY215" i="46"/>
  <c r="CW215" i="46"/>
  <c r="DU215" i="46"/>
  <c r="ES215" i="46"/>
  <c r="AR216" i="46"/>
  <c r="BP216" i="46"/>
  <c r="CN216" i="46"/>
  <c r="DL216" i="46"/>
  <c r="EJ216" i="46"/>
  <c r="FH216" i="46"/>
  <c r="AX213" i="46"/>
  <c r="CK214" i="46"/>
  <c r="DX215" i="46"/>
  <c r="FK216" i="46"/>
  <c r="BJ217" i="46"/>
  <c r="EA217" i="46"/>
  <c r="BV213" i="46"/>
  <c r="DI214" i="46"/>
  <c r="EV215" i="46"/>
  <c r="CB217" i="46"/>
  <c r="ED217" i="46"/>
  <c r="BV211" i="46"/>
  <c r="CT213" i="46"/>
  <c r="EG214" i="46"/>
  <c r="W216" i="46"/>
  <c r="CE217" i="46"/>
  <c r="EV217" i="46"/>
  <c r="DR213" i="46"/>
  <c r="FE214" i="46"/>
  <c r="AU216" i="46"/>
  <c r="AF217" i="46"/>
  <c r="CH217" i="46"/>
  <c r="EY217" i="46"/>
  <c r="CE212" i="46"/>
  <c r="BD215" i="46"/>
  <c r="CQ216" i="46"/>
  <c r="AL217" i="46"/>
  <c r="DC217" i="46"/>
  <c r="EV212" i="46"/>
  <c r="AO214" i="46"/>
  <c r="CB215" i="46"/>
  <c r="DO216" i="46"/>
  <c r="BD217" i="46"/>
  <c r="DF217" i="46"/>
  <c r="Z213" i="46"/>
  <c r="BM214" i="46"/>
  <c r="CZ215" i="46"/>
  <c r="EM216" i="46"/>
  <c r="BG217" i="46"/>
  <c r="DX217" i="46"/>
  <c r="AC212" i="46"/>
  <c r="AI217" i="46"/>
  <c r="CZ217" i="46"/>
  <c r="FB217" i="46"/>
  <c r="AF215" i="46"/>
  <c r="BS216" i="46"/>
  <c r="EP213"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DN266" i="46"/>
  <c r="ER266" i="46"/>
  <c r="DK266" i="46"/>
  <c r="CG266" i="46"/>
  <c r="DT266" i="46"/>
  <c r="CM266" i="46"/>
  <c r="FA266" i="46"/>
  <c r="EX266" i="46"/>
  <c r="BC266" i="46"/>
  <c r="CV266" i="46"/>
  <c r="BO266" i="46"/>
  <c r="DE266" i="46"/>
  <c r="FD266" i="46"/>
  <c r="DW266" i="46"/>
  <c r="DQ266" i="46"/>
  <c r="V266" i="46"/>
  <c r="BX266" i="46"/>
  <c r="AQ266" i="46"/>
  <c r="EF266" i="46"/>
  <c r="FJ266" i="46"/>
  <c r="DZ266" i="46"/>
  <c r="CP266" i="46"/>
  <c r="CJ266" i="46"/>
  <c r="EO266" i="46"/>
  <c r="AZ266" i="46"/>
  <c r="AT266" i="46"/>
  <c r="DB266" i="46"/>
  <c r="EC266" i="46"/>
  <c r="CS266" i="46"/>
  <c r="BI266" i="46"/>
  <c r="BF266" i="46"/>
  <c r="DH266" i="46"/>
  <c r="AB266" i="46"/>
  <c r="EL266" i="46"/>
  <c r="BU266" i="46"/>
  <c r="CY266" i="46"/>
  <c r="BL266" i="46"/>
  <c r="AE266" i="46"/>
  <c r="Y266" i="46"/>
  <c r="CD266" i="46"/>
  <c r="FG266" i="46"/>
  <c r="AN266" i="46"/>
  <c r="BR266" i="46"/>
  <c r="AH266" i="46"/>
  <c r="EU266" i="46"/>
  <c r="AW266" i="46"/>
  <c r="EI266" i="46"/>
  <c r="CW224" i="46"/>
  <c r="EY224" i="46"/>
  <c r="CE224" i="46"/>
  <c r="DC224" i="46"/>
  <c r="AR224" i="46"/>
  <c r="BP224" i="46"/>
  <c r="EM224" i="46"/>
  <c r="W224" i="46"/>
  <c r="EJ224" i="46"/>
  <c r="CQ224" i="46"/>
  <c r="BJ224" i="46"/>
  <c r="ED218" i="46"/>
  <c r="CT218" i="46"/>
  <c r="CZ224" i="46"/>
  <c r="DC218" i="46"/>
  <c r="DF218" i="46"/>
  <c r="FH224" i="46"/>
  <c r="DU224" i="46"/>
  <c r="DL224" i="46"/>
  <c r="BY224" i="46"/>
  <c r="AF224" i="46"/>
  <c r="BS224" i="46"/>
  <c r="AO224" i="46"/>
  <c r="EV224" i="46"/>
  <c r="DF224" i="46"/>
  <c r="FE224" i="46"/>
  <c r="CB218" i="46"/>
  <c r="DO218" i="46"/>
  <c r="DL218" i="46"/>
  <c r="FB224" i="46"/>
  <c r="CT224" i="46"/>
  <c r="CN218" i="46"/>
  <c r="CE218" i="46"/>
  <c r="DU218" i="46"/>
  <c r="CH218" i="46"/>
  <c r="AX218" i="46"/>
  <c r="BD218" i="46"/>
  <c r="BP218" i="46"/>
  <c r="DI224" i="46"/>
  <c r="DX224" i="46"/>
  <c r="FK224" i="46"/>
  <c r="AX224" i="46"/>
  <c r="BJ218" i="46"/>
  <c r="Z218" i="46"/>
  <c r="FE218" i="46"/>
  <c r="DX218" i="46"/>
  <c r="W218" i="46"/>
  <c r="AR218" i="46"/>
  <c r="DO224" i="46"/>
  <c r="ES224" i="46"/>
  <c r="AU224" i="46"/>
  <c r="CH224" i="46"/>
  <c r="Z224" i="46"/>
  <c r="EA218" i="46"/>
  <c r="ES218" i="46"/>
  <c r="BG218" i="46"/>
  <c r="CW218" i="46"/>
  <c r="AI218" i="46"/>
  <c r="BY218" i="46"/>
  <c r="AL218" i="46"/>
  <c r="EG218" i="46"/>
  <c r="FK218" i="46"/>
  <c r="CQ218" i="46"/>
  <c r="CK218" i="46"/>
  <c r="BD224" i="46"/>
  <c r="AI224" i="46"/>
  <c r="EA224" i="46"/>
  <c r="BM224" i="46"/>
  <c r="BA224" i="46"/>
  <c r="BV218" i="46"/>
  <c r="BA218" i="46"/>
  <c r="AU218" i="46"/>
  <c r="DI218" i="46"/>
  <c r="BG224" i="46"/>
  <c r="CB224" i="46"/>
  <c r="AC218" i="46"/>
  <c r="EP218" i="46"/>
  <c r="CZ218" i="46"/>
  <c r="BM218" i="46"/>
  <c r="AF218" i="46"/>
  <c r="FH218" i="46"/>
  <c r="EP224" i="46"/>
  <c r="ED224" i="46"/>
  <c r="EM218" i="46"/>
  <c r="EY218" i="46"/>
  <c r="FB218" i="46"/>
  <c r="DR218" i="46"/>
  <c r="AO218" i="46"/>
  <c r="BS218" i="46"/>
  <c r="EV218" i="46"/>
  <c r="EJ218" i="46"/>
  <c r="CN224" i="46"/>
  <c r="EG224" i="46"/>
  <c r="AC224" i="46"/>
  <c r="CK224" i="46"/>
  <c r="BV224" i="46"/>
  <c r="DR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CS264" i="46" l="1"/>
  <c r="CS265" i="46"/>
  <c r="DZ265" i="46"/>
  <c r="DZ264" i="46"/>
  <c r="EX264" i="46"/>
  <c r="EX265" i="46"/>
  <c r="FG264" i="46"/>
  <c r="FG265" i="46"/>
  <c r="EI264" i="46"/>
  <c r="EI265" i="46"/>
  <c r="CV265" i="46"/>
  <c r="CV264" i="46"/>
  <c r="BR264" i="46"/>
  <c r="BR265" i="46"/>
  <c r="AE264" i="46"/>
  <c r="AE265" i="46"/>
  <c r="EL264" i="46"/>
  <c r="EL265" i="46"/>
  <c r="BO264" i="46"/>
  <c r="BO265" i="46"/>
  <c r="AW265" i="46"/>
  <c r="AW264" i="46"/>
  <c r="AH264" i="46"/>
  <c r="AH265" i="46"/>
  <c r="ER264" i="46"/>
  <c r="ER265" i="46"/>
  <c r="DK264" i="46"/>
  <c r="DK265" i="46"/>
  <c r="Y265" i="46"/>
  <c r="Y264" i="46"/>
  <c r="BI265" i="46"/>
  <c r="BI264" i="46"/>
  <c r="CP264" i="46"/>
  <c r="CP265" i="46"/>
  <c r="FD265" i="46"/>
  <c r="FD264" i="46"/>
  <c r="BC264" i="46"/>
  <c r="BC265" i="46"/>
  <c r="DN265" i="46"/>
  <c r="DN264" i="46"/>
  <c r="CA264" i="46"/>
  <c r="CA265" i="46"/>
  <c r="AB264" i="46"/>
  <c r="AB265" i="46"/>
  <c r="BF264" i="46"/>
  <c r="BF265" i="46"/>
  <c r="CJ265" i="46"/>
  <c r="CJ264" i="46"/>
  <c r="DW265" i="46"/>
  <c r="DW264" i="46"/>
  <c r="AK265" i="46"/>
  <c r="AK264" i="46"/>
  <c r="AZ264" i="46"/>
  <c r="AZ265" i="46"/>
  <c r="AQ264" i="46"/>
  <c r="AQ265" i="46"/>
  <c r="BX264" i="46"/>
  <c r="BX265" i="46"/>
  <c r="DQ264" i="46"/>
  <c r="DQ265" i="46"/>
  <c r="EU265" i="46"/>
  <c r="EU264" i="46"/>
  <c r="AN264" i="46"/>
  <c r="AN265" i="46"/>
  <c r="CD264" i="46"/>
  <c r="CD265" i="46"/>
  <c r="V265" i="46"/>
  <c r="V264" i="46"/>
  <c r="CM265" i="46"/>
  <c r="CM264" i="46"/>
  <c r="DT265" i="46"/>
  <c r="DT264" i="46"/>
  <c r="BU264" i="46"/>
  <c r="BU265" i="46"/>
  <c r="DH264" i="46"/>
  <c r="DH265" i="46"/>
  <c r="EF264" i="46"/>
  <c r="EF265" i="46"/>
  <c r="CG264" i="46"/>
  <c r="CG265" i="46"/>
  <c r="S265" i="46"/>
  <c r="S264" i="46"/>
  <c r="DB264" i="46"/>
  <c r="DB265" i="46"/>
  <c r="EO264" i="46"/>
  <c r="EO265" i="46"/>
  <c r="DE265" i="46"/>
  <c r="DE264" i="46"/>
  <c r="FA264" i="46"/>
  <c r="FA265" i="46"/>
  <c r="CY264" i="46"/>
  <c r="CY265" i="46"/>
  <c r="BL264" i="46"/>
  <c r="BL265" i="46"/>
  <c r="EC264" i="46"/>
  <c r="EC265" i="46"/>
  <c r="AT265" i="46"/>
  <c r="AT264" i="46"/>
  <c r="FJ265" i="46"/>
  <c r="FJ264" i="46"/>
  <c r="AR236" i="46"/>
  <c r="BP236" i="46"/>
  <c r="CN236" i="46"/>
  <c r="DL236" i="46"/>
  <c r="EJ236" i="46"/>
  <c r="FH236" i="46"/>
  <c r="AI237" i="46"/>
  <c r="BG237" i="46"/>
  <c r="CE237" i="46"/>
  <c r="DC237" i="46"/>
  <c r="EA237" i="46"/>
  <c r="EY237" i="46"/>
  <c r="W236" i="46"/>
  <c r="AU236" i="46"/>
  <c r="BS236" i="46"/>
  <c r="CQ236" i="46"/>
  <c r="DO236" i="46"/>
  <c r="EM236" i="46"/>
  <c r="FK236" i="46"/>
  <c r="AL237" i="46"/>
  <c r="BJ237" i="46"/>
  <c r="CH237" i="46"/>
  <c r="DF237" i="46"/>
  <c r="ED237" i="46"/>
  <c r="FB237" i="46"/>
  <c r="Z236" i="46"/>
  <c r="AX236" i="46"/>
  <c r="BV236" i="46"/>
  <c r="CT236" i="46"/>
  <c r="DR236" i="46"/>
  <c r="EP236" i="46"/>
  <c r="AO237" i="46"/>
  <c r="BM237" i="46"/>
  <c r="CK237" i="46"/>
  <c r="DI237" i="46"/>
  <c r="EG237" i="46"/>
  <c r="FE237" i="46"/>
  <c r="AC236" i="46"/>
  <c r="BA236" i="46"/>
  <c r="BY236" i="46"/>
  <c r="CW236" i="46"/>
  <c r="DU236" i="46"/>
  <c r="ES236" i="46"/>
  <c r="AR237" i="46"/>
  <c r="BP237" i="46"/>
  <c r="CN237" i="46"/>
  <c r="DL237" i="46"/>
  <c r="EJ237" i="46"/>
  <c r="FH237" i="46"/>
  <c r="AF236" i="46"/>
  <c r="BD236" i="46"/>
  <c r="CB236" i="46"/>
  <c r="CZ236" i="46"/>
  <c r="DX236" i="46"/>
  <c r="EV236" i="46"/>
  <c r="W237" i="46"/>
  <c r="AU237" i="46"/>
  <c r="BS237" i="46"/>
  <c r="CQ237" i="46"/>
  <c r="DO237" i="46"/>
  <c r="EM237" i="46"/>
  <c r="FK237" i="46"/>
  <c r="CE236" i="46"/>
  <c r="EG236" i="46"/>
  <c r="BA237" i="46"/>
  <c r="DR237" i="46"/>
  <c r="CH236" i="46"/>
  <c r="EY236" i="46"/>
  <c r="BD237" i="46"/>
  <c r="DU237" i="46"/>
  <c r="AI236" i="46"/>
  <c r="CK236" i="46"/>
  <c r="FB236" i="46"/>
  <c r="BV237" i="46"/>
  <c r="DX237" i="46"/>
  <c r="AL236" i="46"/>
  <c r="DC236" i="46"/>
  <c r="FE236" i="46"/>
  <c r="BY237" i="46"/>
  <c r="EP237" i="46"/>
  <c r="AO236" i="46"/>
  <c r="DF236" i="46"/>
  <c r="Z237" i="46"/>
  <c r="CB237" i="46"/>
  <c r="ES237" i="46"/>
  <c r="BG236" i="46"/>
  <c r="DI236" i="46"/>
  <c r="AC237" i="46"/>
  <c r="CT237" i="46"/>
  <c r="EV237" i="46"/>
  <c r="BJ236" i="46"/>
  <c r="EA236" i="46"/>
  <c r="AF237" i="46"/>
  <c r="CW237" i="46"/>
  <c r="BM236" i="46"/>
  <c r="CZ237" i="46"/>
  <c r="AX237" i="46"/>
  <c r="ED236" i="46"/>
  <c r="W232" i="46"/>
  <c r="AX232" i="46"/>
  <c r="CN232" i="46"/>
  <c r="DO232" i="46"/>
  <c r="EP232" i="46"/>
  <c r="BS232" i="46"/>
  <c r="EM232" i="46"/>
  <c r="FB232" i="46"/>
  <c r="W233" i="46"/>
  <c r="AU233" i="46"/>
  <c r="BS233" i="46"/>
  <c r="CQ233" i="46"/>
  <c r="DO233" i="46"/>
  <c r="EM233" i="46"/>
  <c r="FK233" i="46"/>
  <c r="AR232" i="46"/>
  <c r="BG232" i="46"/>
  <c r="CH232" i="46"/>
  <c r="DL232" i="46"/>
  <c r="EA232" i="46"/>
  <c r="Z233" i="46"/>
  <c r="AX233" i="46"/>
  <c r="BV233" i="46"/>
  <c r="CT233" i="46"/>
  <c r="DR233" i="46"/>
  <c r="EP233" i="46"/>
  <c r="AF232" i="46"/>
  <c r="BV232" i="46"/>
  <c r="CZ232" i="46"/>
  <c r="AC233" i="46"/>
  <c r="BA233" i="46"/>
  <c r="BY233" i="46"/>
  <c r="CW233" i="46"/>
  <c r="DU233" i="46"/>
  <c r="ES233" i="46"/>
  <c r="AU232" i="46"/>
  <c r="BJ232" i="46"/>
  <c r="ED232" i="46"/>
  <c r="FH232" i="46"/>
  <c r="AF233" i="46"/>
  <c r="BD233" i="46"/>
  <c r="CB233" i="46"/>
  <c r="CZ233" i="46"/>
  <c r="DX233" i="46"/>
  <c r="EV233" i="46"/>
  <c r="AI232" i="46"/>
  <c r="DC232" i="46"/>
  <c r="DR232" i="46"/>
  <c r="EV232" i="46"/>
  <c r="AI233" i="46"/>
  <c r="BG233" i="46"/>
  <c r="CE233" i="46"/>
  <c r="DC233" i="46"/>
  <c r="EA233" i="46"/>
  <c r="EY233" i="46"/>
  <c r="CB232" i="46"/>
  <c r="CQ232" i="46"/>
  <c r="FK232" i="46"/>
  <c r="AL232" i="46"/>
  <c r="BP232" i="46"/>
  <c r="DF232" i="46"/>
  <c r="EJ232" i="46"/>
  <c r="EY232" i="46"/>
  <c r="AO233" i="46"/>
  <c r="DF233" i="46"/>
  <c r="FH233" i="46"/>
  <c r="BD232" i="46"/>
  <c r="CT232" i="46"/>
  <c r="AR233" i="46"/>
  <c r="DI233" i="46"/>
  <c r="BJ233" i="46"/>
  <c r="DL233" i="46"/>
  <c r="CE232" i="46"/>
  <c r="BM233" i="46"/>
  <c r="ED233" i="46"/>
  <c r="DX232" i="46"/>
  <c r="BP233" i="46"/>
  <c r="EG233" i="46"/>
  <c r="CH233" i="46"/>
  <c r="CK233" i="46"/>
  <c r="Z232" i="46"/>
  <c r="CN233" i="46"/>
  <c r="EJ233" i="46"/>
  <c r="FB233" i="46"/>
  <c r="FE233" i="46"/>
  <c r="AL233" i="46"/>
  <c r="CK232" i="46"/>
  <c r="BM232" i="46"/>
  <c r="AO232" i="46"/>
  <c r="ES232" i="46"/>
  <c r="BY232" i="46"/>
  <c r="CW232" i="46"/>
  <c r="BA232" i="46"/>
  <c r="DI232" i="46"/>
  <c r="AC232" i="46"/>
  <c r="DU232" i="46"/>
  <c r="EG232" i="46"/>
  <c r="FE232" i="46"/>
  <c r="W226" i="46"/>
  <c r="AU226" i="46"/>
  <c r="BS226" i="46"/>
  <c r="CQ226" i="46"/>
  <c r="DO226" i="46"/>
  <c r="EM226" i="46"/>
  <c r="FK226" i="46"/>
  <c r="AL227" i="46"/>
  <c r="BJ227" i="46"/>
  <c r="CH227" i="46"/>
  <c r="DF227" i="46"/>
  <c r="ED227" i="46"/>
  <c r="FB227" i="46"/>
  <c r="Z226" i="46"/>
  <c r="AX226" i="46"/>
  <c r="BV226" i="46"/>
  <c r="CT226" i="46"/>
  <c r="DR226" i="46"/>
  <c r="EP226" i="46"/>
  <c r="AO227" i="46"/>
  <c r="BM227" i="46"/>
  <c r="CK227" i="46"/>
  <c r="DI227" i="46"/>
  <c r="EG227" i="46"/>
  <c r="FE227" i="46"/>
  <c r="AF228" i="46"/>
  <c r="BD228" i="46"/>
  <c r="CB228" i="46"/>
  <c r="CZ228" i="46"/>
  <c r="DX228" i="46"/>
  <c r="EV228" i="46"/>
  <c r="W229" i="46"/>
  <c r="AU229" i="46"/>
  <c r="BS229" i="46"/>
  <c r="CQ229" i="46"/>
  <c r="DO229" i="46"/>
  <c r="EM229" i="46"/>
  <c r="FK229" i="46"/>
  <c r="AC226" i="46"/>
  <c r="BA226" i="46"/>
  <c r="BY226" i="46"/>
  <c r="CW226" i="46"/>
  <c r="DU226" i="46"/>
  <c r="ES226" i="46"/>
  <c r="AF226" i="46"/>
  <c r="BD226" i="46"/>
  <c r="CB226" i="46"/>
  <c r="CZ226" i="46"/>
  <c r="DX226" i="46"/>
  <c r="EV226" i="46"/>
  <c r="AI226" i="46"/>
  <c r="BG226" i="46"/>
  <c r="CE226" i="46"/>
  <c r="DC226" i="46"/>
  <c r="EA226" i="46"/>
  <c r="EY226" i="46"/>
  <c r="AL226" i="46"/>
  <c r="BJ226" i="46"/>
  <c r="CH226" i="46"/>
  <c r="DF226" i="46"/>
  <c r="ED226" i="46"/>
  <c r="FB226" i="46"/>
  <c r="CK226" i="46"/>
  <c r="AC227" i="46"/>
  <c r="BG227" i="46"/>
  <c r="CQ227" i="46"/>
  <c r="DU227" i="46"/>
  <c r="EY227" i="46"/>
  <c r="Z228" i="46"/>
  <c r="BA228" i="46"/>
  <c r="CE228" i="46"/>
  <c r="DF228" i="46"/>
  <c r="EG228" i="46"/>
  <c r="FH228" i="46"/>
  <c r="AL229" i="46"/>
  <c r="BM229" i="46"/>
  <c r="CN229" i="46"/>
  <c r="DR229" i="46"/>
  <c r="ES229" i="46"/>
  <c r="CN226" i="46"/>
  <c r="AF227" i="46"/>
  <c r="BP227" i="46"/>
  <c r="CT227" i="46"/>
  <c r="DX227" i="46"/>
  <c r="FH227" i="46"/>
  <c r="AC228" i="46"/>
  <c r="BG228" i="46"/>
  <c r="CH228" i="46"/>
  <c r="DI228" i="46"/>
  <c r="EJ228" i="46"/>
  <c r="FK228" i="46"/>
  <c r="AO229" i="46"/>
  <c r="BP229" i="46"/>
  <c r="CT229" i="46"/>
  <c r="DU229" i="46"/>
  <c r="EV229" i="46"/>
  <c r="DI226" i="46"/>
  <c r="AI227" i="46"/>
  <c r="BS227" i="46"/>
  <c r="CW227" i="46"/>
  <c r="EA227" i="46"/>
  <c r="FK227" i="46"/>
  <c r="AI228" i="46"/>
  <c r="BJ228" i="46"/>
  <c r="CK228" i="46"/>
  <c r="DL228" i="46"/>
  <c r="EM228" i="46"/>
  <c r="AR229" i="46"/>
  <c r="BV229" i="46"/>
  <c r="CW229" i="46"/>
  <c r="DX229" i="46"/>
  <c r="EY229" i="46"/>
  <c r="DL226" i="46"/>
  <c r="AR227" i="46"/>
  <c r="BV227" i="46"/>
  <c r="CZ227" i="46"/>
  <c r="EJ227" i="46"/>
  <c r="AL228" i="46"/>
  <c r="BM228" i="46"/>
  <c r="CN228" i="46"/>
  <c r="DO228" i="46"/>
  <c r="EP228" i="46"/>
  <c r="AX229" i="46"/>
  <c r="BY229" i="46"/>
  <c r="CZ229" i="46"/>
  <c r="EA229" i="46"/>
  <c r="FB229" i="46"/>
  <c r="AO226" i="46"/>
  <c r="EG226" i="46"/>
  <c r="AU227" i="46"/>
  <c r="BY227" i="46"/>
  <c r="DC227" i="46"/>
  <c r="EM227" i="46"/>
  <c r="AO228" i="46"/>
  <c r="BP228" i="46"/>
  <c r="CQ228" i="46"/>
  <c r="DR228" i="46"/>
  <c r="ES228" i="46"/>
  <c r="Z229" i="46"/>
  <c r="BA229" i="46"/>
  <c r="CB229" i="46"/>
  <c r="DC229" i="46"/>
  <c r="ED229" i="46"/>
  <c r="FE229" i="46"/>
  <c r="AR226" i="46"/>
  <c r="EJ226" i="46"/>
  <c r="AX227" i="46"/>
  <c r="CB227" i="46"/>
  <c r="DL227" i="46"/>
  <c r="EP227" i="46"/>
  <c r="AR228" i="46"/>
  <c r="BS228" i="46"/>
  <c r="CT228" i="46"/>
  <c r="DU228" i="46"/>
  <c r="EY228" i="46"/>
  <c r="AC229" i="46"/>
  <c r="BD229" i="46"/>
  <c r="CE229" i="46"/>
  <c r="DF229" i="46"/>
  <c r="EG229" i="46"/>
  <c r="FH229" i="46"/>
  <c r="BM226" i="46"/>
  <c r="FE226" i="46"/>
  <c r="W227" i="46"/>
  <c r="BA227" i="46"/>
  <c r="CE227" i="46"/>
  <c r="DO227" i="46"/>
  <c r="ES227" i="46"/>
  <c r="AU228" i="46"/>
  <c r="BV228" i="46"/>
  <c r="CW228" i="46"/>
  <c r="EA228" i="46"/>
  <c r="FB228" i="46"/>
  <c r="AF229" i="46"/>
  <c r="BG229" i="46"/>
  <c r="CH229" i="46"/>
  <c r="DI229" i="46"/>
  <c r="EJ229" i="46"/>
  <c r="AI229" i="46"/>
  <c r="BP226" i="46"/>
  <c r="Z227" i="46"/>
  <c r="W228" i="46"/>
  <c r="BJ229" i="46"/>
  <c r="FH226" i="46"/>
  <c r="BD227" i="46"/>
  <c r="AX228" i="46"/>
  <c r="CK229" i="46"/>
  <c r="CN227" i="46"/>
  <c r="BY228" i="46"/>
  <c r="DL229" i="46"/>
  <c r="DR227" i="46"/>
  <c r="DC228" i="46"/>
  <c r="EP229" i="46"/>
  <c r="EV227" i="46"/>
  <c r="ED228" i="46"/>
  <c r="FE228" i="46"/>
  <c r="AU244" i="46"/>
  <c r="AU245" i="46" s="1"/>
  <c r="BV244" i="46"/>
  <c r="BV245" i="46" s="1"/>
  <c r="CW244" i="46"/>
  <c r="CW245" i="46" s="1"/>
  <c r="EM244" i="46"/>
  <c r="EM245" i="46" s="1"/>
  <c r="AI244" i="46"/>
  <c r="AI245" i="46" s="1"/>
  <c r="BJ244" i="46"/>
  <c r="BJ245" i="46" s="1"/>
  <c r="CK244" i="46"/>
  <c r="CK245" i="46" s="1"/>
  <c r="EA244" i="46"/>
  <c r="EA245" i="46" s="1"/>
  <c r="FB244" i="46"/>
  <c r="FB245" i="46" s="1"/>
  <c r="W244" i="46"/>
  <c r="W245" i="46" s="1"/>
  <c r="AX244" i="46"/>
  <c r="AX245" i="46" s="1"/>
  <c r="BY244" i="46"/>
  <c r="BY245" i="46" s="1"/>
  <c r="DO244" i="46"/>
  <c r="DO245" i="46" s="1"/>
  <c r="EP244" i="46"/>
  <c r="EP245" i="46" s="1"/>
  <c r="AL244" i="46"/>
  <c r="AL245" i="46" s="1"/>
  <c r="BM244" i="46"/>
  <c r="BM245" i="46" s="1"/>
  <c r="DC244" i="46"/>
  <c r="DC245" i="46" s="1"/>
  <c r="ED244" i="46"/>
  <c r="ED245" i="46" s="1"/>
  <c r="FE244" i="46"/>
  <c r="FE245" i="46" s="1"/>
  <c r="Z244" i="46"/>
  <c r="Z245" i="46" s="1"/>
  <c r="BA244" i="46"/>
  <c r="BA245" i="46" s="1"/>
  <c r="CQ244" i="46"/>
  <c r="CQ245" i="46" s="1"/>
  <c r="DR244" i="46"/>
  <c r="DR245" i="46" s="1"/>
  <c r="ES244" i="46"/>
  <c r="ES245" i="46" s="1"/>
  <c r="AC244" i="46"/>
  <c r="AC245" i="46" s="1"/>
  <c r="CH244" i="46"/>
  <c r="CH245" i="46" s="1"/>
  <c r="BS244" i="46"/>
  <c r="BS245" i="46" s="1"/>
  <c r="DU244" i="46"/>
  <c r="DU245" i="46" s="1"/>
  <c r="DF244" i="46"/>
  <c r="DF245" i="46" s="1"/>
  <c r="FK244" i="46"/>
  <c r="FK245" i="46" s="1"/>
  <c r="BG244" i="46"/>
  <c r="BG245" i="46" s="1"/>
  <c r="DI244" i="46"/>
  <c r="DI245" i="46" s="1"/>
  <c r="AO244" i="46"/>
  <c r="AO245" i="46" s="1"/>
  <c r="CT244" i="46"/>
  <c r="CT245" i="46" s="1"/>
  <c r="EY244" i="46"/>
  <c r="EY245" i="46" s="1"/>
  <c r="CE244" i="46"/>
  <c r="CE245" i="46" s="1"/>
  <c r="EG244" i="46"/>
  <c r="EG245" i="46" s="1"/>
  <c r="FH244" i="46"/>
  <c r="FH245" i="46" s="1"/>
  <c r="CN244" i="46"/>
  <c r="CN245" i="46" s="1"/>
  <c r="BP244" i="46"/>
  <c r="BP245" i="46" s="1"/>
  <c r="DX244" i="46"/>
  <c r="DX245" i="46" s="1"/>
  <c r="AF244" i="46"/>
  <c r="AF245" i="46" s="1"/>
  <c r="DL244" i="46"/>
  <c r="DL245" i="46" s="1"/>
  <c r="BD244" i="46"/>
  <c r="BD245" i="46" s="1"/>
  <c r="CB244" i="46"/>
  <c r="CB245" i="46" s="1"/>
  <c r="CZ244" i="46"/>
  <c r="CZ245" i="46" s="1"/>
  <c r="AR244" i="46"/>
  <c r="AR245" i="46" s="1"/>
  <c r="EV244" i="46"/>
  <c r="EV245" i="46" s="1"/>
  <c r="EJ244" i="46"/>
  <c r="EJ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FK234" i="46" l="1"/>
  <c r="DI238" i="46"/>
  <c r="FE238" i="46"/>
  <c r="BN18" i="45"/>
  <c r="BN20" i="45"/>
  <c r="BN47" i="45"/>
  <c r="BN14" i="45"/>
  <c r="BN24" i="45"/>
  <c r="BN33" i="45"/>
  <c r="BN26" i="45"/>
  <c r="BN11" i="45"/>
  <c r="BN16" i="45"/>
  <c r="BN9" i="45"/>
  <c r="BN50" i="45"/>
  <c r="BN8" i="45"/>
  <c r="BN40" i="45"/>
  <c r="BN43" i="45"/>
  <c r="BN38" i="45"/>
  <c r="BN10" i="45"/>
  <c r="BN28" i="45"/>
  <c r="BN35" i="45"/>
  <c r="BN27" i="45"/>
  <c r="BN25" i="45"/>
  <c r="BN31" i="45"/>
  <c r="BN4" i="45"/>
  <c r="BN15" i="45"/>
  <c r="BN36" i="45"/>
  <c r="BN51" i="45"/>
  <c r="BN13" i="45"/>
  <c r="BN34" i="45"/>
  <c r="BN48" i="45"/>
  <c r="BN30" i="45"/>
  <c r="BN23" i="45"/>
  <c r="BN42" i="45"/>
  <c r="BN45" i="45"/>
  <c r="BN39" i="45"/>
  <c r="BN41" i="45"/>
  <c r="BN7" i="45"/>
  <c r="BN19" i="45"/>
  <c r="BN22" i="45"/>
  <c r="BN46" i="45"/>
  <c r="BN49" i="45"/>
  <c r="BN17" i="45"/>
  <c r="BN6" i="45"/>
  <c r="BN21" i="45"/>
  <c r="BN37" i="45"/>
  <c r="BN12" i="45"/>
  <c r="BN44" i="45"/>
  <c r="BN29" i="45"/>
  <c r="BN32" i="45"/>
  <c r="BN5" i="45"/>
  <c r="EG234" i="46"/>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DO230" i="46"/>
  <c r="AO238" i="46"/>
  <c r="FJ263" i="46"/>
  <c r="EC263" i="46"/>
  <c r="DE263" i="46"/>
  <c r="CY263" i="46"/>
  <c r="CM263" i="46"/>
  <c r="DN263" i="46"/>
  <c r="FD263" i="46"/>
  <c r="DZ263" i="46"/>
  <c r="AQ263" i="46"/>
  <c r="ER263" i="46"/>
  <c r="AE263" i="46"/>
  <c r="BR263" i="46"/>
  <c r="EI263" i="46"/>
  <c r="V263" i="46"/>
  <c r="EU263" i="46"/>
  <c r="BI263" i="46"/>
  <c r="FA263" i="46"/>
  <c r="AN263" i="46"/>
  <c r="DQ263" i="46"/>
  <c r="AB263" i="46"/>
  <c r="CP263" i="46"/>
  <c r="DK263" i="46"/>
  <c r="BO263" i="46"/>
  <c r="FG263" i="46"/>
  <c r="EX263" i="46"/>
  <c r="CS263" i="46"/>
  <c r="BL263" i="46"/>
  <c r="S263" i="46"/>
  <c r="AK263" i="46"/>
  <c r="DW263" i="46"/>
  <c r="Y263" i="46"/>
  <c r="AT263" i="46"/>
  <c r="DB263" i="46"/>
  <c r="EF263" i="46"/>
  <c r="BU263" i="46"/>
  <c r="CD263" i="46"/>
  <c r="DT263" i="46"/>
  <c r="CJ263" i="46"/>
  <c r="AW263" i="46"/>
  <c r="CV263" i="46"/>
  <c r="EO263" i="46"/>
  <c r="CG263" i="46"/>
  <c r="DH263" i="46"/>
  <c r="BX263" i="46"/>
  <c r="AZ263" i="46"/>
  <c r="BF263" i="46"/>
  <c r="CA263" i="46"/>
  <c r="BC263" i="46"/>
  <c r="AH263" i="46"/>
  <c r="EL263" i="46"/>
  <c r="EY234" i="46"/>
  <c r="DR234" i="46"/>
  <c r="DX234" i="46"/>
  <c r="BM238" i="46"/>
  <c r="DI234" i="46"/>
  <c r="CQ234" i="46"/>
  <c r="BA234" i="46"/>
  <c r="FH230" i="46"/>
  <c r="DU234" i="46"/>
  <c r="EG238" i="46"/>
  <c r="CK238" i="46"/>
  <c r="AC234" i="46"/>
  <c r="DC230" i="46"/>
  <c r="BM234" i="46"/>
  <c r="BY234" i="46"/>
  <c r="Z234" i="46"/>
  <c r="BJ230" i="46"/>
  <c r="BS230" i="46"/>
  <c r="DF230" i="46"/>
  <c r="DX230" i="46"/>
  <c r="AI230" i="46"/>
  <c r="FE230" i="46"/>
  <c r="AI234" i="46"/>
  <c r="ED234" i="46"/>
  <c r="AX234" i="46"/>
  <c r="DX238" i="46"/>
  <c r="CQ238" i="46"/>
  <c r="BG238" i="46"/>
  <c r="BJ234" i="46"/>
  <c r="FB234" i="46"/>
  <c r="W234" i="46"/>
  <c r="CZ238" i="46"/>
  <c r="AC238" i="46"/>
  <c r="EP238" i="46"/>
  <c r="DF238" i="46"/>
  <c r="BS238" i="46"/>
  <c r="AI238" i="46"/>
  <c r="AR234" i="46"/>
  <c r="BA238" i="46"/>
  <c r="ED238" i="46"/>
  <c r="EJ230" i="46"/>
  <c r="DI230" i="46"/>
  <c r="CE230" i="46"/>
  <c r="ES230" i="46"/>
  <c r="CB230" i="46"/>
  <c r="DU230" i="46"/>
  <c r="ES234" i="46"/>
  <c r="CE234" i="46"/>
  <c r="AU234" i="46"/>
  <c r="EA234" i="46"/>
  <c r="EM234" i="46"/>
  <c r="CB238" i="46"/>
  <c r="DR238" i="46"/>
  <c r="CH238" i="46"/>
  <c r="AU238" i="46"/>
  <c r="FH238" i="46"/>
  <c r="CZ230" i="46"/>
  <c r="W247" i="46"/>
  <c r="W248" i="46" s="1"/>
  <c r="AU247" i="46"/>
  <c r="AU248" i="46" s="1"/>
  <c r="BS247" i="46"/>
  <c r="BS248" i="46" s="1"/>
  <c r="CQ247" i="46"/>
  <c r="CQ248" i="46" s="1"/>
  <c r="DO247" i="46"/>
  <c r="DO248" i="46" s="1"/>
  <c r="EM247" i="46"/>
  <c r="EM248" i="46" s="1"/>
  <c r="FK247" i="46"/>
  <c r="FK248" i="46" s="1"/>
  <c r="Z247" i="46"/>
  <c r="Z248" i="46" s="1"/>
  <c r="AX247" i="46"/>
  <c r="AX248" i="46" s="1"/>
  <c r="BV247" i="46"/>
  <c r="BV248" i="46" s="1"/>
  <c r="CT247" i="46"/>
  <c r="CT248" i="46" s="1"/>
  <c r="DR247" i="46"/>
  <c r="DR248" i="46" s="1"/>
  <c r="EP247" i="46"/>
  <c r="EP248" i="46" s="1"/>
  <c r="AC247" i="46"/>
  <c r="AC248" i="46" s="1"/>
  <c r="BA247" i="46"/>
  <c r="BA248" i="46" s="1"/>
  <c r="BY247" i="46"/>
  <c r="BY248" i="46" s="1"/>
  <c r="CW247" i="46"/>
  <c r="CW248" i="46" s="1"/>
  <c r="DU247" i="46"/>
  <c r="DU248" i="46" s="1"/>
  <c r="ES247" i="46"/>
  <c r="ES248" i="46" s="1"/>
  <c r="AF247" i="46"/>
  <c r="AF248" i="46" s="1"/>
  <c r="BD247" i="46"/>
  <c r="BD248" i="46" s="1"/>
  <c r="CB247" i="46"/>
  <c r="CB248" i="46" s="1"/>
  <c r="CZ247" i="46"/>
  <c r="CZ248" i="46" s="1"/>
  <c r="DX247" i="46"/>
  <c r="DX248" i="46" s="1"/>
  <c r="EV247" i="46"/>
  <c r="EV248" i="46" s="1"/>
  <c r="AI247" i="46"/>
  <c r="AI248" i="46" s="1"/>
  <c r="BG247" i="46"/>
  <c r="BG248" i="46" s="1"/>
  <c r="CE247" i="46"/>
  <c r="CE248" i="46" s="1"/>
  <c r="DC247" i="46"/>
  <c r="DC248" i="46" s="1"/>
  <c r="EA247" i="46"/>
  <c r="EA248" i="46" s="1"/>
  <c r="EY247" i="46"/>
  <c r="EY248" i="46" s="1"/>
  <c r="AR247" i="46"/>
  <c r="AR248" i="46" s="1"/>
  <c r="DI247" i="46"/>
  <c r="DI248" i="46" s="1"/>
  <c r="BJ247" i="46"/>
  <c r="BJ248" i="46" s="1"/>
  <c r="DL247" i="46"/>
  <c r="DL248" i="46" s="1"/>
  <c r="BM247" i="46"/>
  <c r="BM248" i="46" s="1"/>
  <c r="ED247" i="46"/>
  <c r="ED248" i="46" s="1"/>
  <c r="BP247" i="46"/>
  <c r="BP248" i="46" s="1"/>
  <c r="EG247" i="46"/>
  <c r="EG248" i="46" s="1"/>
  <c r="CH247" i="46"/>
  <c r="CH248" i="46" s="1"/>
  <c r="EJ247" i="46"/>
  <c r="EJ248" i="46" s="1"/>
  <c r="CK247" i="46"/>
  <c r="CK248" i="46" s="1"/>
  <c r="FB247" i="46"/>
  <c r="FB248" i="46" s="1"/>
  <c r="AL247" i="46"/>
  <c r="AL248" i="46" s="1"/>
  <c r="CN247" i="46"/>
  <c r="CN248" i="46" s="1"/>
  <c r="FE247" i="46"/>
  <c r="FE248" i="46" s="1"/>
  <c r="AO247" i="46"/>
  <c r="AO248" i="46" s="1"/>
  <c r="DF247" i="46"/>
  <c r="DF248" i="46" s="1"/>
  <c r="FH247" i="46"/>
  <c r="FH248" i="46" s="1"/>
  <c r="CK230" i="46"/>
  <c r="BD230" i="46"/>
  <c r="CW230" i="46"/>
  <c r="EP230" i="46"/>
  <c r="EJ234" i="46"/>
  <c r="DL234" i="46"/>
  <c r="BS234" i="46"/>
  <c r="BD238" i="46"/>
  <c r="CT238" i="46"/>
  <c r="BJ238" i="46"/>
  <c r="W238" i="46"/>
  <c r="EJ238" i="46"/>
  <c r="AC252" i="46"/>
  <c r="BA252" i="46"/>
  <c r="BY252" i="46"/>
  <c r="CW252" i="46"/>
  <c r="DU252" i="46"/>
  <c r="ES252" i="46"/>
  <c r="W252" i="46"/>
  <c r="AX252" i="46"/>
  <c r="CB252" i="46"/>
  <c r="DC252" i="46"/>
  <c r="ED252" i="46"/>
  <c r="FE252" i="46"/>
  <c r="Z252" i="46"/>
  <c r="BD252" i="46"/>
  <c r="CE252" i="46"/>
  <c r="DF252" i="46"/>
  <c r="EG252" i="46"/>
  <c r="FH252" i="46"/>
  <c r="AF252" i="46"/>
  <c r="BG252" i="46"/>
  <c r="CH252" i="46"/>
  <c r="DI252" i="46"/>
  <c r="EJ252" i="46"/>
  <c r="FK252" i="46"/>
  <c r="AI252" i="46"/>
  <c r="BJ252" i="46"/>
  <c r="CK252" i="46"/>
  <c r="DL252" i="46"/>
  <c r="EM252" i="46"/>
  <c r="AL252" i="46"/>
  <c r="BM252" i="46"/>
  <c r="CN252" i="46"/>
  <c r="DO252" i="46"/>
  <c r="EP252" i="46"/>
  <c r="BS252" i="46"/>
  <c r="EV252" i="46"/>
  <c r="BV252" i="46"/>
  <c r="EY252" i="46"/>
  <c r="EA252" i="46"/>
  <c r="CQ252" i="46"/>
  <c r="FB252" i="46"/>
  <c r="CT252" i="46"/>
  <c r="DX252" i="46"/>
  <c r="BP252" i="46"/>
  <c r="AO252" i="46"/>
  <c r="CZ252" i="46"/>
  <c r="AR252" i="46"/>
  <c r="DR252" i="46"/>
  <c r="AU252" i="46"/>
  <c r="AR230" i="46"/>
  <c r="W230" i="46"/>
  <c r="BM230" i="46"/>
  <c r="EM230" i="46"/>
  <c r="EY230" i="46"/>
  <c r="AL230" i="46"/>
  <c r="DL230" i="46"/>
  <c r="CH230" i="46"/>
  <c r="AF230" i="46"/>
  <c r="BY230" i="46"/>
  <c r="DR230" i="46"/>
  <c r="FE234" i="46"/>
  <c r="CW234" i="46"/>
  <c r="DF234" i="46"/>
  <c r="CH234" i="46"/>
  <c r="AF238" i="46"/>
  <c r="ES238" i="46"/>
  <c r="BV238" i="46"/>
  <c r="AL238" i="46"/>
  <c r="EY238" i="46"/>
  <c r="DL238" i="46"/>
  <c r="Z230" i="46"/>
  <c r="CQ230" i="46"/>
  <c r="FK230" i="46"/>
  <c r="BG230" i="46"/>
  <c r="BA230" i="46"/>
  <c r="CT230" i="46"/>
  <c r="BP234" i="46"/>
  <c r="EV234" i="46"/>
  <c r="BG234" i="46"/>
  <c r="EP234" i="46"/>
  <c r="DU238" i="46"/>
  <c r="AX238" i="46"/>
  <c r="FK238" i="46"/>
  <c r="EA238" i="46"/>
  <c r="CN238" i="46"/>
  <c r="AF234" i="46"/>
  <c r="ED230" i="46"/>
  <c r="FB230" i="46"/>
  <c r="CN230" i="46"/>
  <c r="AC230" i="46"/>
  <c r="BV230" i="46"/>
  <c r="CT234" i="46"/>
  <c r="AL234" i="46"/>
  <c r="CZ234" i="46"/>
  <c r="DO234" i="46"/>
  <c r="CW238" i="46"/>
  <c r="Z238" i="46"/>
  <c r="EM238" i="46"/>
  <c r="DC238" i="46"/>
  <c r="BP238" i="46"/>
  <c r="AF240" i="46"/>
  <c r="BD240" i="46"/>
  <c r="CB240" i="46"/>
  <c r="CZ240" i="46"/>
  <c r="DX240" i="46"/>
  <c r="EV240" i="46"/>
  <c r="W241" i="46"/>
  <c r="AU241" i="46"/>
  <c r="BS241" i="46"/>
  <c r="CQ241" i="46"/>
  <c r="DO241" i="46"/>
  <c r="EM241" i="46"/>
  <c r="FK241" i="46"/>
  <c r="AI240" i="46"/>
  <c r="BG240" i="46"/>
  <c r="CE240" i="46"/>
  <c r="DC240" i="46"/>
  <c r="EA240" i="46"/>
  <c r="EY240" i="46"/>
  <c r="Z241" i="46"/>
  <c r="AX241" i="46"/>
  <c r="BV241" i="46"/>
  <c r="CT241" i="46"/>
  <c r="DR241" i="46"/>
  <c r="EP241" i="46"/>
  <c r="AL240" i="46"/>
  <c r="BJ240" i="46"/>
  <c r="CH240" i="46"/>
  <c r="DF240" i="46"/>
  <c r="ED240" i="46"/>
  <c r="FB240" i="46"/>
  <c r="AC241" i="46"/>
  <c r="BA241" i="46"/>
  <c r="BY241" i="46"/>
  <c r="CW241" i="46"/>
  <c r="DU241" i="46"/>
  <c r="ES241" i="46"/>
  <c r="AO240" i="46"/>
  <c r="BM240" i="46"/>
  <c r="CK240" i="46"/>
  <c r="DI240" i="46"/>
  <c r="EG240" i="46"/>
  <c r="FE240" i="46"/>
  <c r="AF241" i="46"/>
  <c r="BD241" i="46"/>
  <c r="CB241" i="46"/>
  <c r="CZ241" i="46"/>
  <c r="DX241" i="46"/>
  <c r="EV241" i="46"/>
  <c r="AR240" i="46"/>
  <c r="BP240" i="46"/>
  <c r="CN240" i="46"/>
  <c r="DL240" i="46"/>
  <c r="EJ240" i="46"/>
  <c r="FH240" i="46"/>
  <c r="AI241" i="46"/>
  <c r="BG241" i="46"/>
  <c r="CE241" i="46"/>
  <c r="DC241" i="46"/>
  <c r="EA241" i="46"/>
  <c r="EY241" i="46"/>
  <c r="AC240" i="46"/>
  <c r="CT240" i="46"/>
  <c r="FK240" i="46"/>
  <c r="BP241" i="46"/>
  <c r="EG241" i="46"/>
  <c r="AU240" i="46"/>
  <c r="CW240" i="46"/>
  <c r="CH241" i="46"/>
  <c r="EJ241" i="46"/>
  <c r="AX240" i="46"/>
  <c r="DO240" i="46"/>
  <c r="CK241" i="46"/>
  <c r="FB241" i="46"/>
  <c r="BA240" i="46"/>
  <c r="DR240" i="46"/>
  <c r="AL241" i="46"/>
  <c r="CN241" i="46"/>
  <c r="FE241" i="46"/>
  <c r="BS240" i="46"/>
  <c r="DU240" i="46"/>
  <c r="AO241" i="46"/>
  <c r="DF241" i="46"/>
  <c r="FH241" i="46"/>
  <c r="BV240" i="46"/>
  <c r="EM240" i="46"/>
  <c r="AR241" i="46"/>
  <c r="DI241" i="46"/>
  <c r="W240" i="46"/>
  <c r="BY240" i="46"/>
  <c r="EP240" i="46"/>
  <c r="BJ241" i="46"/>
  <c r="DL241" i="46"/>
  <c r="Z240" i="46"/>
  <c r="BM241" i="46"/>
  <c r="CQ240" i="46"/>
  <c r="ED241" i="46"/>
  <c r="ES240" i="46"/>
  <c r="AL251" i="46"/>
  <c r="BJ251" i="46"/>
  <c r="CH251" i="46"/>
  <c r="DF251" i="46"/>
  <c r="ED251" i="46"/>
  <c r="FB251" i="46"/>
  <c r="AO251" i="46"/>
  <c r="BP251" i="46"/>
  <c r="CQ251" i="46"/>
  <c r="DR251" i="46"/>
  <c r="ES251" i="46"/>
  <c r="AR251" i="46"/>
  <c r="BS251" i="46"/>
  <c r="CT251" i="46"/>
  <c r="DU251" i="46"/>
  <c r="EV251" i="46"/>
  <c r="AU251" i="46"/>
  <c r="BV251" i="46"/>
  <c r="CW251" i="46"/>
  <c r="DX251" i="46"/>
  <c r="EY251" i="46"/>
  <c r="W251" i="46"/>
  <c r="AX251" i="46"/>
  <c r="BY251" i="46"/>
  <c r="CZ251" i="46"/>
  <c r="EA251" i="46"/>
  <c r="FE251" i="46"/>
  <c r="Z251" i="46"/>
  <c r="BA251" i="46"/>
  <c r="CB251" i="46"/>
  <c r="DC251" i="46"/>
  <c r="EG251" i="46"/>
  <c r="FH251" i="46"/>
  <c r="AC251" i="46"/>
  <c r="BD251" i="46"/>
  <c r="CE251" i="46"/>
  <c r="DI251" i="46"/>
  <c r="EJ251" i="46"/>
  <c r="FK251" i="46"/>
  <c r="AF251" i="46"/>
  <c r="BG251" i="46"/>
  <c r="CK251" i="46"/>
  <c r="DL251" i="46"/>
  <c r="EM251" i="46"/>
  <c r="AI251" i="46"/>
  <c r="BM251" i="46"/>
  <c r="CN251" i="46"/>
  <c r="DO251" i="46"/>
  <c r="EP251" i="46"/>
  <c r="AU230" i="46"/>
  <c r="EG230" i="46"/>
  <c r="BP230" i="46"/>
  <c r="EA230" i="46"/>
  <c r="AO230" i="46"/>
  <c r="EV230" i="46"/>
  <c r="AX230" i="46"/>
  <c r="AO234" i="46"/>
  <c r="CK234" i="46"/>
  <c r="DC234" i="46"/>
  <c r="FH234" i="46"/>
  <c r="BV234" i="46"/>
  <c r="CN234" i="46"/>
  <c r="EV238" i="46"/>
  <c r="BY238" i="46"/>
  <c r="FB238" i="46"/>
  <c r="DO238" i="46"/>
  <c r="CE238" i="46"/>
  <c r="AR238" i="46"/>
  <c r="H20" i="48"/>
  <c r="H19" i="48"/>
  <c r="H48" i="48"/>
  <c r="H52" i="48"/>
  <c r="H14" i="48"/>
  <c r="H47" i="48"/>
  <c r="H10" i="48"/>
  <c r="H16" i="48"/>
  <c r="H17" i="48"/>
  <c r="H26" i="48"/>
  <c r="H24" i="48"/>
  <c r="H30" i="48"/>
  <c r="H6" i="48"/>
  <c r="H40" i="48"/>
  <c r="H37" i="48"/>
  <c r="H28" i="48"/>
  <c r="H44" i="48"/>
  <c r="H35" i="48"/>
  <c r="H42" i="48"/>
  <c r="H21" i="48"/>
  <c r="H7" i="48"/>
  <c r="H13" i="48"/>
  <c r="H51" i="48"/>
  <c r="H29" i="48"/>
  <c r="H5" i="48"/>
  <c r="H41" i="48"/>
  <c r="H34" i="48"/>
  <c r="H39" i="48"/>
  <c r="H32" i="48"/>
  <c r="H36" i="48"/>
  <c r="H33" i="48"/>
  <c r="H25" i="48"/>
  <c r="H46" i="48"/>
  <c r="H31" i="48"/>
  <c r="H11" i="48"/>
  <c r="H43" i="48"/>
  <c r="H18" i="48"/>
  <c r="H53" i="48"/>
  <c r="H38" i="48"/>
  <c r="H4" i="48"/>
  <c r="H50" i="48"/>
  <c r="H27" i="48"/>
  <c r="H8" i="48"/>
  <c r="H23" i="48"/>
  <c r="H15" i="48"/>
  <c r="H45" i="48"/>
  <c r="H12" i="48"/>
  <c r="H22" i="48"/>
  <c r="H49"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EM242" i="46" l="1"/>
  <c r="DU242"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43" i="50"/>
  <c r="F11" i="50"/>
  <c r="E43" i="50"/>
  <c r="E11" i="50"/>
  <c r="F42" i="50"/>
  <c r="F10" i="50"/>
  <c r="E42" i="50"/>
  <c r="E10" i="50"/>
  <c r="F41" i="50"/>
  <c r="F9" i="50"/>
  <c r="E41" i="50"/>
  <c r="E9" i="50"/>
  <c r="F40" i="50"/>
  <c r="F8" i="50"/>
  <c r="E40" i="50"/>
  <c r="E8" i="50"/>
  <c r="G4" i="50"/>
  <c r="F39" i="50"/>
  <c r="F7" i="50"/>
  <c r="E39" i="50"/>
  <c r="E7" i="50"/>
  <c r="F38" i="50"/>
  <c r="F6" i="50"/>
  <c r="E38" i="50"/>
  <c r="E6" i="50"/>
  <c r="F37" i="50"/>
  <c r="F5" i="50"/>
  <c r="E37" i="50"/>
  <c r="E5" i="50"/>
  <c r="F35" i="50"/>
  <c r="E35" i="50"/>
  <c r="F34" i="50"/>
  <c r="E34" i="50"/>
  <c r="F33" i="50"/>
  <c r="E33" i="50"/>
  <c r="F32" i="50"/>
  <c r="E32" i="50"/>
  <c r="G7" i="50"/>
  <c r="G53" i="50"/>
  <c r="G47" i="50"/>
  <c r="G46" i="50"/>
  <c r="G25" i="50"/>
  <c r="F31" i="50"/>
  <c r="E31" i="50"/>
  <c r="F30" i="50"/>
  <c r="E30" i="50"/>
  <c r="F29" i="50"/>
  <c r="E29" i="50"/>
  <c r="F28" i="50"/>
  <c r="E28" i="50"/>
  <c r="G20" i="50"/>
  <c r="G52" i="50"/>
  <c r="G42" i="50"/>
  <c r="G29" i="50"/>
  <c r="G48" i="50"/>
  <c r="G24" i="50"/>
  <c r="G41" i="50"/>
  <c r="F27" i="50"/>
  <c r="E27" i="50"/>
  <c r="F26" i="50"/>
  <c r="E26" i="50"/>
  <c r="F25" i="50"/>
  <c r="E25" i="50"/>
  <c r="F24" i="50"/>
  <c r="E24" i="50"/>
  <c r="G8" i="50"/>
  <c r="G27" i="50"/>
  <c r="G13" i="50"/>
  <c r="G45" i="50"/>
  <c r="G10" i="50"/>
  <c r="G36" i="50"/>
  <c r="F18" i="50"/>
  <c r="E46" i="50"/>
  <c r="F53" i="50"/>
  <c r="F36" i="50"/>
  <c r="E36" i="50"/>
  <c r="G37" i="50"/>
  <c r="G21" i="50"/>
  <c r="G6" i="50"/>
  <c r="E19" i="50"/>
  <c r="F48" i="50"/>
  <c r="E50" i="50"/>
  <c r="F51" i="50"/>
  <c r="F14" i="50"/>
  <c r="E22" i="50"/>
  <c r="F49" i="50"/>
  <c r="F20" i="50"/>
  <c r="E20" i="50"/>
  <c r="G30" i="50"/>
  <c r="G9" i="50"/>
  <c r="G15" i="50"/>
  <c r="G31" i="50"/>
  <c r="G38" i="50"/>
  <c r="G50" i="50"/>
  <c r="F15" i="50"/>
  <c r="F13" i="50"/>
  <c r="G39" i="50"/>
  <c r="E17" i="50"/>
  <c r="G19" i="50"/>
  <c r="G28" i="50"/>
  <c r="E13" i="50"/>
  <c r="E44" i="50"/>
  <c r="F47" i="50"/>
  <c r="E18" i="50"/>
  <c r="F45" i="50"/>
  <c r="E53" i="50"/>
  <c r="F16" i="50"/>
  <c r="E16" i="50"/>
  <c r="G11" i="50"/>
  <c r="G44" i="50"/>
  <c r="G5" i="50"/>
  <c r="G51" i="50"/>
  <c r="G17" i="50"/>
  <c r="G12" i="50"/>
  <c r="E23" i="50"/>
  <c r="F50" i="50"/>
  <c r="E21" i="50"/>
  <c r="F46" i="50"/>
  <c r="G22" i="50"/>
  <c r="E15" i="50"/>
  <c r="F23" i="50"/>
  <c r="E51" i="50"/>
  <c r="E14" i="50"/>
  <c r="F21" i="50"/>
  <c r="E49" i="50"/>
  <c r="F12" i="50"/>
  <c r="E12" i="50"/>
  <c r="G23" i="50"/>
  <c r="G40" i="50"/>
  <c r="G33" i="50"/>
  <c r="G35" i="50"/>
  <c r="F52" i="50"/>
  <c r="E52" i="50"/>
  <c r="G49" i="50"/>
  <c r="F22" i="50"/>
  <c r="F44" i="50"/>
  <c r="F19" i="50"/>
  <c r="E47" i="50"/>
  <c r="F17" i="50"/>
  <c r="E45" i="50"/>
  <c r="F4" i="50"/>
  <c r="E4" i="50"/>
  <c r="G14" i="50"/>
  <c r="G43" i="50"/>
  <c r="G32" i="50"/>
  <c r="G16" i="50"/>
  <c r="E48" i="50"/>
  <c r="G34" i="50"/>
  <c r="G18" i="50"/>
  <c r="G26" i="50"/>
  <c r="W242" i="46"/>
  <c r="FK242" i="46"/>
  <c r="DX242" i="46"/>
  <c r="AC242" i="46"/>
  <c r="AX242" i="46"/>
  <c r="BY242" i="46"/>
  <c r="CB242" i="46"/>
  <c r="DO242" i="46"/>
  <c r="EY242" i="46"/>
  <c r="CT242" i="46"/>
  <c r="CZ242" i="46"/>
  <c r="CW242" i="46"/>
  <c r="Z242" i="46"/>
  <c r="AO242" i="46"/>
  <c r="FB242" i="46"/>
  <c r="FH242" i="46"/>
  <c r="DL242" i="46"/>
  <c r="BD242" i="46"/>
  <c r="EA242" i="46"/>
  <c r="CN242" i="46"/>
  <c r="DF242" i="46"/>
  <c r="CQ242" i="46"/>
  <c r="BA242" i="46"/>
  <c r="BM242" i="46"/>
  <c r="EJ242" i="46"/>
  <c r="AU242" i="46"/>
  <c r="ED242" i="46"/>
  <c r="DR242" i="46"/>
  <c r="AF242" i="46"/>
  <c r="DC242" i="46"/>
  <c r="BP242" i="46"/>
  <c r="FE242" i="46"/>
  <c r="CH242" i="46"/>
  <c r="BS242" i="46"/>
  <c r="CE242" i="46"/>
  <c r="AR242" i="46"/>
  <c r="EG242" i="46"/>
  <c r="BJ242" i="46"/>
  <c r="W250" i="46"/>
  <c r="W259" i="46" s="1"/>
  <c r="AU250" i="46"/>
  <c r="AU259" i="46" s="1"/>
  <c r="BS250" i="46"/>
  <c r="BS259" i="46" s="1"/>
  <c r="CQ250" i="46"/>
  <c r="CQ259" i="46" s="1"/>
  <c r="DO250" i="46"/>
  <c r="DO259" i="46" s="1"/>
  <c r="EM250" i="46"/>
  <c r="EM259" i="46" s="1"/>
  <c r="FK250" i="46"/>
  <c r="FK259" i="46" s="1"/>
  <c r="AC250" i="46"/>
  <c r="AC259" i="46" s="1"/>
  <c r="BD250" i="46"/>
  <c r="BD259" i="46" s="1"/>
  <c r="CE250" i="46"/>
  <c r="CE259" i="46" s="1"/>
  <c r="DF250" i="46"/>
  <c r="DF259" i="46" s="1"/>
  <c r="EG250" i="46"/>
  <c r="EG259" i="46" s="1"/>
  <c r="FH250" i="46"/>
  <c r="FH259" i="46" s="1"/>
  <c r="AF250" i="46"/>
  <c r="AF259" i="46" s="1"/>
  <c r="BG250" i="46"/>
  <c r="BG259" i="46" s="1"/>
  <c r="CH250" i="46"/>
  <c r="CH259" i="46" s="1"/>
  <c r="DI250" i="46"/>
  <c r="DI259" i="46" s="1"/>
  <c r="EJ250" i="46"/>
  <c r="EJ259" i="46" s="1"/>
  <c r="AI250" i="46"/>
  <c r="AI259" i="46" s="1"/>
  <c r="BJ250" i="46"/>
  <c r="BJ259" i="46" s="1"/>
  <c r="CK250" i="46"/>
  <c r="CK259" i="46" s="1"/>
  <c r="DL250" i="46"/>
  <c r="DL259" i="46" s="1"/>
  <c r="EP250" i="46"/>
  <c r="EP259" i="46" s="1"/>
  <c r="AL250" i="46"/>
  <c r="AL259" i="46" s="1"/>
  <c r="BM250" i="46"/>
  <c r="BM259" i="46" s="1"/>
  <c r="CN250" i="46"/>
  <c r="CN259" i="46" s="1"/>
  <c r="DR250" i="46"/>
  <c r="DR259" i="46" s="1"/>
  <c r="ES250" i="46"/>
  <c r="ES259" i="46" s="1"/>
  <c r="AO250" i="46"/>
  <c r="AO259" i="46" s="1"/>
  <c r="BP250" i="46"/>
  <c r="BP259" i="46" s="1"/>
  <c r="CT250" i="46"/>
  <c r="CT259" i="46" s="1"/>
  <c r="DU250" i="46"/>
  <c r="DU259" i="46" s="1"/>
  <c r="EV250" i="46"/>
  <c r="EV259" i="46" s="1"/>
  <c r="AR250" i="46"/>
  <c r="AR259" i="46" s="1"/>
  <c r="BV250" i="46"/>
  <c r="BV259" i="46" s="1"/>
  <c r="CW250" i="46"/>
  <c r="CW259" i="46" s="1"/>
  <c r="DX250" i="46"/>
  <c r="DX259" i="46" s="1"/>
  <c r="EY250" i="46"/>
  <c r="EY259" i="46" s="1"/>
  <c r="AX250" i="46"/>
  <c r="AX259" i="46" s="1"/>
  <c r="BY250" i="46"/>
  <c r="BY259" i="46" s="1"/>
  <c r="CZ250" i="46"/>
  <c r="CZ259" i="46" s="1"/>
  <c r="EA250" i="46"/>
  <c r="EA259" i="46" s="1"/>
  <c r="FB250" i="46"/>
  <c r="FB259" i="46" s="1"/>
  <c r="Z250" i="46"/>
  <c r="Z259" i="46" s="1"/>
  <c r="BA250" i="46"/>
  <c r="BA259" i="46" s="1"/>
  <c r="FE250" i="46"/>
  <c r="FE259" i="46" s="1"/>
  <c r="CB250" i="46"/>
  <c r="CB259" i="46" s="1"/>
  <c r="DC250" i="46"/>
  <c r="DC259" i="46" s="1"/>
  <c r="ED250" i="46"/>
  <c r="ED259" i="46" s="1"/>
  <c r="ES242" i="46"/>
  <c r="EP242" i="46"/>
  <c r="BV242" i="46"/>
  <c r="BG242" i="46"/>
  <c r="EV242" i="46"/>
  <c r="DI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s="1"/>
  <c r="BL19" i="45" l="1"/>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EU4" i="46"/>
  <c r="EU2" i="46" s="1"/>
  <c r="AC28" i="48"/>
  <c r="N29" i="48"/>
  <c r="AF20" i="48"/>
  <c r="K19" i="48"/>
  <c r="Q19" i="48"/>
  <c r="AK20" i="48"/>
  <c r="AL15" i="48"/>
  <c r="AA29" i="48"/>
  <c r="AK29" i="48"/>
  <c r="AA20" i="48"/>
  <c r="AA31" i="48"/>
  <c r="AD47" i="48"/>
  <c r="O28" i="48"/>
  <c r="W47" i="48"/>
  <c r="T47" i="48"/>
  <c r="AB51" i="48"/>
  <c r="AJ46" i="48"/>
  <c r="AJ38" i="48"/>
  <c r="AB36" i="48"/>
  <c r="AK26" i="48"/>
  <c r="AD21" i="48"/>
  <c r="AI9" i="48"/>
  <c r="AF11" i="48"/>
  <c r="AI19" i="48"/>
  <c r="K27" i="48"/>
  <c r="AC23" i="48"/>
  <c r="AB13" i="48"/>
  <c r="AK23" i="48"/>
  <c r="AI14" i="48"/>
  <c r="I41" i="48"/>
  <c r="P32" i="48"/>
  <c r="N41" i="48"/>
  <c r="AE41" i="48"/>
  <c r="S48" i="48"/>
  <c r="AJ48" i="48"/>
  <c r="AB41" i="48"/>
  <c r="Q32" i="48"/>
  <c r="N33" i="48"/>
  <c r="V48" i="48"/>
  <c r="AA9" i="48"/>
  <c r="X16" i="48"/>
  <c r="AD24" i="48"/>
  <c r="P29" i="48"/>
  <c r="P19" i="48"/>
  <c r="L25" i="48"/>
  <c r="Y12" i="48"/>
  <c r="AF25" i="48"/>
  <c r="W13" i="48"/>
  <c r="AL9" i="48"/>
  <c r="I25" i="48"/>
  <c r="AD13" i="48"/>
  <c r="AE38" i="48"/>
  <c r="O37" i="48"/>
  <c r="AC49" i="48"/>
  <c r="AA51" i="48"/>
  <c r="I17" i="48"/>
  <c r="AH28" i="48"/>
  <c r="R23" i="48"/>
  <c r="V16" i="48"/>
  <c r="AI12" i="48"/>
  <c r="AH15" i="48"/>
  <c r="R29" i="48"/>
  <c r="M23" i="48"/>
  <c r="AK17" i="48"/>
  <c r="O38" i="48"/>
  <c r="AC47" i="48"/>
  <c r="AK42" i="48"/>
  <c r="AL22" i="48"/>
  <c r="AE47" i="48"/>
  <c r="M44" i="48"/>
  <c r="I32" i="48"/>
  <c r="W28" i="48"/>
  <c r="AH17" i="48"/>
  <c r="W18" i="48"/>
  <c r="S19" i="48"/>
  <c r="AL24" i="48"/>
  <c r="R13" i="48"/>
  <c r="AD28" i="48"/>
  <c r="Z21" i="48"/>
  <c r="J18" i="48"/>
  <c r="AH23" i="48"/>
  <c r="K9" i="48"/>
  <c r="AC35" i="48"/>
  <c r="S50" i="48"/>
  <c r="AD36" i="48"/>
  <c r="X25" i="48"/>
  <c r="W40" i="48"/>
  <c r="L40" i="48"/>
  <c r="Q21" i="48"/>
  <c r="AG27" i="48"/>
  <c r="AL14" i="48"/>
  <c r="AD25" i="48"/>
  <c r="V24" i="48"/>
  <c r="K31" i="48"/>
  <c r="O11" i="48"/>
  <c r="S12" i="48"/>
  <c r="S24" i="48"/>
  <c r="AC20" i="48"/>
  <c r="M26" i="48"/>
  <c r="AG41" i="48"/>
  <c r="Z51" i="48"/>
  <c r="AC48" i="48"/>
  <c r="AA48" i="48"/>
  <c r="S46" i="48"/>
  <c r="Y46" i="48"/>
  <c r="AL31" i="48"/>
  <c r="O27" i="48"/>
  <c r="Y27" i="48"/>
  <c r="AD31" i="48"/>
  <c r="L28" i="48"/>
  <c r="K25" i="48"/>
  <c r="R26" i="48"/>
  <c r="X10" i="48"/>
  <c r="I27" i="48"/>
  <c r="T9" i="48"/>
  <c r="S38" i="48"/>
  <c r="N46" i="48"/>
  <c r="I43" i="48"/>
  <c r="R45" i="48"/>
  <c r="K41" i="48"/>
  <c r="AA40" i="48"/>
  <c r="Z9" i="48"/>
  <c r="R21" i="48"/>
  <c r="M17" i="48"/>
  <c r="S23" i="48"/>
  <c r="AL21" i="48"/>
  <c r="AA11" i="48"/>
  <c r="Y14" i="48"/>
  <c r="R28" i="48"/>
  <c r="T17" i="48"/>
  <c r="AC19" i="48"/>
  <c r="T16" i="48"/>
  <c r="O12" i="48"/>
  <c r="AC22" i="48"/>
  <c r="AF10" i="48"/>
  <c r="AE21" i="48"/>
  <c r="AF24" i="48"/>
  <c r="AF28" i="48"/>
  <c r="P26" i="48"/>
  <c r="J12" i="48"/>
  <c r="AL39" i="48"/>
  <c r="AL45" i="48"/>
  <c r="AE29" i="48"/>
  <c r="R46" i="48"/>
  <c r="AC33" i="48"/>
  <c r="X50" i="48"/>
  <c r="M30" i="48"/>
  <c r="Y24" i="48"/>
  <c r="O19" i="48"/>
  <c r="P27" i="48"/>
  <c r="AL27" i="48"/>
  <c r="P10" i="48"/>
  <c r="Y19" i="48"/>
  <c r="I10" i="48"/>
  <c r="AI13" i="48"/>
  <c r="J9" i="48"/>
  <c r="J34" i="48"/>
  <c r="L35" i="48"/>
  <c r="AH45" i="48"/>
  <c r="S41" i="48"/>
  <c r="W20" i="48"/>
  <c r="Z47" i="48"/>
  <c r="X49" i="48"/>
  <c r="S10" i="48"/>
  <c r="W21" i="48"/>
  <c r="N14" i="48"/>
  <c r="W24" i="48"/>
  <c r="K29" i="48"/>
  <c r="U11" i="48"/>
  <c r="V22" i="48"/>
  <c r="M27" i="48"/>
  <c r="R20" i="48"/>
  <c r="AK22" i="48"/>
  <c r="AL32" i="48"/>
  <c r="W52" i="48"/>
  <c r="AJ36" i="48"/>
  <c r="R36" i="48"/>
  <c r="AA46" i="48"/>
  <c r="AB35" i="48"/>
  <c r="V49" i="48"/>
  <c r="AE53" i="48"/>
  <c r="I45" i="48"/>
  <c r="AK15" i="48"/>
  <c r="U31" i="48"/>
  <c r="AI30" i="48"/>
  <c r="J17" i="48"/>
  <c r="N24" i="48"/>
  <c r="AB11" i="48"/>
  <c r="AF26" i="48"/>
  <c r="AD10" i="48"/>
  <c r="M29" i="48"/>
  <c r="U24" i="48"/>
  <c r="L27" i="48"/>
  <c r="Q53" i="48"/>
  <c r="J41" i="48"/>
  <c r="AC42" i="48"/>
  <c r="AE42" i="48"/>
  <c r="AK30" i="48"/>
  <c r="I23" i="48"/>
  <c r="AF16" i="48"/>
  <c r="U19" i="48"/>
  <c r="AH27" i="48"/>
  <c r="N27" i="48"/>
  <c r="U22" i="48"/>
  <c r="AE28" i="48"/>
  <c r="R19" i="48"/>
  <c r="N13" i="48"/>
  <c r="X44" i="48"/>
  <c r="U44" i="48"/>
  <c r="T53" i="48"/>
  <c r="Q44" i="48"/>
  <c r="V44" i="48"/>
  <c r="AJ32" i="48"/>
  <c r="S21" i="48"/>
  <c r="X15" i="48"/>
  <c r="Q18" i="48"/>
  <c r="AJ11" i="48"/>
  <c r="AH10" i="48"/>
  <c r="AB30" i="48"/>
  <c r="V10" i="48"/>
  <c r="AB19" i="48"/>
  <c r="J30" i="48"/>
  <c r="V36" i="48"/>
  <c r="T52" i="48"/>
  <c r="K44" i="48"/>
  <c r="T40" i="48"/>
  <c r="K40" i="48"/>
  <c r="V35" i="48"/>
  <c r="AE45" i="48"/>
  <c r="P34" i="48"/>
  <c r="AE22" i="48"/>
  <c r="AA21" i="48"/>
  <c r="O22" i="48"/>
  <c r="AF18" i="48"/>
  <c r="S30" i="48"/>
  <c r="AD9" i="48"/>
  <c r="AJ19" i="48"/>
  <c r="AJ21" i="48"/>
  <c r="U26" i="48"/>
  <c r="N26" i="48"/>
  <c r="Y33" i="48"/>
  <c r="P46" i="48"/>
  <c r="AA35" i="48"/>
  <c r="T34" i="48"/>
  <c r="Z42" i="48"/>
  <c r="M35" i="48"/>
  <c r="Y9" i="48"/>
  <c r="P45" i="48"/>
  <c r="AJ16" i="48"/>
  <c r="AI11" i="48"/>
  <c r="AJ28" i="48"/>
  <c r="L16" i="48"/>
  <c r="AC10" i="48"/>
  <c r="AD19" i="48"/>
  <c r="W14" i="48"/>
  <c r="Z22" i="48"/>
  <c r="N20" i="48"/>
  <c r="T15" i="48"/>
  <c r="O40" i="48"/>
  <c r="N32" i="48"/>
  <c r="Q48" i="48"/>
  <c r="AK21" i="48"/>
  <c r="AI22" i="48"/>
  <c r="P17" i="48"/>
  <c r="L29" i="48"/>
  <c r="X28" i="48"/>
  <c r="AD12" i="48"/>
  <c r="P24" i="48"/>
  <c r="M15" i="48"/>
  <c r="AH16" i="48"/>
  <c r="U37" i="48"/>
  <c r="N43" i="48"/>
  <c r="S40" i="48"/>
  <c r="AJ51" i="48"/>
  <c r="L51" i="48"/>
  <c r="AI40" i="48"/>
  <c r="U50" i="48"/>
  <c r="R11" i="48"/>
  <c r="AG30" i="48"/>
  <c r="Q13" i="48"/>
  <c r="J16" i="48"/>
  <c r="P18" i="48"/>
  <c r="AJ17" i="48"/>
  <c r="K20" i="48"/>
  <c r="AG23" i="48"/>
  <c r="AE14" i="48"/>
  <c r="O17" i="48"/>
  <c r="Y31" i="48"/>
  <c r="AH35" i="48"/>
  <c r="X45" i="48"/>
  <c r="AB47" i="48"/>
  <c r="AG37" i="48"/>
  <c r="M45" i="48"/>
  <c r="Z26" i="48"/>
  <c r="Y18" i="48"/>
  <c r="R27" i="48"/>
  <c r="AH20" i="48"/>
  <c r="K11" i="48"/>
  <c r="O21" i="48"/>
  <c r="AH11" i="48"/>
  <c r="O26" i="48"/>
  <c r="AI20" i="48"/>
  <c r="AE17" i="48"/>
  <c r="AH51" i="48"/>
  <c r="K52" i="48"/>
  <c r="X42" i="48"/>
  <c r="AL36" i="48"/>
  <c r="AA41" i="48"/>
  <c r="W41" i="48"/>
  <c r="P31" i="48"/>
  <c r="S28" i="48"/>
  <c r="V31" i="48"/>
  <c r="I16" i="48"/>
  <c r="AC24" i="48"/>
  <c r="J24" i="48"/>
  <c r="L9" i="48"/>
  <c r="P30" i="48"/>
  <c r="AG15" i="48"/>
  <c r="Z27" i="48"/>
  <c r="AD15" i="48"/>
  <c r="M50" i="48"/>
  <c r="Y40" i="48"/>
  <c r="AG36" i="48"/>
  <c r="V32" i="48"/>
  <c r="N45" i="48"/>
  <c r="Q34" i="48"/>
  <c r="S36" i="48"/>
  <c r="AE50" i="48"/>
  <c r="Z17" i="48"/>
  <c r="AJ25" i="48"/>
  <c r="X14" i="48"/>
  <c r="M9" i="48"/>
  <c r="W11" i="48"/>
  <c r="W10" i="48"/>
  <c r="X9" i="48"/>
  <c r="Z40" i="48"/>
  <c r="AD35" i="48"/>
  <c r="AB49" i="48"/>
  <c r="P42" i="48"/>
  <c r="Y53" i="48"/>
  <c r="W34" i="48"/>
  <c r="Y47" i="48"/>
  <c r="K53" i="48"/>
  <c r="N36" i="48"/>
  <c r="AE33" i="48"/>
  <c r="Q24" i="48"/>
  <c r="AA18" i="48"/>
  <c r="T10" i="48"/>
  <c r="AG19" i="48"/>
  <c r="M21" i="48"/>
  <c r="N17" i="48"/>
  <c r="P13" i="48"/>
  <c r="Z11" i="48"/>
  <c r="M39" i="48"/>
  <c r="AK41" i="48"/>
  <c r="AK49" i="48"/>
  <c r="I39" i="48"/>
  <c r="S39" i="48"/>
  <c r="N49" i="48"/>
  <c r="AE24" i="48"/>
  <c r="AA16" i="48"/>
  <c r="V30" i="48"/>
  <c r="AI24" i="48"/>
  <c r="Y26" i="48"/>
  <c r="AL16" i="48"/>
  <c r="AE13" i="48"/>
  <c r="K21" i="48"/>
  <c r="AJ13" i="48"/>
  <c r="AI23" i="48"/>
  <c r="Q33" i="48"/>
  <c r="AI33" i="48"/>
  <c r="AI34" i="48"/>
  <c r="Z44" i="48"/>
  <c r="T13" i="48"/>
  <c r="W9" i="48"/>
  <c r="Q26" i="48"/>
  <c r="L23" i="48"/>
  <c r="N22" i="48"/>
  <c r="X17" i="48"/>
  <c r="AA14" i="48"/>
  <c r="AA23" i="48"/>
  <c r="AL28" i="48"/>
  <c r="P25" i="48"/>
  <c r="K22" i="48"/>
  <c r="AK36" i="48"/>
  <c r="Y11" i="48"/>
  <c r="AE52" i="48"/>
  <c r="Q46" i="48"/>
  <c r="S52" i="48"/>
  <c r="J35" i="48"/>
  <c r="J11" i="48"/>
  <c r="AG13" i="48"/>
  <c r="U18" i="48"/>
  <c r="AK28" i="48"/>
  <c r="R16" i="48"/>
  <c r="Y23" i="48"/>
  <c r="S9" i="48"/>
  <c r="Z20" i="48"/>
  <c r="M13" i="48"/>
  <c r="X31" i="48"/>
  <c r="Y49" i="48"/>
  <c r="Y44" i="48"/>
  <c r="AF43" i="48"/>
  <c r="U46" i="48"/>
  <c r="AF42" i="48"/>
  <c r="AE37" i="48"/>
  <c r="AF48" i="48"/>
  <c r="P28" i="48"/>
  <c r="AF47" i="48"/>
  <c r="V13" i="48"/>
  <c r="AD18" i="48"/>
  <c r="X21" i="48"/>
  <c r="M25" i="48"/>
  <c r="AA17" i="48"/>
  <c r="AE26" i="48"/>
  <c r="AI27" i="48"/>
  <c r="AH30" i="48"/>
  <c r="AG14" i="48"/>
  <c r="AG20" i="48"/>
  <c r="AE23" i="48"/>
  <c r="AB48" i="48"/>
  <c r="P43" i="48"/>
  <c r="T35" i="48"/>
  <c r="R41" i="48"/>
  <c r="S37" i="48"/>
  <c r="AH37" i="48"/>
  <c r="AE31" i="48"/>
  <c r="K43" i="48"/>
  <c r="AG45" i="48"/>
  <c r="L41" i="48"/>
  <c r="AB26" i="48"/>
  <c r="AI16" i="48"/>
  <c r="AD23" i="48"/>
  <c r="AC15" i="48"/>
  <c r="AB14" i="48"/>
  <c r="L10" i="48"/>
  <c r="J21" i="48"/>
  <c r="Y17" i="48"/>
  <c r="M20" i="48"/>
  <c r="S29" i="48"/>
  <c r="P11" i="48"/>
  <c r="J53" i="48"/>
  <c r="M52" i="48"/>
  <c r="AG39" i="48"/>
  <c r="P39" i="48"/>
  <c r="P14" i="48"/>
  <c r="AL25" i="48"/>
  <c r="X19" i="48"/>
  <c r="I21" i="48"/>
  <c r="X26" i="48"/>
  <c r="AC17" i="48"/>
  <c r="AC26" i="48"/>
  <c r="AE20" i="48"/>
  <c r="AB25" i="48"/>
  <c r="K26" i="48"/>
  <c r="AJ27" i="48"/>
  <c r="AG40" i="48"/>
  <c r="T32" i="48"/>
  <c r="AA32" i="48"/>
  <c r="AD46" i="48"/>
  <c r="Y22" i="48"/>
  <c r="R14" i="48"/>
  <c r="V21" i="48"/>
  <c r="J26" i="48"/>
  <c r="I30" i="48"/>
  <c r="W30" i="48"/>
  <c r="AL12" i="48"/>
  <c r="S17" i="48"/>
  <c r="I14" i="48"/>
  <c r="AL23" i="48"/>
  <c r="AI10" i="48"/>
  <c r="Z34" i="48"/>
  <c r="V11" i="48"/>
  <c r="S42" i="48"/>
  <c r="O45" i="48"/>
  <c r="Z13" i="48"/>
  <c r="AF51" i="48"/>
  <c r="J25" i="48"/>
  <c r="AI29" i="48"/>
  <c r="AF12" i="48"/>
  <c r="R15" i="48"/>
  <c r="AG18" i="48"/>
  <c r="M10" i="48"/>
  <c r="Y15" i="48"/>
  <c r="W17" i="48"/>
  <c r="Q31" i="48"/>
  <c r="AE43" i="48"/>
  <c r="AC36" i="48"/>
  <c r="K18" i="48"/>
  <c r="J40" i="48"/>
  <c r="AJ52" i="48"/>
  <c r="AI48" i="48"/>
  <c r="Z53" i="48"/>
  <c r="AG9" i="48"/>
  <c r="AC13" i="48"/>
  <c r="AL18" i="48"/>
  <c r="I11" i="48"/>
  <c r="AG11" i="48"/>
  <c r="AB9" i="48"/>
  <c r="V29" i="48"/>
  <c r="J48" i="48"/>
  <c r="T49" i="48"/>
  <c r="AD41" i="48"/>
  <c r="AB31" i="48"/>
  <c r="AF39" i="48"/>
  <c r="S34" i="48"/>
  <c r="L49" i="48"/>
  <c r="AD42" i="48"/>
  <c r="Q10" i="48"/>
  <c r="Q14" i="48"/>
  <c r="I15" i="48"/>
  <c r="S22" i="48"/>
  <c r="T24" i="48"/>
  <c r="Q27" i="48"/>
  <c r="U13" i="48"/>
  <c r="M24" i="48"/>
  <c r="AJ29" i="48"/>
  <c r="V23" i="48"/>
  <c r="AK39" i="48"/>
  <c r="Q45" i="48"/>
  <c r="Y10" i="48"/>
  <c r="L17" i="48"/>
  <c r="AG24" i="48"/>
  <c r="Z14" i="48"/>
  <c r="K28" i="48"/>
  <c r="AG22" i="48"/>
  <c r="Q17" i="48"/>
  <c r="AD17" i="48"/>
  <c r="V26" i="48"/>
  <c r="I28" i="48"/>
  <c r="V53" i="48"/>
  <c r="AF41" i="48"/>
  <c r="U41" i="48"/>
  <c r="Y29" i="48"/>
  <c r="Z48" i="48"/>
  <c r="J47" i="48"/>
  <c r="S27" i="48"/>
  <c r="S14" i="48"/>
  <c r="W16" i="48"/>
  <c r="AK25" i="48"/>
  <c r="K23" i="48"/>
  <c r="AE12" i="48"/>
  <c r="Y13" i="48"/>
  <c r="R24" i="48"/>
  <c r="K10" i="48"/>
  <c r="O48" i="48"/>
  <c r="M36" i="48"/>
  <c r="O35" i="48"/>
  <c r="J28" i="48"/>
  <c r="Z43" i="48"/>
  <c r="AJ41" i="48"/>
  <c r="AH13" i="48"/>
  <c r="AF14" i="48"/>
  <c r="AB27" i="48"/>
  <c r="K24" i="48"/>
  <c r="AJ18" i="48"/>
  <c r="R9" i="48"/>
  <c r="AF13" i="48"/>
  <c r="P21" i="48"/>
  <c r="L15" i="48"/>
  <c r="AG21" i="48"/>
  <c r="Y43" i="48"/>
  <c r="AB34" i="48"/>
  <c r="AG44" i="48"/>
  <c r="AC32" i="48"/>
  <c r="N34" i="48"/>
  <c r="V51" i="48"/>
  <c r="Q37" i="48"/>
  <c r="AK40" i="48"/>
  <c r="W22" i="48"/>
  <c r="AJ31" i="48"/>
  <c r="AK18" i="48"/>
  <c r="Y30" i="48"/>
  <c r="I26" i="48"/>
  <c r="AA15" i="48"/>
  <c r="P23" i="48"/>
  <c r="P49" i="48"/>
  <c r="T46" i="48"/>
  <c r="AD33" i="48"/>
  <c r="AI21" i="48"/>
  <c r="Q43" i="48"/>
  <c r="V52" i="48"/>
  <c r="R44" i="48"/>
  <c r="AB16" i="48"/>
  <c r="AH19" i="48"/>
  <c r="AD11" i="48"/>
  <c r="O30" i="48"/>
  <c r="AB10" i="48"/>
  <c r="U29" i="48"/>
  <c r="O24" i="48"/>
  <c r="U20" i="48"/>
  <c r="Z15" i="48"/>
  <c r="AF23" i="48"/>
  <c r="L32" i="48"/>
  <c r="AL46" i="48"/>
  <c r="AI46" i="48"/>
  <c r="I36" i="48"/>
  <c r="L43" i="48"/>
  <c r="AH50" i="48"/>
  <c r="L45" i="48"/>
  <c r="AE46" i="48"/>
  <c r="S51" i="48"/>
  <c r="L19" i="48"/>
  <c r="X23" i="48"/>
  <c r="S31" i="48"/>
  <c r="AK10" i="48"/>
  <c r="T18" i="48"/>
  <c r="T19" i="48"/>
  <c r="AG10" i="48"/>
  <c r="T21" i="48"/>
  <c r="AK9" i="48"/>
  <c r="AC18" i="48"/>
  <c r="AH14" i="48"/>
  <c r="K51" i="48"/>
  <c r="M38" i="48"/>
  <c r="AD37" i="48"/>
  <c r="R40" i="48"/>
  <c r="AH42" i="48"/>
  <c r="X48" i="48"/>
  <c r="I29" i="48"/>
  <c r="U28" i="48"/>
  <c r="L14" i="48"/>
  <c r="AF21" i="48"/>
  <c r="X13" i="48"/>
  <c r="Z23" i="48"/>
  <c r="P9" i="48"/>
  <c r="AB22" i="48"/>
  <c r="K17" i="48"/>
  <c r="AG26" i="48"/>
  <c r="AL10" i="48"/>
  <c r="AG46" i="48"/>
  <c r="AE35" i="48"/>
  <c r="Z31" i="48"/>
  <c r="AL35" i="48"/>
  <c r="AJ37" i="48"/>
  <c r="U43" i="48"/>
  <c r="AK19" i="48"/>
  <c r="AE30" i="48"/>
  <c r="AL20" i="48"/>
  <c r="I19" i="48"/>
  <c r="AJ15" i="48"/>
  <c r="U10" i="48"/>
  <c r="AD29" i="48"/>
  <c r="W25" i="48"/>
  <c r="X22" i="48"/>
  <c r="AF15" i="48"/>
  <c r="N42" i="48"/>
  <c r="AH40" i="48"/>
  <c r="AI44" i="48"/>
  <c r="AE25" i="48"/>
  <c r="AJ14" i="48"/>
  <c r="M22" i="48"/>
  <c r="T12" i="48"/>
  <c r="Z28" i="48"/>
  <c r="Q11" i="48"/>
  <c r="AD16" i="48"/>
  <c r="Z18" i="48"/>
  <c r="AH12" i="48"/>
  <c r="R30" i="48"/>
  <c r="AB52" i="48"/>
  <c r="Q39" i="48"/>
  <c r="T45" i="48"/>
  <c r="AJ40" i="48"/>
  <c r="AD38" i="48"/>
  <c r="Q36" i="48"/>
  <c r="AF34" i="48"/>
  <c r="M43" i="48"/>
  <c r="J44" i="48"/>
  <c r="I24" i="48"/>
  <c r="J22" i="48"/>
  <c r="J27" i="48"/>
  <c r="M28" i="48"/>
  <c r="AJ9" i="48"/>
  <c r="AB24" i="48"/>
  <c r="AB17" i="48"/>
  <c r="L18" i="48"/>
  <c r="U17" i="48"/>
  <c r="AC21" i="48"/>
  <c r="AH39" i="48"/>
  <c r="L34" i="48"/>
  <c r="AK33" i="48"/>
  <c r="N53" i="48"/>
  <c r="AL53" i="48"/>
  <c r="AL40" i="48"/>
  <c r="S35" i="48"/>
  <c r="V9" i="48"/>
  <c r="AL30" i="48"/>
  <c r="U25" i="48"/>
  <c r="AL17" i="48"/>
  <c r="AA25" i="48"/>
  <c r="AC14" i="48"/>
  <c r="V27" i="48"/>
  <c r="AA13" i="48"/>
  <c r="AB15" i="48"/>
  <c r="AJ26" i="48"/>
  <c r="N18" i="48"/>
  <c r="AJ42" i="48"/>
  <c r="AH53" i="48"/>
  <c r="O52" i="48"/>
  <c r="U47" i="48"/>
  <c r="AL38" i="48"/>
  <c r="P35" i="48"/>
  <c r="Z19" i="48"/>
  <c r="V20" i="48"/>
  <c r="AC11" i="48"/>
  <c r="K12" i="48"/>
  <c r="T30" i="48"/>
  <c r="R10" i="48"/>
  <c r="M11" i="48"/>
  <c r="AE27" i="48"/>
  <c r="S15" i="48"/>
  <c r="K45" i="48"/>
  <c r="I47" i="48"/>
  <c r="AC52" i="48"/>
  <c r="AK47" i="48"/>
  <c r="AH36" i="48"/>
  <c r="AI53" i="48"/>
  <c r="P36" i="48"/>
  <c r="AA39" i="48"/>
  <c r="L11" i="48"/>
  <c r="N15" i="48"/>
  <c r="AK24" i="48"/>
  <c r="AC16" i="48"/>
  <c r="P15" i="48"/>
  <c r="P16" i="48"/>
  <c r="AE15" i="48"/>
  <c r="U21" i="48"/>
  <c r="AK43" i="48"/>
  <c r="T29" i="48"/>
  <c r="R33" i="48"/>
  <c r="AA42" i="48"/>
  <c r="P38" i="48"/>
  <c r="K32" i="48"/>
  <c r="M37" i="48"/>
  <c r="V38" i="48"/>
  <c r="Y16" i="48"/>
  <c r="J43" i="48"/>
  <c r="T44" i="48"/>
  <c r="X20" i="48"/>
  <c r="U14" i="48"/>
  <c r="S16" i="48"/>
  <c r="U23" i="48"/>
  <c r="AK12" i="48"/>
  <c r="O14" i="48"/>
  <c r="V28" i="48"/>
  <c r="U30" i="48"/>
  <c r="M18" i="48"/>
  <c r="K14" i="48"/>
  <c r="AC27" i="48"/>
  <c r="Q49" i="48"/>
  <c r="AL41" i="48"/>
  <c r="V43" i="48"/>
  <c r="AB33" i="48"/>
  <c r="X38" i="48"/>
  <c r="R52" i="48"/>
  <c r="O41" i="48"/>
  <c r="J46" i="48"/>
  <c r="O18" i="48"/>
  <c r="J29" i="48"/>
  <c r="W26" i="48"/>
  <c r="AF27" i="48"/>
  <c r="AJ20" i="48"/>
  <c r="AH18" i="48"/>
  <c r="Z12" i="48"/>
  <c r="T22" i="48"/>
  <c r="J14" i="48"/>
  <c r="AH25" i="48"/>
  <c r="AI25" i="48"/>
  <c r="S44" i="48"/>
  <c r="Q35" i="48"/>
  <c r="AK51" i="48"/>
  <c r="W29" i="48"/>
  <c r="AE36" i="48"/>
  <c r="R35" i="48"/>
  <c r="AC9" i="48"/>
  <c r="M12" i="48"/>
  <c r="N23" i="48"/>
  <c r="N9" i="48"/>
  <c r="U27" i="48"/>
  <c r="R12" i="48"/>
  <c r="AH26" i="48"/>
  <c r="X11" i="48"/>
  <c r="M14" i="48"/>
  <c r="V18" i="48"/>
  <c r="Q15" i="48"/>
  <c r="AA27" i="48"/>
  <c r="AD26" i="48"/>
  <c r="W27" i="48"/>
  <c r="AF17" i="48"/>
  <c r="L20" i="48"/>
  <c r="P33" i="48"/>
  <c r="U34" i="48"/>
  <c r="K39" i="48"/>
  <c r="AH31" i="48"/>
  <c r="V47" i="48"/>
  <c r="U39" i="48"/>
  <c r="AB39" i="48"/>
  <c r="W12" i="48"/>
  <c r="Z24" i="48"/>
  <c r="J10" i="48"/>
  <c r="T23" i="48"/>
  <c r="T11" i="48"/>
  <c r="AG29" i="48"/>
  <c r="J20" i="48"/>
  <c r="K16" i="48"/>
  <c r="V15" i="48"/>
  <c r="AG28" i="48"/>
  <c r="AI50" i="48"/>
  <c r="AI51" i="48"/>
  <c r="T39" i="48"/>
  <c r="M34" i="48"/>
  <c r="AK16" i="48"/>
  <c r="J45" i="48"/>
  <c r="AG34" i="48"/>
  <c r="L33" i="48"/>
  <c r="J42" i="48"/>
  <c r="AA19" i="48"/>
  <c r="AF30" i="48"/>
  <c r="P20" i="48"/>
  <c r="N21" i="48"/>
  <c r="Q20" i="48"/>
  <c r="O25" i="48"/>
  <c r="J15" i="48"/>
  <c r="I20" i="48"/>
  <c r="S13" i="48"/>
  <c r="J33" i="48"/>
  <c r="X24" i="48"/>
  <c r="AL50" i="48"/>
  <c r="X47" i="48"/>
  <c r="R49" i="48"/>
  <c r="L52" i="48"/>
  <c r="Z25" i="48"/>
  <c r="T20" i="48"/>
  <c r="Q16" i="48"/>
  <c r="AJ10" i="48"/>
  <c r="AA10" i="48"/>
  <c r="O23" i="48"/>
  <c r="O13" i="48"/>
  <c r="X27" i="48"/>
  <c r="AC30" i="48"/>
  <c r="AL29" i="48"/>
  <c r="S18" i="48"/>
  <c r="X39" i="48"/>
  <c r="AG12" i="48"/>
  <c r="AE16" i="48"/>
  <c r="AB28" i="48"/>
  <c r="X34" i="48"/>
  <c r="AE32" i="48"/>
  <c r="N12" i="48"/>
  <c r="T26" i="48"/>
  <c r="Q25" i="48"/>
  <c r="AL26" i="48"/>
  <c r="Q30" i="48"/>
  <c r="I12" i="48"/>
  <c r="L12" i="48"/>
  <c r="Y20" i="48"/>
  <c r="N19" i="48"/>
  <c r="L22" i="48"/>
  <c r="AE10" i="48"/>
  <c r="Z50" i="48"/>
  <c r="AF36" i="48"/>
  <c r="N25" i="48"/>
  <c r="AF37" i="48"/>
  <c r="AK31" i="48"/>
  <c r="U42" i="48"/>
  <c r="P50" i="48"/>
  <c r="AI18" i="48"/>
  <c r="J23" i="48"/>
  <c r="AA22" i="48"/>
  <c r="AH22" i="48"/>
  <c r="AA24" i="48"/>
  <c r="N30" i="48"/>
  <c r="L21" i="48"/>
  <c r="AD20" i="48"/>
  <c r="L38" i="48"/>
  <c r="V25" i="48"/>
  <c r="T50" i="48"/>
  <c r="T33" i="48"/>
  <c r="J32" i="48"/>
  <c r="P51" i="48"/>
  <c r="AB32" i="48"/>
  <c r="AA33" i="48"/>
  <c r="U51" i="48"/>
  <c r="AG32" i="48"/>
  <c r="AF38" i="48"/>
  <c r="M41" i="48"/>
  <c r="AE18" i="48"/>
  <c r="AD27" i="48"/>
  <c r="V14" i="48"/>
  <c r="T14" i="48"/>
  <c r="AC12" i="48"/>
  <c r="N28" i="48"/>
  <c r="AF9" i="48"/>
  <c r="AB18" i="48"/>
  <c r="AL44" i="48"/>
  <c r="L50" i="48"/>
  <c r="X51" i="48"/>
  <c r="AC46" i="48"/>
  <c r="AK50" i="48"/>
  <c r="O15" i="48"/>
  <c r="V42" i="48"/>
  <c r="N51" i="48"/>
  <c r="X12" i="48"/>
  <c r="AC29" i="48"/>
  <c r="AI28" i="48"/>
  <c r="V17" i="48"/>
  <c r="AE9" i="48"/>
  <c r="AG25" i="48"/>
  <c r="AA26" i="48"/>
  <c r="R25" i="48"/>
  <c r="AB23" i="48"/>
  <c r="AG16" i="48"/>
  <c r="P22" i="48"/>
  <c r="AK14" i="48"/>
  <c r="S26" i="48"/>
  <c r="W23" i="48"/>
  <c r="J19" i="48"/>
  <c r="U15" i="48"/>
  <c r="Z30" i="48"/>
  <c r="W15" i="48"/>
  <c r="AG33" i="48"/>
  <c r="R22" i="48"/>
  <c r="W35" i="48"/>
  <c r="AL48" i="48"/>
  <c r="AJ23" i="48"/>
  <c r="AI38" i="48"/>
  <c r="U9" i="48"/>
  <c r="L26" i="48"/>
  <c r="P12" i="48"/>
  <c r="V12" i="48"/>
  <c r="Z29" i="48"/>
  <c r="L24" i="48"/>
  <c r="O20" i="48"/>
  <c r="Y28" i="48"/>
  <c r="AC50" i="48"/>
  <c r="AL43" i="48"/>
  <c r="T43" i="48"/>
  <c r="X30" i="48"/>
  <c r="S33" i="48"/>
  <c r="I38" i="48"/>
  <c r="AJ12" i="48"/>
  <c r="I22" i="48"/>
  <c r="M19" i="48"/>
  <c r="R17" i="48"/>
  <c r="J13" i="48"/>
  <c r="AF19" i="48"/>
  <c r="AD22" i="48"/>
  <c r="AF29" i="48"/>
  <c r="AI26" i="48"/>
  <c r="S20" i="48"/>
  <c r="AL11" i="48"/>
  <c r="AC45" i="48"/>
  <c r="M46" i="48"/>
  <c r="AL37" i="48"/>
  <c r="AE51" i="48"/>
  <c r="V39" i="48"/>
  <c r="AE39" i="48"/>
  <c r="M31" i="48"/>
  <c r="AD50" i="48"/>
  <c r="AH24" i="48"/>
  <c r="AL13" i="48"/>
  <c r="AK27" i="48"/>
  <c r="I13" i="48"/>
  <c r="AJ22" i="48"/>
  <c r="O9" i="48"/>
  <c r="AK11" i="48"/>
  <c r="AH9" i="48"/>
  <c r="K13" i="48"/>
  <c r="AD30" i="48"/>
  <c r="AA28" i="48"/>
  <c r="K38" i="48"/>
  <c r="M51" i="48"/>
  <c r="I49" i="48"/>
  <c r="Q38" i="48"/>
  <c r="AI49" i="48"/>
  <c r="W31" i="48"/>
  <c r="I48" i="48"/>
  <c r="N11" i="48"/>
  <c r="U16" i="48"/>
  <c r="U12" i="48"/>
  <c r="N16" i="48"/>
  <c r="R18" i="48"/>
  <c r="M16" i="48"/>
  <c r="AE19" i="48"/>
  <c r="AB21" i="48"/>
  <c r="O16" i="48"/>
  <c r="X29" i="48"/>
  <c r="AI15" i="48"/>
  <c r="AI47" i="48"/>
  <c r="Y34" i="48"/>
  <c r="R31" i="48"/>
  <c r="J51" i="48"/>
  <c r="AH49" i="48"/>
  <c r="AD51" i="48"/>
  <c r="M33" i="48"/>
  <c r="R47" i="48"/>
  <c r="AD39" i="48"/>
  <c r="AH48" i="48"/>
  <c r="S25" i="48"/>
  <c r="AI17" i="48"/>
  <c r="W19" i="48"/>
  <c r="S11" i="48"/>
  <c r="O10" i="48"/>
  <c r="I9" i="48"/>
  <c r="T27" i="48"/>
  <c r="AD14" i="48"/>
  <c r="Q12" i="48"/>
  <c r="AG47" i="48"/>
  <c r="AF31" i="48"/>
  <c r="AB20" i="48"/>
  <c r="U32" i="48"/>
  <c r="O47" i="48"/>
  <c r="O36" i="48"/>
  <c r="W45" i="48"/>
  <c r="O29" i="48"/>
  <c r="Q9" i="48"/>
  <c r="I18" i="48"/>
  <c r="Q28" i="48"/>
  <c r="L13" i="48"/>
  <c r="Q22" i="48"/>
  <c r="Y21" i="48"/>
  <c r="AK13" i="48"/>
  <c r="AJ24" i="48"/>
  <c r="AA12" i="48"/>
  <c r="AC25" i="48"/>
  <c r="R48" i="48"/>
  <c r="AD40" i="48"/>
  <c r="T25" i="48"/>
  <c r="Q42" i="48"/>
  <c r="K15" i="48"/>
  <c r="AH29" i="48"/>
  <c r="AE11" i="48"/>
  <c r="Z16" i="48"/>
  <c r="AL19" i="48"/>
  <c r="T28" i="48"/>
  <c r="AB12" i="48"/>
  <c r="X18" i="48"/>
  <c r="AG17" i="48"/>
  <c r="Z10" i="48"/>
  <c r="AI52" i="48"/>
  <c r="AK52" i="48"/>
  <c r="N37" i="48"/>
  <c r="AK45" i="48"/>
  <c r="X37" i="48"/>
  <c r="K34" i="48"/>
  <c r="AC34" i="48"/>
  <c r="AF49" i="48"/>
  <c r="AB40" i="48"/>
  <c r="W33" i="48"/>
  <c r="AH33" i="48"/>
  <c r="K37" i="48"/>
  <c r="AJ45" i="48"/>
  <c r="AA45" i="48"/>
  <c r="Y39" i="48"/>
  <c r="AC39" i="48"/>
  <c r="AH41" i="48"/>
  <c r="AG35" i="48"/>
  <c r="AF50" i="48"/>
  <c r="S49" i="48"/>
  <c r="AG43" i="48"/>
  <c r="AD49" i="48"/>
  <c r="N50" i="48"/>
  <c r="L39" i="48"/>
  <c r="O39" i="48"/>
  <c r="M47" i="48"/>
  <c r="L42" i="48"/>
  <c r="I35" i="48"/>
  <c r="L44" i="48"/>
  <c r="V41" i="48"/>
  <c r="W43" i="48"/>
  <c r="AK37" i="48"/>
  <c r="AL34" i="48"/>
  <c r="W39" i="48"/>
  <c r="AI42" i="48"/>
  <c r="X46" i="48"/>
  <c r="Y50" i="48"/>
  <c r="K48" i="48"/>
  <c r="AF22" i="48"/>
  <c r="K46" i="48"/>
  <c r="J50" i="48"/>
  <c r="P44" i="48"/>
  <c r="AA30" i="48"/>
  <c r="AG31" i="48"/>
  <c r="AA53" i="48"/>
  <c r="AH47" i="48"/>
  <c r="AK32" i="48"/>
  <c r="AA34" i="48"/>
  <c r="L31" i="48"/>
  <c r="S32" i="48"/>
  <c r="Z35" i="48"/>
  <c r="K42" i="48"/>
  <c r="AA49" i="48"/>
  <c r="AJ33" i="48"/>
  <c r="I31" i="48"/>
  <c r="J36" i="48"/>
  <c r="O43" i="48"/>
  <c r="Z33" i="48"/>
  <c r="M53" i="48"/>
  <c r="AJ43" i="48"/>
  <c r="R39" i="48"/>
  <c r="Q47" i="48"/>
  <c r="AG49" i="48"/>
  <c r="AH34" i="48"/>
  <c r="I53" i="48"/>
  <c r="AL51" i="48"/>
  <c r="Q40" i="48"/>
  <c r="W37" i="48"/>
  <c r="O33" i="48"/>
  <c r="I40" i="48"/>
  <c r="AD32" i="48"/>
  <c r="Q52" i="48"/>
  <c r="P53" i="48"/>
  <c r="AF53" i="48"/>
  <c r="N31" i="48"/>
  <c r="AC40" i="48"/>
  <c r="AC37" i="48"/>
  <c r="N10" i="48"/>
  <c r="AC38" i="48"/>
  <c r="P48" i="48"/>
  <c r="AG38" i="48"/>
  <c r="P52" i="48"/>
  <c r="O50" i="48"/>
  <c r="AL52" i="48"/>
  <c r="AG51" i="48"/>
  <c r="Z36" i="48"/>
  <c r="AH46" i="48"/>
  <c r="O51" i="48"/>
  <c r="AJ50" i="48"/>
  <c r="R42" i="48"/>
  <c r="V19" i="48"/>
  <c r="AI36" i="48"/>
  <c r="AK46" i="48"/>
  <c r="O32" i="48"/>
  <c r="AI32" i="48"/>
  <c r="AK53" i="48"/>
  <c r="I42" i="48"/>
  <c r="AB42" i="48"/>
  <c r="L36" i="48"/>
  <c r="V50" i="48"/>
  <c r="AG48" i="48"/>
  <c r="AD48" i="48"/>
  <c r="Y42" i="48"/>
  <c r="U36" i="48"/>
  <c r="AB43" i="48"/>
  <c r="V34" i="48"/>
  <c r="K33" i="48"/>
  <c r="W50" i="48"/>
  <c r="AF45" i="48"/>
  <c r="AL49" i="48"/>
  <c r="N35" i="48"/>
  <c r="T41" i="48"/>
  <c r="T37" i="48"/>
  <c r="AC51" i="48"/>
  <c r="AG50" i="48"/>
  <c r="X52" i="48"/>
  <c r="AI41" i="48"/>
  <c r="R43" i="48"/>
  <c r="I34" i="48"/>
  <c r="K30" i="48"/>
  <c r="W51" i="48"/>
  <c r="N52" i="48"/>
  <c r="X40" i="48"/>
  <c r="AD45" i="48"/>
  <c r="P41" i="48"/>
  <c r="Y45" i="48"/>
  <c r="R51" i="48"/>
  <c r="AA43" i="48"/>
  <c r="AA50" i="48"/>
  <c r="L37" i="48"/>
  <c r="K50" i="48"/>
  <c r="Q51" i="48"/>
  <c r="AE49" i="48"/>
  <c r="AK48" i="48"/>
  <c r="Y52" i="48"/>
  <c r="AF40" i="48"/>
  <c r="K35" i="48"/>
  <c r="W36" i="48"/>
  <c r="AA36" i="48"/>
  <c r="V40" i="48"/>
  <c r="U45" i="48"/>
  <c r="M32" i="48"/>
  <c r="AL42" i="48"/>
  <c r="U53" i="48"/>
  <c r="J39" i="48"/>
  <c r="AJ53" i="48"/>
  <c r="AE48" i="48"/>
  <c r="U52" i="48"/>
  <c r="K36" i="48"/>
  <c r="N48" i="48"/>
  <c r="AB45" i="48"/>
  <c r="AH43" i="48"/>
  <c r="AC31" i="48"/>
  <c r="Q29" i="48"/>
  <c r="AJ39" i="48"/>
  <c r="J31" i="48"/>
  <c r="AH21" i="48"/>
  <c r="AC43" i="48"/>
  <c r="P37" i="48"/>
  <c r="X53" i="48"/>
  <c r="O34" i="48"/>
  <c r="V33" i="48"/>
  <c r="AH52" i="48"/>
  <c r="AD52" i="48"/>
  <c r="AE40" i="48"/>
  <c r="K49" i="48"/>
  <c r="AK34" i="48"/>
  <c r="T36" i="48"/>
  <c r="S43" i="48"/>
  <c r="W42" i="48"/>
  <c r="W38" i="48"/>
  <c r="AL33" i="48"/>
  <c r="S53" i="48"/>
  <c r="I51" i="48"/>
  <c r="Y38" i="48"/>
  <c r="AJ49" i="48"/>
  <c r="Y37" i="48"/>
  <c r="Y36" i="48"/>
  <c r="AD34" i="48"/>
  <c r="AJ47" i="48"/>
  <c r="AA52" i="48"/>
  <c r="W48" i="48"/>
  <c r="AF33" i="48"/>
  <c r="U40" i="48"/>
  <c r="AE44" i="48"/>
  <c r="N40" i="48"/>
  <c r="AH32" i="48"/>
  <c r="R37" i="48"/>
  <c r="Q50" i="48"/>
  <c r="R32" i="48"/>
  <c r="AA44" i="48"/>
  <c r="AJ44" i="48"/>
  <c r="J38" i="48"/>
  <c r="AC44" i="48"/>
  <c r="AD43" i="48"/>
  <c r="N38" i="48"/>
  <c r="X32" i="48"/>
  <c r="AI31" i="48"/>
  <c r="Z37" i="48"/>
  <c r="AB46" i="48"/>
  <c r="I52" i="48"/>
  <c r="Y51" i="48"/>
  <c r="W46" i="48"/>
  <c r="U48" i="48"/>
  <c r="X43" i="48"/>
  <c r="W32" i="48"/>
  <c r="AG52" i="48"/>
  <c r="Y48" i="48"/>
  <c r="X36" i="48"/>
  <c r="W44" i="48"/>
  <c r="T38" i="48"/>
  <c r="AD44" i="48"/>
  <c r="L46" i="48"/>
  <c r="T48" i="48"/>
  <c r="AI35" i="48"/>
  <c r="M48" i="48"/>
  <c r="S45" i="48"/>
  <c r="L53" i="48"/>
  <c r="AB53" i="48"/>
  <c r="AF32" i="48"/>
  <c r="AI45" i="48"/>
  <c r="O46" i="48"/>
  <c r="V46" i="48"/>
  <c r="AK35" i="48"/>
  <c r="U33" i="48"/>
  <c r="R38" i="48"/>
  <c r="O42" i="48"/>
  <c r="O44" i="48"/>
  <c r="U35" i="48"/>
  <c r="V37" i="48"/>
  <c r="X35" i="48"/>
  <c r="Z32" i="48"/>
  <c r="Y35" i="48"/>
  <c r="U49" i="48"/>
  <c r="Q23" i="48"/>
  <c r="O53" i="48"/>
  <c r="O31" i="48"/>
  <c r="V45" i="48"/>
  <c r="I37" i="48"/>
  <c r="Z45" i="48"/>
  <c r="AH44" i="48"/>
  <c r="AG42" i="48"/>
  <c r="L48" i="48"/>
  <c r="P40" i="48"/>
  <c r="T31" i="48"/>
  <c r="I44" i="48"/>
  <c r="AC41" i="48"/>
  <c r="AF52" i="48"/>
  <c r="Z52" i="48"/>
  <c r="M49" i="48"/>
  <c r="AB44" i="48"/>
  <c r="T51" i="48"/>
  <c r="M40" i="48"/>
  <c r="AF35" i="48"/>
  <c r="L30" i="48"/>
  <c r="AB38" i="48"/>
  <c r="Y32" i="48"/>
  <c r="K47" i="48"/>
  <c r="Z46" i="48"/>
  <c r="N39" i="48"/>
  <c r="N44" i="48"/>
  <c r="AF44" i="48"/>
  <c r="R53" i="48"/>
  <c r="X33" i="48"/>
  <c r="U38" i="48"/>
  <c r="I46" i="48"/>
  <c r="AA47" i="48"/>
  <c r="AL47" i="48"/>
  <c r="AK44" i="48"/>
  <c r="Z49" i="48"/>
  <c r="AB37" i="48"/>
  <c r="R34" i="48"/>
  <c r="Q41" i="48"/>
  <c r="AJ34" i="48"/>
  <c r="J37" i="48"/>
  <c r="AG53" i="48"/>
  <c r="Z39" i="48"/>
  <c r="AH38" i="48"/>
  <c r="AK38" i="48"/>
  <c r="AC53" i="48"/>
  <c r="N47" i="48"/>
  <c r="M42" i="48"/>
  <c r="Y41" i="48"/>
  <c r="J49" i="48"/>
  <c r="AJ30" i="48"/>
  <c r="I50" i="48"/>
  <c r="AI39" i="48"/>
  <c r="AD53" i="48"/>
  <c r="X41" i="48"/>
  <c r="AE34" i="48"/>
  <c r="Z38" i="48"/>
  <c r="AB29" i="48"/>
  <c r="J52" i="48"/>
  <c r="W49" i="48"/>
  <c r="AA38" i="48"/>
  <c r="T42" i="48"/>
  <c r="AF46" i="48"/>
  <c r="O49" i="48"/>
  <c r="R50" i="48"/>
  <c r="AB50" i="48"/>
  <c r="P47" i="48"/>
  <c r="Y25" i="48"/>
  <c r="AI37" i="48"/>
  <c r="AI43" i="48"/>
  <c r="Z41" i="48"/>
  <c r="AJ35" i="48"/>
  <c r="W53" i="48"/>
  <c r="AA37" i="48"/>
  <c r="I33" i="48"/>
  <c r="S47" i="48"/>
  <c r="L47" i="48"/>
  <c r="DZ4" i="46"/>
  <c r="DZ2" i="46" s="1"/>
  <c r="CP4" i="46"/>
  <c r="CP2" i="46" s="1"/>
  <c r="CA4" i="46"/>
  <c r="CA2" i="46" s="1"/>
  <c r="FA4" i="46"/>
  <c r="FA2" i="46" s="1"/>
  <c r="BX4" i="46"/>
  <c r="BX2" i="46" s="1"/>
  <c r="BU4" i="46"/>
  <c r="BU2" i="46" s="1"/>
  <c r="DK4" i="46"/>
  <c r="DK2" i="46" s="1"/>
  <c r="EL4" i="46"/>
  <c r="EL2" i="46" s="1"/>
  <c r="EO4" i="46"/>
  <c r="EO2" i="46" s="1"/>
  <c r="AE4" i="46"/>
  <c r="AE2" i="46" s="1"/>
  <c r="CS4" i="46"/>
  <c r="CS2" i="46" s="1"/>
  <c r="BR4" i="46"/>
  <c r="BR2" i="46" s="1"/>
  <c r="ER4" i="46"/>
  <c r="ER2" i="46" s="1"/>
  <c r="EX4" i="46"/>
  <c r="EX2" i="46" s="1"/>
  <c r="AN4" i="46"/>
  <c r="AN2" i="46" s="1"/>
  <c r="FG4" i="46"/>
  <c r="FG2" i="46" s="1"/>
  <c r="DQ4" i="46"/>
  <c r="DQ2" i="46" s="1"/>
  <c r="BF4" i="46"/>
  <c r="BF2" i="46" s="1"/>
  <c r="EC4" i="46"/>
  <c r="EC2" i="46" s="1"/>
  <c r="AZ4" i="46"/>
  <c r="AZ2" i="46" s="1"/>
  <c r="DB4" i="46"/>
  <c r="DB2" i="46" s="1"/>
  <c r="DW4" i="46"/>
  <c r="DW2" i="46" s="1"/>
  <c r="DN4" i="46"/>
  <c r="DN2" i="46" s="1"/>
  <c r="BC4" i="46"/>
  <c r="BC2" i="46" s="1"/>
  <c r="CD4" i="46"/>
  <c r="CD2" i="46" s="1"/>
  <c r="FD4" i="46"/>
  <c r="FD2" i="46" s="1"/>
  <c r="EF4" i="46"/>
  <c r="EF2" i="46" s="1"/>
  <c r="AQ4" i="46"/>
  <c r="AQ2" i="46" s="1"/>
  <c r="DE4" i="46"/>
  <c r="DE2" i="46" s="1"/>
  <c r="FJ4" i="46"/>
  <c r="FJ2" i="46" s="1"/>
  <c r="AW4" i="46"/>
  <c r="AW2" i="46" s="1"/>
  <c r="CJ4" i="46"/>
  <c r="CJ2" i="46" s="1"/>
  <c r="CM4" i="46"/>
  <c r="CM2" i="46" s="1"/>
  <c r="AH4" i="46"/>
  <c r="AH2" i="46" s="1"/>
  <c r="DH4" i="46"/>
  <c r="DH2" i="46" s="1"/>
  <c r="AK4" i="46"/>
  <c r="CV4" i="46"/>
  <c r="CY4" i="46"/>
  <c r="DT4" i="46"/>
  <c r="EI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EI2" i="46"/>
  <c r="CY2" i="46"/>
  <c r="DT2" i="46"/>
  <c r="CV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EI3" i="46"/>
  <c r="Y3" i="46"/>
  <c r="DH3" i="46"/>
  <c r="CS3" i="46"/>
  <c r="AQ3" i="46"/>
  <c r="AZ3" i="46"/>
  <c r="BI3" i="46"/>
  <c r="DZ3" i="46"/>
  <c r="DN3" i="46"/>
  <c r="BO3" i="46"/>
  <c r="BR3" i="46"/>
  <c r="EC3" i="46"/>
  <c r="AB3" i="46"/>
  <c r="AH3" i="46"/>
  <c r="AN3" i="46"/>
  <c r="DE3" i="46"/>
  <c r="CV3" i="46"/>
  <c r="CA3" i="46"/>
  <c r="AK3" i="46"/>
  <c r="S3" i="46"/>
  <c r="FG3" i="46"/>
  <c r="CY3" i="46"/>
  <c r="DK3" i="46"/>
  <c r="CP3" i="46"/>
  <c r="ER3" i="46"/>
  <c r="FJ3" i="46"/>
  <c r="CG3" i="46"/>
  <c r="DT3" i="46"/>
  <c r="CJ3" i="46"/>
  <c r="DB3" i="46"/>
  <c r="BL3" i="46"/>
  <c r="AE3" i="46"/>
  <c r="DQ3" i="46"/>
  <c r="FA3" i="46"/>
  <c r="EX3" i="46"/>
  <c r="CD3" i="46"/>
  <c r="CM3" i="46"/>
  <c r="EL3" i="46"/>
  <c r="BX3" i="46"/>
  <c r="DW3" i="46"/>
  <c r="FD3" i="46"/>
  <c r="EU3" i="46"/>
  <c r="EO3" i="46"/>
  <c r="AW3" i="46"/>
  <c r="V3" i="46"/>
  <c r="BC3" i="46"/>
  <c r="EF3" i="46"/>
  <c r="AT3" i="46"/>
  <c r="V2" i="46"/>
  <c r="BF3" i="46"/>
  <c r="AK1" i="46" l="1"/>
  <c r="DN1" i="46"/>
  <c r="DE1" i="46"/>
  <c r="CJ1" i="46"/>
  <c r="Y1" i="46"/>
  <c r="BO1" i="46"/>
  <c r="DW1" i="46"/>
  <c r="CP1" i="46"/>
  <c r="AN1" i="46"/>
  <c r="DK1" i="46"/>
  <c r="FA1" i="46"/>
  <c r="EL1" i="46"/>
  <c r="EC1" i="46"/>
  <c r="AT1" i="46"/>
  <c r="EX1" i="46"/>
  <c r="CA1" i="46"/>
  <c r="BX1" i="46"/>
  <c r="BI1" i="46"/>
  <c r="BR1" i="46"/>
  <c r="FJ1" i="46"/>
  <c r="CY1" i="46"/>
  <c r="BC1" i="46"/>
  <c r="DT1" i="46"/>
  <c r="CD1" i="46"/>
  <c r="DQ1" i="46"/>
  <c r="FG1" i="46"/>
  <c r="DZ1" i="46"/>
  <c r="AZ1" i="46"/>
  <c r="EO1" i="46"/>
  <c r="AH1" i="46"/>
  <c r="S1" i="46"/>
  <c r="BU1" i="46"/>
  <c r="V1" i="46"/>
  <c r="AW1" i="46"/>
  <c r="DH1" i="46"/>
  <c r="EU1" i="46"/>
  <c r="FD1" i="46"/>
  <c r="AB1" i="46"/>
  <c r="DB1" i="46"/>
  <c r="EF1" i="46"/>
  <c r="AE1" i="46"/>
  <c r="BL1" i="46"/>
  <c r="BF1" i="46"/>
  <c r="EI1" i="46"/>
  <c r="CV1" i="46"/>
  <c r="CM1" i="46"/>
  <c r="ER1" i="46"/>
  <c r="AQ1" i="46"/>
  <c r="CG1" i="46"/>
  <c r="CS1" i="46"/>
  <c r="H5" i="47" l="1" a="1"/>
  <c r="H5" i="47" s="1"/>
  <c r="R14" i="47"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Q35" i="47" a="1"/>
  <c r="Q35" i="47" s="1"/>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Q45" i="47" a="1"/>
  <c r="Q4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P39" i="47" a="1"/>
  <c r="P39" i="47" s="1"/>
  <c r="Q51" i="47" a="1"/>
  <c r="Q51" i="47" s="1"/>
  <c r="N20" i="47" a="1"/>
  <c r="N20" i="47" s="1"/>
  <c r="Q27" i="47" a="1"/>
  <c r="Q27" i="47" s="1"/>
  <c r="J53" i="47" a="1"/>
  <c r="J53" i="47" s="1"/>
  <c r="R53" i="47" a="1"/>
  <c r="R53" i="47" s="1"/>
  <c r="L40" i="47" a="1"/>
  <c r="L40" i="47" s="1"/>
  <c r="R37" i="47" a="1"/>
  <c r="R37" i="47" s="1"/>
  <c r="S29" i="47" a="1"/>
  <c r="S29" i="47" s="1"/>
  <c r="K31" i="47" a="1"/>
  <c r="K31" i="47" s="1"/>
  <c r="Q47" i="47" a="1"/>
  <c r="Q47" i="47" s="1"/>
  <c r="E31" i="47" a="1"/>
  <c r="E31" i="47" s="1"/>
  <c r="M21" i="47" a="1"/>
  <c r="M21" i="47" s="1"/>
  <c r="O24" i="47" a="1"/>
  <c r="O24" i="47" s="1"/>
  <c r="S39" i="47" a="1"/>
  <c r="S39" i="47" s="1"/>
  <c r="N18" i="47" a="1"/>
  <c r="N18" i="47" s="1"/>
  <c r="L45" i="47" a="1"/>
  <c r="L45" i="47" s="1"/>
  <c r="M32" i="47" a="1"/>
  <c r="M32" i="47" s="1"/>
  <c r="K40" i="47" a="1"/>
  <c r="K40" i="47" s="1"/>
  <c r="N43" i="47" a="1"/>
  <c r="N43" i="47" s="1"/>
  <c r="J27" i="47" a="1"/>
  <c r="J27" i="47" s="1"/>
  <c r="L26" i="47" a="1"/>
  <c r="L26" i="47" s="1"/>
  <c r="K20" i="47" a="1"/>
  <c r="K20" i="47" s="1"/>
  <c r="L23" i="47" a="1"/>
  <c r="L23" i="47" s="1"/>
  <c r="N53" i="47" a="1"/>
  <c r="N53" i="47" s="1"/>
  <c r="E24" i="47" a="1"/>
  <c r="E24" i="47" s="1"/>
  <c r="R41" i="47" a="1"/>
  <c r="R41" i="47" s="1"/>
  <c r="J19" i="47" a="1"/>
  <c r="J19" i="47" s="1"/>
  <c r="O45" i="47" a="1"/>
  <c r="O45" i="47" s="1"/>
  <c r="J33" i="47" a="1"/>
  <c r="J33" i="47" s="1"/>
  <c r="L37" i="47" a="1"/>
  <c r="L37" i="47" s="1"/>
  <c r="N24" i="47" a="1"/>
  <c r="N24" i="47" s="1"/>
  <c r="P31" i="47" a="1"/>
  <c r="P31" i="47" s="1"/>
  <c r="R23" i="47" a="1"/>
  <c r="R23" i="47" s="1"/>
  <c r="E18" i="47" a="1"/>
  <c r="E18" i="47" s="1"/>
  <c r="J48" i="47" a="1"/>
  <c r="J48" i="47" s="1"/>
  <c r="Q22" i="47" a="1"/>
  <c r="Q22" i="47" s="1"/>
  <c r="L28" i="47" a="1"/>
  <c r="L28" i="47" s="1"/>
  <c r="N44" i="47" a="1"/>
  <c r="N44" i="47" s="1"/>
  <c r="K27" i="47" a="1"/>
  <c r="K27" i="47" s="1"/>
  <c r="J38" i="47" a="1"/>
  <c r="J38" i="47" s="1"/>
  <c r="L20" i="47" a="1"/>
  <c r="L20" i="47" s="1"/>
  <c r="O35" i="47" a="1"/>
  <c r="O35" i="47" s="1"/>
  <c r="K44" i="47" a="1"/>
  <c r="K44" i="47" s="1"/>
  <c r="S36" i="47" a="1"/>
  <c r="S36" i="47" s="1"/>
  <c r="M22" i="47" a="1"/>
  <c r="M22" i="47" s="1"/>
  <c r="P41" i="47" a="1"/>
  <c r="P41" i="47" s="1"/>
  <c r="S40" i="47" a="1"/>
  <c r="S40" i="47" s="1"/>
  <c r="P54" i="47" a="1"/>
  <c r="P54" i="47" s="1"/>
  <c r="P37" i="47" a="1"/>
  <c r="P37" i="47" s="1"/>
  <c r="R18" i="47" a="1"/>
  <c r="R18" i="47" s="1"/>
  <c r="M43" i="47" a="1"/>
  <c r="M43" i="47" s="1"/>
  <c r="R19" i="47" a="1"/>
  <c r="R19" i="47" s="1"/>
  <c r="P21" i="47" a="1"/>
  <c r="P21" i="47" s="1"/>
  <c r="H45" i="47" a="1"/>
  <c r="H45" i="47" s="1"/>
  <c r="K18" i="47" a="1"/>
  <c r="K18" i="47" s="1"/>
  <c r="Q31" i="47" a="1"/>
  <c r="Q31" i="47" s="1"/>
  <c r="Q18" i="47" a="1"/>
  <c r="Q18" i="47" s="1"/>
  <c r="Q29" i="47" a="1"/>
  <c r="Q29" i="47" s="1"/>
  <c r="N22" i="47" a="1"/>
  <c r="N22" i="47" s="1"/>
  <c r="H50" i="47" a="1"/>
  <c r="H50" i="47" s="1"/>
  <c r="P47" i="47" a="1"/>
  <c r="P47" i="47" s="1"/>
  <c r="N45" i="47" a="1"/>
  <c r="N45" i="47" s="1"/>
  <c r="J44" i="47" a="1"/>
  <c r="J44" i="47" s="1"/>
  <c r="O21" i="47" a="1"/>
  <c r="O21" i="47" s="1"/>
  <c r="N30" i="47" a="1"/>
  <c r="N30" i="47" s="1"/>
  <c r="O27" i="47" a="1"/>
  <c r="O27" i="47" s="1"/>
  <c r="L27" i="47" a="1"/>
  <c r="L27" i="47" s="1"/>
  <c r="P28" i="47" a="1"/>
  <c r="P28" i="47" s="1"/>
  <c r="R29" i="47" a="1"/>
  <c r="R29" i="47" s="1"/>
  <c r="L30" i="47" a="1"/>
  <c r="L30" i="47" s="1"/>
  <c r="M33" i="47" a="1"/>
  <c r="M33" i="47" s="1"/>
  <c r="R33" i="47" a="1"/>
  <c r="R33" i="47" s="1"/>
  <c r="S24" i="47" a="1"/>
  <c r="S24" i="47" s="1"/>
  <c r="S48" i="47" a="1"/>
  <c r="S48" i="47" s="1"/>
  <c r="I46" i="47" a="1"/>
  <c r="I46" i="47" s="1"/>
  <c r="N32" i="47" a="1"/>
  <c r="N32" i="47" s="1"/>
  <c r="L52" i="47" a="1"/>
  <c r="L52" i="47" s="1"/>
  <c r="P35" i="47" a="1"/>
  <c r="P35" i="47" s="1"/>
  <c r="S31" i="47" a="1"/>
  <c r="S31" i="47" s="1"/>
  <c r="M26" i="47" a="1"/>
  <c r="M26" i="47" s="1"/>
  <c r="F26" i="47" a="1"/>
  <c r="F26" i="47" s="1"/>
  <c r="P36" i="47" a="1"/>
  <c r="P36" i="47" s="1"/>
  <c r="P19" i="47" a="1"/>
  <c r="P19" i="47" s="1"/>
  <c r="K46" i="47" a="1"/>
  <c r="K46" i="47" s="1"/>
  <c r="S52" i="47" a="1"/>
  <c r="S52" i="47" s="1"/>
  <c r="Q42" i="47" a="1"/>
  <c r="Q42" i="47" s="1"/>
  <c r="S19" i="47" a="1"/>
  <c r="S19" i="47" s="1"/>
  <c r="K34" i="47" a="1"/>
  <c r="K34" i="47" s="1"/>
  <c r="N28" i="47" a="1"/>
  <c r="N28" i="47" s="1"/>
  <c r="K35" i="47" a="1"/>
  <c r="K35" i="47" s="1"/>
  <c r="S44" i="47" a="1"/>
  <c r="S44" i="47" s="1"/>
  <c r="P23" i="47" a="1"/>
  <c r="P23" i="47" s="1"/>
  <c r="R22" i="47" a="1"/>
  <c r="R22" i="47" s="1"/>
  <c r="K30" i="47" a="1"/>
  <c r="K30" i="47" s="1"/>
  <c r="R27" i="47" a="1"/>
  <c r="R27" i="47" s="1"/>
  <c r="L33" i="47" a="1"/>
  <c r="L33" i="47" s="1"/>
  <c r="M23" i="47" a="1"/>
  <c r="M23" i="47" s="1"/>
  <c r="L42" i="47" a="1"/>
  <c r="L42" i="47" s="1"/>
  <c r="O47" i="47" a="1"/>
  <c r="O47" i="47" s="1"/>
  <c r="M39" i="47" a="1"/>
  <c r="M39" i="47" s="1"/>
  <c r="J20" i="47" a="1"/>
  <c r="J20" i="47" s="1"/>
  <c r="M38" i="47" a="1"/>
  <c r="M38" i="47" s="1"/>
  <c r="O44" i="47" a="1"/>
  <c r="O44" i="47" s="1"/>
  <c r="S32" i="47" a="1"/>
  <c r="S32" i="47" s="1"/>
  <c r="P26" i="47" a="1"/>
  <c r="P26" i="47" s="1"/>
  <c r="N46" i="47" a="1"/>
  <c r="N46" i="47" s="1"/>
  <c r="G48" i="47" a="1"/>
  <c r="G48" i="47" s="1"/>
  <c r="L48" i="47" a="1"/>
  <c r="L48" i="47" s="1"/>
  <c r="Q38" i="47" a="1"/>
  <c r="Q38" i="47" s="1"/>
  <c r="R20" i="47" a="1"/>
  <c r="R20" i="47" s="1"/>
  <c r="L51" i="47" a="1"/>
  <c r="L51" i="47" s="1"/>
  <c r="P46" i="47" a="1"/>
  <c r="P46" i="47" s="1"/>
  <c r="R42" i="47" a="1"/>
  <c r="R42" i="47" s="1"/>
  <c r="N51" i="47" a="1"/>
  <c r="N51" i="47" s="1"/>
  <c r="M27" i="47" a="1"/>
  <c r="M27" i="47" s="1"/>
  <c r="Q50" i="47" a="1"/>
  <c r="Q50" i="47" s="1"/>
  <c r="J30" i="47" a="1"/>
  <c r="J30" i="47" s="1"/>
  <c r="L17" i="47" a="1"/>
  <c r="L17" i="47" s="1"/>
  <c r="I45" i="47" a="1"/>
  <c r="I45" i="47" s="1"/>
  <c r="O32" i="47" a="1"/>
  <c r="O32" i="47" s="1"/>
  <c r="M24" i="47" a="1"/>
  <c r="M24" i="47" s="1"/>
  <c r="I26" i="47" a="1"/>
  <c r="I26" i="47" s="1"/>
  <c r="K25" i="47" a="1"/>
  <c r="K25" i="47" s="1"/>
  <c r="J42" i="47" a="1"/>
  <c r="J42" i="47" s="1"/>
  <c r="M31" i="47" a="1"/>
  <c r="M31" i="47" s="1"/>
  <c r="O18" i="47" a="1"/>
  <c r="O18" i="47" s="1"/>
  <c r="L47" i="47" a="1"/>
  <c r="L47" i="47" s="1"/>
  <c r="S38" i="47" a="1"/>
  <c r="S38" i="47" s="1"/>
  <c r="O34" i="47" a="1"/>
  <c r="O34" i="47" s="1"/>
  <c r="K37" i="47" a="1"/>
  <c r="K37" i="47" s="1"/>
  <c r="J17" i="47" a="1"/>
  <c r="J17" i="47" s="1"/>
  <c r="O49" i="47" a="1"/>
  <c r="O49" i="47" s="1"/>
  <c r="H25" i="47" a="1"/>
  <c r="H25" i="47" s="1"/>
  <c r="N42" i="47" a="1"/>
  <c r="N42" i="47" s="1"/>
  <c r="H48" i="47" a="1"/>
  <c r="H48" i="47" s="1"/>
  <c r="M47" i="47" a="1"/>
  <c r="M47" i="47" s="1"/>
  <c r="K33" i="47" a="1"/>
  <c r="K33" i="47" s="1"/>
  <c r="S21" i="47" a="1"/>
  <c r="S21" i="47" s="1"/>
  <c r="N19" i="47" a="1"/>
  <c r="N19" i="47" s="1"/>
  <c r="N33" i="47" a="1"/>
  <c r="N33" i="47" s="1"/>
  <c r="N47" i="47" a="1"/>
  <c r="N47" i="47" s="1"/>
  <c r="K51" i="47" a="1"/>
  <c r="K51" i="47" s="1"/>
  <c r="Q33" i="47" a="1"/>
  <c r="Q33" i="47" s="1"/>
  <c r="P48" i="47" a="1"/>
  <c r="P48" i="47" s="1"/>
  <c r="K45" i="47" a="1"/>
  <c r="K45" i="47" s="1"/>
  <c r="O28" i="47" a="1"/>
  <c r="O28" i="47" s="1"/>
  <c r="S33" i="47" a="1"/>
  <c r="S33" i="47" s="1"/>
  <c r="N34" i="47" a="1"/>
  <c r="N34" i="47" s="1"/>
  <c r="S49" i="47" a="1"/>
  <c r="S49" i="47" s="1"/>
  <c r="J46" i="47" a="1"/>
  <c r="J46" i="47" s="1"/>
  <c r="J52" i="47" a="1"/>
  <c r="J52" i="47" s="1"/>
  <c r="P25" i="47" a="1"/>
  <c r="P25" i="47" s="1"/>
  <c r="O30" i="47" a="1"/>
  <c r="O30" i="47" s="1"/>
  <c r="Q19" i="47" a="1"/>
  <c r="Q19" i="47" s="1"/>
  <c r="O33" i="47" a="1"/>
  <c r="O33" i="47" s="1"/>
  <c r="Q21" i="47" a="1"/>
  <c r="Q21" i="47" s="1"/>
  <c r="L39" i="47" a="1"/>
  <c r="L39" i="47" s="1"/>
  <c r="R17" i="47" a="1"/>
  <c r="R17" i="47" s="1"/>
  <c r="M20" i="47" a="1"/>
  <c r="M20" i="47" s="1"/>
  <c r="N17" i="47" a="1"/>
  <c r="N17" i="47" s="1"/>
  <c r="O54" i="47" a="1"/>
  <c r="O54" i="47" s="1"/>
  <c r="R40" i="47" a="1"/>
  <c r="R40" i="47" s="1"/>
  <c r="J40" i="47" a="1"/>
  <c r="J40" i="47" s="1"/>
  <c r="Q20" i="47" a="1"/>
  <c r="Q20" i="47" s="1"/>
  <c r="J39" i="47" a="1"/>
  <c r="J39" i="47" s="1"/>
  <c r="L25" i="47" a="1"/>
  <c r="L25" i="47" s="1"/>
  <c r="R51" i="47" a="1"/>
  <c r="R51" i="47" s="1"/>
  <c r="J24" i="47" a="1"/>
  <c r="J24" i="47" s="1"/>
  <c r="P43" i="47" a="1"/>
  <c r="P43" i="47" s="1"/>
  <c r="Q40" i="47" a="1"/>
  <c r="Q40" i="47" s="1"/>
  <c r="K29" i="47" a="1"/>
  <c r="K29" i="47" s="1"/>
  <c r="M50" i="47" a="1"/>
  <c r="M50" i="47" s="1"/>
  <c r="L24" i="47" a="1"/>
  <c r="L24" i="47" s="1"/>
  <c r="J51" i="47" a="1"/>
  <c r="J51" i="47" s="1"/>
  <c r="M46" i="47" a="1"/>
  <c r="M46" i="47" s="1"/>
  <c r="O41" i="47" a="1"/>
  <c r="O41" i="47" s="1"/>
  <c r="Q26" i="47" a="1"/>
  <c r="Q26" i="47" s="1"/>
  <c r="J21" i="47" a="1"/>
  <c r="J21" i="47" s="1"/>
  <c r="L22" i="47" a="1"/>
  <c r="L22" i="47" s="1"/>
  <c r="S42" i="47" a="1"/>
  <c r="S42" i="47" s="1"/>
  <c r="L18" i="47" a="1"/>
  <c r="L18" i="47" s="1"/>
  <c r="R52" i="47" a="1"/>
  <c r="R52" i="47" s="1"/>
  <c r="O43" i="47" a="1"/>
  <c r="O43" i="47" s="1"/>
  <c r="Q23" i="47" a="1"/>
  <c r="Q23" i="47" s="1"/>
  <c r="R25" i="47" a="1"/>
  <c r="R25" i="47" s="1"/>
  <c r="M42" i="47" a="1"/>
  <c r="M42" i="47" s="1"/>
  <c r="Q14" i="47" a="1"/>
  <c r="Q14" i="47" s="1"/>
  <c r="K38" i="47" a="1"/>
  <c r="K38" i="47" s="1"/>
  <c r="H17" i="47" a="1"/>
  <c r="H17" i="47" s="1"/>
  <c r="H26" i="47" a="1"/>
  <c r="H26" i="47" s="1"/>
  <c r="O20" i="47" a="1"/>
  <c r="O20" i="47" s="1"/>
  <c r="M19" i="47" a="1"/>
  <c r="M19" i="47" s="1"/>
  <c r="S20" i="47" a="1"/>
  <c r="S20" i="47" s="1"/>
  <c r="K26" i="47" a="1"/>
  <c r="K26" i="47" s="1"/>
  <c r="O17" i="47" a="1"/>
  <c r="O17" i="47" s="1"/>
  <c r="L35" i="47" a="1"/>
  <c r="L35" i="47" s="1"/>
  <c r="I8" i="47" a="1"/>
  <c r="I8" i="47" s="1"/>
  <c r="P34" i="47" a="1"/>
  <c r="P34" i="47" s="1"/>
  <c r="I36" i="47" a="1"/>
  <c r="I36" i="47" s="1"/>
  <c r="Q52" i="47" a="1"/>
  <c r="Q52" i="47" s="1"/>
  <c r="H38" i="47" a="1"/>
  <c r="H38" i="47" s="1"/>
  <c r="K50" i="47" a="1"/>
  <c r="K50" i="47" s="1"/>
  <c r="O48" i="47" a="1"/>
  <c r="O48" i="47" s="1"/>
  <c r="Q34" i="47" a="1"/>
  <c r="Q34" i="47" s="1"/>
  <c r="K43" i="47" a="1"/>
  <c r="K43" i="47" s="1"/>
  <c r="L6" i="47" a="1"/>
  <c r="L6" i="47" s="1"/>
  <c r="J8" i="47" a="1"/>
  <c r="J8" i="47" s="1"/>
  <c r="K8" i="47" a="1"/>
  <c r="K8" i="47" s="1"/>
  <c r="E8" i="47" a="1"/>
  <c r="E8" i="47" s="1"/>
  <c r="O42" i="47" a="1"/>
  <c r="O42" i="47" s="1"/>
  <c r="M35" i="47" a="1"/>
  <c r="M35" i="47" s="1"/>
  <c r="L36" i="47" a="1"/>
  <c r="L36" i="47" s="1"/>
  <c r="J50" i="47" a="1"/>
  <c r="J50" i="47" s="1"/>
  <c r="R44" i="47" a="1"/>
  <c r="R44" i="47" s="1"/>
  <c r="L8" i="47" a="1"/>
  <c r="L8" i="47" s="1"/>
  <c r="M25" i="47" a="1"/>
  <c r="M25" i="47" s="1"/>
  <c r="Q6" i="47" a="1"/>
  <c r="Q6" i="47" s="1"/>
  <c r="P30" i="47" a="1"/>
  <c r="P30" i="47" s="1"/>
  <c r="F6" i="47" a="1"/>
  <c r="F6" i="47" s="1"/>
  <c r="B6" i="47"/>
  <c r="H8" i="47" a="1"/>
  <c r="H8" i="47" s="1"/>
  <c r="P51" i="47" a="1"/>
  <c r="P51" i="47" s="1"/>
  <c r="M53" i="47" a="1"/>
  <c r="M53" i="47" s="1"/>
  <c r="G6" i="47" a="1"/>
  <c r="G6" i="47" s="1"/>
  <c r="G7" i="47" a="1"/>
  <c r="G7" i="47" s="1"/>
  <c r="B7" i="47"/>
  <c r="O6" i="47" a="1"/>
  <c r="O6" i="47" s="1"/>
  <c r="D8" i="47"/>
  <c r="C8" i="47"/>
  <c r="J35" i="47" a="1"/>
  <c r="J35" i="47" s="1"/>
  <c r="Q39" i="47" a="1"/>
  <c r="Q39" i="47" s="1"/>
  <c r="Q44" i="47" a="1"/>
  <c r="Q44" i="47" s="1"/>
  <c r="L49" i="47" a="1"/>
  <c r="L49" i="47" s="1"/>
  <c r="M44" i="47" a="1"/>
  <c r="M44" i="47" s="1"/>
  <c r="M54" i="47" a="1"/>
  <c r="M54" i="47" s="1"/>
  <c r="Q53" i="47" a="1"/>
  <c r="Q53" i="47" s="1"/>
  <c r="Q24" i="47" a="1"/>
  <c r="Q24" i="47" s="1"/>
  <c r="S27" i="47" a="1"/>
  <c r="S27" i="47" s="1"/>
  <c r="K36" i="47" a="1"/>
  <c r="K36" i="47" s="1"/>
  <c r="O25" i="47" a="1"/>
  <c r="O25" i="47" s="1"/>
  <c r="N8" i="47" a="1"/>
  <c r="N8" i="47" s="1"/>
  <c r="K6" i="47" a="1"/>
  <c r="K6" i="47" s="1"/>
  <c r="I6" i="47" a="1"/>
  <c r="I6" i="47" s="1"/>
  <c r="I10" i="47" a="1"/>
  <c r="I10" i="47" s="1"/>
  <c r="E6" i="47" a="1"/>
  <c r="E6" i="47" s="1"/>
  <c r="D7" i="47"/>
  <c r="C7" i="47"/>
  <c r="F7" i="47" a="1"/>
  <c r="F7" i="47" s="1"/>
  <c r="K53" i="47" a="1"/>
  <c r="K53" i="47" s="1"/>
  <c r="O52" i="47" a="1"/>
  <c r="O52" i="47" s="1"/>
  <c r="S34" i="47" a="1"/>
  <c r="S34" i="47" s="1"/>
  <c r="N39" i="47" a="1"/>
  <c r="N39" i="47" s="1"/>
  <c r="M10" i="47" a="1"/>
  <c r="M10" i="47" s="1"/>
  <c r="H34" i="47" a="1"/>
  <c r="H34" i="47" s="1"/>
  <c r="P6" i="47" a="1"/>
  <c r="P6" i="47" s="1"/>
  <c r="J7" i="47" a="1"/>
  <c r="J7" i="47" s="1"/>
  <c r="B10" i="47"/>
  <c r="B8" i="47"/>
  <c r="C6" i="47"/>
  <c r="F8" i="47" a="1"/>
  <c r="F8" i="47" s="1"/>
  <c r="K41" i="47" a="1"/>
  <c r="K41" i="47" s="1"/>
  <c r="O53" i="47" a="1"/>
  <c r="O53" i="47" s="1"/>
  <c r="L38" i="47" a="1"/>
  <c r="L38" i="47" s="1"/>
  <c r="O36" i="47" a="1"/>
  <c r="O36" i="47" s="1"/>
  <c r="Q43" i="47" a="1"/>
  <c r="Q43" i="47" s="1"/>
  <c r="P50" i="47" a="1"/>
  <c r="P50" i="47" s="1"/>
  <c r="R32" i="47" a="1"/>
  <c r="R32" i="47" s="1"/>
  <c r="O8" i="47" a="1"/>
  <c r="O8" i="47" s="1"/>
  <c r="G8" i="47" a="1"/>
  <c r="G8" i="47" s="1"/>
  <c r="H7" i="47" a="1"/>
  <c r="H7" i="47" s="1"/>
  <c r="N9" i="47" a="1"/>
  <c r="N9" i="47" s="1"/>
  <c r="H14" i="47" a="1"/>
  <c r="H14" i="47" s="1"/>
  <c r="F19" i="47" a="1"/>
  <c r="F19" i="47" s="1"/>
  <c r="F10" i="47" a="1"/>
  <c r="F10" i="47" s="1"/>
  <c r="E43" i="47" a="1"/>
  <c r="E43" i="47" s="1"/>
  <c r="D27" i="47"/>
  <c r="D52" i="47"/>
  <c r="D14" i="47"/>
  <c r="B19" i="47"/>
  <c r="D38" i="47"/>
  <c r="D23" i="47"/>
  <c r="B43" i="47"/>
  <c r="E30" i="47" a="1"/>
  <c r="E30" i="47" s="1"/>
  <c r="O9" i="47" a="1"/>
  <c r="O9" i="47" s="1"/>
  <c r="G23" i="47" a="1"/>
  <c r="G23" i="47" s="1"/>
  <c r="C9" i="47"/>
  <c r="I43" i="47" a="1"/>
  <c r="I43" i="47" s="1"/>
  <c r="F46" i="47" a="1"/>
  <c r="F46" i="47" s="1"/>
  <c r="C21" i="47"/>
  <c r="B26" i="47"/>
  <c r="B9" i="47"/>
  <c r="G54" i="47" a="1"/>
  <c r="G54" i="47" s="1"/>
  <c r="G18" i="47" a="1"/>
  <c r="G18" i="47" s="1"/>
  <c r="B13" i="47"/>
  <c r="B30" i="47"/>
  <c r="E9" i="47" a="1"/>
  <c r="E9" i="47" s="1"/>
  <c r="D22" i="47"/>
  <c r="B53" i="47"/>
  <c r="E41" i="47" a="1"/>
  <c r="E41" i="47" s="1"/>
  <c r="F9" i="47" a="1"/>
  <c r="F9" i="47" s="1"/>
  <c r="E14" i="47" a="1"/>
  <c r="E14" i="47" s="1"/>
  <c r="F37" i="47" a="1"/>
  <c r="F37" i="47" s="1"/>
  <c r="B16" i="47"/>
  <c r="B44" i="47"/>
  <c r="I47" i="47" a="1"/>
  <c r="I47" i="47" s="1"/>
  <c r="B22" i="47"/>
  <c r="B21" i="47"/>
  <c r="F43" i="47" a="1"/>
  <c r="F43" i="47" s="1"/>
  <c r="D43" i="47"/>
  <c r="D25" i="47"/>
  <c r="F21" i="47" a="1"/>
  <c r="F21" i="47" s="1"/>
  <c r="F48" i="47" a="1"/>
  <c r="F48" i="47" s="1"/>
  <c r="B29" i="47"/>
  <c r="D37" i="47"/>
  <c r="F35" i="47" a="1"/>
  <c r="F35" i="47" s="1"/>
  <c r="O31" i="47" a="1"/>
  <c r="O31" i="47" s="1"/>
  <c r="H20" i="47" a="1"/>
  <c r="H20" i="47" s="1"/>
  <c r="B14" i="47"/>
  <c r="I30" i="47" a="1"/>
  <c r="I30" i="47" s="1"/>
  <c r="H19" i="47" a="1"/>
  <c r="H19" i="47" s="1"/>
  <c r="P9" i="47" a="1"/>
  <c r="P9" i="47" s="1"/>
  <c r="C12" i="47"/>
  <c r="C15" i="47"/>
  <c r="D31" i="47"/>
  <c r="E36" i="47" a="1"/>
  <c r="E36" i="47" s="1"/>
  <c r="G9" i="47" a="1"/>
  <c r="G9" i="47" s="1"/>
  <c r="G22" i="47" a="1"/>
  <c r="G22" i="47" s="1"/>
  <c r="I9" i="47" a="1"/>
  <c r="I9" i="47" s="1"/>
  <c r="F33" i="47" a="1"/>
  <c r="F33" i="47" s="1"/>
  <c r="C45" i="47"/>
  <c r="B27" i="47"/>
  <c r="Q9" i="47" a="1"/>
  <c r="Q9" i="47" s="1"/>
  <c r="D54" i="47"/>
  <c r="E28" i="47" a="1"/>
  <c r="E28" i="47" s="1"/>
  <c r="L9" i="47" a="1"/>
  <c r="L9" i="47" s="1"/>
  <c r="B49" i="47"/>
  <c r="D10" i="47"/>
  <c r="C24" i="47"/>
  <c r="I13" i="47" a="1"/>
  <c r="I13" i="47" s="1"/>
  <c r="R38" i="47" a="1"/>
  <c r="R38" i="47" s="1"/>
  <c r="G14" i="47" a="1"/>
  <c r="G14" i="47" s="1"/>
  <c r="D12" i="47"/>
  <c r="B42" i="47"/>
  <c r="F11" i="47" a="1"/>
  <c r="F11" i="47" s="1"/>
  <c r="G53" i="47" a="1"/>
  <c r="G53" i="47" s="1"/>
  <c r="G33" i="47" a="1"/>
  <c r="G33" i="47" s="1"/>
  <c r="E39" i="47" a="1"/>
  <c r="E39" i="47" s="1"/>
  <c r="F22" i="47" a="1"/>
  <c r="F22" i="47" s="1"/>
  <c r="I48" i="47" a="1"/>
  <c r="I48" i="47" s="1"/>
  <c r="O38" i="47" a="1"/>
  <c r="O38" i="47" s="1"/>
  <c r="G26" i="47" a="1"/>
  <c r="G26" i="47" s="1"/>
  <c r="H43" i="47" a="1"/>
  <c r="H43" i="47" s="1"/>
  <c r="B25" i="47"/>
  <c r="F51" i="47" a="1"/>
  <c r="F51" i="47" s="1"/>
  <c r="B36" i="47"/>
  <c r="O26" i="47" a="1"/>
  <c r="O26" i="47" s="1"/>
  <c r="B47" i="47"/>
  <c r="B45" i="47"/>
  <c r="F31" i="47" a="1"/>
  <c r="F31" i="47" s="1"/>
  <c r="C18" i="47"/>
  <c r="M9" i="47" a="1"/>
  <c r="M9" i="47" s="1"/>
  <c r="F36" i="47" a="1"/>
  <c r="F36" i="47" s="1"/>
  <c r="F25" i="47" a="1"/>
  <c r="F25" i="47" s="1"/>
  <c r="D11" i="47"/>
  <c r="D32" i="47"/>
  <c r="I17" i="47" a="1"/>
  <c r="I17" i="47" s="1"/>
  <c r="C53" i="47"/>
  <c r="E29" i="47" a="1"/>
  <c r="E29" i="47" s="1"/>
  <c r="S9" i="47" a="1"/>
  <c r="S9" i="47" s="1"/>
  <c r="G50" i="47" a="1"/>
  <c r="G50" i="47" s="1"/>
  <c r="D36" i="47"/>
  <c r="D16" i="47"/>
  <c r="B31" i="47"/>
  <c r="D19" i="47"/>
  <c r="C22" i="47"/>
  <c r="E37" i="47" a="1"/>
  <c r="E37" i="47" s="1"/>
  <c r="G21" i="47" a="1"/>
  <c r="G21" i="47" s="1"/>
  <c r="H31" i="47" a="1"/>
  <c r="H31" i="47" s="1"/>
  <c r="D45" i="47"/>
  <c r="D34" i="47"/>
  <c r="C52" i="47"/>
  <c r="D15" i="47"/>
  <c r="R9" i="47" a="1"/>
  <c r="R9" i="47" s="1"/>
  <c r="C11" i="47"/>
  <c r="B54" i="47"/>
  <c r="H9" i="47" a="1"/>
  <c r="H9" i="47" s="1"/>
  <c r="F16" i="47" a="1"/>
  <c r="F16" i="47" s="1"/>
  <c r="D30" i="47"/>
  <c r="D39" i="47"/>
  <c r="E42" i="47" a="1"/>
  <c r="E42" i="47" s="1"/>
  <c r="E53" i="47" a="1"/>
  <c r="E53" i="47" s="1"/>
  <c r="B50" i="47"/>
  <c r="I33" i="47" a="1"/>
  <c r="I33" i="47" s="1"/>
  <c r="D26" i="47"/>
  <c r="G29" i="47" a="1"/>
  <c r="G29" i="47" s="1"/>
  <c r="C31" i="47"/>
  <c r="B37" i="47"/>
  <c r="F32" i="47" a="1"/>
  <c r="F32" i="47" s="1"/>
  <c r="C41" i="47"/>
  <c r="C36" i="47"/>
  <c r="E51" i="47" a="1"/>
  <c r="E51" i="47" s="1"/>
  <c r="B39" i="47"/>
  <c r="H44" i="47" a="1"/>
  <c r="H44" i="47" s="1"/>
  <c r="E40" i="47" a="1"/>
  <c r="E40" i="47" s="1"/>
  <c r="I28" i="47" a="1"/>
  <c r="I28" i="47" s="1"/>
  <c r="E11" i="47" a="1"/>
  <c r="E11" i="47" s="1"/>
  <c r="H39" i="47" a="1"/>
  <c r="H39" i="47" s="1"/>
  <c r="C10" i="47"/>
  <c r="E47" i="47" a="1"/>
  <c r="E47" i="47" s="1"/>
  <c r="F50" i="47" a="1"/>
  <c r="F50" i="47" s="1"/>
  <c r="F20" i="47" a="1"/>
  <c r="F20" i="47" s="1"/>
  <c r="C32" i="47"/>
  <c r="K52" i="47" a="1"/>
  <c r="K52" i="47" s="1"/>
  <c r="E22" i="47" a="1"/>
  <c r="E22" i="47" s="1"/>
  <c r="F39" i="47" a="1"/>
  <c r="F39" i="47" s="1"/>
  <c r="B34" i="47"/>
  <c r="G11" i="47" a="1"/>
  <c r="G11" i="47" s="1"/>
  <c r="D28" i="47"/>
  <c r="D24" i="47"/>
  <c r="H12" i="47" a="1"/>
  <c r="H12" i="47" s="1"/>
  <c r="I20" i="47" a="1"/>
  <c r="I20" i="47" s="1"/>
  <c r="O10" i="47" a="1"/>
  <c r="O10" i="47" s="1"/>
  <c r="E12" i="47" a="1"/>
  <c r="E12" i="47" s="1"/>
  <c r="C20" i="47"/>
  <c r="G19" i="47" a="1"/>
  <c r="G19" i="47" s="1"/>
  <c r="K21" i="47" a="1"/>
  <c r="K21" i="47" s="1"/>
  <c r="R50" i="47" a="1"/>
  <c r="R50" i="47" s="1"/>
  <c r="E21" i="47" a="1"/>
  <c r="E21" i="47" s="1"/>
  <c r="F24" i="47" a="1"/>
  <c r="F24" i="47" s="1"/>
  <c r="H46" i="47" a="1"/>
  <c r="H46" i="47" s="1"/>
  <c r="J16" i="47" a="1"/>
  <c r="J16" i="47" s="1"/>
  <c r="S23" i="47" a="1"/>
  <c r="S23" i="47" s="1"/>
  <c r="C48" i="47"/>
  <c r="K9" i="47" a="1"/>
  <c r="K9" i="47" s="1"/>
  <c r="D47" i="47"/>
  <c r="D20" i="47"/>
  <c r="E15" i="47" a="1"/>
  <c r="E15" i="47" s="1"/>
  <c r="D49" i="47"/>
  <c r="N54" i="47" a="1"/>
  <c r="N54" i="47" s="1"/>
  <c r="C35" i="47"/>
  <c r="F28" i="47" a="1"/>
  <c r="F28" i="47" s="1"/>
  <c r="O50" i="47" a="1"/>
  <c r="O50" i="47" s="1"/>
  <c r="H40" i="47" a="1"/>
  <c r="H40" i="47" s="1"/>
  <c r="Q16" i="47" a="1"/>
  <c r="Q16" i="47" s="1"/>
  <c r="S37" i="47" a="1"/>
  <c r="S37" i="47" s="1"/>
  <c r="F49" i="47" a="1"/>
  <c r="F49" i="47" s="1"/>
  <c r="R39" i="47" a="1"/>
  <c r="R39" i="47" s="1"/>
  <c r="N50" i="47" a="1"/>
  <c r="N50" i="47" s="1"/>
  <c r="I34" i="47" a="1"/>
  <c r="I34" i="47" s="1"/>
  <c r="C14" i="47"/>
  <c r="D40" i="47"/>
  <c r="B35" i="47"/>
  <c r="I25" i="47" a="1"/>
  <c r="I25" i="47" s="1"/>
  <c r="H24" i="47" a="1"/>
  <c r="H24" i="47" s="1"/>
  <c r="C50" i="47"/>
  <c r="B20" i="47"/>
  <c r="G30" i="47" a="1"/>
  <c r="G30" i="47" s="1"/>
  <c r="I15" i="47" a="1"/>
  <c r="I15" i="47" s="1"/>
  <c r="B52" i="47"/>
  <c r="G52" i="47" a="1"/>
  <c r="G52" i="47" s="1"/>
  <c r="F42" i="47" a="1"/>
  <c r="F42" i="47" s="1"/>
  <c r="G45" i="47" a="1"/>
  <c r="G45" i="47" s="1"/>
  <c r="E49" i="47" a="1"/>
  <c r="E49" i="47" s="1"/>
  <c r="I52" i="47" a="1"/>
  <c r="I52" i="47" s="1"/>
  <c r="C40" i="47"/>
  <c r="C37" i="47"/>
  <c r="C26" i="47"/>
  <c r="C28" i="47"/>
  <c r="I21" i="47" a="1"/>
  <c r="I21" i="47" s="1"/>
  <c r="C54" i="47"/>
  <c r="I32" i="47" a="1"/>
  <c r="I32" i="47" s="1"/>
  <c r="H41" i="47" a="1"/>
  <c r="H41" i="47" s="1"/>
  <c r="N37" i="47" a="1"/>
  <c r="N37" i="47" s="1"/>
  <c r="I31" i="47" a="1"/>
  <c r="I31" i="47" s="1"/>
  <c r="G49" i="47" a="1"/>
  <c r="G49" i="47" s="1"/>
  <c r="H33" i="47" a="1"/>
  <c r="H33" i="47" s="1"/>
  <c r="H36" i="47" a="1"/>
  <c r="H36" i="47" s="1"/>
  <c r="E13" i="47" a="1"/>
  <c r="E13" i="47" s="1"/>
  <c r="G39" i="47" a="1"/>
  <c r="G39" i="47" s="1"/>
  <c r="G15" i="47" a="1"/>
  <c r="G15" i="47" s="1"/>
  <c r="I16" i="47" a="1"/>
  <c r="I16" i="47" s="1"/>
  <c r="K48" i="47" a="1"/>
  <c r="K48" i="47" s="1"/>
  <c r="C34" i="47"/>
  <c r="F40" i="47" a="1"/>
  <c r="F40" i="47" s="1"/>
  <c r="C51" i="47"/>
  <c r="D50" i="47"/>
  <c r="E16" i="47" a="1"/>
  <c r="E16" i="47" s="1"/>
  <c r="B32" i="47"/>
  <c r="I38" i="47" a="1"/>
  <c r="I38" i="47" s="1"/>
  <c r="I24" i="47" a="1"/>
  <c r="I24" i="47" s="1"/>
  <c r="E46" i="47" a="1"/>
  <c r="E46" i="47" s="1"/>
  <c r="C42" i="47"/>
  <c r="B48" i="47"/>
  <c r="I49" i="47" a="1"/>
  <c r="I49" i="47" s="1"/>
  <c r="G38" i="47" a="1"/>
  <c r="G38" i="47" s="1"/>
  <c r="E23" i="47" a="1"/>
  <c r="E23" i="47" s="1"/>
  <c r="P18" i="47" a="1"/>
  <c r="P18" i="47" s="1"/>
  <c r="D53" i="47"/>
  <c r="F47" i="47" a="1"/>
  <c r="F47" i="47" s="1"/>
  <c r="J9" i="47" a="1"/>
  <c r="J9" i="47" s="1"/>
  <c r="I29" i="47" a="1"/>
  <c r="I29" i="47" s="1"/>
  <c r="F44" i="47" a="1"/>
  <c r="F44" i="47" s="1"/>
  <c r="G12" i="47" a="1"/>
  <c r="G12" i="47" s="1"/>
  <c r="F15" i="47" a="1"/>
  <c r="F15" i="47" s="1"/>
  <c r="I35" i="47" a="1"/>
  <c r="I35" i="47" s="1"/>
  <c r="H18" i="47" a="1"/>
  <c r="H18" i="47" s="1"/>
  <c r="B33" i="47"/>
  <c r="B51" i="47"/>
  <c r="E19" i="47" a="1"/>
  <c r="E19" i="47" s="1"/>
  <c r="C13" i="47"/>
  <c r="C46" i="47"/>
  <c r="C25" i="47"/>
  <c r="G31" i="47" a="1"/>
  <c r="G31" i="47" s="1"/>
  <c r="R35" i="47" a="1"/>
  <c r="R35" i="47" s="1"/>
  <c r="D9" i="47"/>
  <c r="C16" i="47"/>
  <c r="G25" i="47" a="1"/>
  <c r="G25" i="47" s="1"/>
  <c r="G44" i="47" a="1"/>
  <c r="G44" i="47" s="1"/>
  <c r="I41" i="47" a="1"/>
  <c r="I41" i="47" s="1"/>
  <c r="B23" i="47"/>
  <c r="K28" i="47" a="1"/>
  <c r="K28" i="47" s="1"/>
  <c r="G17" i="47" a="1"/>
  <c r="G17" i="47" s="1"/>
  <c r="I19" i="47" a="1"/>
  <c r="I19" i="47" s="1"/>
  <c r="G20" i="47" a="1"/>
  <c r="G20" i="47" s="1"/>
  <c r="B12" i="47"/>
  <c r="G24" i="47" a="1"/>
  <c r="G24" i="47" s="1"/>
  <c r="G43" i="47" a="1"/>
  <c r="G43" i="47" s="1"/>
  <c r="F38" i="47" a="1"/>
  <c r="F38" i="47" s="1"/>
  <c r="R45" i="47" a="1"/>
  <c r="R45" i="47" s="1"/>
  <c r="S12" i="47" a="1"/>
  <c r="S12" i="47" s="1"/>
  <c r="E33" i="47" a="1"/>
  <c r="E33" i="47" s="1"/>
  <c r="C27" i="47"/>
  <c r="L29" i="47" a="1"/>
  <c r="L29" i="47" s="1"/>
  <c r="N27" i="47" a="1"/>
  <c r="N27" i="47" s="1"/>
  <c r="P11" i="47" a="1"/>
  <c r="P11" i="47" s="1"/>
  <c r="I12" i="47" a="1"/>
  <c r="I12" i="47" s="1"/>
  <c r="I23" i="47" a="1"/>
  <c r="I23" i="47" s="1"/>
  <c r="L34" i="47" a="1"/>
  <c r="L34" i="47" s="1"/>
  <c r="M28" i="47" a="1"/>
  <c r="M28" i="47" s="1"/>
  <c r="I54" i="47" a="1"/>
  <c r="I54" i="47" s="1"/>
  <c r="D21" i="47"/>
  <c r="K19" i="47" a="1"/>
  <c r="K19" i="47" s="1"/>
  <c r="E34" i="47" a="1"/>
  <c r="E34" i="47" s="1"/>
  <c r="K15" i="47" a="1"/>
  <c r="K15" i="47" s="1"/>
  <c r="G37" i="47" a="1"/>
  <c r="G37" i="47" s="1"/>
  <c r="R28" i="47" a="1"/>
  <c r="R28" i="47" s="1"/>
  <c r="M29" i="47" a="1"/>
  <c r="M29" i="47" s="1"/>
  <c r="I22" i="47" a="1"/>
  <c r="I22" i="47" s="1"/>
  <c r="F34" i="47" a="1"/>
  <c r="F34" i="47" s="1"/>
  <c r="N48" i="47" a="1"/>
  <c r="N48" i="47" s="1"/>
  <c r="F29" i="47" a="1"/>
  <c r="F29" i="47" s="1"/>
  <c r="L16" i="47" a="1"/>
  <c r="L16" i="47" s="1"/>
  <c r="D51" i="47"/>
  <c r="K47" i="47" a="1"/>
  <c r="K47" i="47" s="1"/>
  <c r="H22" i="47" a="1"/>
  <c r="H22" i="47" s="1"/>
  <c r="N35" i="47" a="1"/>
  <c r="N35" i="47" s="1"/>
  <c r="N25" i="47" a="1"/>
  <c r="N25" i="47" s="1"/>
  <c r="O16" i="47" a="1"/>
  <c r="O16" i="47" s="1"/>
  <c r="S18" i="47" a="1"/>
  <c r="S18" i="47" s="1"/>
  <c r="H28" i="47" a="1"/>
  <c r="H28" i="47" s="1"/>
  <c r="R26" i="47" a="1"/>
  <c r="R26" i="47" s="1"/>
  <c r="P24" i="47" a="1"/>
  <c r="P24" i="47" s="1"/>
  <c r="P45" i="47" a="1"/>
  <c r="P45" i="47" s="1"/>
  <c r="G34" i="47" a="1"/>
  <c r="G34" i="47" s="1"/>
  <c r="L50" i="47" a="1"/>
  <c r="L50" i="47" s="1"/>
  <c r="C49" i="47"/>
  <c r="D17" i="47"/>
  <c r="S41" i="47" a="1"/>
  <c r="S41" i="47" s="1"/>
  <c r="G13" i="47" a="1"/>
  <c r="G13" i="47" s="1"/>
  <c r="P22" i="47" a="1"/>
  <c r="P22" i="47" s="1"/>
  <c r="R36" i="47" a="1"/>
  <c r="R36" i="47" s="1"/>
  <c r="O40" i="47" a="1"/>
  <c r="O40" i="47" s="1"/>
  <c r="D29" i="47"/>
  <c r="C44" i="47"/>
  <c r="P42" i="47" a="1"/>
  <c r="P42" i="47" s="1"/>
  <c r="S46" i="47" a="1"/>
  <c r="S46" i="47" s="1"/>
  <c r="Q11" i="47" a="1"/>
  <c r="Q11" i="47" s="1"/>
  <c r="M16" i="47" a="1"/>
  <c r="M16" i="47" s="1"/>
  <c r="F30" i="47" a="1"/>
  <c r="F30" i="47" s="1"/>
  <c r="S47" i="47" a="1"/>
  <c r="S47" i="47" s="1"/>
  <c r="H21" i="47" a="1"/>
  <c r="H21" i="47" s="1"/>
  <c r="Q37" i="47" a="1"/>
  <c r="Q37" i="47" s="1"/>
  <c r="E50" i="47" a="1"/>
  <c r="E50" i="47" s="1"/>
  <c r="J43" i="47" a="1"/>
  <c r="J43" i="47" s="1"/>
  <c r="G40" i="47" a="1"/>
  <c r="G40" i="47" s="1"/>
  <c r="J34" i="47" a="1"/>
  <c r="J34" i="47" s="1"/>
  <c r="E25" i="47" a="1"/>
  <c r="E25" i="47" s="1"/>
  <c r="I50" i="47" a="1"/>
  <c r="I50" i="47" s="1"/>
  <c r="J23" i="47" a="1"/>
  <c r="J23" i="47" s="1"/>
  <c r="L15" i="47" a="1"/>
  <c r="L15" i="47" s="1"/>
  <c r="H11" i="47" a="1"/>
  <c r="H11" i="47" s="1"/>
  <c r="D35" i="47"/>
  <c r="C29" i="47"/>
  <c r="D41" i="47"/>
  <c r="I40" i="47" a="1"/>
  <c r="I40" i="47" s="1"/>
  <c r="Q54" i="47" a="1"/>
  <c r="Q54" i="47" s="1"/>
  <c r="K39" i="47" a="1"/>
  <c r="K39" i="47" s="1"/>
  <c r="Q13" i="47" a="1"/>
  <c r="Q13" i="47" s="1"/>
  <c r="N13" i="47" a="1"/>
  <c r="N13" i="47" s="1"/>
  <c r="E44" i="47" a="1"/>
  <c r="E44" i="47" s="1"/>
  <c r="H52" i="47" a="1"/>
  <c r="H52" i="47" s="1"/>
  <c r="D18" i="47"/>
  <c r="E17" i="47" a="1"/>
  <c r="E17" i="47" s="1"/>
  <c r="L44" i="47" a="1"/>
  <c r="L44" i="47" s="1"/>
  <c r="G41" i="47" a="1"/>
  <c r="G41" i="47" s="1"/>
  <c r="H35" i="47" a="1"/>
  <c r="H35" i="47" s="1"/>
  <c r="L31" i="47" a="1"/>
  <c r="L31" i="47" s="1"/>
  <c r="M41" i="47" a="1"/>
  <c r="M41" i="47" s="1"/>
  <c r="I42" i="47" a="1"/>
  <c r="I42" i="47" s="1"/>
  <c r="N26" i="47" a="1"/>
  <c r="N26" i="47" s="1"/>
  <c r="B28" i="47"/>
  <c r="P27" i="47" a="1"/>
  <c r="P27" i="47" s="1"/>
  <c r="Q41" i="47" a="1"/>
  <c r="Q41" i="47" s="1"/>
  <c r="F27" i="47" a="1"/>
  <c r="F27" i="47" s="1"/>
  <c r="G42" i="47" a="1"/>
  <c r="G42" i="47" s="1"/>
  <c r="G51" i="47" a="1"/>
  <c r="G51" i="47" s="1"/>
  <c r="D44" i="47"/>
  <c r="F18" i="47" a="1"/>
  <c r="F18" i="47" s="1"/>
  <c r="D13" i="47"/>
  <c r="H51" i="47" a="1"/>
  <c r="H51" i="47" s="1"/>
  <c r="Q28" i="47" a="1"/>
  <c r="Q28" i="47" s="1"/>
  <c r="B18" i="47"/>
  <c r="M48" i="47" a="1"/>
  <c r="M48" i="47" s="1"/>
  <c r="P33" i="47" a="1"/>
  <c r="P33" i="47" s="1"/>
  <c r="R46" i="47" a="1"/>
  <c r="R46" i="47" s="1"/>
  <c r="R54" i="47" a="1"/>
  <c r="R54" i="47" s="1"/>
  <c r="B24" i="47"/>
  <c r="N52" i="47" a="1"/>
  <c r="N52" i="47" s="1"/>
  <c r="Q36" i="47" a="1"/>
  <c r="Q36" i="47" s="1"/>
  <c r="P52" i="47" a="1"/>
  <c r="P52" i="47" s="1"/>
  <c r="F45" i="47" a="1"/>
  <c r="F45" i="47" s="1"/>
  <c r="P14" i="47" a="1"/>
  <c r="P14" i="47" s="1"/>
  <c r="B41" i="47"/>
  <c r="K22" i="47" a="1"/>
  <c r="K22" i="47" s="1"/>
  <c r="L46" i="47" a="1"/>
  <c r="L46" i="47" s="1"/>
  <c r="M51" i="47" a="1"/>
  <c r="M51" i="47" s="1"/>
  <c r="R10" i="47" a="1"/>
  <c r="R10" i="47" s="1"/>
  <c r="G28" i="47" a="1"/>
  <c r="G28" i="47" s="1"/>
  <c r="F17" i="47" a="1"/>
  <c r="F17" i="47" s="1"/>
  <c r="R21" i="47" a="1"/>
  <c r="R21" i="47" s="1"/>
  <c r="I39" i="47" a="1"/>
  <c r="I39" i="47" s="1"/>
  <c r="C33" i="47"/>
  <c r="J36" i="47" a="1"/>
  <c r="J36" i="47" s="1"/>
  <c r="M40" i="47" a="1"/>
  <c r="M40" i="47" s="1"/>
  <c r="R30" i="47" a="1"/>
  <c r="R30" i="47" s="1"/>
  <c r="C23" i="47"/>
  <c r="H42" i="47" a="1"/>
  <c r="H42" i="47" s="1"/>
  <c r="S51" i="47" a="1"/>
  <c r="S51" i="47" s="1"/>
  <c r="S25" i="47" a="1"/>
  <c r="S25" i="47" s="1"/>
  <c r="C39" i="47"/>
  <c r="F53" i="47" a="1"/>
  <c r="F53" i="47" s="1"/>
  <c r="B11" i="47"/>
  <c r="H30" i="47" a="1"/>
  <c r="H30" i="47" s="1"/>
  <c r="E38" i="47" a="1"/>
  <c r="E38" i="47" s="1"/>
  <c r="D33" i="47"/>
  <c r="C19" i="47"/>
  <c r="N40" i="47" a="1"/>
  <c r="N40" i="47" s="1"/>
  <c r="C17" i="47"/>
  <c r="O39" i="47" a="1"/>
  <c r="O39" i="47" s="1"/>
  <c r="E27" i="47" a="1"/>
  <c r="E27" i="47" s="1"/>
  <c r="L19" i="47" a="1"/>
  <c r="L19" i="47" s="1"/>
  <c r="G46" i="47" a="1"/>
  <c r="G46" i="47" s="1"/>
  <c r="E54" i="47" a="1"/>
  <c r="E54" i="47" s="1"/>
  <c r="L41" i="47" a="1"/>
  <c r="L41" i="47" s="1"/>
  <c r="J18" i="47" a="1"/>
  <c r="J18" i="47" s="1"/>
  <c r="O15" i="47" a="1"/>
  <c r="O15" i="47" s="1"/>
  <c r="F41" i="47" a="1"/>
  <c r="F41" i="47" s="1"/>
  <c r="M15" i="47" a="1"/>
  <c r="M15" i="47" s="1"/>
  <c r="O12" i="47" a="1"/>
  <c r="O12" i="47" s="1"/>
  <c r="I53" i="47" a="1"/>
  <c r="I53" i="47" s="1"/>
  <c r="E35" i="47" a="1"/>
  <c r="E35" i="47" s="1"/>
  <c r="H27" i="47" a="1"/>
  <c r="H27" i="47" s="1"/>
  <c r="Q49" i="47" a="1"/>
  <c r="Q49" i="47" s="1"/>
  <c r="B40" i="47"/>
  <c r="H10" i="47" a="1"/>
  <c r="H10" i="47" s="1"/>
  <c r="B46" i="47"/>
  <c r="G36" i="47" a="1"/>
  <c r="G36" i="47" s="1"/>
  <c r="Q46" i="47" a="1"/>
  <c r="Q46" i="47" s="1"/>
  <c r="N11" i="47" a="1"/>
  <c r="N11" i="47" s="1"/>
  <c r="L54" i="47" a="1"/>
  <c r="L54" i="47" s="1"/>
  <c r="I11" i="47" a="1"/>
  <c r="I11" i="47" s="1"/>
  <c r="N41" i="47" a="1"/>
  <c r="N41" i="47" s="1"/>
  <c r="H37" i="47" a="1"/>
  <c r="H37" i="47" s="1"/>
  <c r="B38" i="47"/>
  <c r="N49" i="47" a="1"/>
  <c r="N49" i="47" s="1"/>
  <c r="P17" i="47" a="1"/>
  <c r="P17" i="47" s="1"/>
  <c r="L43" i="47" a="1"/>
  <c r="L43" i="47" s="1"/>
  <c r="R34" i="47" a="1"/>
  <c r="R34" i="47" s="1"/>
  <c r="O23" i="47" a="1"/>
  <c r="O23" i="47" s="1"/>
  <c r="P10" i="47" a="1"/>
  <c r="P10" i="47" s="1"/>
  <c r="C30" i="47"/>
  <c r="K42" i="47" a="1"/>
  <c r="K42" i="47" s="1"/>
  <c r="E48" i="47" a="1"/>
  <c r="E48" i="47" s="1"/>
  <c r="P49" i="47" a="1"/>
  <c r="P49" i="47" s="1"/>
  <c r="M18" i="47" a="1"/>
  <c r="M18" i="47" s="1"/>
  <c r="R48" i="47" a="1"/>
  <c r="R48" i="47" s="1"/>
  <c r="N23" i="47" a="1"/>
  <c r="N23" i="47" s="1"/>
  <c r="M37" i="47" a="1"/>
  <c r="M37" i="47" s="1"/>
  <c r="F54" i="47" a="1"/>
  <c r="F54" i="47" s="1"/>
  <c r="S50" i="47" a="1"/>
  <c r="S50" i="47" s="1"/>
  <c r="K14" i="47" a="1"/>
  <c r="K14" i="47" s="1"/>
  <c r="J54" i="47" a="1"/>
  <c r="J54" i="47" s="1"/>
  <c r="Q48" i="47" a="1"/>
  <c r="Q48" i="47" s="1"/>
  <c r="F12" i="47" a="1"/>
  <c r="F12" i="47" s="1"/>
  <c r="N21" i="47" a="1"/>
  <c r="N21" i="47" s="1"/>
  <c r="M17" i="47" a="1"/>
  <c r="M17" i="47" s="1"/>
  <c r="S10" i="47" a="1"/>
  <c r="S10" i="47" s="1"/>
  <c r="H29" i="47" a="1"/>
  <c r="H29" i="47" s="1"/>
  <c r="S35" i="47" a="1"/>
  <c r="S35" i="47" s="1"/>
  <c r="K17" i="47" a="1"/>
  <c r="K17" i="47" s="1"/>
  <c r="G27" i="47" a="1"/>
  <c r="G27" i="47" s="1"/>
  <c r="C47" i="47"/>
  <c r="M49" i="47" a="1"/>
  <c r="M49" i="47" s="1"/>
  <c r="F52" i="47" a="1"/>
  <c r="F52" i="47" s="1"/>
  <c r="S11" i="47" a="1"/>
  <c r="S11" i="47" s="1"/>
  <c r="G16" i="47" a="1"/>
  <c r="G16" i="47" s="1"/>
  <c r="P16" i="47" a="1"/>
  <c r="P16" i="47" s="1"/>
  <c r="S54" i="47" a="1"/>
  <c r="S54" i="47" s="1"/>
  <c r="G35" i="47" a="1"/>
  <c r="G35" i="47" s="1"/>
  <c r="O22" i="47" a="1"/>
  <c r="O22" i="47" s="1"/>
  <c r="K23" i="47" a="1"/>
  <c r="K23" i="47" s="1"/>
  <c r="O29" i="47" a="1"/>
  <c r="O29" i="47" s="1"/>
  <c r="K49" i="47" a="1"/>
  <c r="K49" i="47" s="1"/>
  <c r="R49" i="47" a="1"/>
  <c r="R49" i="47" s="1"/>
  <c r="F23" i="47" a="1"/>
  <c r="F23" i="47" s="1"/>
  <c r="I44" i="47" a="1"/>
  <c r="I44" i="47" s="1"/>
  <c r="S26" i="47" a="1"/>
  <c r="S26" i="47" s="1"/>
  <c r="E26" i="47" a="1"/>
  <c r="E26" i="47" s="1"/>
  <c r="P53" i="47" a="1"/>
  <c r="P53" i="47" s="1"/>
  <c r="S28" i="47" a="1"/>
  <c r="S28" i="47" s="1"/>
  <c r="J49" i="47" a="1"/>
  <c r="J49" i="47" s="1"/>
  <c r="P38" i="47" a="1"/>
  <c r="P38" i="47" s="1"/>
  <c r="F13" i="47" a="1"/>
  <c r="F13" i="47" s="1"/>
  <c r="N38" i="47" a="1"/>
  <c r="N38" i="47" s="1"/>
  <c r="I14" i="47" a="1"/>
  <c r="I14" i="47" s="1"/>
  <c r="O19" i="47" a="1"/>
  <c r="O19" i="47" s="1"/>
  <c r="O37" i="47" a="1"/>
  <c r="O37" i="47" s="1"/>
  <c r="H53" i="47" a="1"/>
  <c r="H53" i="47" s="1"/>
  <c r="C43" i="47"/>
  <c r="N15" i="47" a="1"/>
  <c r="N15" i="47" s="1"/>
  <c r="M34" i="47" a="1"/>
  <c r="M34" i="47" s="1"/>
  <c r="K24" i="47" a="1"/>
  <c r="K24" i="47" s="1"/>
  <c r="H15" i="47" a="1"/>
  <c r="H15" i="47" s="1"/>
  <c r="J32" i="47" a="1"/>
  <c r="J32" i="47" s="1"/>
  <c r="I27" i="47" a="1"/>
  <c r="I27" i="47" s="1"/>
  <c r="G32" i="47" a="1"/>
  <c r="G32" i="47" s="1"/>
  <c r="D48" i="47"/>
  <c r="H47" i="47" a="1"/>
  <c r="H47" i="47" s="1"/>
  <c r="H13" i="47" a="1"/>
  <c r="H13" i="47" s="1"/>
  <c r="Q17" i="47" a="1"/>
  <c r="Q17" i="47" s="1"/>
  <c r="N31" i="47" a="1"/>
  <c r="N31" i="47" s="1"/>
  <c r="K54" i="47" a="1"/>
  <c r="K54" i="47" s="1"/>
  <c r="S30" i="47" a="1"/>
  <c r="S30" i="47" s="1"/>
  <c r="E32" i="47" a="1"/>
  <c r="E32" i="47" s="1"/>
  <c r="N29" i="47" a="1"/>
  <c r="N29" i="47" s="1"/>
  <c r="J37" i="47" a="1"/>
  <c r="J37" i="47" s="1"/>
  <c r="J10" i="47" a="1"/>
  <c r="J10" i="47" s="1"/>
  <c r="R31" i="47" a="1"/>
  <c r="R31" i="47" s="1"/>
  <c r="Q25" i="47" a="1"/>
  <c r="Q25" i="47" s="1"/>
  <c r="S53" i="47" a="1"/>
  <c r="S53" i="47" s="1"/>
  <c r="L53" i="47" a="1"/>
  <c r="L53" i="47" s="1"/>
  <c r="E20" i="47" a="1"/>
  <c r="E20" i="47" s="1"/>
  <c r="J26" i="47" a="1"/>
  <c r="J26" i="47" s="1"/>
  <c r="F14" i="47" a="1"/>
  <c r="F14" i="47" s="1"/>
  <c r="P40" i="47" a="1"/>
  <c r="P40" i="47" s="1"/>
  <c r="K13" i="47" a="1"/>
  <c r="K13" i="47" s="1"/>
  <c r="D46" i="47"/>
  <c r="J25" i="47" a="1"/>
  <c r="J25" i="47" s="1"/>
  <c r="G10" i="47" a="1"/>
  <c r="G10" i="47" s="1"/>
  <c r="L21" i="47" a="1"/>
  <c r="L21" i="47" s="1"/>
  <c r="N36" i="47" a="1"/>
  <c r="N36" i="47" s="1"/>
  <c r="M36" i="47" a="1"/>
  <c r="M36" i="47" s="1"/>
  <c r="M30" i="47" a="1"/>
  <c r="M30" i="47" s="1"/>
  <c r="M12" i="47" a="1"/>
  <c r="M12" i="47" s="1"/>
  <c r="M11" i="47" a="1"/>
  <c r="M11" i="47" s="1"/>
  <c r="J41" i="47" a="1"/>
  <c r="J41" i="47" s="1"/>
  <c r="R24" i="47" a="1"/>
  <c r="R24" i="47" s="1"/>
  <c r="P32" i="47" a="1"/>
  <c r="P32" i="47" s="1"/>
  <c r="I37" i="47" a="1"/>
  <c r="I37" i="47" s="1"/>
  <c r="B17" i="47"/>
  <c r="H49" i="47" a="1"/>
  <c r="H49" i="47" s="1"/>
  <c r="H23" i="47" a="1"/>
  <c r="H23" i="47" s="1"/>
  <c r="L11" i="47" a="1"/>
  <c r="L11" i="47" s="1"/>
  <c r="L32" i="47" a="1"/>
  <c r="L32" i="47" s="1"/>
  <c r="C38" i="47"/>
  <c r="S43" i="47" a="1"/>
  <c r="S43" i="47" s="1"/>
  <c r="I18" i="47" a="1"/>
  <c r="I18" i="47" s="1"/>
  <c r="P44" i="47" a="1"/>
  <c r="P44" i="47" s="1"/>
  <c r="J28" i="47" a="1"/>
  <c r="J28" i="47" s="1"/>
  <c r="H32" i="47" a="1"/>
  <c r="H32" i="47" s="1"/>
  <c r="P29" i="47" a="1"/>
  <c r="P29" i="47" s="1"/>
  <c r="M52" i="47" a="1"/>
  <c r="M52" i="47" s="1"/>
  <c r="S17" i="47" a="1"/>
  <c r="S17" i="47" s="1"/>
  <c r="S22" i="47" a="1"/>
  <c r="S22" i="47" s="1"/>
  <c r="B15" i="47"/>
  <c r="R11" i="47" a="1"/>
  <c r="R11" i="47" s="1"/>
  <c r="H54" i="47" a="1"/>
  <c r="H54" i="47" s="1"/>
  <c r="J14" i="47" a="1"/>
  <c r="J14" i="47" s="1"/>
  <c r="J31" i="47" a="1"/>
  <c r="J31" i="47" s="1"/>
  <c r="J29" i="47" a="1"/>
  <c r="J29" i="47" s="1"/>
  <c r="K32" i="47" a="1"/>
  <c r="K32" i="47" s="1"/>
  <c r="M45" i="47" a="1"/>
  <c r="M45" i="47" s="1"/>
  <c r="J47" i="47" a="1"/>
  <c r="J47" i="47" s="1"/>
  <c r="G47" i="47" a="1"/>
  <c r="G47" i="47" s="1"/>
  <c r="R43" i="47" a="1"/>
  <c r="R43" i="47" s="1"/>
  <c r="O51" i="47" a="1"/>
  <c r="O51" i="47" s="1"/>
  <c r="P20" i="47" a="1"/>
  <c r="P20" i="47" s="1"/>
  <c r="R47" i="47" a="1"/>
  <c r="R47" i="47" s="1"/>
  <c r="I51" i="47" a="1"/>
  <c r="I51" i="47" s="1"/>
  <c r="P12" i="47" a="1"/>
  <c r="P12" i="47" s="1"/>
  <c r="E45" i="47" a="1"/>
  <c r="E45" i="47" s="1"/>
  <c r="D42" i="47"/>
  <c r="Q30" i="47" a="1"/>
  <c r="Q30" i="47" s="1"/>
  <c r="O46" i="47" a="1"/>
  <c r="O46" i="47" s="1"/>
  <c r="Q32" i="47" a="1"/>
  <c r="Q32" i="47" s="1"/>
  <c r="J22" i="47" a="1"/>
  <c r="J22" i="47" s="1"/>
  <c r="E52" i="47" a="1"/>
  <c r="E52" i="47" s="1"/>
  <c r="O14" i="47" a="1"/>
  <c r="O14" i="47" s="1"/>
  <c r="J45" i="47" a="1"/>
  <c r="J45" i="47" s="1"/>
  <c r="S45" i="47" a="1"/>
  <c r="S45" i="47" s="1"/>
  <c r="E10" i="47" a="1"/>
  <c r="E10" i="47" s="1"/>
  <c r="AI36" i="50"/>
  <c r="AF36" i="50"/>
  <c r="T36" i="50"/>
  <c r="U36" i="50"/>
  <c r="AB36" i="50"/>
  <c r="AK36" i="50"/>
  <c r="AL36" i="50"/>
  <c r="AD36" i="50"/>
  <c r="AA36" i="50"/>
  <c r="AH36" i="50"/>
  <c r="H36" i="50"/>
  <c r="W36" i="50"/>
  <c r="V36" i="50"/>
  <c r="K36" i="50"/>
  <c r="J36" i="50"/>
  <c r="AG36" i="50"/>
  <c r="S36" i="50"/>
  <c r="AE36" i="50"/>
  <c r="AC36" i="50"/>
  <c r="AJ36" i="50"/>
  <c r="P36" i="50"/>
  <c r="L36" i="50"/>
  <c r="Q36" i="50"/>
  <c r="Z36" i="50"/>
  <c r="M36" i="50"/>
  <c r="O36" i="50"/>
  <c r="Y36" i="50"/>
  <c r="X36" i="50"/>
  <c r="R36" i="50"/>
  <c r="AM36" i="50"/>
  <c r="N36" i="50"/>
  <c r="I36" i="50"/>
  <c r="X45" i="50"/>
  <c r="W45" i="50"/>
  <c r="U45" i="50"/>
  <c r="AB45" i="50"/>
  <c r="AK45" i="50"/>
  <c r="S45" i="50"/>
  <c r="AH45" i="50"/>
  <c r="N45" i="50"/>
  <c r="O45" i="50"/>
  <c r="AJ45" i="50"/>
  <c r="R45" i="50"/>
  <c r="V45" i="50"/>
  <c r="AE45" i="50"/>
  <c r="AM45" i="50"/>
  <c r="AF45" i="50"/>
  <c r="Q45" i="50"/>
  <c r="AG45" i="50"/>
  <c r="AI45" i="50"/>
  <c r="AC45" i="50"/>
  <c r="AL45" i="50"/>
  <c r="AD45" i="50"/>
  <c r="K45" i="50"/>
  <c r="Y45" i="50"/>
  <c r="L45" i="50"/>
  <c r="J45" i="50"/>
  <c r="P45" i="50"/>
  <c r="Z45" i="50"/>
  <c r="H45" i="50"/>
  <c r="T45" i="50"/>
  <c r="M45" i="50"/>
  <c r="I45" i="50"/>
  <c r="AA45" i="50"/>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T32" i="50"/>
  <c r="J32" i="50"/>
  <c r="L32" i="50"/>
  <c r="AG32" i="50"/>
  <c r="AB32" i="50"/>
  <c r="AC32" i="50"/>
  <c r="P32" i="50"/>
  <c r="V32" i="50"/>
  <c r="N32" i="50"/>
  <c r="O32" i="50"/>
  <c r="I32" i="50"/>
  <c r="X32" i="50"/>
  <c r="K32" i="50"/>
  <c r="Y32" i="50"/>
  <c r="AE32" i="50"/>
  <c r="AL32" i="50"/>
  <c r="AH32" i="50"/>
  <c r="Z32" i="50"/>
  <c r="Q32" i="50"/>
  <c r="M32" i="50"/>
  <c r="AK32" i="50"/>
  <c r="U32" i="50"/>
  <c r="H32" i="50"/>
  <c r="AI32" i="50"/>
  <c r="AM32" i="50"/>
  <c r="AJ32" i="50"/>
  <c r="AD32" i="50"/>
  <c r="AA32" i="50"/>
  <c r="AF32" i="50"/>
  <c r="S32" i="50"/>
  <c r="W32" i="50"/>
  <c r="R32"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Y49" i="50"/>
  <c r="H49" i="50"/>
  <c r="O49" i="50"/>
  <c r="T49" i="50"/>
  <c r="P49" i="50"/>
  <c r="AC49" i="50"/>
  <c r="AL49" i="50"/>
  <c r="R49" i="50"/>
  <c r="N49" i="50"/>
  <c r="U49" i="50"/>
  <c r="Z49" i="50"/>
  <c r="AJ49" i="50"/>
  <c r="V49" i="50"/>
  <c r="AK49" i="50"/>
  <c r="X49" i="50"/>
  <c r="Q49" i="50"/>
  <c r="AI49" i="50"/>
  <c r="AF49" i="50"/>
  <c r="AA49" i="50"/>
  <c r="AB49" i="50"/>
  <c r="AE49" i="50"/>
  <c r="W49" i="50"/>
  <c r="AD49" i="50"/>
  <c r="J49" i="50"/>
  <c r="AG49" i="50"/>
  <c r="I49" i="50"/>
  <c r="M49" i="50"/>
  <c r="AH49" i="50"/>
  <c r="L49" i="50"/>
  <c r="AM49" i="50"/>
  <c r="K49" i="50"/>
  <c r="S49" i="50"/>
  <c r="AB34" i="50"/>
  <c r="AH34" i="50"/>
  <c r="T34" i="50"/>
  <c r="N34" i="50"/>
  <c r="AF34" i="50"/>
  <c r="AK34" i="50"/>
  <c r="Y34" i="50"/>
  <c r="L34" i="50"/>
  <c r="M34" i="50"/>
  <c r="I34" i="50"/>
  <c r="V34" i="50"/>
  <c r="W34" i="50"/>
  <c r="U34" i="50"/>
  <c r="AG34" i="50"/>
  <c r="Z34" i="50"/>
  <c r="S34" i="50"/>
  <c r="K34" i="50"/>
  <c r="AA34" i="50"/>
  <c r="AL34" i="50"/>
  <c r="X34" i="50"/>
  <c r="J34" i="50"/>
  <c r="AI34" i="50"/>
  <c r="Q34" i="50"/>
  <c r="R34" i="50"/>
  <c r="AD34" i="50"/>
  <c r="P34" i="50"/>
  <c r="AJ34" i="50"/>
  <c r="AM34" i="50"/>
  <c r="O34" i="50"/>
  <c r="H34" i="50"/>
  <c r="AE34" i="50"/>
  <c r="AC34" i="50"/>
  <c r="Z46" i="50"/>
  <c r="Q46" i="50"/>
  <c r="P46" i="50"/>
  <c r="U46" i="50"/>
  <c r="L46" i="50"/>
  <c r="AA46" i="50"/>
  <c r="AF46" i="50"/>
  <c r="I46" i="50"/>
  <c r="K46" i="50"/>
  <c r="T46" i="50"/>
  <c r="AK46" i="50"/>
  <c r="AM46" i="50"/>
  <c r="AL46" i="50"/>
  <c r="H46" i="50"/>
  <c r="AH46" i="50"/>
  <c r="W46" i="50"/>
  <c r="AD46" i="50"/>
  <c r="V46" i="50"/>
  <c r="N46" i="50"/>
  <c r="M46" i="50"/>
  <c r="AB46" i="50"/>
  <c r="Y46" i="50"/>
  <c r="AE46" i="50"/>
  <c r="AJ46" i="50"/>
  <c r="X46" i="50"/>
  <c r="R46" i="50"/>
  <c r="AC46" i="50"/>
  <c r="S46" i="50"/>
  <c r="O46" i="50"/>
  <c r="J46" i="50"/>
  <c r="AI46" i="50"/>
  <c r="AG46" i="50"/>
  <c r="X40" i="50"/>
  <c r="S40" i="50"/>
  <c r="L40" i="50"/>
  <c r="AF40" i="50"/>
  <c r="I40" i="50"/>
  <c r="AK40" i="50"/>
  <c r="AL40" i="50"/>
  <c r="AD40" i="50"/>
  <c r="AC40" i="50"/>
  <c r="T40" i="50"/>
  <c r="V40" i="50"/>
  <c r="AA40" i="50"/>
  <c r="AH40" i="50"/>
  <c r="M40" i="50"/>
  <c r="Y40" i="50"/>
  <c r="AM40" i="50"/>
  <c r="K40" i="50"/>
  <c r="H40" i="50"/>
  <c r="AB40" i="50"/>
  <c r="Z40" i="50"/>
  <c r="AJ40" i="50"/>
  <c r="AE40" i="50"/>
  <c r="P40" i="50"/>
  <c r="AG40" i="50"/>
  <c r="N40" i="50"/>
  <c r="U40" i="50"/>
  <c r="R40" i="50"/>
  <c r="W40" i="50"/>
  <c r="J40" i="50"/>
  <c r="O40" i="50"/>
  <c r="Q40" i="50"/>
  <c r="AI40" i="50"/>
  <c r="K31" i="50"/>
  <c r="Z31" i="50"/>
  <c r="L31" i="50"/>
  <c r="H31" i="50"/>
  <c r="AH31" i="50"/>
  <c r="U31" i="50"/>
  <c r="AE31" i="50"/>
  <c r="T31" i="50"/>
  <c r="AI31" i="50"/>
  <c r="X31" i="50"/>
  <c r="AK31" i="50"/>
  <c r="AJ31" i="50"/>
  <c r="AG31" i="50"/>
  <c r="O31" i="50"/>
  <c r="AF31" i="50"/>
  <c r="Y31" i="50"/>
  <c r="N31" i="50"/>
  <c r="R31" i="50"/>
  <c r="I31" i="50"/>
  <c r="W31" i="50"/>
  <c r="M31" i="50"/>
  <c r="AD31" i="50"/>
  <c r="AA31" i="50"/>
  <c r="AC31" i="50"/>
  <c r="P31" i="50"/>
  <c r="S31" i="50"/>
  <c r="AL31" i="50"/>
  <c r="AB31" i="50"/>
  <c r="V31" i="50"/>
  <c r="Q31" i="50"/>
  <c r="AM31" i="50"/>
  <c r="J31" i="50"/>
  <c r="S39" i="50"/>
  <c r="V39" i="50"/>
  <c r="AF39" i="50"/>
  <c r="AJ39" i="50"/>
  <c r="H39" i="50"/>
  <c r="K39" i="50"/>
  <c r="P39" i="50"/>
  <c r="AD39" i="50"/>
  <c r="R39" i="50"/>
  <c r="T39" i="50"/>
  <c r="J39" i="50"/>
  <c r="AK39" i="50"/>
  <c r="I39" i="50"/>
  <c r="U39" i="50"/>
  <c r="AC39" i="50"/>
  <c r="AG39" i="50"/>
  <c r="AA39" i="50"/>
  <c r="X39" i="50"/>
  <c r="AH39" i="50"/>
  <c r="Z39" i="50"/>
  <c r="M39" i="50"/>
  <c r="AL39" i="50"/>
  <c r="Y39" i="50"/>
  <c r="W39" i="50"/>
  <c r="O39" i="50"/>
  <c r="Q39" i="50"/>
  <c r="L39" i="50"/>
  <c r="AM39" i="50"/>
  <c r="AI39" i="50"/>
  <c r="AE39" i="50"/>
  <c r="N39" i="50"/>
  <c r="AB39"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C47" i="50"/>
  <c r="K47" i="50"/>
  <c r="AI47" i="50"/>
  <c r="AJ47" i="50"/>
  <c r="AH47" i="50"/>
  <c r="X47" i="50"/>
  <c r="Q47" i="50"/>
  <c r="Z47" i="50"/>
  <c r="O47" i="50"/>
  <c r="AA47" i="50"/>
  <c r="R47" i="50"/>
  <c r="T47" i="50"/>
  <c r="M47" i="50"/>
  <c r="AE47" i="50"/>
  <c r="AB47" i="50"/>
  <c r="AG47" i="50"/>
  <c r="W47" i="50"/>
  <c r="U47" i="50"/>
  <c r="AF47" i="50"/>
  <c r="P47" i="50"/>
  <c r="AK47" i="50"/>
  <c r="V47" i="50"/>
  <c r="AD47" i="50"/>
  <c r="N47" i="50"/>
  <c r="Y47" i="50"/>
  <c r="I47" i="50"/>
  <c r="H47" i="50"/>
  <c r="S47" i="50"/>
  <c r="J47" i="50"/>
  <c r="AM47" i="50"/>
  <c r="L47" i="50"/>
  <c r="AL4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Q30" i="50"/>
  <c r="J30" i="50"/>
  <c r="AJ30" i="50"/>
  <c r="M30" i="50"/>
  <c r="AH30" i="50"/>
  <c r="O30" i="50"/>
  <c r="T30" i="50"/>
  <c r="AK30" i="50"/>
  <c r="V30" i="50"/>
  <c r="AM30" i="50"/>
  <c r="P30" i="50"/>
  <c r="AF30" i="50"/>
  <c r="Z30" i="50"/>
  <c r="AD30" i="50"/>
  <c r="X30" i="50"/>
  <c r="U30" i="50"/>
  <c r="AA30" i="50"/>
  <c r="I30" i="50"/>
  <c r="N30" i="50"/>
  <c r="W30" i="50"/>
  <c r="H30" i="50"/>
  <c r="AB30" i="50"/>
  <c r="R30" i="50"/>
  <c r="AG30" i="50"/>
  <c r="AC30" i="50"/>
  <c r="K30" i="50"/>
  <c r="L30" i="50"/>
  <c r="Y30" i="50"/>
  <c r="AL30" i="50"/>
  <c r="AI30" i="50"/>
  <c r="S30" i="50"/>
  <c r="AE30"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R29" i="50"/>
  <c r="W29" i="50"/>
  <c r="AH29" i="50"/>
  <c r="Z29" i="50"/>
  <c r="AE29" i="50"/>
  <c r="AA29" i="50"/>
  <c r="U29" i="50"/>
  <c r="K29" i="50"/>
  <c r="AJ29" i="50"/>
  <c r="N29" i="50"/>
  <c r="T29" i="50"/>
  <c r="AI29" i="50"/>
  <c r="O29" i="50"/>
  <c r="I29" i="50"/>
  <c r="M29" i="50"/>
  <c r="AL29" i="50"/>
  <c r="AF29" i="50"/>
  <c r="X29" i="50"/>
  <c r="AB29" i="50"/>
  <c r="AK29" i="50"/>
  <c r="Y29" i="50"/>
  <c r="S29" i="50"/>
  <c r="AM29" i="50"/>
  <c r="L29" i="50"/>
  <c r="H29" i="50"/>
  <c r="P29" i="50"/>
  <c r="V29" i="50"/>
  <c r="AD29" i="50"/>
  <c r="AC29" i="50"/>
  <c r="J29" i="50"/>
  <c r="AG29" i="50"/>
  <c r="Q29" i="50"/>
  <c r="M28" i="50"/>
  <c r="AJ28" i="50"/>
  <c r="S28" i="50"/>
  <c r="W28" i="50"/>
  <c r="Q28" i="50"/>
  <c r="AH28" i="50"/>
  <c r="AI28" i="50"/>
  <c r="AM28" i="50"/>
  <c r="AL28" i="50"/>
  <c r="AE28" i="50"/>
  <c r="AG28" i="50"/>
  <c r="K28" i="50"/>
  <c r="AD28" i="50"/>
  <c r="X28" i="50"/>
  <c r="Y28" i="50"/>
  <c r="P28" i="50"/>
  <c r="AK28" i="50"/>
  <c r="L28" i="50"/>
  <c r="H28" i="50"/>
  <c r="I28" i="50"/>
  <c r="AB28" i="50"/>
  <c r="AF28" i="50"/>
  <c r="N28" i="50"/>
  <c r="J28" i="50"/>
  <c r="T28" i="50"/>
  <c r="V28" i="50"/>
  <c r="AA28" i="50"/>
  <c r="Z28" i="50"/>
  <c r="O28" i="50"/>
  <c r="R28" i="50"/>
  <c r="AC28" i="50"/>
  <c r="U28"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AK33" i="50"/>
  <c r="L33" i="50"/>
  <c r="AI33" i="50"/>
  <c r="AH33" i="50"/>
  <c r="P33" i="50"/>
  <c r="K33" i="50"/>
  <c r="O33" i="50"/>
  <c r="M33" i="50"/>
  <c r="U33" i="50"/>
  <c r="X33" i="50"/>
  <c r="W33" i="50"/>
  <c r="AJ33" i="50"/>
  <c r="AD33" i="50"/>
  <c r="I33" i="50"/>
  <c r="AE33" i="50"/>
  <c r="R33" i="50"/>
  <c r="Q33" i="50"/>
  <c r="Z33" i="50"/>
  <c r="AA33" i="50"/>
  <c r="AM33" i="50"/>
  <c r="AC33" i="50"/>
  <c r="Y33" i="50"/>
  <c r="T33" i="50"/>
  <c r="S33" i="50"/>
  <c r="AB33" i="50"/>
  <c r="J33" i="50"/>
  <c r="AG33" i="50"/>
  <c r="N33" i="50"/>
  <c r="AF33" i="50"/>
  <c r="V33" i="50"/>
  <c r="AL33" i="50"/>
  <c r="H33" i="50"/>
  <c r="R53" i="50"/>
  <c r="M53" i="50"/>
  <c r="Z53" i="50"/>
  <c r="AH53" i="50"/>
  <c r="AG53" i="50"/>
  <c r="AA53" i="50"/>
  <c r="AE53" i="50"/>
  <c r="AC53" i="50"/>
  <c r="I53" i="50"/>
  <c r="AF53" i="50"/>
  <c r="AM53" i="50"/>
  <c r="T53" i="50"/>
  <c r="Y53" i="50"/>
  <c r="Q53" i="50"/>
  <c r="J53" i="50"/>
  <c r="AI53" i="50"/>
  <c r="S53" i="50"/>
  <c r="AB53" i="50"/>
  <c r="K53" i="50"/>
  <c r="AK53" i="50"/>
  <c r="P53" i="50"/>
  <c r="X53" i="50"/>
  <c r="AL53" i="50"/>
  <c r="H53" i="50"/>
  <c r="W53" i="50"/>
  <c r="AJ53" i="50"/>
  <c r="L53" i="50"/>
  <c r="AD53" i="50"/>
  <c r="V53" i="50"/>
  <c r="U53" i="50"/>
  <c r="N53" i="50"/>
  <c r="O53" i="50"/>
  <c r="AB37" i="50"/>
  <c r="AH37" i="50"/>
  <c r="O37" i="50"/>
  <c r="I37" i="50"/>
  <c r="J37" i="50"/>
  <c r="V37" i="50"/>
  <c r="P37" i="50"/>
  <c r="AC37" i="50"/>
  <c r="Q37" i="50"/>
  <c r="AK37" i="50"/>
  <c r="X37" i="50"/>
  <c r="K37" i="50"/>
  <c r="AF37" i="50"/>
  <c r="AL37" i="50"/>
  <c r="Z37" i="50"/>
  <c r="AI37" i="50"/>
  <c r="R37" i="50"/>
  <c r="H37" i="50"/>
  <c r="U37" i="50"/>
  <c r="AA37" i="50"/>
  <c r="AD37" i="50"/>
  <c r="T37" i="50"/>
  <c r="S37" i="50"/>
  <c r="AE37" i="50"/>
  <c r="N37" i="50"/>
  <c r="L37" i="50"/>
  <c r="W37" i="50"/>
  <c r="AJ37" i="50"/>
  <c r="AM37" i="50"/>
  <c r="M37" i="50"/>
  <c r="AG37" i="50"/>
  <c r="Y37"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Z42" i="50"/>
  <c r="R42" i="50"/>
  <c r="AB42" i="50"/>
  <c r="M42" i="50"/>
  <c r="AH42" i="50"/>
  <c r="AA42" i="50"/>
  <c r="Y42" i="50"/>
  <c r="U42" i="50"/>
  <c r="N42" i="50"/>
  <c r="AC42" i="50"/>
  <c r="AL42" i="50"/>
  <c r="AI42" i="50"/>
  <c r="H42" i="50"/>
  <c r="X42" i="50"/>
  <c r="AE42" i="50"/>
  <c r="AD42" i="50"/>
  <c r="I42" i="50"/>
  <c r="O42" i="50"/>
  <c r="Q42" i="50"/>
  <c r="V42" i="50"/>
  <c r="AK42" i="50"/>
  <c r="K42" i="50"/>
  <c r="J42" i="50"/>
  <c r="AJ42" i="50"/>
  <c r="AM42" i="50"/>
  <c r="P42" i="50"/>
  <c r="AF42" i="50"/>
  <c r="W42" i="50"/>
  <c r="S42" i="50"/>
  <c r="T42" i="50"/>
  <c r="AG42" i="50"/>
  <c r="L42"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Z50" i="50"/>
  <c r="AL50" i="50"/>
  <c r="R50" i="50"/>
  <c r="I50" i="50"/>
  <c r="N50" i="50"/>
  <c r="H50" i="50"/>
  <c r="AK50" i="50"/>
  <c r="P50" i="50"/>
  <c r="AD50" i="50"/>
  <c r="T50" i="50"/>
  <c r="O50" i="50"/>
  <c r="X50" i="50"/>
  <c r="AI50" i="50"/>
  <c r="S50" i="50"/>
  <c r="W50" i="50"/>
  <c r="U50" i="50"/>
  <c r="AE50" i="50"/>
  <c r="AA50" i="50"/>
  <c r="K50" i="50"/>
  <c r="L50" i="50"/>
  <c r="AM50" i="50"/>
  <c r="M50" i="50"/>
  <c r="AJ50" i="50"/>
  <c r="AH50" i="50"/>
  <c r="J50" i="50"/>
  <c r="Q50" i="50"/>
  <c r="V50" i="50"/>
  <c r="AG50" i="50"/>
  <c r="AC50" i="50"/>
  <c r="AB50" i="50"/>
  <c r="Y50" i="50"/>
  <c r="AF50" i="50"/>
  <c r="AL38" i="50"/>
  <c r="J38" i="50"/>
  <c r="L38" i="50"/>
  <c r="AF38" i="50"/>
  <c r="V38" i="50"/>
  <c r="AD38" i="50"/>
  <c r="AE38" i="50"/>
  <c r="K38" i="50"/>
  <c r="W38" i="50"/>
  <c r="AC38" i="50"/>
  <c r="AA38" i="50"/>
  <c r="AJ38" i="50"/>
  <c r="Z38" i="50"/>
  <c r="T38" i="50"/>
  <c r="AI38" i="50"/>
  <c r="N38" i="50"/>
  <c r="AM38" i="50"/>
  <c r="S38" i="50"/>
  <c r="I38" i="50"/>
  <c r="AH38" i="50"/>
  <c r="Q38" i="50"/>
  <c r="AB38" i="50"/>
  <c r="M38" i="50"/>
  <c r="H38" i="50"/>
  <c r="R38" i="50"/>
  <c r="X38" i="50"/>
  <c r="P38" i="50"/>
  <c r="Y38" i="50"/>
  <c r="AK38" i="50"/>
  <c r="U38" i="50"/>
  <c r="AG38" i="50"/>
  <c r="O38"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R43" i="50"/>
  <c r="X43" i="50"/>
  <c r="K43" i="50"/>
  <c r="Z43" i="50"/>
  <c r="AH43" i="50"/>
  <c r="H43" i="50"/>
  <c r="AM43" i="50"/>
  <c r="Q43" i="50"/>
  <c r="AG43" i="50"/>
  <c r="AA43" i="50"/>
  <c r="AJ43" i="50"/>
  <c r="AE43" i="50"/>
  <c r="U43" i="50"/>
  <c r="AD43" i="50"/>
  <c r="M43" i="50"/>
  <c r="T43" i="50"/>
  <c r="V43" i="50"/>
  <c r="AK43" i="50"/>
  <c r="AL43" i="50"/>
  <c r="Y43" i="50"/>
  <c r="L43" i="50"/>
  <c r="J43" i="50"/>
  <c r="P43" i="50"/>
  <c r="S43" i="50"/>
  <c r="AB43" i="50"/>
  <c r="W43" i="50"/>
  <c r="N43" i="50"/>
  <c r="AC43" i="50"/>
  <c r="AI43" i="50"/>
  <c r="O43" i="50"/>
  <c r="I43" i="50"/>
  <c r="AF43" i="50"/>
  <c r="Q52" i="50"/>
  <c r="AL52" i="50"/>
  <c r="L52" i="50"/>
  <c r="K52" i="50"/>
  <c r="W52" i="50"/>
  <c r="M52" i="50"/>
  <c r="V52" i="50"/>
  <c r="AG52" i="50"/>
  <c r="N52" i="50"/>
  <c r="AJ52" i="50"/>
  <c r="P52" i="50"/>
  <c r="T52" i="50"/>
  <c r="S52" i="50"/>
  <c r="H52" i="50"/>
  <c r="O52" i="50"/>
  <c r="AA52" i="50"/>
  <c r="AC52" i="50"/>
  <c r="U52" i="50"/>
  <c r="Z52" i="50"/>
  <c r="AK52" i="50"/>
  <c r="AM52" i="50"/>
  <c r="Y52" i="50"/>
  <c r="X52" i="50"/>
  <c r="I52" i="50"/>
  <c r="AB52" i="50"/>
  <c r="AI52" i="50"/>
  <c r="AE52" i="50"/>
  <c r="AD52" i="50"/>
  <c r="AF52" i="50"/>
  <c r="AH52" i="50"/>
  <c r="J52" i="50"/>
  <c r="R5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AF48" i="50"/>
  <c r="AE48" i="50"/>
  <c r="R48" i="50"/>
  <c r="AI48" i="50"/>
  <c r="L48" i="50"/>
  <c r="AH48" i="50"/>
  <c r="AA48" i="50"/>
  <c r="O48" i="50"/>
  <c r="X48" i="50"/>
  <c r="H48" i="50"/>
  <c r="I48" i="50"/>
  <c r="N48" i="50"/>
  <c r="V48" i="50"/>
  <c r="Q48" i="50"/>
  <c r="Y48" i="50"/>
  <c r="AC48" i="50"/>
  <c r="AL48" i="50"/>
  <c r="AM48" i="50"/>
  <c r="AD48" i="50"/>
  <c r="AK48" i="50"/>
  <c r="P48" i="50"/>
  <c r="K48" i="50"/>
  <c r="J48" i="50"/>
  <c r="M48" i="50"/>
  <c r="U48" i="50"/>
  <c r="AJ48" i="50"/>
  <c r="S48" i="50"/>
  <c r="AG48" i="50"/>
  <c r="W48" i="50"/>
  <c r="T48" i="50"/>
  <c r="Z48" i="50"/>
  <c r="AB48"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R44" i="50"/>
  <c r="AI44" i="50"/>
  <c r="M44" i="50"/>
  <c r="AG44" i="50"/>
  <c r="Y44" i="50"/>
  <c r="AD44" i="50"/>
  <c r="AA44" i="50"/>
  <c r="L44" i="50"/>
  <c r="Z44" i="50"/>
  <c r="AK44" i="50"/>
  <c r="AM44" i="50"/>
  <c r="Q44" i="50"/>
  <c r="AH44" i="50"/>
  <c r="AL44" i="50"/>
  <c r="AC44" i="50"/>
  <c r="AF44" i="50"/>
  <c r="P44" i="50"/>
  <c r="T44" i="50"/>
  <c r="O44" i="50"/>
  <c r="V44" i="50"/>
  <c r="AJ44" i="50"/>
  <c r="AB44" i="50"/>
  <c r="U44" i="50"/>
  <c r="AE44" i="50"/>
  <c r="I44" i="50"/>
  <c r="W44" i="50"/>
  <c r="N44" i="50"/>
  <c r="X44" i="50"/>
  <c r="J44" i="50"/>
  <c r="K44" i="50"/>
  <c r="S44" i="50"/>
  <c r="H4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G51" i="50"/>
  <c r="S51" i="50"/>
  <c r="AJ51" i="50"/>
  <c r="AI51" i="50"/>
  <c r="N51" i="50"/>
  <c r="AL51" i="50"/>
  <c r="J51" i="50"/>
  <c r="H51" i="50"/>
  <c r="X51" i="50"/>
  <c r="Z51" i="50"/>
  <c r="AB51" i="50"/>
  <c r="P51" i="50"/>
  <c r="AE51" i="50"/>
  <c r="Q51" i="50"/>
  <c r="AD51" i="50"/>
  <c r="V51" i="50"/>
  <c r="AC51" i="50"/>
  <c r="L51" i="50"/>
  <c r="R51" i="50"/>
  <c r="AK51" i="50"/>
  <c r="AM51" i="50"/>
  <c r="T51" i="50"/>
  <c r="AA51" i="50"/>
  <c r="O51" i="50"/>
  <c r="AF51" i="50"/>
  <c r="Y51" i="50"/>
  <c r="M51" i="50"/>
  <c r="W51" i="50"/>
  <c r="AH51" i="50"/>
  <c r="K51" i="50"/>
  <c r="U51" i="50"/>
  <c r="I51"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M41" i="50"/>
  <c r="AF41" i="50"/>
  <c r="N41" i="50"/>
  <c r="U41" i="50"/>
  <c r="K41" i="50"/>
  <c r="Y41" i="50"/>
  <c r="Q41" i="50"/>
  <c r="AJ41" i="50"/>
  <c r="S41" i="50"/>
  <c r="AG41" i="50"/>
  <c r="L41" i="50"/>
  <c r="V41" i="50"/>
  <c r="AC41" i="50"/>
  <c r="AD41" i="50"/>
  <c r="AK41" i="50"/>
  <c r="Z41" i="50"/>
  <c r="AL41" i="50"/>
  <c r="X41" i="50"/>
  <c r="R41" i="50"/>
  <c r="AH41" i="50"/>
  <c r="J41" i="50"/>
  <c r="O41" i="50"/>
  <c r="AI41" i="50"/>
  <c r="M41" i="50"/>
  <c r="AE41" i="50"/>
  <c r="P41" i="50"/>
  <c r="H41" i="50"/>
  <c r="W41" i="50"/>
  <c r="AA41" i="50"/>
  <c r="AB41" i="50"/>
  <c r="T41" i="50"/>
  <c r="I41" i="50"/>
  <c r="AL35" i="50"/>
  <c r="AE35" i="50"/>
  <c r="U35" i="50"/>
  <c r="X35" i="50"/>
  <c r="K35" i="50"/>
  <c r="H35" i="50"/>
  <c r="AH35" i="50"/>
  <c r="Y35" i="50"/>
  <c r="AG35" i="50"/>
  <c r="N35" i="50"/>
  <c r="Q35" i="50"/>
  <c r="T35" i="50"/>
  <c r="S35" i="50"/>
  <c r="AK35" i="50"/>
  <c r="M35" i="50"/>
  <c r="W35" i="50"/>
  <c r="L35" i="50"/>
  <c r="AD35" i="50"/>
  <c r="I35" i="50"/>
  <c r="AI35" i="50"/>
  <c r="AJ35" i="50"/>
  <c r="AA35" i="50"/>
  <c r="AM35" i="50"/>
  <c r="AC35" i="50"/>
  <c r="P35" i="50"/>
  <c r="AB35" i="50"/>
  <c r="O35" i="50"/>
  <c r="R35" i="50"/>
  <c r="V35" i="50"/>
  <c r="Z35" i="50"/>
  <c r="AF35" i="50"/>
  <c r="J35"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<sst xmlns="http://schemas.openxmlformats.org/spreadsheetml/2006/main" count="16647" uniqueCount="2794">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</sst>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2"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Followed Hyperlink" xfId="77" builtinId="9" hidden="1"/>
    <cellStyle name="Followed Hyperlink" xfId="78" builtinId="9" hidden="1"/>
    <cellStyle name="Followed Hyperlink" xfId="79" builtinId="9" hidden="1"/>
    <cellStyle name="Followed Hyperlink" xfId="80" builtinId="9" hidden="1"/>
    <cellStyle name="Followed Hyperlink" xfId="81" builtinId="9" hidden="1"/>
    <cellStyle name="Followed Hyperlink" xfId="82" builtinId="9" hidden="1"/>
    <cellStyle name="Followed Hyperlink" xfId="83" builtinId="9" hidden="1"/>
    <cellStyle name="Followed Hyperlink" xfId="84" builtinId="9" hidden="1"/>
    <cellStyle name="Followed Hyperlink" xfId="85" builtinId="9" hidden="1"/>
    <cellStyle name="Followed Hyperlink" xfId="86" builtinId="9" hidden="1"/>
    <cellStyle name="Followed Hyperlink" xfId="87" builtinId="9" hidden="1"/>
    <cellStyle name="Followed Hyperlink" xfId="88" builtinId="9" hidden="1"/>
    <cellStyle name="Followed Hyperlink" xfId="89" builtinId="9" hidden="1"/>
    <cellStyle name="Hipervínculo 2" xfId="94" xr:uid="{008C30FC-4EBF-9B4A-9B7C-80AE025592FE}"/>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8"/>
                <c:pt idx="0">
                  <c:v>1|2-0</c:v>
                </c:pt>
                <c:pt idx="1">
                  <c:v>Pegar Valores (J1)</c:v>
                </c:pt>
                <c:pt idx="2">
                  <c:v>1|2-1</c:v>
                </c:pt>
                <c:pt idx="3">
                  <c:v>1|1-0</c:v>
                </c:pt>
                <c:pt idx="4">
                  <c:v>1|3-1</c:v>
                </c:pt>
                <c:pt idx="5">
                  <c:v>1|3-0</c:v>
                </c:pt>
                <c:pt idx="6">
                  <c:v>X|1-1</c:v>
                </c:pt>
                <c:pt idx="7">
                  <c:v>X|2-2</c:v>
                </c:pt>
              </c:strCache>
            </c:strRef>
          </c:cat>
          <c:val>
            <c:numRef>
              <c:f>Stats!$I$8:$I$31</c:f>
              <c:numCache>
                <c:formatCode>General</c:formatCode>
                <c:ptCount val="24"/>
                <c:pt idx="0">
                  <c:v>20</c:v>
                </c:pt>
                <c:pt idx="1">
                  <c:v>10</c:v>
                </c:pt>
                <c:pt idx="2">
                  <c:v>9</c:v>
                </c:pt>
                <c:pt idx="3">
                  <c:v>5</c:v>
                </c:pt>
                <c:pt idx="4">
                  <c:v>3</c:v>
                </c:pt>
                <c:pt idx="5">
                  <c:v>1</c:v>
                </c:pt>
                <c:pt idx="6">
                  <c:v>1</c:v>
                </c:pt>
                <c:pt idx="7">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Stats!$J$8:$J$31</c:f>
              <c:numCache>
                <c:formatCode>General</c:formatCode>
                <c:ptCount val="24"/>
                <c:pt idx="0">
                  <c:v>20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Stats!$K$8:$K$31</c:f>
              <c:numCache>
                <c:formatCode>General</c:formatCode>
                <c:ptCount val="24"/>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0.95</c:v>
                </c:pt>
                <c:pt idx="1">
                  <c:v>0.05</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2">
    <v>0</v>
    <v>8</v>
    <v>7</v>
    <v>1</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localImage">
    <k n="_rvRel:LocalImageIdentifier" t="i"/>
    <k n="CalcOrigin" t="i"/>
    <k n="Text" t="s"/>
  </s>
  <s t="_error">
    <k n="colOffset" t="i"/>
    <k n="errorType" t="i"/>
    <k n="rwOffset" t="i"/>
    <k n="subType"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7773437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109375"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0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0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05"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0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0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049999999999997"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049999999999997"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05"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W1" zoomScaleNormal="100" workbookViewId="0">
      <selection activeCell="AD86" sqref="AD86"/>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77734375" customWidth="1"/>
    <col min="26" max="26" width="4.44140625" customWidth="1"/>
    <col min="27" max="27" width="20.77734375" customWidth="1"/>
    <col min="28" max="28" width="3.77734375" customWidth="1"/>
    <col min="29" max="30" width="5.33203125" customWidth="1"/>
    <col min="31" max="31" width="3.77734375" customWidth="1"/>
    <col min="32" max="32" width="20.77734375" customWidth="1"/>
    <col min="33" max="33" width="3.44140625" customWidth="1"/>
    <col min="34" max="34" width="3.77734375" style="21" customWidth="1"/>
    <col min="35" max="35" width="3.33203125" style="21" customWidth="1"/>
    <col min="36" max="36" width="4.33203125" customWidth="1"/>
    <col min="37" max="37" width="3.33203125" customWidth="1"/>
    <col min="38" max="38" width="20.77734375" customWidth="1"/>
    <col min="39" max="39" width="5.77734375" customWidth="1"/>
    <col min="40" max="43" width="4.33203125" customWidth="1"/>
    <col min="44" max="45" width="5.441406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1093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33203125" style="5" hidden="1" customWidth="1"/>
    <col min="72" max="100" width="8" style="5" hidden="1" customWidth="1"/>
    <col min="101" max="101" width="4.109375" style="5" hidden="1" customWidth="1"/>
    <col min="102" max="102" width="7.33203125" style="5" hidden="1" customWidth="1"/>
    <col min="103" max="103" width="10.77734375" style="5" hidden="1" customWidth="1"/>
    <col min="104" max="104" width="3.109375" style="5" hidden="1" customWidth="1"/>
    <col min="105" max="105" width="8.6640625" style="5" hidden="1" customWidth="1"/>
    <col min="106" max="106" width="8"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050000000000001"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P.1 (2)</v>
      </c>
      <c r="F4" s="744" t="str">
        <f t="shared" ref="F4:F9" ca="1" si="2">IF(D4="Pendiente","-",INDEX($BT$6:$BT$53,MATCH($AF4,$BD$6:$BD$53,0)))</f>
        <v>P.3 (2)</v>
      </c>
      <c r="G4" s="744"/>
      <c r="H4" s="744" t="str">
        <f t="shared" ref="H4:H9" ca="1" si="3">IF(D4="Pendiente","-",INDEX($BZ$6:$BZ$53,MATCH($AA4,$BD$6:$BD$53,0)))</f>
        <v>P.1 (2)</v>
      </c>
      <c r="I4" s="744" t="str">
        <f t="shared" ref="I4:I9" ca="1" si="4">IF(D4="Pendiente","-",INDEX($BZ$6:$BZ$53,MATCH($AF4,$BD$6:$BD$53,0)))</f>
        <v>P.3 (2)</v>
      </c>
      <c r="J4" s="744"/>
      <c r="K4" s="744" t="str">
        <f t="shared" ref="K4:K9" ca="1" si="5">IF(D4="Pendiente","-",INDEX($CE$6:$CE$53,MATCH($AA4,$BD$6:$BD$53,0)))</f>
        <v>P.1 (2)</v>
      </c>
      <c r="L4" s="744" t="str">
        <f t="shared" ref="L4:L9" ca="1" si="6">IF(D4="Pendiente","-",INDEX($CE$6:$CE$53,MATCH($AF4,$BD$6:$BD$53,0)))</f>
        <v>P.3 (2)</v>
      </c>
      <c r="M4" s="744"/>
      <c r="N4" s="744" t="str">
        <f t="shared" ref="N4:N9" ca="1" si="7">IF(D4="Pendiente","-",INDEX($CH$6:$CH$53,MATCH($AA4,$BD$6:$BD$53,0)))</f>
        <v>P.1 (2)</v>
      </c>
      <c r="O4" s="744" t="str">
        <f t="shared" ref="O4:O9" ca="1" si="8">IF(D4="Pendiente","-",INDEX($CH$6:$CH$53,MATCH($AF4,$BD$6:$BD$53,0)))</f>
        <v>P.3 (2)</v>
      </c>
      <c r="P4" s="744"/>
      <c r="Q4" s="744" t="str">
        <f t="shared" ref="Q4:Q9" ca="1" si="9">IF(D4="Pendiente","-",INDEX($CN$6:$CN$53,MATCH($AA4,$BD$6:$BD$53,0)))</f>
        <v>P.1 (2)</v>
      </c>
      <c r="R4" s="744" t="str">
        <f t="shared" ref="R4:R9" ca="1" si="10">IF(D4="Pendiente","-",INDEX($CN$6:$CN$53,MATCH($AF4,$BD$6:$BD$53,0)))</f>
        <v>P.3 (2)</v>
      </c>
      <c r="S4" s="744"/>
      <c r="T4" s="744" t="str">
        <f t="shared" ref="T4:T9" ca="1" si="11">IF(D4="Pendiente","-",INDEX($CS$6:$CS$53,MATCH($AA4,$BD$6:$BD$53,0)))</f>
        <v>P.1 (2)</v>
      </c>
      <c r="U4" s="744" t="str">
        <f t="shared" ref="U4:U9" ca="1" si="12">IF(D4="Pendiente","-",INDEX($CS$6:$CS$53,MATCH($AF4,$BD$6:$BD$53,0)))</f>
        <v>P.3 (2)</v>
      </c>
      <c r="V4" s="172"/>
      <c r="W4" s="798"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P.1 (2)</v>
      </c>
      <c r="F5" s="744" t="str">
        <f t="shared" ca="1" si="2"/>
        <v>P.3 (2)</v>
      </c>
      <c r="G5" s="744"/>
      <c r="H5" s="744" t="str">
        <f t="shared" ca="1" si="3"/>
        <v>P.1 (2)</v>
      </c>
      <c r="I5" s="744" t="str">
        <f t="shared" ca="1" si="4"/>
        <v>P.3 (2)</v>
      </c>
      <c r="J5" s="744"/>
      <c r="K5" s="744" t="str">
        <f t="shared" ca="1" si="5"/>
        <v>P.1 (2)</v>
      </c>
      <c r="L5" s="744" t="str">
        <f t="shared" ca="1" si="6"/>
        <v>P.3 (2)</v>
      </c>
      <c r="M5" s="744"/>
      <c r="N5" s="744" t="str">
        <f t="shared" ca="1" si="7"/>
        <v>P.1 (2)</v>
      </c>
      <c r="O5" s="744" t="str">
        <f t="shared" ca="1" si="8"/>
        <v>P.3 (2)</v>
      </c>
      <c r="P5" s="744"/>
      <c r="Q5" s="744" t="str">
        <f t="shared" ca="1" si="9"/>
        <v>P.1 (2)</v>
      </c>
      <c r="R5" s="744" t="str">
        <f t="shared" ca="1" si="10"/>
        <v>P.3 (2)</v>
      </c>
      <c r="S5" s="744"/>
      <c r="T5" s="744" t="str">
        <f t="shared" ca="1" si="11"/>
        <v>P.1 (2)</v>
      </c>
      <c r="U5" s="744" t="str">
        <f t="shared" ca="1" si="12"/>
        <v>P.3 (2)</v>
      </c>
      <c r="V5" s="172"/>
      <c r="W5" s="798"/>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Pendiente</v>
      </c>
      <c r="E6" s="744" t="str">
        <f t="shared" si="1"/>
        <v>-</v>
      </c>
      <c r="F6" s="744" t="str">
        <f t="shared" si="2"/>
        <v>-</v>
      </c>
      <c r="G6" s="744"/>
      <c r="H6" s="744" t="str">
        <f t="shared" si="3"/>
        <v>-</v>
      </c>
      <c r="I6" s="744" t="str">
        <f t="shared" si="4"/>
        <v>-</v>
      </c>
      <c r="J6" s="744"/>
      <c r="K6" s="744" t="str">
        <f t="shared" si="5"/>
        <v>-</v>
      </c>
      <c r="L6" s="744" t="str">
        <f t="shared" si="6"/>
        <v>-</v>
      </c>
      <c r="M6" s="744"/>
      <c r="N6" s="744" t="str">
        <f t="shared" si="7"/>
        <v>-</v>
      </c>
      <c r="O6" s="744" t="str">
        <f t="shared" si="8"/>
        <v>-</v>
      </c>
      <c r="P6" s="744"/>
      <c r="Q6" s="744" t="str">
        <f t="shared" si="9"/>
        <v>-</v>
      </c>
      <c r="R6" s="744" t="str">
        <f t="shared" si="10"/>
        <v>-</v>
      </c>
      <c r="S6" s="744"/>
      <c r="T6" s="744" t="str">
        <f t="shared" si="11"/>
        <v>-</v>
      </c>
      <c r="U6" s="744" t="str">
        <f t="shared" si="12"/>
        <v>-</v>
      </c>
      <c r="V6" s="172"/>
      <c r="W6" s="798"/>
      <c r="X6" s="189">
        <f ca="1">Horarios!C6</f>
        <v>46191.75</v>
      </c>
      <c r="Y6" s="190">
        <f ca="1">Horarios!C6</f>
        <v>46191.75</v>
      </c>
      <c r="Z6" s="191" t="str">
        <f>Idiomas!D64</f>
        <v>J2</v>
      </c>
      <c r="AA6" s="192" t="str">
        <f ca="1">A8</f>
        <v>República Checa</v>
      </c>
      <c r="AB6" s="480" t="e" cm="1" vm="4">
        <f t="array" aca="1" ref="AB6" ca="1">Ver_flag_local</f>
        <v>#VALUE!</v>
      </c>
      <c r="AC6" s="193"/>
      <c r="AD6" s="194"/>
      <c r="AE6" s="483" t="e" cm="1" vm="2">
        <f t="array" aca="1" ref="AE6" ca="1">Ver_flag_visit</f>
        <v>#VALUE!</v>
      </c>
      <c r="AF6" s="195" t="str">
        <f ca="1">A6</f>
        <v>Sudáfrica</v>
      </c>
      <c r="AG6" s="413">
        <f t="shared" si="13"/>
        <v>0</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3</v>
      </c>
      <c r="BF6" s="748">
        <f ca="1">+BG6+BH6+BI6</f>
        <v>1</v>
      </c>
      <c r="BG6" s="748">
        <f t="shared" ref="BG6:BG53" ca="1" si="17">+COUNTIFS(FGLocal,BD6,Ganador,"Local")+COUNTIFS(FGVisitante,BD6,Ganador,"Visitante")</f>
        <v>1</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2</v>
      </c>
      <c r="BK6" s="748">
        <f t="shared" ref="BK6:BK53" ca="1" si="21">+SUMIFS(FG_GolesLocal,FGVisitante,BD6,Ganador,"&lt;&gt;"&amp;"Pendiente",FG_GolesLocal,"&lt;&gt;"&amp;"",FG_GolesVisitante,"&lt;&gt;"&amp;"")+SUMIFS(FG_GolesVisitante,FGLocal,BD6,Ganador,"&lt;&gt;"&amp;"Pendiente",FG_GolesLocal,"&lt;&gt;"&amp;"",FG_GolesVisitante,"&lt;&gt;"&amp;"")</f>
        <v>0</v>
      </c>
      <c r="BL6" s="748">
        <f ca="1">+BJ6-BK6</f>
        <v>2</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3</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P.1 (2)</v>
      </c>
      <c r="BU6" s="758">
        <f ca="1">IF($BT6="-","-",COUNTIFS(FGLocal,$BD6,Ganador,"Local",Part1Empate1V,$BT6)+COUNTIFS(FGVisitante,$BD6,Ganador,"Visitante",Part1Empate1L,$BT6))</f>
        <v>0</v>
      </c>
      <c r="BV6" s="758">
        <f ca="1">IF($BT6="-","-",COUNTIFS(FGLocal,$BD6,Ganador,"Empate",Part1Empate1V,$BT6)+COUNTIFS(FGVisitante,$BD6,Ganador,"Empate",Part1Empate1L,$BT6))</f>
        <v>0</v>
      </c>
      <c r="BW6" s="758">
        <f ca="1">IF($BT6="-","-",COUNTIFS(FGLocal,$BD6,Ganador,"Visitante",Part1Empate1V,$BT6)+COUNTIFS(FGVisitante,$BD6,Ganador,"Local",Part1Empate1L,$BT6))</f>
        <v>0</v>
      </c>
      <c r="BX6" s="758">
        <f ca="1">IF($BT6="-","-",BU6*3+BV6)</f>
        <v>0</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P.1 (2)</v>
      </c>
      <c r="CA6" s="758">
        <f ca="1">IF($BZ6="-","-",SUMIFS(FG_GolesLocal,FGLocal,$BD6,Part1Empate2V,$BZ6)+SUMIFS(FG_GolesVisitante,FGVisitante,$BD6,Part1Empate2L,$BZ6))</f>
        <v>0</v>
      </c>
      <c r="CB6" s="758">
        <f ca="1">IF($BZ6="-","-",SUMIFS(FG_GolesVisitante,FGLocal,$BD6,Part1Empate2V,$BZ6)+SUMIFS(FG_GolesLocal,FGVisitante,$BD6,Part1Empate2L,$BZ6))</f>
        <v>0</v>
      </c>
      <c r="CC6" s="758">
        <f ca="1">IF($BZ6="-","-",CA6-CB6)</f>
        <v>0</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P.1 (2)</v>
      </c>
      <c r="CF6" s="758">
        <f ca="1">IF($CE6="-","-",SUMIFS(FG_GolesLocal,FGLocal,$BD6,Part1Empate3V,$CE6)+SUMIFS(FG_GolesVisitante,FGVisitante,$BD6,Part1Empate3L,$CE6))</f>
        <v>0</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P.1 (2)</v>
      </c>
      <c r="CI6" s="758">
        <f ca="1">IF($CH6="-","-",COUNTIFS(FGLocal,$BD6,Ganador,"Local",Part2Empate4V,$CH6)+COUNTIFS(FGVisitante,$BD6,Ganador,"Visitante",Part2Empate4L,$CH6))</f>
        <v>0</v>
      </c>
      <c r="CJ6" s="758">
        <f ca="1">IF($CH6="-","-",COUNTIFS(FGLocal,$BD6,Ganador,"Empate",Part2Empate4V,$CH6)+COUNTIFS(FGVisitante,$BD6,Ganador,"Empate",Part2Empate4L,$CH6))</f>
        <v>0</v>
      </c>
      <c r="CK6" s="758">
        <f ca="1">IF($CH6="-","-",COUNTIFS(FGLocal,$BD6,Ganador,"Visitante",Part2Empate4V,$CH6)+COUNTIFS(FGVisitante,$BD6,Ganador,"Local",Part2Empate4L,$CH6))</f>
        <v>0</v>
      </c>
      <c r="CL6" s="758">
        <f ca="1">IF($CH6="-","-",CI6*3+CJ6)</f>
        <v>0</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P.1 (2)</v>
      </c>
      <c r="CO6" s="758">
        <f ca="1">IF($CN6="-","-",SUMIFS(FG_GolesLocal,FGLocal,$BD6,Part2Empate5V,$CN6)+SUMIFS(FG_GolesVisitante,FGVisitante,$BD6,Part2Empate5L,$CN6))</f>
        <v>0</v>
      </c>
      <c r="CP6" s="758">
        <f ca="1">IF($CN6="-","-",SUMIFS(FG_GolesVisitante,FGLocal,$BD6,Part2Empate5V,$CN6)+SUMIFS(FG_GolesLocal,FGVisitante,$BD6,Part2Empate5L,$CN6))</f>
        <v>0</v>
      </c>
      <c r="CQ6" s="758">
        <f ca="1">IF($CN6="-","-",CO6-CP6)</f>
        <v>0</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P.1 (2)</v>
      </c>
      <c r="CT6" s="758">
        <f ca="1">IF($CS6="-","-",SUMIFS(FG_GolesLocal,FGLocal,$BD6,Part2Empate6V,$CS6)+SUMIFS(FG_GolesVisitante,FGVisitante,$BD6,Part2Empate6L,$CS6))</f>
        <v>0</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P.1 (2)</v>
      </c>
      <c r="CW6" s="757">
        <f ca="1">IF(CV6="-","-",BL6)</f>
        <v>2</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4</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Pendiente</v>
      </c>
      <c r="E7" s="744" t="str">
        <f t="shared" si="1"/>
        <v>-</v>
      </c>
      <c r="F7" s="744" t="str">
        <f t="shared" si="2"/>
        <v>-</v>
      </c>
      <c r="G7" s="744"/>
      <c r="H7" s="744" t="str">
        <f t="shared" si="3"/>
        <v>-</v>
      </c>
      <c r="I7" s="744" t="str">
        <f t="shared" si="4"/>
        <v>-</v>
      </c>
      <c r="J7" s="744"/>
      <c r="K7" s="744" t="str">
        <f t="shared" si="5"/>
        <v>-</v>
      </c>
      <c r="L7" s="744" t="str">
        <f t="shared" si="6"/>
        <v>-</v>
      </c>
      <c r="M7" s="744"/>
      <c r="N7" s="744" t="str">
        <f t="shared" si="7"/>
        <v>-</v>
      </c>
      <c r="O7" s="744" t="str">
        <f t="shared" si="8"/>
        <v>-</v>
      </c>
      <c r="P7" s="744"/>
      <c r="Q7" s="744" t="str">
        <f t="shared" si="9"/>
        <v>-</v>
      </c>
      <c r="R7" s="744" t="str">
        <f t="shared" si="10"/>
        <v>-</v>
      </c>
      <c r="S7" s="744"/>
      <c r="T7" s="744" t="str">
        <f t="shared" si="11"/>
        <v>-</v>
      </c>
      <c r="U7" s="744" t="str">
        <f t="shared" si="12"/>
        <v>-</v>
      </c>
      <c r="V7" s="172"/>
      <c r="W7" s="798"/>
      <c r="X7" s="189">
        <f ca="1">Horarios!C7</f>
        <v>46192.125</v>
      </c>
      <c r="Y7" s="190">
        <f ca="1">Horarios!C7</f>
        <v>46192.125</v>
      </c>
      <c r="Z7" s="191" t="str">
        <f>$Z$6</f>
        <v>J2</v>
      </c>
      <c r="AA7" s="192" t="str">
        <f ca="1">A5</f>
        <v>México</v>
      </c>
      <c r="AB7" s="480" t="e" cm="1" vm="1">
        <f t="array" aca="1" ref="AB7" ca="1">Ver_flag_local</f>
        <v>#VALUE!</v>
      </c>
      <c r="AC7" s="193"/>
      <c r="AD7" s="194"/>
      <c r="AE7" s="483" t="e" cm="1" vm="3">
        <f t="array" aca="1" ref="AE7" ca="1">Ver_flag_visit</f>
        <v>#VALUE!</v>
      </c>
      <c r="AF7" s="195" t="str">
        <f ca="1">A7</f>
        <v>Corea del Sur</v>
      </c>
      <c r="AG7" s="413">
        <f t="shared" si="13"/>
        <v>0</v>
      </c>
      <c r="AH7" s="196">
        <v>28</v>
      </c>
      <c r="AI7" s="19" t="str">
        <f>AJ7&amp;$B$4</f>
        <v>2A</v>
      </c>
      <c r="AJ7" s="221">
        <v>2</v>
      </c>
      <c r="AK7" s="491" t="e" cm="1" vm="3">
        <f t="array" aca="1" ref="AK7" ca="1">Ver_flag_visit</f>
        <v>#VALUE!</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0</v>
      </c>
      <c r="BF7" s="748">
        <f t="shared" ref="BF7:BF53" ca="1" si="26">+BG7+BH7+BI7</f>
        <v>1</v>
      </c>
      <c r="BG7" s="748">
        <f t="shared" ca="1" si="17"/>
        <v>0</v>
      </c>
      <c r="BH7" s="748">
        <f t="shared" ca="1" si="18"/>
        <v>0</v>
      </c>
      <c r="BI7" s="748">
        <f t="shared" ca="1" si="19"/>
        <v>1</v>
      </c>
      <c r="BJ7" s="748">
        <f t="shared" ca="1" si="20"/>
        <v>0</v>
      </c>
      <c r="BK7" s="748">
        <f t="shared" ca="1" si="21"/>
        <v>2</v>
      </c>
      <c r="BL7" s="748">
        <f t="shared" ref="BL7:BL53" ca="1" si="27">+BJ7-BK7</f>
        <v>-2</v>
      </c>
      <c r="BM7" s="748" t="str">
        <f t="shared" ca="1" si="22"/>
        <v>4A</v>
      </c>
      <c r="BN7" s="748" t="str">
        <f t="shared" ca="1" si="23"/>
        <v>4A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0</v>
      </c>
      <c r="BS7" s="757">
        <f ca="1">BP7+COUNTIFS($BQ$6:$BQ$53,BQ7,$BR$6:BR$53,"&gt;"&amp;BR7,$BC$6:$BC$53,INDEX(T_Equipos[Grupo],MATCH(BD7,T_Equipos[NombreEquipo],0)))</f>
        <v>3</v>
      </c>
      <c r="BT7" s="757" t="str">
        <f ca="1">IF(COUNTIFS($BS$6:$BS$53,BS7,$BC$6:$BC$53,INDEX(T_Equipos[Grupo],MATCH(BD7,T_Equipos[NombreEquipo],0)))=1,"-","P."&amp;BS7&amp;" ("&amp;COUNTIFS($BS$6:$BS$53,BS7,$BC$6:$BC$53,INDEX(T_Equipos[Grupo],MATCH(BD7,T_Equipos[NombreEquipo],0)))&amp;")")</f>
        <v>P.3 (2)</v>
      </c>
      <c r="BU7" s="758">
        <f ca="1">IF($BT7="-","-",COUNTIFS(FGLocal,$BD7,Ganador,"Local",Part1Empate1V,$BT7)+COUNTIFS(FGVisitante,$BD7,Ganador,"Visitante",Part1Empate1L,$BT7))</f>
        <v>0</v>
      </c>
      <c r="BV7" s="758">
        <f ca="1">IF($BT7="-","-",COUNTIFS(FGLocal,$BD7,Ganador,"Empate",Part1Empate1V,$BT7)+COUNTIFS(FGVisitante,$BD7,Ganador,"Empate",Part1Empate1L,$BT7))</f>
        <v>0</v>
      </c>
      <c r="BW7" s="758">
        <f ca="1">IF($BT7="-","-",COUNTIFS(FGLocal,$BD7,Ganador,"Visitante",Part1Empate1V,$BT7)+COUNTIFS(FGVisitante,$BD7,Ganador,"Local",Part1Empate1L,$BT7))</f>
        <v>0</v>
      </c>
      <c r="BX7" s="758">
        <f ca="1">IF($BT7="-","-",BU7*3+BV7)</f>
        <v>0</v>
      </c>
      <c r="BY7" s="758">
        <f ca="1">BS7+COUNTIFS($BT$6:$BT$53,BT7,$BX$6:BX$53,"&gt;"&amp;BX7,$BC$6:$BC$53,INDEX(T_Equipos[Grupo],MATCH(BD7,T_Equipos[NombreEquipo],0)))</f>
        <v>3</v>
      </c>
      <c r="BZ7" s="757" t="str">
        <f ca="1">IF(COUNTIFS($BY$6:$BY$53,BY7,$BC$6:$BC$53,INDEX(T_Equipos[Grupo],MATCH(BD7,T_Equipos[NombreEquipo],0)))=1,"-","P."&amp;BY7&amp;" ("&amp;COUNTIFS($BY$6:$BY$53,BY7,$BC$6:$BC$53,INDEX(T_Equipos[Grupo],MATCH(BD7,T_Equipos[NombreEquipo],0)))&amp;")")</f>
        <v>P.3 (2)</v>
      </c>
      <c r="CA7" s="758">
        <f ca="1">IF($BZ7="-","-",SUMIFS(FG_GolesLocal,FGLocal,$BD7,Part1Empate2V,$BZ7)+SUMIFS(FG_GolesVisitante,FGVisitante,$BD7,Part1Empate2L,$BZ7))</f>
        <v>0</v>
      </c>
      <c r="CB7" s="758">
        <f ca="1">IF($BZ7="-","-",SUMIFS(FG_GolesVisitante,FGLocal,$BD7,Part1Empate2V,$BZ7)+SUMIFS(FG_GolesLocal,FGVisitante,$BD7,Part1Empate2L,$BZ7))</f>
        <v>0</v>
      </c>
      <c r="CC7" s="758">
        <f ca="1">IF($BZ7="-","-",CA7-CB7)</f>
        <v>0</v>
      </c>
      <c r="CD7" s="758">
        <f ca="1">BY7+COUNTIFS($BZ$6:$BZ$53,BZ7,$CC$6:CC$53,"&gt;"&amp;CC7,$BC$6:$BC$53,INDEX(T_Equipos[Grupo],MATCH(BD7,T_Equipos[NombreEquipo],0)))</f>
        <v>3</v>
      </c>
      <c r="CE7" s="757" t="str">
        <f ca="1">IF(COUNTIFS($CD$6:$CD$53,CD7,$BC$6:$BC$53,INDEX(T_Equipos[Grupo],MATCH(BD7,T_Equipos[NombreEquipo],0)))=1,"-","P."&amp;CD7&amp;" ("&amp;COUNTIFS($CD$6:$CD$53,CD7,$BC$6:$BC$53,INDEX(T_Equipos[Grupo],MATCH(BD7,T_Equipos[NombreEquipo],0)))&amp;")")</f>
        <v>P.3 (2)</v>
      </c>
      <c r="CF7" s="758">
        <f ca="1">IF($CE7="-","-",SUMIFS(FG_GolesLocal,FGLocal,$BD7,Part1Empate3V,$CE7)+SUMIFS(FG_GolesVisitante,FGVisitante,$BD7,Part1Empate3L,$CE7))</f>
        <v>0</v>
      </c>
      <c r="CG7" s="758">
        <f ca="1">CD7+COUNTIFS($CE$6:$CE$53,CE7,$CF$6:CF$53,"&gt;"&amp;CF7,$BC$6:$BC$53,INDEX(T_Equipos[Grupo],MATCH(BD7,T_Equipos[NombreEquipo],0)))</f>
        <v>3</v>
      </c>
      <c r="CH7" s="757" t="str">
        <f ca="1">IF(COUNTIFS($CG$6:$CG$53,CG7,$BC$6:$BC$53,INDEX(T_Equipos[Grupo],MATCH(BD7,T_Equipos[NombreEquipo],0)))=1,"-","P."&amp;CG7&amp;" ("&amp;COUNTIFS($CG$6:$CG$53,CG7,$BC$6:$BC$53,INDEX(T_Equipos[Grupo],MATCH(BD7,T_Equipos[NombreEquipo],0)))&amp;")")</f>
        <v>P.3 (2)</v>
      </c>
      <c r="CI7" s="758">
        <f ca="1">IF($CH7="-","-",COUNTIFS(FGLocal,$BD7,Ganador,"Local",Part2Empate4V,$CH7)+COUNTIFS(FGVisitante,$BD7,Ganador,"Visitante",Part2Empate4L,$CH7))</f>
        <v>0</v>
      </c>
      <c r="CJ7" s="758">
        <f ca="1">IF($CH7="-","-",COUNTIFS(FGLocal,$BD7,Ganador,"Empate",Part2Empate4V,$CH7)+COUNTIFS(FGVisitante,$BD7,Ganador,"Empate",Part2Empate4L,$CH7))</f>
        <v>0</v>
      </c>
      <c r="CK7" s="758">
        <f ca="1">IF($CH7="-","-",COUNTIFS(FGLocal,$BD7,Ganador,"Visitante",Part2Empate4V,$CH7)+COUNTIFS(FGVisitante,$BD7,Ganador,"Local",Part2Empate4L,$CH7))</f>
        <v>0</v>
      </c>
      <c r="CL7" s="758">
        <f ca="1">IF($CH7="-","-",CI7*3+CJ7)</f>
        <v>0</v>
      </c>
      <c r="CM7" s="758">
        <f ca="1">CG7+COUNTIFS($CH$6:$CH$53,CH7,$CL$6:CL$53,"&gt;"&amp;CL7,$BC$6:$BC$53,INDEX(T_Equipos[Grupo],MATCH(BD7,T_Equipos[NombreEquipo],0)))</f>
        <v>3</v>
      </c>
      <c r="CN7" s="757" t="str">
        <f ca="1">IF(COUNTIFS($CM$6:$CM$53,CM7,$BC$6:$BC$53,INDEX(T_Equipos[Grupo],MATCH(BD7,T_Equipos[NombreEquipo],0)))=1,"-","P."&amp;CM7&amp;" ("&amp;COUNTIFS($CM$6:$CM$53,CM7,$BC$6:$BC$53,INDEX(T_Equipos[Grupo],MATCH(BD7,T_Equipos[NombreEquipo],0)))&amp;")")</f>
        <v>P.3 (2)</v>
      </c>
      <c r="CO7" s="758">
        <f ca="1">IF($CN7="-","-",SUMIFS(FG_GolesLocal,FGLocal,$BD7,Part2Empate5V,$CN7)+SUMIFS(FG_GolesVisitante,FGVisitante,$BD7,Part2Empate5L,$CN7))</f>
        <v>0</v>
      </c>
      <c r="CP7" s="758">
        <f ca="1">IF($CN7="-","-",SUMIFS(FG_GolesVisitante,FGLocal,$BD7,Part2Empate5V,$CN7)+SUMIFS(FG_GolesLocal,FGVisitante,$BD7,Part2Empate5L,$CN7))</f>
        <v>0</v>
      </c>
      <c r="CQ7" s="758">
        <f ca="1">IF($CN7="-","-",CO7-CP7)</f>
        <v>0</v>
      </c>
      <c r="CR7" s="758">
        <f ca="1">CM7+COUNTIFS($CN$6:$CN$53,CN7,$CQ$6:CQ$53,"&gt;"&amp;CQ7,$BC$6:$BC$53,INDEX(T_Equipos[Grupo],MATCH(BD7,T_Equipos[NombreEquipo],0)))</f>
        <v>3</v>
      </c>
      <c r="CS7" s="757" t="str">
        <f ca="1">IF(COUNTIFS($CR$6:$CR$53,CR7,$BC$6:$BC$53,INDEX(T_Equipos[Grupo],MATCH(BD7,T_Equipos[NombreEquipo],0)))=1,"-","P."&amp;CR7&amp;" ("&amp;COUNTIFS($CR$6:$CR$53,CR7,$BC$6:$BC$53,INDEX(T_Equipos[Grupo],MATCH(BD7,T_Equipos[NombreEquipo],0)))&amp;")")</f>
        <v>P.3 (2)</v>
      </c>
      <c r="CT7" s="758">
        <f ca="1">IF($CS7="-","-",SUMIFS(FG_GolesLocal,FGLocal,$BD7,Part2Empate6V,$CS7)+SUMIFS(FG_GolesVisitante,FGVisitante,$BD7,Part2Empate6L,$CS7))</f>
        <v>0</v>
      </c>
      <c r="CU7" s="758">
        <f ca="1">CR7+COUNTIFS($CS$6:$CS$53,CS7,$CT$6:CT$53,"&gt;"&amp;CT7,$BC$6:$BC$53,INDEX(T_Equipos[Grupo],MATCH(BD7,T_Equipos[NombreEquipo],0)))</f>
        <v>3</v>
      </c>
      <c r="CV7" s="757" t="str">
        <f ca="1">IF(COUNTIFS($CU$6:$CU$53,CU7,$BC$6:$BC$53,INDEX(T_Equipos[Grupo],MATCH(BD7,T_Equipos[NombreEquipo],0)))=1,"-","P."&amp;CU7&amp;" ("&amp;COUNTIFS($CU$6:$CU$53,CU7,$BC$6:$BC$53,INDEX(T_Equipos[Grupo],MATCH(BD7,T_Equipos[NombreEquipo],0)))&amp;")")</f>
        <v>P.3 (2)</v>
      </c>
      <c r="CW7" s="757">
        <f t="shared" ref="CW7:CW53" ca="1" si="30">IF(CV7="-","-",BL7)</f>
        <v>-2</v>
      </c>
      <c r="CX7" s="757">
        <f ca="1">CU7+COUNTIFS($CV$6:$CV$53,CV7,$CW$6:CW$53,"&gt;"&amp;CW7,$BC$6:$BC$53,INDEX(T_Equipos[Grupo],MATCH(BD7,T_Equipos[NombreEquipo],0)))</f>
        <v>4</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4</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4</v>
      </c>
      <c r="DE7" s="756"/>
      <c r="DF7" s="756">
        <f t="shared" ref="DF7:DF9" ca="1" si="32">IF(OR(INDEX($AW$6:$AW$97,MATCH($BD7,$AV$6:$AV$97,0))="",DB7="-"),DD7,INDEX($AW$6:$AW$97,MATCH($BD7,$AV$6:$AV$97,0))+DD7/1000)</f>
        <v>4</v>
      </c>
      <c r="DG7" s="756" t="str">
        <f ca="1">IF(DB7="-","-",COUNTIFS(DF$6:DF$53,"&lt;"&amp;DF7,$BC$6:$BC$53,INDEX(T_Equipos[Grupo],MATCH(BD7,T_Equipos[NombreEquipo],0))))</f>
        <v>-</v>
      </c>
      <c r="DH7" s="756">
        <f ca="1">DA7+COUNTIFS(DB$6:DB$53,DB7,DG$6:DG$53,"&lt;"&amp;DG7,$BC$6:$BC$53,INDEX(T_Equipos[Grupo],MATCH(BD7,T_Equipos[NombreEquipo],0)))</f>
        <v>4</v>
      </c>
      <c r="DI7" s="744"/>
      <c r="DJ7" s="744">
        <f ca="1">INDEX($DA$6:$DA$53,MATCH($DQ7,$BD$6:$BD$53,0))</f>
        <v>2</v>
      </c>
      <c r="DK7" s="744">
        <f t="shared" ca="1" si="24"/>
        <v>4</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Corea del Sur</v>
      </c>
      <c r="DR7" s="744"/>
      <c r="DS7" s="744"/>
      <c r="DT7" s="744" t="str">
        <f t="shared" ca="1" si="15"/>
        <v>México-Corea del Sur</v>
      </c>
      <c r="DU7" s="744"/>
      <c r="DV7" s="744"/>
      <c r="DW7" s="8"/>
    </row>
    <row r="8" spans="1:127" ht="16.95" customHeight="1">
      <c r="A8" s="745" t="str">
        <f ca="1">+Equipos!B5</f>
        <v>República Checa</v>
      </c>
      <c r="B8" s="742"/>
      <c r="C8" s="744"/>
      <c r="D8" s="744" t="str">
        <f t="shared" si="0"/>
        <v>Pendiente</v>
      </c>
      <c r="E8" s="744" t="str">
        <f t="shared" si="1"/>
        <v>-</v>
      </c>
      <c r="F8" s="744" t="str">
        <f t="shared" si="2"/>
        <v>-</v>
      </c>
      <c r="G8" s="744"/>
      <c r="H8" s="744" t="str">
        <f t="shared" si="3"/>
        <v>-</v>
      </c>
      <c r="I8" s="744" t="str">
        <f t="shared" si="4"/>
        <v>-</v>
      </c>
      <c r="J8" s="744"/>
      <c r="K8" s="744" t="str">
        <f t="shared" si="5"/>
        <v>-</v>
      </c>
      <c r="L8" s="744" t="str">
        <f t="shared" si="6"/>
        <v>-</v>
      </c>
      <c r="M8" s="744"/>
      <c r="N8" s="744" t="str">
        <f t="shared" si="7"/>
        <v>-</v>
      </c>
      <c r="O8" s="744" t="str">
        <f t="shared" si="8"/>
        <v>-</v>
      </c>
      <c r="P8" s="744"/>
      <c r="Q8" s="744" t="str">
        <f t="shared" si="9"/>
        <v>-</v>
      </c>
      <c r="R8" s="744" t="str">
        <f t="shared" si="10"/>
        <v>-</v>
      </c>
      <c r="S8" s="744"/>
      <c r="T8" s="744" t="str">
        <f t="shared" si="11"/>
        <v>-</v>
      </c>
      <c r="U8" s="744" t="str">
        <f t="shared" si="12"/>
        <v>-</v>
      </c>
      <c r="V8" s="172"/>
      <c r="W8" s="798"/>
      <c r="X8" s="189">
        <f ca="1">Horarios!C8</f>
        <v>46198.125</v>
      </c>
      <c r="Y8" s="190">
        <f ca="1">Horarios!C8</f>
        <v>46198.125</v>
      </c>
      <c r="Z8" s="191" t="str">
        <f>Idiomas!D65</f>
        <v>J3</v>
      </c>
      <c r="AA8" s="192" t="str">
        <f ca="1">A8</f>
        <v>República Checa</v>
      </c>
      <c r="AB8" s="480" t="e" cm="1" vm="4">
        <f t="array" aca="1" ref="AB8" ca="1">Ver_flag_local</f>
        <v>#VALUE!</v>
      </c>
      <c r="AC8" s="193"/>
      <c r="AD8" s="194"/>
      <c r="AE8" s="483" t="e" cm="1" vm="1">
        <f t="array" aca="1" ref="AE8" ca="1">Ver_flag_visit</f>
        <v>#VALUE!</v>
      </c>
      <c r="AF8" s="195" t="str">
        <f ca="1">A5</f>
        <v>México</v>
      </c>
      <c r="AG8" s="413">
        <f t="shared" si="13"/>
        <v>0</v>
      </c>
      <c r="AH8" s="196">
        <v>53</v>
      </c>
      <c r="AI8" s="19" t="str">
        <f>AJ8&amp;$B$4</f>
        <v>3A</v>
      </c>
      <c r="AJ8" s="221">
        <v>3</v>
      </c>
      <c r="AK8" s="491" t="e" cm="1" vm="4">
        <f t="array" aca="1" ref="AK8" ca="1">Ver_flag_visit</f>
        <v>#VALUE!</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1</v>
      </c>
      <c r="BG8" s="748">
        <f t="shared" ca="1" si="17"/>
        <v>1</v>
      </c>
      <c r="BH8" s="748">
        <f t="shared" ca="1" si="18"/>
        <v>0</v>
      </c>
      <c r="BI8" s="748">
        <f t="shared" ca="1" si="19"/>
        <v>0</v>
      </c>
      <c r="BJ8" s="748">
        <f t="shared" ca="1" si="20"/>
        <v>2</v>
      </c>
      <c r="BK8" s="748">
        <f t="shared" ca="1" si="21"/>
        <v>1</v>
      </c>
      <c r="BL8" s="748">
        <f t="shared" ca="1" si="27"/>
        <v>1</v>
      </c>
      <c r="BM8" s="748" t="str">
        <f t="shared" ca="1" si="22"/>
        <v>2A</v>
      </c>
      <c r="BN8" s="748" t="str">
        <f t="shared" ca="1" si="23"/>
        <v>2A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1</v>
      </c>
      <c r="BT8" s="757" t="str">
        <f ca="1">IF(COUNTIFS($BS$6:$BS$53,BS8,$BC$6:$BC$53,INDEX(T_Equipos[Grupo],MATCH(BD8,T_Equipos[NombreEquipo],0)))=1,"-","P."&amp;BS8&amp;" ("&amp;COUNTIFS($BS$6:$BS$53,BS8,$BC$6:$BC$53,INDEX(T_Equipos[Grupo],MATCH(BD8,T_Equipos[NombreEquipo],0)))&amp;")")</f>
        <v>P.1 (2)</v>
      </c>
      <c r="BU8" s="758">
        <f ca="1">IF($BT8="-","-",COUNTIFS(FGLocal,$BD8,Ganador,"Local",Part1Empate1V,$BT8)+COUNTIFS(FGVisitante,$BD8,Ganador,"Visitante",Part1Empate1L,$BT8))</f>
        <v>0</v>
      </c>
      <c r="BV8" s="758">
        <f ca="1">IF($BT8="-","-",COUNTIFS(FGLocal,$BD8,Ganador,"Empate",Part1Empate1V,$BT8)+COUNTIFS(FGVisitante,$BD8,Ganador,"Empate",Part1Empate1L,$BT8))</f>
        <v>0</v>
      </c>
      <c r="BW8" s="758">
        <f ca="1">IF($BT8="-","-",COUNTIFS(FGLocal,$BD8,Ganador,"Visitante",Part1Empate1V,$BT8)+COUNTIFS(FGVisitante,$BD8,Ganador,"Local",Part1Empate1L,$BT8))</f>
        <v>0</v>
      </c>
      <c r="BX8" s="758">
        <f ca="1">IF($BT8="-","-",BU8*3+BV8)</f>
        <v>0</v>
      </c>
      <c r="BY8" s="758">
        <f ca="1">BS8+COUNTIFS($BT$6:$BT$53,BT8,$BX$6:BX$53,"&gt;"&amp;BX8,$BC$6:$BC$53,INDEX(T_Equipos[Grupo],MATCH(BD8,T_Equipos[NombreEquipo],0)))</f>
        <v>1</v>
      </c>
      <c r="BZ8" s="757" t="str">
        <f ca="1">IF(COUNTIFS($BY$6:$BY$53,BY8,$BC$6:$BC$53,INDEX(T_Equipos[Grupo],MATCH(BD8,T_Equipos[NombreEquipo],0)))=1,"-","P."&amp;BY8&amp;" ("&amp;COUNTIFS($BY$6:$BY$53,BY8,$BC$6:$BC$53,INDEX(T_Equipos[Grupo],MATCH(BD8,T_Equipos[NombreEquipo],0)))&amp;")")</f>
        <v>P.1 (2)</v>
      </c>
      <c r="CA8" s="758">
        <f ca="1">IF($BZ8="-","-",SUMIFS(FG_GolesLocal,FGLocal,$BD8,Part1Empate2V,$BZ8)+SUMIFS(FG_GolesVisitante,FGVisitante,$BD8,Part1Empate2L,$BZ8))</f>
        <v>0</v>
      </c>
      <c r="CB8" s="758">
        <f ca="1">IF($BZ8="-","-",SUMIFS(FG_GolesVisitante,FGLocal,$BD8,Part1Empate2V,$BZ8)+SUMIFS(FG_GolesLocal,FGVisitante,$BD8,Part1Empate2L,$BZ8))</f>
        <v>0</v>
      </c>
      <c r="CC8" s="758">
        <f ca="1">IF($BZ8="-","-",CA8-CB8)</f>
        <v>0</v>
      </c>
      <c r="CD8" s="758">
        <f ca="1">BY8+COUNTIFS($BZ$6:$BZ$53,BZ8,$CC$6:CC$53,"&gt;"&amp;CC8,$BC$6:$BC$53,INDEX(T_Equipos[Grupo],MATCH(BD8,T_Equipos[NombreEquipo],0)))</f>
        <v>1</v>
      </c>
      <c r="CE8" s="757" t="str">
        <f ca="1">IF(COUNTIFS($CD$6:$CD$53,CD8,$BC$6:$BC$53,INDEX(T_Equipos[Grupo],MATCH(BD8,T_Equipos[NombreEquipo],0)))=1,"-","P."&amp;CD8&amp;" ("&amp;COUNTIFS($CD$6:$CD$53,CD8,$BC$6:$BC$53,INDEX(T_Equipos[Grupo],MATCH(BD8,T_Equipos[NombreEquipo],0)))&amp;")")</f>
        <v>P.1 (2)</v>
      </c>
      <c r="CF8" s="758">
        <f ca="1">IF($CE8="-","-",SUMIFS(FG_GolesLocal,FGLocal,$BD8,Part1Empate3V,$CE8)+SUMIFS(FG_GolesVisitante,FGVisitante,$BD8,Part1Empate3L,$CE8))</f>
        <v>0</v>
      </c>
      <c r="CG8" s="758">
        <f ca="1">CD8+COUNTIFS($CE$6:$CE$53,CE8,$CF$6:CF$53,"&gt;"&amp;CF8,$BC$6:$BC$53,INDEX(T_Equipos[Grupo],MATCH(BD8,T_Equipos[NombreEquipo],0)))</f>
        <v>1</v>
      </c>
      <c r="CH8" s="757" t="str">
        <f ca="1">IF(COUNTIFS($CG$6:$CG$53,CG8,$BC$6:$BC$53,INDEX(T_Equipos[Grupo],MATCH(BD8,T_Equipos[NombreEquipo],0)))=1,"-","P."&amp;CG8&amp;" ("&amp;COUNTIFS($CG$6:$CG$53,CG8,$BC$6:$BC$53,INDEX(T_Equipos[Grupo],MATCH(BD8,T_Equipos[NombreEquipo],0)))&amp;")")</f>
        <v>P.1 (2)</v>
      </c>
      <c r="CI8" s="758">
        <f ca="1">IF($CH8="-","-",COUNTIFS(FGLocal,$BD8,Ganador,"Local",Part2Empate4V,$CH8)+COUNTIFS(FGVisitante,$BD8,Ganador,"Visitante",Part2Empate4L,$CH8))</f>
        <v>0</v>
      </c>
      <c r="CJ8" s="758">
        <f ca="1">IF($CH8="-","-",COUNTIFS(FGLocal,$BD8,Ganador,"Empate",Part2Empate4V,$CH8)+COUNTIFS(FGVisitante,$BD8,Ganador,"Empate",Part2Empate4L,$CH8))</f>
        <v>0</v>
      </c>
      <c r="CK8" s="758">
        <f ca="1">IF($CH8="-","-",COUNTIFS(FGLocal,$BD8,Ganador,"Visitante",Part2Empate4V,$CH8)+COUNTIFS(FGVisitante,$BD8,Ganador,"Local",Part2Empate4L,$CH8))</f>
        <v>0</v>
      </c>
      <c r="CL8" s="758">
        <f ca="1">IF($CH8="-","-",CI8*3+CJ8)</f>
        <v>0</v>
      </c>
      <c r="CM8" s="758">
        <f ca="1">CG8+COUNTIFS($CH$6:$CH$53,CH8,$CL$6:CL$53,"&gt;"&amp;CL8,$BC$6:$BC$53,INDEX(T_Equipos[Grupo],MATCH(BD8,T_Equipos[NombreEquipo],0)))</f>
        <v>1</v>
      </c>
      <c r="CN8" s="757" t="str">
        <f ca="1">IF(COUNTIFS($CM$6:$CM$53,CM8,$BC$6:$BC$53,INDEX(T_Equipos[Grupo],MATCH(BD8,T_Equipos[NombreEquipo],0)))=1,"-","P."&amp;CM8&amp;" ("&amp;COUNTIFS($CM$6:$CM$53,CM8,$BC$6:$BC$53,INDEX(T_Equipos[Grupo],MATCH(BD8,T_Equipos[NombreEquipo],0)))&amp;")")</f>
        <v>P.1 (2)</v>
      </c>
      <c r="CO8" s="758">
        <f ca="1">IF($CN8="-","-",SUMIFS(FG_GolesLocal,FGLocal,$BD8,Part2Empate5V,$CN8)+SUMIFS(FG_GolesVisitante,FGVisitante,$BD8,Part2Empate5L,$CN8))</f>
        <v>0</v>
      </c>
      <c r="CP8" s="758">
        <f ca="1">IF($CN8="-","-",SUMIFS(FG_GolesVisitante,FGLocal,$BD8,Part2Empate5V,$CN8)+SUMIFS(FG_GolesLocal,FGVisitante,$BD8,Part2Empate5L,$CN8))</f>
        <v>0</v>
      </c>
      <c r="CQ8" s="758">
        <f ca="1">IF($CN8="-","-",CO8-CP8)</f>
        <v>0</v>
      </c>
      <c r="CR8" s="758">
        <f ca="1">CM8+COUNTIFS($CN$6:$CN$53,CN8,$CQ$6:CQ$53,"&gt;"&amp;CQ8,$BC$6:$BC$53,INDEX(T_Equipos[Grupo],MATCH(BD8,T_Equipos[NombreEquipo],0)))</f>
        <v>1</v>
      </c>
      <c r="CS8" s="757" t="str">
        <f ca="1">IF(COUNTIFS($CR$6:$CR$53,CR8,$BC$6:$BC$53,INDEX(T_Equipos[Grupo],MATCH(BD8,T_Equipos[NombreEquipo],0)))=1,"-","P."&amp;CR8&amp;" ("&amp;COUNTIFS($CR$6:$CR$53,CR8,$BC$6:$BC$53,INDEX(T_Equipos[Grupo],MATCH(BD8,T_Equipos[NombreEquipo],0)))&amp;")")</f>
        <v>P.1 (2)</v>
      </c>
      <c r="CT8" s="758">
        <f ca="1">IF($CS8="-","-",SUMIFS(FG_GolesLocal,FGLocal,$BD8,Part2Empate6V,$CS8)+SUMIFS(FG_GolesVisitante,FGVisitante,$BD8,Part2Empate6L,$CS8))</f>
        <v>0</v>
      </c>
      <c r="CU8" s="758">
        <f ca="1">CR8+COUNTIFS($CS$6:$CS$53,CS8,$CT$6:CT$53,"&gt;"&amp;CT8,$BC$6:$BC$53,INDEX(T_Equipos[Grupo],MATCH(BD8,T_Equipos[NombreEquipo],0)))</f>
        <v>1</v>
      </c>
      <c r="CV8" s="757" t="str">
        <f ca="1">IF(COUNTIFS($CU$6:$CU$53,CU8,$BC$6:$BC$53,INDEX(T_Equipos[Grupo],MATCH(BD8,T_Equipos[NombreEquipo],0)))=1,"-","P."&amp;CU8&amp;" ("&amp;COUNTIFS($CU$6:$CU$53,CU8,$BC$6:$BC$53,INDEX(T_Equipos[Grupo],MATCH(BD8,T_Equipos[NombreEquipo],0)))&amp;")")</f>
        <v>P.1 (2)</v>
      </c>
      <c r="CW8" s="757">
        <f t="shared" ca="1" si="30"/>
        <v>1</v>
      </c>
      <c r="CX8" s="757">
        <f ca="1">CU8+COUNTIFS($CV$6:$CV$53,CV8,$CW$6:CW$53,"&gt;"&amp;CW8,$BC$6:$BC$53,INDEX(T_Equipos[Grupo],MATCH(BD8,T_Equipos[NombreEquipo],0)))</f>
        <v>2</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2</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2</v>
      </c>
      <c r="DE8" s="756"/>
      <c r="DF8" s="756">
        <f t="shared" ca="1" si="32"/>
        <v>2</v>
      </c>
      <c r="DG8" s="756" t="str">
        <f ca="1">IF(DB8="-","-",COUNTIFS(DF$6:DF$53,"&lt;"&amp;DF8,$BC$6:$BC$53,INDEX(T_Equipos[Grupo],MATCH(BD8,T_Equipos[NombreEquipo],0))))</f>
        <v>-</v>
      </c>
      <c r="DH8" s="756">
        <f ca="1">DA8+COUNTIFS(DB$6:DB$53,DB8,DG$6:DG$53,"&lt;"&amp;DG8,$BC$6:$BC$53,INDEX(T_Equipos[Grupo],MATCH(BD8,T_Equipos[NombreEquipo],0)))</f>
        <v>2</v>
      </c>
      <c r="DI8" s="744"/>
      <c r="DJ8" s="744">
        <f ca="1">INDEX($DA$6:$DA$53,MATCH($DQ8,$BD$6:$BD$53,0))</f>
        <v>3</v>
      </c>
      <c r="DK8" s="744">
        <f t="shared" ca="1" si="24"/>
        <v>4</v>
      </c>
      <c r="DL8" s="744">
        <f t="shared" ca="1" si="33"/>
        <v>1</v>
      </c>
      <c r="DM8" s="738" t="str">
        <f t="shared" ca="1" si="34"/>
        <v>3.1</v>
      </c>
      <c r="DN8" s="744" cm="1">
        <f t="array" aca="1" ref="DN8" ca="1">OFFSET(Horarios!$P$3,DJ8-1,0,DL8,1)</f>
        <v>3</v>
      </c>
      <c r="DO8" s="744"/>
      <c r="DP8" s="744" t="s">
        <v>89</v>
      </c>
      <c r="DQ8" s="744" t="str">
        <f t="shared" ca="1" si="35"/>
        <v>República Checa</v>
      </c>
      <c r="DR8" s="744"/>
      <c r="DS8" s="744"/>
      <c r="DT8" s="744" t="str">
        <f t="shared" ca="1" si="15"/>
        <v>República Checa-México</v>
      </c>
      <c r="DU8" s="744"/>
      <c r="DV8" s="744"/>
      <c r="DW8" s="8"/>
    </row>
    <row r="9" spans="1:127" ht="18" customHeight="1" thickBot="1">
      <c r="A9" s="739"/>
      <c r="B9" s="742"/>
      <c r="C9" s="739"/>
      <c r="D9" s="744" t="str">
        <f t="shared" si="0"/>
        <v>Pendiente</v>
      </c>
      <c r="E9" s="744" t="str">
        <f t="shared" si="1"/>
        <v>-</v>
      </c>
      <c r="F9" s="744" t="str">
        <f t="shared" si="2"/>
        <v>-</v>
      </c>
      <c r="G9" s="744"/>
      <c r="H9" s="744" t="str">
        <f t="shared" si="3"/>
        <v>-</v>
      </c>
      <c r="I9" s="744" t="str">
        <f t="shared" si="4"/>
        <v>-</v>
      </c>
      <c r="J9" s="744"/>
      <c r="K9" s="744" t="str">
        <f t="shared" si="5"/>
        <v>-</v>
      </c>
      <c r="L9" s="744" t="str">
        <f t="shared" si="6"/>
        <v>-</v>
      </c>
      <c r="M9" s="744"/>
      <c r="N9" s="744" t="str">
        <f t="shared" si="7"/>
        <v>-</v>
      </c>
      <c r="O9" s="744" t="str">
        <f t="shared" si="8"/>
        <v>-</v>
      </c>
      <c r="P9" s="744"/>
      <c r="Q9" s="744" t="str">
        <f t="shared" si="9"/>
        <v>-</v>
      </c>
      <c r="R9" s="744" t="str">
        <f t="shared" si="10"/>
        <v>-</v>
      </c>
      <c r="S9" s="744"/>
      <c r="T9" s="744" t="str">
        <f t="shared" si="11"/>
        <v>-</v>
      </c>
      <c r="U9" s="744" t="str">
        <f t="shared" si="12"/>
        <v>-</v>
      </c>
      <c r="V9" s="172"/>
      <c r="W9" s="799"/>
      <c r="X9" s="228">
        <f ca="1">Horarios!C9</f>
        <v>46198.125</v>
      </c>
      <c r="Y9" s="229">
        <f ca="1">Horarios!C9</f>
        <v>46198.125</v>
      </c>
      <c r="Z9" s="230" t="str">
        <f>$Z$8</f>
        <v>J3</v>
      </c>
      <c r="AA9" s="231" t="str">
        <f ca="1">A6</f>
        <v>Sudáfrica</v>
      </c>
      <c r="AB9" s="481" t="e" cm="1" vm="2">
        <f t="array" aca="1" ref="AB9" ca="1">Ver_flag_local</f>
        <v>#VALUE!</v>
      </c>
      <c r="AC9" s="232"/>
      <c r="AD9" s="233"/>
      <c r="AE9" s="484" t="e" cm="1" vm="3">
        <f t="array" aca="1" ref="AE9" ca="1">Ver_flag_visit</f>
        <v>#VALUE!</v>
      </c>
      <c r="AF9" s="234" t="str">
        <f ca="1">A7</f>
        <v>Corea del Sur</v>
      </c>
      <c r="AG9" s="413">
        <f t="shared" si="13"/>
        <v>0</v>
      </c>
      <c r="AH9" s="196">
        <v>54</v>
      </c>
      <c r="AI9" s="19" t="str">
        <f>AJ9&amp;$B$4</f>
        <v>4A</v>
      </c>
      <c r="AJ9" s="235">
        <v>4</v>
      </c>
      <c r="AK9" s="492" t="e" cm="1" vm="2">
        <f t="array" aca="1" ref="AK9" ca="1">Ver_flag_visit</f>
        <v>#VALUE!</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0</v>
      </c>
      <c r="BF9" s="748">
        <f t="shared" ca="1" si="26"/>
        <v>1</v>
      </c>
      <c r="BG9" s="748">
        <f t="shared" ca="1" si="17"/>
        <v>0</v>
      </c>
      <c r="BH9" s="748">
        <f t="shared" ca="1" si="18"/>
        <v>0</v>
      </c>
      <c r="BI9" s="748">
        <f t="shared" ca="1" si="19"/>
        <v>1</v>
      </c>
      <c r="BJ9" s="748">
        <f t="shared" ca="1" si="20"/>
        <v>1</v>
      </c>
      <c r="BK9" s="748">
        <f t="shared" ca="1" si="21"/>
        <v>2</v>
      </c>
      <c r="BL9" s="748">
        <f t="shared" ca="1" si="27"/>
        <v>-1</v>
      </c>
      <c r="BM9" s="748" t="str">
        <f t="shared" ca="1" si="22"/>
        <v>3A</v>
      </c>
      <c r="BN9" s="748" t="str">
        <f t="shared" ca="1" si="23"/>
        <v>3A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0</v>
      </c>
      <c r="BS9" s="757">
        <f ca="1">BP9+COUNTIFS($BQ$6:$BQ$53,BQ9,$BR$6:BR$53,"&gt;"&amp;BR9,$BC$6:$BC$53,INDEX(T_Equipos[Grupo],MATCH(BD9,T_Equipos[NombreEquipo],0)))</f>
        <v>3</v>
      </c>
      <c r="BT9" s="757" t="str">
        <f ca="1">IF(COUNTIFS($BS$6:$BS$53,BS9,$BC$6:$BC$53,INDEX(T_Equipos[Grupo],MATCH(BD9,T_Equipos[NombreEquipo],0)))=1,"-","P."&amp;BS9&amp;" ("&amp;COUNTIFS($BS$6:$BS$53,BS9,$BC$6:$BC$53,INDEX(T_Equipos[Grupo],MATCH(BD9,T_Equipos[NombreEquipo],0)))&amp;")")</f>
        <v>P.3 (2)</v>
      </c>
      <c r="BU9" s="758">
        <f ca="1">IF($BT9="-","-",COUNTIFS(FGLocal,$BD9,Ganador,"Local",Part1Empate1V,$BT9)+COUNTIFS(FGVisitante,$BD9,Ganador,"Visitante",Part1Empate1L,$BT9))</f>
        <v>0</v>
      </c>
      <c r="BV9" s="758">
        <f ca="1">IF($BT9="-","-",COUNTIFS(FGLocal,$BD9,Ganador,"Empate",Part1Empate1V,$BT9)+COUNTIFS(FGVisitante,$BD9,Ganador,"Empate",Part1Empate1L,$BT9))</f>
        <v>0</v>
      </c>
      <c r="BW9" s="758">
        <f ca="1">IF($BT9="-","-",COUNTIFS(FGLocal,$BD9,Ganador,"Visitante",Part1Empate1V,$BT9)+COUNTIFS(FGVisitante,$BD9,Ganador,"Local",Part1Empate1L,$BT9))</f>
        <v>0</v>
      </c>
      <c r="BX9" s="758">
        <f ca="1">IF($BT9="-","-",BU9*3+BV9)</f>
        <v>0</v>
      </c>
      <c r="BY9" s="758">
        <f ca="1">BS9+COUNTIFS($BT$6:$BT$53,BT9,$BX$6:BX$53,"&gt;"&amp;BX9,$BC$6:$BC$53,INDEX(T_Equipos[Grupo],MATCH(BD9,T_Equipos[NombreEquipo],0)))</f>
        <v>3</v>
      </c>
      <c r="BZ9" s="757" t="str">
        <f ca="1">IF(COUNTIFS($BY$6:$BY$53,BY9,$BC$6:$BC$53,INDEX(T_Equipos[Grupo],MATCH(BD9,T_Equipos[NombreEquipo],0)))=1,"-","P."&amp;BY9&amp;" ("&amp;COUNTIFS($BY$6:$BY$53,BY9,$BC$6:$BC$53,INDEX(T_Equipos[Grupo],MATCH(BD9,T_Equipos[NombreEquipo],0)))&amp;")")</f>
        <v>P.3 (2)</v>
      </c>
      <c r="CA9" s="758">
        <f ca="1">IF($BZ9="-","-",SUMIFS(FG_GolesLocal,FGLocal,$BD9,Part1Empate2V,$BZ9)+SUMIFS(FG_GolesVisitante,FGVisitante,$BD9,Part1Empate2L,$BZ9))</f>
        <v>0</v>
      </c>
      <c r="CB9" s="758">
        <f ca="1">IF($BZ9="-","-",SUMIFS(FG_GolesVisitante,FGLocal,$BD9,Part1Empate2V,$BZ9)+SUMIFS(FG_GolesLocal,FGVisitante,$BD9,Part1Empate2L,$BZ9))</f>
        <v>0</v>
      </c>
      <c r="CC9" s="758">
        <f ca="1">IF($BZ9="-","-",CA9-CB9)</f>
        <v>0</v>
      </c>
      <c r="CD9" s="758">
        <f ca="1">BY9+COUNTIFS($BZ$6:$BZ$53,BZ9,$CC$6:CC$53,"&gt;"&amp;CC9,$BC$6:$BC$53,INDEX(T_Equipos[Grupo],MATCH(BD9,T_Equipos[NombreEquipo],0)))</f>
        <v>3</v>
      </c>
      <c r="CE9" s="757" t="str">
        <f ca="1">IF(COUNTIFS($CD$6:$CD$53,CD9,$BC$6:$BC$53,INDEX(T_Equipos[Grupo],MATCH(BD9,T_Equipos[NombreEquipo],0)))=1,"-","P."&amp;CD9&amp;" ("&amp;COUNTIFS($CD$6:$CD$53,CD9,$BC$6:$BC$53,INDEX(T_Equipos[Grupo],MATCH(BD9,T_Equipos[NombreEquipo],0)))&amp;")")</f>
        <v>P.3 (2)</v>
      </c>
      <c r="CF9" s="758">
        <f ca="1">IF($CE9="-","-",SUMIFS(FG_GolesLocal,FGLocal,$BD9,Part1Empate3V,$CE9)+SUMIFS(FG_GolesVisitante,FGVisitante,$BD9,Part1Empate3L,$CE9))</f>
        <v>0</v>
      </c>
      <c r="CG9" s="758">
        <f ca="1">CD9+COUNTIFS($CE$6:$CE$53,CE9,$CF$6:CF$53,"&gt;"&amp;CF9,$BC$6:$BC$53,INDEX(T_Equipos[Grupo],MATCH(BD9,T_Equipos[NombreEquipo],0)))</f>
        <v>3</v>
      </c>
      <c r="CH9" s="757" t="str">
        <f ca="1">IF(COUNTIFS($CG$6:$CG$53,CG9,$BC$6:$BC$53,INDEX(T_Equipos[Grupo],MATCH(BD9,T_Equipos[NombreEquipo],0)))=1,"-","P."&amp;CG9&amp;" ("&amp;COUNTIFS($CG$6:$CG$53,CG9,$BC$6:$BC$53,INDEX(T_Equipos[Grupo],MATCH(BD9,T_Equipos[NombreEquipo],0)))&amp;")")</f>
        <v>P.3 (2)</v>
      </c>
      <c r="CI9" s="758">
        <f ca="1">IF($CH9="-","-",COUNTIFS(FGLocal,$BD9,Ganador,"Local",Part2Empate4V,$CH9)+COUNTIFS(FGVisitante,$BD9,Ganador,"Visitante",Part2Empate4L,$CH9))</f>
        <v>0</v>
      </c>
      <c r="CJ9" s="758">
        <f ca="1">IF($CH9="-","-",COUNTIFS(FGLocal,$BD9,Ganador,"Empate",Part2Empate4V,$CH9)+COUNTIFS(FGVisitante,$BD9,Ganador,"Empate",Part2Empate4L,$CH9))</f>
        <v>0</v>
      </c>
      <c r="CK9" s="758">
        <f ca="1">IF($CH9="-","-",COUNTIFS(FGLocal,$BD9,Ganador,"Visitante",Part2Empate4V,$CH9)+COUNTIFS(FGVisitante,$BD9,Ganador,"Local",Part2Empate4L,$CH9))</f>
        <v>0</v>
      </c>
      <c r="CL9" s="758">
        <f ca="1">IF($CH9="-","-",CI9*3+CJ9)</f>
        <v>0</v>
      </c>
      <c r="CM9" s="758">
        <f ca="1">CG9+COUNTIFS($CH$6:$CH$53,CH9,$CL$6:CL$53,"&gt;"&amp;CL9,$BC$6:$BC$53,INDEX(T_Equipos[Grupo],MATCH(BD9,T_Equipos[NombreEquipo],0)))</f>
        <v>3</v>
      </c>
      <c r="CN9" s="757" t="str">
        <f ca="1">IF(COUNTIFS($CM$6:$CM$53,CM9,$BC$6:$BC$53,INDEX(T_Equipos[Grupo],MATCH(BD9,T_Equipos[NombreEquipo],0)))=1,"-","P."&amp;CM9&amp;" ("&amp;COUNTIFS($CM$6:$CM$53,CM9,$BC$6:$BC$53,INDEX(T_Equipos[Grupo],MATCH(BD9,T_Equipos[NombreEquipo],0)))&amp;")")</f>
        <v>P.3 (2)</v>
      </c>
      <c r="CO9" s="758">
        <f ca="1">IF($CN9="-","-",SUMIFS(FG_GolesLocal,FGLocal,$BD9,Part2Empate5V,$CN9)+SUMIFS(FG_GolesVisitante,FGVisitante,$BD9,Part2Empate5L,$CN9))</f>
        <v>0</v>
      </c>
      <c r="CP9" s="758">
        <f ca="1">IF($CN9="-","-",SUMIFS(FG_GolesVisitante,FGLocal,$BD9,Part2Empate5V,$CN9)+SUMIFS(FG_GolesLocal,FGVisitante,$BD9,Part2Empate5L,$CN9))</f>
        <v>0</v>
      </c>
      <c r="CQ9" s="758">
        <f ca="1">IF($CN9="-","-",CO9-CP9)</f>
        <v>0</v>
      </c>
      <c r="CR9" s="758">
        <f ca="1">CM9+COUNTIFS($CN$6:$CN$53,CN9,$CQ$6:CQ$53,"&gt;"&amp;CQ9,$BC$6:$BC$53,INDEX(T_Equipos[Grupo],MATCH(BD9,T_Equipos[NombreEquipo],0)))</f>
        <v>3</v>
      </c>
      <c r="CS9" s="757" t="str">
        <f ca="1">IF(COUNTIFS($CR$6:$CR$53,CR9,$BC$6:$BC$53,INDEX(T_Equipos[Grupo],MATCH(BD9,T_Equipos[NombreEquipo],0)))=1,"-","P."&amp;CR9&amp;" ("&amp;COUNTIFS($CR$6:$CR$53,CR9,$BC$6:$BC$53,INDEX(T_Equipos[Grupo],MATCH(BD9,T_Equipos[NombreEquipo],0)))&amp;")")</f>
        <v>P.3 (2)</v>
      </c>
      <c r="CT9" s="758">
        <f ca="1">IF($CS9="-","-",SUMIFS(FG_GolesLocal,FGLocal,$BD9,Part2Empate6V,$CS9)+SUMIFS(FG_GolesVisitante,FGVisitante,$BD9,Part2Empate6L,$CS9))</f>
        <v>0</v>
      </c>
      <c r="CU9" s="758">
        <f ca="1">CR9+COUNTIFS($CS$6:$CS$53,CS9,$CT$6:CT$53,"&gt;"&amp;CT9,$BC$6:$BC$53,INDEX(T_Equipos[Grupo],MATCH(BD9,T_Equipos[NombreEquipo],0)))</f>
        <v>3</v>
      </c>
      <c r="CV9" s="757" t="str">
        <f ca="1">IF(COUNTIFS($CU$6:$CU$53,CU9,$BC$6:$BC$53,INDEX(T_Equipos[Grupo],MATCH(BD9,T_Equipos[NombreEquipo],0)))=1,"-","P."&amp;CU9&amp;" ("&amp;COUNTIFS($CU$6:$CU$53,CU9,$BC$6:$BC$53,INDEX(T_Equipos[Grupo],MATCH(BD9,T_Equipos[NombreEquipo],0)))&amp;")")</f>
        <v>P.3 (2)</v>
      </c>
      <c r="CW9" s="757">
        <f t="shared" ca="1" si="30"/>
        <v>-1</v>
      </c>
      <c r="CX9" s="757">
        <f ca="1">CU9+COUNTIFS($CV$6:$CV$53,CV9,$CW$6:CW$53,"&gt;"&amp;CW9,$BC$6:$BC$53,INDEX(T_Equipos[Grupo],MATCH(BD9,T_Equipos[NombreEquipo],0)))</f>
        <v>3</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3</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3</v>
      </c>
      <c r="DE9" s="756"/>
      <c r="DF9" s="756">
        <f t="shared" ca="1" si="32"/>
        <v>3</v>
      </c>
      <c r="DG9" s="756" t="str">
        <f ca="1">IF(DB9="-","-",COUNTIFS(DF$6:DF$53,"&lt;"&amp;DF9,$BC$6:$BC$53,INDEX(T_Equipos[Grupo],MATCH(BD9,T_Equipos[NombreEquipo],0))))</f>
        <v>-</v>
      </c>
      <c r="DH9" s="756">
        <f ca="1">DA9+COUNTIFS(DB$6:DB$53,DB9,DG$6:DG$53,"&lt;"&amp;DG9,$BC$6:$BC$53,INDEX(T_Equipos[Grupo],MATCH(BD9,T_Equipos[NombreEquipo],0)))</f>
        <v>3</v>
      </c>
      <c r="DI9" s="744"/>
      <c r="DJ9" s="744">
        <f ca="1">INDEX($DA$6:$DA$53,MATCH($DQ9,$BD$6:$BD$53,0))</f>
        <v>4</v>
      </c>
      <c r="DK9" s="744">
        <f t="shared" ca="1" si="24"/>
        <v>4</v>
      </c>
      <c r="DL9" s="744">
        <f t="shared" ca="1" si="33"/>
        <v>1</v>
      </c>
      <c r="DM9" s="738" t="str">
        <f t="shared" ca="1" si="34"/>
        <v>4.1</v>
      </c>
      <c r="DN9" s="744" cm="1">
        <f t="array" aca="1" ref="DN9" ca="1">OFFSET(Horarios!$P$3,DJ9-1,0,DL9,1)</f>
        <v>4</v>
      </c>
      <c r="DO9" s="744"/>
      <c r="DP9" s="744" t="s">
        <v>647</v>
      </c>
      <c r="DQ9" s="744" t="str">
        <f t="shared" ca="1" si="35"/>
        <v>Sudáfrica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1</v>
      </c>
      <c r="BF10" s="748">
        <f t="shared" ca="1" si="26"/>
        <v>1</v>
      </c>
      <c r="BG10" s="748">
        <f t="shared" ca="1" si="17"/>
        <v>0</v>
      </c>
      <c r="BH10" s="748">
        <f t="shared" ca="1" si="18"/>
        <v>1</v>
      </c>
      <c r="BI10" s="748">
        <f t="shared" ca="1" si="19"/>
        <v>0</v>
      </c>
      <c r="BJ10" s="748">
        <f t="shared" ca="1" si="20"/>
        <v>1</v>
      </c>
      <c r="BK10" s="748">
        <f t="shared" ca="1" si="21"/>
        <v>1</v>
      </c>
      <c r="BL10" s="748">
        <f t="shared" ca="1" si="27"/>
        <v>0</v>
      </c>
      <c r="BM10" s="748" t="str">
        <f t="shared" ca="1" si="22"/>
        <v>1B</v>
      </c>
      <c r="BN10" s="748" t="str">
        <f t="shared" ca="1" si="23"/>
        <v>1B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1</v>
      </c>
      <c r="BS10" s="757">
        <f ca="1">BP10+COUNTIFS($BQ$6:$BQ$53,BQ10,$BR$6:BR$53,"&gt;"&amp;BR10,$BC$6:$BC$53,INDEX(T_Equipos[Grupo],MATCH(BD10,T_Equipos[NombreEquipo],0)))</f>
        <v>1</v>
      </c>
      <c r="BT10" s="757" t="str">
        <f ca="1">IF(COUNTIFS($BS$6:$BS$53,BS10,$BC$6:$BC$53,INDEX(T_Equipos[Grupo],MATCH(BD10,T_Equipos[NombreEquipo],0)))=1,"-","P."&amp;BS10&amp;" ("&amp;COUNTIFS($BS$6:$BS$53,BS10,$BC$6:$BC$53,INDEX(T_Equipos[Grupo],MATCH(BD10,T_Equipos[NombreEquipo],0)))&amp;")")</f>
        <v>P.1 (4)</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1</v>
      </c>
      <c r="BZ10" s="757" t="str">
        <f ca="1">IF(COUNTIFS($BY$6:$BY$53,BY10,$BC$6:$BC$53,INDEX(T_Equipos[Grupo],MATCH(BD10,T_Equipos[NombreEquipo],0)))=1,"-","P."&amp;BY10&amp;" ("&amp;COUNTIFS($BY$6:$BY$53,BY10,$BC$6:$BC$53,INDEX(T_Equipos[Grupo],MATCH(BD10,T_Equipos[NombreEquipo],0)))&amp;")")</f>
        <v>P.1 (4)</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1</v>
      </c>
      <c r="CE10" s="757" t="str">
        <f ca="1">IF(COUNTIFS($CD$6:$CD$53,CD10,$BC$6:$BC$53,INDEX(T_Equipos[Grupo],MATCH(BD10,T_Equipos[NombreEquipo],0)))=1,"-","P."&amp;CD10&amp;" ("&amp;COUNTIFS($CD$6:$CD$53,CD10,$BC$6:$BC$53,INDEX(T_Equipos[Grupo],MATCH(BD10,T_Equipos[NombreEquipo],0)))&amp;")")</f>
        <v>P.1 (4)</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1</v>
      </c>
      <c r="CH10" s="757" t="str">
        <f ca="1">IF(COUNTIFS($CG$6:$CG$53,CG10,$BC$6:$BC$53,INDEX(T_Equipos[Grupo],MATCH(BD10,T_Equipos[NombreEquipo],0)))=1,"-","P."&amp;CG10&amp;" ("&amp;COUNTIFS($CG$6:$CG$53,CG10,$BC$6:$BC$53,INDEX(T_Equipos[Grupo],MATCH(BD10,T_Equipos[NombreEquipo],0)))&amp;")")</f>
        <v>P.1 (4)</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1</v>
      </c>
      <c r="CN10" s="757" t="str">
        <f ca="1">IF(COUNTIFS($CM$6:$CM$53,CM10,$BC$6:$BC$53,INDEX(T_Equipos[Grupo],MATCH(BD10,T_Equipos[NombreEquipo],0)))=1,"-","P."&amp;CM10&amp;" ("&amp;COUNTIFS($CM$6:$CM$53,CM10,$BC$6:$BC$53,INDEX(T_Equipos[Grupo],MATCH(BD10,T_Equipos[NombreEquipo],0)))&amp;")")</f>
        <v>P.1 (4)</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1</v>
      </c>
      <c r="CS10" s="757" t="str">
        <f ca="1">IF(COUNTIFS($CR$6:$CR$53,CR10,$BC$6:$BC$53,INDEX(T_Equipos[Grupo],MATCH(BD10,T_Equipos[NombreEquipo],0)))=1,"-","P."&amp;CR10&amp;" ("&amp;COUNTIFS($CR$6:$CR$53,CR10,$BC$6:$BC$53,INDEX(T_Equipos[Grupo],MATCH(BD10,T_Equipos[NombreEquipo],0)))&amp;")")</f>
        <v>P.1 (4)</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1</v>
      </c>
      <c r="CV10" s="757" t="str">
        <f ca="1">IF(COUNTIFS($CU$6:$CU$53,CU10,$BC$6:$BC$53,INDEX(T_Equipos[Grupo],MATCH(BD10,T_Equipos[NombreEquipo],0)))=1,"-","P."&amp;CU10&amp;" ("&amp;COUNTIFS($CU$6:$CU$53,CU10,$BC$6:$BC$53,INDEX(T_Equipos[Grupo],MATCH(BD10,T_Equipos[NombreEquipo],0)))&amp;")")</f>
        <v>P.1 (4)</v>
      </c>
      <c r="CW10" s="757">
        <f t="shared" ca="1" si="30"/>
        <v>0</v>
      </c>
      <c r="CX10" s="757">
        <f ca="1">CU10+COUNTIFS($CV$6:$CV$53,CV10,$CW$6:CW$53,"&gt;"&amp;CW10,$BC$6:$BC$53,INDEX(T_Equipos[Grupo],MATCH(BD10,T_Equipos[NombreEquipo],0)))</f>
        <v>1</v>
      </c>
      <c r="CY10" s="757" t="str">
        <f ca="1">IF(COUNTIFS($CX$6:$CX$53,CX10,$BC$6:$BC$53,INDEX(T_Equipos[Grupo],MATCH(BD10,T_Equipos[NombreEquipo],0)))=1,"-","P."&amp;CX10&amp;" ("&amp;COUNTIFS($CX$6:$CX$53,CX10,$BC$6:$BC$53,INDEX(T_Equipos[Grupo],MATCH(BD10,T_Equipos[NombreEquipo],0)))&amp;")")</f>
        <v>P.1 (4)</v>
      </c>
      <c r="CZ10" s="757">
        <f t="shared" ca="1" si="31"/>
        <v>1</v>
      </c>
      <c r="DA10" s="758">
        <f ca="1">CX10+COUNTIFS($CY$6:$CY$53,CY10,$CZ$6:CZ$53,"&gt;"&amp;CZ10,$BC$6:$BC$53,INDEX(T_Equipos[Grupo],MATCH(BD10,T_Equipos[NombreEquipo],0)))</f>
        <v>1</v>
      </c>
      <c r="DB10" s="757" t="str">
        <f ca="1">IF(COUNTIFS($DA$6:$DA$53,DA10,$BC$6:$BC$53,INDEX(T_Equipos[Grupo],MATCH(BD10,T_Equipos[NombreEquipo],0)))=1,"-","P."&amp;DA10&amp;" ("&amp;COUNTIFS($DA$6:$DA$53,DA10,$BC$6:$BC$53,INDEX(T_Equipos[Grupo],MATCH(BD10,T_Equipos[NombreEquipo],0)))&amp;")")</f>
        <v>P.1 (4)</v>
      </c>
      <c r="DC10" s="756">
        <f ca="1">IF(DB10="-","-",COUNTIFS(T_Equipos[Rank],"&lt;"&amp;INDEX(T_Equipos[Rank],MATCH(BD10,T_Equipos[NombreEquipo],0)),$BC$6:$BC$53,INDEX(T_Equipos[Grupo],MATCH(BD10,T_Equipos[NombreEquipo],0)))+1)</f>
        <v>1</v>
      </c>
      <c r="DD10" s="756">
        <f ca="1">DA10+COUNTIFS($DB$6:$DB$53,DB10,$DC$6:DC$53,"&lt;"&amp;DC10,$BC$6:$BC$53,INDEX(T_Equipos[Grupo],MATCH(BD10,T_Equipos[NombreEquipo],0)))</f>
        <v>1</v>
      </c>
      <c r="DE10" s="756"/>
      <c r="DF10" s="756">
        <f t="shared" ref="DF10:DF53" ca="1" si="52">IF(OR(INDEX($AW$6:$AW$97,MATCH($BD10,$AV$6:$AV$97,0))="",DB10="-"),DD10,INDEX($AW$6:$AW$97,MATCH($BD10,$AV$6:$AV$97,0))+DD10/1000)</f>
        <v>1</v>
      </c>
      <c r="DG10" s="756">
        <f ca="1">IF(DB10="-","-",COUNTIFS(DF$6:DF$53,"&lt;"&amp;DF10,$BC$6:$BC$53,INDEX(T_Equipos[Grupo],MATCH(BD10,T_Equipos[NombreEquipo],0))))</f>
        <v>0</v>
      </c>
      <c r="DH10" s="756">
        <f ca="1">DA10+COUNTIFS(DB$6:DB$53,DB10,DG$6:DG$53,"&lt;"&amp;DG10,$BC$6:$BC$53,INDEX(T_Equipos[Grupo],MATCH(BD10,T_Equipos[NombreEquipo],0)))</f>
        <v>1</v>
      </c>
      <c r="DI10" s="744"/>
      <c r="DJ10" s="744">
        <f t="shared" ref="DJ10:DJ53" ca="1" si="53">INDEX($DA$6:$DA$53,MATCH($DQ10,$BD$6:$BD$53,0))</f>
        <v>1</v>
      </c>
      <c r="DK10" s="744">
        <f t="shared" ca="1" si="24"/>
        <v>4</v>
      </c>
      <c r="DL10" s="744">
        <f t="shared" ca="1" si="33"/>
        <v>1</v>
      </c>
      <c r="DM10" s="738" t="str">
        <f t="shared" ca="1" si="34"/>
        <v>1.1</v>
      </c>
      <c r="DN10" s="744" cm="1">
        <f t="array" aca="1" ref="DN10" ca="1">OFFSET(Horarios!$P$3,DJ10-1,0,DL10,1)</f>
        <v>1</v>
      </c>
      <c r="DO10" s="744"/>
      <c r="DP10" s="744" t="s">
        <v>648</v>
      </c>
      <c r="DQ10" s="744" t="str">
        <f t="shared" ca="1" si="35"/>
        <v>Canadá</v>
      </c>
      <c r="DR10" s="744"/>
      <c r="DS10" s="744"/>
      <c r="DT10" s="744" t="str">
        <f t="shared" si="15"/>
        <v>-</v>
      </c>
      <c r="DU10" s="744"/>
      <c r="DV10" s="744"/>
      <c r="DW10" s="8"/>
    </row>
    <row r="11" spans="1:127" ht="16.05"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1</v>
      </c>
      <c r="BF11" s="748">
        <f t="shared" ca="1" si="26"/>
        <v>1</v>
      </c>
      <c r="BG11" s="748">
        <f t="shared" ca="1" si="17"/>
        <v>0</v>
      </c>
      <c r="BH11" s="748">
        <f t="shared" ca="1" si="18"/>
        <v>1</v>
      </c>
      <c r="BI11" s="748">
        <f t="shared" ca="1" si="19"/>
        <v>0</v>
      </c>
      <c r="BJ11" s="748">
        <f t="shared" ca="1" si="20"/>
        <v>1</v>
      </c>
      <c r="BK11" s="748">
        <f t="shared" ca="1" si="21"/>
        <v>1</v>
      </c>
      <c r="BL11" s="748">
        <f t="shared" ca="1" si="27"/>
        <v>0</v>
      </c>
      <c r="BM11" s="748" t="str">
        <f t="shared" ca="1" si="22"/>
        <v>2B</v>
      </c>
      <c r="BN11" s="748" t="str">
        <f t="shared" ca="1" si="23"/>
        <v>2B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1</v>
      </c>
      <c r="BS11" s="757">
        <f ca="1">BP11+COUNTIFS($BQ$6:$BQ$53,BQ11,$BR$6:BR$53,"&gt;"&amp;BR11,$BC$6:$BC$53,INDEX(T_Equipos[Grupo],MATCH(BD11,T_Equipos[NombreEquipo],0)))</f>
        <v>1</v>
      </c>
      <c r="BT11" s="757" t="str">
        <f ca="1">IF(COUNTIFS($BS$6:$BS$53,BS11,$BC$6:$BC$53,INDEX(T_Equipos[Grupo],MATCH(BD11,T_Equipos[NombreEquipo],0)))=1,"-","P."&amp;BS11&amp;" ("&amp;COUNTIFS($BS$6:$BS$53,BS11,$BC$6:$BC$53,INDEX(T_Equipos[Grupo],MATCH(BD11,T_Equipos[NombreEquipo],0)))&amp;")")</f>
        <v>P.1 (4)</v>
      </c>
      <c r="BU11" s="758">
        <f t="shared" ca="1" si="36"/>
        <v>0</v>
      </c>
      <c r="BV11" s="758">
        <f t="shared" ca="1" si="37"/>
        <v>1</v>
      </c>
      <c r="BW11" s="758">
        <f t="shared" ca="1" si="38"/>
        <v>0</v>
      </c>
      <c r="BX11" s="758">
        <f t="shared" ca="1" si="39"/>
        <v>1</v>
      </c>
      <c r="BY11" s="758">
        <f ca="1">BS11+COUNTIFS($BT$6:$BT$53,BT11,$BX$6:BX$53,"&gt;"&amp;BX11,$BC$6:$BC$53,INDEX(T_Equipos[Grupo],MATCH(BD11,T_Equipos[NombreEquipo],0)))</f>
        <v>1</v>
      </c>
      <c r="BZ11" s="757" t="str">
        <f ca="1">IF(COUNTIFS($BY$6:$BY$53,BY11,$BC$6:$BC$53,INDEX(T_Equipos[Grupo],MATCH(BD11,T_Equipos[NombreEquipo],0)))=1,"-","P."&amp;BY11&amp;" ("&amp;COUNTIFS($BY$6:$BY$53,BY11,$BC$6:$BC$53,INDEX(T_Equipos[Grupo],MATCH(BD11,T_Equipos[NombreEquipo],0)))&amp;")")</f>
        <v>P.1 (4)</v>
      </c>
      <c r="CA11" s="758">
        <f t="shared" ca="1" si="40"/>
        <v>1</v>
      </c>
      <c r="CB11" s="758">
        <f t="shared" ca="1" si="41"/>
        <v>1</v>
      </c>
      <c r="CC11" s="758">
        <f t="shared" ca="1" si="42"/>
        <v>0</v>
      </c>
      <c r="CD11" s="758">
        <f ca="1">BY11+COUNTIFS($BZ$6:$BZ$53,BZ11,$CC$6:CC$53,"&gt;"&amp;CC11,$BC$6:$BC$53,INDEX(T_Equipos[Grupo],MATCH(BD11,T_Equipos[NombreEquipo],0)))</f>
        <v>1</v>
      </c>
      <c r="CE11" s="757" t="str">
        <f ca="1">IF(COUNTIFS($CD$6:$CD$53,CD11,$BC$6:$BC$53,INDEX(T_Equipos[Grupo],MATCH(BD11,T_Equipos[NombreEquipo],0)))=1,"-","P."&amp;CD11&amp;" ("&amp;COUNTIFS($CD$6:$CD$53,CD11,$BC$6:$BC$53,INDEX(T_Equipos[Grupo],MATCH(BD11,T_Equipos[NombreEquipo],0)))&amp;")")</f>
        <v>P.1 (4)</v>
      </c>
      <c r="CF11" s="758">
        <f t="shared" ca="1" si="43"/>
        <v>1</v>
      </c>
      <c r="CG11" s="758">
        <f ca="1">CD11+COUNTIFS($CE$6:$CE$53,CE11,$CF$6:CF$53,"&gt;"&amp;CF11,$BC$6:$BC$53,INDEX(T_Equipos[Grupo],MATCH(BD11,T_Equipos[NombreEquipo],0)))</f>
        <v>1</v>
      </c>
      <c r="CH11" s="757" t="str">
        <f ca="1">IF(COUNTIFS($CG$6:$CG$53,CG11,$BC$6:$BC$53,INDEX(T_Equipos[Grupo],MATCH(BD11,T_Equipos[NombreEquipo],0)))=1,"-","P."&amp;CG11&amp;" ("&amp;COUNTIFS($CG$6:$CG$53,CG11,$BC$6:$BC$53,INDEX(T_Equipos[Grupo],MATCH(BD11,T_Equipos[NombreEquipo],0)))&amp;")")</f>
        <v>P.1 (4)</v>
      </c>
      <c r="CI11" s="758">
        <f t="shared" ca="1" si="44"/>
        <v>0</v>
      </c>
      <c r="CJ11" s="758">
        <f t="shared" ca="1" si="45"/>
        <v>1</v>
      </c>
      <c r="CK11" s="758">
        <f t="shared" ca="1" si="46"/>
        <v>0</v>
      </c>
      <c r="CL11" s="758">
        <f t="shared" ca="1" si="47"/>
        <v>1</v>
      </c>
      <c r="CM11" s="758">
        <f ca="1">CG11+COUNTIFS($CH$6:$CH$53,CH11,$CL$6:CL$53,"&gt;"&amp;CL11,$BC$6:$BC$53,INDEX(T_Equipos[Grupo],MATCH(BD11,T_Equipos[NombreEquipo],0)))</f>
        <v>1</v>
      </c>
      <c r="CN11" s="757" t="str">
        <f ca="1">IF(COUNTIFS($CM$6:$CM$53,CM11,$BC$6:$BC$53,INDEX(T_Equipos[Grupo],MATCH(BD11,T_Equipos[NombreEquipo],0)))=1,"-","P."&amp;CM11&amp;" ("&amp;COUNTIFS($CM$6:$CM$53,CM11,$BC$6:$BC$53,INDEX(T_Equipos[Grupo],MATCH(BD11,T_Equipos[NombreEquipo],0)))&amp;")")</f>
        <v>P.1 (4)</v>
      </c>
      <c r="CO11" s="758">
        <f t="shared" ca="1" si="48"/>
        <v>1</v>
      </c>
      <c r="CP11" s="758">
        <f t="shared" ca="1" si="49"/>
        <v>1</v>
      </c>
      <c r="CQ11" s="758">
        <f t="shared" ca="1" si="50"/>
        <v>0</v>
      </c>
      <c r="CR11" s="758">
        <f ca="1">CM11+COUNTIFS($CN$6:$CN$53,CN11,$CQ$6:CQ$53,"&gt;"&amp;CQ11,$BC$6:$BC$53,INDEX(T_Equipos[Grupo],MATCH(BD11,T_Equipos[NombreEquipo],0)))</f>
        <v>1</v>
      </c>
      <c r="CS11" s="757" t="str">
        <f ca="1">IF(COUNTIFS($CR$6:$CR$53,CR11,$BC$6:$BC$53,INDEX(T_Equipos[Grupo],MATCH(BD11,T_Equipos[NombreEquipo],0)))=1,"-","P."&amp;CR11&amp;" ("&amp;COUNTIFS($CR$6:$CR$53,CR11,$BC$6:$BC$53,INDEX(T_Equipos[Grupo],MATCH(BD11,T_Equipos[NombreEquipo],0)))&amp;")")</f>
        <v>P.1 (4)</v>
      </c>
      <c r="CT11" s="758">
        <f t="shared" ca="1" si="51"/>
        <v>1</v>
      </c>
      <c r="CU11" s="758">
        <f ca="1">CR11+COUNTIFS($CS$6:$CS$53,CS11,$CT$6:CT$53,"&gt;"&amp;CT11,$BC$6:$BC$53,INDEX(T_Equipos[Grupo],MATCH(BD11,T_Equipos[NombreEquipo],0)))</f>
        <v>1</v>
      </c>
      <c r="CV11" s="757" t="str">
        <f ca="1">IF(COUNTIFS($CU$6:$CU$53,CU11,$BC$6:$BC$53,INDEX(T_Equipos[Grupo],MATCH(BD11,T_Equipos[NombreEquipo],0)))=1,"-","P."&amp;CU11&amp;" ("&amp;COUNTIFS($CU$6:$CU$53,CU11,$BC$6:$BC$53,INDEX(T_Equipos[Grupo],MATCH(BD11,T_Equipos[NombreEquipo],0)))&amp;")")</f>
        <v>P.1 (4)</v>
      </c>
      <c r="CW11" s="757">
        <f t="shared" ca="1" si="30"/>
        <v>0</v>
      </c>
      <c r="CX11" s="757">
        <f ca="1">CU11+COUNTIFS($CV$6:$CV$53,CV11,$CW$6:CW$53,"&gt;"&amp;CW11,$BC$6:$BC$53,INDEX(T_Equipos[Grupo],MATCH(BD11,T_Equipos[NombreEquipo],0)))</f>
        <v>1</v>
      </c>
      <c r="CY11" s="757" t="str">
        <f ca="1">IF(COUNTIFS($CX$6:$CX$53,CX11,$BC$6:$BC$53,INDEX(T_Equipos[Grupo],MATCH(BD11,T_Equipos[NombreEquipo],0)))=1,"-","P."&amp;CX11&amp;" ("&amp;COUNTIFS($CX$6:$CX$53,CX11,$BC$6:$BC$53,INDEX(T_Equipos[Grupo],MATCH(BD11,T_Equipos[NombreEquipo],0)))&amp;")")</f>
        <v>P.1 (4)</v>
      </c>
      <c r="CZ11" s="757">
        <f t="shared" ca="1" si="31"/>
        <v>1</v>
      </c>
      <c r="DA11" s="758">
        <f ca="1">CX11+COUNTIFS($CY$6:$CY$53,CY11,$CZ$6:CZ$53,"&gt;"&amp;CZ11,$BC$6:$BC$53,INDEX(T_Equipos[Grupo],MATCH(BD11,T_Equipos[NombreEquipo],0)))</f>
        <v>1</v>
      </c>
      <c r="DB11" s="757" t="str">
        <f ca="1">IF(COUNTIFS($DA$6:$DA$53,DA11,$BC$6:$BC$53,INDEX(T_Equipos[Grupo],MATCH(BD11,T_Equipos[NombreEquipo],0)))=1,"-","P."&amp;DA11&amp;" ("&amp;COUNTIFS($DA$6:$DA$53,DA11,$BC$6:$BC$53,INDEX(T_Equipos[Grupo],MATCH(BD11,T_Equipos[NombreEquipo],0)))&amp;")")</f>
        <v>P.1 (4)</v>
      </c>
      <c r="DC11" s="756">
        <f ca="1">IF(DB11="-","-",COUNTIFS(T_Equipos[Rank],"&lt;"&amp;INDEX(T_Equipos[Rank],MATCH(BD11,T_Equipos[NombreEquipo],0)),$BC$6:$BC$53,INDEX(T_Equipos[Grupo],MATCH(BD11,T_Equipos[NombreEquipo],0)))+1)</f>
        <v>2</v>
      </c>
      <c r="DD11" s="756">
        <f ca="1">DA11+COUNTIFS($DB$6:$DB$53,DB11,$DC$6:DC$53,"&lt;"&amp;DC11,$BC$6:$BC$53,INDEX(T_Equipos[Grupo],MATCH(BD11,T_Equipos[NombreEquipo],0)))</f>
        <v>2</v>
      </c>
      <c r="DE11" s="756"/>
      <c r="DF11" s="756">
        <f t="shared" ca="1" si="52"/>
        <v>2</v>
      </c>
      <c r="DG11" s="756">
        <f ca="1">IF(DB11="-","-",COUNTIFS(DF$6:DF$53,"&lt;"&amp;DF11,$BC$6:$BC$53,INDEX(T_Equipos[Grupo],MATCH(BD11,T_Equipos[NombreEquipo],0))))</f>
        <v>1</v>
      </c>
      <c r="DH11" s="756">
        <f ca="1">DA11+COUNTIFS(DB$6:DB$53,DB11,DG$6:DG$53,"&lt;"&amp;DG11,$BC$6:$BC$53,INDEX(T_Equipos[Grupo],MATCH(BD11,T_Equipos[NombreEquipo],0)))</f>
        <v>2</v>
      </c>
      <c r="DI11" s="744"/>
      <c r="DJ11" s="744">
        <f t="shared" ca="1" si="53"/>
        <v>1</v>
      </c>
      <c r="DK11" s="744">
        <f t="shared" ca="1" si="24"/>
        <v>4</v>
      </c>
      <c r="DL11" s="744">
        <f t="shared" ca="1" si="33"/>
        <v>1</v>
      </c>
      <c r="DM11" s="738" t="str">
        <f t="shared" ca="1" si="34"/>
        <v>1.1</v>
      </c>
      <c r="DN11" s="744" cm="1">
        <f t="array" aca="1" ref="DN11" ca="1">OFFSET(Horarios!$P$3,DJ11-1,0,DL11,1)</f>
        <v>1</v>
      </c>
      <c r="DO11" s="744"/>
      <c r="DP11" s="744" t="s">
        <v>649</v>
      </c>
      <c r="DQ11" s="744" t="str">
        <f t="shared" ca="1" si="35"/>
        <v>Bosnia y Herzegovina</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P.1 (4)</v>
      </c>
      <c r="F12" s="744" t="str">
        <f t="shared" ref="F12:F17" ca="1" si="56">IF(D12="Pendiente","-",INDEX($BT$6:$BT$53,MATCH($AF12,$BD$6:$BD$53,0)))</f>
        <v>P.1 (4)</v>
      </c>
      <c r="G12" s="744"/>
      <c r="H12" s="744" t="str">
        <f t="shared" ref="H12:H17" ca="1" si="57">IF(D12="Pendiente","-",INDEX($BZ$6:$BZ$53,MATCH($AA12,$BD$6:$BD$53,0)))</f>
        <v>P.1 (4)</v>
      </c>
      <c r="I12" s="744" t="str">
        <f t="shared" ref="I12:I17" ca="1" si="58">IF(D12="Pendiente","-",INDEX($BZ$6:$BZ$53,MATCH($AF12,$BD$6:$BD$53,0)))</f>
        <v>P.1 (4)</v>
      </c>
      <c r="J12" s="744"/>
      <c r="K12" s="744" t="str">
        <f t="shared" ref="K12:K17" ca="1" si="59">IF(D12="Pendiente","-",INDEX($CE$6:$CE$53,MATCH($AA12,$BD$6:$BD$53,0)))</f>
        <v>P.1 (4)</v>
      </c>
      <c r="L12" s="744" t="str">
        <f t="shared" ref="L12:L17" ca="1" si="60">IF(D12="Pendiente","-",INDEX($CE$6:$CE$53,MATCH($AF12,$BD$6:$BD$53,0)))</f>
        <v>P.1 (4)</v>
      </c>
      <c r="M12" s="744"/>
      <c r="N12" s="744" t="str">
        <f t="shared" ref="N12:N17" ca="1" si="61">IF(D12="Pendiente","-",INDEX($CH$6:$CH$53,MATCH($AA12,$BD$6:$BD$53,0)))</f>
        <v>P.1 (4)</v>
      </c>
      <c r="O12" s="744" t="str">
        <f t="shared" ref="O12:O17" ca="1" si="62">IF(D12="Pendiente","-",INDEX($CH$6:$CH$53,MATCH($AF12,$BD$6:$BD$53,0)))</f>
        <v>P.1 (4)</v>
      </c>
      <c r="P12" s="744"/>
      <c r="Q12" s="744" t="str">
        <f t="shared" ref="Q12:Q17" ca="1" si="63">IF(D12="Pendiente","-",INDEX($CN$6:$CN$53,MATCH($AA12,$BD$6:$BD$53,0)))</f>
        <v>P.1 (4)</v>
      </c>
      <c r="R12" s="744" t="str">
        <f t="shared" ref="R12:R17" ca="1" si="64">IF(D12="Pendiente","-",INDEX($CN$6:$CN$53,MATCH($AF12,$BD$6:$BD$53,0)))</f>
        <v>P.1 (4)</v>
      </c>
      <c r="S12" s="744"/>
      <c r="T12" s="744" t="str">
        <f t="shared" ref="T12:T17" ca="1" si="65">IF(D12="Pendiente","-",INDEX($CS$6:$CS$53,MATCH($AA12,$BD$6:$BD$53,0)))</f>
        <v>P.1 (4)</v>
      </c>
      <c r="U12" s="744" t="str">
        <f t="shared" ref="U12:U17" ca="1" si="66">IF(D12="Pendiente","-",INDEX($CS$6:$CS$53,MATCH($AF12,$BD$6:$BD$53,0)))</f>
        <v>P.1 (4)</v>
      </c>
      <c r="V12" s="172"/>
      <c r="W12" s="800"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1</v>
      </c>
      <c r="BG12" s="748">
        <f t="shared" ca="1" si="17"/>
        <v>0</v>
      </c>
      <c r="BH12" s="748">
        <f t="shared" ca="1" si="18"/>
        <v>1</v>
      </c>
      <c r="BI12" s="748">
        <f t="shared" ca="1" si="19"/>
        <v>0</v>
      </c>
      <c r="BJ12" s="748">
        <f t="shared" ca="1" si="20"/>
        <v>1</v>
      </c>
      <c r="BK12" s="748">
        <f t="shared" ca="1" si="21"/>
        <v>1</v>
      </c>
      <c r="BL12" s="748">
        <f t="shared" ca="1" si="27"/>
        <v>0</v>
      </c>
      <c r="BM12" s="748" t="str">
        <f t="shared" ca="1" si="22"/>
        <v>3B</v>
      </c>
      <c r="BN12" s="748" t="str">
        <f t="shared" ca="1" si="23"/>
        <v>3B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1</v>
      </c>
      <c r="BT12" s="757" t="str">
        <f ca="1">IF(COUNTIFS($BS$6:$BS$53,BS12,$BC$6:$BC$53,INDEX(T_Equipos[Grupo],MATCH(BD12,T_Equipos[NombreEquipo],0)))=1,"-","P."&amp;BS12&amp;" ("&amp;COUNTIFS($BS$6:$BS$53,BS12,$BC$6:$BC$53,INDEX(T_Equipos[Grupo],MATCH(BD12,T_Equipos[NombreEquipo],0)))&amp;")")</f>
        <v>P.1 (4)</v>
      </c>
      <c r="BU12" s="758">
        <f t="shared" ca="1" si="36"/>
        <v>0</v>
      </c>
      <c r="BV12" s="758">
        <f t="shared" ca="1" si="37"/>
        <v>1</v>
      </c>
      <c r="BW12" s="758">
        <f t="shared" ca="1" si="38"/>
        <v>0</v>
      </c>
      <c r="BX12" s="758">
        <f t="shared" ca="1" si="39"/>
        <v>1</v>
      </c>
      <c r="BY12" s="758">
        <f ca="1">BS12+COUNTIFS($BT$6:$BT$53,BT12,$BX$6:BX$53,"&gt;"&amp;BX12,$BC$6:$BC$53,INDEX(T_Equipos[Grupo],MATCH(BD12,T_Equipos[NombreEquipo],0)))</f>
        <v>1</v>
      </c>
      <c r="BZ12" s="757" t="str">
        <f ca="1">IF(COUNTIFS($BY$6:$BY$53,BY12,$BC$6:$BC$53,INDEX(T_Equipos[Grupo],MATCH(BD12,T_Equipos[NombreEquipo],0)))=1,"-","P."&amp;BY12&amp;" ("&amp;COUNTIFS($BY$6:$BY$53,BY12,$BC$6:$BC$53,INDEX(T_Equipos[Grupo],MATCH(BD12,T_Equipos[NombreEquipo],0)))&amp;")")</f>
        <v>P.1 (4)</v>
      </c>
      <c r="CA12" s="758">
        <f t="shared" ca="1" si="40"/>
        <v>1</v>
      </c>
      <c r="CB12" s="758">
        <f t="shared" ca="1" si="41"/>
        <v>1</v>
      </c>
      <c r="CC12" s="758">
        <f t="shared" ca="1" si="42"/>
        <v>0</v>
      </c>
      <c r="CD12" s="758">
        <f ca="1">BY12+COUNTIFS($BZ$6:$BZ$53,BZ12,$CC$6:CC$53,"&gt;"&amp;CC12,$BC$6:$BC$53,INDEX(T_Equipos[Grupo],MATCH(BD12,T_Equipos[NombreEquipo],0)))</f>
        <v>1</v>
      </c>
      <c r="CE12" s="757" t="str">
        <f ca="1">IF(COUNTIFS($CD$6:$CD$53,CD12,$BC$6:$BC$53,INDEX(T_Equipos[Grupo],MATCH(BD12,T_Equipos[NombreEquipo],0)))=1,"-","P."&amp;CD12&amp;" ("&amp;COUNTIFS($CD$6:$CD$53,CD12,$BC$6:$BC$53,INDEX(T_Equipos[Grupo],MATCH(BD12,T_Equipos[NombreEquipo],0)))&amp;")")</f>
        <v>P.1 (4)</v>
      </c>
      <c r="CF12" s="758">
        <f t="shared" ca="1" si="43"/>
        <v>1</v>
      </c>
      <c r="CG12" s="758">
        <f ca="1">CD12+COUNTIFS($CE$6:$CE$53,CE12,$CF$6:CF$53,"&gt;"&amp;CF12,$BC$6:$BC$53,INDEX(T_Equipos[Grupo],MATCH(BD12,T_Equipos[NombreEquipo],0)))</f>
        <v>1</v>
      </c>
      <c r="CH12" s="757" t="str">
        <f ca="1">IF(COUNTIFS($CG$6:$CG$53,CG12,$BC$6:$BC$53,INDEX(T_Equipos[Grupo],MATCH(BD12,T_Equipos[NombreEquipo],0)))=1,"-","P."&amp;CG12&amp;" ("&amp;COUNTIFS($CG$6:$CG$53,CG12,$BC$6:$BC$53,INDEX(T_Equipos[Grupo],MATCH(BD12,T_Equipos[NombreEquipo],0)))&amp;")")</f>
        <v>P.1 (4)</v>
      </c>
      <c r="CI12" s="758">
        <f t="shared" ca="1" si="44"/>
        <v>0</v>
      </c>
      <c r="CJ12" s="758">
        <f t="shared" ca="1" si="45"/>
        <v>1</v>
      </c>
      <c r="CK12" s="758">
        <f t="shared" ca="1" si="46"/>
        <v>0</v>
      </c>
      <c r="CL12" s="758">
        <f t="shared" ca="1" si="47"/>
        <v>1</v>
      </c>
      <c r="CM12" s="758">
        <f ca="1">CG12+COUNTIFS($CH$6:$CH$53,CH12,$CL$6:CL$53,"&gt;"&amp;CL12,$BC$6:$BC$53,INDEX(T_Equipos[Grupo],MATCH(BD12,T_Equipos[NombreEquipo],0)))</f>
        <v>1</v>
      </c>
      <c r="CN12" s="757" t="str">
        <f ca="1">IF(COUNTIFS($CM$6:$CM$53,CM12,$BC$6:$BC$53,INDEX(T_Equipos[Grupo],MATCH(BD12,T_Equipos[NombreEquipo],0)))=1,"-","P."&amp;CM12&amp;" ("&amp;COUNTIFS($CM$6:$CM$53,CM12,$BC$6:$BC$53,INDEX(T_Equipos[Grupo],MATCH(BD12,T_Equipos[NombreEquipo],0)))&amp;")")</f>
        <v>P.1 (4)</v>
      </c>
      <c r="CO12" s="758">
        <f t="shared" ca="1" si="48"/>
        <v>1</v>
      </c>
      <c r="CP12" s="758">
        <f t="shared" ca="1" si="49"/>
        <v>1</v>
      </c>
      <c r="CQ12" s="758">
        <f t="shared" ca="1" si="50"/>
        <v>0</v>
      </c>
      <c r="CR12" s="758">
        <f ca="1">CM12+COUNTIFS($CN$6:$CN$53,CN12,$CQ$6:CQ$53,"&gt;"&amp;CQ12,$BC$6:$BC$53,INDEX(T_Equipos[Grupo],MATCH(BD12,T_Equipos[NombreEquipo],0)))</f>
        <v>1</v>
      </c>
      <c r="CS12" s="757" t="str">
        <f ca="1">IF(COUNTIFS($CR$6:$CR$53,CR12,$BC$6:$BC$53,INDEX(T_Equipos[Grupo],MATCH(BD12,T_Equipos[NombreEquipo],0)))=1,"-","P."&amp;CR12&amp;" ("&amp;COUNTIFS($CR$6:$CR$53,CR12,$BC$6:$BC$53,INDEX(T_Equipos[Grupo],MATCH(BD12,T_Equipos[NombreEquipo],0)))&amp;")")</f>
        <v>P.1 (4)</v>
      </c>
      <c r="CT12" s="758">
        <f t="shared" ca="1" si="51"/>
        <v>1</v>
      </c>
      <c r="CU12" s="758">
        <f ca="1">CR12+COUNTIFS($CS$6:$CS$53,CS12,$CT$6:CT$53,"&gt;"&amp;CT12,$BC$6:$BC$53,INDEX(T_Equipos[Grupo],MATCH(BD12,T_Equipos[NombreEquipo],0)))</f>
        <v>1</v>
      </c>
      <c r="CV12" s="757" t="str">
        <f ca="1">IF(COUNTIFS($CU$6:$CU$53,CU12,$BC$6:$BC$53,INDEX(T_Equipos[Grupo],MATCH(BD12,T_Equipos[NombreEquipo],0)))=1,"-","P."&amp;CU12&amp;" ("&amp;COUNTIFS($CU$6:$CU$53,CU12,$BC$6:$BC$53,INDEX(T_Equipos[Grupo],MATCH(BD12,T_Equipos[NombreEquipo],0)))&amp;")")</f>
        <v>P.1 (4)</v>
      </c>
      <c r="CW12" s="757">
        <f t="shared" ca="1" si="30"/>
        <v>0</v>
      </c>
      <c r="CX12" s="757">
        <f ca="1">CU12+COUNTIFS($CV$6:$CV$53,CV12,$CW$6:CW$53,"&gt;"&amp;CW12,$BC$6:$BC$53,INDEX(T_Equipos[Grupo],MATCH(BD12,T_Equipos[NombreEquipo],0)))</f>
        <v>1</v>
      </c>
      <c r="CY12" s="757" t="str">
        <f ca="1">IF(COUNTIFS($CX$6:$CX$53,CX12,$BC$6:$BC$53,INDEX(T_Equipos[Grupo],MATCH(BD12,T_Equipos[NombreEquipo],0)))=1,"-","P."&amp;CX12&amp;" ("&amp;COUNTIFS($CX$6:$CX$53,CX12,$BC$6:$BC$53,INDEX(T_Equipos[Grupo],MATCH(BD12,T_Equipos[NombreEquipo],0)))&amp;")")</f>
        <v>P.1 (4)</v>
      </c>
      <c r="CZ12" s="757">
        <f t="shared" ca="1" si="31"/>
        <v>1</v>
      </c>
      <c r="DA12" s="758">
        <f ca="1">CX12+COUNTIFS($CY$6:$CY$53,CY12,$CZ$6:CZ$53,"&gt;"&amp;CZ12,$BC$6:$BC$53,INDEX(T_Equipos[Grupo],MATCH(BD12,T_Equipos[NombreEquipo],0)))</f>
        <v>1</v>
      </c>
      <c r="DB12" s="757" t="str">
        <f ca="1">IF(COUNTIFS($DA$6:$DA$53,DA12,$BC$6:$BC$53,INDEX(T_Equipos[Grupo],MATCH(BD12,T_Equipos[NombreEquipo],0)))=1,"-","P."&amp;DA12&amp;" ("&amp;COUNTIFS($DA$6:$DA$53,DA12,$BC$6:$BC$53,INDEX(T_Equipos[Grupo],MATCH(BD12,T_Equipos[NombreEquipo],0)))&amp;")")</f>
        <v>P.1 (4)</v>
      </c>
      <c r="DC12" s="756">
        <f ca="1">IF(DB12="-","-",COUNTIFS(T_Equipos[Rank],"&lt;"&amp;INDEX(T_Equipos[Rank],MATCH(BD12,T_Equipos[NombreEquipo],0)),$BC$6:$BC$53,INDEX(T_Equipos[Grupo],MATCH(BD12,T_Equipos[NombreEquipo],0)))+1)</f>
        <v>3</v>
      </c>
      <c r="DD12" s="756">
        <f ca="1">DA12+COUNTIFS($DB$6:$DB$53,DB12,$DC$6:DC$53,"&lt;"&amp;DC12,$BC$6:$BC$53,INDEX(T_Equipos[Grupo],MATCH(BD12,T_Equipos[NombreEquipo],0)))</f>
        <v>3</v>
      </c>
      <c r="DE12" s="756"/>
      <c r="DF12" s="756">
        <f t="shared" ca="1" si="52"/>
        <v>3</v>
      </c>
      <c r="DG12" s="756">
        <f ca="1">IF(DB12="-","-",COUNTIFS(DF$6:DF$53,"&lt;"&amp;DF12,$BC$6:$BC$53,INDEX(T_Equipos[Grupo],MATCH(BD12,T_Equipos[NombreEquipo],0))))</f>
        <v>2</v>
      </c>
      <c r="DH12" s="756">
        <f ca="1">DA12+COUNTIFS(DB$6:DB$53,DB12,DG$6:DG$53,"&lt;"&amp;DG12,$BC$6:$BC$53,INDEX(T_Equipos[Grupo],MATCH(BD12,T_Equipos[NombreEquipo],0)))</f>
        <v>3</v>
      </c>
      <c r="DI12" s="744"/>
      <c r="DJ12" s="744">
        <f t="shared" ca="1" si="53"/>
        <v>1</v>
      </c>
      <c r="DK12" s="744">
        <f t="shared" ca="1" si="24"/>
        <v>4</v>
      </c>
      <c r="DL12" s="744">
        <f t="shared" ca="1" si="33"/>
        <v>1</v>
      </c>
      <c r="DM12" s="738" t="str">
        <f t="shared" ca="1" si="34"/>
        <v>1.1</v>
      </c>
      <c r="DN12" s="744" cm="1">
        <f t="array" aca="1" ref="DN12" ca="1">OFFSET(Horarios!$P$3,DJ12-1,0,DL12,1)</f>
        <v>1</v>
      </c>
      <c r="DO12" s="744"/>
      <c r="DP12" s="744" t="s">
        <v>90</v>
      </c>
      <c r="DQ12" s="744" t="str">
        <f t="shared" ca="1" si="35"/>
        <v>Catar</v>
      </c>
      <c r="DR12" s="744"/>
      <c r="DS12" s="744"/>
      <c r="DT12" s="744" t="str">
        <f t="shared" ca="1" si="15"/>
        <v>Canadá-Bosnia y Herzegovina</v>
      </c>
      <c r="DU12" s="744"/>
      <c r="DV12" s="744"/>
      <c r="DW12" s="8"/>
    </row>
    <row r="13" spans="1:127" ht="16.05" customHeight="1">
      <c r="A13" s="745" t="str">
        <f ca="1">+Equipos!B6</f>
        <v>Canadá</v>
      </c>
      <c r="B13" s="742"/>
      <c r="C13" s="742"/>
      <c r="D13" s="744" t="str">
        <f t="shared" si="54"/>
        <v>Empate</v>
      </c>
      <c r="E13" s="744" t="str">
        <f t="shared" ca="1" si="55"/>
        <v>P.1 (4)</v>
      </c>
      <c r="F13" s="744" t="str">
        <f t="shared" ca="1" si="56"/>
        <v>P.1 (4)</v>
      </c>
      <c r="G13" s="744"/>
      <c r="H13" s="744" t="str">
        <f t="shared" ca="1" si="57"/>
        <v>P.1 (4)</v>
      </c>
      <c r="I13" s="744" t="str">
        <f t="shared" ca="1" si="58"/>
        <v>P.1 (4)</v>
      </c>
      <c r="J13" s="744"/>
      <c r="K13" s="744" t="str">
        <f t="shared" ca="1" si="59"/>
        <v>P.1 (4)</v>
      </c>
      <c r="L13" s="744" t="str">
        <f t="shared" ca="1" si="60"/>
        <v>P.1 (4)</v>
      </c>
      <c r="M13" s="744"/>
      <c r="N13" s="744" t="str">
        <f t="shared" ca="1" si="61"/>
        <v>P.1 (4)</v>
      </c>
      <c r="O13" s="744" t="str">
        <f t="shared" ca="1" si="62"/>
        <v>P.1 (4)</v>
      </c>
      <c r="P13" s="744"/>
      <c r="Q13" s="744" t="str">
        <f t="shared" ca="1" si="63"/>
        <v>P.1 (4)</v>
      </c>
      <c r="R13" s="744" t="str">
        <f t="shared" ca="1" si="64"/>
        <v>P.1 (4)</v>
      </c>
      <c r="S13" s="744"/>
      <c r="T13" s="744" t="str">
        <f t="shared" ca="1" si="65"/>
        <v>P.1 (4)</v>
      </c>
      <c r="U13" s="744" t="str">
        <f t="shared" ca="1" si="66"/>
        <v>P.1 (4)</v>
      </c>
      <c r="V13" s="172"/>
      <c r="W13" s="800"/>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1</v>
      </c>
      <c r="BF13" s="748">
        <f t="shared" ca="1" si="26"/>
        <v>1</v>
      </c>
      <c r="BG13" s="748">
        <f t="shared" ca="1" si="17"/>
        <v>0</v>
      </c>
      <c r="BH13" s="748">
        <f t="shared" ca="1" si="18"/>
        <v>1</v>
      </c>
      <c r="BI13" s="748">
        <f t="shared" ca="1" si="19"/>
        <v>0</v>
      </c>
      <c r="BJ13" s="748">
        <f t="shared" ca="1" si="20"/>
        <v>1</v>
      </c>
      <c r="BK13" s="748">
        <f t="shared" ca="1" si="21"/>
        <v>1</v>
      </c>
      <c r="BL13" s="748">
        <f t="shared" ca="1" si="27"/>
        <v>0</v>
      </c>
      <c r="BM13" s="748" t="str">
        <f t="shared" ca="1" si="22"/>
        <v>4B</v>
      </c>
      <c r="BN13" s="748" t="str">
        <f t="shared" ca="1" si="23"/>
        <v>4B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1</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P.1 (4)</v>
      </c>
      <c r="BU13" s="758">
        <f t="shared" ca="1" si="36"/>
        <v>0</v>
      </c>
      <c r="BV13" s="758">
        <f t="shared" ca="1" si="37"/>
        <v>1</v>
      </c>
      <c r="BW13" s="758">
        <f t="shared" ca="1" si="38"/>
        <v>0</v>
      </c>
      <c r="BX13" s="758">
        <f t="shared" ca="1" si="39"/>
        <v>1</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P.1 (4)</v>
      </c>
      <c r="CA13" s="758">
        <f t="shared" ca="1" si="40"/>
        <v>1</v>
      </c>
      <c r="CB13" s="758">
        <f t="shared" ca="1" si="41"/>
        <v>1</v>
      </c>
      <c r="CC13" s="758">
        <f t="shared" ca="1" si="42"/>
        <v>0</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P.1 (4)</v>
      </c>
      <c r="CF13" s="758">
        <f t="shared" ca="1" si="43"/>
        <v>1</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P.1 (4)</v>
      </c>
      <c r="CI13" s="758">
        <f t="shared" ca="1" si="44"/>
        <v>0</v>
      </c>
      <c r="CJ13" s="758">
        <f t="shared" ca="1" si="45"/>
        <v>1</v>
      </c>
      <c r="CK13" s="758">
        <f t="shared" ca="1" si="46"/>
        <v>0</v>
      </c>
      <c r="CL13" s="758">
        <f t="shared" ca="1" si="47"/>
        <v>1</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P.1 (4)</v>
      </c>
      <c r="CO13" s="758">
        <f t="shared" ca="1" si="48"/>
        <v>1</v>
      </c>
      <c r="CP13" s="758">
        <f t="shared" ca="1" si="49"/>
        <v>1</v>
      </c>
      <c r="CQ13" s="758">
        <f t="shared" ca="1" si="50"/>
        <v>0</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P.1 (4)</v>
      </c>
      <c r="CT13" s="758">
        <f t="shared" ca="1" si="51"/>
        <v>1</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P.1 (4)</v>
      </c>
      <c r="CW13" s="757">
        <f t="shared" ca="1" si="30"/>
        <v>0</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P.1 (4)</v>
      </c>
      <c r="CZ13" s="757">
        <f t="shared" ca="1" si="31"/>
        <v>1</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P.1 (4)</v>
      </c>
      <c r="DC13" s="756">
        <f ca="1">IF(DB13="-","-",COUNTIFS(T_Equipos[Rank],"&lt;"&amp;INDEX(T_Equipos[Rank],MATCH(BD13,T_Equipos[NombreEquipo],0)),$BC$6:$BC$53,INDEX(T_Equipos[Grupo],MATCH(BD13,T_Equipos[NombreEquipo],0)))+1)</f>
        <v>4</v>
      </c>
      <c r="DD13" s="756">
        <f ca="1">DA13+COUNTIFS($DB$6:$DB$53,DB13,$DC$6:DC$53,"&lt;"&amp;DC13,$BC$6:$BC$53,INDEX(T_Equipos[Grupo],MATCH(BD13,T_Equipos[NombreEquipo],0)))</f>
        <v>4</v>
      </c>
      <c r="DE13" s="756"/>
      <c r="DF13" s="756">
        <f t="shared" ca="1" si="52"/>
        <v>4</v>
      </c>
      <c r="DG13" s="756">
        <f ca="1">IF(DB13="-","-",COUNTIFS(DF$6:DF$53,"&lt;"&amp;DF13,$BC$6:$BC$53,INDEX(T_Equipos[Grupo],MATCH(BD13,T_Equipos[NombreEquipo],0))))</f>
        <v>3</v>
      </c>
      <c r="DH13" s="756">
        <f ca="1">DA13+COUNTIFS(DB$6:DB$53,DB13,DG$6:DG$53,"&lt;"&amp;DG13,$BC$6:$BC$53,INDEX(T_Equipos[Grupo],MATCH(BD13,T_Equipos[NombreEquipo],0)))</f>
        <v>4</v>
      </c>
      <c r="DI13" s="744"/>
      <c r="DJ13" s="744">
        <f t="shared" ca="1" si="53"/>
        <v>1</v>
      </c>
      <c r="DK13" s="744">
        <f t="shared" ca="1" si="24"/>
        <v>4</v>
      </c>
      <c r="DL13" s="744">
        <f t="shared" ca="1" si="33"/>
        <v>1</v>
      </c>
      <c r="DM13" s="738" t="str">
        <f t="shared" ca="1" si="34"/>
        <v>1.1</v>
      </c>
      <c r="DN13" s="744" cm="1">
        <f t="array" aca="1" ref="DN13" ca="1">OFFSET(Horarios!$P$3,DJ13-1,0,DL13,1)</f>
        <v>1</v>
      </c>
      <c r="DO13" s="744"/>
      <c r="DP13" s="744" t="s">
        <v>650</v>
      </c>
      <c r="DQ13" s="744" t="str">
        <f t="shared" ca="1" si="35"/>
        <v>Suiza</v>
      </c>
      <c r="DR13" s="744"/>
      <c r="DS13" s="744"/>
      <c r="DT13" s="744" t="str">
        <f t="shared" ca="1" si="15"/>
        <v>Catar-Suiza</v>
      </c>
      <c r="DU13" s="744"/>
      <c r="DV13" s="744"/>
      <c r="DW13" s="8"/>
    </row>
    <row r="14" spans="1:127" ht="16.95" customHeight="1">
      <c r="A14" s="745" t="str">
        <f ca="1">+Equipos!B7</f>
        <v>Bosnia y Herzegovina</v>
      </c>
      <c r="B14" s="742"/>
      <c r="C14" s="746"/>
      <c r="D14" s="744" t="str">
        <f t="shared" si="54"/>
        <v>Pendiente</v>
      </c>
      <c r="E14" s="744" t="str">
        <f t="shared" si="55"/>
        <v>-</v>
      </c>
      <c r="F14" s="744" t="str">
        <f t="shared" si="56"/>
        <v>-</v>
      </c>
      <c r="G14" s="744"/>
      <c r="H14" s="744" t="str">
        <f t="shared" si="57"/>
        <v>-</v>
      </c>
      <c r="I14" s="744" t="str">
        <f t="shared" si="58"/>
        <v>-</v>
      </c>
      <c r="J14" s="744"/>
      <c r="K14" s="744" t="str">
        <f t="shared" si="59"/>
        <v>-</v>
      </c>
      <c r="L14" s="744" t="str">
        <f t="shared" si="60"/>
        <v>-</v>
      </c>
      <c r="M14" s="744"/>
      <c r="N14" s="744" t="str">
        <f t="shared" si="61"/>
        <v>-</v>
      </c>
      <c r="O14" s="744" t="str">
        <f t="shared" si="62"/>
        <v>-</v>
      </c>
      <c r="P14" s="744"/>
      <c r="Q14" s="744" t="str">
        <f t="shared" si="63"/>
        <v>-</v>
      </c>
      <c r="R14" s="744" t="str">
        <f t="shared" si="64"/>
        <v>-</v>
      </c>
      <c r="S14" s="744"/>
      <c r="T14" s="744" t="str">
        <f t="shared" si="65"/>
        <v>-</v>
      </c>
      <c r="U14" s="744" t="str">
        <f t="shared" si="66"/>
        <v>-</v>
      </c>
      <c r="V14" s="172"/>
      <c r="W14" s="800"/>
      <c r="X14" s="189">
        <f ca="1">Horarios!C14</f>
        <v>46191.875</v>
      </c>
      <c r="Y14" s="190">
        <f ca="1">Horarios!C14</f>
        <v>46191.875</v>
      </c>
      <c r="Z14" s="191" t="str">
        <f>$Z$6</f>
        <v>J2</v>
      </c>
      <c r="AA14" s="192" t="str">
        <f ca="1">A16</f>
        <v>Suiza</v>
      </c>
      <c r="AB14" s="478" t="e" cm="1" vm="8">
        <f t="array" aca="1" ref="AB14" ca="1">Ver_flag_local</f>
        <v>#VALUE!</v>
      </c>
      <c r="AC14" s="193"/>
      <c r="AD14" s="194"/>
      <c r="AE14" s="483" t="e" cm="1" vm="6">
        <f t="array" aca="1" ref="AE14" ca="1">Ver_flag_visit</f>
        <v>#VALUE!</v>
      </c>
      <c r="AF14" s="195" t="str">
        <f ca="1">A14</f>
        <v>Bosnia y Herzegovina</v>
      </c>
      <c r="AG14" s="413">
        <f t="shared" si="67"/>
        <v>0</v>
      </c>
      <c r="AH14" s="196">
        <v>26</v>
      </c>
      <c r="AI14" s="19" t="str">
        <f>AJ14&amp;$B$12</f>
        <v>1B</v>
      </c>
      <c r="AJ14" s="256">
        <v>1</v>
      </c>
      <c r="AK14" s="488" t="e" cm="1" vm="5">
        <f t="array" aca="1" ref="AK14" ca="1">Ver_flag_visit</f>
        <v>#VALUE!</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4"/>
      <c r="BC14" s="756" t="str">
        <f ca="1">+INDEX(T_Equipos[Grupo],MATCH(WORLDCUP!BD14,T_Equipos[NombreEquipo],0))</f>
        <v>C</v>
      </c>
      <c r="BD14" s="744" t="str">
        <f ca="1">+Equipos!B10</f>
        <v>Brasil</v>
      </c>
      <c r="BE14" s="748">
        <f t="shared" ca="1" si="25"/>
        <v>1</v>
      </c>
      <c r="BF14" s="748">
        <f t="shared" ca="1" si="26"/>
        <v>1</v>
      </c>
      <c r="BG14" s="748">
        <f t="shared" ca="1" si="17"/>
        <v>0</v>
      </c>
      <c r="BH14" s="748">
        <f t="shared" ca="1" si="18"/>
        <v>1</v>
      </c>
      <c r="BI14" s="748">
        <f t="shared" ca="1" si="19"/>
        <v>0</v>
      </c>
      <c r="BJ14" s="748">
        <f t="shared" ca="1" si="20"/>
        <v>1</v>
      </c>
      <c r="BK14" s="748">
        <f t="shared" ca="1" si="21"/>
        <v>1</v>
      </c>
      <c r="BL14" s="748">
        <f t="shared" ca="1" si="27"/>
        <v>0</v>
      </c>
      <c r="BM14" s="748" t="str">
        <f t="shared" ca="1" si="22"/>
        <v>2C</v>
      </c>
      <c r="BN14" s="748" t="str">
        <f t="shared" ca="1" si="23"/>
        <v>2C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1</v>
      </c>
      <c r="BS14" s="757">
        <f ca="1">BP14+COUNTIFS($BQ$6:$BQ$53,BQ14,$BR$6:BR$53,"&gt;"&amp;BR14,$BC$6:$BC$53,INDEX(T_Equipos[Grupo],MATCH(BD14,T_Equipos[NombreEquipo],0)))</f>
        <v>2</v>
      </c>
      <c r="BT14" s="757" t="str">
        <f ca="1">IF(COUNTIFS($BS$6:$BS$53,BS14,$BC$6:$BC$53,INDEX(T_Equipos[Grupo],MATCH(BD14,T_Equipos[NombreEquipo],0)))=1,"-","P."&amp;BS14&amp;" ("&amp;COUNTIFS($BS$6:$BS$53,BS14,$BC$6:$BC$53,INDEX(T_Equipos[Grupo],MATCH(BD14,T_Equipos[NombreEquipo],0)))&amp;")")</f>
        <v>P.2 (2)</v>
      </c>
      <c r="BU14" s="758">
        <f t="shared" ca="1" si="36"/>
        <v>0</v>
      </c>
      <c r="BV14" s="758">
        <f t="shared" ca="1" si="37"/>
        <v>1</v>
      </c>
      <c r="BW14" s="758">
        <f t="shared" ca="1" si="38"/>
        <v>0</v>
      </c>
      <c r="BX14" s="758">
        <f t="shared" ca="1" si="39"/>
        <v>1</v>
      </c>
      <c r="BY14" s="758">
        <f ca="1">BS14+COUNTIFS($BT$6:$BT$53,BT14,$BX$6:BX$53,"&gt;"&amp;BX14,$BC$6:$BC$53,INDEX(T_Equipos[Grupo],MATCH(BD14,T_Equipos[NombreEquipo],0)))</f>
        <v>2</v>
      </c>
      <c r="BZ14" s="757" t="str">
        <f ca="1">IF(COUNTIFS($BY$6:$BY$53,BY14,$BC$6:$BC$53,INDEX(T_Equipos[Grupo],MATCH(BD14,T_Equipos[NombreEquipo],0)))=1,"-","P."&amp;BY14&amp;" ("&amp;COUNTIFS($BY$6:$BY$53,BY14,$BC$6:$BC$53,INDEX(T_Equipos[Grupo],MATCH(BD14,T_Equipos[NombreEquipo],0)))&amp;")")</f>
        <v>P.2 (2)</v>
      </c>
      <c r="CA14" s="758">
        <f t="shared" ca="1" si="40"/>
        <v>1</v>
      </c>
      <c r="CB14" s="758">
        <f t="shared" ca="1" si="41"/>
        <v>1</v>
      </c>
      <c r="CC14" s="758">
        <f t="shared" ca="1" si="42"/>
        <v>0</v>
      </c>
      <c r="CD14" s="758">
        <f ca="1">BY14+COUNTIFS($BZ$6:$BZ$53,BZ14,$CC$6:CC$53,"&gt;"&amp;CC14,$BC$6:$BC$53,INDEX(T_Equipos[Grupo],MATCH(BD14,T_Equipos[NombreEquipo],0)))</f>
        <v>2</v>
      </c>
      <c r="CE14" s="757" t="str">
        <f ca="1">IF(COUNTIFS($CD$6:$CD$53,CD14,$BC$6:$BC$53,INDEX(T_Equipos[Grupo],MATCH(BD14,T_Equipos[NombreEquipo],0)))=1,"-","P."&amp;CD14&amp;" ("&amp;COUNTIFS($CD$6:$CD$53,CD14,$BC$6:$BC$53,INDEX(T_Equipos[Grupo],MATCH(BD14,T_Equipos[NombreEquipo],0)))&amp;")")</f>
        <v>P.2 (2)</v>
      </c>
      <c r="CF14" s="758">
        <f t="shared" ca="1" si="43"/>
        <v>1</v>
      </c>
      <c r="CG14" s="758">
        <f ca="1">CD14+COUNTIFS($CE$6:$CE$53,CE14,$CF$6:CF$53,"&gt;"&amp;CF14,$BC$6:$BC$53,INDEX(T_Equipos[Grupo],MATCH(BD14,T_Equipos[NombreEquipo],0)))</f>
        <v>2</v>
      </c>
      <c r="CH14" s="757" t="str">
        <f ca="1">IF(COUNTIFS($CG$6:$CG$53,CG14,$BC$6:$BC$53,INDEX(T_Equipos[Grupo],MATCH(BD14,T_Equipos[NombreEquipo],0)))=1,"-","P."&amp;CG14&amp;" ("&amp;COUNTIFS($CG$6:$CG$53,CG14,$BC$6:$BC$53,INDEX(T_Equipos[Grupo],MATCH(BD14,T_Equipos[NombreEquipo],0)))&amp;")")</f>
        <v>P.2 (2)</v>
      </c>
      <c r="CI14" s="758">
        <f t="shared" ca="1" si="44"/>
        <v>0</v>
      </c>
      <c r="CJ14" s="758">
        <f t="shared" ca="1" si="45"/>
        <v>1</v>
      </c>
      <c r="CK14" s="758">
        <f t="shared" ca="1" si="46"/>
        <v>0</v>
      </c>
      <c r="CL14" s="758">
        <f t="shared" ca="1" si="47"/>
        <v>1</v>
      </c>
      <c r="CM14" s="758">
        <f ca="1">CG14+COUNTIFS($CH$6:$CH$53,CH14,$CL$6:CL$53,"&gt;"&amp;CL14,$BC$6:$BC$53,INDEX(T_Equipos[Grupo],MATCH(BD14,T_Equipos[NombreEquipo],0)))</f>
        <v>2</v>
      </c>
      <c r="CN14" s="757" t="str">
        <f ca="1">IF(COUNTIFS($CM$6:$CM$53,CM14,$BC$6:$BC$53,INDEX(T_Equipos[Grupo],MATCH(BD14,T_Equipos[NombreEquipo],0)))=1,"-","P."&amp;CM14&amp;" ("&amp;COUNTIFS($CM$6:$CM$53,CM14,$BC$6:$BC$53,INDEX(T_Equipos[Grupo],MATCH(BD14,T_Equipos[NombreEquipo],0)))&amp;")")</f>
        <v>P.2 (2)</v>
      </c>
      <c r="CO14" s="758">
        <f t="shared" ca="1" si="48"/>
        <v>1</v>
      </c>
      <c r="CP14" s="758">
        <f t="shared" ca="1" si="49"/>
        <v>1</v>
      </c>
      <c r="CQ14" s="758">
        <f t="shared" ca="1" si="50"/>
        <v>0</v>
      </c>
      <c r="CR14" s="758">
        <f ca="1">CM14+COUNTIFS($CN$6:$CN$53,CN14,$CQ$6:CQ$53,"&gt;"&amp;CQ14,$BC$6:$BC$53,INDEX(T_Equipos[Grupo],MATCH(BD14,T_Equipos[NombreEquipo],0)))</f>
        <v>2</v>
      </c>
      <c r="CS14" s="757" t="str">
        <f ca="1">IF(COUNTIFS($CR$6:$CR$53,CR14,$BC$6:$BC$53,INDEX(T_Equipos[Grupo],MATCH(BD14,T_Equipos[NombreEquipo],0)))=1,"-","P."&amp;CR14&amp;" ("&amp;COUNTIFS($CR$6:$CR$53,CR14,$BC$6:$BC$53,INDEX(T_Equipos[Grupo],MATCH(BD14,T_Equipos[NombreEquipo],0)))&amp;")")</f>
        <v>P.2 (2)</v>
      </c>
      <c r="CT14" s="758">
        <f t="shared" ca="1" si="51"/>
        <v>1</v>
      </c>
      <c r="CU14" s="758">
        <f ca="1">CR14+COUNTIFS($CS$6:$CS$53,CS14,$CT$6:CT$53,"&gt;"&amp;CT14,$BC$6:$BC$53,INDEX(T_Equipos[Grupo],MATCH(BD14,T_Equipos[NombreEquipo],0)))</f>
        <v>2</v>
      </c>
      <c r="CV14" s="757" t="str">
        <f ca="1">IF(COUNTIFS($CU$6:$CU$53,CU14,$BC$6:$BC$53,INDEX(T_Equipos[Grupo],MATCH(BD14,T_Equipos[NombreEquipo],0)))=1,"-","P."&amp;CU14&amp;" ("&amp;COUNTIFS($CU$6:$CU$53,CU14,$BC$6:$BC$53,INDEX(T_Equipos[Grupo],MATCH(BD14,T_Equipos[NombreEquipo],0)))&amp;")")</f>
        <v>P.2 (2)</v>
      </c>
      <c r="CW14" s="757">
        <f t="shared" ca="1" si="30"/>
        <v>0</v>
      </c>
      <c r="CX14" s="757">
        <f ca="1">CU14+COUNTIFS($CV$6:$CV$53,CV14,$CW$6:CW$53,"&gt;"&amp;CW14,$BC$6:$BC$53,INDEX(T_Equipos[Grupo],MATCH(BD14,T_Equipos[NombreEquipo],0)))</f>
        <v>2</v>
      </c>
      <c r="CY14" s="757" t="str">
        <f ca="1">IF(COUNTIFS($CX$6:$CX$53,CX14,$BC$6:$BC$53,INDEX(T_Equipos[Grupo],MATCH(BD14,T_Equipos[NombreEquipo],0)))=1,"-","P."&amp;CX14&amp;" ("&amp;COUNTIFS($CX$6:$CX$53,CX14,$BC$6:$BC$53,INDEX(T_Equipos[Grupo],MATCH(BD14,T_Equipos[NombreEquipo],0)))&amp;")")</f>
        <v>P.2 (2)</v>
      </c>
      <c r="CZ14" s="757">
        <f t="shared" ca="1" si="31"/>
        <v>1</v>
      </c>
      <c r="DA14" s="758">
        <f ca="1">CX14+COUNTIFS($CY$6:$CY$53,CY14,$CZ$6:CZ$53,"&gt;"&amp;CZ14,$BC$6:$BC$53,INDEX(T_Equipos[Grupo],MATCH(BD14,T_Equipos[NombreEquipo],0)))</f>
        <v>2</v>
      </c>
      <c r="DB14" s="757" t="str">
        <f ca="1">IF(COUNTIFS($DA$6:$DA$53,DA14,$BC$6:$BC$53,INDEX(T_Equipos[Grupo],MATCH(BD14,T_Equipos[NombreEquipo],0)))=1,"-","P."&amp;DA14&amp;" ("&amp;COUNTIFS($DA$6:$DA$53,DA14,$BC$6:$BC$53,INDEX(T_Equipos[Grupo],MATCH(BD14,T_Equipos[NombreEquipo],0)))&amp;")")</f>
        <v>P.2 (2)</v>
      </c>
      <c r="DC14" s="756">
        <f ca="1">IF(DB14="-","-",COUNTIFS(T_Equipos[Rank],"&lt;"&amp;INDEX(T_Equipos[Rank],MATCH(BD14,T_Equipos[NombreEquipo],0)),$BC$6:$BC$53,INDEX(T_Equipos[Grupo],MATCH(BD14,T_Equipos[NombreEquipo],0)))+1)</f>
        <v>1</v>
      </c>
      <c r="DD14" s="756">
        <f ca="1">DA14+COUNTIFS($DB$6:$DB$53,DB14,$DC$6:DC$53,"&lt;"&amp;DC14,$BC$6:$BC$53,INDEX(T_Equipos[Grupo],MATCH(BD14,T_Equipos[NombreEquipo],0)))</f>
        <v>2</v>
      </c>
      <c r="DE14" s="756"/>
      <c r="DF14" s="756">
        <f t="shared" ca="1" si="52"/>
        <v>2</v>
      </c>
      <c r="DG14" s="756">
        <f ca="1">IF(DB14="-","-",COUNTIFS(DF$6:DF$53,"&lt;"&amp;DF14,$BC$6:$BC$53,INDEX(T_Equipos[Grupo],MATCH(BD14,T_Equipos[NombreEquipo],0))))</f>
        <v>1</v>
      </c>
      <c r="DH14" s="756">
        <f ca="1">DA14+COUNTIFS(DB$6:DB$53,DB14,DG$6:DG$53,"&lt;"&amp;DG14,$BC$6:$BC$53,INDEX(T_Equipos[Grupo],MATCH(BD14,T_Equipos[NombreEquipo],0)))</f>
        <v>2</v>
      </c>
      <c r="DI14" s="744"/>
      <c r="DJ14" s="744">
        <f t="shared" ca="1" si="53"/>
        <v>1</v>
      </c>
      <c r="DK14" s="744">
        <f t="shared" ca="1" si="24"/>
        <v>4</v>
      </c>
      <c r="DL14" s="744">
        <f t="shared" ca="1" si="33"/>
        <v>1</v>
      </c>
      <c r="DM14" s="738" t="str">
        <f t="shared" ca="1" si="34"/>
        <v>1.1</v>
      </c>
      <c r="DN14" s="744" cm="1">
        <f t="array" aca="1" ref="DN14" ca="1">OFFSET(Horarios!$P$3,DJ14-1,0,DL14,1)</f>
        <v>1</v>
      </c>
      <c r="DO14" s="744"/>
      <c r="DP14" s="744" t="s">
        <v>651</v>
      </c>
      <c r="DQ14" s="744" t="str">
        <f t="shared" ca="1" si="35"/>
        <v>Escocia</v>
      </c>
      <c r="DR14" s="744"/>
      <c r="DS14" s="744"/>
      <c r="DT14" s="744" t="str">
        <f t="shared" ca="1" si="15"/>
        <v>Suiza-Bosnia y Herzegovina</v>
      </c>
      <c r="DU14" s="744"/>
      <c r="DV14" s="744"/>
      <c r="DW14" s="8"/>
    </row>
    <row r="15" spans="1:127">
      <c r="A15" s="745" t="str">
        <f ca="1">+Equipos!B8</f>
        <v>Catar</v>
      </c>
      <c r="B15" s="742"/>
      <c r="C15" s="744"/>
      <c r="D15" s="744" t="str">
        <f t="shared" si="54"/>
        <v>Pendiente</v>
      </c>
      <c r="E15" s="744" t="str">
        <f t="shared" si="55"/>
        <v>-</v>
      </c>
      <c r="F15" s="744" t="str">
        <f t="shared" si="56"/>
        <v>-</v>
      </c>
      <c r="G15" s="744"/>
      <c r="H15" s="744" t="str">
        <f t="shared" si="57"/>
        <v>-</v>
      </c>
      <c r="I15" s="744" t="str">
        <f t="shared" si="58"/>
        <v>-</v>
      </c>
      <c r="J15" s="744"/>
      <c r="K15" s="744" t="str">
        <f t="shared" si="59"/>
        <v>-</v>
      </c>
      <c r="L15" s="744" t="str">
        <f t="shared" si="60"/>
        <v>-</v>
      </c>
      <c r="M15" s="744"/>
      <c r="N15" s="744" t="str">
        <f t="shared" si="61"/>
        <v>-</v>
      </c>
      <c r="O15" s="744" t="str">
        <f t="shared" si="62"/>
        <v>-</v>
      </c>
      <c r="P15" s="744"/>
      <c r="Q15" s="744" t="str">
        <f t="shared" si="63"/>
        <v>-</v>
      </c>
      <c r="R15" s="744" t="str">
        <f t="shared" si="64"/>
        <v>-</v>
      </c>
      <c r="S15" s="744"/>
      <c r="T15" s="744" t="str">
        <f t="shared" si="65"/>
        <v>-</v>
      </c>
      <c r="U15" s="744" t="str">
        <f t="shared" si="66"/>
        <v>-</v>
      </c>
      <c r="V15" s="172"/>
      <c r="W15" s="800"/>
      <c r="X15" s="189">
        <f ca="1">Horarios!C15</f>
        <v>46192</v>
      </c>
      <c r="Y15" s="190">
        <f ca="1">Horarios!C15</f>
        <v>46192</v>
      </c>
      <c r="Z15" s="191" t="str">
        <f>$Z$6</f>
        <v>J2</v>
      </c>
      <c r="AA15" s="192" t="str">
        <f ca="1">A13</f>
        <v>Canadá</v>
      </c>
      <c r="AB15" s="478" t="e" cm="1" vm="5">
        <f t="array" aca="1" ref="AB15" ca="1">Ver_flag_local</f>
        <v>#VALUE!</v>
      </c>
      <c r="AC15" s="193"/>
      <c r="AD15" s="194"/>
      <c r="AE15" s="483" t="e" cm="1" vm="7">
        <f t="array" aca="1" ref="AE15" ca="1">Ver_flag_visit</f>
        <v>#VALUE!</v>
      </c>
      <c r="AF15" s="195" t="str">
        <f ca="1">A15</f>
        <v>Catar</v>
      </c>
      <c r="AG15" s="413">
        <f t="shared" si="67"/>
        <v>0</v>
      </c>
      <c r="AH15" s="196">
        <v>27</v>
      </c>
      <c r="AI15" s="19" t="str">
        <f t="shared" ref="AI15:AI17" si="72">AJ15&amp;$B$12</f>
        <v>2B</v>
      </c>
      <c r="AJ15" s="258">
        <v>2</v>
      </c>
      <c r="AK15" s="486" t="e" cm="1" vm="6">
        <f t="array" aca="1" ref="AK15" ca="1">Ver_flag_visit</f>
        <v>#VALUE!</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1</v>
      </c>
      <c r="BF15" s="748">
        <f t="shared" ca="1" si="26"/>
        <v>1</v>
      </c>
      <c r="BG15" s="748">
        <f t="shared" ca="1" si="17"/>
        <v>0</v>
      </c>
      <c r="BH15" s="748">
        <f t="shared" ca="1" si="18"/>
        <v>1</v>
      </c>
      <c r="BI15" s="748">
        <f t="shared" ca="1" si="19"/>
        <v>0</v>
      </c>
      <c r="BJ15" s="748">
        <f t="shared" ca="1" si="20"/>
        <v>1</v>
      </c>
      <c r="BK15" s="748">
        <f t="shared" ca="1" si="21"/>
        <v>1</v>
      </c>
      <c r="BL15" s="748">
        <f t="shared" ca="1" si="27"/>
        <v>0</v>
      </c>
      <c r="BM15" s="748" t="str">
        <f t="shared" ca="1" si="22"/>
        <v>3C</v>
      </c>
      <c r="BN15" s="748" t="str">
        <f t="shared" ca="1" si="23"/>
        <v>3C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1</v>
      </c>
      <c r="BS15" s="757">
        <f ca="1">BP15+COUNTIFS($BQ$6:$BQ$53,BQ15,$BR$6:BR$53,"&gt;"&amp;BR15,$BC$6:$BC$53,INDEX(T_Equipos[Grupo],MATCH(BD15,T_Equipos[NombreEquipo],0)))</f>
        <v>2</v>
      </c>
      <c r="BT15" s="757" t="str">
        <f ca="1">IF(COUNTIFS($BS$6:$BS$53,BS15,$BC$6:$BC$53,INDEX(T_Equipos[Grupo],MATCH(BD15,T_Equipos[NombreEquipo],0)))=1,"-","P."&amp;BS15&amp;" ("&amp;COUNTIFS($BS$6:$BS$53,BS15,$BC$6:$BC$53,INDEX(T_Equipos[Grupo],MATCH(BD15,T_Equipos[NombreEquipo],0)))&amp;")")</f>
        <v>P.2 (2)</v>
      </c>
      <c r="BU15" s="758">
        <f t="shared" ca="1" si="36"/>
        <v>0</v>
      </c>
      <c r="BV15" s="758">
        <f t="shared" ca="1" si="37"/>
        <v>1</v>
      </c>
      <c r="BW15" s="758">
        <f t="shared" ca="1" si="38"/>
        <v>0</v>
      </c>
      <c r="BX15" s="758">
        <f t="shared" ca="1" si="39"/>
        <v>1</v>
      </c>
      <c r="BY15" s="758">
        <f ca="1">BS15+COUNTIFS($BT$6:$BT$53,BT15,$BX$6:BX$53,"&gt;"&amp;BX15,$BC$6:$BC$53,INDEX(T_Equipos[Grupo],MATCH(BD15,T_Equipos[NombreEquipo],0)))</f>
        <v>2</v>
      </c>
      <c r="BZ15" s="757" t="str">
        <f ca="1">IF(COUNTIFS($BY$6:$BY$53,BY15,$BC$6:$BC$53,INDEX(T_Equipos[Grupo],MATCH(BD15,T_Equipos[NombreEquipo],0)))=1,"-","P."&amp;BY15&amp;" ("&amp;COUNTIFS($BY$6:$BY$53,BY15,$BC$6:$BC$53,INDEX(T_Equipos[Grupo],MATCH(BD15,T_Equipos[NombreEquipo],0)))&amp;")")</f>
        <v>P.2 (2)</v>
      </c>
      <c r="CA15" s="758">
        <f t="shared" ca="1" si="40"/>
        <v>1</v>
      </c>
      <c r="CB15" s="758">
        <f t="shared" ca="1" si="41"/>
        <v>1</v>
      </c>
      <c r="CC15" s="758">
        <f t="shared" ca="1" si="42"/>
        <v>0</v>
      </c>
      <c r="CD15" s="758">
        <f ca="1">BY15+COUNTIFS($BZ$6:$BZ$53,BZ15,$CC$6:CC$53,"&gt;"&amp;CC15,$BC$6:$BC$53,INDEX(T_Equipos[Grupo],MATCH(BD15,T_Equipos[NombreEquipo],0)))</f>
        <v>2</v>
      </c>
      <c r="CE15" s="757" t="str">
        <f ca="1">IF(COUNTIFS($CD$6:$CD$53,CD15,$BC$6:$BC$53,INDEX(T_Equipos[Grupo],MATCH(BD15,T_Equipos[NombreEquipo],0)))=1,"-","P."&amp;CD15&amp;" ("&amp;COUNTIFS($CD$6:$CD$53,CD15,$BC$6:$BC$53,INDEX(T_Equipos[Grupo],MATCH(BD15,T_Equipos[NombreEquipo],0)))&amp;")")</f>
        <v>P.2 (2)</v>
      </c>
      <c r="CF15" s="758">
        <f t="shared" ca="1" si="43"/>
        <v>1</v>
      </c>
      <c r="CG15" s="758">
        <f ca="1">CD15+COUNTIFS($CE$6:$CE$53,CE15,$CF$6:CF$53,"&gt;"&amp;CF15,$BC$6:$BC$53,INDEX(T_Equipos[Grupo],MATCH(BD15,T_Equipos[NombreEquipo],0)))</f>
        <v>2</v>
      </c>
      <c r="CH15" s="757" t="str">
        <f ca="1">IF(COUNTIFS($CG$6:$CG$53,CG15,$BC$6:$BC$53,INDEX(T_Equipos[Grupo],MATCH(BD15,T_Equipos[NombreEquipo],0)))=1,"-","P."&amp;CG15&amp;" ("&amp;COUNTIFS($CG$6:$CG$53,CG15,$BC$6:$BC$53,INDEX(T_Equipos[Grupo],MATCH(BD15,T_Equipos[NombreEquipo],0)))&amp;")")</f>
        <v>P.2 (2)</v>
      </c>
      <c r="CI15" s="758">
        <f t="shared" ca="1" si="44"/>
        <v>0</v>
      </c>
      <c r="CJ15" s="758">
        <f t="shared" ca="1" si="45"/>
        <v>1</v>
      </c>
      <c r="CK15" s="758">
        <f t="shared" ca="1" si="46"/>
        <v>0</v>
      </c>
      <c r="CL15" s="758">
        <f t="shared" ca="1" si="47"/>
        <v>1</v>
      </c>
      <c r="CM15" s="758">
        <f ca="1">CG15+COUNTIFS($CH$6:$CH$53,CH15,$CL$6:CL$53,"&gt;"&amp;CL15,$BC$6:$BC$53,INDEX(T_Equipos[Grupo],MATCH(BD15,T_Equipos[NombreEquipo],0)))</f>
        <v>2</v>
      </c>
      <c r="CN15" s="757" t="str">
        <f ca="1">IF(COUNTIFS($CM$6:$CM$53,CM15,$BC$6:$BC$53,INDEX(T_Equipos[Grupo],MATCH(BD15,T_Equipos[NombreEquipo],0)))=1,"-","P."&amp;CM15&amp;" ("&amp;COUNTIFS($CM$6:$CM$53,CM15,$BC$6:$BC$53,INDEX(T_Equipos[Grupo],MATCH(BD15,T_Equipos[NombreEquipo],0)))&amp;")")</f>
        <v>P.2 (2)</v>
      </c>
      <c r="CO15" s="758">
        <f t="shared" ca="1" si="48"/>
        <v>1</v>
      </c>
      <c r="CP15" s="758">
        <f t="shared" ca="1" si="49"/>
        <v>1</v>
      </c>
      <c r="CQ15" s="758">
        <f t="shared" ca="1" si="50"/>
        <v>0</v>
      </c>
      <c r="CR15" s="758">
        <f ca="1">CM15+COUNTIFS($CN$6:$CN$53,CN15,$CQ$6:CQ$53,"&gt;"&amp;CQ15,$BC$6:$BC$53,INDEX(T_Equipos[Grupo],MATCH(BD15,T_Equipos[NombreEquipo],0)))</f>
        <v>2</v>
      </c>
      <c r="CS15" s="757" t="str">
        <f ca="1">IF(COUNTIFS($CR$6:$CR$53,CR15,$BC$6:$BC$53,INDEX(T_Equipos[Grupo],MATCH(BD15,T_Equipos[NombreEquipo],0)))=1,"-","P."&amp;CR15&amp;" ("&amp;COUNTIFS($CR$6:$CR$53,CR15,$BC$6:$BC$53,INDEX(T_Equipos[Grupo],MATCH(BD15,T_Equipos[NombreEquipo],0)))&amp;")")</f>
        <v>P.2 (2)</v>
      </c>
      <c r="CT15" s="758">
        <f t="shared" ca="1" si="51"/>
        <v>1</v>
      </c>
      <c r="CU15" s="758">
        <f ca="1">CR15+COUNTIFS($CS$6:$CS$53,CS15,$CT$6:CT$53,"&gt;"&amp;CT15,$BC$6:$BC$53,INDEX(T_Equipos[Grupo],MATCH(BD15,T_Equipos[NombreEquipo],0)))</f>
        <v>2</v>
      </c>
      <c r="CV15" s="757" t="str">
        <f ca="1">IF(COUNTIFS($CU$6:$CU$53,CU15,$BC$6:$BC$53,INDEX(T_Equipos[Grupo],MATCH(BD15,T_Equipos[NombreEquipo],0)))=1,"-","P."&amp;CU15&amp;" ("&amp;COUNTIFS($CU$6:$CU$53,CU15,$BC$6:$BC$53,INDEX(T_Equipos[Grupo],MATCH(BD15,T_Equipos[NombreEquipo],0)))&amp;")")</f>
        <v>P.2 (2)</v>
      </c>
      <c r="CW15" s="757">
        <f t="shared" ca="1" si="30"/>
        <v>0</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P.2 (2)</v>
      </c>
      <c r="CZ15" s="757">
        <f t="shared" ca="1" si="31"/>
        <v>1</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P.2 (2)</v>
      </c>
      <c r="DC15" s="756">
        <f ca="1">IF(DB15="-","-",COUNTIFS(T_Equipos[Rank],"&lt;"&amp;INDEX(T_Equipos[Rank],MATCH(BD15,T_Equipos[NombreEquipo],0)),$BC$6:$BC$53,INDEX(T_Equipos[Grupo],MATCH(BD15,T_Equipos[NombreEquipo],0)))+1)</f>
        <v>2</v>
      </c>
      <c r="DD15" s="756">
        <f ca="1">DA15+COUNTIFS($DB$6:$DB$53,DB15,$DC$6:DC$53,"&lt;"&amp;DC15,$BC$6:$BC$53,INDEX(T_Equipos[Grupo],MATCH(BD15,T_Equipos[NombreEquipo],0)))</f>
        <v>3</v>
      </c>
      <c r="DE15" s="756"/>
      <c r="DF15" s="756">
        <f t="shared" ca="1" si="52"/>
        <v>3</v>
      </c>
      <c r="DG15" s="756">
        <f ca="1">IF(DB15="-","-",COUNTIFS(DF$6:DF$53,"&lt;"&amp;DF15,$BC$6:$BC$53,INDEX(T_Equipos[Grupo],MATCH(BD15,T_Equipos[NombreEquipo],0))))</f>
        <v>2</v>
      </c>
      <c r="DH15" s="756">
        <f ca="1">DA15+COUNTIFS(DB$6:DB$53,DB15,DG$6:DG$53,"&lt;"&amp;DG15,$BC$6:$BC$53,INDEX(T_Equipos[Grupo],MATCH(BD15,T_Equipos[NombreEquipo],0)))</f>
        <v>3</v>
      </c>
      <c r="DI15" s="744"/>
      <c r="DJ15" s="744">
        <f t="shared" ca="1" si="53"/>
        <v>2</v>
      </c>
      <c r="DK15" s="744">
        <f t="shared" ca="1" si="24"/>
        <v>4</v>
      </c>
      <c r="DL15" s="744">
        <f t="shared" ca="1" si="33"/>
        <v>1</v>
      </c>
      <c r="DM15" s="738" t="str">
        <f t="shared" ca="1" si="34"/>
        <v>2.1</v>
      </c>
      <c r="DN15" s="744" cm="1">
        <f t="array" aca="1" ref="DN15" ca="1">OFFSET(Horarios!$P$3,DJ15-1,0,DL15,1)</f>
        <v>2</v>
      </c>
      <c r="DO15" s="744"/>
      <c r="DP15" s="744" t="s">
        <v>656</v>
      </c>
      <c r="DQ15" s="744" t="str">
        <f t="shared" ca="1" si="35"/>
        <v>Brasil</v>
      </c>
      <c r="DR15" s="744"/>
      <c r="DS15" s="744"/>
      <c r="DT15" s="744" t="str">
        <f t="shared" ca="1" si="15"/>
        <v>Canadá-Catar</v>
      </c>
      <c r="DU15" s="744"/>
      <c r="DV15" s="744"/>
      <c r="DW15" s="8"/>
    </row>
    <row r="16" spans="1:127">
      <c r="A16" s="745" t="str">
        <f ca="1">+Equipos!B9</f>
        <v>Suiza</v>
      </c>
      <c r="B16" s="742"/>
      <c r="C16" s="744"/>
      <c r="D16" s="744" t="str">
        <f t="shared" si="54"/>
        <v>Pendiente</v>
      </c>
      <c r="E16" s="744" t="str">
        <f t="shared" si="55"/>
        <v>-</v>
      </c>
      <c r="F16" s="744" t="str">
        <f t="shared" si="56"/>
        <v>-</v>
      </c>
      <c r="G16" s="744"/>
      <c r="H16" s="744" t="str">
        <f t="shared" si="57"/>
        <v>-</v>
      </c>
      <c r="I16" s="744" t="str">
        <f t="shared" si="58"/>
        <v>-</v>
      </c>
      <c r="J16" s="744"/>
      <c r="K16" s="744" t="str">
        <f t="shared" si="59"/>
        <v>-</v>
      </c>
      <c r="L16" s="744" t="str">
        <f t="shared" si="60"/>
        <v>-</v>
      </c>
      <c r="M16" s="744"/>
      <c r="N16" s="744" t="str">
        <f t="shared" si="61"/>
        <v>-</v>
      </c>
      <c r="O16" s="744" t="str">
        <f t="shared" si="62"/>
        <v>-</v>
      </c>
      <c r="P16" s="744"/>
      <c r="Q16" s="744" t="str">
        <f t="shared" si="63"/>
        <v>-</v>
      </c>
      <c r="R16" s="744" t="str">
        <f t="shared" si="64"/>
        <v>-</v>
      </c>
      <c r="S16" s="744"/>
      <c r="T16" s="744" t="str">
        <f t="shared" si="65"/>
        <v>-</v>
      </c>
      <c r="U16" s="744" t="str">
        <f t="shared" si="66"/>
        <v>-</v>
      </c>
      <c r="V16" s="172"/>
      <c r="W16" s="800"/>
      <c r="X16" s="189">
        <f ca="1">Horarios!C16</f>
        <v>46197.875</v>
      </c>
      <c r="Y16" s="190">
        <f ca="1">Horarios!C16</f>
        <v>46197.875</v>
      </c>
      <c r="Z16" s="191" t="str">
        <f>$Z$8</f>
        <v>J3</v>
      </c>
      <c r="AA16" s="192" t="str">
        <f ca="1">A16</f>
        <v>Suiza</v>
      </c>
      <c r="AB16" s="478" t="e" cm="1" vm="8">
        <f t="array" aca="1" ref="AB16" ca="1">Ver_flag_local</f>
        <v>#VALUE!</v>
      </c>
      <c r="AC16" s="193"/>
      <c r="AD16" s="194"/>
      <c r="AE16" s="483" t="e" cm="1" vm="5">
        <f t="array" aca="1" ref="AE16" ca="1">Ver_flag_visit</f>
        <v>#VALUE!</v>
      </c>
      <c r="AF16" s="195" t="str">
        <f ca="1">A13</f>
        <v>Canadá</v>
      </c>
      <c r="AG16" s="413">
        <f t="shared" si="67"/>
        <v>0</v>
      </c>
      <c r="AH16" s="196">
        <v>51</v>
      </c>
      <c r="AI16" s="19" t="str">
        <f t="shared" si="72"/>
        <v>3B</v>
      </c>
      <c r="AJ16" s="258">
        <v>3</v>
      </c>
      <c r="AK16" s="486" t="e" cm="1" vm="7">
        <f t="array" aca="1" ref="AK16" ca="1">Ver_flag_visit</f>
        <v>#VALUE!</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1</v>
      </c>
      <c r="BG16" s="748">
        <f t="shared" ca="1" si="17"/>
        <v>0</v>
      </c>
      <c r="BH16" s="748">
        <f t="shared" ca="1" si="18"/>
        <v>0</v>
      </c>
      <c r="BI16" s="748">
        <f t="shared" ca="1" si="19"/>
        <v>1</v>
      </c>
      <c r="BJ16" s="748">
        <f t="shared" ca="1" si="20"/>
        <v>0</v>
      </c>
      <c r="BK16" s="748">
        <f t="shared" ca="1" si="21"/>
        <v>1</v>
      </c>
      <c r="BL16" s="748">
        <f t="shared" ca="1" si="27"/>
        <v>-1</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2</v>
      </c>
      <c r="DK16" s="744">
        <f t="shared" ca="1" si="24"/>
        <v>4</v>
      </c>
      <c r="DL16" s="744">
        <f t="shared" ca="1" si="33"/>
        <v>1</v>
      </c>
      <c r="DM16" s="738" t="str">
        <f t="shared" ca="1" si="34"/>
        <v>2.1</v>
      </c>
      <c r="DN16" s="744" cm="1">
        <f t="array" aca="1" ref="DN16" ca="1">OFFSET(Horarios!$P$3,DJ16-1,0,DL16,1)</f>
        <v>2</v>
      </c>
      <c r="DO16" s="744"/>
      <c r="DP16" s="744" t="s">
        <v>91</v>
      </c>
      <c r="DQ16" s="744" t="str">
        <f t="shared" ca="1" si="35"/>
        <v>Marruecos</v>
      </c>
      <c r="DR16" s="744"/>
      <c r="DS16" s="744"/>
      <c r="DT16" s="744" t="str">
        <f t="shared" ca="1" si="15"/>
        <v>Suiza-Canadá</v>
      </c>
      <c r="DU16" s="744"/>
      <c r="DV16" s="744"/>
      <c r="DW16" s="8"/>
    </row>
    <row r="17" spans="1:127" ht="15" thickBot="1">
      <c r="A17" s="739"/>
      <c r="B17" s="742"/>
      <c r="C17" s="739"/>
      <c r="D17" s="744" t="str">
        <f t="shared" si="54"/>
        <v>Pendiente</v>
      </c>
      <c r="E17" s="744" t="str">
        <f t="shared" si="55"/>
        <v>-</v>
      </c>
      <c r="F17" s="744" t="str">
        <f t="shared" si="56"/>
        <v>-</v>
      </c>
      <c r="G17" s="744"/>
      <c r="H17" s="744" t="str">
        <f t="shared" si="57"/>
        <v>-</v>
      </c>
      <c r="I17" s="744" t="str">
        <f t="shared" si="58"/>
        <v>-</v>
      </c>
      <c r="J17" s="744"/>
      <c r="K17" s="744" t="str">
        <f t="shared" si="59"/>
        <v>-</v>
      </c>
      <c r="L17" s="744" t="str">
        <f t="shared" si="60"/>
        <v>-</v>
      </c>
      <c r="M17" s="744"/>
      <c r="N17" s="744" t="str">
        <f t="shared" si="61"/>
        <v>-</v>
      </c>
      <c r="O17" s="744" t="str">
        <f t="shared" si="62"/>
        <v>-</v>
      </c>
      <c r="P17" s="744"/>
      <c r="Q17" s="744" t="str">
        <f t="shared" si="63"/>
        <v>-</v>
      </c>
      <c r="R17" s="744" t="str">
        <f t="shared" si="64"/>
        <v>-</v>
      </c>
      <c r="S17" s="744"/>
      <c r="T17" s="744" t="str">
        <f t="shared" si="65"/>
        <v>-</v>
      </c>
      <c r="U17" s="744" t="str">
        <f t="shared" si="66"/>
        <v>-</v>
      </c>
      <c r="V17" s="172"/>
      <c r="W17" s="801"/>
      <c r="X17" s="228">
        <f ca="1">Horarios!C17</f>
        <v>46197.875</v>
      </c>
      <c r="Y17" s="229">
        <f ca="1">Horarios!C17</f>
        <v>46197.875</v>
      </c>
      <c r="Z17" s="230" t="str">
        <f>$Z$8</f>
        <v>J3</v>
      </c>
      <c r="AA17" s="231" t="str">
        <f ca="1">A14</f>
        <v>Bosnia y Herzegovina</v>
      </c>
      <c r="AB17" s="479" t="e" cm="1" vm="6">
        <f t="array" aca="1" ref="AB17" ca="1">Ver_flag_local</f>
        <v>#VALUE!</v>
      </c>
      <c r="AC17" s="232"/>
      <c r="AD17" s="233"/>
      <c r="AE17" s="484" t="e" cm="1" vm="7">
        <f t="array" aca="1" ref="AE17" ca="1">Ver_flag_visit</f>
        <v>#VALUE!</v>
      </c>
      <c r="AF17" s="234" t="str">
        <f ca="1">A15</f>
        <v>Catar</v>
      </c>
      <c r="AG17" s="413">
        <f t="shared" si="67"/>
        <v>0</v>
      </c>
      <c r="AH17" s="196">
        <v>52</v>
      </c>
      <c r="AI17" s="19" t="str">
        <f t="shared" si="72"/>
        <v>4B</v>
      </c>
      <c r="AJ17" s="260">
        <v>4</v>
      </c>
      <c r="AK17" s="489" t="e" cm="1" vm="8">
        <f t="array" aca="1" ref="AK17" ca="1">Ver_flag_visit</f>
        <v>#VALUE!</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1</v>
      </c>
      <c r="BG17" s="748">
        <f t="shared" ca="1" si="17"/>
        <v>1</v>
      </c>
      <c r="BH17" s="748">
        <f t="shared" ca="1" si="18"/>
        <v>0</v>
      </c>
      <c r="BI17" s="748">
        <f t="shared" ca="1" si="19"/>
        <v>0</v>
      </c>
      <c r="BJ17" s="748">
        <f t="shared" ca="1" si="20"/>
        <v>1</v>
      </c>
      <c r="BK17" s="748">
        <f t="shared" ca="1" si="21"/>
        <v>0</v>
      </c>
      <c r="BL17" s="748">
        <f t="shared" ca="1" si="27"/>
        <v>1</v>
      </c>
      <c r="BM17" s="748" t="str">
        <f t="shared" ca="1" si="22"/>
        <v>1C</v>
      </c>
      <c r="BN17" s="748" t="str">
        <f t="shared" ca="1" si="23"/>
        <v>1C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1</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1</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1</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1</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1</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1</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1</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1</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1</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1</v>
      </c>
      <c r="DE17" s="756"/>
      <c r="DF17" s="756">
        <f t="shared" ca="1" si="52"/>
        <v>1</v>
      </c>
      <c r="DG17" s="756" t="str">
        <f ca="1">IF(DB17="-","-",COUNTIFS(DF$6:DF$53,"&lt;"&amp;DF17,$BC$6:$BC$53,INDEX(T_Equipos[Grupo],MATCH(BD17,T_Equipos[NombreEquipo],0))))</f>
        <v>-</v>
      </c>
      <c r="DH17" s="756">
        <f ca="1">DA17+COUNTIFS(DB$6:DB$53,DB17,DG$6:DG$53,"&lt;"&amp;DG17,$BC$6:$BC$53,INDEX(T_Equipos[Grupo],MATCH(BD17,T_Equipos[NombreEquipo],0)))</f>
        <v>1</v>
      </c>
      <c r="DI17" s="744"/>
      <c r="DJ17" s="744">
        <f t="shared" ca="1" si="53"/>
        <v>4</v>
      </c>
      <c r="DK17" s="744">
        <f t="shared" ca="1" si="24"/>
        <v>4</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3</v>
      </c>
      <c r="BF18" s="748">
        <f t="shared" ca="1" si="26"/>
        <v>1</v>
      </c>
      <c r="BG18" s="748">
        <f t="shared" ca="1" si="17"/>
        <v>1</v>
      </c>
      <c r="BH18" s="748">
        <f t="shared" ca="1" si="18"/>
        <v>0</v>
      </c>
      <c r="BI18" s="748">
        <f t="shared" ca="1" si="19"/>
        <v>0</v>
      </c>
      <c r="BJ18" s="748">
        <f t="shared" ca="1" si="20"/>
        <v>4</v>
      </c>
      <c r="BK18" s="748">
        <f t="shared" ca="1" si="21"/>
        <v>1</v>
      </c>
      <c r="BL18" s="748">
        <f t="shared" ca="1" si="27"/>
        <v>3</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3</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P.1 (2)</v>
      </c>
      <c r="BU18" s="758">
        <f t="shared" ca="1" si="36"/>
        <v>0</v>
      </c>
      <c r="BV18" s="758">
        <f t="shared" ca="1" si="37"/>
        <v>0</v>
      </c>
      <c r="BW18" s="758">
        <f t="shared" ca="1" si="38"/>
        <v>0</v>
      </c>
      <c r="BX18" s="758">
        <f t="shared" ca="1" si="39"/>
        <v>0</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P.1 (2)</v>
      </c>
      <c r="CA18" s="758">
        <f t="shared" ca="1" si="40"/>
        <v>0</v>
      </c>
      <c r="CB18" s="758">
        <f t="shared" ca="1" si="41"/>
        <v>0</v>
      </c>
      <c r="CC18" s="758">
        <f t="shared" ca="1" si="42"/>
        <v>0</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P.1 (2)</v>
      </c>
      <c r="CF18" s="758">
        <f t="shared" ca="1" si="43"/>
        <v>0</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P.1 (2)</v>
      </c>
      <c r="CI18" s="758">
        <f t="shared" ca="1" si="44"/>
        <v>0</v>
      </c>
      <c r="CJ18" s="758">
        <f t="shared" ca="1" si="45"/>
        <v>0</v>
      </c>
      <c r="CK18" s="758">
        <f t="shared" ca="1" si="46"/>
        <v>0</v>
      </c>
      <c r="CL18" s="758">
        <f t="shared" ca="1" si="47"/>
        <v>0</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P.1 (2)</v>
      </c>
      <c r="CO18" s="758">
        <f t="shared" ca="1" si="48"/>
        <v>0</v>
      </c>
      <c r="CP18" s="758">
        <f t="shared" ca="1" si="49"/>
        <v>0</v>
      </c>
      <c r="CQ18" s="758">
        <f t="shared" ca="1" si="50"/>
        <v>0</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P.1 (2)</v>
      </c>
      <c r="CT18" s="758">
        <f t="shared" ca="1" si="51"/>
        <v>0</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P.1 (2)</v>
      </c>
      <c r="CW18" s="757">
        <f t="shared" ca="1" si="30"/>
        <v>3</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4</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0</v>
      </c>
      <c r="BF19" s="748">
        <f t="shared" ca="1" si="26"/>
        <v>1</v>
      </c>
      <c r="BG19" s="748">
        <f t="shared" ca="1" si="17"/>
        <v>0</v>
      </c>
      <c r="BH19" s="748">
        <f t="shared" ca="1" si="18"/>
        <v>0</v>
      </c>
      <c r="BI19" s="748">
        <f t="shared" ca="1" si="19"/>
        <v>1</v>
      </c>
      <c r="BJ19" s="748">
        <f t="shared" ca="1" si="20"/>
        <v>1</v>
      </c>
      <c r="BK19" s="748">
        <f t="shared" ca="1" si="21"/>
        <v>4</v>
      </c>
      <c r="BL19" s="748">
        <f t="shared" ca="1" si="27"/>
        <v>-3</v>
      </c>
      <c r="BM19" s="748" t="str">
        <f t="shared" ca="1" si="22"/>
        <v>4D</v>
      </c>
      <c r="BN19" s="748" t="str">
        <f t="shared" ca="1" si="23"/>
        <v>4D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0</v>
      </c>
      <c r="BS19" s="757">
        <f ca="1">BP19+COUNTIFS($BQ$6:$BQ$53,BQ19,$BR$6:BR$53,"&gt;"&amp;BR19,$BC$6:$BC$53,INDEX(T_Equipos[Grupo],MATCH(BD19,T_Equipos[NombreEquipo],0)))</f>
        <v>3</v>
      </c>
      <c r="BT19" s="757" t="str">
        <f ca="1">IF(COUNTIFS($BS$6:$BS$53,BS19,$BC$6:$BC$53,INDEX(T_Equipos[Grupo],MATCH(BD19,T_Equipos[NombreEquipo],0)))=1,"-","P."&amp;BS19&amp;" ("&amp;COUNTIFS($BS$6:$BS$53,BS19,$BC$6:$BC$53,INDEX(T_Equipos[Grupo],MATCH(BD19,T_Equipos[NombreEquipo],0)))&amp;")")</f>
        <v>P.3 (2)</v>
      </c>
      <c r="BU19" s="758">
        <f t="shared" ca="1" si="36"/>
        <v>0</v>
      </c>
      <c r="BV19" s="758">
        <f t="shared" ca="1" si="37"/>
        <v>0</v>
      </c>
      <c r="BW19" s="758">
        <f t="shared" ca="1" si="38"/>
        <v>0</v>
      </c>
      <c r="BX19" s="758">
        <f t="shared" ca="1" si="39"/>
        <v>0</v>
      </c>
      <c r="BY19" s="758">
        <f ca="1">BS19+COUNTIFS($BT$6:$BT$53,BT19,$BX$6:BX$53,"&gt;"&amp;BX19,$BC$6:$BC$53,INDEX(T_Equipos[Grupo],MATCH(BD19,T_Equipos[NombreEquipo],0)))</f>
        <v>3</v>
      </c>
      <c r="BZ19" s="757" t="str">
        <f ca="1">IF(COUNTIFS($BY$6:$BY$53,BY19,$BC$6:$BC$53,INDEX(T_Equipos[Grupo],MATCH(BD19,T_Equipos[NombreEquipo],0)))=1,"-","P."&amp;BY19&amp;" ("&amp;COUNTIFS($BY$6:$BY$53,BY19,$BC$6:$BC$53,INDEX(T_Equipos[Grupo],MATCH(BD19,T_Equipos[NombreEquipo],0)))&amp;")")</f>
        <v>P.3 (2)</v>
      </c>
      <c r="CA19" s="758">
        <f t="shared" ca="1" si="40"/>
        <v>0</v>
      </c>
      <c r="CB19" s="758">
        <f t="shared" ca="1" si="41"/>
        <v>0</v>
      </c>
      <c r="CC19" s="758">
        <f t="shared" ca="1" si="42"/>
        <v>0</v>
      </c>
      <c r="CD19" s="758">
        <f ca="1">BY19+COUNTIFS($BZ$6:$BZ$53,BZ19,$CC$6:CC$53,"&gt;"&amp;CC19,$BC$6:$BC$53,INDEX(T_Equipos[Grupo],MATCH(BD19,T_Equipos[NombreEquipo],0)))</f>
        <v>3</v>
      </c>
      <c r="CE19" s="757" t="str">
        <f ca="1">IF(COUNTIFS($CD$6:$CD$53,CD19,$BC$6:$BC$53,INDEX(T_Equipos[Grupo],MATCH(BD19,T_Equipos[NombreEquipo],0)))=1,"-","P."&amp;CD19&amp;" ("&amp;COUNTIFS($CD$6:$CD$53,CD19,$BC$6:$BC$53,INDEX(T_Equipos[Grupo],MATCH(BD19,T_Equipos[NombreEquipo],0)))&amp;")")</f>
        <v>P.3 (2)</v>
      </c>
      <c r="CF19" s="758">
        <f t="shared" ca="1" si="43"/>
        <v>0</v>
      </c>
      <c r="CG19" s="758">
        <f ca="1">CD19+COUNTIFS($CE$6:$CE$53,CE19,$CF$6:CF$53,"&gt;"&amp;CF19,$BC$6:$BC$53,INDEX(T_Equipos[Grupo],MATCH(BD19,T_Equipos[NombreEquipo],0)))</f>
        <v>3</v>
      </c>
      <c r="CH19" s="757" t="str">
        <f ca="1">IF(COUNTIFS($CG$6:$CG$53,CG19,$BC$6:$BC$53,INDEX(T_Equipos[Grupo],MATCH(BD19,T_Equipos[NombreEquipo],0)))=1,"-","P."&amp;CG19&amp;" ("&amp;COUNTIFS($CG$6:$CG$53,CG19,$BC$6:$BC$53,INDEX(T_Equipos[Grupo],MATCH(BD19,T_Equipos[NombreEquipo],0)))&amp;")")</f>
        <v>P.3 (2)</v>
      </c>
      <c r="CI19" s="758">
        <f t="shared" ca="1" si="44"/>
        <v>0</v>
      </c>
      <c r="CJ19" s="758">
        <f t="shared" ca="1" si="45"/>
        <v>0</v>
      </c>
      <c r="CK19" s="758">
        <f t="shared" ca="1" si="46"/>
        <v>0</v>
      </c>
      <c r="CL19" s="758">
        <f t="shared" ca="1" si="47"/>
        <v>0</v>
      </c>
      <c r="CM19" s="758">
        <f ca="1">CG19+COUNTIFS($CH$6:$CH$53,CH19,$CL$6:CL$53,"&gt;"&amp;CL19,$BC$6:$BC$53,INDEX(T_Equipos[Grupo],MATCH(BD19,T_Equipos[NombreEquipo],0)))</f>
        <v>3</v>
      </c>
      <c r="CN19" s="757" t="str">
        <f ca="1">IF(COUNTIFS($CM$6:$CM$53,CM19,$BC$6:$BC$53,INDEX(T_Equipos[Grupo],MATCH(BD19,T_Equipos[NombreEquipo],0)))=1,"-","P."&amp;CM19&amp;" ("&amp;COUNTIFS($CM$6:$CM$53,CM19,$BC$6:$BC$53,INDEX(T_Equipos[Grupo],MATCH(BD19,T_Equipos[NombreEquipo],0)))&amp;")")</f>
        <v>P.3 (2)</v>
      </c>
      <c r="CO19" s="758">
        <f t="shared" ca="1" si="48"/>
        <v>0</v>
      </c>
      <c r="CP19" s="758">
        <f t="shared" ca="1" si="49"/>
        <v>0</v>
      </c>
      <c r="CQ19" s="758">
        <f t="shared" ca="1" si="50"/>
        <v>0</v>
      </c>
      <c r="CR19" s="758">
        <f ca="1">CM19+COUNTIFS($CN$6:$CN$53,CN19,$CQ$6:CQ$53,"&gt;"&amp;CQ19,$BC$6:$BC$53,INDEX(T_Equipos[Grupo],MATCH(BD19,T_Equipos[NombreEquipo],0)))</f>
        <v>3</v>
      </c>
      <c r="CS19" s="757" t="str">
        <f ca="1">IF(COUNTIFS($CR$6:$CR$53,CR19,$BC$6:$BC$53,INDEX(T_Equipos[Grupo],MATCH(BD19,T_Equipos[NombreEquipo],0)))=1,"-","P."&amp;CR19&amp;" ("&amp;COUNTIFS($CR$6:$CR$53,CR19,$BC$6:$BC$53,INDEX(T_Equipos[Grupo],MATCH(BD19,T_Equipos[NombreEquipo],0)))&amp;")")</f>
        <v>P.3 (2)</v>
      </c>
      <c r="CT19" s="758">
        <f t="shared" ca="1" si="51"/>
        <v>0</v>
      </c>
      <c r="CU19" s="758">
        <f ca="1">CR19+COUNTIFS($CS$6:$CS$53,CS19,$CT$6:CT$53,"&gt;"&amp;CT19,$BC$6:$BC$53,INDEX(T_Equipos[Grupo],MATCH(BD19,T_Equipos[NombreEquipo],0)))</f>
        <v>3</v>
      </c>
      <c r="CV19" s="757" t="str">
        <f ca="1">IF(COUNTIFS($CU$6:$CU$53,CU19,$BC$6:$BC$53,INDEX(T_Equipos[Grupo],MATCH(BD19,T_Equipos[NombreEquipo],0)))=1,"-","P."&amp;CU19&amp;" ("&amp;COUNTIFS($CU$6:$CU$53,CU19,$BC$6:$BC$53,INDEX(T_Equipos[Grupo],MATCH(BD19,T_Equipos[NombreEquipo],0)))&amp;")")</f>
        <v>P.3 (2)</v>
      </c>
      <c r="CW19" s="757">
        <f t="shared" ca="1" si="30"/>
        <v>-3</v>
      </c>
      <c r="CX19" s="757">
        <f ca="1">CU19+COUNTIFS($CV$6:$CV$53,CV19,$CW$6:CW$53,"&gt;"&amp;CW19,$BC$6:$BC$53,INDEX(T_Equipos[Grupo],MATCH(BD19,T_Equipos[NombreEquipo],0)))</f>
        <v>4</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4</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4</v>
      </c>
      <c r="DE19" s="756"/>
      <c r="DF19" s="756">
        <f t="shared" ca="1" si="52"/>
        <v>4</v>
      </c>
      <c r="DG19" s="756" t="str">
        <f ca="1">IF(DB19="-","-",COUNTIFS(DF$6:DF$53,"&lt;"&amp;DF19,$BC$6:$BC$53,INDEX(T_Equipos[Grupo],MATCH(BD19,T_Equipos[NombreEquipo],0))))</f>
        <v>-</v>
      </c>
      <c r="DH19" s="756">
        <f ca="1">DA19+COUNTIFS(DB$6:DB$53,DB19,DG$6:DG$53,"&lt;"&amp;DG19,$BC$6:$BC$53,INDEX(T_Equipos[Grupo],MATCH(BD19,T_Equipos[NombreEquipo],0)))</f>
        <v>4</v>
      </c>
      <c r="DI19" s="744"/>
      <c r="DJ19" s="744">
        <f t="shared" ca="1" si="53"/>
        <v>2</v>
      </c>
      <c r="DK19" s="744">
        <f t="shared" ca="1" si="24"/>
        <v>4</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P.2 (2)</v>
      </c>
      <c r="F20" s="744" t="str">
        <f t="shared" ref="F20:F25" ca="1" si="75">IF(D20="Pendiente","-",INDEX($BT$6:$BT$53,MATCH($AF20,$BD$6:$BD$53,0)))</f>
        <v>P.2 (2)</v>
      </c>
      <c r="G20" s="744"/>
      <c r="H20" s="744" t="str">
        <f t="shared" ref="H20:H25" ca="1" si="76">IF(D20="Pendiente","-",INDEX($BZ$6:$BZ$53,MATCH($AA20,$BD$6:$BD$53,0)))</f>
        <v>P.2 (2)</v>
      </c>
      <c r="I20" s="744" t="str">
        <f t="shared" ref="I20:I25" ca="1" si="77">IF(D20="Pendiente","-",INDEX($BZ$6:$BZ$53,MATCH($AF20,$BD$6:$BD$53,0)))</f>
        <v>P.2 (2)</v>
      </c>
      <c r="J20" s="744"/>
      <c r="K20" s="744" t="str">
        <f t="shared" ref="K20:K25" ca="1" si="78">IF(D20="Pendiente","-",INDEX($CE$6:$CE$53,MATCH($AA20,$BD$6:$BD$53,0)))</f>
        <v>P.2 (2)</v>
      </c>
      <c r="L20" s="744" t="str">
        <f t="shared" ref="L20:L25" ca="1" si="79">IF(D20="Pendiente","-",INDEX($CE$6:$CE$53,MATCH($AF20,$BD$6:$BD$53,0)))</f>
        <v>P.2 (2)</v>
      </c>
      <c r="M20" s="744"/>
      <c r="N20" s="744" t="str">
        <f t="shared" ref="N20:N25" ca="1" si="80">IF(D20="Pendiente","-",INDEX($CH$6:$CH$53,MATCH($AA20,$BD$6:$BD$53,0)))</f>
        <v>P.2 (2)</v>
      </c>
      <c r="O20" s="744" t="str">
        <f t="shared" ref="O20:O25" ca="1" si="81">IF(D20="Pendiente","-",INDEX($CH$6:$CH$53,MATCH($AF20,$BD$6:$BD$53,0)))</f>
        <v>P.2 (2)</v>
      </c>
      <c r="P20" s="744"/>
      <c r="Q20" s="744" t="str">
        <f t="shared" ref="Q20:Q25" ca="1" si="82">IF(D20="Pendiente","-",INDEX($CN$6:$CN$53,MATCH($AA20,$BD$6:$BD$53,0)))</f>
        <v>P.2 (2)</v>
      </c>
      <c r="R20" s="744" t="str">
        <f t="shared" ref="R20:R25" ca="1" si="83">IF(D20="Pendiente","-",INDEX($CN$6:$CN$53,MATCH($AF20,$BD$6:$BD$53,0)))</f>
        <v>P.2 (2)</v>
      </c>
      <c r="S20" s="744"/>
      <c r="T20" s="744" t="str">
        <f t="shared" ref="T20:T25" ca="1" si="84">IF(D20="Pendiente","-",INDEX($CS$6:$CS$53,MATCH($AA20,$BD$6:$BD$53,0)))</f>
        <v>P.2 (2)</v>
      </c>
      <c r="U20" s="744" t="str">
        <f t="shared" ref="U20:U25" ca="1" si="85">IF(D20="Pendiente","-",INDEX($CS$6:$CS$53,MATCH($AF20,$BD$6:$BD$53,0)))</f>
        <v>P.2 (2)</v>
      </c>
      <c r="V20" s="172"/>
      <c r="W20" s="809"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3</v>
      </c>
      <c r="BF20" s="748">
        <f t="shared" ca="1" si="26"/>
        <v>1</v>
      </c>
      <c r="BG20" s="748">
        <f t="shared" ca="1" si="17"/>
        <v>1</v>
      </c>
      <c r="BH20" s="748">
        <f t="shared" ca="1" si="18"/>
        <v>0</v>
      </c>
      <c r="BI20" s="748">
        <f t="shared" ca="1" si="19"/>
        <v>0</v>
      </c>
      <c r="BJ20" s="748">
        <f t="shared" ca="1" si="20"/>
        <v>2</v>
      </c>
      <c r="BK20" s="748">
        <f t="shared" ca="1" si="21"/>
        <v>0</v>
      </c>
      <c r="BL20" s="748">
        <f t="shared" ca="1" si="27"/>
        <v>2</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3</v>
      </c>
      <c r="BS20" s="757">
        <f ca="1">BP20+COUNTIFS($BQ$6:$BQ$53,BQ20,$BR$6:BR$53,"&gt;"&amp;BR20,$BC$6:$BC$53,INDEX(T_Equipos[Grupo],MATCH(BD20,T_Equipos[NombreEquipo],0)))</f>
        <v>1</v>
      </c>
      <c r="BT20" s="757" t="str">
        <f ca="1">IF(COUNTIFS($BS$6:$BS$53,BS20,$BC$6:$BC$53,INDEX(T_Equipos[Grupo],MATCH(BD20,T_Equipos[NombreEquipo],0)))=1,"-","P."&amp;BS20&amp;" ("&amp;COUNTIFS($BS$6:$BS$53,BS20,$BC$6:$BC$53,INDEX(T_Equipos[Grupo],MATCH(BD20,T_Equipos[NombreEquipo],0)))&amp;")")</f>
        <v>P.1 (2)</v>
      </c>
      <c r="BU20" s="758">
        <f t="shared" ca="1" si="36"/>
        <v>0</v>
      </c>
      <c r="BV20" s="758">
        <f t="shared" ca="1" si="37"/>
        <v>0</v>
      </c>
      <c r="BW20" s="758">
        <f t="shared" ca="1" si="38"/>
        <v>0</v>
      </c>
      <c r="BX20" s="758">
        <f t="shared" ca="1" si="39"/>
        <v>0</v>
      </c>
      <c r="BY20" s="758">
        <f ca="1">BS20+COUNTIFS($BT$6:$BT$53,BT20,$BX$6:BX$53,"&gt;"&amp;BX20,$BC$6:$BC$53,INDEX(T_Equipos[Grupo],MATCH(BD20,T_Equipos[NombreEquipo],0)))</f>
        <v>1</v>
      </c>
      <c r="BZ20" s="757" t="str">
        <f ca="1">IF(COUNTIFS($BY$6:$BY$53,BY20,$BC$6:$BC$53,INDEX(T_Equipos[Grupo],MATCH(BD20,T_Equipos[NombreEquipo],0)))=1,"-","P."&amp;BY20&amp;" ("&amp;COUNTIFS($BY$6:$BY$53,BY20,$BC$6:$BC$53,INDEX(T_Equipos[Grupo],MATCH(BD20,T_Equipos[NombreEquipo],0)))&amp;")")</f>
        <v>P.1 (2)</v>
      </c>
      <c r="CA20" s="758">
        <f t="shared" ca="1" si="40"/>
        <v>0</v>
      </c>
      <c r="CB20" s="758">
        <f t="shared" ca="1" si="41"/>
        <v>0</v>
      </c>
      <c r="CC20" s="758">
        <f t="shared" ca="1" si="42"/>
        <v>0</v>
      </c>
      <c r="CD20" s="758">
        <f ca="1">BY20+COUNTIFS($BZ$6:$BZ$53,BZ20,$CC$6:CC$53,"&gt;"&amp;CC20,$BC$6:$BC$53,INDEX(T_Equipos[Grupo],MATCH(BD20,T_Equipos[NombreEquipo],0)))</f>
        <v>1</v>
      </c>
      <c r="CE20" s="757" t="str">
        <f ca="1">IF(COUNTIFS($CD$6:$CD$53,CD20,$BC$6:$BC$53,INDEX(T_Equipos[Grupo],MATCH(BD20,T_Equipos[NombreEquipo],0)))=1,"-","P."&amp;CD20&amp;" ("&amp;COUNTIFS($CD$6:$CD$53,CD20,$BC$6:$BC$53,INDEX(T_Equipos[Grupo],MATCH(BD20,T_Equipos[NombreEquipo],0)))&amp;")")</f>
        <v>P.1 (2)</v>
      </c>
      <c r="CF20" s="758">
        <f t="shared" ca="1" si="43"/>
        <v>0</v>
      </c>
      <c r="CG20" s="758">
        <f ca="1">CD20+COUNTIFS($CE$6:$CE$53,CE20,$CF$6:CF$53,"&gt;"&amp;CF20,$BC$6:$BC$53,INDEX(T_Equipos[Grupo],MATCH(BD20,T_Equipos[NombreEquipo],0)))</f>
        <v>1</v>
      </c>
      <c r="CH20" s="757" t="str">
        <f ca="1">IF(COUNTIFS($CG$6:$CG$53,CG20,$BC$6:$BC$53,INDEX(T_Equipos[Grupo],MATCH(BD20,T_Equipos[NombreEquipo],0)))=1,"-","P."&amp;CG20&amp;" ("&amp;COUNTIFS($CG$6:$CG$53,CG20,$BC$6:$BC$53,INDEX(T_Equipos[Grupo],MATCH(BD20,T_Equipos[NombreEquipo],0)))&amp;")")</f>
        <v>P.1 (2)</v>
      </c>
      <c r="CI20" s="758">
        <f t="shared" ca="1" si="44"/>
        <v>0</v>
      </c>
      <c r="CJ20" s="758">
        <f t="shared" ca="1" si="45"/>
        <v>0</v>
      </c>
      <c r="CK20" s="758">
        <f t="shared" ca="1" si="46"/>
        <v>0</v>
      </c>
      <c r="CL20" s="758">
        <f t="shared" ca="1" si="47"/>
        <v>0</v>
      </c>
      <c r="CM20" s="758">
        <f ca="1">CG20+COUNTIFS($CH$6:$CH$53,CH20,$CL$6:CL$53,"&gt;"&amp;CL20,$BC$6:$BC$53,INDEX(T_Equipos[Grupo],MATCH(BD20,T_Equipos[NombreEquipo],0)))</f>
        <v>1</v>
      </c>
      <c r="CN20" s="757" t="str">
        <f ca="1">IF(COUNTIFS($CM$6:$CM$53,CM20,$BC$6:$BC$53,INDEX(T_Equipos[Grupo],MATCH(BD20,T_Equipos[NombreEquipo],0)))=1,"-","P."&amp;CM20&amp;" ("&amp;COUNTIFS($CM$6:$CM$53,CM20,$BC$6:$BC$53,INDEX(T_Equipos[Grupo],MATCH(BD20,T_Equipos[NombreEquipo],0)))&amp;")")</f>
        <v>P.1 (2)</v>
      </c>
      <c r="CO20" s="758">
        <f t="shared" ca="1" si="48"/>
        <v>0</v>
      </c>
      <c r="CP20" s="758">
        <f t="shared" ca="1" si="49"/>
        <v>0</v>
      </c>
      <c r="CQ20" s="758">
        <f t="shared" ca="1" si="50"/>
        <v>0</v>
      </c>
      <c r="CR20" s="758">
        <f ca="1">CM20+COUNTIFS($CN$6:$CN$53,CN20,$CQ$6:CQ$53,"&gt;"&amp;CQ20,$BC$6:$BC$53,INDEX(T_Equipos[Grupo],MATCH(BD20,T_Equipos[NombreEquipo],0)))</f>
        <v>1</v>
      </c>
      <c r="CS20" s="757" t="str">
        <f ca="1">IF(COUNTIFS($CR$6:$CR$53,CR20,$BC$6:$BC$53,INDEX(T_Equipos[Grupo],MATCH(BD20,T_Equipos[NombreEquipo],0)))=1,"-","P."&amp;CR20&amp;" ("&amp;COUNTIFS($CR$6:$CR$53,CR20,$BC$6:$BC$53,INDEX(T_Equipos[Grupo],MATCH(BD20,T_Equipos[NombreEquipo],0)))&amp;")")</f>
        <v>P.1 (2)</v>
      </c>
      <c r="CT20" s="758">
        <f t="shared" ca="1" si="51"/>
        <v>0</v>
      </c>
      <c r="CU20" s="758">
        <f ca="1">CR20+COUNTIFS($CS$6:$CS$53,CS20,$CT$6:CT$53,"&gt;"&amp;CT20,$BC$6:$BC$53,INDEX(T_Equipos[Grupo],MATCH(BD20,T_Equipos[NombreEquipo],0)))</f>
        <v>1</v>
      </c>
      <c r="CV20" s="757" t="str">
        <f ca="1">IF(COUNTIFS($CU$6:$CU$53,CU20,$BC$6:$BC$53,INDEX(T_Equipos[Grupo],MATCH(BD20,T_Equipos[NombreEquipo],0)))=1,"-","P."&amp;CU20&amp;" ("&amp;COUNTIFS($CU$6:$CU$53,CU20,$BC$6:$BC$53,INDEX(T_Equipos[Grupo],MATCH(BD20,T_Equipos[NombreEquipo],0)))&amp;")")</f>
        <v>P.1 (2)</v>
      </c>
      <c r="CW20" s="757">
        <f t="shared" ca="1" si="30"/>
        <v>2</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4</v>
      </c>
      <c r="DL20" s="744">
        <f t="shared" ca="1" si="33"/>
        <v>1</v>
      </c>
      <c r="DM20" s="738" t="str">
        <f t="shared" ca="1" si="34"/>
        <v>3.1</v>
      </c>
      <c r="DN20" s="744" cm="1">
        <f t="array" aca="1" ref="DN20" ca="1">OFFSET(Horarios!$P$3,DJ20-1,0,DL20,1)</f>
        <v>3</v>
      </c>
      <c r="DO20" s="744"/>
      <c r="DP20" s="744" t="s">
        <v>92</v>
      </c>
      <c r="DQ20" s="744" t="str">
        <f t="shared" ca="1" si="35"/>
        <v>Turquía</v>
      </c>
      <c r="DR20" s="744"/>
      <c r="DS20" s="744"/>
      <c r="DT20" s="744" t="str">
        <f t="shared" ca="1" si="15"/>
        <v>Brasil-Marruecos</v>
      </c>
      <c r="DU20" s="744"/>
      <c r="DV20" s="744"/>
      <c r="DW20" s="8"/>
    </row>
    <row r="21" spans="1:127" ht="16.05"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09"/>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0</v>
      </c>
      <c r="BF21" s="748">
        <f t="shared" ca="1" si="26"/>
        <v>1</v>
      </c>
      <c r="BG21" s="748">
        <f t="shared" ca="1" si="17"/>
        <v>0</v>
      </c>
      <c r="BH21" s="748">
        <f t="shared" ca="1" si="18"/>
        <v>0</v>
      </c>
      <c r="BI21" s="748">
        <f t="shared" ca="1" si="19"/>
        <v>1</v>
      </c>
      <c r="BJ21" s="748">
        <f t="shared" ca="1" si="20"/>
        <v>0</v>
      </c>
      <c r="BK21" s="748">
        <f t="shared" ca="1" si="21"/>
        <v>2</v>
      </c>
      <c r="BL21" s="748">
        <f t="shared" ca="1" si="27"/>
        <v>-2</v>
      </c>
      <c r="BM21" s="748" t="str">
        <f t="shared" ca="1" si="22"/>
        <v>3D</v>
      </c>
      <c r="BN21" s="748" t="str">
        <f t="shared" ca="1" si="23"/>
        <v>3D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0</v>
      </c>
      <c r="BS21" s="757">
        <f ca="1">BP21+COUNTIFS($BQ$6:$BQ$53,BQ21,$BR$6:BR$53,"&gt;"&amp;BR21,$BC$6:$BC$53,INDEX(T_Equipos[Grupo],MATCH(BD21,T_Equipos[NombreEquipo],0)))</f>
        <v>3</v>
      </c>
      <c r="BT21" s="757" t="str">
        <f ca="1">IF(COUNTIFS($BS$6:$BS$53,BS21,$BC$6:$BC$53,INDEX(T_Equipos[Grupo],MATCH(BD21,T_Equipos[NombreEquipo],0)))=1,"-","P."&amp;BS21&amp;" ("&amp;COUNTIFS($BS$6:$BS$53,BS21,$BC$6:$BC$53,INDEX(T_Equipos[Grupo],MATCH(BD21,T_Equipos[NombreEquipo],0)))&amp;")")</f>
        <v>P.3 (2)</v>
      </c>
      <c r="BU21" s="758">
        <f t="shared" ca="1" si="36"/>
        <v>0</v>
      </c>
      <c r="BV21" s="758">
        <f t="shared" ca="1" si="37"/>
        <v>0</v>
      </c>
      <c r="BW21" s="758">
        <f t="shared" ca="1" si="38"/>
        <v>0</v>
      </c>
      <c r="BX21" s="758">
        <f t="shared" ca="1" si="39"/>
        <v>0</v>
      </c>
      <c r="BY21" s="758">
        <f ca="1">BS21+COUNTIFS($BT$6:$BT$53,BT21,$BX$6:BX$53,"&gt;"&amp;BX21,$BC$6:$BC$53,INDEX(T_Equipos[Grupo],MATCH(BD21,T_Equipos[NombreEquipo],0)))</f>
        <v>3</v>
      </c>
      <c r="BZ21" s="757" t="str">
        <f ca="1">IF(COUNTIFS($BY$6:$BY$53,BY21,$BC$6:$BC$53,INDEX(T_Equipos[Grupo],MATCH(BD21,T_Equipos[NombreEquipo],0)))=1,"-","P."&amp;BY21&amp;" ("&amp;COUNTIFS($BY$6:$BY$53,BY21,$BC$6:$BC$53,INDEX(T_Equipos[Grupo],MATCH(BD21,T_Equipos[NombreEquipo],0)))&amp;")")</f>
        <v>P.3 (2)</v>
      </c>
      <c r="CA21" s="758">
        <f t="shared" ca="1" si="40"/>
        <v>0</v>
      </c>
      <c r="CB21" s="758">
        <f t="shared" ca="1" si="41"/>
        <v>0</v>
      </c>
      <c r="CC21" s="758">
        <f t="shared" ca="1" si="42"/>
        <v>0</v>
      </c>
      <c r="CD21" s="758">
        <f ca="1">BY21+COUNTIFS($BZ$6:$BZ$53,BZ21,$CC$6:CC$53,"&gt;"&amp;CC21,$BC$6:$BC$53,INDEX(T_Equipos[Grupo],MATCH(BD21,T_Equipos[NombreEquipo],0)))</f>
        <v>3</v>
      </c>
      <c r="CE21" s="757" t="str">
        <f ca="1">IF(COUNTIFS($CD$6:$CD$53,CD21,$BC$6:$BC$53,INDEX(T_Equipos[Grupo],MATCH(BD21,T_Equipos[NombreEquipo],0)))=1,"-","P."&amp;CD21&amp;" ("&amp;COUNTIFS($CD$6:$CD$53,CD21,$BC$6:$BC$53,INDEX(T_Equipos[Grupo],MATCH(BD21,T_Equipos[NombreEquipo],0)))&amp;")")</f>
        <v>P.3 (2)</v>
      </c>
      <c r="CF21" s="758">
        <f t="shared" ca="1" si="43"/>
        <v>0</v>
      </c>
      <c r="CG21" s="758">
        <f ca="1">CD21+COUNTIFS($CE$6:$CE$53,CE21,$CF$6:CF$53,"&gt;"&amp;CF21,$BC$6:$BC$53,INDEX(T_Equipos[Grupo],MATCH(BD21,T_Equipos[NombreEquipo],0)))</f>
        <v>3</v>
      </c>
      <c r="CH21" s="757" t="str">
        <f ca="1">IF(COUNTIFS($CG$6:$CG$53,CG21,$BC$6:$BC$53,INDEX(T_Equipos[Grupo],MATCH(BD21,T_Equipos[NombreEquipo],0)))=1,"-","P."&amp;CG21&amp;" ("&amp;COUNTIFS($CG$6:$CG$53,CG21,$BC$6:$BC$53,INDEX(T_Equipos[Grupo],MATCH(BD21,T_Equipos[NombreEquipo],0)))&amp;")")</f>
        <v>P.3 (2)</v>
      </c>
      <c r="CI21" s="758">
        <f t="shared" ca="1" si="44"/>
        <v>0</v>
      </c>
      <c r="CJ21" s="758">
        <f t="shared" ca="1" si="45"/>
        <v>0</v>
      </c>
      <c r="CK21" s="758">
        <f t="shared" ca="1" si="46"/>
        <v>0</v>
      </c>
      <c r="CL21" s="758">
        <f t="shared" ca="1" si="47"/>
        <v>0</v>
      </c>
      <c r="CM21" s="758">
        <f ca="1">CG21+COUNTIFS($CH$6:$CH$53,CH21,$CL$6:CL$53,"&gt;"&amp;CL21,$BC$6:$BC$53,INDEX(T_Equipos[Grupo],MATCH(BD21,T_Equipos[NombreEquipo],0)))</f>
        <v>3</v>
      </c>
      <c r="CN21" s="757" t="str">
        <f ca="1">IF(COUNTIFS($CM$6:$CM$53,CM21,$BC$6:$BC$53,INDEX(T_Equipos[Grupo],MATCH(BD21,T_Equipos[NombreEquipo],0)))=1,"-","P."&amp;CM21&amp;" ("&amp;COUNTIFS($CM$6:$CM$53,CM21,$BC$6:$BC$53,INDEX(T_Equipos[Grupo],MATCH(BD21,T_Equipos[NombreEquipo],0)))&amp;")")</f>
        <v>P.3 (2)</v>
      </c>
      <c r="CO21" s="758">
        <f t="shared" ca="1" si="48"/>
        <v>0</v>
      </c>
      <c r="CP21" s="758">
        <f t="shared" ca="1" si="49"/>
        <v>0</v>
      </c>
      <c r="CQ21" s="758">
        <f t="shared" ca="1" si="50"/>
        <v>0</v>
      </c>
      <c r="CR21" s="758">
        <f ca="1">CM21+COUNTIFS($CN$6:$CN$53,CN21,$CQ$6:CQ$53,"&gt;"&amp;CQ21,$BC$6:$BC$53,INDEX(T_Equipos[Grupo],MATCH(BD21,T_Equipos[NombreEquipo],0)))</f>
        <v>3</v>
      </c>
      <c r="CS21" s="757" t="str">
        <f ca="1">IF(COUNTIFS($CR$6:$CR$53,CR21,$BC$6:$BC$53,INDEX(T_Equipos[Grupo],MATCH(BD21,T_Equipos[NombreEquipo],0)))=1,"-","P."&amp;CR21&amp;" ("&amp;COUNTIFS($CR$6:$CR$53,CR21,$BC$6:$BC$53,INDEX(T_Equipos[Grupo],MATCH(BD21,T_Equipos[NombreEquipo],0)))&amp;")")</f>
        <v>P.3 (2)</v>
      </c>
      <c r="CT21" s="758">
        <f t="shared" ca="1" si="51"/>
        <v>0</v>
      </c>
      <c r="CU21" s="758">
        <f ca="1">CR21+COUNTIFS($CS$6:$CS$53,CS21,$CT$6:CT$53,"&gt;"&amp;CT21,$BC$6:$BC$53,INDEX(T_Equipos[Grupo],MATCH(BD21,T_Equipos[NombreEquipo],0)))</f>
        <v>3</v>
      </c>
      <c r="CV21" s="757" t="str">
        <f ca="1">IF(COUNTIFS($CU$6:$CU$53,CU21,$BC$6:$BC$53,INDEX(T_Equipos[Grupo],MATCH(BD21,T_Equipos[NombreEquipo],0)))=1,"-","P."&amp;CU21&amp;" ("&amp;COUNTIFS($CU$6:$CU$53,CU21,$BC$6:$BC$53,INDEX(T_Equipos[Grupo],MATCH(BD21,T_Equipos[NombreEquipo],0)))&amp;")")</f>
        <v>P.3 (2)</v>
      </c>
      <c r="CW21" s="757">
        <f t="shared" ca="1" si="30"/>
        <v>-2</v>
      </c>
      <c r="CX21" s="757">
        <f ca="1">CU21+COUNTIFS($CV$6:$CV$53,CV21,$CW$6:CW$53,"&gt;"&amp;CW21,$BC$6:$BC$53,INDEX(T_Equipos[Grupo],MATCH(BD21,T_Equipos[NombreEquipo],0)))</f>
        <v>3</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3</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3</v>
      </c>
      <c r="DE21" s="756"/>
      <c r="DF21" s="756">
        <f t="shared" ca="1" si="52"/>
        <v>3</v>
      </c>
      <c r="DG21" s="756" t="str">
        <f ca="1">IF(DB21="-","-",COUNTIFS(DF$6:DF$53,"&lt;"&amp;DF21,$BC$6:$BC$53,INDEX(T_Equipos[Grupo],MATCH(BD21,T_Equipos[NombreEquipo],0))))</f>
        <v>-</v>
      </c>
      <c r="DH21" s="756">
        <f ca="1">DA21+COUNTIFS(DB$6:DB$53,DB21,DG$6:DG$53,"&lt;"&amp;DG21,$BC$6:$BC$53,INDEX(T_Equipos[Grupo],MATCH(BD21,T_Equipos[NombreEquipo],0)))</f>
        <v>3</v>
      </c>
      <c r="DI21" s="744"/>
      <c r="DJ21" s="744">
        <f t="shared" ca="1" si="53"/>
        <v>4</v>
      </c>
      <c r="DK21" s="744">
        <f t="shared" ca="1" si="24"/>
        <v>4</v>
      </c>
      <c r="DL21" s="744">
        <f t="shared" ca="1" si="33"/>
        <v>1</v>
      </c>
      <c r="DM21" s="738" t="str">
        <f t="shared" ca="1" si="34"/>
        <v>4.1</v>
      </c>
      <c r="DN21" s="744" cm="1">
        <f t="array" aca="1" ref="DN21" ca="1">OFFSET(Horarios!$P$3,DJ21-1,0,DL21,1)</f>
        <v>4</v>
      </c>
      <c r="DO21" s="744"/>
      <c r="DP21" s="744" t="s">
        <v>660</v>
      </c>
      <c r="DQ21" s="744" t="str">
        <f t="shared" ca="1" si="35"/>
        <v>Paraguay</v>
      </c>
      <c r="DR21" s="744"/>
      <c r="DS21" s="744"/>
      <c r="DT21" s="744" t="str">
        <f t="shared" ca="1" si="15"/>
        <v>Haití-Escocia</v>
      </c>
      <c r="DU21" s="744"/>
      <c r="DV21" s="744"/>
      <c r="DW21" s="8"/>
    </row>
    <row r="22" spans="1:127" ht="16.05" customHeight="1">
      <c r="A22" s="745" t="str">
        <f ca="1">+Equipos!B11</f>
        <v>Marruecos</v>
      </c>
      <c r="B22" s="742"/>
      <c r="C22" s="746"/>
      <c r="D22" s="744" t="str">
        <f t="shared" si="73"/>
        <v>Pendiente</v>
      </c>
      <c r="E22" s="744" t="str">
        <f t="shared" si="74"/>
        <v>-</v>
      </c>
      <c r="F22" s="744" t="str">
        <f t="shared" si="75"/>
        <v>-</v>
      </c>
      <c r="G22" s="744"/>
      <c r="H22" s="744" t="str">
        <f t="shared" si="76"/>
        <v>-</v>
      </c>
      <c r="I22" s="744" t="str">
        <f t="shared" si="77"/>
        <v>-</v>
      </c>
      <c r="J22" s="744"/>
      <c r="K22" s="744" t="str">
        <f t="shared" si="78"/>
        <v>-</v>
      </c>
      <c r="L22" s="744" t="str">
        <f t="shared" si="79"/>
        <v>-</v>
      </c>
      <c r="M22" s="744"/>
      <c r="N22" s="744" t="str">
        <f t="shared" si="80"/>
        <v>-</v>
      </c>
      <c r="O22" s="744" t="str">
        <f t="shared" si="81"/>
        <v>-</v>
      </c>
      <c r="P22" s="744"/>
      <c r="Q22" s="744" t="str">
        <f t="shared" si="82"/>
        <v>-</v>
      </c>
      <c r="R22" s="744" t="str">
        <f t="shared" si="83"/>
        <v>-</v>
      </c>
      <c r="S22" s="744"/>
      <c r="T22" s="744" t="str">
        <f t="shared" si="84"/>
        <v>-</v>
      </c>
      <c r="U22" s="744" t="str">
        <f t="shared" si="85"/>
        <v>-</v>
      </c>
      <c r="V22" s="172"/>
      <c r="W22" s="809"/>
      <c r="X22" s="189">
        <f ca="1">Horarios!C22</f>
        <v>46193</v>
      </c>
      <c r="Y22" s="190">
        <f ca="1">Horarios!C22</f>
        <v>46193</v>
      </c>
      <c r="Z22" s="191" t="str">
        <f>$Z$6</f>
        <v>J2</v>
      </c>
      <c r="AA22" s="192" t="str">
        <f ca="1">A24</f>
        <v>Escocia</v>
      </c>
      <c r="AB22" s="478" t="e" cm="1" vm="12">
        <f t="array" aca="1" ref="AB22" ca="1">Ver_flag_local</f>
        <v>#VALUE!</v>
      </c>
      <c r="AC22" s="193"/>
      <c r="AD22" s="194"/>
      <c r="AE22" s="483" t="e" cm="1" vm="10">
        <f t="array" aca="1" ref="AE22" ca="1">Ver_flag_visit</f>
        <v>#VALUE!</v>
      </c>
      <c r="AF22" s="195" t="str">
        <f ca="1">A22</f>
        <v>Marruecos</v>
      </c>
      <c r="AG22" s="413">
        <f t="shared" si="86"/>
        <v>0</v>
      </c>
      <c r="AH22" s="196">
        <v>30</v>
      </c>
      <c r="AI22" s="19" t="str">
        <f>AJ22&amp;$B$20</f>
        <v>1C</v>
      </c>
      <c r="AJ22" s="211">
        <v>1</v>
      </c>
      <c r="AK22" s="488" t="e" cm="1" vm="12">
        <f t="array" aca="1" ref="AK22" ca="1">Ver_flag_visit</f>
        <v>#VALUE!</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4"/>
      <c r="BC22" s="756" t="str">
        <f ca="1">+INDEX(T_Equipos[Grupo],MATCH(WORLDCUP!BD22,T_Equipos[NombreEquipo],0))</f>
        <v>E</v>
      </c>
      <c r="BD22" s="744" t="str">
        <f ca="1">+Equipos!B18</f>
        <v>Alemania</v>
      </c>
      <c r="BE22" s="748">
        <f t="shared" ca="1" si="25"/>
        <v>3</v>
      </c>
      <c r="BF22" s="748">
        <f t="shared" ca="1" si="26"/>
        <v>1</v>
      </c>
      <c r="BG22" s="748">
        <f t="shared" ca="1" si="17"/>
        <v>1</v>
      </c>
      <c r="BH22" s="748">
        <f t="shared" ca="1" si="18"/>
        <v>0</v>
      </c>
      <c r="BI22" s="748">
        <f t="shared" ca="1" si="19"/>
        <v>0</v>
      </c>
      <c r="BJ22" s="748">
        <f t="shared" ca="1" si="20"/>
        <v>7</v>
      </c>
      <c r="BK22" s="748">
        <f t="shared" ca="1" si="21"/>
        <v>1</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3</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0</v>
      </c>
      <c r="BV22" s="758">
        <f t="shared" ca="1" si="37"/>
        <v>0</v>
      </c>
      <c r="BW22" s="758">
        <f t="shared" ca="1" si="38"/>
        <v>0</v>
      </c>
      <c r="BX22" s="758">
        <f t="shared" ca="1" si="39"/>
        <v>0</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P.1 (2)</v>
      </c>
      <c r="CA22" s="758">
        <f t="shared" ca="1" si="40"/>
        <v>0</v>
      </c>
      <c r="CB22" s="758">
        <f t="shared" ca="1" si="41"/>
        <v>0</v>
      </c>
      <c r="CC22" s="758">
        <f t="shared" ca="1" si="42"/>
        <v>0</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P.1 (2)</v>
      </c>
      <c r="CF22" s="758">
        <f t="shared" ca="1" si="43"/>
        <v>0</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P.1 (2)</v>
      </c>
      <c r="CI22" s="758">
        <f t="shared" ca="1" si="44"/>
        <v>0</v>
      </c>
      <c r="CJ22" s="758">
        <f t="shared" ca="1" si="45"/>
        <v>0</v>
      </c>
      <c r="CK22" s="758">
        <f t="shared" ca="1" si="46"/>
        <v>0</v>
      </c>
      <c r="CL22" s="758">
        <f t="shared" ca="1" si="47"/>
        <v>0</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P.1 (2)</v>
      </c>
      <c r="CO22" s="758">
        <f t="shared" ca="1" si="48"/>
        <v>0</v>
      </c>
      <c r="CP22" s="758">
        <f t="shared" ca="1" si="49"/>
        <v>0</v>
      </c>
      <c r="CQ22" s="758">
        <f t="shared" ca="1" si="50"/>
        <v>0</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P.1 (2)</v>
      </c>
      <c r="CT22" s="758">
        <f t="shared" ca="1" si="51"/>
        <v>0</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P.1 (2)</v>
      </c>
      <c r="CW22" s="757">
        <f t="shared" ca="1" si="30"/>
        <v>6</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4</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05" customHeight="1">
      <c r="A23" s="745" t="str">
        <f ca="1">+Equipos!B12</f>
        <v>Haití</v>
      </c>
      <c r="B23" s="742"/>
      <c r="C23" s="744"/>
      <c r="D23" s="744" t="str">
        <f t="shared" si="73"/>
        <v>Pendiente</v>
      </c>
      <c r="E23" s="744" t="str">
        <f t="shared" si="74"/>
        <v>-</v>
      </c>
      <c r="F23" s="744" t="str">
        <f t="shared" si="75"/>
        <v>-</v>
      </c>
      <c r="G23" s="744"/>
      <c r="H23" s="744" t="str">
        <f t="shared" si="76"/>
        <v>-</v>
      </c>
      <c r="I23" s="744" t="str">
        <f t="shared" si="77"/>
        <v>-</v>
      </c>
      <c r="J23" s="744"/>
      <c r="K23" s="744" t="str">
        <f t="shared" si="78"/>
        <v>-</v>
      </c>
      <c r="L23" s="744" t="str">
        <f t="shared" si="79"/>
        <v>-</v>
      </c>
      <c r="M23" s="744"/>
      <c r="N23" s="744" t="str">
        <f t="shared" si="80"/>
        <v>-</v>
      </c>
      <c r="O23" s="744" t="str">
        <f t="shared" si="81"/>
        <v>-</v>
      </c>
      <c r="P23" s="744"/>
      <c r="Q23" s="744" t="str">
        <f t="shared" si="82"/>
        <v>-</v>
      </c>
      <c r="R23" s="744" t="str">
        <f t="shared" si="83"/>
        <v>-</v>
      </c>
      <c r="S23" s="744"/>
      <c r="T23" s="744" t="str">
        <f t="shared" si="84"/>
        <v>-</v>
      </c>
      <c r="U23" s="744" t="str">
        <f t="shared" si="85"/>
        <v>-</v>
      </c>
      <c r="V23" s="172"/>
      <c r="W23" s="809"/>
      <c r="X23" s="189">
        <f ca="1">Horarios!C23</f>
        <v>46193.104166666664</v>
      </c>
      <c r="Y23" s="190">
        <f ca="1">Horarios!C23</f>
        <v>46193.104166666664</v>
      </c>
      <c r="Z23" s="191" t="str">
        <f>$Z$6</f>
        <v>J2</v>
      </c>
      <c r="AA23" s="192" t="str">
        <f ca="1">A21</f>
        <v>Brasil</v>
      </c>
      <c r="AB23" s="478" t="e" cm="1" vm="9">
        <f t="array" aca="1" ref="AB23" ca="1">Ver_flag_local</f>
        <v>#VALUE!</v>
      </c>
      <c r="AC23" s="193"/>
      <c r="AD23" s="194"/>
      <c r="AE23" s="483" t="e" cm="1" vm="11">
        <f t="array" aca="1" ref="AE23" ca="1">Ver_flag_visit</f>
        <v>#VALUE!</v>
      </c>
      <c r="AF23" s="195" t="str">
        <f ca="1">A23</f>
        <v>Haití</v>
      </c>
      <c r="AG23" s="413">
        <f t="shared" si="86"/>
        <v>0</v>
      </c>
      <c r="AH23" s="196">
        <v>29</v>
      </c>
      <c r="AI23" s="19" t="str">
        <f t="shared" ref="AI23:AI25" si="91">AJ23&amp;$B$20</f>
        <v>2C</v>
      </c>
      <c r="AJ23" s="221">
        <v>2</v>
      </c>
      <c r="AK23" s="486" t="e" cm="1" vm="9">
        <f t="array" aca="1" ref="AK23" ca="1">Ver_flag_visit</f>
        <v>#VALUE!</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0</v>
      </c>
      <c r="BF23" s="748">
        <f t="shared" ca="1" si="26"/>
        <v>1</v>
      </c>
      <c r="BG23" s="748">
        <f t="shared" ca="1" si="17"/>
        <v>0</v>
      </c>
      <c r="BH23" s="748">
        <f t="shared" ca="1" si="18"/>
        <v>0</v>
      </c>
      <c r="BI23" s="748">
        <f t="shared" ca="1" si="19"/>
        <v>1</v>
      </c>
      <c r="BJ23" s="748">
        <f t="shared" ca="1" si="20"/>
        <v>1</v>
      </c>
      <c r="BK23" s="748">
        <f t="shared" ca="1" si="21"/>
        <v>7</v>
      </c>
      <c r="BL23" s="748">
        <f t="shared" ca="1" si="27"/>
        <v>-6</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0</v>
      </c>
      <c r="BS23" s="757">
        <f ca="1">BP23+COUNTIFS($BQ$6:$BQ$53,BQ23,$BR$6:BR$53,"&gt;"&amp;BR23,$BC$6:$BC$53,INDEX(T_Equipos[Grupo],MATCH(BD23,T_Equipos[NombreEquipo],0)))</f>
        <v>3</v>
      </c>
      <c r="BT23" s="757" t="str">
        <f ca="1">IF(COUNTIFS($BS$6:$BS$53,BS23,$BC$6:$BC$53,INDEX(T_Equipos[Grupo],MATCH(BD23,T_Equipos[NombreEquipo],0)))=1,"-","P."&amp;BS23&amp;" ("&amp;COUNTIFS($BS$6:$BS$53,BS23,$BC$6:$BC$53,INDEX(T_Equipos[Grupo],MATCH(BD23,T_Equipos[NombreEquipo],0)))&amp;")")</f>
        <v>P.3 (2)</v>
      </c>
      <c r="BU23" s="758">
        <f t="shared" ca="1" si="36"/>
        <v>0</v>
      </c>
      <c r="BV23" s="758">
        <f t="shared" ca="1" si="37"/>
        <v>0</v>
      </c>
      <c r="BW23" s="758">
        <f t="shared" ca="1" si="38"/>
        <v>0</v>
      </c>
      <c r="BX23" s="758">
        <f t="shared" ca="1" si="39"/>
        <v>0</v>
      </c>
      <c r="BY23" s="758">
        <f ca="1">BS23+COUNTIFS($BT$6:$BT$53,BT23,$BX$6:BX$53,"&gt;"&amp;BX23,$BC$6:$BC$53,INDEX(T_Equipos[Grupo],MATCH(BD23,T_Equipos[NombreEquipo],0)))</f>
        <v>3</v>
      </c>
      <c r="BZ23" s="757" t="str">
        <f ca="1">IF(COUNTIFS($BY$6:$BY$53,BY23,$BC$6:$BC$53,INDEX(T_Equipos[Grupo],MATCH(BD23,T_Equipos[NombreEquipo],0)))=1,"-","P."&amp;BY23&amp;" ("&amp;COUNTIFS($BY$6:$BY$53,BY23,$BC$6:$BC$53,INDEX(T_Equipos[Grupo],MATCH(BD23,T_Equipos[NombreEquipo],0)))&amp;")")</f>
        <v>P.3 (2)</v>
      </c>
      <c r="CA23" s="758">
        <f t="shared" ca="1" si="40"/>
        <v>0</v>
      </c>
      <c r="CB23" s="758">
        <f t="shared" ca="1" si="41"/>
        <v>0</v>
      </c>
      <c r="CC23" s="758">
        <f t="shared" ca="1" si="42"/>
        <v>0</v>
      </c>
      <c r="CD23" s="758">
        <f ca="1">BY23+COUNTIFS($BZ$6:$BZ$53,BZ23,$CC$6:CC$53,"&gt;"&amp;CC23,$BC$6:$BC$53,INDEX(T_Equipos[Grupo],MATCH(BD23,T_Equipos[NombreEquipo],0)))</f>
        <v>3</v>
      </c>
      <c r="CE23" s="757" t="str">
        <f ca="1">IF(COUNTIFS($CD$6:$CD$53,CD23,$BC$6:$BC$53,INDEX(T_Equipos[Grupo],MATCH(BD23,T_Equipos[NombreEquipo],0)))=1,"-","P."&amp;CD23&amp;" ("&amp;COUNTIFS($CD$6:$CD$53,CD23,$BC$6:$BC$53,INDEX(T_Equipos[Grupo],MATCH(BD23,T_Equipos[NombreEquipo],0)))&amp;")")</f>
        <v>P.3 (2)</v>
      </c>
      <c r="CF23" s="758">
        <f t="shared" ca="1" si="43"/>
        <v>0</v>
      </c>
      <c r="CG23" s="758">
        <f ca="1">CD23+COUNTIFS($CE$6:$CE$53,CE23,$CF$6:CF$53,"&gt;"&amp;CF23,$BC$6:$BC$53,INDEX(T_Equipos[Grupo],MATCH(BD23,T_Equipos[NombreEquipo],0)))</f>
        <v>3</v>
      </c>
      <c r="CH23" s="757" t="str">
        <f ca="1">IF(COUNTIFS($CG$6:$CG$53,CG23,$BC$6:$BC$53,INDEX(T_Equipos[Grupo],MATCH(BD23,T_Equipos[NombreEquipo],0)))=1,"-","P."&amp;CG23&amp;" ("&amp;COUNTIFS($CG$6:$CG$53,CG23,$BC$6:$BC$53,INDEX(T_Equipos[Grupo],MATCH(BD23,T_Equipos[NombreEquipo],0)))&amp;")")</f>
        <v>P.3 (2)</v>
      </c>
      <c r="CI23" s="758">
        <f t="shared" ca="1" si="44"/>
        <v>0</v>
      </c>
      <c r="CJ23" s="758">
        <f t="shared" ca="1" si="45"/>
        <v>0</v>
      </c>
      <c r="CK23" s="758">
        <f t="shared" ca="1" si="46"/>
        <v>0</v>
      </c>
      <c r="CL23" s="758">
        <f t="shared" ca="1" si="47"/>
        <v>0</v>
      </c>
      <c r="CM23" s="758">
        <f ca="1">CG23+COUNTIFS($CH$6:$CH$53,CH23,$CL$6:CL$53,"&gt;"&amp;CL23,$BC$6:$BC$53,INDEX(T_Equipos[Grupo],MATCH(BD23,T_Equipos[NombreEquipo],0)))</f>
        <v>3</v>
      </c>
      <c r="CN23" s="757" t="str">
        <f ca="1">IF(COUNTIFS($CM$6:$CM$53,CM23,$BC$6:$BC$53,INDEX(T_Equipos[Grupo],MATCH(BD23,T_Equipos[NombreEquipo],0)))=1,"-","P."&amp;CM23&amp;" ("&amp;COUNTIFS($CM$6:$CM$53,CM23,$BC$6:$BC$53,INDEX(T_Equipos[Grupo],MATCH(BD23,T_Equipos[NombreEquipo],0)))&amp;")")</f>
        <v>P.3 (2)</v>
      </c>
      <c r="CO23" s="758">
        <f t="shared" ca="1" si="48"/>
        <v>0</v>
      </c>
      <c r="CP23" s="758">
        <f t="shared" ca="1" si="49"/>
        <v>0</v>
      </c>
      <c r="CQ23" s="758">
        <f t="shared" ca="1" si="50"/>
        <v>0</v>
      </c>
      <c r="CR23" s="758">
        <f ca="1">CM23+COUNTIFS($CN$6:$CN$53,CN23,$CQ$6:CQ$53,"&gt;"&amp;CQ23,$BC$6:$BC$53,INDEX(T_Equipos[Grupo],MATCH(BD23,T_Equipos[NombreEquipo],0)))</f>
        <v>3</v>
      </c>
      <c r="CS23" s="757" t="str">
        <f ca="1">IF(COUNTIFS($CR$6:$CR$53,CR23,$BC$6:$BC$53,INDEX(T_Equipos[Grupo],MATCH(BD23,T_Equipos[NombreEquipo],0)))=1,"-","P."&amp;CR23&amp;" ("&amp;COUNTIFS($CR$6:$CR$53,CR23,$BC$6:$BC$53,INDEX(T_Equipos[Grupo],MATCH(BD23,T_Equipos[NombreEquipo],0)))&amp;")")</f>
        <v>P.3 (2)</v>
      </c>
      <c r="CT23" s="758">
        <f t="shared" ca="1" si="51"/>
        <v>0</v>
      </c>
      <c r="CU23" s="758">
        <f ca="1">CR23+COUNTIFS($CS$6:$CS$53,CS23,$CT$6:CT$53,"&gt;"&amp;CT23,$BC$6:$BC$53,INDEX(T_Equipos[Grupo],MATCH(BD23,T_Equipos[NombreEquipo],0)))</f>
        <v>3</v>
      </c>
      <c r="CV23" s="757" t="str">
        <f ca="1">IF(COUNTIFS($CU$6:$CU$53,CU23,$BC$6:$BC$53,INDEX(T_Equipos[Grupo],MATCH(BD23,T_Equipos[NombreEquipo],0)))=1,"-","P."&amp;CU23&amp;" ("&amp;COUNTIFS($CU$6:$CU$53,CU23,$BC$6:$BC$53,INDEX(T_Equipos[Grupo],MATCH(BD23,T_Equipos[NombreEquipo],0)))&amp;")")</f>
        <v>P.3 (2)</v>
      </c>
      <c r="CW23" s="757">
        <f t="shared" ca="1" si="30"/>
        <v>-6</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4</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05" customHeight="1">
      <c r="A24" s="745" t="str">
        <f ca="1">+Equipos!B13</f>
        <v>Escocia</v>
      </c>
      <c r="B24" s="742"/>
      <c r="C24" s="744"/>
      <c r="D24" s="744" t="str">
        <f t="shared" si="73"/>
        <v>Pendiente</v>
      </c>
      <c r="E24" s="744" t="str">
        <f t="shared" si="74"/>
        <v>-</v>
      </c>
      <c r="F24" s="744" t="str">
        <f t="shared" si="75"/>
        <v>-</v>
      </c>
      <c r="G24" s="744"/>
      <c r="H24" s="744" t="str">
        <f t="shared" si="76"/>
        <v>-</v>
      </c>
      <c r="I24" s="744" t="str">
        <f t="shared" si="77"/>
        <v>-</v>
      </c>
      <c r="J24" s="744"/>
      <c r="K24" s="744" t="str">
        <f t="shared" si="78"/>
        <v>-</v>
      </c>
      <c r="L24" s="744" t="str">
        <f t="shared" si="79"/>
        <v>-</v>
      </c>
      <c r="M24" s="744"/>
      <c r="N24" s="744" t="str">
        <f t="shared" si="80"/>
        <v>-</v>
      </c>
      <c r="O24" s="744" t="str">
        <f t="shared" si="81"/>
        <v>-</v>
      </c>
      <c r="P24" s="744"/>
      <c r="Q24" s="744" t="str">
        <f t="shared" si="82"/>
        <v>-</v>
      </c>
      <c r="R24" s="744" t="str">
        <f t="shared" si="83"/>
        <v>-</v>
      </c>
      <c r="S24" s="744"/>
      <c r="T24" s="744" t="str">
        <f t="shared" si="84"/>
        <v>-</v>
      </c>
      <c r="U24" s="744" t="str">
        <f t="shared" si="85"/>
        <v>-</v>
      </c>
      <c r="V24" s="172"/>
      <c r="W24" s="809"/>
      <c r="X24" s="189">
        <f ca="1">Horarios!C24</f>
        <v>46198</v>
      </c>
      <c r="Y24" s="190">
        <f ca="1">Horarios!C24</f>
        <v>46198</v>
      </c>
      <c r="Z24" s="191" t="str">
        <f>$Z$8</f>
        <v>J3</v>
      </c>
      <c r="AA24" s="192" t="str">
        <f ca="1">A24</f>
        <v>Escocia</v>
      </c>
      <c r="AB24" s="478" t="e" cm="1" vm="12">
        <f t="array" aca="1" ref="AB24" ca="1">Ver_flag_local</f>
        <v>#VALUE!</v>
      </c>
      <c r="AC24" s="193"/>
      <c r="AD24" s="194"/>
      <c r="AE24" s="483" t="e" cm="1" vm="9">
        <f t="array" aca="1" ref="AE24" ca="1">Ver_flag_visit</f>
        <v>#VALUE!</v>
      </c>
      <c r="AF24" s="195" t="str">
        <f ca="1">A21</f>
        <v>Brasil</v>
      </c>
      <c r="AG24" s="413">
        <f t="shared" si="86"/>
        <v>0</v>
      </c>
      <c r="AH24" s="196">
        <v>49</v>
      </c>
      <c r="AI24" s="19" t="str">
        <f t="shared" si="91"/>
        <v>3C</v>
      </c>
      <c r="AJ24" s="221">
        <v>3</v>
      </c>
      <c r="AK24" s="486" t="e" cm="1" vm="10">
        <f t="array" aca="1" ref="AK24" ca="1">Ver_flag_visit</f>
        <v>#VALUE!</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3</v>
      </c>
      <c r="BF24" s="748">
        <f t="shared" ca="1" si="26"/>
        <v>1</v>
      </c>
      <c r="BG24" s="748">
        <f t="shared" ca="1" si="17"/>
        <v>1</v>
      </c>
      <c r="BH24" s="748">
        <f t="shared" ca="1" si="18"/>
        <v>0</v>
      </c>
      <c r="BI24" s="748">
        <f t="shared" ca="1" si="19"/>
        <v>0</v>
      </c>
      <c r="BJ24" s="748">
        <f t="shared" ca="1" si="20"/>
        <v>1</v>
      </c>
      <c r="BK24" s="748">
        <f t="shared" ca="1" si="21"/>
        <v>0</v>
      </c>
      <c r="BL24" s="748">
        <f t="shared" ca="1" si="27"/>
        <v>1</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3</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0</v>
      </c>
      <c r="BX24" s="758">
        <f t="shared" ca="1" si="39"/>
        <v>0</v>
      </c>
      <c r="BY24" s="758">
        <f ca="1">BS24+COUNTIFS($BT$6:$BT$53,BT24,$BX$6:BX$53,"&gt;"&amp;BX24,$BC$6:$BC$53,INDEX(T_Equipos[Grupo],MATCH(BD24,T_Equipos[NombreEquipo],0)))</f>
        <v>1</v>
      </c>
      <c r="BZ24" s="757" t="str">
        <f ca="1">IF(COUNTIFS($BY$6:$BY$53,BY24,$BC$6:$BC$53,INDEX(T_Equipos[Grupo],MATCH(BD24,T_Equipos[NombreEquipo],0)))=1,"-","P."&amp;BY24&amp;" ("&amp;COUNTIFS($BY$6:$BY$53,BY24,$BC$6:$BC$53,INDEX(T_Equipos[Grupo],MATCH(BD24,T_Equipos[NombreEquipo],0)))&amp;")")</f>
        <v>P.1 (2)</v>
      </c>
      <c r="CA24" s="758">
        <f t="shared" ca="1" si="40"/>
        <v>0</v>
      </c>
      <c r="CB24" s="758">
        <f t="shared" ca="1" si="41"/>
        <v>0</v>
      </c>
      <c r="CC24" s="758">
        <f t="shared" ca="1" si="42"/>
        <v>0</v>
      </c>
      <c r="CD24" s="758">
        <f ca="1">BY24+COUNTIFS($BZ$6:$BZ$53,BZ24,$CC$6:CC$53,"&gt;"&amp;CC24,$BC$6:$BC$53,INDEX(T_Equipos[Grupo],MATCH(BD24,T_Equipos[NombreEquipo],0)))</f>
        <v>1</v>
      </c>
      <c r="CE24" s="757" t="str">
        <f ca="1">IF(COUNTIFS($CD$6:$CD$53,CD24,$BC$6:$BC$53,INDEX(T_Equipos[Grupo],MATCH(BD24,T_Equipos[NombreEquipo],0)))=1,"-","P."&amp;CD24&amp;" ("&amp;COUNTIFS($CD$6:$CD$53,CD24,$BC$6:$BC$53,INDEX(T_Equipos[Grupo],MATCH(BD24,T_Equipos[NombreEquipo],0)))&amp;")")</f>
        <v>P.1 (2)</v>
      </c>
      <c r="CF24" s="758">
        <f t="shared" ca="1" si="43"/>
        <v>0</v>
      </c>
      <c r="CG24" s="758">
        <f ca="1">CD24+COUNTIFS($CE$6:$CE$53,CE24,$CF$6:CF$53,"&gt;"&amp;CF24,$BC$6:$BC$53,INDEX(T_Equipos[Grupo],MATCH(BD24,T_Equipos[NombreEquipo],0)))</f>
        <v>1</v>
      </c>
      <c r="CH24" s="757" t="str">
        <f ca="1">IF(COUNTIFS($CG$6:$CG$53,CG24,$BC$6:$BC$53,INDEX(T_Equipos[Grupo],MATCH(BD24,T_Equipos[NombreEquipo],0)))=1,"-","P."&amp;CG24&amp;" ("&amp;COUNTIFS($CG$6:$CG$53,CG24,$BC$6:$BC$53,INDEX(T_Equipos[Grupo],MATCH(BD24,T_Equipos[NombreEquipo],0)))&amp;")")</f>
        <v>P.1 (2)</v>
      </c>
      <c r="CI24" s="758">
        <f t="shared" ca="1" si="44"/>
        <v>0</v>
      </c>
      <c r="CJ24" s="758">
        <f t="shared" ca="1" si="45"/>
        <v>0</v>
      </c>
      <c r="CK24" s="758">
        <f t="shared" ca="1" si="46"/>
        <v>0</v>
      </c>
      <c r="CL24" s="758">
        <f t="shared" ca="1" si="47"/>
        <v>0</v>
      </c>
      <c r="CM24" s="758">
        <f ca="1">CG24+COUNTIFS($CH$6:$CH$53,CH24,$CL$6:CL$53,"&gt;"&amp;CL24,$BC$6:$BC$53,INDEX(T_Equipos[Grupo],MATCH(BD24,T_Equipos[NombreEquipo],0)))</f>
        <v>1</v>
      </c>
      <c r="CN24" s="757" t="str">
        <f ca="1">IF(COUNTIFS($CM$6:$CM$53,CM24,$BC$6:$BC$53,INDEX(T_Equipos[Grupo],MATCH(BD24,T_Equipos[NombreEquipo],0)))=1,"-","P."&amp;CM24&amp;" ("&amp;COUNTIFS($CM$6:$CM$53,CM24,$BC$6:$BC$53,INDEX(T_Equipos[Grupo],MATCH(BD24,T_Equipos[NombreEquipo],0)))&amp;")")</f>
        <v>P.1 (2)</v>
      </c>
      <c r="CO24" s="758">
        <f t="shared" ca="1" si="48"/>
        <v>0</v>
      </c>
      <c r="CP24" s="758">
        <f t="shared" ca="1" si="49"/>
        <v>0</v>
      </c>
      <c r="CQ24" s="758">
        <f t="shared" ca="1" si="50"/>
        <v>0</v>
      </c>
      <c r="CR24" s="758">
        <f ca="1">CM24+COUNTIFS($CN$6:$CN$53,CN24,$CQ$6:CQ$53,"&gt;"&amp;CQ24,$BC$6:$BC$53,INDEX(T_Equipos[Grupo],MATCH(BD24,T_Equipos[NombreEquipo],0)))</f>
        <v>1</v>
      </c>
      <c r="CS24" s="757" t="str">
        <f ca="1">IF(COUNTIFS($CR$6:$CR$53,CR24,$BC$6:$BC$53,INDEX(T_Equipos[Grupo],MATCH(BD24,T_Equipos[NombreEquipo],0)))=1,"-","P."&amp;CR24&amp;" ("&amp;COUNTIFS($CR$6:$CR$53,CR24,$BC$6:$BC$53,INDEX(T_Equipos[Grupo],MATCH(BD24,T_Equipos[NombreEquipo],0)))&amp;")")</f>
        <v>P.1 (2)</v>
      </c>
      <c r="CT24" s="758">
        <f t="shared" ca="1" si="51"/>
        <v>0</v>
      </c>
      <c r="CU24" s="758">
        <f ca="1">CR24+COUNTIFS($CS$6:$CS$53,CS24,$CT$6:CT$53,"&gt;"&amp;CT24,$BC$6:$BC$53,INDEX(T_Equipos[Grupo],MATCH(BD24,T_Equipos[NombreEquipo],0)))</f>
        <v>1</v>
      </c>
      <c r="CV24" s="757" t="str">
        <f ca="1">IF(COUNTIFS($CU$6:$CU$53,CU24,$BC$6:$BC$53,INDEX(T_Equipos[Grupo],MATCH(BD24,T_Equipos[NombreEquipo],0)))=1,"-","P."&amp;CU24&amp;" ("&amp;COUNTIFS($CU$6:$CU$53,CU24,$BC$6:$BC$53,INDEX(T_Equipos[Grupo],MATCH(BD24,T_Equipos[NombreEquipo],0)))&amp;")")</f>
        <v>P.1 (2)</v>
      </c>
      <c r="CW24" s="757">
        <f t="shared" ca="1" si="30"/>
        <v>1</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4</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Pendiente</v>
      </c>
      <c r="E25" s="744" t="str">
        <f t="shared" si="74"/>
        <v>-</v>
      </c>
      <c r="F25" s="744" t="str">
        <f t="shared" si="75"/>
        <v>-</v>
      </c>
      <c r="G25" s="744"/>
      <c r="H25" s="744" t="str">
        <f t="shared" si="76"/>
        <v>-</v>
      </c>
      <c r="I25" s="744" t="str">
        <f t="shared" si="77"/>
        <v>-</v>
      </c>
      <c r="J25" s="744"/>
      <c r="K25" s="744" t="str">
        <f t="shared" si="78"/>
        <v>-</v>
      </c>
      <c r="L25" s="744" t="str">
        <f t="shared" si="79"/>
        <v>-</v>
      </c>
      <c r="M25" s="744"/>
      <c r="N25" s="744" t="str">
        <f t="shared" si="80"/>
        <v>-</v>
      </c>
      <c r="O25" s="744" t="str">
        <f t="shared" si="81"/>
        <v>-</v>
      </c>
      <c r="P25" s="744"/>
      <c r="Q25" s="744" t="str">
        <f t="shared" si="82"/>
        <v>-</v>
      </c>
      <c r="R25" s="744" t="str">
        <f t="shared" si="83"/>
        <v>-</v>
      </c>
      <c r="S25" s="744"/>
      <c r="T25" s="744" t="str">
        <f t="shared" si="84"/>
        <v>-</v>
      </c>
      <c r="U25" s="744" t="str">
        <f t="shared" si="85"/>
        <v>-</v>
      </c>
      <c r="V25" s="172"/>
      <c r="W25" s="810"/>
      <c r="X25" s="228">
        <f ca="1">Horarios!C25</f>
        <v>46198</v>
      </c>
      <c r="Y25" s="229">
        <f ca="1">Horarios!C25</f>
        <v>46198</v>
      </c>
      <c r="Z25" s="230" t="str">
        <f>$Z$8</f>
        <v>J3</v>
      </c>
      <c r="AA25" s="231" t="str">
        <f ca="1">A22</f>
        <v>Marruecos</v>
      </c>
      <c r="AB25" s="479" t="e" cm="1" vm="10">
        <f t="array" aca="1" ref="AB25" ca="1">Ver_flag_local</f>
        <v>#VALUE!</v>
      </c>
      <c r="AC25" s="232"/>
      <c r="AD25" s="233"/>
      <c r="AE25" s="484" t="e" cm="1" vm="11">
        <f t="array" aca="1" ref="AE25" ca="1">Ver_flag_visit</f>
        <v>#VALUE!</v>
      </c>
      <c r="AF25" s="234" t="str">
        <f ca="1">A23</f>
        <v>Haití</v>
      </c>
      <c r="AG25" s="413">
        <f t="shared" si="86"/>
        <v>0</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0</v>
      </c>
      <c r="BF25" s="748">
        <f t="shared" ca="1" si="26"/>
        <v>1</v>
      </c>
      <c r="BG25" s="748">
        <f t="shared" ca="1" si="17"/>
        <v>0</v>
      </c>
      <c r="BH25" s="748">
        <f t="shared" ca="1" si="18"/>
        <v>0</v>
      </c>
      <c r="BI25" s="748">
        <f t="shared" ca="1" si="19"/>
        <v>1</v>
      </c>
      <c r="BJ25" s="748">
        <f t="shared" ca="1" si="20"/>
        <v>0</v>
      </c>
      <c r="BK25" s="748">
        <f t="shared" ca="1" si="21"/>
        <v>1</v>
      </c>
      <c r="BL25" s="748">
        <f t="shared" ca="1" si="27"/>
        <v>-1</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0</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P.3 (2)</v>
      </c>
      <c r="BU25" s="758">
        <f t="shared" ca="1" si="36"/>
        <v>0</v>
      </c>
      <c r="BV25" s="758">
        <f t="shared" ca="1" si="37"/>
        <v>0</v>
      </c>
      <c r="BW25" s="758">
        <f t="shared" ca="1" si="38"/>
        <v>0</v>
      </c>
      <c r="BX25" s="758">
        <f t="shared" ca="1" si="39"/>
        <v>0</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P.3 (2)</v>
      </c>
      <c r="CA25" s="758">
        <f t="shared" ca="1" si="40"/>
        <v>0</v>
      </c>
      <c r="CB25" s="758">
        <f t="shared" ca="1" si="41"/>
        <v>0</v>
      </c>
      <c r="CC25" s="758">
        <f t="shared" ca="1" si="42"/>
        <v>0</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P.3 (2)</v>
      </c>
      <c r="CF25" s="758">
        <f t="shared" ca="1" si="43"/>
        <v>0</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P.3 (2)</v>
      </c>
      <c r="CI25" s="758">
        <f t="shared" ca="1" si="44"/>
        <v>0</v>
      </c>
      <c r="CJ25" s="758">
        <f t="shared" ca="1" si="45"/>
        <v>0</v>
      </c>
      <c r="CK25" s="758">
        <f t="shared" ca="1" si="46"/>
        <v>0</v>
      </c>
      <c r="CL25" s="758">
        <f t="shared" ca="1" si="47"/>
        <v>0</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P.3 (2)</v>
      </c>
      <c r="CO25" s="758">
        <f t="shared" ca="1" si="48"/>
        <v>0</v>
      </c>
      <c r="CP25" s="758">
        <f t="shared" ca="1" si="49"/>
        <v>0</v>
      </c>
      <c r="CQ25" s="758">
        <f t="shared" ca="1" si="50"/>
        <v>0</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P.3 (2)</v>
      </c>
      <c r="CT25" s="758">
        <f t="shared" ca="1" si="51"/>
        <v>0</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P.3 (2)</v>
      </c>
      <c r="CW25" s="757">
        <f t="shared" ca="1" si="30"/>
        <v>-1</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4</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1</v>
      </c>
      <c r="BF26" s="748">
        <f t="shared" ca="1" si="26"/>
        <v>1</v>
      </c>
      <c r="BG26" s="748">
        <f t="shared" ca="1" si="17"/>
        <v>0</v>
      </c>
      <c r="BH26" s="748">
        <f t="shared" ca="1" si="18"/>
        <v>1</v>
      </c>
      <c r="BI26" s="748">
        <f t="shared" ca="1" si="19"/>
        <v>0</v>
      </c>
      <c r="BJ26" s="748">
        <f t="shared" ca="1" si="20"/>
        <v>2</v>
      </c>
      <c r="BK26" s="748">
        <f t="shared" ca="1" si="21"/>
        <v>2</v>
      </c>
      <c r="BL26" s="748">
        <f t="shared" ca="1" si="27"/>
        <v>0</v>
      </c>
      <c r="BM26" s="748" t="str">
        <f t="shared" ca="1" si="22"/>
        <v>2F</v>
      </c>
      <c r="BN26" s="748" t="str">
        <f t="shared" ca="1" si="23"/>
        <v>2F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1</v>
      </c>
      <c r="BS26" s="757">
        <f ca="1">BP26+COUNTIFS($BQ$6:$BQ$53,BQ26,$BR$6:BR$53,"&gt;"&amp;BR26,$BC$6:$BC$53,INDEX(T_Equipos[Grupo],MATCH(BD26,T_Equipos[NombreEquipo],0)))</f>
        <v>2</v>
      </c>
      <c r="BT26" s="757" t="str">
        <f ca="1">IF(COUNTIFS($BS$6:$BS$53,BS26,$BC$6:$BC$53,INDEX(T_Equipos[Grupo],MATCH(BD26,T_Equipos[NombreEquipo],0)))=1,"-","P."&amp;BS26&amp;" ("&amp;COUNTIFS($BS$6:$BS$53,BS26,$BC$6:$BC$53,INDEX(T_Equipos[Grupo],MATCH(BD26,T_Equipos[NombreEquipo],0)))&amp;")")</f>
        <v>P.2 (2)</v>
      </c>
      <c r="BU26" s="758">
        <f t="shared" ca="1" si="36"/>
        <v>0</v>
      </c>
      <c r="BV26" s="758">
        <f t="shared" ca="1" si="37"/>
        <v>1</v>
      </c>
      <c r="BW26" s="758">
        <f t="shared" ca="1" si="38"/>
        <v>0</v>
      </c>
      <c r="BX26" s="758">
        <f t="shared" ca="1" si="39"/>
        <v>1</v>
      </c>
      <c r="BY26" s="758">
        <f ca="1">BS26+COUNTIFS($BT$6:$BT$53,BT26,$BX$6:BX$53,"&gt;"&amp;BX26,$BC$6:$BC$53,INDEX(T_Equipos[Grupo],MATCH(BD26,T_Equipos[NombreEquipo],0)))</f>
        <v>2</v>
      </c>
      <c r="BZ26" s="757" t="str">
        <f ca="1">IF(COUNTIFS($BY$6:$BY$53,BY26,$BC$6:$BC$53,INDEX(T_Equipos[Grupo],MATCH(BD26,T_Equipos[NombreEquipo],0)))=1,"-","P."&amp;BY26&amp;" ("&amp;COUNTIFS($BY$6:$BY$53,BY26,$BC$6:$BC$53,INDEX(T_Equipos[Grupo],MATCH(BD26,T_Equipos[NombreEquipo],0)))&amp;")")</f>
        <v>P.2 (2)</v>
      </c>
      <c r="CA26" s="758">
        <f t="shared" ca="1" si="40"/>
        <v>2</v>
      </c>
      <c r="CB26" s="758">
        <f t="shared" ca="1" si="41"/>
        <v>2</v>
      </c>
      <c r="CC26" s="758">
        <f t="shared" ca="1" si="42"/>
        <v>0</v>
      </c>
      <c r="CD26" s="758">
        <f ca="1">BY26+COUNTIFS($BZ$6:$BZ$53,BZ26,$CC$6:CC$53,"&gt;"&amp;CC26,$BC$6:$BC$53,INDEX(T_Equipos[Grupo],MATCH(BD26,T_Equipos[NombreEquipo],0)))</f>
        <v>2</v>
      </c>
      <c r="CE26" s="757" t="str">
        <f ca="1">IF(COUNTIFS($CD$6:$CD$53,CD26,$BC$6:$BC$53,INDEX(T_Equipos[Grupo],MATCH(BD26,T_Equipos[NombreEquipo],0)))=1,"-","P."&amp;CD26&amp;" ("&amp;COUNTIFS($CD$6:$CD$53,CD26,$BC$6:$BC$53,INDEX(T_Equipos[Grupo],MATCH(BD26,T_Equipos[NombreEquipo],0)))&amp;")")</f>
        <v>P.2 (2)</v>
      </c>
      <c r="CF26" s="758">
        <f t="shared" ca="1" si="43"/>
        <v>2</v>
      </c>
      <c r="CG26" s="758">
        <f ca="1">CD26+COUNTIFS($CE$6:$CE$53,CE26,$CF$6:CF$53,"&gt;"&amp;CF26,$BC$6:$BC$53,INDEX(T_Equipos[Grupo],MATCH(BD26,T_Equipos[NombreEquipo],0)))</f>
        <v>2</v>
      </c>
      <c r="CH26" s="757" t="str">
        <f ca="1">IF(COUNTIFS($CG$6:$CG$53,CG26,$BC$6:$BC$53,INDEX(T_Equipos[Grupo],MATCH(BD26,T_Equipos[NombreEquipo],0)))=1,"-","P."&amp;CG26&amp;" ("&amp;COUNTIFS($CG$6:$CG$53,CG26,$BC$6:$BC$53,INDEX(T_Equipos[Grupo],MATCH(BD26,T_Equipos[NombreEquipo],0)))&amp;")")</f>
        <v>P.2 (2)</v>
      </c>
      <c r="CI26" s="758">
        <f t="shared" ca="1" si="44"/>
        <v>0</v>
      </c>
      <c r="CJ26" s="758">
        <f t="shared" ca="1" si="45"/>
        <v>1</v>
      </c>
      <c r="CK26" s="758">
        <f t="shared" ca="1" si="46"/>
        <v>0</v>
      </c>
      <c r="CL26" s="758">
        <f t="shared" ca="1" si="47"/>
        <v>1</v>
      </c>
      <c r="CM26" s="758">
        <f ca="1">CG26+COUNTIFS($CH$6:$CH$53,CH26,$CL$6:CL$53,"&gt;"&amp;CL26,$BC$6:$BC$53,INDEX(T_Equipos[Grupo],MATCH(BD26,T_Equipos[NombreEquipo],0)))</f>
        <v>2</v>
      </c>
      <c r="CN26" s="757" t="str">
        <f ca="1">IF(COUNTIFS($CM$6:$CM$53,CM26,$BC$6:$BC$53,INDEX(T_Equipos[Grupo],MATCH(BD26,T_Equipos[NombreEquipo],0)))=1,"-","P."&amp;CM26&amp;" ("&amp;COUNTIFS($CM$6:$CM$53,CM26,$BC$6:$BC$53,INDEX(T_Equipos[Grupo],MATCH(BD26,T_Equipos[NombreEquipo],0)))&amp;")")</f>
        <v>P.2 (2)</v>
      </c>
      <c r="CO26" s="758">
        <f t="shared" ca="1" si="48"/>
        <v>2</v>
      </c>
      <c r="CP26" s="758">
        <f t="shared" ca="1" si="49"/>
        <v>2</v>
      </c>
      <c r="CQ26" s="758">
        <f t="shared" ca="1" si="50"/>
        <v>0</v>
      </c>
      <c r="CR26" s="758">
        <f ca="1">CM26+COUNTIFS($CN$6:$CN$53,CN26,$CQ$6:CQ$53,"&gt;"&amp;CQ26,$BC$6:$BC$53,INDEX(T_Equipos[Grupo],MATCH(BD26,T_Equipos[NombreEquipo],0)))</f>
        <v>2</v>
      </c>
      <c r="CS26" s="757" t="str">
        <f ca="1">IF(COUNTIFS($CR$6:$CR$53,CR26,$BC$6:$BC$53,INDEX(T_Equipos[Grupo],MATCH(BD26,T_Equipos[NombreEquipo],0)))=1,"-","P."&amp;CR26&amp;" ("&amp;COUNTIFS($CR$6:$CR$53,CR26,$BC$6:$BC$53,INDEX(T_Equipos[Grupo],MATCH(BD26,T_Equipos[NombreEquipo],0)))&amp;")")</f>
        <v>P.2 (2)</v>
      </c>
      <c r="CT26" s="758">
        <f t="shared" ca="1" si="51"/>
        <v>2</v>
      </c>
      <c r="CU26" s="758">
        <f ca="1">CR26+COUNTIFS($CS$6:$CS$53,CS26,$CT$6:CT$53,"&gt;"&amp;CT26,$BC$6:$BC$53,INDEX(T_Equipos[Grupo],MATCH(BD26,T_Equipos[NombreEquipo],0)))</f>
        <v>2</v>
      </c>
      <c r="CV26" s="757" t="str">
        <f ca="1">IF(COUNTIFS($CU$6:$CU$53,CU26,$BC$6:$BC$53,INDEX(T_Equipos[Grupo],MATCH(BD26,T_Equipos[NombreEquipo],0)))=1,"-","P."&amp;CU26&amp;" ("&amp;COUNTIFS($CU$6:$CU$53,CU26,$BC$6:$BC$53,INDEX(T_Equipos[Grupo],MATCH(BD26,T_Equipos[NombreEquipo],0)))&amp;")")</f>
        <v>P.2 (2)</v>
      </c>
      <c r="CW26" s="757">
        <f t="shared" ca="1" si="30"/>
        <v>0</v>
      </c>
      <c r="CX26" s="757">
        <f ca="1">CU26+COUNTIFS($CV$6:$CV$53,CV26,$CW$6:CW$53,"&gt;"&amp;CW26,$BC$6:$BC$53,INDEX(T_Equipos[Grupo],MATCH(BD26,T_Equipos[NombreEquipo],0)))</f>
        <v>2</v>
      </c>
      <c r="CY26" s="757" t="str">
        <f ca="1">IF(COUNTIFS($CX$6:$CX$53,CX26,$BC$6:$BC$53,INDEX(T_Equipos[Grupo],MATCH(BD26,T_Equipos[NombreEquipo],0)))=1,"-","P."&amp;CX26&amp;" ("&amp;COUNTIFS($CX$6:$CX$53,CX26,$BC$6:$BC$53,INDEX(T_Equipos[Grupo],MATCH(BD26,T_Equipos[NombreEquipo],0)))&amp;")")</f>
        <v>P.2 (2)</v>
      </c>
      <c r="CZ26" s="757">
        <f t="shared" ca="1" si="31"/>
        <v>2</v>
      </c>
      <c r="DA26" s="758">
        <f ca="1">CX26+COUNTIFS($CY$6:$CY$53,CY26,$CZ$6:CZ$53,"&gt;"&amp;CZ26,$BC$6:$BC$53,INDEX(T_Equipos[Grupo],MATCH(BD26,T_Equipos[NombreEquipo],0)))</f>
        <v>2</v>
      </c>
      <c r="DB26" s="757" t="str">
        <f ca="1">IF(COUNTIFS($DA$6:$DA$53,DA26,$BC$6:$BC$53,INDEX(T_Equipos[Grupo],MATCH(BD26,T_Equipos[NombreEquipo],0)))=1,"-","P."&amp;DA26&amp;" ("&amp;COUNTIFS($DA$6:$DA$53,DA26,$BC$6:$BC$53,INDEX(T_Equipos[Grupo],MATCH(BD26,T_Equipos[NombreEquipo],0)))&amp;")")</f>
        <v>P.2 (2)</v>
      </c>
      <c r="DC26" s="756">
        <f ca="1">IF(DB26="-","-",COUNTIFS(T_Equipos[Rank],"&lt;"&amp;INDEX(T_Equipos[Rank],MATCH(BD26,T_Equipos[NombreEquipo],0)),$BC$6:$BC$53,INDEX(T_Equipos[Grupo],MATCH(BD26,T_Equipos[NombreEquipo],0)))+1)</f>
        <v>1</v>
      </c>
      <c r="DD26" s="756">
        <f ca="1">DA26+COUNTIFS($DB$6:$DB$53,DB26,$DC$6:DC$53,"&lt;"&amp;DC26,$BC$6:$BC$53,INDEX(T_Equipos[Grupo],MATCH(BD26,T_Equipos[NombreEquipo],0)))</f>
        <v>2</v>
      </c>
      <c r="DE26" s="756"/>
      <c r="DF26" s="756">
        <f t="shared" ca="1" si="52"/>
        <v>2</v>
      </c>
      <c r="DG26" s="756">
        <f ca="1">IF(DB26="-","-",COUNTIFS(DF$6:DF$53,"&lt;"&amp;DF26,$BC$6:$BC$53,INDEX(T_Equipos[Grupo],MATCH(BD26,T_Equipos[NombreEquipo],0))))</f>
        <v>1</v>
      </c>
      <c r="DH26" s="756">
        <f ca="1">DA26+COUNTIFS(DB$6:DB$53,DB26,DG$6:DG$53,"&lt;"&amp;DG26,$BC$6:$BC$53,INDEX(T_Equipos[Grupo],MATCH(BD26,T_Equipos[NombreEquipo],0)))</f>
        <v>2</v>
      </c>
      <c r="DI26" s="744"/>
      <c r="DJ26" s="744">
        <f t="shared" ca="1" si="53"/>
        <v>1</v>
      </c>
      <c r="DK26" s="744">
        <f t="shared" ca="1" si="24"/>
        <v>4</v>
      </c>
      <c r="DL26" s="744">
        <f t="shared" ca="1" si="33"/>
        <v>1</v>
      </c>
      <c r="DM26" s="738" t="str">
        <f t="shared" ca="1" si="34"/>
        <v>1.1</v>
      </c>
      <c r="DN26" s="744" cm="1">
        <f t="array" aca="1" ref="DN26" ca="1">OFFSET(Horarios!$P$3,DJ26-1,0,DL26,1)</f>
        <v>1</v>
      </c>
      <c r="DO26" s="744"/>
      <c r="DP26" s="744" t="s">
        <v>664</v>
      </c>
      <c r="DQ26" s="744" t="str">
        <f t="shared" ca="1" si="35"/>
        <v>Suecia</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1</v>
      </c>
      <c r="BF27" s="748">
        <f t="shared" ca="1" si="26"/>
        <v>1</v>
      </c>
      <c r="BG27" s="748">
        <f t="shared" ca="1" si="17"/>
        <v>0</v>
      </c>
      <c r="BH27" s="748">
        <f t="shared" ca="1" si="18"/>
        <v>1</v>
      </c>
      <c r="BI27" s="748">
        <f t="shared" ca="1" si="19"/>
        <v>0</v>
      </c>
      <c r="BJ27" s="748">
        <f t="shared" ca="1" si="20"/>
        <v>2</v>
      </c>
      <c r="BK27" s="748">
        <f t="shared" ca="1" si="21"/>
        <v>2</v>
      </c>
      <c r="BL27" s="748">
        <f t="shared" ca="1" si="27"/>
        <v>0</v>
      </c>
      <c r="BM27" s="748" t="str">
        <f t="shared" ca="1" si="22"/>
        <v>3F</v>
      </c>
      <c r="BN27" s="748" t="str">
        <f t="shared" ca="1" si="23"/>
        <v>3F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1</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P.2 (2)</v>
      </c>
      <c r="BU27" s="758">
        <f t="shared" ca="1" si="36"/>
        <v>0</v>
      </c>
      <c r="BV27" s="758">
        <f t="shared" ca="1" si="37"/>
        <v>1</v>
      </c>
      <c r="BW27" s="758">
        <f t="shared" ca="1" si="38"/>
        <v>0</v>
      </c>
      <c r="BX27" s="758">
        <f t="shared" ca="1" si="39"/>
        <v>1</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P.2 (2)</v>
      </c>
      <c r="CA27" s="758">
        <f t="shared" ca="1" si="40"/>
        <v>2</v>
      </c>
      <c r="CB27" s="758">
        <f t="shared" ca="1" si="41"/>
        <v>2</v>
      </c>
      <c r="CC27" s="758">
        <f t="shared" ca="1" si="42"/>
        <v>0</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P.2 (2)</v>
      </c>
      <c r="CF27" s="758">
        <f t="shared" ca="1" si="43"/>
        <v>2</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P.2 (2)</v>
      </c>
      <c r="CI27" s="758">
        <f t="shared" ca="1" si="44"/>
        <v>0</v>
      </c>
      <c r="CJ27" s="758">
        <f t="shared" ca="1" si="45"/>
        <v>1</v>
      </c>
      <c r="CK27" s="758">
        <f t="shared" ca="1" si="46"/>
        <v>0</v>
      </c>
      <c r="CL27" s="758">
        <f t="shared" ca="1" si="47"/>
        <v>1</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P.2 (2)</v>
      </c>
      <c r="CO27" s="758">
        <f t="shared" ca="1" si="48"/>
        <v>2</v>
      </c>
      <c r="CP27" s="758">
        <f t="shared" ca="1" si="49"/>
        <v>2</v>
      </c>
      <c r="CQ27" s="758">
        <f t="shared" ca="1" si="50"/>
        <v>0</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P.2 (2)</v>
      </c>
      <c r="CT27" s="758">
        <f t="shared" ca="1" si="51"/>
        <v>2</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P.2 (2)</v>
      </c>
      <c r="CW27" s="757">
        <f t="shared" ca="1" si="30"/>
        <v>0</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P.2 (2)</v>
      </c>
      <c r="CZ27" s="757">
        <f t="shared" ca="1" si="31"/>
        <v>2</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P.2 (2)</v>
      </c>
      <c r="DC27" s="756">
        <f ca="1">IF(DB27="-","-",COUNTIFS(T_Equipos[Rank],"&lt;"&amp;INDEX(T_Equipos[Rank],MATCH(BD27,T_Equipos[NombreEquipo],0)),$BC$6:$BC$53,INDEX(T_Equipos[Grupo],MATCH(BD27,T_Equipos[NombreEquipo],0)))+1)</f>
        <v>2</v>
      </c>
      <c r="DD27" s="756">
        <f ca="1">DA27+COUNTIFS($DB$6:$DB$53,DB27,$DC$6:DC$53,"&lt;"&amp;DC27,$BC$6:$BC$53,INDEX(T_Equipos[Grupo],MATCH(BD27,T_Equipos[NombreEquipo],0)))</f>
        <v>3</v>
      </c>
      <c r="DE27" s="756"/>
      <c r="DF27" s="756">
        <f t="shared" ca="1" si="52"/>
        <v>3</v>
      </c>
      <c r="DG27" s="756">
        <f ca="1">IF(DB27="-","-",COUNTIFS(DF$6:DF$53,"&lt;"&amp;DF27,$BC$6:$BC$53,INDEX(T_Equipos[Grupo],MATCH(BD27,T_Equipos[NombreEquipo],0))))</f>
        <v>2</v>
      </c>
      <c r="DH27" s="756">
        <f ca="1">DA27+COUNTIFS(DB$6:DB$53,DB27,DG$6:DG$53,"&lt;"&amp;DG27,$BC$6:$BC$53,INDEX(T_Equipos[Grupo],MATCH(BD27,T_Equipos[NombreEquipo],0)))</f>
        <v>3</v>
      </c>
      <c r="DI27" s="744"/>
      <c r="DJ27" s="744">
        <f t="shared" ca="1" si="53"/>
        <v>2</v>
      </c>
      <c r="DK27" s="744">
        <f t="shared" ca="1" si="24"/>
        <v>4</v>
      </c>
      <c r="DL27" s="744">
        <f t="shared" ca="1" si="33"/>
        <v>1</v>
      </c>
      <c r="DM27" s="738" t="str">
        <f t="shared" ca="1" si="34"/>
        <v>2.1</v>
      </c>
      <c r="DN27" s="744" cm="1">
        <f t="array" aca="1" ref="DN27" ca="1">OFFSET(Horarios!$P$3,DJ27-1,0,DL27,1)</f>
        <v>2</v>
      </c>
      <c r="DO27" s="744"/>
      <c r="DP27" s="744" t="s">
        <v>665</v>
      </c>
      <c r="DQ27" s="744" t="str">
        <f t="shared" ca="1" si="35"/>
        <v>Países Bajos</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P.1 (2)</v>
      </c>
      <c r="F28" s="744" t="str">
        <f t="shared" ref="F28:F33" ca="1" si="96">IF(D28="Pendiente","-",INDEX($BT$6:$BT$53,MATCH($AF28,$BD$6:$BD$53,0)))</f>
        <v>P.3 (2)</v>
      </c>
      <c r="G28" s="744"/>
      <c r="H28" s="744" t="str">
        <f t="shared" ref="H28:H33" ca="1" si="97">IF(D28="Pendiente","-",INDEX($BZ$6:$BZ$53,MATCH($AA28,$BD$6:$BD$53,0)))</f>
        <v>P.1 (2)</v>
      </c>
      <c r="I28" s="744" t="str">
        <f t="shared" ref="I28:I33" ca="1" si="98">IF(D28="Pendiente","-",INDEX($BZ$6:$BZ$53,MATCH($AF28,$BD$6:$BD$53,0)))</f>
        <v>P.3 (2)</v>
      </c>
      <c r="J28" s="744"/>
      <c r="K28" s="744" t="str">
        <f t="shared" ref="K28:K33" ca="1" si="99">IF(D28="Pendiente","-",INDEX($CE$6:$CE$53,MATCH($AA28,$BD$6:$BD$53,0)))</f>
        <v>P.1 (2)</v>
      </c>
      <c r="L28" s="744" t="str">
        <f t="shared" ref="L28:L33" ca="1" si="100">IF(D28="Pendiente","-",INDEX($CE$6:$CE$53,MATCH($AF28,$BD$6:$BD$53,0)))</f>
        <v>P.3 (2)</v>
      </c>
      <c r="M28" s="744"/>
      <c r="N28" s="744" t="str">
        <f t="shared" ref="N28:N33" ca="1" si="101">IF(D28="Pendiente","-",INDEX($CH$6:$CH$53,MATCH($AA28,$BD$6:$BD$53,0)))</f>
        <v>P.1 (2)</v>
      </c>
      <c r="O28" s="744" t="str">
        <f t="shared" ref="O28:O33" ca="1" si="102">IF(D28="Pendiente","-",INDEX($CH$6:$CH$53,MATCH($AF28,$BD$6:$BD$53,0)))</f>
        <v>P.3 (2)</v>
      </c>
      <c r="P28" s="744"/>
      <c r="Q28" s="744" t="str">
        <f t="shared" ref="Q28:Q33" ca="1" si="103">IF(D28="Pendiente","-",INDEX($CN$6:$CN$53,MATCH($AA28,$BD$6:$BD$53,0)))</f>
        <v>P.1 (2)</v>
      </c>
      <c r="R28" s="744" t="str">
        <f t="shared" ref="R28:R33" ca="1" si="104">IF(D28="Pendiente","-",INDEX($CN$6:$CN$53,MATCH($AF28,$BD$6:$BD$53,0)))</f>
        <v>P.3 (2)</v>
      </c>
      <c r="S28" s="744"/>
      <c r="T28" s="744" t="str">
        <f t="shared" ref="T28:T33" ca="1" si="105">IF(D28="Pendiente","-",INDEX($CS$6:$CS$53,MATCH($AA28,$BD$6:$BD$53,0)))</f>
        <v>P.1 (2)</v>
      </c>
      <c r="U28" s="744" t="str">
        <f t="shared" ref="U28:U33" ca="1" si="106">IF(D28="Pendiente","-",INDEX($CS$6:$CS$53,MATCH($AF28,$BD$6:$BD$53,0)))</f>
        <v>P.3 (2)</v>
      </c>
      <c r="V28" s="172"/>
      <c r="W28" s="811"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3</v>
      </c>
      <c r="BF28" s="748">
        <f t="shared" ca="1" si="26"/>
        <v>1</v>
      </c>
      <c r="BG28" s="748">
        <f t="shared" ca="1" si="17"/>
        <v>1</v>
      </c>
      <c r="BH28" s="748">
        <f t="shared" ca="1" si="18"/>
        <v>0</v>
      </c>
      <c r="BI28" s="748">
        <f t="shared" ca="1" si="19"/>
        <v>0</v>
      </c>
      <c r="BJ28" s="748">
        <f t="shared" ca="1" si="20"/>
        <v>5</v>
      </c>
      <c r="BK28" s="748">
        <f t="shared" ca="1" si="21"/>
        <v>1</v>
      </c>
      <c r="BL28" s="748">
        <f t="shared" ca="1" si="27"/>
        <v>4</v>
      </c>
      <c r="BM28" s="748" t="str">
        <f t="shared" ca="1" si="22"/>
        <v>1F</v>
      </c>
      <c r="BN28" s="748" t="str">
        <f t="shared" ca="1" si="23"/>
        <v>1F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3</v>
      </c>
      <c r="BS28" s="757">
        <f ca="1">BP28+COUNTIFS($BQ$6:$BQ$53,BQ28,$BR$6:BR$53,"&gt;"&amp;BR28,$BC$6:$BC$53,INDEX(T_Equipos[Grupo],MATCH(BD28,T_Equipos[NombreEquipo],0)))</f>
        <v>1</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1</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1</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1</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1</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1</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1</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1</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1</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1</v>
      </c>
      <c r="DE28" s="756"/>
      <c r="DF28" s="756">
        <f t="shared" ca="1" si="52"/>
        <v>1</v>
      </c>
      <c r="DG28" s="756" t="str">
        <f ca="1">IF(DB28="-","-",COUNTIFS(DF$6:DF$53,"&lt;"&amp;DF28,$BC$6:$BC$53,INDEX(T_Equipos[Grupo],MATCH(BD28,T_Equipos[NombreEquipo],0))))</f>
        <v>-</v>
      </c>
      <c r="DH28" s="756">
        <f ca="1">DA28+COUNTIFS(DB$6:DB$53,DB28,DG$6:DG$53,"&lt;"&amp;DG28,$BC$6:$BC$53,INDEX(T_Equipos[Grupo],MATCH(BD28,T_Equipos[NombreEquipo],0)))</f>
        <v>1</v>
      </c>
      <c r="DI28" s="744"/>
      <c r="DJ28" s="744">
        <f t="shared" ca="1" si="53"/>
        <v>2</v>
      </c>
      <c r="DK28" s="744">
        <f t="shared" ca="1" si="24"/>
        <v>4</v>
      </c>
      <c r="DL28" s="744">
        <f t="shared" ca="1" si="33"/>
        <v>1</v>
      </c>
      <c r="DM28" s="738" t="str">
        <f t="shared" ca="1" si="34"/>
        <v>2.1</v>
      </c>
      <c r="DN28" s="744" cm="1">
        <f t="array" aca="1" ref="DN28" ca="1">OFFSET(Horarios!$P$3,DJ28-1,0,DL28,1)</f>
        <v>2</v>
      </c>
      <c r="DO28" s="744"/>
      <c r="DP28" s="744" t="s">
        <v>94</v>
      </c>
      <c r="DQ28" s="744" t="str">
        <f t="shared" ca="1" si="35"/>
        <v>Japón</v>
      </c>
      <c r="DR28" s="744"/>
      <c r="DS28" s="744"/>
      <c r="DT28" s="744" t="str">
        <f t="shared" ca="1" si="15"/>
        <v>Estados Unidos-Paraguay</v>
      </c>
      <c r="DU28" s="744"/>
      <c r="DV28" s="744"/>
      <c r="DW28" s="8"/>
    </row>
    <row r="29" spans="1:127" ht="16.05" customHeight="1">
      <c r="A29" s="745" t="str">
        <f ca="1">+Equipos!B14</f>
        <v>Estados Unidos</v>
      </c>
      <c r="B29" s="742"/>
      <c r="C29" s="742"/>
      <c r="D29" s="744" t="str">
        <f t="shared" si="94"/>
        <v>Local</v>
      </c>
      <c r="E29" s="744" t="str">
        <f t="shared" ca="1" si="95"/>
        <v>P.1 (2)</v>
      </c>
      <c r="F29" s="744" t="str">
        <f t="shared" ca="1" si="96"/>
        <v>P.3 (2)</v>
      </c>
      <c r="G29" s="744"/>
      <c r="H29" s="744" t="str">
        <f t="shared" ca="1" si="97"/>
        <v>P.1 (2)</v>
      </c>
      <c r="I29" s="744" t="str">
        <f t="shared" ca="1" si="98"/>
        <v>P.3 (2)</v>
      </c>
      <c r="J29" s="744"/>
      <c r="K29" s="744" t="str">
        <f t="shared" ca="1" si="99"/>
        <v>P.1 (2)</v>
      </c>
      <c r="L29" s="744" t="str">
        <f t="shared" ca="1" si="100"/>
        <v>P.3 (2)</v>
      </c>
      <c r="M29" s="744"/>
      <c r="N29" s="744" t="str">
        <f t="shared" ca="1" si="101"/>
        <v>P.1 (2)</v>
      </c>
      <c r="O29" s="744" t="str">
        <f t="shared" ca="1" si="102"/>
        <v>P.3 (2)</v>
      </c>
      <c r="P29" s="744"/>
      <c r="Q29" s="744" t="str">
        <f t="shared" ca="1" si="103"/>
        <v>P.1 (2)</v>
      </c>
      <c r="R29" s="744" t="str">
        <f t="shared" ca="1" si="104"/>
        <v>P.3 (2)</v>
      </c>
      <c r="S29" s="744"/>
      <c r="T29" s="744" t="str">
        <f t="shared" ca="1" si="105"/>
        <v>P.1 (2)</v>
      </c>
      <c r="U29" s="744" t="str">
        <f t="shared" ca="1" si="106"/>
        <v>P.3 (2)</v>
      </c>
      <c r="V29" s="172"/>
      <c r="W29" s="811"/>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1</v>
      </c>
      <c r="BG29" s="748">
        <f t="shared" ca="1" si="17"/>
        <v>0</v>
      </c>
      <c r="BH29" s="748">
        <f t="shared" ca="1" si="18"/>
        <v>0</v>
      </c>
      <c r="BI29" s="748">
        <f t="shared" ca="1" si="19"/>
        <v>1</v>
      </c>
      <c r="BJ29" s="748">
        <f t="shared" ca="1" si="20"/>
        <v>1</v>
      </c>
      <c r="BK29" s="748">
        <f t="shared" ca="1" si="21"/>
        <v>5</v>
      </c>
      <c r="BL29" s="748">
        <f t="shared" ca="1" si="27"/>
        <v>-4</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4</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05" customHeight="1">
      <c r="A30" s="745" t="str">
        <f ca="1">+Equipos!B15</f>
        <v>Paraguay</v>
      </c>
      <c r="B30" s="742"/>
      <c r="C30" s="746"/>
      <c r="D30" s="744" t="str">
        <f t="shared" si="94"/>
        <v>Pendiente</v>
      </c>
      <c r="E30" s="744" t="str">
        <f t="shared" si="95"/>
        <v>-</v>
      </c>
      <c r="F30" s="744" t="str">
        <f t="shared" si="96"/>
        <v>-</v>
      </c>
      <c r="G30" s="744"/>
      <c r="H30" s="744" t="str">
        <f t="shared" si="97"/>
        <v>-</v>
      </c>
      <c r="I30" s="744" t="str">
        <f t="shared" si="98"/>
        <v>-</v>
      </c>
      <c r="J30" s="744"/>
      <c r="K30" s="744" t="str">
        <f t="shared" si="99"/>
        <v>-</v>
      </c>
      <c r="L30" s="744" t="str">
        <f t="shared" si="100"/>
        <v>-</v>
      </c>
      <c r="M30" s="744"/>
      <c r="N30" s="744" t="str">
        <f t="shared" si="101"/>
        <v>-</v>
      </c>
      <c r="O30" s="744" t="str">
        <f t="shared" si="102"/>
        <v>-</v>
      </c>
      <c r="P30" s="744"/>
      <c r="Q30" s="744" t="str">
        <f t="shared" si="103"/>
        <v>-</v>
      </c>
      <c r="R30" s="744" t="str">
        <f t="shared" si="104"/>
        <v>-</v>
      </c>
      <c r="S30" s="744"/>
      <c r="T30" s="744" t="str">
        <f t="shared" si="105"/>
        <v>-</v>
      </c>
      <c r="U30" s="744" t="str">
        <f t="shared" si="106"/>
        <v>-</v>
      </c>
      <c r="V30" s="172"/>
      <c r="W30" s="811"/>
      <c r="X30" s="189">
        <f ca="1">Horarios!C30</f>
        <v>46192.875</v>
      </c>
      <c r="Y30" s="190">
        <f ca="1">Horarios!C30</f>
        <v>46192.875</v>
      </c>
      <c r="Z30" s="191" t="str">
        <f>$Z$6</f>
        <v>J2</v>
      </c>
      <c r="AA30" s="192" t="str">
        <f ca="1">A29</f>
        <v>Estados Unidos</v>
      </c>
      <c r="AB30" s="478" t="e" cm="1" vm="13">
        <f t="array" aca="1" ref="AB30" ca="1">Ver_flag_local</f>
        <v>#VALUE!</v>
      </c>
      <c r="AC30" s="193"/>
      <c r="AD30" s="194"/>
      <c r="AE30" s="483" t="e" cm="1" vm="15">
        <f t="array" aca="1" ref="AE30" ca="1">Ver_flag_visit</f>
        <v>#VALUE!</v>
      </c>
      <c r="AF30" s="195" t="str">
        <f ca="1">A31</f>
        <v>Australia</v>
      </c>
      <c r="AG30" s="413">
        <f t="shared" si="107"/>
        <v>0</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1</v>
      </c>
      <c r="BF30" s="748">
        <f t="shared" ca="1" si="26"/>
        <v>1</v>
      </c>
      <c r="BG30" s="748">
        <f t="shared" ca="1" si="17"/>
        <v>0</v>
      </c>
      <c r="BH30" s="748">
        <f t="shared" ca="1" si="18"/>
        <v>1</v>
      </c>
      <c r="BI30" s="748">
        <f t="shared" ca="1" si="19"/>
        <v>0</v>
      </c>
      <c r="BJ30" s="748">
        <f t="shared" ca="1" si="20"/>
        <v>1</v>
      </c>
      <c r="BK30" s="748">
        <f t="shared" ca="1" si="21"/>
        <v>1</v>
      </c>
      <c r="BL30" s="748">
        <f t="shared" ca="1" si="27"/>
        <v>0</v>
      </c>
      <c r="BM30" s="748" t="str">
        <f t="shared" ca="1" si="22"/>
        <v>3G</v>
      </c>
      <c r="BN30" s="748" t="str">
        <f t="shared" ca="1" si="23"/>
        <v>3G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1</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(4)</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(4)</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(4)</v>
      </c>
      <c r="CF30" s="758">
        <f t="shared" ca="1" si="43"/>
        <v>1</v>
      </c>
      <c r="CG30" s="758">
        <f ca="1">CD30+COUNTIFS($CE$6:$CE$53,CE30,$CF$6:CF$53,"&gt;"&amp;CF30,$BC$6:$BC$53,INDEX(T_Equipos[Grupo],MATCH(BD30,T_Equipos[NombreEquipo],0)))</f>
        <v>3</v>
      </c>
      <c r="CH30" s="757" t="str">
        <f ca="1">IF(COUNTIFS($CG$6:$CG$53,CG30,$BC$6:$BC$53,INDEX(T_Equipos[Grupo],MATCH(BD30,T_Equipos[NombreEquipo],0)))=1,"-","P."&amp;CG30&amp;" ("&amp;COUNTIFS($CG$6:$CG$53,CG30,$BC$6:$BC$53,INDEX(T_Equipos[Grupo],MATCH(BD30,T_Equipos[NombreEquipo],0)))&amp;")")</f>
        <v>P.3 (2)</v>
      </c>
      <c r="CI30" s="758">
        <f t="shared" ca="1" si="44"/>
        <v>0</v>
      </c>
      <c r="CJ30" s="758">
        <f t="shared" ca="1" si="45"/>
        <v>1</v>
      </c>
      <c r="CK30" s="758">
        <f t="shared" ca="1" si="46"/>
        <v>0</v>
      </c>
      <c r="CL30" s="758">
        <f t="shared" ca="1" si="47"/>
        <v>1</v>
      </c>
      <c r="CM30" s="758">
        <f ca="1">CG30+COUNTIFS($CH$6:$CH$53,CH30,$CL$6:CL$53,"&gt;"&amp;CL30,$BC$6:$BC$53,INDEX(T_Equipos[Grupo],MATCH(BD30,T_Equipos[NombreEquipo],0)))</f>
        <v>3</v>
      </c>
      <c r="CN30" s="757" t="str">
        <f ca="1">IF(COUNTIFS($CM$6:$CM$53,CM30,$BC$6:$BC$53,INDEX(T_Equipos[Grupo],MATCH(BD30,T_Equipos[NombreEquipo],0)))=1,"-","P."&amp;CM30&amp;" ("&amp;COUNTIFS($CM$6:$CM$53,CM30,$BC$6:$BC$53,INDEX(T_Equipos[Grupo],MATCH(BD30,T_Equipos[NombreEquipo],0)))&amp;")")</f>
        <v>P.3 (2)</v>
      </c>
      <c r="CO30" s="758">
        <f t="shared" ca="1" si="48"/>
        <v>1</v>
      </c>
      <c r="CP30" s="758">
        <f t="shared" ca="1" si="49"/>
        <v>1</v>
      </c>
      <c r="CQ30" s="758">
        <f t="shared" ca="1" si="50"/>
        <v>0</v>
      </c>
      <c r="CR30" s="758">
        <f ca="1">CM30+COUNTIFS($CN$6:$CN$53,CN30,$CQ$6:CQ$53,"&gt;"&amp;CQ30,$BC$6:$BC$53,INDEX(T_Equipos[Grupo],MATCH(BD30,T_Equipos[NombreEquipo],0)))</f>
        <v>3</v>
      </c>
      <c r="CS30" s="757" t="str">
        <f ca="1">IF(COUNTIFS($CR$6:$CR$53,CR30,$BC$6:$BC$53,INDEX(T_Equipos[Grupo],MATCH(BD30,T_Equipos[NombreEquipo],0)))=1,"-","P."&amp;CR30&amp;" ("&amp;COUNTIFS($CR$6:$CR$53,CR30,$BC$6:$BC$53,INDEX(T_Equipos[Grupo],MATCH(BD30,T_Equipos[NombreEquipo],0)))&amp;")")</f>
        <v>P.3 (2)</v>
      </c>
      <c r="CT30" s="758">
        <f t="shared" ca="1" si="51"/>
        <v>1</v>
      </c>
      <c r="CU30" s="758">
        <f ca="1">CR30+COUNTIFS($CS$6:$CS$53,CS30,$CT$6:CT$53,"&gt;"&amp;CT30,$BC$6:$BC$53,INDEX(T_Equipos[Grupo],MATCH(BD30,T_Equipos[NombreEquipo],0)))</f>
        <v>3</v>
      </c>
      <c r="CV30" s="757" t="str">
        <f ca="1">IF(COUNTIFS($CU$6:$CU$53,CU30,$BC$6:$BC$53,INDEX(T_Equipos[Grupo],MATCH(BD30,T_Equipos[NombreEquipo],0)))=1,"-","P."&amp;CU30&amp;" ("&amp;COUNTIFS($CU$6:$CU$53,CU30,$BC$6:$BC$53,INDEX(T_Equipos[Grupo],MATCH(BD30,T_Equipos[NombreEquipo],0)))&amp;")")</f>
        <v>P.3 (2)</v>
      </c>
      <c r="CW30" s="757">
        <f t="shared" ca="1" si="30"/>
        <v>0</v>
      </c>
      <c r="CX30" s="757">
        <f ca="1">CU30+COUNTIFS($CV$6:$CV$53,CV30,$CW$6:CW$53,"&gt;"&amp;CW30,$BC$6:$BC$53,INDEX(T_Equipos[Grupo],MATCH(BD30,T_Equipos[NombreEquipo],0)))</f>
        <v>3</v>
      </c>
      <c r="CY30" s="757" t="str">
        <f ca="1">IF(COUNTIFS($CX$6:$CX$53,CX30,$BC$6:$BC$53,INDEX(T_Equipos[Grupo],MATCH(BD30,T_Equipos[NombreEquipo],0)))=1,"-","P."&amp;CX30&amp;" ("&amp;COUNTIFS($CX$6:$CX$53,CX30,$BC$6:$BC$53,INDEX(T_Equipos[Grupo],MATCH(BD30,T_Equipos[NombreEquipo],0)))&amp;")")</f>
        <v>P.3 (2)</v>
      </c>
      <c r="CZ30" s="757">
        <f t="shared" ca="1" si="31"/>
        <v>1</v>
      </c>
      <c r="DA30" s="758">
        <f ca="1">CX30+COUNTIFS($CY$6:$CY$53,CY30,$CZ$6:CZ$53,"&gt;"&amp;CZ30,$BC$6:$BC$53,INDEX(T_Equipos[Grupo],MATCH(BD30,T_Equipos[NombreEquipo],0)))</f>
        <v>3</v>
      </c>
      <c r="DB30" s="757" t="str">
        <f ca="1">IF(COUNTIFS($DA$6:$DA$53,DA30,$BC$6:$BC$53,INDEX(T_Equipos[Grupo],MATCH(BD30,T_Equipos[NombreEquipo],0)))=1,"-","P."&amp;DA30&amp;" ("&amp;COUNTIFS($DA$6:$DA$53,DA30,$BC$6:$BC$53,INDEX(T_Equipos[Grupo],MATCH(BD30,T_Equipos[NombreEquipo],0)))&amp;")")</f>
        <v>P.3 (2)</v>
      </c>
      <c r="DC30" s="756">
        <f ca="1">IF(DB30="-","-",COUNTIFS(T_Equipos[Rank],"&lt;"&amp;INDEX(T_Equipos[Rank],MATCH(BD30,T_Equipos[NombreEquipo],0)),$BC$6:$BC$53,INDEX(T_Equipos[Grupo],MATCH(BD30,T_Equipos[NombreEquipo],0)))+1)</f>
        <v>1</v>
      </c>
      <c r="DD30" s="756">
        <f ca="1">DA30+COUNTIFS($DB$6:$DB$53,DB30,$DC$6:DC$53,"&lt;"&amp;DC30,$BC$6:$BC$53,INDEX(T_Equipos[Grupo],MATCH(BD30,T_Equipos[NombreEquipo],0)))</f>
        <v>3</v>
      </c>
      <c r="DE30" s="756"/>
      <c r="DF30" s="756">
        <f t="shared" ca="1" si="52"/>
        <v>3</v>
      </c>
      <c r="DG30" s="756">
        <f ca="1">IF(DB30="-","-",COUNTIFS(DF$6:DF$53,"&lt;"&amp;DF30,$BC$6:$BC$53,INDEX(T_Equipos[Grupo],MATCH(BD30,T_Equipos[NombreEquipo],0))))</f>
        <v>2</v>
      </c>
      <c r="DH30" s="756">
        <f ca="1">DA30+COUNTIFS(DB$6:DB$53,DB30,DG$6:DG$53,"&lt;"&amp;DG30,$BC$6:$BC$53,INDEX(T_Equipos[Grupo],MATCH(BD30,T_Equipos[NombreEquipo],0)))</f>
        <v>3</v>
      </c>
      <c r="DI30" s="744"/>
      <c r="DJ30" s="744">
        <f t="shared" ca="1" si="53"/>
        <v>1</v>
      </c>
      <c r="DK30" s="744">
        <f t="shared" ca="1" si="24"/>
        <v>4</v>
      </c>
      <c r="DL30" s="744">
        <f t="shared" ca="1" si="33"/>
        <v>1</v>
      </c>
      <c r="DM30" s="738" t="str">
        <f t="shared" ca="1" si="34"/>
        <v>1.1</v>
      </c>
      <c r="DN30" s="744" cm="1">
        <f t="array" aca="1" ref="DN30" ca="1">OFFSET(Horarios!$P$3,DJ30-1,0,DL30,1)</f>
        <v>1</v>
      </c>
      <c r="DO30" s="744"/>
      <c r="DP30" s="744" t="s">
        <v>667</v>
      </c>
      <c r="DQ30" s="744" t="str">
        <f t="shared" ca="1" si="35"/>
        <v>Irán</v>
      </c>
      <c r="DR30" s="744"/>
      <c r="DS30" s="744"/>
      <c r="DT30" s="744" t="str">
        <f t="shared" ca="1" si="15"/>
        <v>Estados Unidos-Australia</v>
      </c>
      <c r="DU30" s="744"/>
      <c r="DV30" s="744"/>
      <c r="DW30" s="8"/>
    </row>
    <row r="31" spans="1:127" ht="16.05" customHeight="1">
      <c r="A31" s="745" t="str">
        <f ca="1">+Equipos!B16</f>
        <v>Australia</v>
      </c>
      <c r="B31" s="742"/>
      <c r="C31" s="744"/>
      <c r="D31" s="744" t="str">
        <f t="shared" si="94"/>
        <v>Pendiente</v>
      </c>
      <c r="E31" s="744" t="str">
        <f t="shared" si="95"/>
        <v>-</v>
      </c>
      <c r="F31" s="744" t="str">
        <f t="shared" si="96"/>
        <v>-</v>
      </c>
      <c r="G31" s="744"/>
      <c r="H31" s="744" t="str">
        <f t="shared" si="97"/>
        <v>-</v>
      </c>
      <c r="I31" s="744" t="str">
        <f t="shared" si="98"/>
        <v>-</v>
      </c>
      <c r="J31" s="744"/>
      <c r="K31" s="744" t="str">
        <f t="shared" si="99"/>
        <v>-</v>
      </c>
      <c r="L31" s="744" t="str">
        <f t="shared" si="100"/>
        <v>-</v>
      </c>
      <c r="M31" s="744"/>
      <c r="N31" s="744" t="str">
        <f t="shared" si="101"/>
        <v>-</v>
      </c>
      <c r="O31" s="744" t="str">
        <f t="shared" si="102"/>
        <v>-</v>
      </c>
      <c r="P31" s="744"/>
      <c r="Q31" s="744" t="str">
        <f t="shared" si="103"/>
        <v>-</v>
      </c>
      <c r="R31" s="744" t="str">
        <f t="shared" si="104"/>
        <v>-</v>
      </c>
      <c r="S31" s="744"/>
      <c r="T31" s="744" t="str">
        <f t="shared" si="105"/>
        <v>-</v>
      </c>
      <c r="U31" s="744" t="str">
        <f t="shared" si="106"/>
        <v>-</v>
      </c>
      <c r="V31" s="172"/>
      <c r="W31" s="811"/>
      <c r="X31" s="189">
        <f ca="1">Horarios!C31</f>
        <v>46193.208333333336</v>
      </c>
      <c r="Y31" s="190">
        <f ca="1">Horarios!C31</f>
        <v>46193.208333333336</v>
      </c>
      <c r="Z31" s="191" t="str">
        <f>$Z$6</f>
        <v>J2</v>
      </c>
      <c r="AA31" s="192" t="str">
        <f ca="1">A32</f>
        <v>Turquía</v>
      </c>
      <c r="AB31" s="478" t="e" cm="1" vm="16">
        <f t="array" aca="1" ref="AB31" ca="1">Ver_flag_local</f>
        <v>#VALUE!</v>
      </c>
      <c r="AC31" s="193"/>
      <c r="AD31" s="194"/>
      <c r="AE31" s="483" t="e" cm="1" vm="14">
        <f t="array" aca="1" ref="AE31" ca="1">Ver_flag_visit</f>
        <v>#VALUE!</v>
      </c>
      <c r="AF31" s="195" t="str">
        <f ca="1">A30</f>
        <v>Paraguay</v>
      </c>
      <c r="AG31" s="413">
        <f t="shared" si="107"/>
        <v>0</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1</v>
      </c>
      <c r="BF31" s="748">
        <f t="shared" ca="1" si="26"/>
        <v>1</v>
      </c>
      <c r="BG31" s="748">
        <f t="shared" ca="1" si="17"/>
        <v>0</v>
      </c>
      <c r="BH31" s="748">
        <f t="shared" ca="1" si="18"/>
        <v>1</v>
      </c>
      <c r="BI31" s="748">
        <f t="shared" ca="1" si="19"/>
        <v>0</v>
      </c>
      <c r="BJ31" s="748">
        <f t="shared" ca="1" si="20"/>
        <v>1</v>
      </c>
      <c r="BK31" s="748">
        <f t="shared" ca="1" si="21"/>
        <v>1</v>
      </c>
      <c r="BL31" s="748">
        <f t="shared" ca="1" si="27"/>
        <v>0</v>
      </c>
      <c r="BM31" s="748" t="str">
        <f t="shared" ca="1" si="22"/>
        <v>4G</v>
      </c>
      <c r="BN31" s="748" t="str">
        <f t="shared" ca="1" si="23"/>
        <v>4G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1</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(4)</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(4)</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(4)</v>
      </c>
      <c r="CF31" s="758">
        <f t="shared" ca="1" si="43"/>
        <v>1</v>
      </c>
      <c r="CG31" s="758">
        <f ca="1">CD31+COUNTIFS($CE$6:$CE$53,CE31,$CF$6:CF$53,"&gt;"&amp;CF31,$BC$6:$BC$53,INDEX(T_Equipos[Grupo],MATCH(BD31,T_Equipos[NombreEquipo],0)))</f>
        <v>3</v>
      </c>
      <c r="CH31" s="757" t="str">
        <f ca="1">IF(COUNTIFS($CG$6:$CG$53,CG31,$BC$6:$BC$53,INDEX(T_Equipos[Grupo],MATCH(BD31,T_Equipos[NombreEquipo],0)))=1,"-","P."&amp;CG31&amp;" ("&amp;COUNTIFS($CG$6:$CG$53,CG31,$BC$6:$BC$53,INDEX(T_Equipos[Grupo],MATCH(BD31,T_Equipos[NombreEquipo],0)))&amp;")")</f>
        <v>P.3 (2)</v>
      </c>
      <c r="CI31" s="758">
        <f t="shared" ca="1" si="44"/>
        <v>0</v>
      </c>
      <c r="CJ31" s="758">
        <f t="shared" ca="1" si="45"/>
        <v>1</v>
      </c>
      <c r="CK31" s="758">
        <f t="shared" ca="1" si="46"/>
        <v>0</v>
      </c>
      <c r="CL31" s="758">
        <f t="shared" ca="1" si="47"/>
        <v>1</v>
      </c>
      <c r="CM31" s="758">
        <f ca="1">CG31+COUNTIFS($CH$6:$CH$53,CH31,$CL$6:CL$53,"&gt;"&amp;CL31,$BC$6:$BC$53,INDEX(T_Equipos[Grupo],MATCH(BD31,T_Equipos[NombreEquipo],0)))</f>
        <v>3</v>
      </c>
      <c r="CN31" s="757" t="str">
        <f ca="1">IF(COUNTIFS($CM$6:$CM$53,CM31,$BC$6:$BC$53,INDEX(T_Equipos[Grupo],MATCH(BD31,T_Equipos[NombreEquipo],0)))=1,"-","P."&amp;CM31&amp;" ("&amp;COUNTIFS($CM$6:$CM$53,CM31,$BC$6:$BC$53,INDEX(T_Equipos[Grupo],MATCH(BD31,T_Equipos[NombreEquipo],0)))&amp;")")</f>
        <v>P.3 (2)</v>
      </c>
      <c r="CO31" s="758">
        <f t="shared" ca="1" si="48"/>
        <v>1</v>
      </c>
      <c r="CP31" s="758">
        <f t="shared" ca="1" si="49"/>
        <v>1</v>
      </c>
      <c r="CQ31" s="758">
        <f t="shared" ca="1" si="50"/>
        <v>0</v>
      </c>
      <c r="CR31" s="758">
        <f ca="1">CM31+COUNTIFS($CN$6:$CN$53,CN31,$CQ$6:CQ$53,"&gt;"&amp;CQ31,$BC$6:$BC$53,INDEX(T_Equipos[Grupo],MATCH(BD31,T_Equipos[NombreEquipo],0)))</f>
        <v>3</v>
      </c>
      <c r="CS31" s="757" t="str">
        <f ca="1">IF(COUNTIFS($CR$6:$CR$53,CR31,$BC$6:$BC$53,INDEX(T_Equipos[Grupo],MATCH(BD31,T_Equipos[NombreEquipo],0)))=1,"-","P."&amp;CR31&amp;" ("&amp;COUNTIFS($CR$6:$CR$53,CR31,$BC$6:$BC$53,INDEX(T_Equipos[Grupo],MATCH(BD31,T_Equipos[NombreEquipo],0)))&amp;")")</f>
        <v>P.3 (2)</v>
      </c>
      <c r="CT31" s="758">
        <f t="shared" ca="1" si="51"/>
        <v>1</v>
      </c>
      <c r="CU31" s="758">
        <f ca="1">CR31+COUNTIFS($CS$6:$CS$53,CS31,$CT$6:CT$53,"&gt;"&amp;CT31,$BC$6:$BC$53,INDEX(T_Equipos[Grupo],MATCH(BD31,T_Equipos[NombreEquipo],0)))</f>
        <v>3</v>
      </c>
      <c r="CV31" s="757" t="str">
        <f ca="1">IF(COUNTIFS($CU$6:$CU$53,CU31,$BC$6:$BC$53,INDEX(T_Equipos[Grupo],MATCH(BD31,T_Equipos[NombreEquipo],0)))=1,"-","P."&amp;CU31&amp;" ("&amp;COUNTIFS($CU$6:$CU$53,CU31,$BC$6:$BC$53,INDEX(T_Equipos[Grupo],MATCH(BD31,T_Equipos[NombreEquipo],0)))&amp;")")</f>
        <v>P.3 (2)</v>
      </c>
      <c r="CW31" s="757">
        <f t="shared" ca="1" si="30"/>
        <v>0</v>
      </c>
      <c r="CX31" s="757">
        <f ca="1">CU31+COUNTIFS($CV$6:$CV$53,CV31,$CW$6:CW$53,"&gt;"&amp;CW31,$BC$6:$BC$53,INDEX(T_Equipos[Grupo],MATCH(BD31,T_Equipos[NombreEquipo],0)))</f>
        <v>3</v>
      </c>
      <c r="CY31" s="757" t="str">
        <f ca="1">IF(COUNTIFS($CX$6:$CX$53,CX31,$BC$6:$BC$53,INDEX(T_Equipos[Grupo],MATCH(BD31,T_Equipos[NombreEquipo],0)))=1,"-","P."&amp;CX31&amp;" ("&amp;COUNTIFS($CX$6:$CX$53,CX31,$BC$6:$BC$53,INDEX(T_Equipos[Grupo],MATCH(BD31,T_Equipos[NombreEquipo],0)))&amp;")")</f>
        <v>P.3 (2)</v>
      </c>
      <c r="CZ31" s="757">
        <f t="shared" ca="1" si="31"/>
        <v>1</v>
      </c>
      <c r="DA31" s="758">
        <f ca="1">CX31+COUNTIFS($CY$6:$CY$53,CY31,$CZ$6:CZ$53,"&gt;"&amp;CZ31,$BC$6:$BC$53,INDEX(T_Equipos[Grupo],MATCH(BD31,T_Equipos[NombreEquipo],0)))</f>
        <v>3</v>
      </c>
      <c r="DB31" s="757" t="str">
        <f ca="1">IF(COUNTIFS($DA$6:$DA$53,DA31,$BC$6:$BC$53,INDEX(T_Equipos[Grupo],MATCH(BD31,T_Equipos[NombreEquipo],0)))=1,"-","P."&amp;DA31&amp;" ("&amp;COUNTIFS($DA$6:$DA$53,DA31,$BC$6:$BC$53,INDEX(T_Equipos[Grupo],MATCH(BD31,T_Equipos[NombreEquipo],0)))&amp;")")</f>
        <v>P.3 (2)</v>
      </c>
      <c r="DC31" s="756">
        <f ca="1">IF(DB31="-","-",COUNTIFS(T_Equipos[Rank],"&lt;"&amp;INDEX(T_Equipos[Rank],MATCH(BD31,T_Equipos[NombreEquipo],0)),$BC$6:$BC$53,INDEX(T_Equipos[Grupo],MATCH(BD31,T_Equipos[NombreEquipo],0)))+1)</f>
        <v>2</v>
      </c>
      <c r="DD31" s="756">
        <f ca="1">DA31+COUNTIFS($DB$6:$DB$53,DB31,$DC$6:DC$53,"&lt;"&amp;DC31,$BC$6:$BC$53,INDEX(T_Equipos[Grupo],MATCH(BD31,T_Equipos[NombreEquipo],0)))</f>
        <v>4</v>
      </c>
      <c r="DE31" s="756"/>
      <c r="DF31" s="756">
        <f t="shared" ca="1" si="52"/>
        <v>4</v>
      </c>
      <c r="DG31" s="756">
        <f ca="1">IF(DB31="-","-",COUNTIFS(DF$6:DF$53,"&lt;"&amp;DF31,$BC$6:$BC$53,INDEX(T_Equipos[Grupo],MATCH(BD31,T_Equipos[NombreEquipo],0))))</f>
        <v>3</v>
      </c>
      <c r="DH31" s="756">
        <f ca="1">DA31+COUNTIFS(DB$6:DB$53,DB31,DG$6:DG$53,"&lt;"&amp;DG31,$BC$6:$BC$53,INDEX(T_Equipos[Grupo],MATCH(BD31,T_Equipos[NombreEquipo],0)))</f>
        <v>4</v>
      </c>
      <c r="DI31" s="744"/>
      <c r="DJ31" s="744">
        <f t="shared" ca="1" si="53"/>
        <v>1</v>
      </c>
      <c r="DK31" s="744">
        <f t="shared" ca="1" si="24"/>
        <v>4</v>
      </c>
      <c r="DL31" s="744">
        <f t="shared" ca="1" si="33"/>
        <v>1</v>
      </c>
      <c r="DM31" s="738" t="str">
        <f t="shared" ca="1" si="34"/>
        <v>1.1</v>
      </c>
      <c r="DN31" s="744" cm="1">
        <f t="array" aca="1" ref="DN31" ca="1">OFFSET(Horarios!$P$3,DJ31-1,0,DL31,1)</f>
        <v>1</v>
      </c>
      <c r="DO31" s="744"/>
      <c r="DP31" s="744" t="s">
        <v>668</v>
      </c>
      <c r="DQ31" s="744" t="str">
        <f t="shared" ca="1" si="35"/>
        <v>Nueva Zelanda</v>
      </c>
      <c r="DR31" s="744"/>
      <c r="DS31" s="744"/>
      <c r="DT31" s="744" t="str">
        <f t="shared" ca="1" si="15"/>
        <v>Turquía-Paraguay</v>
      </c>
      <c r="DU31" s="744"/>
      <c r="DV31" s="744"/>
      <c r="DW31" s="8"/>
    </row>
    <row r="32" spans="1:127" ht="16.05" customHeight="1">
      <c r="A32" s="745" t="str">
        <f ca="1">+Equipos!B17</f>
        <v>Turquía</v>
      </c>
      <c r="B32" s="742"/>
      <c r="C32" s="744"/>
      <c r="D32" s="744" t="str">
        <f t="shared" si="94"/>
        <v>Pendiente</v>
      </c>
      <c r="E32" s="744" t="str">
        <f t="shared" si="95"/>
        <v>-</v>
      </c>
      <c r="F32" s="744" t="str">
        <f t="shared" si="96"/>
        <v>-</v>
      </c>
      <c r="G32" s="744"/>
      <c r="H32" s="744" t="str">
        <f t="shared" si="97"/>
        <v>-</v>
      </c>
      <c r="I32" s="744" t="str">
        <f t="shared" si="98"/>
        <v>-</v>
      </c>
      <c r="J32" s="744"/>
      <c r="K32" s="744" t="str">
        <f t="shared" si="99"/>
        <v>-</v>
      </c>
      <c r="L32" s="744" t="str">
        <f t="shared" si="100"/>
        <v>-</v>
      </c>
      <c r="M32" s="744"/>
      <c r="N32" s="744" t="str">
        <f t="shared" si="101"/>
        <v>-</v>
      </c>
      <c r="O32" s="744" t="str">
        <f t="shared" si="102"/>
        <v>-</v>
      </c>
      <c r="P32" s="744"/>
      <c r="Q32" s="744" t="str">
        <f t="shared" si="103"/>
        <v>-</v>
      </c>
      <c r="R32" s="744" t="str">
        <f t="shared" si="104"/>
        <v>-</v>
      </c>
      <c r="S32" s="744"/>
      <c r="T32" s="744" t="str">
        <f t="shared" si="105"/>
        <v>-</v>
      </c>
      <c r="U32" s="744" t="str">
        <f t="shared" si="106"/>
        <v>-</v>
      </c>
      <c r="V32" s="172"/>
      <c r="W32" s="811"/>
      <c r="X32" s="189">
        <f ca="1">Horarios!C32</f>
        <v>46199.166666666664</v>
      </c>
      <c r="Y32" s="190">
        <f ca="1">Horarios!C32</f>
        <v>46199.166666666664</v>
      </c>
      <c r="Z32" s="191" t="str">
        <f>$Z$8</f>
        <v>J3</v>
      </c>
      <c r="AA32" s="192" t="str">
        <f ca="1">A32</f>
        <v>Turquía</v>
      </c>
      <c r="AB32" s="478" t="e" cm="1" vm="16">
        <f t="array" aca="1" ref="AB32" ca="1">Ver_flag_local</f>
        <v>#VALUE!</v>
      </c>
      <c r="AC32" s="193"/>
      <c r="AD32" s="194"/>
      <c r="AE32" s="483" t="e" cm="1" vm="13">
        <f t="array" aca="1" ref="AE32" ca="1">Ver_flag_visit</f>
        <v>#VALUE!</v>
      </c>
      <c r="AF32" s="195" t="str">
        <f ca="1">A29</f>
        <v>Estados Unidos</v>
      </c>
      <c r="AG32" s="413">
        <f t="shared" si="107"/>
        <v>0</v>
      </c>
      <c r="AH32" s="196">
        <v>59</v>
      </c>
      <c r="AI32" s="19" t="str">
        <f t="shared" si="112"/>
        <v>3D</v>
      </c>
      <c r="AJ32" s="221">
        <v>3</v>
      </c>
      <c r="AK32" s="486" t="e" cm="1" vm="16">
        <f t="array" aca="1" ref="AK32" ca="1">Ver_flag_visit</f>
        <v>#VALUE!</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4"/>
      <c r="BC32" s="756" t="str">
        <f ca="1">+INDEX(T_Equipos[Grupo],MATCH(WORLDCUP!BD32,T_Equipos[NombreEquipo],0))</f>
        <v>G</v>
      </c>
      <c r="BD32" s="744" t="str">
        <f ca="1">+Equipos!B28</f>
        <v>Irán</v>
      </c>
      <c r="BE32" s="748">
        <f t="shared" ca="1" si="25"/>
        <v>1</v>
      </c>
      <c r="BF32" s="748">
        <f t="shared" ca="1" si="26"/>
        <v>1</v>
      </c>
      <c r="BG32" s="748">
        <f t="shared" ca="1" si="17"/>
        <v>0</v>
      </c>
      <c r="BH32" s="748">
        <f t="shared" ca="1" si="18"/>
        <v>1</v>
      </c>
      <c r="BI32" s="748">
        <f t="shared" ca="1" si="19"/>
        <v>0</v>
      </c>
      <c r="BJ32" s="748">
        <f t="shared" ca="1" si="20"/>
        <v>2</v>
      </c>
      <c r="BK32" s="748">
        <f t="shared" ca="1" si="21"/>
        <v>2</v>
      </c>
      <c r="BL32" s="748">
        <f t="shared" ca="1" si="27"/>
        <v>0</v>
      </c>
      <c r="BM32" s="748" t="str">
        <f t="shared" ca="1" si="22"/>
        <v>1G</v>
      </c>
      <c r="BN32" s="748" t="str">
        <f t="shared" ca="1" si="23"/>
        <v>1G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1</v>
      </c>
      <c r="BS32" s="757">
        <f ca="1">BP32+COUNTIFS($BQ$6:$BQ$53,BQ32,$BR$6:BR$53,"&gt;"&amp;BR32,$BC$6:$BC$53,INDEX(T_Equipos[Grupo],MATCH(BD32,T_Equipos[NombreEquipo],0)))</f>
        <v>1</v>
      </c>
      <c r="BT32" s="757" t="str">
        <f ca="1">IF(COUNTIFS($BS$6:$BS$53,BS32,$BC$6:$BC$53,INDEX(T_Equipos[Grupo],MATCH(BD32,T_Equipos[NombreEquipo],0)))=1,"-","P."&amp;BS32&amp;" ("&amp;COUNTIFS($BS$6:$BS$53,BS32,$BC$6:$BC$53,INDEX(T_Equipos[Grupo],MATCH(BD32,T_Equipos[NombreEquipo],0)))&amp;")")</f>
        <v>P.1 (4)</v>
      </c>
      <c r="BU32" s="758">
        <f t="shared" ca="1" si="36"/>
        <v>0</v>
      </c>
      <c r="BV32" s="758">
        <f t="shared" ca="1" si="37"/>
        <v>1</v>
      </c>
      <c r="BW32" s="758">
        <f t="shared" ca="1" si="38"/>
        <v>0</v>
      </c>
      <c r="BX32" s="758">
        <f t="shared" ca="1" si="39"/>
        <v>1</v>
      </c>
      <c r="BY32" s="758">
        <f ca="1">BS32+COUNTIFS($BT$6:$BT$53,BT32,$BX$6:BX$53,"&gt;"&amp;BX32,$BC$6:$BC$53,INDEX(T_Equipos[Grupo],MATCH(BD32,T_Equipos[NombreEquipo],0)))</f>
        <v>1</v>
      </c>
      <c r="BZ32" s="757" t="str">
        <f ca="1">IF(COUNTIFS($BY$6:$BY$53,BY32,$BC$6:$BC$53,INDEX(T_Equipos[Grupo],MATCH(BD32,T_Equipos[NombreEquipo],0)))=1,"-","P."&amp;BY32&amp;" ("&amp;COUNTIFS($BY$6:$BY$53,BY32,$BC$6:$BC$53,INDEX(T_Equipos[Grupo],MATCH(BD32,T_Equipos[NombreEquipo],0)))&amp;")")</f>
        <v>P.1 (4)</v>
      </c>
      <c r="CA32" s="758">
        <f t="shared" ca="1" si="40"/>
        <v>2</v>
      </c>
      <c r="CB32" s="758">
        <f t="shared" ca="1" si="41"/>
        <v>2</v>
      </c>
      <c r="CC32" s="758">
        <f t="shared" ca="1" si="42"/>
        <v>0</v>
      </c>
      <c r="CD32" s="758">
        <f ca="1">BY32+COUNTIFS($BZ$6:$BZ$53,BZ32,$CC$6:CC$53,"&gt;"&amp;CC32,$BC$6:$BC$53,INDEX(T_Equipos[Grupo],MATCH(BD32,T_Equipos[NombreEquipo],0)))</f>
        <v>1</v>
      </c>
      <c r="CE32" s="757" t="str">
        <f ca="1">IF(COUNTIFS($CD$6:$CD$53,CD32,$BC$6:$BC$53,INDEX(T_Equipos[Grupo],MATCH(BD32,T_Equipos[NombreEquipo],0)))=1,"-","P."&amp;CD32&amp;" ("&amp;COUNTIFS($CD$6:$CD$53,CD32,$BC$6:$BC$53,INDEX(T_Equipos[Grupo],MATCH(BD32,T_Equipos[NombreEquipo],0)))&amp;")")</f>
        <v>P.1 (4)</v>
      </c>
      <c r="CF32" s="758">
        <f t="shared" ca="1" si="43"/>
        <v>2</v>
      </c>
      <c r="CG32" s="758">
        <f ca="1">CD32+COUNTIFS($CE$6:$CE$53,CE32,$CF$6:CF$53,"&gt;"&amp;CF32,$BC$6:$BC$53,INDEX(T_Equipos[Grupo],MATCH(BD32,T_Equipos[NombreEquipo],0)))</f>
        <v>1</v>
      </c>
      <c r="CH32" s="757" t="str">
        <f ca="1">IF(COUNTIFS($CG$6:$CG$53,CG32,$BC$6:$BC$53,INDEX(T_Equipos[Grupo],MATCH(BD32,T_Equipos[NombreEquipo],0)))=1,"-","P."&amp;CG32&amp;" ("&amp;COUNTIFS($CG$6:$CG$53,CG32,$BC$6:$BC$53,INDEX(T_Equipos[Grupo],MATCH(BD32,T_Equipos[NombreEquipo],0)))&amp;")")</f>
        <v>P.1 (2)</v>
      </c>
      <c r="CI32" s="758">
        <f t="shared" ca="1" si="44"/>
        <v>0</v>
      </c>
      <c r="CJ32" s="758">
        <f t="shared" ca="1" si="45"/>
        <v>1</v>
      </c>
      <c r="CK32" s="758">
        <f t="shared" ca="1" si="46"/>
        <v>0</v>
      </c>
      <c r="CL32" s="758">
        <f t="shared" ca="1" si="47"/>
        <v>1</v>
      </c>
      <c r="CM32" s="758">
        <f ca="1">CG32+COUNTIFS($CH$6:$CH$53,CH32,$CL$6:CL$53,"&gt;"&amp;CL32,$BC$6:$BC$53,INDEX(T_Equipos[Grupo],MATCH(BD32,T_Equipos[NombreEquipo],0)))</f>
        <v>1</v>
      </c>
      <c r="CN32" s="757" t="str">
        <f ca="1">IF(COUNTIFS($CM$6:$CM$53,CM32,$BC$6:$BC$53,INDEX(T_Equipos[Grupo],MATCH(BD32,T_Equipos[NombreEquipo],0)))=1,"-","P."&amp;CM32&amp;" ("&amp;COUNTIFS($CM$6:$CM$53,CM32,$BC$6:$BC$53,INDEX(T_Equipos[Grupo],MATCH(BD32,T_Equipos[NombreEquipo],0)))&amp;")")</f>
        <v>P.1 (2)</v>
      </c>
      <c r="CO32" s="758">
        <f t="shared" ca="1" si="48"/>
        <v>2</v>
      </c>
      <c r="CP32" s="758">
        <f t="shared" ca="1" si="49"/>
        <v>2</v>
      </c>
      <c r="CQ32" s="758">
        <f t="shared" ca="1" si="50"/>
        <v>0</v>
      </c>
      <c r="CR32" s="758">
        <f ca="1">CM32+COUNTIFS($CN$6:$CN$53,CN32,$CQ$6:CQ$53,"&gt;"&amp;CQ32,$BC$6:$BC$53,INDEX(T_Equipos[Grupo],MATCH(BD32,T_Equipos[NombreEquipo],0)))</f>
        <v>1</v>
      </c>
      <c r="CS32" s="757" t="str">
        <f ca="1">IF(COUNTIFS($CR$6:$CR$53,CR32,$BC$6:$BC$53,INDEX(T_Equipos[Grupo],MATCH(BD32,T_Equipos[NombreEquipo],0)))=1,"-","P."&amp;CR32&amp;" ("&amp;COUNTIFS($CR$6:$CR$53,CR32,$BC$6:$BC$53,INDEX(T_Equipos[Grupo],MATCH(BD32,T_Equipos[NombreEquipo],0)))&amp;")")</f>
        <v>P.1 (2)</v>
      </c>
      <c r="CT32" s="758">
        <f t="shared" ca="1" si="51"/>
        <v>2</v>
      </c>
      <c r="CU32" s="758">
        <f ca="1">CR32+COUNTIFS($CS$6:$CS$53,CS32,$CT$6:CT$53,"&gt;"&amp;CT32,$BC$6:$BC$53,INDEX(T_Equipos[Grupo],MATCH(BD32,T_Equipos[NombreEquipo],0)))</f>
        <v>1</v>
      </c>
      <c r="CV32" s="757" t="str">
        <f ca="1">IF(COUNTIFS($CU$6:$CU$53,CU32,$BC$6:$BC$53,INDEX(T_Equipos[Grupo],MATCH(BD32,T_Equipos[NombreEquipo],0)))=1,"-","P."&amp;CU32&amp;" ("&amp;COUNTIFS($CU$6:$CU$53,CU32,$BC$6:$BC$53,INDEX(T_Equipos[Grupo],MATCH(BD32,T_Equipos[NombreEquipo],0)))&amp;")")</f>
        <v>P.1 (2)</v>
      </c>
      <c r="CW32" s="757">
        <f t="shared" ca="1" si="30"/>
        <v>0</v>
      </c>
      <c r="CX32" s="757">
        <f ca="1">CU32+COUNTIFS($CV$6:$CV$53,CV32,$CW$6:CW$53,"&gt;"&amp;CW32,$BC$6:$BC$53,INDEX(T_Equipos[Grupo],MATCH(BD32,T_Equipos[NombreEquipo],0)))</f>
        <v>1</v>
      </c>
      <c r="CY32" s="757" t="str">
        <f ca="1">IF(COUNTIFS($CX$6:$CX$53,CX32,$BC$6:$BC$53,INDEX(T_Equipos[Grupo],MATCH(BD32,T_Equipos[NombreEquipo],0)))=1,"-","P."&amp;CX32&amp;" ("&amp;COUNTIFS($CX$6:$CX$53,CX32,$BC$6:$BC$53,INDEX(T_Equipos[Grupo],MATCH(BD32,T_Equipos[NombreEquipo],0)))&amp;")")</f>
        <v>P.1 (2)</v>
      </c>
      <c r="CZ32" s="757">
        <f t="shared" ca="1" si="31"/>
        <v>2</v>
      </c>
      <c r="DA32" s="758">
        <f ca="1">CX32+COUNTIFS($CY$6:$CY$53,CY32,$CZ$6:CZ$53,"&gt;"&amp;CZ32,$BC$6:$BC$53,INDEX(T_Equipos[Grupo],MATCH(BD32,T_Equipos[NombreEquipo],0)))</f>
        <v>1</v>
      </c>
      <c r="DB32" s="757" t="str">
        <f ca="1">IF(COUNTIFS($DA$6:$DA$53,DA32,$BC$6:$BC$53,INDEX(T_Equipos[Grupo],MATCH(BD32,T_Equipos[NombreEquipo],0)))=1,"-","P."&amp;DA32&amp;" ("&amp;COUNTIFS($DA$6:$DA$53,DA32,$BC$6:$BC$53,INDEX(T_Equipos[Grupo],MATCH(BD32,T_Equipos[NombreEquipo],0)))&amp;")")</f>
        <v>P.1 (2)</v>
      </c>
      <c r="DC32" s="756">
        <f ca="1">IF(DB32="-","-",COUNTIFS(T_Equipos[Rank],"&lt;"&amp;INDEX(T_Equipos[Rank],MATCH(BD32,T_Equipos[NombreEquipo],0)),$BC$6:$BC$53,INDEX(T_Equipos[Grupo],MATCH(BD32,T_Equipos[NombreEquipo],0)))+1)</f>
        <v>3</v>
      </c>
      <c r="DD32" s="756">
        <f ca="1">DA32+COUNTIFS($DB$6:$DB$53,DB32,$DC$6:DC$53,"&lt;"&amp;DC32,$BC$6:$BC$53,INDEX(T_Equipos[Grupo],MATCH(BD32,T_Equipos[NombreEquipo],0)))</f>
        <v>1</v>
      </c>
      <c r="DE32" s="756"/>
      <c r="DF32" s="756">
        <f t="shared" ca="1" si="52"/>
        <v>1</v>
      </c>
      <c r="DG32" s="756">
        <f ca="1">IF(DB32="-","-",COUNTIFS(DF$6:DF$53,"&lt;"&amp;DF32,$BC$6:$BC$53,INDEX(T_Equipos[Grupo],MATCH(BD32,T_Equipos[NombreEquipo],0))))</f>
        <v>0</v>
      </c>
      <c r="DH32" s="756">
        <f ca="1">DA32+COUNTIFS(DB$6:DB$53,DB32,DG$6:DG$53,"&lt;"&amp;DG32,$BC$6:$BC$53,INDEX(T_Equipos[Grupo],MATCH(BD32,T_Equipos[NombreEquipo],0)))</f>
        <v>1</v>
      </c>
      <c r="DI32" s="744"/>
      <c r="DJ32" s="744">
        <f t="shared" ca="1" si="53"/>
        <v>3</v>
      </c>
      <c r="DK32" s="744">
        <f t="shared" ca="1" si="24"/>
        <v>4</v>
      </c>
      <c r="DL32" s="744">
        <f t="shared" ca="1" si="33"/>
        <v>1</v>
      </c>
      <c r="DM32" s="738" t="str">
        <f t="shared" ca="1" si="34"/>
        <v>3.1</v>
      </c>
      <c r="DN32" s="744" cm="1">
        <f t="array" aca="1" ref="DN32" ca="1">OFFSET(Horarios!$P$3,DJ32-1,0,DL32,1)</f>
        <v>3</v>
      </c>
      <c r="DO32" s="744"/>
      <c r="DP32" s="744" t="s">
        <v>435</v>
      </c>
      <c r="DQ32" s="744" t="str">
        <f t="shared" ca="1" si="35"/>
        <v>Bélgica</v>
      </c>
      <c r="DR32" s="744"/>
      <c r="DS32" s="744"/>
      <c r="DT32" s="744" t="str">
        <f t="shared" ca="1" si="15"/>
        <v>Turquía-Estados Unidos</v>
      </c>
      <c r="DU32" s="744"/>
      <c r="DV32" s="744"/>
      <c r="DW32" s="8"/>
    </row>
    <row r="33" spans="1:127" ht="16.95" customHeight="1" thickBot="1">
      <c r="A33" s="739"/>
      <c r="B33" s="739"/>
      <c r="C33" s="739"/>
      <c r="D33" s="744" t="str">
        <f t="shared" si="94"/>
        <v>Pendiente</v>
      </c>
      <c r="E33" s="744" t="str">
        <f t="shared" si="95"/>
        <v>-</v>
      </c>
      <c r="F33" s="744" t="str">
        <f t="shared" si="96"/>
        <v>-</v>
      </c>
      <c r="G33" s="744"/>
      <c r="H33" s="744" t="str">
        <f t="shared" si="97"/>
        <v>-</v>
      </c>
      <c r="I33" s="744" t="str">
        <f t="shared" si="98"/>
        <v>-</v>
      </c>
      <c r="J33" s="744"/>
      <c r="K33" s="744" t="str">
        <f t="shared" si="99"/>
        <v>-</v>
      </c>
      <c r="L33" s="744" t="str">
        <f t="shared" si="100"/>
        <v>-</v>
      </c>
      <c r="M33" s="744"/>
      <c r="N33" s="744" t="str">
        <f t="shared" si="101"/>
        <v>-</v>
      </c>
      <c r="O33" s="744" t="str">
        <f t="shared" si="102"/>
        <v>-</v>
      </c>
      <c r="P33" s="744"/>
      <c r="Q33" s="744" t="str">
        <f t="shared" si="103"/>
        <v>-</v>
      </c>
      <c r="R33" s="744" t="str">
        <f t="shared" si="104"/>
        <v>-</v>
      </c>
      <c r="S33" s="744"/>
      <c r="T33" s="744" t="str">
        <f t="shared" si="105"/>
        <v>-</v>
      </c>
      <c r="U33" s="744" t="str">
        <f t="shared" si="106"/>
        <v>-</v>
      </c>
      <c r="V33" s="172"/>
      <c r="W33" s="812"/>
      <c r="X33" s="228">
        <f ca="1">Horarios!C33</f>
        <v>46199.166666666664</v>
      </c>
      <c r="Y33" s="229">
        <f ca="1">Horarios!C33</f>
        <v>46199.166666666664</v>
      </c>
      <c r="Z33" s="230" t="str">
        <f>$Z$8</f>
        <v>J3</v>
      </c>
      <c r="AA33" s="231" t="str">
        <f ca="1">A30</f>
        <v>Paraguay</v>
      </c>
      <c r="AB33" s="479" t="e" cm="1" vm="14">
        <f t="array" aca="1" ref="AB33" ca="1">Ver_flag_local</f>
        <v>#VALUE!</v>
      </c>
      <c r="AC33" s="232"/>
      <c r="AD33" s="233"/>
      <c r="AE33" s="484" t="e" cm="1" vm="15">
        <f t="array" aca="1" ref="AE33" ca="1">Ver_flag_visit</f>
        <v>#VALUE!</v>
      </c>
      <c r="AF33" s="234" t="str">
        <f ca="1">A31</f>
        <v>Australia</v>
      </c>
      <c r="AG33" s="413">
        <f t="shared" si="107"/>
        <v>0</v>
      </c>
      <c r="AH33" s="196">
        <v>60</v>
      </c>
      <c r="AI33" s="19" t="str">
        <f t="shared" si="112"/>
        <v>4D</v>
      </c>
      <c r="AJ33" s="235">
        <v>4</v>
      </c>
      <c r="AK33" s="487" t="e" cm="1" vm="14">
        <f t="array" aca="1" ref="AK33" ca="1">Ver_flag_visit</f>
        <v>#VALUE!</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1</v>
      </c>
      <c r="BG33" s="748">
        <f t="shared" ca="1" si="17"/>
        <v>0</v>
      </c>
      <c r="BH33" s="748">
        <f t="shared" ca="1" si="18"/>
        <v>1</v>
      </c>
      <c r="BI33" s="748">
        <f t="shared" ca="1" si="19"/>
        <v>0</v>
      </c>
      <c r="BJ33" s="748">
        <f t="shared" ca="1" si="20"/>
        <v>2</v>
      </c>
      <c r="BK33" s="748">
        <f t="shared" ca="1" si="21"/>
        <v>2</v>
      </c>
      <c r="BL33" s="748">
        <f t="shared" ca="1" si="27"/>
        <v>0</v>
      </c>
      <c r="BM33" s="748" t="str">
        <f t="shared" ca="1" si="22"/>
        <v>2G</v>
      </c>
      <c r="BN33" s="748" t="str">
        <f t="shared" ca="1" si="23"/>
        <v>2G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1</v>
      </c>
      <c r="BT33" s="757" t="str">
        <f ca="1">IF(COUNTIFS($BS$6:$BS$53,BS33,$BC$6:$BC$53,INDEX(T_Equipos[Grupo],MATCH(BD33,T_Equipos[NombreEquipo],0)))=1,"-","P."&amp;BS33&amp;" ("&amp;COUNTIFS($BS$6:$BS$53,BS33,$BC$6:$BC$53,INDEX(T_Equipos[Grupo],MATCH(BD33,T_Equipos[NombreEquipo],0)))&amp;")")</f>
        <v>P.1 (4)</v>
      </c>
      <c r="BU33" s="758">
        <f t="shared" ca="1" si="36"/>
        <v>0</v>
      </c>
      <c r="BV33" s="758">
        <f t="shared" ca="1" si="37"/>
        <v>1</v>
      </c>
      <c r="BW33" s="758">
        <f t="shared" ca="1" si="38"/>
        <v>0</v>
      </c>
      <c r="BX33" s="758">
        <f t="shared" ca="1" si="39"/>
        <v>1</v>
      </c>
      <c r="BY33" s="758">
        <f ca="1">BS33+COUNTIFS($BT$6:$BT$53,BT33,$BX$6:BX$53,"&gt;"&amp;BX33,$BC$6:$BC$53,INDEX(T_Equipos[Grupo],MATCH(BD33,T_Equipos[NombreEquipo],0)))</f>
        <v>1</v>
      </c>
      <c r="BZ33" s="757" t="str">
        <f ca="1">IF(COUNTIFS($BY$6:$BY$53,BY33,$BC$6:$BC$53,INDEX(T_Equipos[Grupo],MATCH(BD33,T_Equipos[NombreEquipo],0)))=1,"-","P."&amp;BY33&amp;" ("&amp;COUNTIFS($BY$6:$BY$53,BY33,$BC$6:$BC$53,INDEX(T_Equipos[Grupo],MATCH(BD33,T_Equipos[NombreEquipo],0)))&amp;")")</f>
        <v>P.1 (4)</v>
      </c>
      <c r="CA33" s="758">
        <f t="shared" ca="1" si="40"/>
        <v>2</v>
      </c>
      <c r="CB33" s="758">
        <f t="shared" ca="1" si="41"/>
        <v>2</v>
      </c>
      <c r="CC33" s="758">
        <f t="shared" ca="1" si="42"/>
        <v>0</v>
      </c>
      <c r="CD33" s="758">
        <f ca="1">BY33+COUNTIFS($BZ$6:$BZ$53,BZ33,$CC$6:CC$53,"&gt;"&amp;CC33,$BC$6:$BC$53,INDEX(T_Equipos[Grupo],MATCH(BD33,T_Equipos[NombreEquipo],0)))</f>
        <v>1</v>
      </c>
      <c r="CE33" s="757" t="str">
        <f ca="1">IF(COUNTIFS($CD$6:$CD$53,CD33,$BC$6:$BC$53,INDEX(T_Equipos[Grupo],MATCH(BD33,T_Equipos[NombreEquipo],0)))=1,"-","P."&amp;CD33&amp;" ("&amp;COUNTIFS($CD$6:$CD$53,CD33,$BC$6:$BC$53,INDEX(T_Equipos[Grupo],MATCH(BD33,T_Equipos[NombreEquipo],0)))&amp;")")</f>
        <v>P.1 (4)</v>
      </c>
      <c r="CF33" s="758">
        <f t="shared" ca="1" si="43"/>
        <v>2</v>
      </c>
      <c r="CG33" s="758">
        <f ca="1">CD33+COUNTIFS($CE$6:$CE$53,CE33,$CF$6:CF$53,"&gt;"&amp;CF33,$BC$6:$BC$53,INDEX(T_Equipos[Grupo],MATCH(BD33,T_Equipos[NombreEquipo],0)))</f>
        <v>1</v>
      </c>
      <c r="CH33" s="757" t="str">
        <f ca="1">IF(COUNTIFS($CG$6:$CG$53,CG33,$BC$6:$BC$53,INDEX(T_Equipos[Grupo],MATCH(BD33,T_Equipos[NombreEquipo],0)))=1,"-","P."&amp;CG33&amp;" ("&amp;COUNTIFS($CG$6:$CG$53,CG33,$BC$6:$BC$53,INDEX(T_Equipos[Grupo],MATCH(BD33,T_Equipos[NombreEquipo],0)))&amp;")")</f>
        <v>P.1 (2)</v>
      </c>
      <c r="CI33" s="758">
        <f t="shared" ca="1" si="44"/>
        <v>0</v>
      </c>
      <c r="CJ33" s="758">
        <f t="shared" ca="1" si="45"/>
        <v>1</v>
      </c>
      <c r="CK33" s="758">
        <f t="shared" ca="1" si="46"/>
        <v>0</v>
      </c>
      <c r="CL33" s="758">
        <f t="shared" ca="1" si="47"/>
        <v>1</v>
      </c>
      <c r="CM33" s="758">
        <f ca="1">CG33+COUNTIFS($CH$6:$CH$53,CH33,$CL$6:CL$53,"&gt;"&amp;CL33,$BC$6:$BC$53,INDEX(T_Equipos[Grupo],MATCH(BD33,T_Equipos[NombreEquipo],0)))</f>
        <v>1</v>
      </c>
      <c r="CN33" s="757" t="str">
        <f ca="1">IF(COUNTIFS($CM$6:$CM$53,CM33,$BC$6:$BC$53,INDEX(T_Equipos[Grupo],MATCH(BD33,T_Equipos[NombreEquipo],0)))=1,"-","P."&amp;CM33&amp;" ("&amp;COUNTIFS($CM$6:$CM$53,CM33,$BC$6:$BC$53,INDEX(T_Equipos[Grupo],MATCH(BD33,T_Equipos[NombreEquipo],0)))&amp;")")</f>
        <v>P.1 (2)</v>
      </c>
      <c r="CO33" s="758">
        <f t="shared" ca="1" si="48"/>
        <v>2</v>
      </c>
      <c r="CP33" s="758">
        <f t="shared" ca="1" si="49"/>
        <v>2</v>
      </c>
      <c r="CQ33" s="758">
        <f t="shared" ca="1" si="50"/>
        <v>0</v>
      </c>
      <c r="CR33" s="758">
        <f ca="1">CM33+COUNTIFS($CN$6:$CN$53,CN33,$CQ$6:CQ$53,"&gt;"&amp;CQ33,$BC$6:$BC$53,INDEX(T_Equipos[Grupo],MATCH(BD33,T_Equipos[NombreEquipo],0)))</f>
        <v>1</v>
      </c>
      <c r="CS33" s="757" t="str">
        <f ca="1">IF(COUNTIFS($CR$6:$CR$53,CR33,$BC$6:$BC$53,INDEX(T_Equipos[Grupo],MATCH(BD33,T_Equipos[NombreEquipo],0)))=1,"-","P."&amp;CR33&amp;" ("&amp;COUNTIFS($CR$6:$CR$53,CR33,$BC$6:$BC$53,INDEX(T_Equipos[Grupo],MATCH(BD33,T_Equipos[NombreEquipo],0)))&amp;")")</f>
        <v>P.1 (2)</v>
      </c>
      <c r="CT33" s="758">
        <f t="shared" ca="1" si="51"/>
        <v>2</v>
      </c>
      <c r="CU33" s="758">
        <f ca="1">CR33+COUNTIFS($CS$6:$CS$53,CS33,$CT$6:CT$53,"&gt;"&amp;CT33,$BC$6:$BC$53,INDEX(T_Equipos[Grupo],MATCH(BD33,T_Equipos[NombreEquipo],0)))</f>
        <v>1</v>
      </c>
      <c r="CV33" s="757" t="str">
        <f ca="1">IF(COUNTIFS($CU$6:$CU$53,CU33,$BC$6:$BC$53,INDEX(T_Equipos[Grupo],MATCH(BD33,T_Equipos[NombreEquipo],0)))=1,"-","P."&amp;CU33&amp;" ("&amp;COUNTIFS($CU$6:$CU$53,CU33,$BC$6:$BC$53,INDEX(T_Equipos[Grupo],MATCH(BD33,T_Equipos[NombreEquipo],0)))&amp;")")</f>
        <v>P.1 (2)</v>
      </c>
      <c r="CW33" s="757">
        <f t="shared" ca="1" si="30"/>
        <v>0</v>
      </c>
      <c r="CX33" s="757">
        <f ca="1">CU33+COUNTIFS($CV$6:$CV$53,CV33,$CW$6:CW$53,"&gt;"&amp;CW33,$BC$6:$BC$53,INDEX(T_Equipos[Grupo],MATCH(BD33,T_Equipos[NombreEquipo],0)))</f>
        <v>1</v>
      </c>
      <c r="CY33" s="757" t="str">
        <f ca="1">IF(COUNTIFS($CX$6:$CX$53,CX33,$BC$6:$BC$53,INDEX(T_Equipos[Grupo],MATCH(BD33,T_Equipos[NombreEquipo],0)))=1,"-","P."&amp;CX33&amp;" ("&amp;COUNTIFS($CX$6:$CX$53,CX33,$BC$6:$BC$53,INDEX(T_Equipos[Grupo],MATCH(BD33,T_Equipos[NombreEquipo],0)))&amp;")")</f>
        <v>P.1 (2)</v>
      </c>
      <c r="CZ33" s="757">
        <f t="shared" ca="1" si="31"/>
        <v>2</v>
      </c>
      <c r="DA33" s="758">
        <f ca="1">CX33+COUNTIFS($CY$6:$CY$53,CY33,$CZ$6:CZ$53,"&gt;"&amp;CZ33,$BC$6:$BC$53,INDEX(T_Equipos[Grupo],MATCH(BD33,T_Equipos[NombreEquipo],0)))</f>
        <v>1</v>
      </c>
      <c r="DB33" s="757" t="str">
        <f ca="1">IF(COUNTIFS($DA$6:$DA$53,DA33,$BC$6:$BC$53,INDEX(T_Equipos[Grupo],MATCH(BD33,T_Equipos[NombreEquipo],0)))=1,"-","P."&amp;DA33&amp;" ("&amp;COUNTIFS($DA$6:$DA$53,DA33,$BC$6:$BC$53,INDEX(T_Equipos[Grupo],MATCH(BD33,T_Equipos[NombreEquipo],0)))&amp;")")</f>
        <v>P.1 (2)</v>
      </c>
      <c r="DC33" s="756">
        <f ca="1">IF(DB33="-","-",COUNTIFS(T_Equipos[Rank],"&lt;"&amp;INDEX(T_Equipos[Rank],MATCH(BD33,T_Equipos[NombreEquipo],0)),$BC$6:$BC$53,INDEX(T_Equipos[Grupo],MATCH(BD33,T_Equipos[NombreEquipo],0)))+1)</f>
        <v>4</v>
      </c>
      <c r="DD33" s="756">
        <f ca="1">DA33+COUNTIFS($DB$6:$DB$53,DB33,$DC$6:DC$53,"&lt;"&amp;DC33,$BC$6:$BC$53,INDEX(T_Equipos[Grupo],MATCH(BD33,T_Equipos[NombreEquipo],0)))</f>
        <v>2</v>
      </c>
      <c r="DE33" s="756"/>
      <c r="DF33" s="756">
        <f t="shared" ca="1" si="52"/>
        <v>2</v>
      </c>
      <c r="DG33" s="756">
        <f ca="1">IF(DB33="-","-",COUNTIFS(DF$6:DF$53,"&lt;"&amp;DF33,$BC$6:$BC$53,INDEX(T_Equipos[Grupo],MATCH(BD33,T_Equipos[NombreEquipo],0))))</f>
        <v>1</v>
      </c>
      <c r="DH33" s="756">
        <f ca="1">DA33+COUNTIFS(DB$6:DB$53,DB33,DG$6:DG$53,"&lt;"&amp;DG33,$BC$6:$BC$53,INDEX(T_Equipos[Grupo],MATCH(BD33,T_Equipos[NombreEquipo],0)))</f>
        <v>2</v>
      </c>
      <c r="DI33" s="744"/>
      <c r="DJ33" s="744">
        <f t="shared" ca="1" si="53"/>
        <v>3</v>
      </c>
      <c r="DK33" s="744">
        <f t="shared" ca="1" si="24"/>
        <v>4</v>
      </c>
      <c r="DL33" s="744">
        <f t="shared" ca="1" si="33"/>
        <v>1</v>
      </c>
      <c r="DM33" s="738" t="str">
        <f t="shared" ca="1" si="34"/>
        <v>3.1</v>
      </c>
      <c r="DN33" s="744" cm="1">
        <f t="array" aca="1" ref="DN33" ca="1">OFFSET(Horarios!$P$3,DJ33-1,0,DL33,1)</f>
        <v>3</v>
      </c>
      <c r="DO33" s="744"/>
      <c r="DP33" s="744" t="s">
        <v>669</v>
      </c>
      <c r="DQ33" s="744" t="str">
        <f t="shared" ca="1" si="35"/>
        <v>Egipto</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1</v>
      </c>
      <c r="BF34" s="748">
        <f t="shared" ca="1" si="26"/>
        <v>1</v>
      </c>
      <c r="BG34" s="748">
        <f t="shared" ca="1" si="17"/>
        <v>0</v>
      </c>
      <c r="BH34" s="748">
        <f t="shared" ca="1" si="18"/>
        <v>1</v>
      </c>
      <c r="BI34" s="748">
        <f t="shared" ca="1" si="19"/>
        <v>0</v>
      </c>
      <c r="BJ34" s="748">
        <f t="shared" ca="1" si="20"/>
        <v>0</v>
      </c>
      <c r="BK34" s="748">
        <f t="shared" ca="1" si="21"/>
        <v>0</v>
      </c>
      <c r="BL34" s="748">
        <f t="shared" ca="1" si="27"/>
        <v>0</v>
      </c>
      <c r="BM34" s="748" t="str">
        <f t="shared" ca="1" si="22"/>
        <v>3H</v>
      </c>
      <c r="BN34" s="748" t="str">
        <f t="shared" ca="1" si="23"/>
        <v>3H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1</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P.1 (4)</v>
      </c>
      <c r="BU34" s="758">
        <f t="shared" ca="1" si="36"/>
        <v>0</v>
      </c>
      <c r="BV34" s="758">
        <f t="shared" ca="1" si="37"/>
        <v>1</v>
      </c>
      <c r="BW34" s="758">
        <f t="shared" ca="1" si="38"/>
        <v>0</v>
      </c>
      <c r="BX34" s="758">
        <f t="shared" ca="1" si="39"/>
        <v>1</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P.1 (4)</v>
      </c>
      <c r="CA34" s="758">
        <f t="shared" ca="1" si="40"/>
        <v>0</v>
      </c>
      <c r="CB34" s="758">
        <f t="shared" ca="1" si="41"/>
        <v>0</v>
      </c>
      <c r="CC34" s="758">
        <f t="shared" ca="1" si="42"/>
        <v>0</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P.1 (4)</v>
      </c>
      <c r="CF34" s="758">
        <f t="shared" ca="1" si="43"/>
        <v>0</v>
      </c>
      <c r="CG34" s="758">
        <f ca="1">CD34+COUNTIFS($CE$6:$CE$53,CE34,$CF$6:CF$53,"&gt;"&amp;CF34,$BC$6:$BC$53,INDEX(T_Equipos[Grupo],MATCH(BD34,T_Equipos[NombreEquipo],0)))</f>
        <v>3</v>
      </c>
      <c r="CH34" s="757" t="str">
        <f ca="1">IF(COUNTIFS($CG$6:$CG$53,CG34,$BC$6:$BC$53,INDEX(T_Equipos[Grupo],MATCH(BD34,T_Equipos[NombreEquipo],0)))=1,"-","P."&amp;CG34&amp;" ("&amp;COUNTIFS($CG$6:$CG$53,CG34,$BC$6:$BC$53,INDEX(T_Equipos[Grupo],MATCH(BD34,T_Equipos[NombreEquipo],0)))&amp;")")</f>
        <v>P.3 (2)</v>
      </c>
      <c r="CI34" s="758">
        <f t="shared" ca="1" si="44"/>
        <v>0</v>
      </c>
      <c r="CJ34" s="758">
        <f t="shared" ca="1" si="45"/>
        <v>1</v>
      </c>
      <c r="CK34" s="758">
        <f t="shared" ca="1" si="46"/>
        <v>0</v>
      </c>
      <c r="CL34" s="758">
        <f t="shared" ca="1" si="47"/>
        <v>1</v>
      </c>
      <c r="CM34" s="758">
        <f ca="1">CG34+COUNTIFS($CH$6:$CH$53,CH34,$CL$6:CL$53,"&gt;"&amp;CL34,$BC$6:$BC$53,INDEX(T_Equipos[Grupo],MATCH(BD34,T_Equipos[NombreEquipo],0)))</f>
        <v>3</v>
      </c>
      <c r="CN34" s="757" t="str">
        <f ca="1">IF(COUNTIFS($CM$6:$CM$53,CM34,$BC$6:$BC$53,INDEX(T_Equipos[Grupo],MATCH(BD34,T_Equipos[NombreEquipo],0)))=1,"-","P."&amp;CM34&amp;" ("&amp;COUNTIFS($CM$6:$CM$53,CM34,$BC$6:$BC$53,INDEX(T_Equipos[Grupo],MATCH(BD34,T_Equipos[NombreEquipo],0)))&amp;")")</f>
        <v>P.3 (2)</v>
      </c>
      <c r="CO34" s="758">
        <f t="shared" ca="1" si="48"/>
        <v>0</v>
      </c>
      <c r="CP34" s="758">
        <f t="shared" ca="1" si="49"/>
        <v>0</v>
      </c>
      <c r="CQ34" s="758">
        <f t="shared" ca="1" si="50"/>
        <v>0</v>
      </c>
      <c r="CR34" s="758">
        <f ca="1">CM34+COUNTIFS($CN$6:$CN$53,CN34,$CQ$6:CQ$53,"&gt;"&amp;CQ34,$BC$6:$BC$53,INDEX(T_Equipos[Grupo],MATCH(BD34,T_Equipos[NombreEquipo],0)))</f>
        <v>3</v>
      </c>
      <c r="CS34" s="757" t="str">
        <f ca="1">IF(COUNTIFS($CR$6:$CR$53,CR34,$BC$6:$BC$53,INDEX(T_Equipos[Grupo],MATCH(BD34,T_Equipos[NombreEquipo],0)))=1,"-","P."&amp;CR34&amp;" ("&amp;COUNTIFS($CR$6:$CR$53,CR34,$BC$6:$BC$53,INDEX(T_Equipos[Grupo],MATCH(BD34,T_Equipos[NombreEquipo],0)))&amp;")")</f>
        <v>P.3 (2)</v>
      </c>
      <c r="CT34" s="758">
        <f t="shared" ca="1" si="51"/>
        <v>0</v>
      </c>
      <c r="CU34" s="758">
        <f ca="1">CR34+COUNTIFS($CS$6:$CS$53,CS34,$CT$6:CT$53,"&gt;"&amp;CT34,$BC$6:$BC$53,INDEX(T_Equipos[Grupo],MATCH(BD34,T_Equipos[NombreEquipo],0)))</f>
        <v>3</v>
      </c>
      <c r="CV34" s="757" t="str">
        <f ca="1">IF(COUNTIFS($CU$6:$CU$53,CU34,$BC$6:$BC$53,INDEX(T_Equipos[Grupo],MATCH(BD34,T_Equipos[NombreEquipo],0)))=1,"-","P."&amp;CU34&amp;" ("&amp;COUNTIFS($CU$6:$CU$53,CU34,$BC$6:$BC$53,INDEX(T_Equipos[Grupo],MATCH(BD34,T_Equipos[NombreEquipo],0)))&amp;")")</f>
        <v>P.3 (2)</v>
      </c>
      <c r="CW34" s="757">
        <f t="shared" ca="1" si="30"/>
        <v>0</v>
      </c>
      <c r="CX34" s="757">
        <f ca="1">CU34+COUNTIFS($CV$6:$CV$53,CV34,$CW$6:CW$53,"&gt;"&amp;CW34,$BC$6:$BC$53,INDEX(T_Equipos[Grupo],MATCH(BD34,T_Equipos[NombreEquipo],0)))</f>
        <v>3</v>
      </c>
      <c r="CY34" s="757" t="str">
        <f ca="1">IF(COUNTIFS($CX$6:$CX$53,CX34,$BC$6:$BC$53,INDEX(T_Equipos[Grupo],MATCH(BD34,T_Equipos[NombreEquipo],0)))=1,"-","P."&amp;CX34&amp;" ("&amp;COUNTIFS($CX$6:$CX$53,CX34,$BC$6:$BC$53,INDEX(T_Equipos[Grupo],MATCH(BD34,T_Equipos[NombreEquipo],0)))&amp;")")</f>
        <v>P.3 (2)</v>
      </c>
      <c r="CZ34" s="757">
        <f t="shared" ca="1" si="31"/>
        <v>0</v>
      </c>
      <c r="DA34" s="758">
        <f ca="1">CX34+COUNTIFS($CY$6:$CY$53,CY34,$CZ$6:CZ$53,"&gt;"&amp;CZ34,$BC$6:$BC$53,INDEX(T_Equipos[Grupo],MATCH(BD34,T_Equipos[NombreEquipo],0)))</f>
        <v>3</v>
      </c>
      <c r="DB34" s="757" t="str">
        <f ca="1">IF(COUNTIFS($DA$6:$DA$53,DA34,$BC$6:$BC$53,INDEX(T_Equipos[Grupo],MATCH(BD34,T_Equipos[NombreEquipo],0)))=1,"-","P."&amp;DA34&amp;" ("&amp;COUNTIFS($DA$6:$DA$53,DA34,$BC$6:$BC$53,INDEX(T_Equipos[Grupo],MATCH(BD34,T_Equipos[NombreEquipo],0)))&amp;")")</f>
        <v>P.3 (2)</v>
      </c>
      <c r="DC34" s="756">
        <f ca="1">IF(DB34="-","-",COUNTIFS(T_Equipos[Rank],"&lt;"&amp;INDEX(T_Equipos[Rank],MATCH(BD34,T_Equipos[NombreEquipo],0)),$BC$6:$BC$53,INDEX(T_Equipos[Grupo],MATCH(BD34,T_Equipos[NombreEquipo],0)))+1)</f>
        <v>1</v>
      </c>
      <c r="DD34" s="756">
        <f ca="1">DA34+COUNTIFS($DB$6:$DB$53,DB34,$DC$6:DC$53,"&lt;"&amp;DC34,$BC$6:$BC$53,INDEX(T_Equipos[Grupo],MATCH(BD34,T_Equipos[NombreEquipo],0)))</f>
        <v>3</v>
      </c>
      <c r="DE34" s="756"/>
      <c r="DF34" s="756">
        <f t="shared" ca="1" si="52"/>
        <v>3</v>
      </c>
      <c r="DG34" s="756">
        <f ca="1">IF(DB34="-","-",COUNTIFS(DF$6:DF$53,"&lt;"&amp;DF34,$BC$6:$BC$53,INDEX(T_Equipos[Grupo],MATCH(BD34,T_Equipos[NombreEquipo],0))))</f>
        <v>2</v>
      </c>
      <c r="DH34" s="756">
        <f ca="1">DA34+COUNTIFS(DB$6:DB$53,DB34,DG$6:DG$53,"&lt;"&amp;DG34,$BC$6:$BC$53,INDEX(T_Equipos[Grupo],MATCH(BD34,T_Equipos[NombreEquipo],0)))</f>
        <v>3</v>
      </c>
      <c r="DI34" s="744"/>
      <c r="DJ34" s="744">
        <f t="shared" ca="1" si="53"/>
        <v>1</v>
      </c>
      <c r="DK34" s="744">
        <f t="shared" ca="1" si="24"/>
        <v>4</v>
      </c>
      <c r="DL34" s="744">
        <f t="shared" ca="1" si="33"/>
        <v>1</v>
      </c>
      <c r="DM34" s="738" t="str">
        <f t="shared" ca="1" si="34"/>
        <v>1.1</v>
      </c>
      <c r="DN34" s="744" cm="1">
        <f t="array" aca="1" ref="DN34" ca="1">OFFSET(Horarios!$P$3,DJ34-1,0,DL34,1)</f>
        <v>1</v>
      </c>
      <c r="DO34" s="744"/>
      <c r="DP34" s="744" t="s">
        <v>670</v>
      </c>
      <c r="DQ34" s="744" t="str">
        <f t="shared" ca="1" si="35"/>
        <v>Arabia Saudita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1</v>
      </c>
      <c r="BF35" s="748">
        <f t="shared" ca="1" si="26"/>
        <v>1</v>
      </c>
      <c r="BG35" s="748">
        <f t="shared" ca="1" si="17"/>
        <v>0</v>
      </c>
      <c r="BH35" s="748">
        <f t="shared" ca="1" si="18"/>
        <v>1</v>
      </c>
      <c r="BI35" s="748">
        <f t="shared" ca="1" si="19"/>
        <v>0</v>
      </c>
      <c r="BJ35" s="748">
        <f t="shared" ca="1" si="20"/>
        <v>0</v>
      </c>
      <c r="BK35" s="748">
        <f t="shared" ca="1" si="21"/>
        <v>0</v>
      </c>
      <c r="BL35" s="748">
        <f t="shared" ca="1" si="27"/>
        <v>0</v>
      </c>
      <c r="BM35" s="748" t="str">
        <f t="shared" ca="1" si="22"/>
        <v>4H</v>
      </c>
      <c r="BN35" s="748" t="str">
        <f t="shared" ca="1" si="23"/>
        <v>4H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1</v>
      </c>
      <c r="BS35" s="757">
        <f ca="1">BP35+COUNTIFS($BQ$6:$BQ$53,BQ35,$BR$6:BR$53,"&gt;"&amp;BR35,$BC$6:$BC$53,INDEX(T_Equipos[Grupo],MATCH(BD35,T_Equipos[NombreEquipo],0)))</f>
        <v>1</v>
      </c>
      <c r="BT35" s="757" t="str">
        <f ca="1">IF(COUNTIFS($BS$6:$BS$53,BS35,$BC$6:$BC$53,INDEX(T_Equipos[Grupo],MATCH(BD35,T_Equipos[NombreEquipo],0)))=1,"-","P."&amp;BS35&amp;" ("&amp;COUNTIFS($BS$6:$BS$53,BS35,$BC$6:$BC$53,INDEX(T_Equipos[Grupo],MATCH(BD35,T_Equipos[NombreEquipo],0)))&amp;")")</f>
        <v>P.1 (4)</v>
      </c>
      <c r="BU35" s="758">
        <f t="shared" ca="1" si="36"/>
        <v>0</v>
      </c>
      <c r="BV35" s="758">
        <f t="shared" ca="1" si="37"/>
        <v>1</v>
      </c>
      <c r="BW35" s="758">
        <f t="shared" ca="1" si="38"/>
        <v>0</v>
      </c>
      <c r="BX35" s="758">
        <f t="shared" ca="1" si="39"/>
        <v>1</v>
      </c>
      <c r="BY35" s="758">
        <f ca="1">BS35+COUNTIFS($BT$6:$BT$53,BT35,$BX$6:BX$53,"&gt;"&amp;BX35,$BC$6:$BC$53,INDEX(T_Equipos[Grupo],MATCH(BD35,T_Equipos[NombreEquipo],0)))</f>
        <v>1</v>
      </c>
      <c r="BZ35" s="757" t="str">
        <f ca="1">IF(COUNTIFS($BY$6:$BY$53,BY35,$BC$6:$BC$53,INDEX(T_Equipos[Grupo],MATCH(BD35,T_Equipos[NombreEquipo],0)))=1,"-","P."&amp;BY35&amp;" ("&amp;COUNTIFS($BY$6:$BY$53,BY35,$BC$6:$BC$53,INDEX(T_Equipos[Grupo],MATCH(BD35,T_Equipos[NombreEquipo],0)))&amp;")")</f>
        <v>P.1 (4)</v>
      </c>
      <c r="CA35" s="758">
        <f t="shared" ca="1" si="40"/>
        <v>0</v>
      </c>
      <c r="CB35" s="758">
        <f t="shared" ca="1" si="41"/>
        <v>0</v>
      </c>
      <c r="CC35" s="758">
        <f t="shared" ca="1" si="42"/>
        <v>0</v>
      </c>
      <c r="CD35" s="758">
        <f ca="1">BY35+COUNTIFS($BZ$6:$BZ$53,BZ35,$CC$6:CC$53,"&gt;"&amp;CC35,$BC$6:$BC$53,INDEX(T_Equipos[Grupo],MATCH(BD35,T_Equipos[NombreEquipo],0)))</f>
        <v>1</v>
      </c>
      <c r="CE35" s="757" t="str">
        <f ca="1">IF(COUNTIFS($CD$6:$CD$53,CD35,$BC$6:$BC$53,INDEX(T_Equipos[Grupo],MATCH(BD35,T_Equipos[NombreEquipo],0)))=1,"-","P."&amp;CD35&amp;" ("&amp;COUNTIFS($CD$6:$CD$53,CD35,$BC$6:$BC$53,INDEX(T_Equipos[Grupo],MATCH(BD35,T_Equipos[NombreEquipo],0)))&amp;")")</f>
        <v>P.1 (4)</v>
      </c>
      <c r="CF35" s="758">
        <f t="shared" ca="1" si="43"/>
        <v>0</v>
      </c>
      <c r="CG35" s="758">
        <f ca="1">CD35+COUNTIFS($CE$6:$CE$53,CE35,$CF$6:CF$53,"&gt;"&amp;CF35,$BC$6:$BC$53,INDEX(T_Equipos[Grupo],MATCH(BD35,T_Equipos[NombreEquipo],0)))</f>
        <v>3</v>
      </c>
      <c r="CH35" s="757" t="str">
        <f ca="1">IF(COUNTIFS($CG$6:$CG$53,CG35,$BC$6:$BC$53,INDEX(T_Equipos[Grupo],MATCH(BD35,T_Equipos[NombreEquipo],0)))=1,"-","P."&amp;CG35&amp;" ("&amp;COUNTIFS($CG$6:$CG$53,CG35,$BC$6:$BC$53,INDEX(T_Equipos[Grupo],MATCH(BD35,T_Equipos[NombreEquipo],0)))&amp;")")</f>
        <v>P.3 (2)</v>
      </c>
      <c r="CI35" s="758">
        <f t="shared" ca="1" si="44"/>
        <v>0</v>
      </c>
      <c r="CJ35" s="758">
        <f t="shared" ca="1" si="45"/>
        <v>1</v>
      </c>
      <c r="CK35" s="758">
        <f t="shared" ca="1" si="46"/>
        <v>0</v>
      </c>
      <c r="CL35" s="758">
        <f t="shared" ca="1" si="47"/>
        <v>1</v>
      </c>
      <c r="CM35" s="758">
        <f ca="1">CG35+COUNTIFS($CH$6:$CH$53,CH35,$CL$6:CL$53,"&gt;"&amp;CL35,$BC$6:$BC$53,INDEX(T_Equipos[Grupo],MATCH(BD35,T_Equipos[NombreEquipo],0)))</f>
        <v>3</v>
      </c>
      <c r="CN35" s="757" t="str">
        <f ca="1">IF(COUNTIFS($CM$6:$CM$53,CM35,$BC$6:$BC$53,INDEX(T_Equipos[Grupo],MATCH(BD35,T_Equipos[NombreEquipo],0)))=1,"-","P."&amp;CM35&amp;" ("&amp;COUNTIFS($CM$6:$CM$53,CM35,$BC$6:$BC$53,INDEX(T_Equipos[Grupo],MATCH(BD35,T_Equipos[NombreEquipo],0)))&amp;")")</f>
        <v>P.3 (2)</v>
      </c>
      <c r="CO35" s="758">
        <f t="shared" ca="1" si="48"/>
        <v>0</v>
      </c>
      <c r="CP35" s="758">
        <f t="shared" ca="1" si="49"/>
        <v>0</v>
      </c>
      <c r="CQ35" s="758">
        <f t="shared" ca="1" si="50"/>
        <v>0</v>
      </c>
      <c r="CR35" s="758">
        <f ca="1">CM35+COUNTIFS($CN$6:$CN$53,CN35,$CQ$6:CQ$53,"&gt;"&amp;CQ35,$BC$6:$BC$53,INDEX(T_Equipos[Grupo],MATCH(BD35,T_Equipos[NombreEquipo],0)))</f>
        <v>3</v>
      </c>
      <c r="CS35" s="757" t="str">
        <f ca="1">IF(COUNTIFS($CR$6:$CR$53,CR35,$BC$6:$BC$53,INDEX(T_Equipos[Grupo],MATCH(BD35,T_Equipos[NombreEquipo],0)))=1,"-","P."&amp;CR35&amp;" ("&amp;COUNTIFS($CR$6:$CR$53,CR35,$BC$6:$BC$53,INDEX(T_Equipos[Grupo],MATCH(BD35,T_Equipos[NombreEquipo],0)))&amp;")")</f>
        <v>P.3 (2)</v>
      </c>
      <c r="CT35" s="758">
        <f t="shared" ca="1" si="51"/>
        <v>0</v>
      </c>
      <c r="CU35" s="758">
        <f ca="1">CR35+COUNTIFS($CS$6:$CS$53,CS35,$CT$6:CT$53,"&gt;"&amp;CT35,$BC$6:$BC$53,INDEX(T_Equipos[Grupo],MATCH(BD35,T_Equipos[NombreEquipo],0)))</f>
        <v>3</v>
      </c>
      <c r="CV35" s="757" t="str">
        <f ca="1">IF(COUNTIFS($CU$6:$CU$53,CU35,$BC$6:$BC$53,INDEX(T_Equipos[Grupo],MATCH(BD35,T_Equipos[NombreEquipo],0)))=1,"-","P."&amp;CU35&amp;" ("&amp;COUNTIFS($CU$6:$CU$53,CU35,$BC$6:$BC$53,INDEX(T_Equipos[Grupo],MATCH(BD35,T_Equipos[NombreEquipo],0)))&amp;")")</f>
        <v>P.3 (2)</v>
      </c>
      <c r="CW35" s="757">
        <f t="shared" ca="1" si="30"/>
        <v>0</v>
      </c>
      <c r="CX35" s="757">
        <f ca="1">CU35+COUNTIFS($CV$6:$CV$53,CV35,$CW$6:CW$53,"&gt;"&amp;CW35,$BC$6:$BC$53,INDEX(T_Equipos[Grupo],MATCH(BD35,T_Equipos[NombreEquipo],0)))</f>
        <v>3</v>
      </c>
      <c r="CY35" s="757" t="str">
        <f ca="1">IF(COUNTIFS($CX$6:$CX$53,CX35,$BC$6:$BC$53,INDEX(T_Equipos[Grupo],MATCH(BD35,T_Equipos[NombreEquipo],0)))=1,"-","P."&amp;CX35&amp;" ("&amp;COUNTIFS($CX$6:$CX$53,CX35,$BC$6:$BC$53,INDEX(T_Equipos[Grupo],MATCH(BD35,T_Equipos[NombreEquipo],0)))&amp;")")</f>
        <v>P.3 (2)</v>
      </c>
      <c r="CZ35" s="757">
        <f t="shared" ca="1" si="31"/>
        <v>0</v>
      </c>
      <c r="DA35" s="758">
        <f ca="1">CX35+COUNTIFS($CY$6:$CY$53,CY35,$CZ$6:CZ$53,"&gt;"&amp;CZ35,$BC$6:$BC$53,INDEX(T_Equipos[Grupo],MATCH(BD35,T_Equipos[NombreEquipo],0)))</f>
        <v>3</v>
      </c>
      <c r="DB35" s="757" t="str">
        <f ca="1">IF(COUNTIFS($DA$6:$DA$53,DA35,$BC$6:$BC$53,INDEX(T_Equipos[Grupo],MATCH(BD35,T_Equipos[NombreEquipo],0)))=1,"-","P."&amp;DA35&amp;" ("&amp;COUNTIFS($DA$6:$DA$53,DA35,$BC$6:$BC$53,INDEX(T_Equipos[Grupo],MATCH(BD35,T_Equipos[NombreEquipo],0)))&amp;")")</f>
        <v>P.3 (2)</v>
      </c>
      <c r="DC35" s="756">
        <f ca="1">IF(DB35="-","-",COUNTIFS(T_Equipos[Rank],"&lt;"&amp;INDEX(T_Equipos[Rank],MATCH(BD35,T_Equipos[NombreEquipo],0)),$BC$6:$BC$53,INDEX(T_Equipos[Grupo],MATCH(BD35,T_Equipos[NombreEquipo],0)))+1)</f>
        <v>2</v>
      </c>
      <c r="DD35" s="756">
        <f ca="1">DA35+COUNTIFS($DB$6:$DB$53,DB35,$DC$6:DC$53,"&lt;"&amp;DC35,$BC$6:$BC$53,INDEX(T_Equipos[Grupo],MATCH(BD35,T_Equipos[NombreEquipo],0)))</f>
        <v>4</v>
      </c>
      <c r="DE35" s="756"/>
      <c r="DF35" s="756">
        <f t="shared" ca="1" si="52"/>
        <v>4</v>
      </c>
      <c r="DG35" s="756">
        <f ca="1">IF(DB35="-","-",COUNTIFS(DF$6:DF$53,"&lt;"&amp;DF35,$BC$6:$BC$53,INDEX(T_Equipos[Grupo],MATCH(BD35,T_Equipos[NombreEquipo],0))))</f>
        <v>3</v>
      </c>
      <c r="DH35" s="756">
        <f ca="1">DA35+COUNTIFS(DB$6:DB$53,DB35,DG$6:DG$53,"&lt;"&amp;DG35,$BC$6:$BC$53,INDEX(T_Equipos[Grupo],MATCH(BD35,T_Equipos[NombreEquipo],0)))</f>
        <v>4</v>
      </c>
      <c r="DI35" s="744"/>
      <c r="DJ35" s="744">
        <f t="shared" ca="1" si="53"/>
        <v>1</v>
      </c>
      <c r="DK35" s="744">
        <f t="shared" ca="1" si="24"/>
        <v>4</v>
      </c>
      <c r="DL35" s="744">
        <f t="shared" ca="1" si="33"/>
        <v>1</v>
      </c>
      <c r="DM35" s="738" t="str">
        <f t="shared" ca="1" si="34"/>
        <v>1.1</v>
      </c>
      <c r="DN35" s="744" cm="1">
        <f t="array" aca="1" ref="DN35" ca="1">OFFSET(Horarios!$P$3,DJ35-1,0,DL35,1)</f>
        <v>1</v>
      </c>
      <c r="DO35" s="744"/>
      <c r="DP35" s="744" t="s">
        <v>671</v>
      </c>
      <c r="DQ35" s="744" t="str">
        <f t="shared" ca="1" si="35"/>
        <v>Uruguay</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P.3 (2)</v>
      </c>
      <c r="G36" s="744"/>
      <c r="H36" s="744" t="str">
        <f t="shared" ref="H36:H41" ca="1" si="118">IF(D36="Pendiente","-",INDEX($BZ$6:$BZ$53,MATCH($AA36,$BD$6:$BD$53,0)))</f>
        <v>P.1 (2)</v>
      </c>
      <c r="I36" s="744" t="str">
        <f t="shared" ref="I36:I41" ca="1" si="119">IF(D36="Pendiente","-",INDEX($BZ$6:$BZ$53,MATCH($AF36,$BD$6:$BD$53,0)))</f>
        <v>P.3 (2)</v>
      </c>
      <c r="J36" s="744"/>
      <c r="K36" s="744" t="str">
        <f t="shared" ref="K36:K41" ca="1" si="120">IF(D36="Pendiente","-",INDEX($CE$6:$CE$53,MATCH($AA36,$BD$6:$BD$53,0)))</f>
        <v>P.1 (2)</v>
      </c>
      <c r="L36" s="744" t="str">
        <f t="shared" ref="L36:L41" ca="1" si="121">IF(D36="Pendiente","-",INDEX($CE$6:$CE$53,MATCH($AF36,$BD$6:$BD$53,0)))</f>
        <v>P.3 (2)</v>
      </c>
      <c r="M36" s="744"/>
      <c r="N36" s="744" t="str">
        <f t="shared" ref="N36:N41" ca="1" si="122">IF(D36="Pendiente","-",INDEX($CH$6:$CH$53,MATCH($AA36,$BD$6:$BD$53,0)))</f>
        <v>P.1 (2)</v>
      </c>
      <c r="O36" s="744" t="str">
        <f t="shared" ref="O36:O41" ca="1" si="123">IF(D36="Pendiente","-",INDEX($CH$6:$CH$53,MATCH($AF36,$BD$6:$BD$53,0)))</f>
        <v>P.3 (2)</v>
      </c>
      <c r="P36" s="744"/>
      <c r="Q36" s="744" t="str">
        <f t="shared" ref="Q36:Q41" ca="1" si="124">IF(D36="Pendiente","-",INDEX($CN$6:$CN$53,MATCH($AA36,$BD$6:$BD$53,0)))</f>
        <v>P.1 (2)</v>
      </c>
      <c r="R36" s="744" t="str">
        <f t="shared" ref="R36:R41" ca="1" si="125">IF(D36="Pendiente","-",INDEX($CN$6:$CN$53,MATCH($AF36,$BD$6:$BD$53,0)))</f>
        <v>P.3 (2)</v>
      </c>
      <c r="S36" s="744"/>
      <c r="T36" s="744" t="str">
        <f t="shared" ref="T36:T41" ca="1" si="126">IF(D36="Pendiente","-",INDEX($CS$6:$CS$53,MATCH($AA36,$BD$6:$BD$53,0)))</f>
        <v>P.1 (2)</v>
      </c>
      <c r="U36" s="744" t="str">
        <f t="shared" ref="U36:U41" ca="1" si="127">IF(D36="Pendiente","-",INDEX($CS$6:$CS$53,MATCH($AF36,$BD$6:$BD$53,0)))</f>
        <v>P.3 (2)</v>
      </c>
      <c r="V36" s="172"/>
      <c r="W36" s="813"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1</v>
      </c>
      <c r="BF36" s="748">
        <f t="shared" ca="1" si="26"/>
        <v>1</v>
      </c>
      <c r="BG36" s="748">
        <f t="shared" ca="1" si="17"/>
        <v>0</v>
      </c>
      <c r="BH36" s="748">
        <f t="shared" ca="1" si="18"/>
        <v>1</v>
      </c>
      <c r="BI36" s="748">
        <f t="shared" ca="1" si="19"/>
        <v>0</v>
      </c>
      <c r="BJ36" s="748">
        <f t="shared" ca="1" si="20"/>
        <v>1</v>
      </c>
      <c r="BK36" s="748">
        <f t="shared" ca="1" si="21"/>
        <v>1</v>
      </c>
      <c r="BL36" s="748">
        <f t="shared" ca="1" si="27"/>
        <v>0</v>
      </c>
      <c r="BM36" s="748" t="str">
        <f t="shared" ca="1" si="22"/>
        <v>1H</v>
      </c>
      <c r="BN36" s="748" t="str">
        <f t="shared" ca="1" si="23"/>
        <v>1H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1</v>
      </c>
      <c r="BS36" s="757">
        <f ca="1">BP36+COUNTIFS($BQ$6:$BQ$53,BQ36,$BR$6:BR$53,"&gt;"&amp;BR36,$BC$6:$BC$53,INDEX(T_Equipos[Grupo],MATCH(BD36,T_Equipos[NombreEquipo],0)))</f>
        <v>1</v>
      </c>
      <c r="BT36" s="757" t="str">
        <f ca="1">IF(COUNTIFS($BS$6:$BS$53,BS36,$BC$6:$BC$53,INDEX(T_Equipos[Grupo],MATCH(BD36,T_Equipos[NombreEquipo],0)))=1,"-","P."&amp;BS36&amp;" ("&amp;COUNTIFS($BS$6:$BS$53,BS36,$BC$6:$BC$53,INDEX(T_Equipos[Grupo],MATCH(BD36,T_Equipos[NombreEquipo],0)))&amp;")")</f>
        <v>P.1 (4)</v>
      </c>
      <c r="BU36" s="758">
        <f t="shared" ca="1" si="36"/>
        <v>0</v>
      </c>
      <c r="BV36" s="758">
        <f t="shared" ca="1" si="37"/>
        <v>1</v>
      </c>
      <c r="BW36" s="758">
        <f t="shared" ca="1" si="38"/>
        <v>0</v>
      </c>
      <c r="BX36" s="758">
        <f t="shared" ca="1" si="39"/>
        <v>1</v>
      </c>
      <c r="BY36" s="758">
        <f ca="1">BS36+COUNTIFS($BT$6:$BT$53,BT36,$BX$6:BX$53,"&gt;"&amp;BX36,$BC$6:$BC$53,INDEX(T_Equipos[Grupo],MATCH(BD36,T_Equipos[NombreEquipo],0)))</f>
        <v>1</v>
      </c>
      <c r="BZ36" s="757" t="str">
        <f ca="1">IF(COUNTIFS($BY$6:$BY$53,BY36,$BC$6:$BC$53,INDEX(T_Equipos[Grupo],MATCH(BD36,T_Equipos[NombreEquipo],0)))=1,"-","P."&amp;BY36&amp;" ("&amp;COUNTIFS($BY$6:$BY$53,BY36,$BC$6:$BC$53,INDEX(T_Equipos[Grupo],MATCH(BD36,T_Equipos[NombreEquipo],0)))&amp;")")</f>
        <v>P.1 (4)</v>
      </c>
      <c r="CA36" s="758">
        <f t="shared" ca="1" si="40"/>
        <v>1</v>
      </c>
      <c r="CB36" s="758">
        <f t="shared" ca="1" si="41"/>
        <v>1</v>
      </c>
      <c r="CC36" s="758">
        <f t="shared" ca="1" si="42"/>
        <v>0</v>
      </c>
      <c r="CD36" s="758">
        <f ca="1">BY36+COUNTIFS($BZ$6:$BZ$53,BZ36,$CC$6:CC$53,"&gt;"&amp;CC36,$BC$6:$BC$53,INDEX(T_Equipos[Grupo],MATCH(BD36,T_Equipos[NombreEquipo],0)))</f>
        <v>1</v>
      </c>
      <c r="CE36" s="757" t="str">
        <f ca="1">IF(COUNTIFS($CD$6:$CD$53,CD36,$BC$6:$BC$53,INDEX(T_Equipos[Grupo],MATCH(BD36,T_Equipos[NombreEquipo],0)))=1,"-","P."&amp;CD36&amp;" ("&amp;COUNTIFS($CD$6:$CD$53,CD36,$BC$6:$BC$53,INDEX(T_Equipos[Grupo],MATCH(BD36,T_Equipos[NombreEquipo],0)))&amp;")")</f>
        <v>P.1 (4)</v>
      </c>
      <c r="CF36" s="758">
        <f t="shared" ca="1" si="43"/>
        <v>1</v>
      </c>
      <c r="CG36" s="758">
        <f ca="1">CD36+COUNTIFS($CE$6:$CE$53,CE36,$CF$6:CF$53,"&gt;"&amp;CF36,$BC$6:$BC$53,INDEX(T_Equipos[Grupo],MATCH(BD36,T_Equipos[NombreEquipo],0)))</f>
        <v>1</v>
      </c>
      <c r="CH36" s="757" t="str">
        <f ca="1">IF(COUNTIFS($CG$6:$CG$53,CG36,$BC$6:$BC$53,INDEX(T_Equipos[Grupo],MATCH(BD36,T_Equipos[NombreEquipo],0)))=1,"-","P."&amp;CG36&amp;" ("&amp;COUNTIFS($CG$6:$CG$53,CG36,$BC$6:$BC$53,INDEX(T_Equipos[Grupo],MATCH(BD36,T_Equipos[NombreEquipo],0)))&amp;")")</f>
        <v>P.1 (2)</v>
      </c>
      <c r="CI36" s="758">
        <f t="shared" ca="1" si="44"/>
        <v>0</v>
      </c>
      <c r="CJ36" s="758">
        <f t="shared" ca="1" si="45"/>
        <v>1</v>
      </c>
      <c r="CK36" s="758">
        <f t="shared" ca="1" si="46"/>
        <v>0</v>
      </c>
      <c r="CL36" s="758">
        <f t="shared" ca="1" si="47"/>
        <v>1</v>
      </c>
      <c r="CM36" s="758">
        <f ca="1">CG36+COUNTIFS($CH$6:$CH$53,CH36,$CL$6:CL$53,"&gt;"&amp;CL36,$BC$6:$BC$53,INDEX(T_Equipos[Grupo],MATCH(BD36,T_Equipos[NombreEquipo],0)))</f>
        <v>1</v>
      </c>
      <c r="CN36" s="757" t="str">
        <f ca="1">IF(COUNTIFS($CM$6:$CM$53,CM36,$BC$6:$BC$53,INDEX(T_Equipos[Grupo],MATCH(BD36,T_Equipos[NombreEquipo],0)))=1,"-","P."&amp;CM36&amp;" ("&amp;COUNTIFS($CM$6:$CM$53,CM36,$BC$6:$BC$53,INDEX(T_Equipos[Grupo],MATCH(BD36,T_Equipos[NombreEquipo],0)))&amp;")")</f>
        <v>P.1 (2)</v>
      </c>
      <c r="CO36" s="758">
        <f t="shared" ca="1" si="48"/>
        <v>1</v>
      </c>
      <c r="CP36" s="758">
        <f t="shared" ca="1" si="49"/>
        <v>1</v>
      </c>
      <c r="CQ36" s="758">
        <f t="shared" ca="1" si="50"/>
        <v>0</v>
      </c>
      <c r="CR36" s="758">
        <f ca="1">CM36+COUNTIFS($CN$6:$CN$53,CN36,$CQ$6:CQ$53,"&gt;"&amp;CQ36,$BC$6:$BC$53,INDEX(T_Equipos[Grupo],MATCH(BD36,T_Equipos[NombreEquipo],0)))</f>
        <v>1</v>
      </c>
      <c r="CS36" s="757" t="str">
        <f ca="1">IF(COUNTIFS($CR$6:$CR$53,CR36,$BC$6:$BC$53,INDEX(T_Equipos[Grupo],MATCH(BD36,T_Equipos[NombreEquipo],0)))=1,"-","P."&amp;CR36&amp;" ("&amp;COUNTIFS($CR$6:$CR$53,CR36,$BC$6:$BC$53,INDEX(T_Equipos[Grupo],MATCH(BD36,T_Equipos[NombreEquipo],0)))&amp;")")</f>
        <v>P.1 (2)</v>
      </c>
      <c r="CT36" s="758">
        <f t="shared" ca="1" si="51"/>
        <v>1</v>
      </c>
      <c r="CU36" s="758">
        <f ca="1">CR36+COUNTIFS($CS$6:$CS$53,CS36,$CT$6:CT$53,"&gt;"&amp;CT36,$BC$6:$BC$53,INDEX(T_Equipos[Grupo],MATCH(BD36,T_Equipos[NombreEquipo],0)))</f>
        <v>1</v>
      </c>
      <c r="CV36" s="757" t="str">
        <f ca="1">IF(COUNTIFS($CU$6:$CU$53,CU36,$BC$6:$BC$53,INDEX(T_Equipos[Grupo],MATCH(BD36,T_Equipos[NombreEquipo],0)))=1,"-","P."&amp;CU36&amp;" ("&amp;COUNTIFS($CU$6:$CU$53,CU36,$BC$6:$BC$53,INDEX(T_Equipos[Grupo],MATCH(BD36,T_Equipos[NombreEquipo],0)))&amp;")")</f>
        <v>P.1 (2)</v>
      </c>
      <c r="CW36" s="757">
        <f t="shared" ca="1" si="30"/>
        <v>0</v>
      </c>
      <c r="CX36" s="757">
        <f ca="1">CU36+COUNTIFS($CV$6:$CV$53,CV36,$CW$6:CW$53,"&gt;"&amp;CW36,$BC$6:$BC$53,INDEX(T_Equipos[Grupo],MATCH(BD36,T_Equipos[NombreEquipo],0)))</f>
        <v>1</v>
      </c>
      <c r="CY36" s="757" t="str">
        <f ca="1">IF(COUNTIFS($CX$6:$CX$53,CX36,$BC$6:$BC$53,INDEX(T_Equipos[Grupo],MATCH(BD36,T_Equipos[NombreEquipo],0)))=1,"-","P."&amp;CX36&amp;" ("&amp;COUNTIFS($CX$6:$CX$53,CX36,$BC$6:$BC$53,INDEX(T_Equipos[Grupo],MATCH(BD36,T_Equipos[NombreEquipo],0)))&amp;")")</f>
        <v>P.1 (2)</v>
      </c>
      <c r="CZ36" s="757">
        <f t="shared" ca="1" si="31"/>
        <v>1</v>
      </c>
      <c r="DA36" s="758">
        <f ca="1">CX36+COUNTIFS($CY$6:$CY$53,CY36,$CZ$6:CZ$53,"&gt;"&amp;CZ36,$BC$6:$BC$53,INDEX(T_Equipos[Grupo],MATCH(BD36,T_Equipos[NombreEquipo],0)))</f>
        <v>1</v>
      </c>
      <c r="DB36" s="757" t="str">
        <f ca="1">IF(COUNTIFS($DA$6:$DA$53,DA36,$BC$6:$BC$53,INDEX(T_Equipos[Grupo],MATCH(BD36,T_Equipos[NombreEquipo],0)))=1,"-","P."&amp;DA36&amp;" ("&amp;COUNTIFS($DA$6:$DA$53,DA36,$BC$6:$BC$53,INDEX(T_Equipos[Grupo],MATCH(BD36,T_Equipos[NombreEquipo],0)))&amp;")")</f>
        <v>P.1 (2)</v>
      </c>
      <c r="DC36" s="756">
        <f ca="1">IF(DB36="-","-",COUNTIFS(T_Equipos[Rank],"&lt;"&amp;INDEX(T_Equipos[Rank],MATCH(BD36,T_Equipos[NombreEquipo],0)),$BC$6:$BC$53,INDEX(T_Equipos[Grupo],MATCH(BD36,T_Equipos[NombreEquipo],0)))+1)</f>
        <v>3</v>
      </c>
      <c r="DD36" s="756">
        <f ca="1">DA36+COUNTIFS($DB$6:$DB$53,DB36,$DC$6:DC$53,"&lt;"&amp;DC36,$BC$6:$BC$53,INDEX(T_Equipos[Grupo],MATCH(BD36,T_Equipos[NombreEquipo],0)))</f>
        <v>1</v>
      </c>
      <c r="DE36" s="756"/>
      <c r="DF36" s="756">
        <f t="shared" ca="1" si="52"/>
        <v>1</v>
      </c>
      <c r="DG36" s="756">
        <f ca="1">IF(DB36="-","-",COUNTIFS(DF$6:DF$53,"&lt;"&amp;DF36,$BC$6:$BC$53,INDEX(T_Equipos[Grupo],MATCH(BD36,T_Equipos[NombreEquipo],0))))</f>
        <v>0</v>
      </c>
      <c r="DH36" s="756">
        <f ca="1">DA36+COUNTIFS(DB$6:DB$53,DB36,DG$6:DG$53,"&lt;"&amp;DG36,$BC$6:$BC$53,INDEX(T_Equipos[Grupo],MATCH(BD36,T_Equipos[NombreEquipo],0)))</f>
        <v>1</v>
      </c>
      <c r="DI36" s="744"/>
      <c r="DJ36" s="744">
        <f t="shared" ca="1" si="53"/>
        <v>3</v>
      </c>
      <c r="DK36" s="744">
        <f t="shared" ca="1" si="24"/>
        <v>4</v>
      </c>
      <c r="DL36" s="744">
        <f t="shared" ca="1" si="33"/>
        <v>1</v>
      </c>
      <c r="DM36" s="738" t="str">
        <f t="shared" ca="1" si="34"/>
        <v>3.1</v>
      </c>
      <c r="DN36" s="744" cm="1">
        <f t="array" aca="1" ref="DN36" ca="1">OFFSET(Horarios!$P$3,DJ36-1,0,DL36,1)</f>
        <v>3</v>
      </c>
      <c r="DO36" s="744"/>
      <c r="DP36" s="744" t="s">
        <v>436</v>
      </c>
      <c r="DQ36" s="744" t="str">
        <f t="shared" ca="1" si="35"/>
        <v>España</v>
      </c>
      <c r="DR36" s="744"/>
      <c r="DS36" s="744"/>
      <c r="DT36" s="744" t="str">
        <f t="shared" ca="1" si="15"/>
        <v>Alemania-Curazao</v>
      </c>
      <c r="DU36" s="744"/>
      <c r="DV36" s="744"/>
      <c r="DW36" s="8"/>
    </row>
    <row r="37" spans="1:127" ht="16.05" customHeight="1">
      <c r="A37" s="745" t="str">
        <f ca="1">+Equipos!B18</f>
        <v>Alemania</v>
      </c>
      <c r="B37" s="742"/>
      <c r="C37" s="742"/>
      <c r="D37" s="744" t="str">
        <f t="shared" si="115"/>
        <v>Local</v>
      </c>
      <c r="E37" s="744" t="str">
        <f t="shared" ca="1" si="116"/>
        <v>P.1 (2)</v>
      </c>
      <c r="F37" s="744" t="str">
        <f t="shared" ca="1" si="117"/>
        <v>P.3 (2)</v>
      </c>
      <c r="G37" s="744"/>
      <c r="H37" s="744" t="str">
        <f t="shared" ca="1" si="118"/>
        <v>P.1 (2)</v>
      </c>
      <c r="I37" s="744" t="str">
        <f t="shared" ca="1" si="119"/>
        <v>P.3 (2)</v>
      </c>
      <c r="J37" s="744"/>
      <c r="K37" s="744" t="str">
        <f t="shared" ca="1" si="120"/>
        <v>P.1 (2)</v>
      </c>
      <c r="L37" s="744" t="str">
        <f t="shared" ca="1" si="121"/>
        <v>P.3 (2)</v>
      </c>
      <c r="M37" s="744"/>
      <c r="N37" s="744" t="str">
        <f t="shared" ca="1" si="122"/>
        <v>P.1 (2)</v>
      </c>
      <c r="O37" s="744" t="str">
        <f t="shared" ca="1" si="123"/>
        <v>P.3 (2)</v>
      </c>
      <c r="P37" s="744"/>
      <c r="Q37" s="744" t="str">
        <f t="shared" ca="1" si="124"/>
        <v>P.1 (2)</v>
      </c>
      <c r="R37" s="744" t="str">
        <f t="shared" ca="1" si="125"/>
        <v>P.3 (2)</v>
      </c>
      <c r="S37" s="744"/>
      <c r="T37" s="744" t="str">
        <f t="shared" ca="1" si="126"/>
        <v>P.1 (2)</v>
      </c>
      <c r="U37" s="744" t="str">
        <f t="shared" ca="1" si="127"/>
        <v>P.3 (2)</v>
      </c>
      <c r="V37" s="172"/>
      <c r="W37" s="813"/>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1</v>
      </c>
      <c r="BF37" s="748">
        <f t="shared" ca="1" si="26"/>
        <v>1</v>
      </c>
      <c r="BG37" s="748">
        <f t="shared" ca="1" si="17"/>
        <v>0</v>
      </c>
      <c r="BH37" s="748">
        <f t="shared" ca="1" si="18"/>
        <v>1</v>
      </c>
      <c r="BI37" s="748">
        <f t="shared" ca="1" si="19"/>
        <v>0</v>
      </c>
      <c r="BJ37" s="748">
        <f t="shared" ca="1" si="20"/>
        <v>1</v>
      </c>
      <c r="BK37" s="748">
        <f t="shared" ca="1" si="21"/>
        <v>1</v>
      </c>
      <c r="BL37" s="748">
        <f t="shared" ca="1" si="27"/>
        <v>0</v>
      </c>
      <c r="BM37" s="748" t="str">
        <f t="shared" ca="1" si="22"/>
        <v>2H</v>
      </c>
      <c r="BN37" s="748" t="str">
        <f t="shared" ca="1" si="23"/>
        <v>2H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1</v>
      </c>
      <c r="BS37" s="757">
        <f ca="1">BP37+COUNTIFS($BQ$6:$BQ$53,BQ37,$BR$6:BR$53,"&gt;"&amp;BR37,$BC$6:$BC$53,INDEX(T_Equipos[Grupo],MATCH(BD37,T_Equipos[NombreEquipo],0)))</f>
        <v>1</v>
      </c>
      <c r="BT37" s="757" t="str">
        <f ca="1">IF(COUNTIFS($BS$6:$BS$53,BS37,$BC$6:$BC$53,INDEX(T_Equipos[Grupo],MATCH(BD37,T_Equipos[NombreEquipo],0)))=1,"-","P."&amp;BS37&amp;" ("&amp;COUNTIFS($BS$6:$BS$53,BS37,$BC$6:$BC$53,INDEX(T_Equipos[Grupo],MATCH(BD37,T_Equipos[NombreEquipo],0)))&amp;")")</f>
        <v>P.1 (4)</v>
      </c>
      <c r="BU37" s="758">
        <f t="shared" ca="1" si="36"/>
        <v>0</v>
      </c>
      <c r="BV37" s="758">
        <f t="shared" ca="1" si="37"/>
        <v>1</v>
      </c>
      <c r="BW37" s="758">
        <f t="shared" ca="1" si="38"/>
        <v>0</v>
      </c>
      <c r="BX37" s="758">
        <f t="shared" ca="1" si="39"/>
        <v>1</v>
      </c>
      <c r="BY37" s="758">
        <f ca="1">BS37+COUNTIFS($BT$6:$BT$53,BT37,$BX$6:BX$53,"&gt;"&amp;BX37,$BC$6:$BC$53,INDEX(T_Equipos[Grupo],MATCH(BD37,T_Equipos[NombreEquipo],0)))</f>
        <v>1</v>
      </c>
      <c r="BZ37" s="757" t="str">
        <f ca="1">IF(COUNTIFS($BY$6:$BY$53,BY37,$BC$6:$BC$53,INDEX(T_Equipos[Grupo],MATCH(BD37,T_Equipos[NombreEquipo],0)))=1,"-","P."&amp;BY37&amp;" ("&amp;COUNTIFS($BY$6:$BY$53,BY37,$BC$6:$BC$53,INDEX(T_Equipos[Grupo],MATCH(BD37,T_Equipos[NombreEquipo],0)))&amp;")")</f>
        <v>P.1 (4)</v>
      </c>
      <c r="CA37" s="758">
        <f t="shared" ca="1" si="40"/>
        <v>1</v>
      </c>
      <c r="CB37" s="758">
        <f t="shared" ca="1" si="41"/>
        <v>1</v>
      </c>
      <c r="CC37" s="758">
        <f t="shared" ca="1" si="42"/>
        <v>0</v>
      </c>
      <c r="CD37" s="758">
        <f ca="1">BY37+COUNTIFS($BZ$6:$BZ$53,BZ37,$CC$6:CC$53,"&gt;"&amp;CC37,$BC$6:$BC$53,INDEX(T_Equipos[Grupo],MATCH(BD37,T_Equipos[NombreEquipo],0)))</f>
        <v>1</v>
      </c>
      <c r="CE37" s="757" t="str">
        <f ca="1">IF(COUNTIFS($CD$6:$CD$53,CD37,$BC$6:$BC$53,INDEX(T_Equipos[Grupo],MATCH(BD37,T_Equipos[NombreEquipo],0)))=1,"-","P."&amp;CD37&amp;" ("&amp;COUNTIFS($CD$6:$CD$53,CD37,$BC$6:$BC$53,INDEX(T_Equipos[Grupo],MATCH(BD37,T_Equipos[NombreEquipo],0)))&amp;")")</f>
        <v>P.1 (4)</v>
      </c>
      <c r="CF37" s="758">
        <f t="shared" ca="1" si="43"/>
        <v>1</v>
      </c>
      <c r="CG37" s="758">
        <f ca="1">CD37+COUNTIFS($CE$6:$CE$53,CE37,$CF$6:CF$53,"&gt;"&amp;CF37,$BC$6:$BC$53,INDEX(T_Equipos[Grupo],MATCH(BD37,T_Equipos[NombreEquipo],0)))</f>
        <v>1</v>
      </c>
      <c r="CH37" s="757" t="str">
        <f ca="1">IF(COUNTIFS($CG$6:$CG$53,CG37,$BC$6:$BC$53,INDEX(T_Equipos[Grupo],MATCH(BD37,T_Equipos[NombreEquipo],0)))=1,"-","P."&amp;CG37&amp;" ("&amp;COUNTIFS($CG$6:$CG$53,CG37,$BC$6:$BC$53,INDEX(T_Equipos[Grupo],MATCH(BD37,T_Equipos[NombreEquipo],0)))&amp;")")</f>
        <v>P.1 (2)</v>
      </c>
      <c r="CI37" s="758">
        <f t="shared" ca="1" si="44"/>
        <v>0</v>
      </c>
      <c r="CJ37" s="758">
        <f t="shared" ca="1" si="45"/>
        <v>1</v>
      </c>
      <c r="CK37" s="758">
        <f t="shared" ca="1" si="46"/>
        <v>0</v>
      </c>
      <c r="CL37" s="758">
        <f t="shared" ca="1" si="47"/>
        <v>1</v>
      </c>
      <c r="CM37" s="758">
        <f ca="1">CG37+COUNTIFS($CH$6:$CH$53,CH37,$CL$6:CL$53,"&gt;"&amp;CL37,$BC$6:$BC$53,INDEX(T_Equipos[Grupo],MATCH(BD37,T_Equipos[NombreEquipo],0)))</f>
        <v>1</v>
      </c>
      <c r="CN37" s="757" t="str">
        <f ca="1">IF(COUNTIFS($CM$6:$CM$53,CM37,$BC$6:$BC$53,INDEX(T_Equipos[Grupo],MATCH(BD37,T_Equipos[NombreEquipo],0)))=1,"-","P."&amp;CM37&amp;" ("&amp;COUNTIFS($CM$6:$CM$53,CM37,$BC$6:$BC$53,INDEX(T_Equipos[Grupo],MATCH(BD37,T_Equipos[NombreEquipo],0)))&amp;")")</f>
        <v>P.1 (2)</v>
      </c>
      <c r="CO37" s="758">
        <f t="shared" ca="1" si="48"/>
        <v>1</v>
      </c>
      <c r="CP37" s="758">
        <f t="shared" ca="1" si="49"/>
        <v>1</v>
      </c>
      <c r="CQ37" s="758">
        <f t="shared" ca="1" si="50"/>
        <v>0</v>
      </c>
      <c r="CR37" s="758">
        <f ca="1">CM37+COUNTIFS($CN$6:$CN$53,CN37,$CQ$6:CQ$53,"&gt;"&amp;CQ37,$BC$6:$BC$53,INDEX(T_Equipos[Grupo],MATCH(BD37,T_Equipos[NombreEquipo],0)))</f>
        <v>1</v>
      </c>
      <c r="CS37" s="757" t="str">
        <f ca="1">IF(COUNTIFS($CR$6:$CR$53,CR37,$BC$6:$BC$53,INDEX(T_Equipos[Grupo],MATCH(BD37,T_Equipos[NombreEquipo],0)))=1,"-","P."&amp;CR37&amp;" ("&amp;COUNTIFS($CR$6:$CR$53,CR37,$BC$6:$BC$53,INDEX(T_Equipos[Grupo],MATCH(BD37,T_Equipos[NombreEquipo],0)))&amp;")")</f>
        <v>P.1 (2)</v>
      </c>
      <c r="CT37" s="758">
        <f t="shared" ca="1" si="51"/>
        <v>1</v>
      </c>
      <c r="CU37" s="758">
        <f ca="1">CR37+COUNTIFS($CS$6:$CS$53,CS37,$CT$6:CT$53,"&gt;"&amp;CT37,$BC$6:$BC$53,INDEX(T_Equipos[Grupo],MATCH(BD37,T_Equipos[NombreEquipo],0)))</f>
        <v>1</v>
      </c>
      <c r="CV37" s="757" t="str">
        <f ca="1">IF(COUNTIFS($CU$6:$CU$53,CU37,$BC$6:$BC$53,INDEX(T_Equipos[Grupo],MATCH(BD37,T_Equipos[NombreEquipo],0)))=1,"-","P."&amp;CU37&amp;" ("&amp;COUNTIFS($CU$6:$CU$53,CU37,$BC$6:$BC$53,INDEX(T_Equipos[Grupo],MATCH(BD37,T_Equipos[NombreEquipo],0)))&amp;")")</f>
        <v>P.1 (2)</v>
      </c>
      <c r="CW37" s="757">
        <f t="shared" ca="1" si="30"/>
        <v>0</v>
      </c>
      <c r="CX37" s="757">
        <f ca="1">CU37+COUNTIFS($CV$6:$CV$53,CV37,$CW$6:CW$53,"&gt;"&amp;CW37,$BC$6:$BC$53,INDEX(T_Equipos[Grupo],MATCH(BD37,T_Equipos[NombreEquipo],0)))</f>
        <v>1</v>
      </c>
      <c r="CY37" s="757" t="str">
        <f ca="1">IF(COUNTIFS($CX$6:$CX$53,CX37,$BC$6:$BC$53,INDEX(T_Equipos[Grupo],MATCH(BD37,T_Equipos[NombreEquipo],0)))=1,"-","P."&amp;CX37&amp;" ("&amp;COUNTIFS($CX$6:$CX$53,CX37,$BC$6:$BC$53,INDEX(T_Equipos[Grupo],MATCH(BD37,T_Equipos[NombreEquipo],0)))&amp;")")</f>
        <v>P.1 (2)</v>
      </c>
      <c r="CZ37" s="757">
        <f t="shared" ca="1" si="31"/>
        <v>1</v>
      </c>
      <c r="DA37" s="758">
        <f ca="1">CX37+COUNTIFS($CY$6:$CY$53,CY37,$CZ$6:CZ$53,"&gt;"&amp;CZ37,$BC$6:$BC$53,INDEX(T_Equipos[Grupo],MATCH(BD37,T_Equipos[NombreEquipo],0)))</f>
        <v>1</v>
      </c>
      <c r="DB37" s="757" t="str">
        <f ca="1">IF(COUNTIFS($DA$6:$DA$53,DA37,$BC$6:$BC$53,INDEX(T_Equipos[Grupo],MATCH(BD37,T_Equipos[NombreEquipo],0)))=1,"-","P."&amp;DA37&amp;" ("&amp;COUNTIFS($DA$6:$DA$53,DA37,$BC$6:$BC$53,INDEX(T_Equipos[Grupo],MATCH(BD37,T_Equipos[NombreEquipo],0)))&amp;")")</f>
        <v>P.1 (2)</v>
      </c>
      <c r="DC37" s="756">
        <f ca="1">IF(DB37="-","-",COUNTIFS(T_Equipos[Rank],"&lt;"&amp;INDEX(T_Equipos[Rank],MATCH(BD37,T_Equipos[NombreEquipo],0)),$BC$6:$BC$53,INDEX(T_Equipos[Grupo],MATCH(BD37,T_Equipos[NombreEquipo],0)))+1)</f>
        <v>4</v>
      </c>
      <c r="DD37" s="756">
        <f ca="1">DA37+COUNTIFS($DB$6:$DB$53,DB37,$DC$6:DC$53,"&lt;"&amp;DC37,$BC$6:$BC$53,INDEX(T_Equipos[Grupo],MATCH(BD37,T_Equipos[NombreEquipo],0)))</f>
        <v>2</v>
      </c>
      <c r="DE37" s="756"/>
      <c r="DF37" s="756">
        <f t="shared" ca="1" si="52"/>
        <v>2</v>
      </c>
      <c r="DG37" s="756">
        <f ca="1">IF(DB37="-","-",COUNTIFS(DF$6:DF$53,"&lt;"&amp;DF37,$BC$6:$BC$53,INDEX(T_Equipos[Grupo],MATCH(BD37,T_Equipos[NombreEquipo],0))))</f>
        <v>1</v>
      </c>
      <c r="DH37" s="756">
        <f ca="1">DA37+COUNTIFS(DB$6:DB$53,DB37,DG$6:DG$53,"&lt;"&amp;DG37,$BC$6:$BC$53,INDEX(T_Equipos[Grupo],MATCH(BD37,T_Equipos[NombreEquipo],0)))</f>
        <v>2</v>
      </c>
      <c r="DI37" s="744"/>
      <c r="DJ37" s="744">
        <f t="shared" ca="1" si="53"/>
        <v>3</v>
      </c>
      <c r="DK37" s="744">
        <f t="shared" ca="1" si="24"/>
        <v>4</v>
      </c>
      <c r="DL37" s="744">
        <f t="shared" ca="1" si="33"/>
        <v>1</v>
      </c>
      <c r="DM37" s="738" t="str">
        <f t="shared" ca="1" si="34"/>
        <v>3.1</v>
      </c>
      <c r="DN37" s="744" cm="1">
        <f t="array" aca="1" ref="DN37" ca="1">OFFSET(Horarios!$P$3,DJ37-1,0,DL37,1)</f>
        <v>3</v>
      </c>
      <c r="DO37" s="744"/>
      <c r="DP37" s="744" t="s">
        <v>672</v>
      </c>
      <c r="DQ37" s="744" t="str">
        <f t="shared" ca="1" si="35"/>
        <v>Cabo Verde</v>
      </c>
      <c r="DR37" s="744"/>
      <c r="DS37" s="744"/>
      <c r="DT37" s="744" t="str">
        <f t="shared" ca="1" si="15"/>
        <v>Costa de Marfil-Ecuador</v>
      </c>
      <c r="DU37" s="744"/>
      <c r="DV37" s="744"/>
      <c r="DW37" s="8"/>
    </row>
    <row r="38" spans="1:127" ht="16.05" customHeight="1">
      <c r="A38" s="745" t="str">
        <f ca="1">+Equipos!B19</f>
        <v>Curazao</v>
      </c>
      <c r="B38" s="742"/>
      <c r="C38" s="746"/>
      <c r="D38" s="744" t="str">
        <f t="shared" si="115"/>
        <v>Pendiente</v>
      </c>
      <c r="E38" s="744" t="str">
        <f t="shared" si="116"/>
        <v>-</v>
      </c>
      <c r="F38" s="744" t="str">
        <f t="shared" si="117"/>
        <v>-</v>
      </c>
      <c r="G38" s="744"/>
      <c r="H38" s="744" t="str">
        <f t="shared" si="118"/>
        <v>-</v>
      </c>
      <c r="I38" s="744" t="str">
        <f t="shared" si="119"/>
        <v>-</v>
      </c>
      <c r="J38" s="744"/>
      <c r="K38" s="744" t="str">
        <f t="shared" si="120"/>
        <v>-</v>
      </c>
      <c r="L38" s="744" t="str">
        <f t="shared" si="121"/>
        <v>-</v>
      </c>
      <c r="M38" s="744"/>
      <c r="N38" s="744" t="str">
        <f t="shared" si="122"/>
        <v>-</v>
      </c>
      <c r="O38" s="744" t="str">
        <f t="shared" si="123"/>
        <v>-</v>
      </c>
      <c r="P38" s="744"/>
      <c r="Q38" s="744" t="str">
        <f t="shared" si="124"/>
        <v>-</v>
      </c>
      <c r="R38" s="744" t="str">
        <f t="shared" si="125"/>
        <v>-</v>
      </c>
      <c r="S38" s="744"/>
      <c r="T38" s="744" t="str">
        <f t="shared" si="126"/>
        <v>-</v>
      </c>
      <c r="U38" s="744" t="str">
        <f t="shared" si="127"/>
        <v>-</v>
      </c>
      <c r="V38" s="172"/>
      <c r="W38" s="813"/>
      <c r="X38" s="189">
        <f ca="1">Horarios!C38</f>
        <v>46193.916666666664</v>
      </c>
      <c r="Y38" s="190">
        <f ca="1">Horarios!C38</f>
        <v>46193.916666666664</v>
      </c>
      <c r="Z38" s="191" t="str">
        <f>$Z$6</f>
        <v>J2</v>
      </c>
      <c r="AA38" s="192" t="str">
        <f ca="1">A37</f>
        <v>Alemania</v>
      </c>
      <c r="AB38" s="478" t="e" cm="1" vm="17">
        <f t="array" aca="1" ref="AB38" ca="1">Ver_flag_local</f>
        <v>#VALUE!</v>
      </c>
      <c r="AC38" s="193"/>
      <c r="AD38" s="194"/>
      <c r="AE38" s="483" t="e" cm="1" vm="19">
        <f t="array" aca="1" ref="AE38" ca="1">Ver_flag_visit</f>
        <v>#VALUE!</v>
      </c>
      <c r="AF38" s="195" t="str">
        <f ca="1">A39</f>
        <v>Costa de Marfil</v>
      </c>
      <c r="AG38" s="413">
        <f t="shared" si="128"/>
        <v>0</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3</v>
      </c>
      <c r="BF38" s="748">
        <f t="shared" ca="1" si="26"/>
        <v>1</v>
      </c>
      <c r="BG38" s="748">
        <f t="shared" ca="1" si="17"/>
        <v>1</v>
      </c>
      <c r="BH38" s="748">
        <f t="shared" ca="1" si="18"/>
        <v>0</v>
      </c>
      <c r="BI38" s="748">
        <f t="shared" ca="1" si="19"/>
        <v>0</v>
      </c>
      <c r="BJ38" s="748">
        <f t="shared" ca="1" si="20"/>
        <v>3</v>
      </c>
      <c r="BK38" s="748">
        <f t="shared" ca="1" si="21"/>
        <v>1</v>
      </c>
      <c r="BL38" s="748">
        <f t="shared" ca="1" si="27"/>
        <v>2</v>
      </c>
      <c r="BM38" s="748" t="str">
        <f t="shared" ca="1" si="22"/>
        <v>2I</v>
      </c>
      <c r="BN38" s="748" t="str">
        <f t="shared" ca="1" si="23"/>
        <v>2I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3</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P.1 (2)</v>
      </c>
      <c r="BU38" s="758">
        <f t="shared" ca="1" si="36"/>
        <v>0</v>
      </c>
      <c r="BV38" s="758">
        <f t="shared" ca="1" si="37"/>
        <v>0</v>
      </c>
      <c r="BW38" s="758">
        <f t="shared" ca="1" si="38"/>
        <v>0</v>
      </c>
      <c r="BX38" s="758">
        <f t="shared" ca="1" si="39"/>
        <v>0</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P.1 (2)</v>
      </c>
      <c r="CA38" s="758">
        <f t="shared" ca="1" si="40"/>
        <v>0</v>
      </c>
      <c r="CB38" s="758">
        <f t="shared" ca="1" si="41"/>
        <v>0</v>
      </c>
      <c r="CC38" s="758">
        <f t="shared" ca="1" si="42"/>
        <v>0</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P.1 (2)</v>
      </c>
      <c r="CF38" s="758">
        <f t="shared" ca="1" si="43"/>
        <v>0</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P.1 (2)</v>
      </c>
      <c r="CI38" s="758">
        <f t="shared" ca="1" si="44"/>
        <v>0</v>
      </c>
      <c r="CJ38" s="758">
        <f t="shared" ca="1" si="45"/>
        <v>0</v>
      </c>
      <c r="CK38" s="758">
        <f t="shared" ca="1" si="46"/>
        <v>0</v>
      </c>
      <c r="CL38" s="758">
        <f t="shared" ca="1" si="47"/>
        <v>0</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P.1 (2)</v>
      </c>
      <c r="CO38" s="758">
        <f t="shared" ca="1" si="48"/>
        <v>0</v>
      </c>
      <c r="CP38" s="758">
        <f t="shared" ca="1" si="49"/>
        <v>0</v>
      </c>
      <c r="CQ38" s="758">
        <f t="shared" ca="1" si="50"/>
        <v>0</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P.1 (2)</v>
      </c>
      <c r="CT38" s="758">
        <f t="shared" ca="1" si="51"/>
        <v>0</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P.1 (2)</v>
      </c>
      <c r="CW38" s="757">
        <f t="shared" ca="1" si="30"/>
        <v>2</v>
      </c>
      <c r="CX38" s="757">
        <f ca="1">CU38+COUNTIFS($CV$6:$CV$53,CV38,$CW$6:CW$53,"&gt;"&amp;CW38,$BC$6:$BC$53,INDEX(T_Equipos[Grupo],MATCH(BD38,T_Equipos[NombreEquipo],0)))</f>
        <v>2</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2</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2</v>
      </c>
      <c r="DE38" s="756"/>
      <c r="DF38" s="756">
        <f t="shared" ca="1" si="52"/>
        <v>2</v>
      </c>
      <c r="DG38" s="756" t="str">
        <f ca="1">IF(DB38="-","-",COUNTIFS(DF$6:DF$53,"&lt;"&amp;DF38,$BC$6:$BC$53,INDEX(T_Equipos[Grupo],MATCH(BD38,T_Equipos[NombreEquipo],0))))</f>
        <v>-</v>
      </c>
      <c r="DH38" s="756">
        <f ca="1">DA38+COUNTIFS(DB$6:DB$53,DB38,DG$6:DG$53,"&lt;"&amp;DG38,$BC$6:$BC$53,INDEX(T_Equipos[Grupo],MATCH(BD38,T_Equipos[NombreEquipo],0)))</f>
        <v>2</v>
      </c>
      <c r="DI38" s="744"/>
      <c r="DJ38" s="744">
        <f t="shared" ca="1" si="53"/>
        <v>1</v>
      </c>
      <c r="DK38" s="744">
        <f t="shared" ca="1" si="24"/>
        <v>4</v>
      </c>
      <c r="DL38" s="744">
        <f t="shared" ca="1" si="33"/>
        <v>1</v>
      </c>
      <c r="DM38" s="738" t="str">
        <f t="shared" ca="1" si="34"/>
        <v>1.1</v>
      </c>
      <c r="DN38" s="744" cm="1">
        <f t="array" aca="1" ref="DN38" ca="1">OFFSET(Horarios!$P$3,DJ38-1,0,DL38,1)</f>
        <v>1</v>
      </c>
      <c r="DO38" s="744"/>
      <c r="DP38" s="744" t="s">
        <v>673</v>
      </c>
      <c r="DQ38" s="744" t="str">
        <f t="shared" ca="1" si="35"/>
        <v>Noruega</v>
      </c>
      <c r="DR38" s="744"/>
      <c r="DS38" s="744"/>
      <c r="DT38" s="744" t="str">
        <f t="shared" ca="1" si="15"/>
        <v>Alemania-Costa de Marfil</v>
      </c>
      <c r="DU38" s="744"/>
      <c r="DV38" s="744"/>
      <c r="DW38" s="8"/>
    </row>
    <row r="39" spans="1:127" ht="16.05" customHeight="1">
      <c r="A39" s="745" t="str">
        <f ca="1">+Equipos!B20</f>
        <v>Costa de Marfil</v>
      </c>
      <c r="B39" s="742"/>
      <c r="C39" s="744"/>
      <c r="D39" s="744" t="str">
        <f t="shared" si="115"/>
        <v>Pendiente</v>
      </c>
      <c r="E39" s="744" t="str">
        <f t="shared" si="116"/>
        <v>-</v>
      </c>
      <c r="F39" s="744" t="str">
        <f t="shared" si="117"/>
        <v>-</v>
      </c>
      <c r="G39" s="744"/>
      <c r="H39" s="744" t="str">
        <f t="shared" si="118"/>
        <v>-</v>
      </c>
      <c r="I39" s="744" t="str">
        <f t="shared" si="119"/>
        <v>-</v>
      </c>
      <c r="J39" s="744"/>
      <c r="K39" s="744" t="str">
        <f t="shared" si="120"/>
        <v>-</v>
      </c>
      <c r="L39" s="744" t="str">
        <f t="shared" si="121"/>
        <v>-</v>
      </c>
      <c r="M39" s="744"/>
      <c r="N39" s="744" t="str">
        <f t="shared" si="122"/>
        <v>-</v>
      </c>
      <c r="O39" s="744" t="str">
        <f t="shared" si="123"/>
        <v>-</v>
      </c>
      <c r="P39" s="744"/>
      <c r="Q39" s="744" t="str">
        <f t="shared" si="124"/>
        <v>-</v>
      </c>
      <c r="R39" s="744" t="str">
        <f t="shared" si="125"/>
        <v>-</v>
      </c>
      <c r="S39" s="744"/>
      <c r="T39" s="744" t="str">
        <f t="shared" si="126"/>
        <v>-</v>
      </c>
      <c r="U39" s="744" t="str">
        <f t="shared" si="127"/>
        <v>-</v>
      </c>
      <c r="V39" s="172"/>
      <c r="W39" s="813"/>
      <c r="X39" s="189">
        <f ca="1">Horarios!C39</f>
        <v>46194.083333333336</v>
      </c>
      <c r="Y39" s="190">
        <f ca="1">Horarios!C39</f>
        <v>46194.083333333336</v>
      </c>
      <c r="Z39" s="191" t="str">
        <f>$Z$6</f>
        <v>J2</v>
      </c>
      <c r="AA39" s="192" t="str">
        <f ca="1">A40</f>
        <v>Ecuador</v>
      </c>
      <c r="AB39" s="478" t="e" cm="1" vm="20">
        <f t="array" aca="1" ref="AB39" ca="1">Ver_flag_local</f>
        <v>#VALUE!</v>
      </c>
      <c r="AC39" s="193"/>
      <c r="AD39" s="194"/>
      <c r="AE39" s="483" t="e" cm="1" vm="18">
        <f t="array" aca="1" ref="AE39" ca="1">Ver_flag_visit</f>
        <v>#VALUE!</v>
      </c>
      <c r="AF39" s="195" t="str">
        <f ca="1">A38</f>
        <v>Curazao</v>
      </c>
      <c r="AG39" s="413">
        <f t="shared" si="128"/>
        <v>0</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0</v>
      </c>
      <c r="BF39" s="748">
        <f t="shared" ca="1" si="26"/>
        <v>1</v>
      </c>
      <c r="BG39" s="748">
        <f t="shared" ca="1" si="17"/>
        <v>0</v>
      </c>
      <c r="BH39" s="748">
        <f t="shared" ca="1" si="18"/>
        <v>0</v>
      </c>
      <c r="BI39" s="748">
        <f t="shared" ca="1" si="19"/>
        <v>1</v>
      </c>
      <c r="BJ39" s="748">
        <f t="shared" ca="1" si="20"/>
        <v>1</v>
      </c>
      <c r="BK39" s="748">
        <f t="shared" ca="1" si="21"/>
        <v>3</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0</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P.3 (2)</v>
      </c>
      <c r="BU39" s="758">
        <f t="shared" ca="1" si="36"/>
        <v>0</v>
      </c>
      <c r="BV39" s="758">
        <f t="shared" ca="1" si="37"/>
        <v>0</v>
      </c>
      <c r="BW39" s="758">
        <f t="shared" ca="1" si="38"/>
        <v>0</v>
      </c>
      <c r="BX39" s="758">
        <f t="shared" ca="1" si="39"/>
        <v>0</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P.3 (2)</v>
      </c>
      <c r="CA39" s="758">
        <f t="shared" ca="1" si="40"/>
        <v>0</v>
      </c>
      <c r="CB39" s="758">
        <f t="shared" ca="1" si="41"/>
        <v>0</v>
      </c>
      <c r="CC39" s="758">
        <f t="shared" ca="1" si="42"/>
        <v>0</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P.3 (2)</v>
      </c>
      <c r="CF39" s="758">
        <f t="shared" ca="1" si="43"/>
        <v>0</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P.3 (2)</v>
      </c>
      <c r="CI39" s="758">
        <f t="shared" ca="1" si="44"/>
        <v>0</v>
      </c>
      <c r="CJ39" s="758">
        <f t="shared" ca="1" si="45"/>
        <v>0</v>
      </c>
      <c r="CK39" s="758">
        <f t="shared" ca="1" si="46"/>
        <v>0</v>
      </c>
      <c r="CL39" s="758">
        <f t="shared" ca="1" si="47"/>
        <v>0</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P.3 (2)</v>
      </c>
      <c r="CO39" s="758">
        <f t="shared" ca="1" si="48"/>
        <v>0</v>
      </c>
      <c r="CP39" s="758">
        <f t="shared" ca="1" si="49"/>
        <v>0</v>
      </c>
      <c r="CQ39" s="758">
        <f t="shared" ca="1" si="50"/>
        <v>0</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P.3 (2)</v>
      </c>
      <c r="CT39" s="758">
        <f t="shared" ca="1" si="51"/>
        <v>0</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P.3 (2)</v>
      </c>
      <c r="CW39" s="757">
        <f t="shared" ca="1" si="30"/>
        <v>-2</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4</v>
      </c>
      <c r="DL39" s="744">
        <f t="shared" ca="1" si="33"/>
        <v>1</v>
      </c>
      <c r="DM39" s="738" t="str">
        <f t="shared" ca="1" si="34"/>
        <v>2.1</v>
      </c>
      <c r="DN39" s="744" cm="1">
        <f t="array" aca="1" ref="DN39" ca="1">OFFSET(Horarios!$P$3,DJ39-1,0,DL39,1)</f>
        <v>2</v>
      </c>
      <c r="DO39" s="744"/>
      <c r="DP39" s="744" t="s">
        <v>674</v>
      </c>
      <c r="DQ39" s="744" t="str">
        <f t="shared" ca="1" si="35"/>
        <v>Francia</v>
      </c>
      <c r="DR39" s="744"/>
      <c r="DS39" s="744"/>
      <c r="DT39" s="744" t="str">
        <f t="shared" ca="1" si="15"/>
        <v>Ecuador-Curazao</v>
      </c>
      <c r="DU39" s="744"/>
      <c r="DV39" s="744"/>
      <c r="DW39" s="8"/>
    </row>
    <row r="40" spans="1:127" ht="16.05" customHeight="1">
      <c r="A40" s="745" t="str">
        <f ca="1">+Equipos!B21</f>
        <v>Ecuador</v>
      </c>
      <c r="B40" s="742"/>
      <c r="C40" s="744"/>
      <c r="D40" s="744" t="str">
        <f t="shared" si="115"/>
        <v>Pendiente</v>
      </c>
      <c r="E40" s="744" t="str">
        <f t="shared" si="116"/>
        <v>-</v>
      </c>
      <c r="F40" s="744" t="str">
        <f t="shared" si="117"/>
        <v>-</v>
      </c>
      <c r="G40" s="744"/>
      <c r="H40" s="744" t="str">
        <f t="shared" si="118"/>
        <v>-</v>
      </c>
      <c r="I40" s="744" t="str">
        <f t="shared" si="119"/>
        <v>-</v>
      </c>
      <c r="J40" s="744"/>
      <c r="K40" s="744" t="str">
        <f t="shared" si="120"/>
        <v>-</v>
      </c>
      <c r="L40" s="744" t="str">
        <f t="shared" si="121"/>
        <v>-</v>
      </c>
      <c r="M40" s="744"/>
      <c r="N40" s="744" t="str">
        <f t="shared" si="122"/>
        <v>-</v>
      </c>
      <c r="O40" s="744" t="str">
        <f t="shared" si="123"/>
        <v>-</v>
      </c>
      <c r="P40" s="744"/>
      <c r="Q40" s="744" t="str">
        <f t="shared" si="124"/>
        <v>-</v>
      </c>
      <c r="R40" s="744" t="str">
        <f t="shared" si="125"/>
        <v>-</v>
      </c>
      <c r="S40" s="744"/>
      <c r="T40" s="744" t="str">
        <f t="shared" si="126"/>
        <v>-</v>
      </c>
      <c r="U40" s="744" t="str">
        <f t="shared" si="127"/>
        <v>-</v>
      </c>
      <c r="V40" s="172"/>
      <c r="W40" s="813"/>
      <c r="X40" s="189">
        <f ca="1">Horarios!C40</f>
        <v>46198.916666666664</v>
      </c>
      <c r="Y40" s="190">
        <f ca="1">Horarios!C40</f>
        <v>46198.916666666664</v>
      </c>
      <c r="Z40" s="191" t="str">
        <f>$Z$8</f>
        <v>J3</v>
      </c>
      <c r="AA40" s="192" t="str">
        <f ca="1">A38</f>
        <v>Curazao</v>
      </c>
      <c r="AB40" s="478" t="e" cm="1" vm="18">
        <f t="array" aca="1" ref="AB40" ca="1">Ver_flag_local</f>
        <v>#VALUE!</v>
      </c>
      <c r="AC40" s="193"/>
      <c r="AD40" s="194"/>
      <c r="AE40" s="483" t="e" cm="1" vm="19">
        <f t="array" aca="1" ref="AE40" ca="1">Ver_flag_visit</f>
        <v>#VALUE!</v>
      </c>
      <c r="AF40" s="195" t="str">
        <f ca="1">A39</f>
        <v>Costa de Marfil</v>
      </c>
      <c r="AG40" s="413">
        <f t="shared" si="128"/>
        <v>0</v>
      </c>
      <c r="AH40" s="196">
        <v>55</v>
      </c>
      <c r="AI40" s="19" t="str">
        <f t="shared" si="133"/>
        <v>3E</v>
      </c>
      <c r="AJ40" s="221">
        <v>3</v>
      </c>
      <c r="AK40" s="486" t="e" cm="1" vm="20">
        <f t="array" aca="1" ref="AK40" ca="1">Ver_flag_visit</f>
        <v>#VALUE!</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1</v>
      </c>
      <c r="BG40" s="748">
        <f t="shared" ca="1" si="17"/>
        <v>0</v>
      </c>
      <c r="BH40" s="748">
        <f t="shared" ca="1" si="18"/>
        <v>0</v>
      </c>
      <c r="BI40" s="748">
        <f t="shared" ca="1" si="19"/>
        <v>1</v>
      </c>
      <c r="BJ40" s="748">
        <f t="shared" ca="1" si="20"/>
        <v>1</v>
      </c>
      <c r="BK40" s="748">
        <f t="shared" ca="1" si="21"/>
        <v>4</v>
      </c>
      <c r="BL40" s="748">
        <f t="shared" ca="1" si="27"/>
        <v>-3</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3</v>
      </c>
      <c r="BT40" s="757" t="str">
        <f ca="1">IF(COUNTIFS($BS$6:$BS$53,BS40,$BC$6:$BC$53,INDEX(T_Equipos[Grupo],MATCH(BD40,T_Equipos[NombreEquipo],0)))=1,"-","P."&amp;BS40&amp;" ("&amp;COUNTIFS($BS$6:$BS$53,BS40,$BC$6:$BC$53,INDEX(T_Equipos[Grupo],MATCH(BD40,T_Equipos[NombreEquipo],0)))&amp;")")</f>
        <v>P.3 (2)</v>
      </c>
      <c r="BU40" s="758">
        <f t="shared" ca="1" si="36"/>
        <v>0</v>
      </c>
      <c r="BV40" s="758">
        <f t="shared" ca="1" si="37"/>
        <v>0</v>
      </c>
      <c r="BW40" s="758">
        <f t="shared" ca="1" si="38"/>
        <v>0</v>
      </c>
      <c r="BX40" s="758">
        <f t="shared" ca="1" si="39"/>
        <v>0</v>
      </c>
      <c r="BY40" s="758">
        <f ca="1">BS40+COUNTIFS($BT$6:$BT$53,BT40,$BX$6:BX$53,"&gt;"&amp;BX40,$BC$6:$BC$53,INDEX(T_Equipos[Grupo],MATCH(BD40,T_Equipos[NombreEquipo],0)))</f>
        <v>3</v>
      </c>
      <c r="BZ40" s="757" t="str">
        <f ca="1">IF(COUNTIFS($BY$6:$BY$53,BY40,$BC$6:$BC$53,INDEX(T_Equipos[Grupo],MATCH(BD40,T_Equipos[NombreEquipo],0)))=1,"-","P."&amp;BY40&amp;" ("&amp;COUNTIFS($BY$6:$BY$53,BY40,$BC$6:$BC$53,INDEX(T_Equipos[Grupo],MATCH(BD40,T_Equipos[NombreEquipo],0)))&amp;")")</f>
        <v>P.3 (2)</v>
      </c>
      <c r="CA40" s="758">
        <f t="shared" ca="1" si="40"/>
        <v>0</v>
      </c>
      <c r="CB40" s="758">
        <f t="shared" ca="1" si="41"/>
        <v>0</v>
      </c>
      <c r="CC40" s="758">
        <f t="shared" ca="1" si="42"/>
        <v>0</v>
      </c>
      <c r="CD40" s="758">
        <f ca="1">BY40+COUNTIFS($BZ$6:$BZ$53,BZ40,$CC$6:CC$53,"&gt;"&amp;CC40,$BC$6:$BC$53,INDEX(T_Equipos[Grupo],MATCH(BD40,T_Equipos[NombreEquipo],0)))</f>
        <v>3</v>
      </c>
      <c r="CE40" s="757" t="str">
        <f ca="1">IF(COUNTIFS($CD$6:$CD$53,CD40,$BC$6:$BC$53,INDEX(T_Equipos[Grupo],MATCH(BD40,T_Equipos[NombreEquipo],0)))=1,"-","P."&amp;CD40&amp;" ("&amp;COUNTIFS($CD$6:$CD$53,CD40,$BC$6:$BC$53,INDEX(T_Equipos[Grupo],MATCH(BD40,T_Equipos[NombreEquipo],0)))&amp;")")</f>
        <v>P.3 (2)</v>
      </c>
      <c r="CF40" s="758">
        <f t="shared" ca="1" si="43"/>
        <v>0</v>
      </c>
      <c r="CG40" s="758">
        <f ca="1">CD40+COUNTIFS($CE$6:$CE$53,CE40,$CF$6:CF$53,"&gt;"&amp;CF40,$BC$6:$BC$53,INDEX(T_Equipos[Grupo],MATCH(BD40,T_Equipos[NombreEquipo],0)))</f>
        <v>3</v>
      </c>
      <c r="CH40" s="757" t="str">
        <f ca="1">IF(COUNTIFS($CG$6:$CG$53,CG40,$BC$6:$BC$53,INDEX(T_Equipos[Grupo],MATCH(BD40,T_Equipos[NombreEquipo],0)))=1,"-","P."&amp;CG40&amp;" ("&amp;COUNTIFS($CG$6:$CG$53,CG40,$BC$6:$BC$53,INDEX(T_Equipos[Grupo],MATCH(BD40,T_Equipos[NombreEquipo],0)))&amp;")")</f>
        <v>P.3 (2)</v>
      </c>
      <c r="CI40" s="758">
        <f t="shared" ca="1" si="44"/>
        <v>0</v>
      </c>
      <c r="CJ40" s="758">
        <f t="shared" ca="1" si="45"/>
        <v>0</v>
      </c>
      <c r="CK40" s="758">
        <f t="shared" ca="1" si="46"/>
        <v>0</v>
      </c>
      <c r="CL40" s="758">
        <f t="shared" ca="1" si="47"/>
        <v>0</v>
      </c>
      <c r="CM40" s="758">
        <f ca="1">CG40+COUNTIFS($CH$6:$CH$53,CH40,$CL$6:CL$53,"&gt;"&amp;CL40,$BC$6:$BC$53,INDEX(T_Equipos[Grupo],MATCH(BD40,T_Equipos[NombreEquipo],0)))</f>
        <v>3</v>
      </c>
      <c r="CN40" s="757" t="str">
        <f ca="1">IF(COUNTIFS($CM$6:$CM$53,CM40,$BC$6:$BC$53,INDEX(T_Equipos[Grupo],MATCH(BD40,T_Equipos[NombreEquipo],0)))=1,"-","P."&amp;CM40&amp;" ("&amp;COUNTIFS($CM$6:$CM$53,CM40,$BC$6:$BC$53,INDEX(T_Equipos[Grupo],MATCH(BD40,T_Equipos[NombreEquipo],0)))&amp;")")</f>
        <v>P.3 (2)</v>
      </c>
      <c r="CO40" s="758">
        <f t="shared" ca="1" si="48"/>
        <v>0</v>
      </c>
      <c r="CP40" s="758">
        <f t="shared" ca="1" si="49"/>
        <v>0</v>
      </c>
      <c r="CQ40" s="758">
        <f t="shared" ca="1" si="50"/>
        <v>0</v>
      </c>
      <c r="CR40" s="758">
        <f ca="1">CM40+COUNTIFS($CN$6:$CN$53,CN40,$CQ$6:CQ$53,"&gt;"&amp;CQ40,$BC$6:$BC$53,INDEX(T_Equipos[Grupo],MATCH(BD40,T_Equipos[NombreEquipo],0)))</f>
        <v>3</v>
      </c>
      <c r="CS40" s="757" t="str">
        <f ca="1">IF(COUNTIFS($CR$6:$CR$53,CR40,$BC$6:$BC$53,INDEX(T_Equipos[Grupo],MATCH(BD40,T_Equipos[NombreEquipo],0)))=1,"-","P."&amp;CR40&amp;" ("&amp;COUNTIFS($CR$6:$CR$53,CR40,$BC$6:$BC$53,INDEX(T_Equipos[Grupo],MATCH(BD40,T_Equipos[NombreEquipo],0)))&amp;")")</f>
        <v>P.3 (2)</v>
      </c>
      <c r="CT40" s="758">
        <f t="shared" ca="1" si="51"/>
        <v>0</v>
      </c>
      <c r="CU40" s="758">
        <f ca="1">CR40+COUNTIFS($CS$6:$CS$53,CS40,$CT$6:CT$53,"&gt;"&amp;CT40,$BC$6:$BC$53,INDEX(T_Equipos[Grupo],MATCH(BD40,T_Equipos[NombreEquipo],0)))</f>
        <v>3</v>
      </c>
      <c r="CV40" s="757" t="str">
        <f ca="1">IF(COUNTIFS($CU$6:$CU$53,CU40,$BC$6:$BC$53,INDEX(T_Equipos[Grupo],MATCH(BD40,T_Equipos[NombreEquipo],0)))=1,"-","P."&amp;CU40&amp;" ("&amp;COUNTIFS($CU$6:$CU$53,CU40,$BC$6:$BC$53,INDEX(T_Equipos[Grupo],MATCH(BD40,T_Equipos[NombreEquipo],0)))&amp;")")</f>
        <v>P.3 (2)</v>
      </c>
      <c r="CW40" s="757">
        <f t="shared" ca="1" si="30"/>
        <v>-3</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4</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Pendiente</v>
      </c>
      <c r="E41" s="744" t="str">
        <f t="shared" si="116"/>
        <v>-</v>
      </c>
      <c r="F41" s="744" t="str">
        <f t="shared" si="117"/>
        <v>-</v>
      </c>
      <c r="G41" s="744"/>
      <c r="H41" s="744" t="str">
        <f t="shared" si="118"/>
        <v>-</v>
      </c>
      <c r="I41" s="744" t="str">
        <f t="shared" si="119"/>
        <v>-</v>
      </c>
      <c r="J41" s="744"/>
      <c r="K41" s="744" t="str">
        <f t="shared" si="120"/>
        <v>-</v>
      </c>
      <c r="L41" s="744" t="str">
        <f t="shared" si="121"/>
        <v>-</v>
      </c>
      <c r="M41" s="744"/>
      <c r="N41" s="744" t="str">
        <f t="shared" si="122"/>
        <v>-</v>
      </c>
      <c r="O41" s="744" t="str">
        <f t="shared" si="123"/>
        <v>-</v>
      </c>
      <c r="P41" s="744"/>
      <c r="Q41" s="744" t="str">
        <f t="shared" si="124"/>
        <v>-</v>
      </c>
      <c r="R41" s="744" t="str">
        <f t="shared" si="125"/>
        <v>-</v>
      </c>
      <c r="S41" s="744"/>
      <c r="T41" s="744" t="str">
        <f t="shared" si="126"/>
        <v>-</v>
      </c>
      <c r="U41" s="744" t="str">
        <f t="shared" si="127"/>
        <v>-</v>
      </c>
      <c r="V41" s="172"/>
      <c r="W41" s="814"/>
      <c r="X41" s="228">
        <f ca="1">Horarios!C41</f>
        <v>46198.916666666664</v>
      </c>
      <c r="Y41" s="229">
        <f ca="1">Horarios!C41</f>
        <v>46198.916666666664</v>
      </c>
      <c r="Z41" s="230" t="str">
        <f>$Z$8</f>
        <v>J3</v>
      </c>
      <c r="AA41" s="231" t="str">
        <f ca="1">A40</f>
        <v>Ecuador</v>
      </c>
      <c r="AB41" s="479" t="e" cm="1" vm="20">
        <f t="array" aca="1" ref="AB41" ca="1">Ver_flag_local</f>
        <v>#VALUE!</v>
      </c>
      <c r="AC41" s="232"/>
      <c r="AD41" s="233"/>
      <c r="AE41" s="484" t="e" cm="1" vm="17">
        <f t="array" aca="1" ref="AE41" ca="1">Ver_flag_visit</f>
        <v>#VALUE!</v>
      </c>
      <c r="AF41" s="234" t="str">
        <f ca="1">A37</f>
        <v>Alemania</v>
      </c>
      <c r="AG41" s="413">
        <f t="shared" si="128"/>
        <v>0</v>
      </c>
      <c r="AH41" s="196">
        <v>56</v>
      </c>
      <c r="AI41" s="19" t="str">
        <f t="shared" si="133"/>
        <v>4E</v>
      </c>
      <c r="AJ41" s="235">
        <v>4</v>
      </c>
      <c r="AK41" s="487" t="e" cm="1" vm="18">
        <f t="array" aca="1" ref="AK41" ca="1">Ver_flag_visit</f>
        <v>#VALUE!</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3</v>
      </c>
      <c r="BF41" s="748">
        <f t="shared" ca="1" si="26"/>
        <v>1</v>
      </c>
      <c r="BG41" s="748">
        <f t="shared" ca="1" si="17"/>
        <v>1</v>
      </c>
      <c r="BH41" s="748">
        <f t="shared" ca="1" si="18"/>
        <v>0</v>
      </c>
      <c r="BI41" s="748">
        <f t="shared" ca="1" si="19"/>
        <v>0</v>
      </c>
      <c r="BJ41" s="748">
        <f t="shared" ca="1" si="20"/>
        <v>4</v>
      </c>
      <c r="BK41" s="748">
        <f t="shared" ca="1" si="21"/>
        <v>1</v>
      </c>
      <c r="BL41" s="748">
        <f t="shared" ca="1" si="27"/>
        <v>3</v>
      </c>
      <c r="BM41" s="748" t="str">
        <f t="shared" ca="1" si="22"/>
        <v>1I</v>
      </c>
      <c r="BN41" s="748" t="str">
        <f t="shared" ca="1" si="23"/>
        <v>1I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3</v>
      </c>
      <c r="BS41" s="757">
        <f ca="1">BP41+COUNTIFS($BQ$6:$BQ$53,BQ41,$BR$6:BR$53,"&gt;"&amp;BR41,$BC$6:$BC$53,INDEX(T_Equipos[Grupo],MATCH(BD41,T_Equipos[NombreEquipo],0)))</f>
        <v>1</v>
      </c>
      <c r="BT41" s="757" t="str">
        <f ca="1">IF(COUNTIFS($BS$6:$BS$53,BS41,$BC$6:$BC$53,INDEX(T_Equipos[Grupo],MATCH(BD41,T_Equipos[NombreEquipo],0)))=1,"-","P."&amp;BS41&amp;" ("&amp;COUNTIFS($BS$6:$BS$53,BS41,$BC$6:$BC$53,INDEX(T_Equipos[Grupo],MATCH(BD41,T_Equipos[NombreEquipo],0)))&amp;")")</f>
        <v>P.1 (2)</v>
      </c>
      <c r="BU41" s="758">
        <f t="shared" ca="1" si="36"/>
        <v>0</v>
      </c>
      <c r="BV41" s="758">
        <f t="shared" ca="1" si="37"/>
        <v>0</v>
      </c>
      <c r="BW41" s="758">
        <f t="shared" ca="1" si="38"/>
        <v>0</v>
      </c>
      <c r="BX41" s="758">
        <f t="shared" ca="1" si="39"/>
        <v>0</v>
      </c>
      <c r="BY41" s="758">
        <f ca="1">BS41+COUNTIFS($BT$6:$BT$53,BT41,$BX$6:BX$53,"&gt;"&amp;BX41,$BC$6:$BC$53,INDEX(T_Equipos[Grupo],MATCH(BD41,T_Equipos[NombreEquipo],0)))</f>
        <v>1</v>
      </c>
      <c r="BZ41" s="757" t="str">
        <f ca="1">IF(COUNTIFS($BY$6:$BY$53,BY41,$BC$6:$BC$53,INDEX(T_Equipos[Grupo],MATCH(BD41,T_Equipos[NombreEquipo],0)))=1,"-","P."&amp;BY41&amp;" ("&amp;COUNTIFS($BY$6:$BY$53,BY41,$BC$6:$BC$53,INDEX(T_Equipos[Grupo],MATCH(BD41,T_Equipos[NombreEquipo],0)))&amp;")")</f>
        <v>P.1 (2)</v>
      </c>
      <c r="CA41" s="758">
        <f t="shared" ca="1" si="40"/>
        <v>0</v>
      </c>
      <c r="CB41" s="758">
        <f t="shared" ca="1" si="41"/>
        <v>0</v>
      </c>
      <c r="CC41" s="758">
        <f t="shared" ca="1" si="42"/>
        <v>0</v>
      </c>
      <c r="CD41" s="758">
        <f ca="1">BY41+COUNTIFS($BZ$6:$BZ$53,BZ41,$CC$6:CC$53,"&gt;"&amp;CC41,$BC$6:$BC$53,INDEX(T_Equipos[Grupo],MATCH(BD41,T_Equipos[NombreEquipo],0)))</f>
        <v>1</v>
      </c>
      <c r="CE41" s="757" t="str">
        <f ca="1">IF(COUNTIFS($CD$6:$CD$53,CD41,$BC$6:$BC$53,INDEX(T_Equipos[Grupo],MATCH(BD41,T_Equipos[NombreEquipo],0)))=1,"-","P."&amp;CD41&amp;" ("&amp;COUNTIFS($CD$6:$CD$53,CD41,$BC$6:$BC$53,INDEX(T_Equipos[Grupo],MATCH(BD41,T_Equipos[NombreEquipo],0)))&amp;")")</f>
        <v>P.1 (2)</v>
      </c>
      <c r="CF41" s="758">
        <f t="shared" ca="1" si="43"/>
        <v>0</v>
      </c>
      <c r="CG41" s="758">
        <f ca="1">CD41+COUNTIFS($CE$6:$CE$53,CE41,$CF$6:CF$53,"&gt;"&amp;CF41,$BC$6:$BC$53,INDEX(T_Equipos[Grupo],MATCH(BD41,T_Equipos[NombreEquipo],0)))</f>
        <v>1</v>
      </c>
      <c r="CH41" s="757" t="str">
        <f ca="1">IF(COUNTIFS($CG$6:$CG$53,CG41,$BC$6:$BC$53,INDEX(T_Equipos[Grupo],MATCH(BD41,T_Equipos[NombreEquipo],0)))=1,"-","P."&amp;CG41&amp;" ("&amp;COUNTIFS($CG$6:$CG$53,CG41,$BC$6:$BC$53,INDEX(T_Equipos[Grupo],MATCH(BD41,T_Equipos[NombreEquipo],0)))&amp;")")</f>
        <v>P.1 (2)</v>
      </c>
      <c r="CI41" s="758">
        <f t="shared" ca="1" si="44"/>
        <v>0</v>
      </c>
      <c r="CJ41" s="758">
        <f t="shared" ca="1" si="45"/>
        <v>0</v>
      </c>
      <c r="CK41" s="758">
        <f t="shared" ca="1" si="46"/>
        <v>0</v>
      </c>
      <c r="CL41" s="758">
        <f t="shared" ca="1" si="47"/>
        <v>0</v>
      </c>
      <c r="CM41" s="758">
        <f ca="1">CG41+COUNTIFS($CH$6:$CH$53,CH41,$CL$6:CL$53,"&gt;"&amp;CL41,$BC$6:$BC$53,INDEX(T_Equipos[Grupo],MATCH(BD41,T_Equipos[NombreEquipo],0)))</f>
        <v>1</v>
      </c>
      <c r="CN41" s="757" t="str">
        <f ca="1">IF(COUNTIFS($CM$6:$CM$53,CM41,$BC$6:$BC$53,INDEX(T_Equipos[Grupo],MATCH(BD41,T_Equipos[NombreEquipo],0)))=1,"-","P."&amp;CM41&amp;" ("&amp;COUNTIFS($CM$6:$CM$53,CM41,$BC$6:$BC$53,INDEX(T_Equipos[Grupo],MATCH(BD41,T_Equipos[NombreEquipo],0)))&amp;")")</f>
        <v>P.1 (2)</v>
      </c>
      <c r="CO41" s="758">
        <f t="shared" ca="1" si="48"/>
        <v>0</v>
      </c>
      <c r="CP41" s="758">
        <f t="shared" ca="1" si="49"/>
        <v>0</v>
      </c>
      <c r="CQ41" s="758">
        <f t="shared" ca="1" si="50"/>
        <v>0</v>
      </c>
      <c r="CR41" s="758">
        <f ca="1">CM41+COUNTIFS($CN$6:$CN$53,CN41,$CQ$6:CQ$53,"&gt;"&amp;CQ41,$BC$6:$BC$53,INDEX(T_Equipos[Grupo],MATCH(BD41,T_Equipos[NombreEquipo],0)))</f>
        <v>1</v>
      </c>
      <c r="CS41" s="757" t="str">
        <f ca="1">IF(COUNTIFS($CR$6:$CR$53,CR41,$BC$6:$BC$53,INDEX(T_Equipos[Grupo],MATCH(BD41,T_Equipos[NombreEquipo],0)))=1,"-","P."&amp;CR41&amp;" ("&amp;COUNTIFS($CR$6:$CR$53,CR41,$BC$6:$BC$53,INDEX(T_Equipos[Grupo],MATCH(BD41,T_Equipos[NombreEquipo],0)))&amp;")")</f>
        <v>P.1 (2)</v>
      </c>
      <c r="CT41" s="758">
        <f t="shared" ca="1" si="51"/>
        <v>0</v>
      </c>
      <c r="CU41" s="758">
        <f ca="1">CR41+COUNTIFS($CS$6:$CS$53,CS41,$CT$6:CT$53,"&gt;"&amp;CT41,$BC$6:$BC$53,INDEX(T_Equipos[Grupo],MATCH(BD41,T_Equipos[NombreEquipo],0)))</f>
        <v>1</v>
      </c>
      <c r="CV41" s="757" t="str">
        <f ca="1">IF(COUNTIFS($CU$6:$CU$53,CU41,$BC$6:$BC$53,INDEX(T_Equipos[Grupo],MATCH(BD41,T_Equipos[NombreEquipo],0)))=1,"-","P."&amp;CU41&amp;" ("&amp;COUNTIFS($CU$6:$CU$53,CU41,$BC$6:$BC$53,INDEX(T_Equipos[Grupo],MATCH(BD41,T_Equipos[NombreEquipo],0)))&amp;")")</f>
        <v>P.1 (2)</v>
      </c>
      <c r="CW41" s="757">
        <f t="shared" ca="1" si="30"/>
        <v>3</v>
      </c>
      <c r="CX41" s="757">
        <f ca="1">CU41+COUNTIFS($CV$6:$CV$53,CV41,$CW$6:CW$53,"&gt;"&amp;CW41,$BC$6:$BC$53,INDEX(T_Equipos[Grupo],MATCH(BD41,T_Equipos[NombreEquipo],0)))</f>
        <v>1</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1</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1</v>
      </c>
      <c r="DE41" s="756"/>
      <c r="DF41" s="756">
        <f t="shared" ca="1" si="52"/>
        <v>1</v>
      </c>
      <c r="DG41" s="756" t="str">
        <f ca="1">IF(DB41="-","-",COUNTIFS(DF$6:DF$53,"&lt;"&amp;DF41,$BC$6:$BC$53,INDEX(T_Equipos[Grupo],MATCH(BD41,T_Equipos[NombreEquipo],0))))</f>
        <v>-</v>
      </c>
      <c r="DH41" s="756">
        <f ca="1">DA41+COUNTIFS(DB$6:DB$53,DB41,DG$6:DG$53,"&lt;"&amp;DG41,$BC$6:$BC$53,INDEX(T_Equipos[Grupo],MATCH(BD41,T_Equipos[NombreEquipo],0)))</f>
        <v>1</v>
      </c>
      <c r="DI41" s="744"/>
      <c r="DJ41" s="744">
        <f t="shared" ca="1" si="53"/>
        <v>4</v>
      </c>
      <c r="DK41" s="744">
        <f t="shared" ca="1" si="24"/>
        <v>4</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3</v>
      </c>
      <c r="BF42" s="748">
        <f t="shared" ca="1" si="26"/>
        <v>1</v>
      </c>
      <c r="BG42" s="748">
        <f t="shared" ca="1" si="17"/>
        <v>1</v>
      </c>
      <c r="BH42" s="748">
        <f t="shared" ca="1" si="18"/>
        <v>0</v>
      </c>
      <c r="BI42" s="748">
        <f t="shared" ca="1" si="19"/>
        <v>0</v>
      </c>
      <c r="BJ42" s="748">
        <f t="shared" ca="1" si="20"/>
        <v>3</v>
      </c>
      <c r="BK42" s="748">
        <f t="shared" ca="1" si="21"/>
        <v>0</v>
      </c>
      <c r="BL42" s="748">
        <f t="shared" ca="1" si="27"/>
        <v>3</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3</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P.1 (2)</v>
      </c>
      <c r="BU42" s="758">
        <f t="shared" ca="1" si="36"/>
        <v>0</v>
      </c>
      <c r="BV42" s="758">
        <f t="shared" ca="1" si="37"/>
        <v>0</v>
      </c>
      <c r="BW42" s="758">
        <f t="shared" ca="1" si="38"/>
        <v>0</v>
      </c>
      <c r="BX42" s="758">
        <f t="shared" ca="1" si="39"/>
        <v>0</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P.1 (2)</v>
      </c>
      <c r="CA42" s="758">
        <f t="shared" ca="1" si="40"/>
        <v>0</v>
      </c>
      <c r="CB42" s="758">
        <f t="shared" ca="1" si="41"/>
        <v>0</v>
      </c>
      <c r="CC42" s="758">
        <f t="shared" ca="1" si="42"/>
        <v>0</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P.1 (2)</v>
      </c>
      <c r="CF42" s="758">
        <f t="shared" ca="1" si="43"/>
        <v>0</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P.1 (2)</v>
      </c>
      <c r="CI42" s="758">
        <f t="shared" ca="1" si="44"/>
        <v>0</v>
      </c>
      <c r="CJ42" s="758">
        <f t="shared" ca="1" si="45"/>
        <v>0</v>
      </c>
      <c r="CK42" s="758">
        <f t="shared" ca="1" si="46"/>
        <v>0</v>
      </c>
      <c r="CL42" s="758">
        <f t="shared" ca="1" si="47"/>
        <v>0</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P.1 (2)</v>
      </c>
      <c r="CO42" s="758">
        <f t="shared" ca="1" si="48"/>
        <v>0</v>
      </c>
      <c r="CP42" s="758">
        <f t="shared" ca="1" si="49"/>
        <v>0</v>
      </c>
      <c r="CQ42" s="758">
        <f t="shared" ca="1" si="50"/>
        <v>0</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P.1 (2)</v>
      </c>
      <c r="CT42" s="758">
        <f t="shared" ca="1" si="51"/>
        <v>0</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P.1 (2)</v>
      </c>
      <c r="CW42" s="757">
        <f t="shared" ca="1" si="30"/>
        <v>3</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4</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0</v>
      </c>
      <c r="BF43" s="748">
        <f t="shared" ca="1" si="26"/>
        <v>1</v>
      </c>
      <c r="BG43" s="748">
        <f t="shared" ca="1" si="17"/>
        <v>0</v>
      </c>
      <c r="BH43" s="748">
        <f t="shared" ca="1" si="18"/>
        <v>0</v>
      </c>
      <c r="BI43" s="748">
        <f t="shared" ca="1" si="19"/>
        <v>1</v>
      </c>
      <c r="BJ43" s="748">
        <f t="shared" ca="1" si="20"/>
        <v>0</v>
      </c>
      <c r="BK43" s="748">
        <f t="shared" ca="1" si="21"/>
        <v>3</v>
      </c>
      <c r="BL43" s="748">
        <f t="shared" ca="1" si="27"/>
        <v>-3</v>
      </c>
      <c r="BM43" s="748" t="str">
        <f t="shared" ca="1" si="22"/>
        <v>4J</v>
      </c>
      <c r="BN43" s="748" t="str">
        <f t="shared" ca="1" si="23"/>
        <v>4J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0</v>
      </c>
      <c r="BS43" s="757">
        <f ca="1">BP43+COUNTIFS($BQ$6:$BQ$53,BQ43,$BR$6:BR$53,"&gt;"&amp;BR43,$BC$6:$BC$53,INDEX(T_Equipos[Grupo],MATCH(BD43,T_Equipos[NombreEquipo],0)))</f>
        <v>3</v>
      </c>
      <c r="BT43" s="757" t="str">
        <f ca="1">IF(COUNTIFS($BS$6:$BS$53,BS43,$BC$6:$BC$53,INDEX(T_Equipos[Grupo],MATCH(BD43,T_Equipos[NombreEquipo],0)))=1,"-","P."&amp;BS43&amp;" ("&amp;COUNTIFS($BS$6:$BS$53,BS43,$BC$6:$BC$53,INDEX(T_Equipos[Grupo],MATCH(BD43,T_Equipos[NombreEquipo],0)))&amp;")")</f>
        <v>P.3 (2)</v>
      </c>
      <c r="BU43" s="758">
        <f t="shared" ca="1" si="36"/>
        <v>0</v>
      </c>
      <c r="BV43" s="758">
        <f t="shared" ca="1" si="37"/>
        <v>0</v>
      </c>
      <c r="BW43" s="758">
        <f t="shared" ca="1" si="38"/>
        <v>0</v>
      </c>
      <c r="BX43" s="758">
        <f t="shared" ca="1" si="39"/>
        <v>0</v>
      </c>
      <c r="BY43" s="758">
        <f ca="1">BS43+COUNTIFS($BT$6:$BT$53,BT43,$BX$6:BX$53,"&gt;"&amp;BX43,$BC$6:$BC$53,INDEX(T_Equipos[Grupo],MATCH(BD43,T_Equipos[NombreEquipo],0)))</f>
        <v>3</v>
      </c>
      <c r="BZ43" s="757" t="str">
        <f ca="1">IF(COUNTIFS($BY$6:$BY$53,BY43,$BC$6:$BC$53,INDEX(T_Equipos[Grupo],MATCH(BD43,T_Equipos[NombreEquipo],0)))=1,"-","P."&amp;BY43&amp;" ("&amp;COUNTIFS($BY$6:$BY$53,BY43,$BC$6:$BC$53,INDEX(T_Equipos[Grupo],MATCH(BD43,T_Equipos[NombreEquipo],0)))&amp;")")</f>
        <v>P.3 (2)</v>
      </c>
      <c r="CA43" s="758">
        <f t="shared" ca="1" si="40"/>
        <v>0</v>
      </c>
      <c r="CB43" s="758">
        <f t="shared" ca="1" si="41"/>
        <v>0</v>
      </c>
      <c r="CC43" s="758">
        <f t="shared" ca="1" si="42"/>
        <v>0</v>
      </c>
      <c r="CD43" s="758">
        <f ca="1">BY43+COUNTIFS($BZ$6:$BZ$53,BZ43,$CC$6:CC$53,"&gt;"&amp;CC43,$BC$6:$BC$53,INDEX(T_Equipos[Grupo],MATCH(BD43,T_Equipos[NombreEquipo],0)))</f>
        <v>3</v>
      </c>
      <c r="CE43" s="757" t="str">
        <f ca="1">IF(COUNTIFS($CD$6:$CD$53,CD43,$BC$6:$BC$53,INDEX(T_Equipos[Grupo],MATCH(BD43,T_Equipos[NombreEquipo],0)))=1,"-","P."&amp;CD43&amp;" ("&amp;COUNTIFS($CD$6:$CD$53,CD43,$BC$6:$BC$53,INDEX(T_Equipos[Grupo],MATCH(BD43,T_Equipos[NombreEquipo],0)))&amp;")")</f>
        <v>P.3 (2)</v>
      </c>
      <c r="CF43" s="758">
        <f t="shared" ca="1" si="43"/>
        <v>0</v>
      </c>
      <c r="CG43" s="758">
        <f ca="1">CD43+COUNTIFS($CE$6:$CE$53,CE43,$CF$6:CF$53,"&gt;"&amp;CF43,$BC$6:$BC$53,INDEX(T_Equipos[Grupo],MATCH(BD43,T_Equipos[NombreEquipo],0)))</f>
        <v>3</v>
      </c>
      <c r="CH43" s="757" t="str">
        <f ca="1">IF(COUNTIFS($CG$6:$CG$53,CG43,$BC$6:$BC$53,INDEX(T_Equipos[Grupo],MATCH(BD43,T_Equipos[NombreEquipo],0)))=1,"-","P."&amp;CG43&amp;" ("&amp;COUNTIFS($CG$6:$CG$53,CG43,$BC$6:$BC$53,INDEX(T_Equipos[Grupo],MATCH(BD43,T_Equipos[NombreEquipo],0)))&amp;")")</f>
        <v>P.3 (2)</v>
      </c>
      <c r="CI43" s="758">
        <f t="shared" ca="1" si="44"/>
        <v>0</v>
      </c>
      <c r="CJ43" s="758">
        <f t="shared" ca="1" si="45"/>
        <v>0</v>
      </c>
      <c r="CK43" s="758">
        <f t="shared" ca="1" si="46"/>
        <v>0</v>
      </c>
      <c r="CL43" s="758">
        <f t="shared" ca="1" si="47"/>
        <v>0</v>
      </c>
      <c r="CM43" s="758">
        <f ca="1">CG43+COUNTIFS($CH$6:$CH$53,CH43,$CL$6:CL$53,"&gt;"&amp;CL43,$BC$6:$BC$53,INDEX(T_Equipos[Grupo],MATCH(BD43,T_Equipos[NombreEquipo],0)))</f>
        <v>3</v>
      </c>
      <c r="CN43" s="757" t="str">
        <f ca="1">IF(COUNTIFS($CM$6:$CM$53,CM43,$BC$6:$BC$53,INDEX(T_Equipos[Grupo],MATCH(BD43,T_Equipos[NombreEquipo],0)))=1,"-","P."&amp;CM43&amp;" ("&amp;COUNTIFS($CM$6:$CM$53,CM43,$BC$6:$BC$53,INDEX(T_Equipos[Grupo],MATCH(BD43,T_Equipos[NombreEquipo],0)))&amp;")")</f>
        <v>P.3 (2)</v>
      </c>
      <c r="CO43" s="758">
        <f t="shared" ca="1" si="48"/>
        <v>0</v>
      </c>
      <c r="CP43" s="758">
        <f t="shared" ca="1" si="49"/>
        <v>0</v>
      </c>
      <c r="CQ43" s="758">
        <f t="shared" ca="1" si="50"/>
        <v>0</v>
      </c>
      <c r="CR43" s="758">
        <f ca="1">CM43+COUNTIFS($CN$6:$CN$53,CN43,$CQ$6:CQ$53,"&gt;"&amp;CQ43,$BC$6:$BC$53,INDEX(T_Equipos[Grupo],MATCH(BD43,T_Equipos[NombreEquipo],0)))</f>
        <v>3</v>
      </c>
      <c r="CS43" s="757" t="str">
        <f ca="1">IF(COUNTIFS($CR$6:$CR$53,CR43,$BC$6:$BC$53,INDEX(T_Equipos[Grupo],MATCH(BD43,T_Equipos[NombreEquipo],0)))=1,"-","P."&amp;CR43&amp;" ("&amp;COUNTIFS($CR$6:$CR$53,CR43,$BC$6:$BC$53,INDEX(T_Equipos[Grupo],MATCH(BD43,T_Equipos[NombreEquipo],0)))&amp;")")</f>
        <v>P.3 (2)</v>
      </c>
      <c r="CT43" s="758">
        <f t="shared" ca="1" si="51"/>
        <v>0</v>
      </c>
      <c r="CU43" s="758">
        <f ca="1">CR43+COUNTIFS($CS$6:$CS$53,CS43,$CT$6:CT$53,"&gt;"&amp;CT43,$BC$6:$BC$53,INDEX(T_Equipos[Grupo],MATCH(BD43,T_Equipos[NombreEquipo],0)))</f>
        <v>3</v>
      </c>
      <c r="CV43" s="757" t="str">
        <f ca="1">IF(COUNTIFS($CU$6:$CU$53,CU43,$BC$6:$BC$53,INDEX(T_Equipos[Grupo],MATCH(BD43,T_Equipos[NombreEquipo],0)))=1,"-","P."&amp;CU43&amp;" ("&amp;COUNTIFS($CU$6:$CU$53,CU43,$BC$6:$BC$53,INDEX(T_Equipos[Grupo],MATCH(BD43,T_Equipos[NombreEquipo],0)))&amp;")")</f>
        <v>P.3 (2)</v>
      </c>
      <c r="CW43" s="757">
        <f t="shared" ca="1" si="30"/>
        <v>-3</v>
      </c>
      <c r="CX43" s="757">
        <f ca="1">CU43+COUNTIFS($CV$6:$CV$53,CV43,$CW$6:CW$53,"&gt;"&amp;CW43,$BC$6:$BC$53,INDEX(T_Equipos[Grupo],MATCH(BD43,T_Equipos[NombreEquipo],0)))</f>
        <v>4</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4</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4</v>
      </c>
      <c r="DE43" s="756"/>
      <c r="DF43" s="756">
        <f t="shared" ca="1" si="52"/>
        <v>4</v>
      </c>
      <c r="DG43" s="756" t="str">
        <f ca="1">IF(DB43="-","-",COUNTIFS(DF$6:DF$53,"&lt;"&amp;DF43,$BC$6:$BC$53,INDEX(T_Equipos[Grupo],MATCH(BD43,T_Equipos[NombreEquipo],0))))</f>
        <v>-</v>
      </c>
      <c r="DH43" s="756">
        <f ca="1">DA43+COUNTIFS(DB$6:DB$53,DB43,DG$6:DG$53,"&lt;"&amp;DG43,$BC$6:$BC$53,INDEX(T_Equipos[Grupo],MATCH(BD43,T_Equipos[NombreEquipo],0)))</f>
        <v>4</v>
      </c>
      <c r="DI43" s="744"/>
      <c r="DJ43" s="744">
        <f t="shared" ca="1" si="53"/>
        <v>2</v>
      </c>
      <c r="DK43" s="744">
        <f t="shared" ca="1" si="24"/>
        <v>4</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05"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P.2 (2)</v>
      </c>
      <c r="F44" s="744" t="str">
        <f t="shared" ref="F44:F49" ca="1" si="138">IF(D44="Pendiente","-",INDEX($BT$6:$BT$53,MATCH($AF44,$BD$6:$BD$53,0)))</f>
        <v>P.2 (2)</v>
      </c>
      <c r="G44" s="744"/>
      <c r="H44" s="744" t="str">
        <f t="shared" ref="H44:H49" ca="1" si="139">IF(D44="Pendiente","-",INDEX($BZ$6:$BZ$53,MATCH($AA44,$BD$6:$BD$53,0)))</f>
        <v>P.2 (2)</v>
      </c>
      <c r="I44" s="744" t="str">
        <f t="shared" ref="I44:I49" ca="1" si="140">IF(D44="Pendiente","-",INDEX($BZ$6:$BZ$53,MATCH($AF44,$BD$6:$BD$53,0)))</f>
        <v>P.2 (2)</v>
      </c>
      <c r="J44" s="744"/>
      <c r="K44" s="744" t="str">
        <f t="shared" ref="K44:K49" ca="1" si="141">IF(D44="Pendiente","-",INDEX($CE$6:$CE$53,MATCH($AA44,$BD$6:$BD$53,0)))</f>
        <v>P.2 (2)</v>
      </c>
      <c r="L44" s="744" t="str">
        <f t="shared" ref="L44:L49" ca="1" si="142">IF(D44="Pendiente","-",INDEX($CE$6:$CE$53,MATCH($AF44,$BD$6:$BD$53,0)))</f>
        <v>P.2 (2)</v>
      </c>
      <c r="M44" s="744"/>
      <c r="N44" s="744" t="str">
        <f t="shared" ref="N44:N49" ca="1" si="143">IF(D44="Pendiente","-",INDEX($CH$6:$CH$53,MATCH($AA44,$BD$6:$BD$53,0)))</f>
        <v>P.2 (2)</v>
      </c>
      <c r="O44" s="744" t="str">
        <f t="shared" ref="O44:O49" ca="1" si="144">IF(D44="Pendiente","-",INDEX($CH$6:$CH$53,MATCH($AF44,$BD$6:$BD$53,0)))</f>
        <v>P.2 (2)</v>
      </c>
      <c r="P44" s="744"/>
      <c r="Q44" s="744" t="str">
        <f t="shared" ref="Q44:Q49" ca="1" si="145">IF(D44="Pendiente","-",INDEX($CN$6:$CN$53,MATCH($AA44,$BD$6:$BD$53,0)))</f>
        <v>P.2 (2)</v>
      </c>
      <c r="R44" s="744" t="str">
        <f t="shared" ref="R44:R49" ca="1" si="146">IF(D44="Pendiente","-",INDEX($CN$6:$CN$53,MATCH($AF44,$BD$6:$BD$53,0)))</f>
        <v>P.2 (2)</v>
      </c>
      <c r="S44" s="744"/>
      <c r="T44" s="744" t="str">
        <f t="shared" ref="T44:T49" ca="1" si="147">IF(D44="Pendiente","-",INDEX($CS$6:$CS$53,MATCH($AA44,$BD$6:$BD$53,0)))</f>
        <v>P.2 (2)</v>
      </c>
      <c r="U44" s="744" t="str">
        <f t="shared" ref="U44:U49" ca="1" si="148">IF(D44="Pendiente","-",INDEX($CS$6:$CS$53,MATCH($AF44,$BD$6:$BD$53,0)))</f>
        <v>P.2 (2)</v>
      </c>
      <c r="V44" s="172"/>
      <c r="W44" s="821"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3</v>
      </c>
      <c r="BF44" s="748">
        <f t="shared" ca="1" si="26"/>
        <v>1</v>
      </c>
      <c r="BG44" s="748">
        <f t="shared" ca="1" si="17"/>
        <v>1</v>
      </c>
      <c r="BH44" s="748">
        <f t="shared" ca="1" si="18"/>
        <v>0</v>
      </c>
      <c r="BI44" s="748">
        <f t="shared" ca="1" si="19"/>
        <v>0</v>
      </c>
      <c r="BJ44" s="748">
        <f t="shared" ca="1" si="20"/>
        <v>3</v>
      </c>
      <c r="BK44" s="748">
        <f t="shared" ca="1" si="21"/>
        <v>1</v>
      </c>
      <c r="BL44" s="748">
        <f t="shared" ca="1" si="27"/>
        <v>2</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3</v>
      </c>
      <c r="BS44" s="757">
        <f ca="1">BP44+COUNTIFS($BQ$6:$BQ$53,BQ44,$BR$6:BR$53,"&gt;"&amp;BR44,$BC$6:$BC$53,INDEX(T_Equipos[Grupo],MATCH(BD44,T_Equipos[NombreEquipo],0)))</f>
        <v>1</v>
      </c>
      <c r="BT44" s="757" t="str">
        <f ca="1">IF(COUNTIFS($BS$6:$BS$53,BS44,$BC$6:$BC$53,INDEX(T_Equipos[Grupo],MATCH(BD44,T_Equipos[NombreEquipo],0)))=1,"-","P."&amp;BS44&amp;" ("&amp;COUNTIFS($BS$6:$BS$53,BS44,$BC$6:$BC$53,INDEX(T_Equipos[Grupo],MATCH(BD44,T_Equipos[NombreEquipo],0)))&amp;")")</f>
        <v>P.1 (2)</v>
      </c>
      <c r="BU44" s="758">
        <f t="shared" ca="1" si="36"/>
        <v>0</v>
      </c>
      <c r="BV44" s="758">
        <f t="shared" ca="1" si="37"/>
        <v>0</v>
      </c>
      <c r="BW44" s="758">
        <f t="shared" ca="1" si="38"/>
        <v>0</v>
      </c>
      <c r="BX44" s="758">
        <f t="shared" ca="1" si="39"/>
        <v>0</v>
      </c>
      <c r="BY44" s="758">
        <f ca="1">BS44+COUNTIFS($BT$6:$BT$53,BT44,$BX$6:BX$53,"&gt;"&amp;BX44,$BC$6:$BC$53,INDEX(T_Equipos[Grupo],MATCH(BD44,T_Equipos[NombreEquipo],0)))</f>
        <v>1</v>
      </c>
      <c r="BZ44" s="757" t="str">
        <f ca="1">IF(COUNTIFS($BY$6:$BY$53,BY44,$BC$6:$BC$53,INDEX(T_Equipos[Grupo],MATCH(BD44,T_Equipos[NombreEquipo],0)))=1,"-","P."&amp;BY44&amp;" ("&amp;COUNTIFS($BY$6:$BY$53,BY44,$BC$6:$BC$53,INDEX(T_Equipos[Grupo],MATCH(BD44,T_Equipos[NombreEquipo],0)))&amp;")")</f>
        <v>P.1 (2)</v>
      </c>
      <c r="CA44" s="758">
        <f t="shared" ca="1" si="40"/>
        <v>0</v>
      </c>
      <c r="CB44" s="758">
        <f t="shared" ca="1" si="41"/>
        <v>0</v>
      </c>
      <c r="CC44" s="758">
        <f t="shared" ca="1" si="42"/>
        <v>0</v>
      </c>
      <c r="CD44" s="758">
        <f ca="1">BY44+COUNTIFS($BZ$6:$BZ$53,BZ44,$CC$6:CC$53,"&gt;"&amp;CC44,$BC$6:$BC$53,INDEX(T_Equipos[Grupo],MATCH(BD44,T_Equipos[NombreEquipo],0)))</f>
        <v>1</v>
      </c>
      <c r="CE44" s="757" t="str">
        <f ca="1">IF(COUNTIFS($CD$6:$CD$53,CD44,$BC$6:$BC$53,INDEX(T_Equipos[Grupo],MATCH(BD44,T_Equipos[NombreEquipo],0)))=1,"-","P."&amp;CD44&amp;" ("&amp;COUNTIFS($CD$6:$CD$53,CD44,$BC$6:$BC$53,INDEX(T_Equipos[Grupo],MATCH(BD44,T_Equipos[NombreEquipo],0)))&amp;")")</f>
        <v>P.1 (2)</v>
      </c>
      <c r="CF44" s="758">
        <f t="shared" ca="1" si="43"/>
        <v>0</v>
      </c>
      <c r="CG44" s="758">
        <f ca="1">CD44+COUNTIFS($CE$6:$CE$53,CE44,$CF$6:CF$53,"&gt;"&amp;CF44,$BC$6:$BC$53,INDEX(T_Equipos[Grupo],MATCH(BD44,T_Equipos[NombreEquipo],0)))</f>
        <v>1</v>
      </c>
      <c r="CH44" s="757" t="str">
        <f ca="1">IF(COUNTIFS($CG$6:$CG$53,CG44,$BC$6:$BC$53,INDEX(T_Equipos[Grupo],MATCH(BD44,T_Equipos[NombreEquipo],0)))=1,"-","P."&amp;CG44&amp;" ("&amp;COUNTIFS($CG$6:$CG$53,CG44,$BC$6:$BC$53,INDEX(T_Equipos[Grupo],MATCH(BD44,T_Equipos[NombreEquipo],0)))&amp;")")</f>
        <v>P.1 (2)</v>
      </c>
      <c r="CI44" s="758">
        <f t="shared" ca="1" si="44"/>
        <v>0</v>
      </c>
      <c r="CJ44" s="758">
        <f t="shared" ca="1" si="45"/>
        <v>0</v>
      </c>
      <c r="CK44" s="758">
        <f t="shared" ca="1" si="46"/>
        <v>0</v>
      </c>
      <c r="CL44" s="758">
        <f t="shared" ca="1" si="47"/>
        <v>0</v>
      </c>
      <c r="CM44" s="758">
        <f ca="1">CG44+COUNTIFS($CH$6:$CH$53,CH44,$CL$6:CL$53,"&gt;"&amp;CL44,$BC$6:$BC$53,INDEX(T_Equipos[Grupo],MATCH(BD44,T_Equipos[NombreEquipo],0)))</f>
        <v>1</v>
      </c>
      <c r="CN44" s="757" t="str">
        <f ca="1">IF(COUNTIFS($CM$6:$CM$53,CM44,$BC$6:$BC$53,INDEX(T_Equipos[Grupo],MATCH(BD44,T_Equipos[NombreEquipo],0)))=1,"-","P."&amp;CM44&amp;" ("&amp;COUNTIFS($CM$6:$CM$53,CM44,$BC$6:$BC$53,INDEX(T_Equipos[Grupo],MATCH(BD44,T_Equipos[NombreEquipo],0)))&amp;")")</f>
        <v>P.1 (2)</v>
      </c>
      <c r="CO44" s="758">
        <f t="shared" ca="1" si="48"/>
        <v>0</v>
      </c>
      <c r="CP44" s="758">
        <f t="shared" ca="1" si="49"/>
        <v>0</v>
      </c>
      <c r="CQ44" s="758">
        <f t="shared" ca="1" si="50"/>
        <v>0</v>
      </c>
      <c r="CR44" s="758">
        <f ca="1">CM44+COUNTIFS($CN$6:$CN$53,CN44,$CQ$6:CQ$53,"&gt;"&amp;CQ44,$BC$6:$BC$53,INDEX(T_Equipos[Grupo],MATCH(BD44,T_Equipos[NombreEquipo],0)))</f>
        <v>1</v>
      </c>
      <c r="CS44" s="757" t="str">
        <f ca="1">IF(COUNTIFS($CR$6:$CR$53,CR44,$BC$6:$BC$53,INDEX(T_Equipos[Grupo],MATCH(BD44,T_Equipos[NombreEquipo],0)))=1,"-","P."&amp;CR44&amp;" ("&amp;COUNTIFS($CR$6:$CR$53,CR44,$BC$6:$BC$53,INDEX(T_Equipos[Grupo],MATCH(BD44,T_Equipos[NombreEquipo],0)))&amp;")")</f>
        <v>P.1 (2)</v>
      </c>
      <c r="CT44" s="758">
        <f t="shared" ca="1" si="51"/>
        <v>0</v>
      </c>
      <c r="CU44" s="758">
        <f ca="1">CR44+COUNTIFS($CS$6:$CS$53,CS44,$CT$6:CT$53,"&gt;"&amp;CT44,$BC$6:$BC$53,INDEX(T_Equipos[Grupo],MATCH(BD44,T_Equipos[NombreEquipo],0)))</f>
        <v>1</v>
      </c>
      <c r="CV44" s="757" t="str">
        <f ca="1">IF(COUNTIFS($CU$6:$CU$53,CU44,$BC$6:$BC$53,INDEX(T_Equipos[Grupo],MATCH(BD44,T_Equipos[NombreEquipo],0)))=1,"-","P."&amp;CU44&amp;" ("&amp;COUNTIFS($CU$6:$CU$53,CU44,$BC$6:$BC$53,INDEX(T_Equipos[Grupo],MATCH(BD44,T_Equipos[NombreEquipo],0)))&amp;")")</f>
        <v>P.1 (2)</v>
      </c>
      <c r="CW44" s="757">
        <f t="shared" ca="1" si="30"/>
        <v>2</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4</v>
      </c>
      <c r="DL44" s="744">
        <f t="shared" ca="1" si="33"/>
        <v>1</v>
      </c>
      <c r="DM44" s="738" t="str">
        <f t="shared" ca="1" si="34"/>
        <v>3.1</v>
      </c>
      <c r="DN44" s="744" cm="1">
        <f t="array" aca="1" ref="DN44" ca="1">OFFSET(Horarios!$P$3,DJ44-1,0,DL44,1)</f>
        <v>3</v>
      </c>
      <c r="DO44" s="744"/>
      <c r="DP44" s="744" t="s">
        <v>441</v>
      </c>
      <c r="DQ44" s="744" t="str">
        <f t="shared" ca="1" si="35"/>
        <v>Jordania</v>
      </c>
      <c r="DR44" s="744"/>
      <c r="DS44" s="744"/>
      <c r="DT44" s="744" t="str">
        <f t="shared" ca="1" si="15"/>
        <v>Países Bajos-Japón</v>
      </c>
      <c r="DU44" s="744"/>
      <c r="DV44" s="744"/>
      <c r="DW44" s="8"/>
    </row>
    <row r="45" spans="1:127" ht="16.05"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21"/>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1</v>
      </c>
      <c r="BG45" s="748">
        <f t="shared" ca="1" si="17"/>
        <v>0</v>
      </c>
      <c r="BH45" s="748">
        <f t="shared" ca="1" si="18"/>
        <v>0</v>
      </c>
      <c r="BI45" s="748">
        <f t="shared" ca="1" si="19"/>
        <v>1</v>
      </c>
      <c r="BJ45" s="748">
        <f t="shared" ca="1" si="20"/>
        <v>1</v>
      </c>
      <c r="BK45" s="748">
        <f t="shared" ca="1" si="21"/>
        <v>3</v>
      </c>
      <c r="BL45" s="748">
        <f t="shared" ca="1" si="27"/>
        <v>-2</v>
      </c>
      <c r="BM45" s="748" t="str">
        <f t="shared" ca="1" si="22"/>
        <v>3J</v>
      </c>
      <c r="BN45" s="748" t="str">
        <f t="shared" ca="1" si="23"/>
        <v>3J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3</v>
      </c>
      <c r="BT45" s="757" t="str">
        <f ca="1">IF(COUNTIFS($BS$6:$BS$53,BS45,$BC$6:$BC$53,INDEX(T_Equipos[Grupo],MATCH(BD45,T_Equipos[NombreEquipo],0)))=1,"-","P."&amp;BS45&amp;" ("&amp;COUNTIFS($BS$6:$BS$53,BS45,$BC$6:$BC$53,INDEX(T_Equipos[Grupo],MATCH(BD45,T_Equipos[NombreEquipo],0)))&amp;")")</f>
        <v>P.3 (2)</v>
      </c>
      <c r="BU45" s="758">
        <f t="shared" ca="1" si="36"/>
        <v>0</v>
      </c>
      <c r="BV45" s="758">
        <f t="shared" ca="1" si="37"/>
        <v>0</v>
      </c>
      <c r="BW45" s="758">
        <f t="shared" ca="1" si="38"/>
        <v>0</v>
      </c>
      <c r="BX45" s="758">
        <f t="shared" ca="1" si="39"/>
        <v>0</v>
      </c>
      <c r="BY45" s="758">
        <f ca="1">BS45+COUNTIFS($BT$6:$BT$53,BT45,$BX$6:BX$53,"&gt;"&amp;BX45,$BC$6:$BC$53,INDEX(T_Equipos[Grupo],MATCH(BD45,T_Equipos[NombreEquipo],0)))</f>
        <v>3</v>
      </c>
      <c r="BZ45" s="757" t="str">
        <f ca="1">IF(COUNTIFS($BY$6:$BY$53,BY45,$BC$6:$BC$53,INDEX(T_Equipos[Grupo],MATCH(BD45,T_Equipos[NombreEquipo],0)))=1,"-","P."&amp;BY45&amp;" ("&amp;COUNTIFS($BY$6:$BY$53,BY45,$BC$6:$BC$53,INDEX(T_Equipos[Grupo],MATCH(BD45,T_Equipos[NombreEquipo],0)))&amp;")")</f>
        <v>P.3 (2)</v>
      </c>
      <c r="CA45" s="758">
        <f t="shared" ca="1" si="40"/>
        <v>0</v>
      </c>
      <c r="CB45" s="758">
        <f t="shared" ca="1" si="41"/>
        <v>0</v>
      </c>
      <c r="CC45" s="758">
        <f t="shared" ca="1" si="42"/>
        <v>0</v>
      </c>
      <c r="CD45" s="758">
        <f ca="1">BY45+COUNTIFS($BZ$6:$BZ$53,BZ45,$CC$6:CC$53,"&gt;"&amp;CC45,$BC$6:$BC$53,INDEX(T_Equipos[Grupo],MATCH(BD45,T_Equipos[NombreEquipo],0)))</f>
        <v>3</v>
      </c>
      <c r="CE45" s="757" t="str">
        <f ca="1">IF(COUNTIFS($CD$6:$CD$53,CD45,$BC$6:$BC$53,INDEX(T_Equipos[Grupo],MATCH(BD45,T_Equipos[NombreEquipo],0)))=1,"-","P."&amp;CD45&amp;" ("&amp;COUNTIFS($CD$6:$CD$53,CD45,$BC$6:$BC$53,INDEX(T_Equipos[Grupo],MATCH(BD45,T_Equipos[NombreEquipo],0)))&amp;")")</f>
        <v>P.3 (2)</v>
      </c>
      <c r="CF45" s="758">
        <f t="shared" ca="1" si="43"/>
        <v>0</v>
      </c>
      <c r="CG45" s="758">
        <f ca="1">CD45+COUNTIFS($CE$6:$CE$53,CE45,$CF$6:CF$53,"&gt;"&amp;CF45,$BC$6:$BC$53,INDEX(T_Equipos[Grupo],MATCH(BD45,T_Equipos[NombreEquipo],0)))</f>
        <v>3</v>
      </c>
      <c r="CH45" s="757" t="str">
        <f ca="1">IF(COUNTIFS($CG$6:$CG$53,CG45,$BC$6:$BC$53,INDEX(T_Equipos[Grupo],MATCH(BD45,T_Equipos[NombreEquipo],0)))=1,"-","P."&amp;CG45&amp;" ("&amp;COUNTIFS($CG$6:$CG$53,CG45,$BC$6:$BC$53,INDEX(T_Equipos[Grupo],MATCH(BD45,T_Equipos[NombreEquipo],0)))&amp;")")</f>
        <v>P.3 (2)</v>
      </c>
      <c r="CI45" s="758">
        <f t="shared" ca="1" si="44"/>
        <v>0</v>
      </c>
      <c r="CJ45" s="758">
        <f t="shared" ca="1" si="45"/>
        <v>0</v>
      </c>
      <c r="CK45" s="758">
        <f t="shared" ca="1" si="46"/>
        <v>0</v>
      </c>
      <c r="CL45" s="758">
        <f t="shared" ca="1" si="47"/>
        <v>0</v>
      </c>
      <c r="CM45" s="758">
        <f ca="1">CG45+COUNTIFS($CH$6:$CH$53,CH45,$CL$6:CL$53,"&gt;"&amp;CL45,$BC$6:$BC$53,INDEX(T_Equipos[Grupo],MATCH(BD45,T_Equipos[NombreEquipo],0)))</f>
        <v>3</v>
      </c>
      <c r="CN45" s="757" t="str">
        <f ca="1">IF(COUNTIFS($CM$6:$CM$53,CM45,$BC$6:$BC$53,INDEX(T_Equipos[Grupo],MATCH(BD45,T_Equipos[NombreEquipo],0)))=1,"-","P."&amp;CM45&amp;" ("&amp;COUNTIFS($CM$6:$CM$53,CM45,$BC$6:$BC$53,INDEX(T_Equipos[Grupo],MATCH(BD45,T_Equipos[NombreEquipo],0)))&amp;")")</f>
        <v>P.3 (2)</v>
      </c>
      <c r="CO45" s="758">
        <f t="shared" ca="1" si="48"/>
        <v>0</v>
      </c>
      <c r="CP45" s="758">
        <f t="shared" ca="1" si="49"/>
        <v>0</v>
      </c>
      <c r="CQ45" s="758">
        <f t="shared" ca="1" si="50"/>
        <v>0</v>
      </c>
      <c r="CR45" s="758">
        <f ca="1">CM45+COUNTIFS($CN$6:$CN$53,CN45,$CQ$6:CQ$53,"&gt;"&amp;CQ45,$BC$6:$BC$53,INDEX(T_Equipos[Grupo],MATCH(BD45,T_Equipos[NombreEquipo],0)))</f>
        <v>3</v>
      </c>
      <c r="CS45" s="757" t="str">
        <f ca="1">IF(COUNTIFS($CR$6:$CR$53,CR45,$BC$6:$BC$53,INDEX(T_Equipos[Grupo],MATCH(BD45,T_Equipos[NombreEquipo],0)))=1,"-","P."&amp;CR45&amp;" ("&amp;COUNTIFS($CR$6:$CR$53,CR45,$BC$6:$BC$53,INDEX(T_Equipos[Grupo],MATCH(BD45,T_Equipos[NombreEquipo],0)))&amp;")")</f>
        <v>P.3 (2)</v>
      </c>
      <c r="CT45" s="758">
        <f t="shared" ca="1" si="51"/>
        <v>0</v>
      </c>
      <c r="CU45" s="758">
        <f ca="1">CR45+COUNTIFS($CS$6:$CS$53,CS45,$CT$6:CT$53,"&gt;"&amp;CT45,$BC$6:$BC$53,INDEX(T_Equipos[Grupo],MATCH(BD45,T_Equipos[NombreEquipo],0)))</f>
        <v>3</v>
      </c>
      <c r="CV45" s="757" t="str">
        <f ca="1">IF(COUNTIFS($CU$6:$CU$53,CU45,$BC$6:$BC$53,INDEX(T_Equipos[Grupo],MATCH(BD45,T_Equipos[NombreEquipo],0)))=1,"-","P."&amp;CU45&amp;" ("&amp;COUNTIFS($CU$6:$CU$53,CU45,$BC$6:$BC$53,INDEX(T_Equipos[Grupo],MATCH(BD45,T_Equipos[NombreEquipo],0)))&amp;")")</f>
        <v>P.3 (2)</v>
      </c>
      <c r="CW45" s="757">
        <f t="shared" ca="1" si="30"/>
        <v>-2</v>
      </c>
      <c r="CX45" s="757">
        <f ca="1">CU45+COUNTIFS($CV$6:$CV$53,CV45,$CW$6:CW$53,"&gt;"&amp;CW45,$BC$6:$BC$53,INDEX(T_Equipos[Grupo],MATCH(BD45,T_Equipos[NombreEquipo],0)))</f>
        <v>3</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3</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3</v>
      </c>
      <c r="DE45" s="756"/>
      <c r="DF45" s="756">
        <f t="shared" ca="1" si="52"/>
        <v>3</v>
      </c>
      <c r="DG45" s="756" t="str">
        <f ca="1">IF(DB45="-","-",COUNTIFS(DF$6:DF$53,"&lt;"&amp;DF45,$BC$6:$BC$53,INDEX(T_Equipos[Grupo],MATCH(BD45,T_Equipos[NombreEquipo],0))))</f>
        <v>-</v>
      </c>
      <c r="DH45" s="756">
        <f ca="1">DA45+COUNTIFS(DB$6:DB$53,DB45,DG$6:DG$53,"&lt;"&amp;DG45,$BC$6:$BC$53,INDEX(T_Equipos[Grupo],MATCH(BD45,T_Equipos[NombreEquipo],0)))</f>
        <v>3</v>
      </c>
      <c r="DI45" s="744"/>
      <c r="DJ45" s="744">
        <f t="shared" ca="1" si="53"/>
        <v>4</v>
      </c>
      <c r="DK45" s="744">
        <f t="shared" ca="1" si="24"/>
        <v>4</v>
      </c>
      <c r="DL45" s="744">
        <f t="shared" ca="1" si="33"/>
        <v>1</v>
      </c>
      <c r="DM45" s="738" t="str">
        <f t="shared" ca="1" si="34"/>
        <v>4.1</v>
      </c>
      <c r="DN45" s="744" cm="1">
        <f t="array" aca="1" ref="DN45" ca="1">OFFSET(Horarios!$P$3,DJ45-1,0,DL45,1)</f>
        <v>4</v>
      </c>
      <c r="DO45" s="744"/>
      <c r="DP45" s="744" t="s">
        <v>678</v>
      </c>
      <c r="DQ45" s="744" t="str">
        <f t="shared" ca="1" si="35"/>
        <v>Argelia</v>
      </c>
      <c r="DR45" s="744"/>
      <c r="DS45" s="744"/>
      <c r="DT45" s="744" t="str">
        <f t="shared" ca="1" si="15"/>
        <v>Suecia-Túnez</v>
      </c>
      <c r="DU45" s="744"/>
      <c r="DV45" s="744"/>
      <c r="DW45" s="8"/>
    </row>
    <row r="46" spans="1:127" ht="16.05" customHeight="1">
      <c r="A46" s="745" t="str">
        <f ca="1">+Equipos!B23</f>
        <v>Japón</v>
      </c>
      <c r="B46" s="742"/>
      <c r="C46" s="746"/>
      <c r="D46" s="744" t="str">
        <f t="shared" si="136"/>
        <v>Pendiente</v>
      </c>
      <c r="E46" s="744" t="str">
        <f t="shared" si="137"/>
        <v>-</v>
      </c>
      <c r="F46" s="744" t="str">
        <f t="shared" si="138"/>
        <v>-</v>
      </c>
      <c r="G46" s="744"/>
      <c r="H46" s="744" t="str">
        <f t="shared" si="139"/>
        <v>-</v>
      </c>
      <c r="I46" s="744" t="str">
        <f t="shared" si="140"/>
        <v>-</v>
      </c>
      <c r="J46" s="744"/>
      <c r="K46" s="744" t="str">
        <f t="shared" si="141"/>
        <v>-</v>
      </c>
      <c r="L46" s="744" t="str">
        <f t="shared" si="142"/>
        <v>-</v>
      </c>
      <c r="M46" s="744"/>
      <c r="N46" s="744" t="str">
        <f t="shared" si="143"/>
        <v>-</v>
      </c>
      <c r="O46" s="744" t="str">
        <f t="shared" si="144"/>
        <v>-</v>
      </c>
      <c r="P46" s="744"/>
      <c r="Q46" s="744" t="str">
        <f t="shared" si="145"/>
        <v>-</v>
      </c>
      <c r="R46" s="744" t="str">
        <f t="shared" si="146"/>
        <v>-</v>
      </c>
      <c r="S46" s="744"/>
      <c r="T46" s="744" t="str">
        <f t="shared" si="147"/>
        <v>-</v>
      </c>
      <c r="U46" s="744" t="str">
        <f t="shared" si="148"/>
        <v>-</v>
      </c>
      <c r="V46" s="172"/>
      <c r="W46" s="821"/>
      <c r="X46" s="189">
        <f ca="1">Horarios!C46</f>
        <v>46193.791666666664</v>
      </c>
      <c r="Y46" s="190">
        <f ca="1">Horarios!C46</f>
        <v>46193.791666666664</v>
      </c>
      <c r="Z46" s="191" t="str">
        <f>$Z$6</f>
        <v>J2</v>
      </c>
      <c r="AA46" s="192" t="str">
        <f ca="1">A45</f>
        <v>Países Bajos</v>
      </c>
      <c r="AB46" s="478" t="e" cm="1" vm="21">
        <f t="array" aca="1" ref="AB46" ca="1">Ver_flag_local</f>
        <v>#VALUE!</v>
      </c>
      <c r="AC46" s="193"/>
      <c r="AD46" s="194"/>
      <c r="AE46" s="483" t="e" cm="1" vm="23">
        <f t="array" aca="1" ref="AE46" ca="1">Ver_flag_visit</f>
        <v>#VALUE!</v>
      </c>
      <c r="AF46" s="195" t="str">
        <f ca="1">A47</f>
        <v>Suecia</v>
      </c>
      <c r="AG46" s="413">
        <f t="shared" si="149"/>
        <v>0</v>
      </c>
      <c r="AH46" s="196">
        <v>35</v>
      </c>
      <c r="AI46" s="19" t="str">
        <f>AJ46&amp;$B$44</f>
        <v>1F</v>
      </c>
      <c r="AJ46" s="211">
        <v>1</v>
      </c>
      <c r="AK46" s="488" t="e" cm="1" vm="23">
        <f t="array" aca="1" ref="AK46" ca="1">Ver_flag_visit</f>
        <v>#VALUE!</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1</v>
      </c>
      <c r="BF46" s="748">
        <f t="shared" ca="1" si="26"/>
        <v>1</v>
      </c>
      <c r="BG46" s="748">
        <f t="shared" ca="1" si="17"/>
        <v>0</v>
      </c>
      <c r="BH46" s="748">
        <f t="shared" ca="1" si="18"/>
        <v>1</v>
      </c>
      <c r="BI46" s="748">
        <f t="shared" ca="1" si="19"/>
        <v>0</v>
      </c>
      <c r="BJ46" s="748">
        <f t="shared" ca="1" si="20"/>
        <v>1</v>
      </c>
      <c r="BK46" s="748">
        <f t="shared" ca="1" si="21"/>
        <v>1</v>
      </c>
      <c r="BL46" s="748">
        <f t="shared" ca="1" si="27"/>
        <v>0</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1</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P.2 (2)</v>
      </c>
      <c r="BU46" s="758">
        <f t="shared" ca="1" si="36"/>
        <v>0</v>
      </c>
      <c r="BV46" s="758">
        <f t="shared" ca="1" si="37"/>
        <v>1</v>
      </c>
      <c r="BW46" s="758">
        <f t="shared" ca="1" si="38"/>
        <v>0</v>
      </c>
      <c r="BX46" s="758">
        <f t="shared" ca="1" si="39"/>
        <v>1</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P.2 (2)</v>
      </c>
      <c r="CA46" s="758">
        <f t="shared" ca="1" si="40"/>
        <v>1</v>
      </c>
      <c r="CB46" s="758">
        <f t="shared" ca="1" si="41"/>
        <v>1</v>
      </c>
      <c r="CC46" s="758">
        <f t="shared" ca="1" si="42"/>
        <v>0</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P.2 (2)</v>
      </c>
      <c r="CF46" s="758">
        <f t="shared" ca="1" si="43"/>
        <v>1</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P.2 (2)</v>
      </c>
      <c r="CI46" s="758">
        <f t="shared" ca="1" si="44"/>
        <v>0</v>
      </c>
      <c r="CJ46" s="758">
        <f t="shared" ca="1" si="45"/>
        <v>1</v>
      </c>
      <c r="CK46" s="758">
        <f t="shared" ca="1" si="46"/>
        <v>0</v>
      </c>
      <c r="CL46" s="758">
        <f t="shared" ca="1" si="47"/>
        <v>1</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P.2 (2)</v>
      </c>
      <c r="CO46" s="758">
        <f t="shared" ca="1" si="48"/>
        <v>1</v>
      </c>
      <c r="CP46" s="758">
        <f t="shared" ca="1" si="49"/>
        <v>1</v>
      </c>
      <c r="CQ46" s="758">
        <f t="shared" ca="1" si="50"/>
        <v>0</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P.2 (2)</v>
      </c>
      <c r="CT46" s="758">
        <f t="shared" ca="1" si="51"/>
        <v>1</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P.2 (2)</v>
      </c>
      <c r="CW46" s="757">
        <f t="shared" ca="1" si="30"/>
        <v>0</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P.2 (2)</v>
      </c>
      <c r="CZ46" s="757">
        <f t="shared" ca="1" si="31"/>
        <v>1</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P.2 (2)</v>
      </c>
      <c r="DC46" s="756">
        <f ca="1">IF(DB46="-","-",COUNTIFS(T_Equipos[Rank],"&lt;"&amp;INDEX(T_Equipos[Rank],MATCH(BD46,T_Equipos[NombreEquipo],0)),$BC$6:$BC$53,INDEX(T_Equipos[Grupo],MATCH(BD46,T_Equipos[NombreEquipo],0)))+1)</f>
        <v>1</v>
      </c>
      <c r="DD46" s="756">
        <f ca="1">DA46+COUNTIFS($DB$6:$DB$53,DB46,$DC$6:DC$53,"&lt;"&amp;DC46,$BC$6:$BC$53,INDEX(T_Equipos[Grupo],MATCH(BD46,T_Equipos[NombreEquipo],0)))</f>
        <v>2</v>
      </c>
      <c r="DE46" s="756"/>
      <c r="DF46" s="756">
        <f t="shared" ca="1" si="52"/>
        <v>2</v>
      </c>
      <c r="DG46" s="756">
        <f ca="1">IF(DB46="-","-",COUNTIFS(DF$6:DF$53,"&lt;"&amp;DF46,$BC$6:$BC$53,INDEX(T_Equipos[Grupo],MATCH(BD46,T_Equipos[NombreEquipo],0))))</f>
        <v>1</v>
      </c>
      <c r="DH46" s="756">
        <f ca="1">DA46+COUNTIFS(DB$6:DB$53,DB46,DG$6:DG$53,"&lt;"&amp;DG46,$BC$6:$BC$53,INDEX(T_Equipos[Grupo],MATCH(BD46,T_Equipos[NombreEquipo],0)))</f>
        <v>2</v>
      </c>
      <c r="DI46" s="744"/>
      <c r="DJ46" s="744">
        <f t="shared" ca="1" si="53"/>
        <v>1</v>
      </c>
      <c r="DK46" s="744">
        <f t="shared" ca="1" si="24"/>
        <v>4</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05" customHeight="1">
      <c r="A47" s="745" t="str">
        <f ca="1">+Equipos!B24</f>
        <v>Suecia</v>
      </c>
      <c r="B47" s="742"/>
      <c r="C47" s="744"/>
      <c r="D47" s="744" t="str">
        <f t="shared" si="136"/>
        <v>Pendiente</v>
      </c>
      <c r="E47" s="744" t="str">
        <f t="shared" si="137"/>
        <v>-</v>
      </c>
      <c r="F47" s="744" t="str">
        <f t="shared" si="138"/>
        <v>-</v>
      </c>
      <c r="G47" s="744"/>
      <c r="H47" s="744" t="str">
        <f t="shared" si="139"/>
        <v>-</v>
      </c>
      <c r="I47" s="744" t="str">
        <f t="shared" si="140"/>
        <v>-</v>
      </c>
      <c r="J47" s="744"/>
      <c r="K47" s="744" t="str">
        <f t="shared" si="141"/>
        <v>-</v>
      </c>
      <c r="L47" s="744" t="str">
        <f t="shared" si="142"/>
        <v>-</v>
      </c>
      <c r="M47" s="744"/>
      <c r="N47" s="744" t="str">
        <f t="shared" si="143"/>
        <v>-</v>
      </c>
      <c r="O47" s="744" t="str">
        <f t="shared" si="144"/>
        <v>-</v>
      </c>
      <c r="P47" s="744"/>
      <c r="Q47" s="744" t="str">
        <f t="shared" si="145"/>
        <v>-</v>
      </c>
      <c r="R47" s="744" t="str">
        <f t="shared" si="146"/>
        <v>-</v>
      </c>
      <c r="S47" s="744"/>
      <c r="T47" s="744" t="str">
        <f t="shared" si="147"/>
        <v>-</v>
      </c>
      <c r="U47" s="744" t="str">
        <f t="shared" si="148"/>
        <v>-</v>
      </c>
      <c r="V47" s="172"/>
      <c r="W47" s="821"/>
      <c r="X47" s="189">
        <f ca="1">Horarios!C47</f>
        <v>46194.25</v>
      </c>
      <c r="Y47" s="190">
        <f ca="1">Horarios!C47</f>
        <v>46194.25</v>
      </c>
      <c r="Z47" s="191" t="str">
        <f>$Z$6</f>
        <v>J2</v>
      </c>
      <c r="AA47" s="192" t="str">
        <f ca="1">A48</f>
        <v>Túnez</v>
      </c>
      <c r="AB47" s="478" t="e" cm="1" vm="24">
        <f t="array" aca="1" ref="AB47" ca="1">Ver_flag_local</f>
        <v>#VALUE!</v>
      </c>
      <c r="AC47" s="193"/>
      <c r="AD47" s="194"/>
      <c r="AE47" s="483" t="e" cm="1" vm="22">
        <f t="array" aca="1" ref="AE47" ca="1">Ver_flag_visit</f>
        <v>#VALUE!</v>
      </c>
      <c r="AF47" s="195" t="str">
        <f ca="1">A46</f>
        <v>Japón</v>
      </c>
      <c r="AG47" s="413">
        <f t="shared" si="149"/>
        <v>0</v>
      </c>
      <c r="AH47" s="196">
        <v>36</v>
      </c>
      <c r="AI47" s="19" t="str">
        <f t="shared" ref="AI47:AI49" si="154">AJ47&amp;$B$44</f>
        <v>2F</v>
      </c>
      <c r="AJ47" s="221">
        <v>2</v>
      </c>
      <c r="AK47" s="486" t="e" cm="1" vm="21">
        <f t="array" aca="1" ref="AK47" ca="1">Ver_flag_visit</f>
        <v>#VALUE!</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4"/>
      <c r="BC47" s="756" t="str">
        <f ca="1">+INDEX(T_Equipos[Grupo],MATCH(WORLDCUP!BD47,T_Equipos[NombreEquipo],0))</f>
        <v>K</v>
      </c>
      <c r="BD47" s="744" t="str">
        <f ca="1">+Equipos!B43</f>
        <v>RD Congo</v>
      </c>
      <c r="BE47" s="748">
        <f t="shared" ca="1" si="25"/>
        <v>1</v>
      </c>
      <c r="BF47" s="748">
        <f t="shared" ca="1" si="26"/>
        <v>1</v>
      </c>
      <c r="BG47" s="748">
        <f t="shared" ca="1" si="17"/>
        <v>0</v>
      </c>
      <c r="BH47" s="748">
        <f t="shared" ca="1" si="18"/>
        <v>1</v>
      </c>
      <c r="BI47" s="748">
        <f t="shared" ca="1" si="19"/>
        <v>0</v>
      </c>
      <c r="BJ47" s="748">
        <f t="shared" ca="1" si="20"/>
        <v>1</v>
      </c>
      <c r="BK47" s="748">
        <f t="shared" ca="1" si="21"/>
        <v>1</v>
      </c>
      <c r="BL47" s="748">
        <f t="shared" ca="1" si="27"/>
        <v>0</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1</v>
      </c>
      <c r="BS47" s="757">
        <f ca="1">BP47+COUNTIFS($BQ$6:$BQ$53,BQ47,$BR$6:BR$53,"&gt;"&amp;BR47,$BC$6:$BC$53,INDEX(T_Equipos[Grupo],MATCH(BD47,T_Equipos[NombreEquipo],0)))</f>
        <v>2</v>
      </c>
      <c r="BT47" s="757" t="str">
        <f ca="1">IF(COUNTIFS($BS$6:$BS$53,BS47,$BC$6:$BC$53,INDEX(T_Equipos[Grupo],MATCH(BD47,T_Equipos[NombreEquipo],0)))=1,"-","P."&amp;BS47&amp;" ("&amp;COUNTIFS($BS$6:$BS$53,BS47,$BC$6:$BC$53,INDEX(T_Equipos[Grupo],MATCH(BD47,T_Equipos[NombreEquipo],0)))&amp;")")</f>
        <v>P.2 (2)</v>
      </c>
      <c r="BU47" s="758">
        <f t="shared" ca="1" si="36"/>
        <v>0</v>
      </c>
      <c r="BV47" s="758">
        <f t="shared" ca="1" si="37"/>
        <v>1</v>
      </c>
      <c r="BW47" s="758">
        <f t="shared" ca="1" si="38"/>
        <v>0</v>
      </c>
      <c r="BX47" s="758">
        <f t="shared" ca="1" si="39"/>
        <v>1</v>
      </c>
      <c r="BY47" s="758">
        <f ca="1">BS47+COUNTIFS($BT$6:$BT$53,BT47,$BX$6:BX$53,"&gt;"&amp;BX47,$BC$6:$BC$53,INDEX(T_Equipos[Grupo],MATCH(BD47,T_Equipos[NombreEquipo],0)))</f>
        <v>2</v>
      </c>
      <c r="BZ47" s="757" t="str">
        <f ca="1">IF(COUNTIFS($BY$6:$BY$53,BY47,$BC$6:$BC$53,INDEX(T_Equipos[Grupo],MATCH(BD47,T_Equipos[NombreEquipo],0)))=1,"-","P."&amp;BY47&amp;" ("&amp;COUNTIFS($BY$6:$BY$53,BY47,$BC$6:$BC$53,INDEX(T_Equipos[Grupo],MATCH(BD47,T_Equipos[NombreEquipo],0)))&amp;")")</f>
        <v>P.2 (2)</v>
      </c>
      <c r="CA47" s="758">
        <f t="shared" ca="1" si="40"/>
        <v>1</v>
      </c>
      <c r="CB47" s="758">
        <f t="shared" ca="1" si="41"/>
        <v>1</v>
      </c>
      <c r="CC47" s="758">
        <f t="shared" ca="1" si="42"/>
        <v>0</v>
      </c>
      <c r="CD47" s="758">
        <f ca="1">BY47+COUNTIFS($BZ$6:$BZ$53,BZ47,$CC$6:CC$53,"&gt;"&amp;CC47,$BC$6:$BC$53,INDEX(T_Equipos[Grupo],MATCH(BD47,T_Equipos[NombreEquipo],0)))</f>
        <v>2</v>
      </c>
      <c r="CE47" s="757" t="str">
        <f ca="1">IF(COUNTIFS($CD$6:$CD$53,CD47,$BC$6:$BC$53,INDEX(T_Equipos[Grupo],MATCH(BD47,T_Equipos[NombreEquipo],0)))=1,"-","P."&amp;CD47&amp;" ("&amp;COUNTIFS($CD$6:$CD$53,CD47,$BC$6:$BC$53,INDEX(T_Equipos[Grupo],MATCH(BD47,T_Equipos[NombreEquipo],0)))&amp;")")</f>
        <v>P.2 (2)</v>
      </c>
      <c r="CF47" s="758">
        <f t="shared" ca="1" si="43"/>
        <v>1</v>
      </c>
      <c r="CG47" s="758">
        <f ca="1">CD47+COUNTIFS($CE$6:$CE$53,CE47,$CF$6:CF$53,"&gt;"&amp;CF47,$BC$6:$BC$53,INDEX(T_Equipos[Grupo],MATCH(BD47,T_Equipos[NombreEquipo],0)))</f>
        <v>2</v>
      </c>
      <c r="CH47" s="757" t="str">
        <f ca="1">IF(COUNTIFS($CG$6:$CG$53,CG47,$BC$6:$BC$53,INDEX(T_Equipos[Grupo],MATCH(BD47,T_Equipos[NombreEquipo],0)))=1,"-","P."&amp;CG47&amp;" ("&amp;COUNTIFS($CG$6:$CG$53,CG47,$BC$6:$BC$53,INDEX(T_Equipos[Grupo],MATCH(BD47,T_Equipos[NombreEquipo],0)))&amp;")")</f>
        <v>P.2 (2)</v>
      </c>
      <c r="CI47" s="758">
        <f t="shared" ca="1" si="44"/>
        <v>0</v>
      </c>
      <c r="CJ47" s="758">
        <f t="shared" ca="1" si="45"/>
        <v>1</v>
      </c>
      <c r="CK47" s="758">
        <f t="shared" ca="1" si="46"/>
        <v>0</v>
      </c>
      <c r="CL47" s="758">
        <f t="shared" ca="1" si="47"/>
        <v>1</v>
      </c>
      <c r="CM47" s="758">
        <f ca="1">CG47+COUNTIFS($CH$6:$CH$53,CH47,$CL$6:CL$53,"&gt;"&amp;CL47,$BC$6:$BC$53,INDEX(T_Equipos[Grupo],MATCH(BD47,T_Equipos[NombreEquipo],0)))</f>
        <v>2</v>
      </c>
      <c r="CN47" s="757" t="str">
        <f ca="1">IF(COUNTIFS($CM$6:$CM$53,CM47,$BC$6:$BC$53,INDEX(T_Equipos[Grupo],MATCH(BD47,T_Equipos[NombreEquipo],0)))=1,"-","P."&amp;CM47&amp;" ("&amp;COUNTIFS($CM$6:$CM$53,CM47,$BC$6:$BC$53,INDEX(T_Equipos[Grupo],MATCH(BD47,T_Equipos[NombreEquipo],0)))&amp;")")</f>
        <v>P.2 (2)</v>
      </c>
      <c r="CO47" s="758">
        <f t="shared" ca="1" si="48"/>
        <v>1</v>
      </c>
      <c r="CP47" s="758">
        <f t="shared" ca="1" si="49"/>
        <v>1</v>
      </c>
      <c r="CQ47" s="758">
        <f t="shared" ca="1" si="50"/>
        <v>0</v>
      </c>
      <c r="CR47" s="758">
        <f ca="1">CM47+COUNTIFS($CN$6:$CN$53,CN47,$CQ$6:CQ$53,"&gt;"&amp;CQ47,$BC$6:$BC$53,INDEX(T_Equipos[Grupo],MATCH(BD47,T_Equipos[NombreEquipo],0)))</f>
        <v>2</v>
      </c>
      <c r="CS47" s="757" t="str">
        <f ca="1">IF(COUNTIFS($CR$6:$CR$53,CR47,$BC$6:$BC$53,INDEX(T_Equipos[Grupo],MATCH(BD47,T_Equipos[NombreEquipo],0)))=1,"-","P."&amp;CR47&amp;" ("&amp;COUNTIFS($CR$6:$CR$53,CR47,$BC$6:$BC$53,INDEX(T_Equipos[Grupo],MATCH(BD47,T_Equipos[NombreEquipo],0)))&amp;")")</f>
        <v>P.2 (2)</v>
      </c>
      <c r="CT47" s="758">
        <f t="shared" ca="1" si="51"/>
        <v>1</v>
      </c>
      <c r="CU47" s="758">
        <f ca="1">CR47+COUNTIFS($CS$6:$CS$53,CS47,$CT$6:CT$53,"&gt;"&amp;CT47,$BC$6:$BC$53,INDEX(T_Equipos[Grupo],MATCH(BD47,T_Equipos[NombreEquipo],0)))</f>
        <v>2</v>
      </c>
      <c r="CV47" s="757" t="str">
        <f ca="1">IF(COUNTIFS($CU$6:$CU$53,CU47,$BC$6:$BC$53,INDEX(T_Equipos[Grupo],MATCH(BD47,T_Equipos[NombreEquipo],0)))=1,"-","P."&amp;CU47&amp;" ("&amp;COUNTIFS($CU$6:$CU$53,CU47,$BC$6:$BC$53,INDEX(T_Equipos[Grupo],MATCH(BD47,T_Equipos[NombreEquipo],0)))&amp;")")</f>
        <v>P.2 (2)</v>
      </c>
      <c r="CW47" s="757">
        <f t="shared" ca="1" si="30"/>
        <v>0</v>
      </c>
      <c r="CX47" s="757">
        <f ca="1">CU47+COUNTIFS($CV$6:$CV$53,CV47,$CW$6:CW$53,"&gt;"&amp;CW47,$BC$6:$BC$53,INDEX(T_Equipos[Grupo],MATCH(BD47,T_Equipos[NombreEquipo],0)))</f>
        <v>2</v>
      </c>
      <c r="CY47" s="757" t="str">
        <f ca="1">IF(COUNTIFS($CX$6:$CX$53,CX47,$BC$6:$BC$53,INDEX(T_Equipos[Grupo],MATCH(BD47,T_Equipos[NombreEquipo],0)))=1,"-","P."&amp;CX47&amp;" ("&amp;COUNTIFS($CX$6:$CX$53,CX47,$BC$6:$BC$53,INDEX(T_Equipos[Grupo],MATCH(BD47,T_Equipos[NombreEquipo],0)))&amp;")")</f>
        <v>P.2 (2)</v>
      </c>
      <c r="CZ47" s="757">
        <f t="shared" ca="1" si="31"/>
        <v>1</v>
      </c>
      <c r="DA47" s="758">
        <f ca="1">CX47+COUNTIFS($CY$6:$CY$53,CY47,$CZ$6:CZ$53,"&gt;"&amp;CZ47,$BC$6:$BC$53,INDEX(T_Equipos[Grupo],MATCH(BD47,T_Equipos[NombreEquipo],0)))</f>
        <v>2</v>
      </c>
      <c r="DB47" s="757" t="str">
        <f ca="1">IF(COUNTIFS($DA$6:$DA$53,DA47,$BC$6:$BC$53,INDEX(T_Equipos[Grupo],MATCH(BD47,T_Equipos[NombreEquipo],0)))=1,"-","P."&amp;DA47&amp;" ("&amp;COUNTIFS($DA$6:$DA$53,DA47,$BC$6:$BC$53,INDEX(T_Equipos[Grupo],MATCH(BD47,T_Equipos[NombreEquipo],0)))&amp;")")</f>
        <v>P.2 (2)</v>
      </c>
      <c r="DC47" s="756">
        <f ca="1">IF(DB47="-","-",COUNTIFS(T_Equipos[Rank],"&lt;"&amp;INDEX(T_Equipos[Rank],MATCH(BD47,T_Equipos[NombreEquipo],0)),$BC$6:$BC$53,INDEX(T_Equipos[Grupo],MATCH(BD47,T_Equipos[NombreEquipo],0)))+1)</f>
        <v>2</v>
      </c>
      <c r="DD47" s="756">
        <f ca="1">DA47+COUNTIFS($DB$6:$DB$53,DB47,$DC$6:DC$53,"&lt;"&amp;DC47,$BC$6:$BC$53,INDEX(T_Equipos[Grupo],MATCH(BD47,T_Equipos[NombreEquipo],0)))</f>
        <v>3</v>
      </c>
      <c r="DE47" s="756"/>
      <c r="DF47" s="756">
        <f t="shared" ca="1" si="52"/>
        <v>3</v>
      </c>
      <c r="DG47" s="756">
        <f ca="1">IF(DB47="-","-",COUNTIFS(DF$6:DF$53,"&lt;"&amp;DF47,$BC$6:$BC$53,INDEX(T_Equipos[Grupo],MATCH(BD47,T_Equipos[NombreEquipo],0))))</f>
        <v>2</v>
      </c>
      <c r="DH47" s="756">
        <f ca="1">DA47+COUNTIFS(DB$6:DB$53,DB47,DG$6:DG$53,"&lt;"&amp;DG47,$BC$6:$BC$53,INDEX(T_Equipos[Grupo],MATCH(BD47,T_Equipos[NombreEquipo],0)))</f>
        <v>3</v>
      </c>
      <c r="DI47" s="744"/>
      <c r="DJ47" s="744">
        <f t="shared" ca="1" si="53"/>
        <v>2</v>
      </c>
      <c r="DK47" s="744">
        <f t="shared" ca="1" si="24"/>
        <v>4</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05" customHeight="1">
      <c r="A48" s="745" t="str">
        <f ca="1">+Equipos!B25</f>
        <v>Túnez</v>
      </c>
      <c r="B48" s="742"/>
      <c r="C48" s="744"/>
      <c r="D48" s="744" t="str">
        <f t="shared" si="136"/>
        <v>Pendiente</v>
      </c>
      <c r="E48" s="744" t="str">
        <f t="shared" si="137"/>
        <v>-</v>
      </c>
      <c r="F48" s="744" t="str">
        <f t="shared" si="138"/>
        <v>-</v>
      </c>
      <c r="G48" s="744"/>
      <c r="H48" s="744" t="str">
        <f t="shared" si="139"/>
        <v>-</v>
      </c>
      <c r="I48" s="744" t="str">
        <f t="shared" si="140"/>
        <v>-</v>
      </c>
      <c r="J48" s="744"/>
      <c r="K48" s="744" t="str">
        <f t="shared" si="141"/>
        <v>-</v>
      </c>
      <c r="L48" s="744" t="str">
        <f t="shared" si="142"/>
        <v>-</v>
      </c>
      <c r="M48" s="744"/>
      <c r="N48" s="744" t="str">
        <f t="shared" si="143"/>
        <v>-</v>
      </c>
      <c r="O48" s="744" t="str">
        <f t="shared" si="144"/>
        <v>-</v>
      </c>
      <c r="P48" s="744"/>
      <c r="Q48" s="744" t="str">
        <f t="shared" si="145"/>
        <v>-</v>
      </c>
      <c r="R48" s="744" t="str">
        <f t="shared" si="146"/>
        <v>-</v>
      </c>
      <c r="S48" s="744"/>
      <c r="T48" s="744" t="str">
        <f t="shared" si="147"/>
        <v>-</v>
      </c>
      <c r="U48" s="744" t="str">
        <f t="shared" si="148"/>
        <v>-</v>
      </c>
      <c r="V48" s="172"/>
      <c r="W48" s="821"/>
      <c r="X48" s="189">
        <f ca="1">Horarios!C48</f>
        <v>46199.041666666664</v>
      </c>
      <c r="Y48" s="190">
        <f ca="1">Horarios!C48</f>
        <v>46199.041666666664</v>
      </c>
      <c r="Z48" s="191" t="str">
        <f>$Z$8</f>
        <v>J3</v>
      </c>
      <c r="AA48" s="192" t="str">
        <f ca="1">A46</f>
        <v>Japón</v>
      </c>
      <c r="AB48" s="478" t="e" cm="1" vm="22">
        <f t="array" aca="1" ref="AB48" ca="1">Ver_flag_local</f>
        <v>#VALUE!</v>
      </c>
      <c r="AC48" s="193"/>
      <c r="AD48" s="194"/>
      <c r="AE48" s="483" t="e" cm="1" vm="23">
        <f t="array" aca="1" ref="AE48" ca="1">Ver_flag_visit</f>
        <v>#VALUE!</v>
      </c>
      <c r="AF48" s="195" t="str">
        <f ca="1">A47</f>
        <v>Suecia</v>
      </c>
      <c r="AG48" s="413">
        <f t="shared" si="149"/>
        <v>0</v>
      </c>
      <c r="AH48" s="196">
        <v>57</v>
      </c>
      <c r="AI48" s="19" t="str">
        <f t="shared" si="154"/>
        <v>3F</v>
      </c>
      <c r="AJ48" s="221">
        <v>3</v>
      </c>
      <c r="AK48" s="486" t="e" cm="1" vm="22">
        <f t="array" aca="1" ref="AK48" ca="1">Ver_flag_visit</f>
        <v>#VALUE!</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1</v>
      </c>
      <c r="BG48" s="748">
        <f t="shared" ca="1" si="17"/>
        <v>0</v>
      </c>
      <c r="BH48" s="748">
        <f t="shared" ca="1" si="18"/>
        <v>0</v>
      </c>
      <c r="BI48" s="748">
        <f t="shared" ca="1" si="19"/>
        <v>1</v>
      </c>
      <c r="BJ48" s="748">
        <f t="shared" ca="1" si="20"/>
        <v>1</v>
      </c>
      <c r="BK48" s="748">
        <f t="shared" ca="1" si="21"/>
        <v>3</v>
      </c>
      <c r="BL48" s="748">
        <f t="shared" ca="1" si="27"/>
        <v>-2</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2</v>
      </c>
      <c r="DK48" s="744">
        <f t="shared" ca="1" si="24"/>
        <v>4</v>
      </c>
      <c r="DL48" s="744">
        <f t="shared" ca="1" si="33"/>
        <v>1</v>
      </c>
      <c r="DM48" s="738" t="str">
        <f t="shared" ca="1" si="34"/>
        <v>2.1</v>
      </c>
      <c r="DN48" s="744" cm="1">
        <f t="array" aca="1" ref="DN48" ca="1">OFFSET(Horarios!$P$3,DJ48-1,0,DL48,1)</f>
        <v>2</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Pendiente</v>
      </c>
      <c r="E49" s="744" t="str">
        <f t="shared" si="137"/>
        <v>-</v>
      </c>
      <c r="F49" s="744" t="str">
        <f t="shared" si="138"/>
        <v>-</v>
      </c>
      <c r="G49" s="744"/>
      <c r="H49" s="744" t="str">
        <f t="shared" si="139"/>
        <v>-</v>
      </c>
      <c r="I49" s="744" t="str">
        <f t="shared" si="140"/>
        <v>-</v>
      </c>
      <c r="J49" s="744"/>
      <c r="K49" s="744" t="str">
        <f t="shared" si="141"/>
        <v>-</v>
      </c>
      <c r="L49" s="744" t="str">
        <f t="shared" si="142"/>
        <v>-</v>
      </c>
      <c r="M49" s="744"/>
      <c r="N49" s="744" t="str">
        <f t="shared" si="143"/>
        <v>-</v>
      </c>
      <c r="O49" s="744" t="str">
        <f t="shared" si="144"/>
        <v>-</v>
      </c>
      <c r="P49" s="744"/>
      <c r="Q49" s="744" t="str">
        <f t="shared" si="145"/>
        <v>-</v>
      </c>
      <c r="R49" s="744" t="str">
        <f t="shared" si="146"/>
        <v>-</v>
      </c>
      <c r="S49" s="744"/>
      <c r="T49" s="744" t="str">
        <f t="shared" si="147"/>
        <v>-</v>
      </c>
      <c r="U49" s="744" t="str">
        <f t="shared" si="148"/>
        <v>-</v>
      </c>
      <c r="V49" s="172"/>
      <c r="W49" s="822"/>
      <c r="X49" s="228">
        <f ca="1">Horarios!C49</f>
        <v>46199.041666666664</v>
      </c>
      <c r="Y49" s="229">
        <f ca="1">Horarios!C49</f>
        <v>46199.041666666664</v>
      </c>
      <c r="Z49" s="230" t="str">
        <f>$Z$8</f>
        <v>J3</v>
      </c>
      <c r="AA49" s="231" t="str">
        <f ca="1">A48</f>
        <v>Túnez</v>
      </c>
      <c r="AB49" s="479" t="e" cm="1" vm="24">
        <f t="array" aca="1" ref="AB49" ca="1">Ver_flag_local</f>
        <v>#VALUE!</v>
      </c>
      <c r="AC49" s="232"/>
      <c r="AD49" s="233"/>
      <c r="AE49" s="484" t="e" cm="1" vm="21">
        <f t="array" aca="1" ref="AE49" ca="1">Ver_flag_visit</f>
        <v>#VALUE!</v>
      </c>
      <c r="AF49" s="234" t="str">
        <f ca="1">A45</f>
        <v>Países Bajos</v>
      </c>
      <c r="AG49" s="413">
        <f t="shared" si="149"/>
        <v>0</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3</v>
      </c>
      <c r="BF49" s="748">
        <f t="shared" ca="1" si="26"/>
        <v>1</v>
      </c>
      <c r="BG49" s="748">
        <f t="shared" ca="1" si="17"/>
        <v>1</v>
      </c>
      <c r="BH49" s="748">
        <f t="shared" ca="1" si="18"/>
        <v>0</v>
      </c>
      <c r="BI49" s="748">
        <f t="shared" ca="1" si="19"/>
        <v>0</v>
      </c>
      <c r="BJ49" s="748">
        <f t="shared" ca="1" si="20"/>
        <v>3</v>
      </c>
      <c r="BK49" s="748">
        <f t="shared" ca="1" si="21"/>
        <v>1</v>
      </c>
      <c r="BL49" s="748">
        <f t="shared" ca="1" si="27"/>
        <v>2</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3</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4</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3</v>
      </c>
      <c r="BF50" s="748">
        <f t="shared" ca="1" si="26"/>
        <v>1</v>
      </c>
      <c r="BG50" s="748">
        <f t="shared" ca="1" si="17"/>
        <v>1</v>
      </c>
      <c r="BH50" s="748">
        <f t="shared" ca="1" si="18"/>
        <v>0</v>
      </c>
      <c r="BI50" s="748">
        <f t="shared" ca="1" si="19"/>
        <v>0</v>
      </c>
      <c r="BJ50" s="748">
        <f t="shared" ca="1" si="20"/>
        <v>4</v>
      </c>
      <c r="BK50" s="748">
        <f t="shared" ca="1" si="21"/>
        <v>2</v>
      </c>
      <c r="BL50" s="748">
        <f t="shared" ca="1" si="27"/>
        <v>2</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3</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P.1 (2)</v>
      </c>
      <c r="BU50" s="758">
        <f t="shared" ca="1" si="36"/>
        <v>0</v>
      </c>
      <c r="BV50" s="758">
        <f t="shared" ca="1" si="37"/>
        <v>0</v>
      </c>
      <c r="BW50" s="758">
        <f t="shared" ca="1" si="38"/>
        <v>0</v>
      </c>
      <c r="BX50" s="758">
        <f t="shared" ca="1" si="39"/>
        <v>0</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P.1 (2)</v>
      </c>
      <c r="CA50" s="758">
        <f t="shared" ca="1" si="40"/>
        <v>0</v>
      </c>
      <c r="CB50" s="758">
        <f t="shared" ca="1" si="41"/>
        <v>0</v>
      </c>
      <c r="CC50" s="758">
        <f t="shared" ca="1" si="42"/>
        <v>0</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P.1 (2)</v>
      </c>
      <c r="CF50" s="758">
        <f t="shared" ca="1" si="43"/>
        <v>0</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P.1 (2)</v>
      </c>
      <c r="CI50" s="758">
        <f t="shared" ca="1" si="44"/>
        <v>0</v>
      </c>
      <c r="CJ50" s="758">
        <f t="shared" ca="1" si="45"/>
        <v>0</v>
      </c>
      <c r="CK50" s="758">
        <f t="shared" ca="1" si="46"/>
        <v>0</v>
      </c>
      <c r="CL50" s="758">
        <f t="shared" ca="1" si="47"/>
        <v>0</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P.1 (2)</v>
      </c>
      <c r="CO50" s="758">
        <f t="shared" ca="1" si="48"/>
        <v>0</v>
      </c>
      <c r="CP50" s="758">
        <f t="shared" ca="1" si="49"/>
        <v>0</v>
      </c>
      <c r="CQ50" s="758">
        <f t="shared" ca="1" si="50"/>
        <v>0</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P.1 (2)</v>
      </c>
      <c r="CT50" s="758">
        <f t="shared" ca="1" si="51"/>
        <v>0</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P.1 (2)</v>
      </c>
      <c r="CW50" s="757">
        <f t="shared" ca="1" si="30"/>
        <v>2</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4</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0</v>
      </c>
      <c r="BF51" s="748">
        <f t="shared" ca="1" si="26"/>
        <v>1</v>
      </c>
      <c r="BG51" s="748">
        <f t="shared" ca="1" si="17"/>
        <v>0</v>
      </c>
      <c r="BH51" s="748">
        <f t="shared" ca="1" si="18"/>
        <v>0</v>
      </c>
      <c r="BI51" s="748">
        <f t="shared" ca="1" si="19"/>
        <v>1</v>
      </c>
      <c r="BJ51" s="748">
        <f t="shared" ca="1" si="20"/>
        <v>2</v>
      </c>
      <c r="BK51" s="748">
        <f t="shared" ca="1" si="21"/>
        <v>4</v>
      </c>
      <c r="BL51" s="748">
        <f t="shared" ca="1" si="27"/>
        <v>-2</v>
      </c>
      <c r="BM51" s="748" t="str">
        <f t="shared" ca="1" si="22"/>
        <v>4L</v>
      </c>
      <c r="BN51" s="748" t="str">
        <f t="shared" ca="1" si="23"/>
        <v>4L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0</v>
      </c>
      <c r="BS51" s="757">
        <f ca="1">BP51+COUNTIFS($BQ$6:$BQ$53,BQ51,$BR$6:BR$53,"&gt;"&amp;BR51,$BC$6:$BC$53,INDEX(T_Equipos[Grupo],MATCH(BD51,T_Equipos[NombreEquipo],0)))</f>
        <v>3</v>
      </c>
      <c r="BT51" s="757" t="str">
        <f ca="1">IF(COUNTIFS($BS$6:$BS$53,BS51,$BC$6:$BC$53,INDEX(T_Equipos[Grupo],MATCH(BD51,T_Equipos[NombreEquipo],0)))=1,"-","P."&amp;BS51&amp;" ("&amp;COUNTIFS($BS$6:$BS$53,BS51,$BC$6:$BC$53,INDEX(T_Equipos[Grupo],MATCH(BD51,T_Equipos[NombreEquipo],0)))&amp;")")</f>
        <v>P.3 (2)</v>
      </c>
      <c r="BU51" s="758">
        <f t="shared" ca="1" si="36"/>
        <v>0</v>
      </c>
      <c r="BV51" s="758">
        <f t="shared" ca="1" si="37"/>
        <v>0</v>
      </c>
      <c r="BW51" s="758">
        <f t="shared" ca="1" si="38"/>
        <v>0</v>
      </c>
      <c r="BX51" s="758">
        <f t="shared" ca="1" si="39"/>
        <v>0</v>
      </c>
      <c r="BY51" s="758">
        <f ca="1">BS51+COUNTIFS($BT$6:$BT$53,BT51,$BX$6:BX$53,"&gt;"&amp;BX51,$BC$6:$BC$53,INDEX(T_Equipos[Grupo],MATCH(BD51,T_Equipos[NombreEquipo],0)))</f>
        <v>3</v>
      </c>
      <c r="BZ51" s="757" t="str">
        <f ca="1">IF(COUNTIFS($BY$6:$BY$53,BY51,$BC$6:$BC$53,INDEX(T_Equipos[Grupo],MATCH(BD51,T_Equipos[NombreEquipo],0)))=1,"-","P."&amp;BY51&amp;" ("&amp;COUNTIFS($BY$6:$BY$53,BY51,$BC$6:$BC$53,INDEX(T_Equipos[Grupo],MATCH(BD51,T_Equipos[NombreEquipo],0)))&amp;")")</f>
        <v>P.3 (2)</v>
      </c>
      <c r="CA51" s="758">
        <f t="shared" ca="1" si="40"/>
        <v>0</v>
      </c>
      <c r="CB51" s="758">
        <f t="shared" ca="1" si="41"/>
        <v>0</v>
      </c>
      <c r="CC51" s="758">
        <f t="shared" ca="1" si="42"/>
        <v>0</v>
      </c>
      <c r="CD51" s="758">
        <f ca="1">BY51+COUNTIFS($BZ$6:$BZ$53,BZ51,$CC$6:CC$53,"&gt;"&amp;CC51,$BC$6:$BC$53,INDEX(T_Equipos[Grupo],MATCH(BD51,T_Equipos[NombreEquipo],0)))</f>
        <v>3</v>
      </c>
      <c r="CE51" s="757" t="str">
        <f ca="1">IF(COUNTIFS($CD$6:$CD$53,CD51,$BC$6:$BC$53,INDEX(T_Equipos[Grupo],MATCH(BD51,T_Equipos[NombreEquipo],0)))=1,"-","P."&amp;CD51&amp;" ("&amp;COUNTIFS($CD$6:$CD$53,CD51,$BC$6:$BC$53,INDEX(T_Equipos[Grupo],MATCH(BD51,T_Equipos[NombreEquipo],0)))&amp;")")</f>
        <v>P.3 (2)</v>
      </c>
      <c r="CF51" s="758">
        <f t="shared" ca="1" si="43"/>
        <v>0</v>
      </c>
      <c r="CG51" s="758">
        <f ca="1">CD51+COUNTIFS($CE$6:$CE$53,CE51,$CF$6:CF$53,"&gt;"&amp;CF51,$BC$6:$BC$53,INDEX(T_Equipos[Grupo],MATCH(BD51,T_Equipos[NombreEquipo],0)))</f>
        <v>3</v>
      </c>
      <c r="CH51" s="757" t="str">
        <f ca="1">IF(COUNTIFS($CG$6:$CG$53,CG51,$BC$6:$BC$53,INDEX(T_Equipos[Grupo],MATCH(BD51,T_Equipos[NombreEquipo],0)))=1,"-","P."&amp;CG51&amp;" ("&amp;COUNTIFS($CG$6:$CG$53,CG51,$BC$6:$BC$53,INDEX(T_Equipos[Grupo],MATCH(BD51,T_Equipos[NombreEquipo],0)))&amp;")")</f>
        <v>P.3 (2)</v>
      </c>
      <c r="CI51" s="758">
        <f t="shared" ca="1" si="44"/>
        <v>0</v>
      </c>
      <c r="CJ51" s="758">
        <f t="shared" ca="1" si="45"/>
        <v>0</v>
      </c>
      <c r="CK51" s="758">
        <f t="shared" ca="1" si="46"/>
        <v>0</v>
      </c>
      <c r="CL51" s="758">
        <f t="shared" ca="1" si="47"/>
        <v>0</v>
      </c>
      <c r="CM51" s="758">
        <f ca="1">CG51+COUNTIFS($CH$6:$CH$53,CH51,$CL$6:CL$53,"&gt;"&amp;CL51,$BC$6:$BC$53,INDEX(T_Equipos[Grupo],MATCH(BD51,T_Equipos[NombreEquipo],0)))</f>
        <v>3</v>
      </c>
      <c r="CN51" s="757" t="str">
        <f ca="1">IF(COUNTIFS($CM$6:$CM$53,CM51,$BC$6:$BC$53,INDEX(T_Equipos[Grupo],MATCH(BD51,T_Equipos[NombreEquipo],0)))=1,"-","P."&amp;CM51&amp;" ("&amp;COUNTIFS($CM$6:$CM$53,CM51,$BC$6:$BC$53,INDEX(T_Equipos[Grupo],MATCH(BD51,T_Equipos[NombreEquipo],0)))&amp;")")</f>
        <v>P.3 (2)</v>
      </c>
      <c r="CO51" s="758">
        <f t="shared" ca="1" si="48"/>
        <v>0</v>
      </c>
      <c r="CP51" s="758">
        <f t="shared" ca="1" si="49"/>
        <v>0</v>
      </c>
      <c r="CQ51" s="758">
        <f t="shared" ca="1" si="50"/>
        <v>0</v>
      </c>
      <c r="CR51" s="758">
        <f ca="1">CM51+COUNTIFS($CN$6:$CN$53,CN51,$CQ$6:CQ$53,"&gt;"&amp;CQ51,$BC$6:$BC$53,INDEX(T_Equipos[Grupo],MATCH(BD51,T_Equipos[NombreEquipo],0)))</f>
        <v>3</v>
      </c>
      <c r="CS51" s="757" t="str">
        <f ca="1">IF(COUNTIFS($CR$6:$CR$53,CR51,$BC$6:$BC$53,INDEX(T_Equipos[Grupo],MATCH(BD51,T_Equipos[NombreEquipo],0)))=1,"-","P."&amp;CR51&amp;" ("&amp;COUNTIFS($CR$6:$CR$53,CR51,$BC$6:$BC$53,INDEX(T_Equipos[Grupo],MATCH(BD51,T_Equipos[NombreEquipo],0)))&amp;")")</f>
        <v>P.3 (2)</v>
      </c>
      <c r="CT51" s="758">
        <f t="shared" ca="1" si="51"/>
        <v>0</v>
      </c>
      <c r="CU51" s="758">
        <f ca="1">CR51+COUNTIFS($CS$6:$CS$53,CS51,$CT$6:CT$53,"&gt;"&amp;CT51,$BC$6:$BC$53,INDEX(T_Equipos[Grupo],MATCH(BD51,T_Equipos[NombreEquipo],0)))</f>
        <v>3</v>
      </c>
      <c r="CV51" s="757" t="str">
        <f ca="1">IF(COUNTIFS($CU$6:$CU$53,CU51,$BC$6:$BC$53,INDEX(T_Equipos[Grupo],MATCH(BD51,T_Equipos[NombreEquipo],0)))=1,"-","P."&amp;CU51&amp;" ("&amp;COUNTIFS($CU$6:$CU$53,CU51,$BC$6:$BC$53,INDEX(T_Equipos[Grupo],MATCH(BD51,T_Equipos[NombreEquipo],0)))&amp;")")</f>
        <v>P.3 (2)</v>
      </c>
      <c r="CW51" s="757">
        <f t="shared" ca="1" si="30"/>
        <v>-2</v>
      </c>
      <c r="CX51" s="757">
        <f ca="1">CU51+COUNTIFS($CV$6:$CV$53,CV51,$CW$6:CW$53,"&gt;"&amp;CW51,$BC$6:$BC$53,INDEX(T_Equipos[Grupo],MATCH(BD51,T_Equipos[NombreEquipo],0)))</f>
        <v>4</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4</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4</v>
      </c>
      <c r="DE51" s="756"/>
      <c r="DF51" s="756">
        <f t="shared" ca="1" si="52"/>
        <v>4</v>
      </c>
      <c r="DG51" s="756" t="str">
        <f ca="1">IF(DB51="-","-",COUNTIFS(DF$6:DF$53,"&lt;"&amp;DF51,$BC$6:$BC$53,INDEX(T_Equipos[Grupo],MATCH(BD51,T_Equipos[NombreEquipo],0))))</f>
        <v>-</v>
      </c>
      <c r="DH51" s="756">
        <f ca="1">DA51+COUNTIFS(DB$6:DB$53,DB51,DG$6:DG$53,"&lt;"&amp;DG51,$BC$6:$BC$53,INDEX(T_Equipos[Grupo],MATCH(BD51,T_Equipos[NombreEquipo],0)))</f>
        <v>4</v>
      </c>
      <c r="DI51" s="744"/>
      <c r="DJ51" s="744">
        <f t="shared" ca="1" si="53"/>
        <v>2</v>
      </c>
      <c r="DK51" s="744">
        <f t="shared" ca="1" si="24"/>
        <v>4</v>
      </c>
      <c r="DL51" s="744">
        <f t="shared" ca="1" si="33"/>
        <v>1</v>
      </c>
      <c r="DM51" s="738" t="str">
        <f t="shared" ca="1" si="34"/>
        <v>2.1</v>
      </c>
      <c r="DN51" s="744" cm="1">
        <f t="array" aca="1" ref="DN51" ca="1">OFFSET(Horarios!$P$3,DJ51-1,0,DL51,1)</f>
        <v>2</v>
      </c>
      <c r="DO51" s="744"/>
      <c r="DP51" s="744" t="s">
        <v>683</v>
      </c>
      <c r="DQ51" s="744" t="str">
        <f t="shared" ca="1" si="35"/>
        <v>Ghana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(4)</v>
      </c>
      <c r="F52" s="744" t="str">
        <f t="shared" ref="F52:F57" ca="1" si="157">IF(D52="Pendiente","-",INDEX($BT$6:$BT$53,MATCH($AF52,$BD$6:$BD$53,0)))</f>
        <v>P.1 (4)</v>
      </c>
      <c r="G52" s="744"/>
      <c r="H52" s="744" t="str">
        <f t="shared" ref="H52:H57" ca="1" si="158">IF(D52="Pendiente","-",INDEX($BZ$6:$BZ$53,MATCH($AA52,$BD$6:$BD$53,0)))</f>
        <v>P.1 (4)</v>
      </c>
      <c r="I52" s="744" t="str">
        <f t="shared" ref="I52:I57" ca="1" si="159">IF(D52="Pendiente","-",INDEX($BZ$6:$BZ$53,MATCH($AF52,$BD$6:$BD$53,0)))</f>
        <v>P.1 (4)</v>
      </c>
      <c r="J52" s="744"/>
      <c r="K52" s="744" t="str">
        <f t="shared" ref="K52:K57" ca="1" si="160">IF(D52="Pendiente","-",INDEX($CE$6:$CE$53,MATCH($AA52,$BD$6:$BD$53,0)))</f>
        <v>P.1 (4)</v>
      </c>
      <c r="L52" s="744" t="str">
        <f t="shared" ref="L52:L57" ca="1" si="161">IF(D52="Pendiente","-",INDEX($CE$6:$CE$53,MATCH($AF52,$BD$6:$BD$53,0)))</f>
        <v>P.1 (4)</v>
      </c>
      <c r="M52" s="744"/>
      <c r="N52" s="744" t="str">
        <f t="shared" ref="N52:N57" ca="1" si="162">IF(D52="Pendiente","-",INDEX($CH$6:$CH$53,MATCH($AA52,$BD$6:$BD$53,0)))</f>
        <v>P.3 (2)</v>
      </c>
      <c r="O52" s="744" t="str">
        <f t="shared" ref="O52:O57" ca="1" si="163">IF(D52="Pendiente","-",INDEX($CH$6:$CH$53,MATCH($AF52,$BD$6:$BD$53,0)))</f>
        <v>P.3 (2)</v>
      </c>
      <c r="P52" s="744"/>
      <c r="Q52" s="744" t="str">
        <f t="shared" ref="Q52:Q57" ca="1" si="164">IF(D52="Pendiente","-",INDEX($CN$6:$CN$53,MATCH($AA52,$BD$6:$BD$53,0)))</f>
        <v>P.3 (2)</v>
      </c>
      <c r="R52" s="744" t="str">
        <f t="shared" ref="R52:R57" ca="1" si="165">IF(D52="Pendiente","-",INDEX($CN$6:$CN$53,MATCH($AF52,$BD$6:$BD$53,0)))</f>
        <v>P.3 (2)</v>
      </c>
      <c r="S52" s="744"/>
      <c r="T52" s="744" t="str">
        <f t="shared" ref="T52:T57" ca="1" si="166">IF(D52="Pendiente","-",INDEX($CS$6:$CS$53,MATCH($AA52,$BD$6:$BD$53,0)))</f>
        <v>P.3 (2)</v>
      </c>
      <c r="U52" s="744" t="str">
        <f t="shared" ref="U52:U57" ca="1" si="167">IF(D52="Pendiente","-",INDEX($CS$6:$CS$53,MATCH($AF52,$BD$6:$BD$53,0)))</f>
        <v>P.3 (2)</v>
      </c>
      <c r="V52" s="172"/>
      <c r="W52" s="841"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3</v>
      </c>
      <c r="BF52" s="748">
        <f t="shared" ca="1" si="26"/>
        <v>1</v>
      </c>
      <c r="BG52" s="748">
        <f t="shared" ca="1" si="17"/>
        <v>1</v>
      </c>
      <c r="BH52" s="748">
        <f t="shared" ca="1" si="18"/>
        <v>0</v>
      </c>
      <c r="BI52" s="748">
        <f t="shared" ca="1" si="19"/>
        <v>0</v>
      </c>
      <c r="BJ52" s="748">
        <f t="shared" ca="1" si="20"/>
        <v>1</v>
      </c>
      <c r="BK52" s="748">
        <f t="shared" ca="1" si="21"/>
        <v>0</v>
      </c>
      <c r="BL52" s="748">
        <f t="shared" ca="1" si="27"/>
        <v>1</v>
      </c>
      <c r="BM52" s="748" t="str">
        <f t="shared" ca="1" si="22"/>
        <v>2L</v>
      </c>
      <c r="BN52" s="748" t="str">
        <f t="shared" ca="1" si="23"/>
        <v>2L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3</v>
      </c>
      <c r="BS52" s="757">
        <f ca="1">BP52+COUNTIFS($BQ$6:$BQ$53,BQ52,$BR$6:BR$53,"&gt;"&amp;BR52,$BC$6:$BC$53,INDEX(T_Equipos[Grupo],MATCH(BD52,T_Equipos[NombreEquipo],0)))</f>
        <v>1</v>
      </c>
      <c r="BT52" s="757" t="str">
        <f ca="1">IF(COUNTIFS($BS$6:$BS$53,BS52,$BC$6:$BC$53,INDEX(T_Equipos[Grupo],MATCH(BD52,T_Equipos[NombreEquipo],0)))=1,"-","P."&amp;BS52&amp;" ("&amp;COUNTIFS($BS$6:$BS$53,BS52,$BC$6:$BC$53,INDEX(T_Equipos[Grupo],MATCH(BD52,T_Equipos[NombreEquipo],0)))&amp;")")</f>
        <v>P.1 (2)</v>
      </c>
      <c r="BU52" s="758">
        <f t="shared" ca="1" si="36"/>
        <v>0</v>
      </c>
      <c r="BV52" s="758">
        <f t="shared" ca="1" si="37"/>
        <v>0</v>
      </c>
      <c r="BW52" s="758">
        <f t="shared" ca="1" si="38"/>
        <v>0</v>
      </c>
      <c r="BX52" s="758">
        <f t="shared" ca="1" si="39"/>
        <v>0</v>
      </c>
      <c r="BY52" s="758">
        <f ca="1">BS52+COUNTIFS($BT$6:$BT$53,BT52,$BX$6:BX$53,"&gt;"&amp;BX52,$BC$6:$BC$53,INDEX(T_Equipos[Grupo],MATCH(BD52,T_Equipos[NombreEquipo],0)))</f>
        <v>1</v>
      </c>
      <c r="BZ52" s="757" t="str">
        <f ca="1">IF(COUNTIFS($BY$6:$BY$53,BY52,$BC$6:$BC$53,INDEX(T_Equipos[Grupo],MATCH(BD52,T_Equipos[NombreEquipo],0)))=1,"-","P."&amp;BY52&amp;" ("&amp;COUNTIFS($BY$6:$BY$53,BY52,$BC$6:$BC$53,INDEX(T_Equipos[Grupo],MATCH(BD52,T_Equipos[NombreEquipo],0)))&amp;")")</f>
        <v>P.1 (2)</v>
      </c>
      <c r="CA52" s="758">
        <f t="shared" ca="1" si="40"/>
        <v>0</v>
      </c>
      <c r="CB52" s="758">
        <f t="shared" ca="1" si="41"/>
        <v>0</v>
      </c>
      <c r="CC52" s="758">
        <f t="shared" ca="1" si="42"/>
        <v>0</v>
      </c>
      <c r="CD52" s="758">
        <f ca="1">BY52+COUNTIFS($BZ$6:$BZ$53,BZ52,$CC$6:CC$53,"&gt;"&amp;CC52,$BC$6:$BC$53,INDEX(T_Equipos[Grupo],MATCH(BD52,T_Equipos[NombreEquipo],0)))</f>
        <v>1</v>
      </c>
      <c r="CE52" s="757" t="str">
        <f ca="1">IF(COUNTIFS($CD$6:$CD$53,CD52,$BC$6:$BC$53,INDEX(T_Equipos[Grupo],MATCH(BD52,T_Equipos[NombreEquipo],0)))=1,"-","P."&amp;CD52&amp;" ("&amp;COUNTIFS($CD$6:$CD$53,CD52,$BC$6:$BC$53,INDEX(T_Equipos[Grupo],MATCH(BD52,T_Equipos[NombreEquipo],0)))&amp;")")</f>
        <v>P.1 (2)</v>
      </c>
      <c r="CF52" s="758">
        <f t="shared" ca="1" si="43"/>
        <v>0</v>
      </c>
      <c r="CG52" s="758">
        <f ca="1">CD52+COUNTIFS($CE$6:$CE$53,CE52,$CF$6:CF$53,"&gt;"&amp;CF52,$BC$6:$BC$53,INDEX(T_Equipos[Grupo],MATCH(BD52,T_Equipos[NombreEquipo],0)))</f>
        <v>1</v>
      </c>
      <c r="CH52" s="757" t="str">
        <f ca="1">IF(COUNTIFS($CG$6:$CG$53,CG52,$BC$6:$BC$53,INDEX(T_Equipos[Grupo],MATCH(BD52,T_Equipos[NombreEquipo],0)))=1,"-","P."&amp;CG52&amp;" ("&amp;COUNTIFS($CG$6:$CG$53,CG52,$BC$6:$BC$53,INDEX(T_Equipos[Grupo],MATCH(BD52,T_Equipos[NombreEquipo],0)))&amp;")")</f>
        <v>P.1 (2)</v>
      </c>
      <c r="CI52" s="758">
        <f t="shared" ca="1" si="44"/>
        <v>0</v>
      </c>
      <c r="CJ52" s="758">
        <f t="shared" ca="1" si="45"/>
        <v>0</v>
      </c>
      <c r="CK52" s="758">
        <f t="shared" ca="1" si="46"/>
        <v>0</v>
      </c>
      <c r="CL52" s="758">
        <f t="shared" ca="1" si="47"/>
        <v>0</v>
      </c>
      <c r="CM52" s="758">
        <f ca="1">CG52+COUNTIFS($CH$6:$CH$53,CH52,$CL$6:CL$53,"&gt;"&amp;CL52,$BC$6:$BC$53,INDEX(T_Equipos[Grupo],MATCH(BD52,T_Equipos[NombreEquipo],0)))</f>
        <v>1</v>
      </c>
      <c r="CN52" s="757" t="str">
        <f ca="1">IF(COUNTIFS($CM$6:$CM$53,CM52,$BC$6:$BC$53,INDEX(T_Equipos[Grupo],MATCH(BD52,T_Equipos[NombreEquipo],0)))=1,"-","P."&amp;CM52&amp;" ("&amp;COUNTIFS($CM$6:$CM$53,CM52,$BC$6:$BC$53,INDEX(T_Equipos[Grupo],MATCH(BD52,T_Equipos[NombreEquipo],0)))&amp;")")</f>
        <v>P.1 (2)</v>
      </c>
      <c r="CO52" s="758">
        <f t="shared" ca="1" si="48"/>
        <v>0</v>
      </c>
      <c r="CP52" s="758">
        <f t="shared" ca="1" si="49"/>
        <v>0</v>
      </c>
      <c r="CQ52" s="758">
        <f t="shared" ca="1" si="50"/>
        <v>0</v>
      </c>
      <c r="CR52" s="758">
        <f ca="1">CM52+COUNTIFS($CN$6:$CN$53,CN52,$CQ$6:CQ$53,"&gt;"&amp;CQ52,$BC$6:$BC$53,INDEX(T_Equipos[Grupo],MATCH(BD52,T_Equipos[NombreEquipo],0)))</f>
        <v>1</v>
      </c>
      <c r="CS52" s="757" t="str">
        <f ca="1">IF(COUNTIFS($CR$6:$CR$53,CR52,$BC$6:$BC$53,INDEX(T_Equipos[Grupo],MATCH(BD52,T_Equipos[NombreEquipo],0)))=1,"-","P."&amp;CR52&amp;" ("&amp;COUNTIFS($CR$6:$CR$53,CR52,$BC$6:$BC$53,INDEX(T_Equipos[Grupo],MATCH(BD52,T_Equipos[NombreEquipo],0)))&amp;")")</f>
        <v>P.1 (2)</v>
      </c>
      <c r="CT52" s="758">
        <f t="shared" ca="1" si="51"/>
        <v>0</v>
      </c>
      <c r="CU52" s="758">
        <f ca="1">CR52+COUNTIFS($CS$6:$CS$53,CS52,$CT$6:CT$53,"&gt;"&amp;CT52,$BC$6:$BC$53,INDEX(T_Equipos[Grupo],MATCH(BD52,T_Equipos[NombreEquipo],0)))</f>
        <v>1</v>
      </c>
      <c r="CV52" s="757" t="str">
        <f ca="1">IF(COUNTIFS($CU$6:$CU$53,CU52,$BC$6:$BC$53,INDEX(T_Equipos[Grupo],MATCH(BD52,T_Equipos[NombreEquipo],0)))=1,"-","P."&amp;CU52&amp;" ("&amp;COUNTIFS($CU$6:$CU$53,CU52,$BC$6:$BC$53,INDEX(T_Equipos[Grupo],MATCH(BD52,T_Equipos[NombreEquipo],0)))&amp;")")</f>
        <v>P.1 (2)</v>
      </c>
      <c r="CW52" s="757">
        <f t="shared" ca="1" si="30"/>
        <v>1</v>
      </c>
      <c r="CX52" s="757">
        <f ca="1">CU52+COUNTIFS($CV$6:$CV$53,CV52,$CW$6:CW$53,"&gt;"&amp;CW52,$BC$6:$BC$53,INDEX(T_Equipos[Grupo],MATCH(BD52,T_Equipos[NombreEquipo],0)))</f>
        <v>2</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2</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2</v>
      </c>
      <c r="DE52" s="756"/>
      <c r="DF52" s="756">
        <f t="shared" ca="1" si="52"/>
        <v>2</v>
      </c>
      <c r="DG52" s="756" t="str">
        <f ca="1">IF(DB52="-","-",COUNTIFS(DF$6:DF$53,"&lt;"&amp;DF52,$BC$6:$BC$53,INDEX(T_Equipos[Grupo],MATCH(BD52,T_Equipos[NombreEquipo],0))))</f>
        <v>-</v>
      </c>
      <c r="DH52" s="756">
        <f ca="1">DA52+COUNTIFS(DB$6:DB$53,DB52,DG$6:DG$53,"&lt;"&amp;DG52,$BC$6:$BC$53,INDEX(T_Equipos[Grupo],MATCH(BD52,T_Equipos[NombreEquipo],0)))</f>
        <v>2</v>
      </c>
      <c r="DI52" s="744"/>
      <c r="DJ52" s="744">
        <f t="shared" ca="1" si="53"/>
        <v>3</v>
      </c>
      <c r="DK52" s="744">
        <f t="shared" ca="1" si="24"/>
        <v>4</v>
      </c>
      <c r="DL52" s="744">
        <f t="shared" ca="1" si="33"/>
        <v>1</v>
      </c>
      <c r="DM52" s="738" t="str">
        <f t="shared" ca="1" si="34"/>
        <v>3.1</v>
      </c>
      <c r="DN52" s="744" cm="1">
        <f t="array" aca="1" ref="DN52" ca="1">OFFSET(Horarios!$P$3,DJ52-1,0,DL52,1)</f>
        <v>3</v>
      </c>
      <c r="DO52" s="744"/>
      <c r="DP52" s="744" t="s">
        <v>443</v>
      </c>
      <c r="DQ52" s="744" t="str">
        <f t="shared" ca="1" si="35"/>
        <v>Panamá</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P.1 (4)</v>
      </c>
      <c r="F53" s="744" t="str">
        <f t="shared" ca="1" si="157"/>
        <v>P.1 (4)</v>
      </c>
      <c r="G53" s="744"/>
      <c r="H53" s="744" t="str">
        <f t="shared" ca="1" si="158"/>
        <v>P.1 (4)</v>
      </c>
      <c r="I53" s="744" t="str">
        <f t="shared" ca="1" si="159"/>
        <v>P.1 (4)</v>
      </c>
      <c r="J53" s="744"/>
      <c r="K53" s="744" t="str">
        <f t="shared" ca="1" si="160"/>
        <v>P.1 (4)</v>
      </c>
      <c r="L53" s="744" t="str">
        <f t="shared" ca="1" si="161"/>
        <v>P.1 (4)</v>
      </c>
      <c r="M53" s="744"/>
      <c r="N53" s="744" t="str">
        <f t="shared" ca="1" si="162"/>
        <v>P.1 (2)</v>
      </c>
      <c r="O53" s="744" t="str">
        <f t="shared" ca="1" si="163"/>
        <v>P.1 (2)</v>
      </c>
      <c r="P53" s="744"/>
      <c r="Q53" s="744" t="str">
        <f t="shared" ca="1" si="164"/>
        <v>P.1 (2)</v>
      </c>
      <c r="R53" s="744" t="str">
        <f t="shared" ca="1" si="165"/>
        <v>P.1 (2)</v>
      </c>
      <c r="S53" s="744"/>
      <c r="T53" s="744" t="str">
        <f t="shared" ca="1" si="166"/>
        <v>P.1 (2)</v>
      </c>
      <c r="U53" s="744" t="str">
        <f t="shared" ca="1" si="167"/>
        <v>P.1 (2)</v>
      </c>
      <c r="V53" s="172"/>
      <c r="W53" s="841"/>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1</v>
      </c>
      <c r="BG53" s="748">
        <f t="shared" ca="1" si="17"/>
        <v>0</v>
      </c>
      <c r="BH53" s="748">
        <f t="shared" ca="1" si="18"/>
        <v>0</v>
      </c>
      <c r="BI53" s="748">
        <f t="shared" ca="1" si="19"/>
        <v>1</v>
      </c>
      <c r="BJ53" s="748">
        <f t="shared" ca="1" si="20"/>
        <v>0</v>
      </c>
      <c r="BK53" s="748">
        <f t="shared" ca="1" si="21"/>
        <v>1</v>
      </c>
      <c r="BL53" s="748">
        <f t="shared" ca="1" si="27"/>
        <v>-1</v>
      </c>
      <c r="BM53" s="748" t="str">
        <f t="shared" ca="1" si="22"/>
        <v>3L</v>
      </c>
      <c r="BN53" s="748" t="str">
        <f t="shared" ca="1" si="23"/>
        <v>3L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3</v>
      </c>
      <c r="BT53" s="757" t="str">
        <f ca="1">IF(COUNTIFS($BS$6:$BS$53,BS53,$BC$6:$BC$53,INDEX(T_Equipos[Grupo],MATCH(BD53,T_Equipos[NombreEquipo],0)))=1,"-","P."&amp;BS53&amp;" ("&amp;COUNTIFS($BS$6:$BS$53,BS53,$BC$6:$BC$53,INDEX(T_Equipos[Grupo],MATCH(BD53,T_Equipos[NombreEquipo],0)))&amp;")")</f>
        <v>P.3 (2)</v>
      </c>
      <c r="BU53" s="758">
        <f t="shared" ca="1" si="36"/>
        <v>0</v>
      </c>
      <c r="BV53" s="758">
        <f t="shared" ca="1" si="37"/>
        <v>0</v>
      </c>
      <c r="BW53" s="758">
        <f t="shared" ca="1" si="38"/>
        <v>0</v>
      </c>
      <c r="BX53" s="758">
        <f t="shared" ca="1" si="39"/>
        <v>0</v>
      </c>
      <c r="BY53" s="758">
        <f ca="1">BS53+COUNTIFS($BT$6:$BT$53,BT53,$BX$6:BX$53,"&gt;"&amp;BX53,$BC$6:$BC$53,INDEX(T_Equipos[Grupo],MATCH(BD53,T_Equipos[NombreEquipo],0)))</f>
        <v>3</v>
      </c>
      <c r="BZ53" s="757" t="str">
        <f ca="1">IF(COUNTIFS($BY$6:$BY$53,BY53,$BC$6:$BC$53,INDEX(T_Equipos[Grupo],MATCH(BD53,T_Equipos[NombreEquipo],0)))=1,"-","P."&amp;BY53&amp;" ("&amp;COUNTIFS($BY$6:$BY$53,BY53,$BC$6:$BC$53,INDEX(T_Equipos[Grupo],MATCH(BD53,T_Equipos[NombreEquipo],0)))&amp;")")</f>
        <v>P.3 (2)</v>
      </c>
      <c r="CA53" s="758">
        <f t="shared" ca="1" si="40"/>
        <v>0</v>
      </c>
      <c r="CB53" s="758">
        <f t="shared" ca="1" si="41"/>
        <v>0</v>
      </c>
      <c r="CC53" s="758">
        <f t="shared" ca="1" si="42"/>
        <v>0</v>
      </c>
      <c r="CD53" s="758">
        <f ca="1">BY53+COUNTIFS($BZ$6:$BZ$53,BZ53,$CC$6:CC$53,"&gt;"&amp;CC53,$BC$6:$BC$53,INDEX(T_Equipos[Grupo],MATCH(BD53,T_Equipos[NombreEquipo],0)))</f>
        <v>3</v>
      </c>
      <c r="CE53" s="757" t="str">
        <f ca="1">IF(COUNTIFS($CD$6:$CD$53,CD53,$BC$6:$BC$53,INDEX(T_Equipos[Grupo],MATCH(BD53,T_Equipos[NombreEquipo],0)))=1,"-","P."&amp;CD53&amp;" ("&amp;COUNTIFS($CD$6:$CD$53,CD53,$BC$6:$BC$53,INDEX(T_Equipos[Grupo],MATCH(BD53,T_Equipos[NombreEquipo],0)))&amp;")")</f>
        <v>P.3 (2)</v>
      </c>
      <c r="CF53" s="758">
        <f t="shared" ca="1" si="43"/>
        <v>0</v>
      </c>
      <c r="CG53" s="758">
        <f ca="1">CD53+COUNTIFS($CE$6:$CE$53,CE53,$CF$6:CF$53,"&gt;"&amp;CF53,$BC$6:$BC$53,INDEX(T_Equipos[Grupo],MATCH(BD53,T_Equipos[NombreEquipo],0)))</f>
        <v>3</v>
      </c>
      <c r="CH53" s="757" t="str">
        <f ca="1">IF(COUNTIFS($CG$6:$CG$53,CG53,$BC$6:$BC$53,INDEX(T_Equipos[Grupo],MATCH(BD53,T_Equipos[NombreEquipo],0)))=1,"-","P."&amp;CG53&amp;" ("&amp;COUNTIFS($CG$6:$CG$53,CG53,$BC$6:$BC$53,INDEX(T_Equipos[Grupo],MATCH(BD53,T_Equipos[NombreEquipo],0)))&amp;")")</f>
        <v>P.3 (2)</v>
      </c>
      <c r="CI53" s="758">
        <f t="shared" ca="1" si="44"/>
        <v>0</v>
      </c>
      <c r="CJ53" s="758">
        <f t="shared" ca="1" si="45"/>
        <v>0</v>
      </c>
      <c r="CK53" s="758">
        <f t="shared" ca="1" si="46"/>
        <v>0</v>
      </c>
      <c r="CL53" s="758">
        <f t="shared" ca="1" si="47"/>
        <v>0</v>
      </c>
      <c r="CM53" s="758">
        <f ca="1">CG53+COUNTIFS($CH$6:$CH$53,CH53,$CL$6:CL$53,"&gt;"&amp;CL53,$BC$6:$BC$53,INDEX(T_Equipos[Grupo],MATCH(BD53,T_Equipos[NombreEquipo],0)))</f>
        <v>3</v>
      </c>
      <c r="CN53" s="757" t="str">
        <f ca="1">IF(COUNTIFS($CM$6:$CM$53,CM53,$BC$6:$BC$53,INDEX(T_Equipos[Grupo],MATCH(BD53,T_Equipos[NombreEquipo],0)))=1,"-","P."&amp;CM53&amp;" ("&amp;COUNTIFS($CM$6:$CM$53,CM53,$BC$6:$BC$53,INDEX(T_Equipos[Grupo],MATCH(BD53,T_Equipos[NombreEquipo],0)))&amp;")")</f>
        <v>P.3 (2)</v>
      </c>
      <c r="CO53" s="758">
        <f t="shared" ca="1" si="48"/>
        <v>0</v>
      </c>
      <c r="CP53" s="758">
        <f t="shared" ca="1" si="49"/>
        <v>0</v>
      </c>
      <c r="CQ53" s="758">
        <f t="shared" ca="1" si="50"/>
        <v>0</v>
      </c>
      <c r="CR53" s="758">
        <f ca="1">CM53+COUNTIFS($CN$6:$CN$53,CN53,$CQ$6:CQ$53,"&gt;"&amp;CQ53,$BC$6:$BC$53,INDEX(T_Equipos[Grupo],MATCH(BD53,T_Equipos[NombreEquipo],0)))</f>
        <v>3</v>
      </c>
      <c r="CS53" s="757" t="str">
        <f ca="1">IF(COUNTIFS($CR$6:$CR$53,CR53,$BC$6:$BC$53,INDEX(T_Equipos[Grupo],MATCH(BD53,T_Equipos[NombreEquipo],0)))=1,"-","P."&amp;CR53&amp;" ("&amp;COUNTIFS($CR$6:$CR$53,CR53,$BC$6:$BC$53,INDEX(T_Equipos[Grupo],MATCH(BD53,T_Equipos[NombreEquipo],0)))&amp;")")</f>
        <v>P.3 (2)</v>
      </c>
      <c r="CT53" s="758">
        <f t="shared" ca="1" si="51"/>
        <v>0</v>
      </c>
      <c r="CU53" s="758">
        <f ca="1">CR53+COUNTIFS($CS$6:$CS$53,CS53,$CT$6:CT$53,"&gt;"&amp;CT53,$BC$6:$BC$53,INDEX(T_Equipos[Grupo],MATCH(BD53,T_Equipos[NombreEquipo],0)))</f>
        <v>3</v>
      </c>
      <c r="CV53" s="757" t="str">
        <f ca="1">IF(COUNTIFS($CU$6:$CU$53,CU53,$BC$6:$BC$53,INDEX(T_Equipos[Grupo],MATCH(BD53,T_Equipos[NombreEquipo],0)))=1,"-","P."&amp;CU53&amp;" ("&amp;COUNTIFS($CU$6:$CU$53,CU53,$BC$6:$BC$53,INDEX(T_Equipos[Grupo],MATCH(BD53,T_Equipos[NombreEquipo],0)))&amp;")")</f>
        <v>P.3 (2)</v>
      </c>
      <c r="CW53" s="757">
        <f t="shared" ca="1" si="30"/>
        <v>-1</v>
      </c>
      <c r="CX53" s="757">
        <f ca="1">CU53+COUNTIFS($CV$6:$CV$53,CV53,$CW$6:CW$53,"&gt;"&amp;CW53,$BC$6:$BC$53,INDEX(T_Equipos[Grupo],MATCH(BD53,T_Equipos[NombreEquipo],0)))</f>
        <v>3</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3</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3</v>
      </c>
      <c r="DE53" s="756"/>
      <c r="DF53" s="756">
        <f t="shared" ca="1" si="52"/>
        <v>3</v>
      </c>
      <c r="DG53" s="756" t="str">
        <f ca="1">IF(DB53="-","-",COUNTIFS(DF$6:DF$53,"&lt;"&amp;DF53,$BC$6:$BC$53,INDEX(T_Equipos[Grupo],MATCH(BD53,T_Equipos[NombreEquipo],0))))</f>
        <v>-</v>
      </c>
      <c r="DH53" s="756">
        <f ca="1">DA53+COUNTIFS(DB$6:DB$53,DB53,DG$6:DG$53,"&lt;"&amp;DG53,$BC$6:$BC$53,INDEX(T_Equipos[Grupo],MATCH(BD53,T_Equipos[NombreEquipo],0)))</f>
        <v>3</v>
      </c>
      <c r="DI53" s="744"/>
      <c r="DJ53" s="744">
        <f t="shared" ca="1" si="53"/>
        <v>4</v>
      </c>
      <c r="DK53" s="744">
        <f t="shared" ca="1" si="24"/>
        <v>4</v>
      </c>
      <c r="DL53" s="744">
        <f t="shared" ca="1" si="33"/>
        <v>1</v>
      </c>
      <c r="DM53" s="738" t="str">
        <f t="shared" ca="1" si="34"/>
        <v>4.1</v>
      </c>
      <c r="DN53" s="744" cm="1">
        <f t="array" aca="1" ref="DN53" ca="1">OFFSET(Horarios!$P$3,DJ53-1,0,DL53,1)</f>
        <v>4</v>
      </c>
      <c r="DO53" s="744"/>
      <c r="DP53" s="744" t="s">
        <v>684</v>
      </c>
      <c r="DQ53" s="744" t="str">
        <f t="shared" ca="1" si="35"/>
        <v>Croacia</v>
      </c>
      <c r="DR53" s="744"/>
      <c r="DS53" s="744"/>
      <c r="DT53" s="744" t="str">
        <f t="shared" ca="1" si="15"/>
        <v>Irán-Nueva Zelanda</v>
      </c>
      <c r="DU53" s="744"/>
      <c r="DV53" s="744"/>
      <c r="DW53" s="8"/>
    </row>
    <row r="54" spans="1:127">
      <c r="A54" s="745" t="str">
        <f ca="1">+Equipos!B27</f>
        <v>Egipto</v>
      </c>
      <c r="B54" s="742"/>
      <c r="C54" s="746"/>
      <c r="D54" s="744" t="str">
        <f t="shared" si="155"/>
        <v>Pendiente</v>
      </c>
      <c r="E54" s="744" t="str">
        <f t="shared" si="156"/>
        <v>-</v>
      </c>
      <c r="F54" s="744" t="str">
        <f t="shared" si="157"/>
        <v>-</v>
      </c>
      <c r="G54" s="744"/>
      <c r="H54" s="744" t="str">
        <f t="shared" si="158"/>
        <v>-</v>
      </c>
      <c r="I54" s="744" t="str">
        <f t="shared" si="159"/>
        <v>-</v>
      </c>
      <c r="J54" s="744"/>
      <c r="K54" s="744" t="str">
        <f t="shared" si="160"/>
        <v>-</v>
      </c>
      <c r="L54" s="744" t="str">
        <f t="shared" si="161"/>
        <v>-</v>
      </c>
      <c r="M54" s="744"/>
      <c r="N54" s="744" t="str">
        <f t="shared" si="162"/>
        <v>-</v>
      </c>
      <c r="O54" s="744" t="str">
        <f t="shared" si="163"/>
        <v>-</v>
      </c>
      <c r="P54" s="744"/>
      <c r="Q54" s="744" t="str">
        <f t="shared" si="164"/>
        <v>-</v>
      </c>
      <c r="R54" s="744" t="str">
        <f t="shared" si="165"/>
        <v>-</v>
      </c>
      <c r="S54" s="744"/>
      <c r="T54" s="744" t="str">
        <f t="shared" si="166"/>
        <v>-</v>
      </c>
      <c r="U54" s="744" t="str">
        <f t="shared" si="167"/>
        <v>-</v>
      </c>
      <c r="V54" s="172"/>
      <c r="W54" s="841"/>
      <c r="X54" s="189">
        <f ca="1">Horarios!C54</f>
        <v>46194.875</v>
      </c>
      <c r="Y54" s="190">
        <f ca="1">Horarios!C54</f>
        <v>46194.875</v>
      </c>
      <c r="Z54" s="191" t="str">
        <f>$Z$6</f>
        <v>J2</v>
      </c>
      <c r="AA54" s="192" t="str">
        <f ca="1">A53</f>
        <v>Bélgica</v>
      </c>
      <c r="AB54" s="478" t="e" cm="1" vm="25">
        <f t="array" aca="1" ref="AB54" ca="1">Ver_flag_local</f>
        <v>#VALUE!</v>
      </c>
      <c r="AC54" s="193"/>
      <c r="AD54" s="194"/>
      <c r="AE54" s="483" t="e" cm="1" vm="27">
        <f t="array" aca="1" ref="AE54" ca="1">Ver_flag_visit</f>
        <v>#VALUE!</v>
      </c>
      <c r="AF54" s="195" t="str">
        <f ca="1">A55</f>
        <v>Irán</v>
      </c>
      <c r="AG54" s="413">
        <f t="shared" si="168"/>
        <v>0</v>
      </c>
      <c r="AH54" s="196">
        <v>39</v>
      </c>
      <c r="AI54" s="19" t="str">
        <f>AJ54&amp;$B$52</f>
        <v>1G</v>
      </c>
      <c r="AJ54" s="211">
        <v>1</v>
      </c>
      <c r="AK54" s="488" t="e" cm="1" vm="27">
        <f t="array" aca="1" ref="AK54" ca="1">Ver_flag_visit</f>
        <v>#VALUE!</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Pendiente</v>
      </c>
      <c r="E55" s="744" t="str">
        <f t="shared" si="156"/>
        <v>-</v>
      </c>
      <c r="F55" s="744" t="str">
        <f t="shared" si="157"/>
        <v>-</v>
      </c>
      <c r="G55" s="744"/>
      <c r="H55" s="744" t="str">
        <f t="shared" si="158"/>
        <v>-</v>
      </c>
      <c r="I55" s="744" t="str">
        <f t="shared" si="159"/>
        <v>-</v>
      </c>
      <c r="J55" s="744"/>
      <c r="K55" s="744" t="str">
        <f t="shared" si="160"/>
        <v>-</v>
      </c>
      <c r="L55" s="744" t="str">
        <f t="shared" si="161"/>
        <v>-</v>
      </c>
      <c r="M55" s="744"/>
      <c r="N55" s="744" t="str">
        <f t="shared" si="162"/>
        <v>-</v>
      </c>
      <c r="O55" s="744" t="str">
        <f t="shared" si="163"/>
        <v>-</v>
      </c>
      <c r="P55" s="744"/>
      <c r="Q55" s="744" t="str">
        <f t="shared" si="164"/>
        <v>-</v>
      </c>
      <c r="R55" s="744" t="str">
        <f t="shared" si="165"/>
        <v>-</v>
      </c>
      <c r="S55" s="744"/>
      <c r="T55" s="744" t="str">
        <f t="shared" si="166"/>
        <v>-</v>
      </c>
      <c r="U55" s="744" t="str">
        <f t="shared" si="167"/>
        <v>-</v>
      </c>
      <c r="V55" s="172"/>
      <c r="W55" s="841"/>
      <c r="X55" s="189">
        <f ca="1">Horarios!C55</f>
        <v>46195.125</v>
      </c>
      <c r="Y55" s="190">
        <f ca="1">Horarios!C55</f>
        <v>46195.125</v>
      </c>
      <c r="Z55" s="191" t="str">
        <f>$Z$6</f>
        <v>J2</v>
      </c>
      <c r="AA55" s="192" t="str">
        <f ca="1">A56</f>
        <v>Nueva Zelanda</v>
      </c>
      <c r="AB55" s="478" t="e" cm="1" vm="28">
        <f t="array" aca="1" ref="AB55" ca="1">Ver_flag_local</f>
        <v>#VALUE!</v>
      </c>
      <c r="AC55" s="193"/>
      <c r="AD55" s="194"/>
      <c r="AE55" s="483" t="e" cm="1" vm="26">
        <f t="array" aca="1" ref="AE55" ca="1">Ver_flag_visit</f>
        <v>#VALUE!</v>
      </c>
      <c r="AF55" s="195" t="str">
        <f ca="1">A54</f>
        <v>Egipto</v>
      </c>
      <c r="AG55" s="413">
        <f t="shared" si="168"/>
        <v>0</v>
      </c>
      <c r="AH55" s="196">
        <v>40</v>
      </c>
      <c r="AI55" s="19" t="str">
        <f t="shared" ref="AI55:AI57" si="173">AJ55&amp;$B$52</f>
        <v>2G</v>
      </c>
      <c r="AJ55" s="221">
        <v>2</v>
      </c>
      <c r="AK55" s="486" t="e" cm="1" vm="28">
        <f t="array" aca="1" ref="AK55" ca="1">Ver_flag_visit</f>
        <v>#VALUE!</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Pendiente</v>
      </c>
      <c r="E56" s="744" t="str">
        <f t="shared" si="156"/>
        <v>-</v>
      </c>
      <c r="F56" s="744" t="str">
        <f t="shared" si="157"/>
        <v>-</v>
      </c>
      <c r="G56" s="744"/>
      <c r="H56" s="744" t="str">
        <f t="shared" si="158"/>
        <v>-</v>
      </c>
      <c r="I56" s="744" t="str">
        <f t="shared" si="159"/>
        <v>-</v>
      </c>
      <c r="J56" s="744"/>
      <c r="K56" s="744" t="str">
        <f t="shared" si="160"/>
        <v>-</v>
      </c>
      <c r="L56" s="744" t="str">
        <f t="shared" si="161"/>
        <v>-</v>
      </c>
      <c r="M56" s="744"/>
      <c r="N56" s="744" t="str">
        <f t="shared" si="162"/>
        <v>-</v>
      </c>
      <c r="O56" s="744" t="str">
        <f t="shared" si="163"/>
        <v>-</v>
      </c>
      <c r="P56" s="744"/>
      <c r="Q56" s="744" t="str">
        <f t="shared" si="164"/>
        <v>-</v>
      </c>
      <c r="R56" s="744" t="str">
        <f t="shared" si="165"/>
        <v>-</v>
      </c>
      <c r="S56" s="744"/>
      <c r="T56" s="744" t="str">
        <f t="shared" si="166"/>
        <v>-</v>
      </c>
      <c r="U56" s="744" t="str">
        <f t="shared" si="167"/>
        <v>-</v>
      </c>
      <c r="V56" s="172"/>
      <c r="W56" s="841"/>
      <c r="X56" s="189">
        <f ca="1">Horarios!C56</f>
        <v>46200.208333333336</v>
      </c>
      <c r="Y56" s="190">
        <f ca="1">Horarios!C56</f>
        <v>46200.208333333336</v>
      </c>
      <c r="Z56" s="191" t="str">
        <f>$Z$8</f>
        <v>J3</v>
      </c>
      <c r="AA56" s="192" t="str">
        <f ca="1">A54</f>
        <v>Egipto</v>
      </c>
      <c r="AB56" s="478" t="e" cm="1" vm="26">
        <f t="array" aca="1" ref="AB56" ca="1">Ver_flag_local</f>
        <v>#VALUE!</v>
      </c>
      <c r="AC56" s="193"/>
      <c r="AD56" s="194"/>
      <c r="AE56" s="483" t="e" cm="1" vm="27">
        <f t="array" aca="1" ref="AE56" ca="1">Ver_flag_visit</f>
        <v>#VALUE!</v>
      </c>
      <c r="AF56" s="195" t="str">
        <f ca="1">A55</f>
        <v>Irán</v>
      </c>
      <c r="AG56" s="413">
        <f t="shared" si="168"/>
        <v>0</v>
      </c>
      <c r="AH56" s="196">
        <v>63</v>
      </c>
      <c r="AI56" s="19" t="str">
        <f t="shared" si="173"/>
        <v>3G</v>
      </c>
      <c r="AJ56" s="221">
        <v>3</v>
      </c>
      <c r="AK56" s="486" t="e" cm="1" vm="25">
        <f t="array" aca="1" ref="AK56" ca="1">Ver_flag_visit</f>
        <v>#VALUE!</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Pendiente</v>
      </c>
      <c r="E57" s="744" t="str">
        <f t="shared" si="156"/>
        <v>-</v>
      </c>
      <c r="F57" s="744" t="str">
        <f t="shared" si="157"/>
        <v>-</v>
      </c>
      <c r="G57" s="744"/>
      <c r="H57" s="744" t="str">
        <f t="shared" si="158"/>
        <v>-</v>
      </c>
      <c r="I57" s="744" t="str">
        <f t="shared" si="159"/>
        <v>-</v>
      </c>
      <c r="J57" s="744"/>
      <c r="K57" s="744" t="str">
        <f t="shared" si="160"/>
        <v>-</v>
      </c>
      <c r="L57" s="744" t="str">
        <f t="shared" si="161"/>
        <v>-</v>
      </c>
      <c r="M57" s="744"/>
      <c r="N57" s="744" t="str">
        <f t="shared" si="162"/>
        <v>-</v>
      </c>
      <c r="O57" s="744" t="str">
        <f t="shared" si="163"/>
        <v>-</v>
      </c>
      <c r="P57" s="744"/>
      <c r="Q57" s="744" t="str">
        <f t="shared" si="164"/>
        <v>-</v>
      </c>
      <c r="R57" s="744" t="str">
        <f t="shared" si="165"/>
        <v>-</v>
      </c>
      <c r="S57" s="744"/>
      <c r="T57" s="744" t="str">
        <f t="shared" si="166"/>
        <v>-</v>
      </c>
      <c r="U57" s="744" t="str">
        <f t="shared" si="167"/>
        <v>-</v>
      </c>
      <c r="V57" s="172"/>
      <c r="W57" s="842"/>
      <c r="X57" s="228">
        <f ca="1">Horarios!C57</f>
        <v>46200.208333333336</v>
      </c>
      <c r="Y57" s="229">
        <f ca="1">Horarios!C57</f>
        <v>46200.208333333336</v>
      </c>
      <c r="Z57" s="230" t="str">
        <f>$Z$8</f>
        <v>J3</v>
      </c>
      <c r="AA57" s="231" t="str">
        <f ca="1">A56</f>
        <v>Nueva Zelanda</v>
      </c>
      <c r="AB57" s="479" t="e" cm="1" vm="28">
        <f t="array" aca="1" ref="AB57" ca="1">Ver_flag_local</f>
        <v>#VALUE!</v>
      </c>
      <c r="AC57" s="232"/>
      <c r="AD57" s="233"/>
      <c r="AE57" s="484" t="e" cm="1" vm="25">
        <f t="array" aca="1" ref="AE57" ca="1">Ver_flag_visit</f>
        <v>#VALUE!</v>
      </c>
      <c r="AF57" s="234" t="str">
        <f ca="1">A53</f>
        <v>Bélgica</v>
      </c>
      <c r="AG57" s="413">
        <f t="shared" si="168"/>
        <v>0</v>
      </c>
      <c r="AH57" s="196">
        <v>64</v>
      </c>
      <c r="AI57" s="19" t="str">
        <f t="shared" si="173"/>
        <v>4G</v>
      </c>
      <c r="AJ57" s="235">
        <v>4</v>
      </c>
      <c r="AK57" s="487" t="e" cm="1" vm="26">
        <f t="array" aca="1" ref="AK57" ca="1">Ver_flag_visit</f>
        <v>#VALUE!</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República Checa</v>
      </c>
      <c r="BE58" s="748">
        <f ca="1">CHOOSE($BB$57,
  (BG58*3 + BH58)+IF($AZ$3="No",0,INDEX($AZ$6:$AZ$97,MATCH(BD58,$AY$6:$AY$97,0))),
  (BG58*3 + BH58)+IF($AZ$3="No",0,INDEX($AZ$6:$AZ$97,MATCH(BD58,$AY$6:$AY$97,0))),
  IFERROR((BG58*3 + BH58+IF($AZ$3="No",0,INDEX($AZ$6:$AZ$97,MATCH(BD58,$AY$6:$AY$97,0)))) / BF58, 0)
)</f>
        <v>0</v>
      </c>
      <c r="BF58" s="748">
        <f ca="1">+BG58+BH58+BI58</f>
        <v>1</v>
      </c>
      <c r="BG58" s="748">
        <f ca="1">CHOOSE(IF($BB$57=2, 2, 1),INDEX($BG$6:$BG$53,MATCH($BB58,$BN$6:$BN$53,0)),
  INDEX($BG$6:$BG$53,MATCH($BB58,$BN$6:$BN$53,0))-(COUNTIFS(FGLocal,$BD58,FGVisitante,INDEX($BD$6:$BD$53,MATCH(BO58,$BN$6:$BN$53,0)),Ganador,"Local")+COUNTIFS(FGVisitante,$BD58,FGLocal,INDEX($BD$6:$BD$53,MATCH(BO58,$BN$6:$BN$53,0)),Ganador,"Visitante"))
)</f>
        <v>0</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1</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8">
        <f ca="1">BJ58-BK58</f>
        <v>-1</v>
      </c>
      <c r="BM58" s="748">
        <f ca="1">CB58</f>
        <v>7</v>
      </c>
      <c r="BN58" s="748">
        <f ca="1">CF58</f>
        <v>7</v>
      </c>
      <c r="BO58" s="738" t="str">
        <f>"4"&amp;BC58</f>
        <v>4A</v>
      </c>
      <c r="BP58" s="738"/>
      <c r="BQ58" s="738"/>
      <c r="BR58" s="748">
        <f t="shared" ref="BR58:BR69" ca="1" si="179">+BE58</f>
        <v>0</v>
      </c>
      <c r="BS58" s="748">
        <f ca="1">COUNTIFS(BR$58:BR$69,"&gt;"&amp;BR58)+1</f>
        <v>7</v>
      </c>
      <c r="BT58" s="748" t="str">
        <f ca="1">IF(COUNTIF(BS$58:BS$69,BS58)=1,"-","Pos. "&amp;BS58&amp;" ("&amp;COUNTIF(BS$58:BS$69,BS58)&amp;")")</f>
        <v>Pos. 7 (6)</v>
      </c>
      <c r="BU58" s="748">
        <f t="shared" ref="BU58:BU69" ca="1" si="180">IF(BT58="-","-",BL58)</f>
        <v>-1</v>
      </c>
      <c r="BV58" s="748">
        <f t="shared" ref="BV58:BV69" ca="1" si="181">BS58+COUNTIFS(BT$58:BT$69,BT58,BU$58:BU$69,"&gt;"&amp;BU58)</f>
        <v>7</v>
      </c>
      <c r="BW58" s="748" t="str">
        <f t="shared" ref="BW58:BW69" ca="1" si="182">IF(COUNTIF(BV$58:BV$69,BV58)=1,"-","Pos. "&amp;BV58&amp;" ("&amp;COUNTIF(BV$58:BV$69,BV58)&amp;")")</f>
        <v>Pos. 7 (3)</v>
      </c>
      <c r="BX58" s="748">
        <f t="shared" ref="BX58:BX69" ca="1" si="183">IF(BW58="-","-",BJ58)</f>
        <v>1</v>
      </c>
      <c r="BY58" s="748">
        <f t="shared" ref="BY58:BY69" ca="1" si="184">BV58+COUNTIFS(BW$58:BW$69,BW58,BX$58:BX$69,"&gt;"&amp;BX58)</f>
        <v>7</v>
      </c>
      <c r="BZ58" s="748" t="str">
        <f t="shared" ref="BZ58:BZ69" ca="1" si="185">IF(COUNTIF(BY$58:BY$69,BY58)=1,"-","Pos. "&amp;BY58&amp;" ("&amp;COUNTIF(BY$58:BY$69,BY58)&amp;")")</f>
        <v>-</v>
      </c>
      <c r="CA58" s="748" t="str">
        <f ca="1">IF(BZ58="-","-",COUNTIF($BD$58:$BD$69,"&gt;"&amp;BD58))</f>
        <v>-</v>
      </c>
      <c r="CB58" s="748">
        <f ca="1">BY58+COUNTIFS(BZ$58:BZ$69,BZ58,CA$58:CA$69,"&gt;"&amp;CA58)</f>
        <v>7</v>
      </c>
      <c r="CC58" s="748"/>
      <c r="CD58" s="748">
        <f ca="1">IF(OR(INDEX($AW$102:$AW$113,MATCH($BD58,$AV$102:$AV$113,0))="",BZ58="-"),CB58,INDEX($AW$102:$AW$113,MATCH($BD58,$AV$102:$AV$113,0))+CB58/1000)</f>
        <v>7</v>
      </c>
      <c r="CE58" s="748" t="str">
        <f ca="1">IF(BZ58="-","-",COUNTIF(CD$58:CD$69,"&lt;"&amp;CD58))</f>
        <v>-</v>
      </c>
      <c r="CF58" s="748">
        <f ca="1">BY58+COUNTIFS(BZ$58:BZ$69,BZ58,CE$58:CE$69,"&lt;"&amp;CE58)</f>
        <v>7</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Japón</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Catar</v>
      </c>
      <c r="BE59" s="748">
        <f t="shared" ref="BE59:BE69" ca="1" si="189">CHOOSE($BB$57,
  (BG59*3 + BH59)+IF($AZ$3="No",0,INDEX($AZ$6:$AZ$97,MATCH(BD59,$AY$6:$AY$97,0))),
  (BG59*3 + BH59)+IF($AZ$3="No",0,INDEX($AZ$6:$AZ$97,MATCH(BD59,$AY$6:$AY$97,0))),
  IFERROR((BG59*3 + BH59+IF($AZ$3="No",0,INDEX($AZ$6:$AZ$97,MATCH(BD59,$AY$6:$AY$97,0)))) / BF59, 0)
)</f>
        <v>1</v>
      </c>
      <c r="BF59" s="748">
        <f t="shared" ref="BF59:BF69" ca="1" si="190">+BG59+BH59+BI59</f>
        <v>1</v>
      </c>
      <c r="BG59" s="748">
        <f t="shared" ref="BG59:BG69" ca="1" si="191">CHOOSE(IF($BB$57=2, 2, 1),
  INDEX($BG$6:$BG$53,MATCH($BB59,$BN$6:$BN$53,0)),
  INDEX($BG$6:$BG$53,MATCH($BB59,$BN$6:$BN$53,0))-(COUNTIFS(FGLocal,$BD59,FGVisitante,INDEX($BD$6:$BD$53,MATCH(BO59,$BN$6:$BN$53,0)),Ganador,"Local")+COUNTIFS(FGVisitante,$BD59,FGLocal,INDEX($BD$6:$BD$53,MATCH(BO59,$BN$6:$BN$53,0)),Ganador,"Visitante"))
)</f>
        <v>0</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0</v>
      </c>
      <c r="BJ59" s="748">
        <f t="shared" ca="1" si="177"/>
        <v>1</v>
      </c>
      <c r="BK59" s="748">
        <f t="shared" ca="1" si="178"/>
        <v>1</v>
      </c>
      <c r="BL59" s="748">
        <f t="shared" ref="BL59:BL69" ca="1" si="193">BJ59-BK59</f>
        <v>0</v>
      </c>
      <c r="BM59" s="748">
        <f t="shared" ref="BM59:BM69" ca="1" si="194">CB59</f>
        <v>3</v>
      </c>
      <c r="BN59" s="748">
        <f t="shared" ref="BN59:BN69" ca="1" si="195">CF59</f>
        <v>3</v>
      </c>
      <c r="BO59" s="738" t="str">
        <f t="shared" ref="BO59:BO69" si="196">"4"&amp;BC59</f>
        <v>4B</v>
      </c>
      <c r="BP59" s="738"/>
      <c r="BQ59" s="738"/>
      <c r="BR59" s="748">
        <f t="shared" ca="1" si="179"/>
        <v>1</v>
      </c>
      <c r="BS59" s="748">
        <f t="shared" ref="BS59:BS69" ca="1" si="197">COUNTIFS(BR$58:BR$69,"&gt;"&amp;BR59)+1</f>
        <v>1</v>
      </c>
      <c r="BT59" s="748" t="str">
        <f t="shared" ref="BT59:BT69" ca="1" si="198">IF(COUNTIF(BS$58:BS$69,BS59)=1,"-","Pos. "&amp;BS59&amp;" ("&amp;COUNTIF(BS$58:BS$69,BS59)&amp;")")</f>
        <v>Pos. 1 (6)</v>
      </c>
      <c r="BU59" s="748">
        <f t="shared" ca="1" si="180"/>
        <v>0</v>
      </c>
      <c r="BV59" s="748">
        <f t="shared" ca="1" si="181"/>
        <v>1</v>
      </c>
      <c r="BW59" s="748" t="str">
        <f t="shared" ca="1" si="182"/>
        <v>Pos. 1 (6)</v>
      </c>
      <c r="BX59" s="748">
        <f t="shared" ca="1" si="183"/>
        <v>1</v>
      </c>
      <c r="BY59" s="748">
        <f t="shared" ca="1" si="184"/>
        <v>2</v>
      </c>
      <c r="BZ59" s="748" t="str">
        <f t="shared" ca="1" si="185"/>
        <v>Pos. 2 (4)</v>
      </c>
      <c r="CA59" s="748">
        <f t="shared" ref="CA59:CA69" ca="1" si="199">IF(BZ59="-","-",COUNTIF($BD$58:$BD$69,"&gt;"&amp;BD59))</f>
        <v>10</v>
      </c>
      <c r="CB59" s="748">
        <f t="shared" ref="CB59:CB68" ca="1" si="200">BY59+COUNTIFS(BZ$58:BZ$69,BZ59,CA$58:CA$69,"&gt;"&amp;CA59)</f>
        <v>3</v>
      </c>
      <c r="CC59" s="748"/>
      <c r="CD59" s="748">
        <f t="shared" ref="CD59:CD69" ca="1" si="201">IF(OR(INDEX($AW$102:$AW$113,MATCH($BD59,$AV$102:$AV$113,0))="",BZ59="-"),CB59,INDEX($AW$102:$AW$113,MATCH($BD59,$AV$102:$AV$113,0))+CB59/1000)</f>
        <v>3</v>
      </c>
      <c r="CE59" s="748">
        <f t="shared" ref="CE59:CE69" ca="1" si="202">IF(BZ59="-","-",COUNTIF(CD$58:CD$69,"&lt;"&amp;CD59))</f>
        <v>2</v>
      </c>
      <c r="CF59" s="748">
        <f t="shared" ref="CF59:CF69" ca="1" si="203">BY59+COUNTIFS(BZ$58:BZ$69,BZ59,CE$58:CE$69,"&lt;"&amp;CE59)</f>
        <v>3</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Bélgica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P.1 (4)</v>
      </c>
      <c r="F60" s="744" t="str">
        <f t="shared" ref="F60:F65" ca="1" si="208">IF(D60="Pendiente","-",INDEX($BT$6:$BT$53,MATCH($AF60,$BD$6:$BD$53,0)))</f>
        <v>P.1 (4)</v>
      </c>
      <c r="G60" s="744"/>
      <c r="H60" s="744" t="str">
        <f t="shared" ref="H60:H65" ca="1" si="209">IF(D60="Pendiente","-",INDEX($BZ$6:$BZ$53,MATCH($AA60,$BD$6:$BD$53,0)))</f>
        <v>P.1 (4)</v>
      </c>
      <c r="I60" s="744" t="str">
        <f t="shared" ref="I60:I65" ca="1" si="210">IF(D60="Pendiente","-",INDEX($BZ$6:$BZ$53,MATCH($AF60,$BD$6:$BD$53,0)))</f>
        <v>P.1 (4)</v>
      </c>
      <c r="J60" s="744"/>
      <c r="K60" s="744" t="str">
        <f t="shared" ref="K60:K65" ca="1" si="211">IF(D60="Pendiente","-",INDEX($CE$6:$CE$53,MATCH($AA60,$BD$6:$BD$53,0)))</f>
        <v>P.1 (4)</v>
      </c>
      <c r="L60" s="744" t="str">
        <f t="shared" ref="L60:L65" ca="1" si="212">IF(D60="Pendiente","-",INDEX($CE$6:$CE$53,MATCH($AF60,$BD$6:$BD$53,0)))</f>
        <v>P.1 (4)</v>
      </c>
      <c r="M60" s="744"/>
      <c r="N60" s="744" t="str">
        <f t="shared" ref="N60:N65" ca="1" si="213">IF(D60="Pendiente","-",INDEX($CH$6:$CH$53,MATCH($AA60,$BD$6:$BD$53,0)))</f>
        <v>P.3 (2)</v>
      </c>
      <c r="O60" s="744" t="str">
        <f t="shared" ref="O60:O65" ca="1" si="214">IF(D60="Pendiente","-",INDEX($CH$6:$CH$53,MATCH($AF60,$BD$6:$BD$53,0)))</f>
        <v>P.3 (2)</v>
      </c>
      <c r="P60" s="744"/>
      <c r="Q60" s="744" t="str">
        <f t="shared" ref="Q60:Q65" ca="1" si="215">IF(D60="Pendiente","-",INDEX($CN$6:$CN$53,MATCH($AA60,$BD$6:$BD$53,0)))</f>
        <v>P.3 (2)</v>
      </c>
      <c r="R60" s="744" t="str">
        <f t="shared" ref="R60:R65" ca="1" si="216">IF(D60="Pendiente","-",INDEX($CN$6:$CN$53,MATCH($AF60,$BD$6:$BD$53,0)))</f>
        <v>P.3 (2)</v>
      </c>
      <c r="S60" s="744"/>
      <c r="T60" s="744" t="str">
        <f t="shared" ref="T60:T65" ca="1" si="217">IF(D60="Pendiente","-",INDEX($CS$6:$CS$53,MATCH($AA60,$BD$6:$BD$53,0)))</f>
        <v>P.3 (2)</v>
      </c>
      <c r="U60" s="744" t="str">
        <f t="shared" ref="U60:U65" ca="1" si="218">IF(D60="Pendiente","-",INDEX($CS$6:$CS$53,MATCH($AF60,$BD$6:$BD$53,0)))</f>
        <v>P.3 (2)</v>
      </c>
      <c r="V60" s="172"/>
      <c r="W60" s="823"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Marruecos</v>
      </c>
      <c r="BE60" s="748">
        <f t="shared" ca="1" si="189"/>
        <v>1</v>
      </c>
      <c r="BF60" s="748">
        <f t="shared" ca="1" si="190"/>
        <v>1</v>
      </c>
      <c r="BG60" s="748">
        <f t="shared" ca="1" si="191"/>
        <v>0</v>
      </c>
      <c r="BH60" s="748">
        <f t="shared" ca="1" si="192"/>
        <v>1</v>
      </c>
      <c r="BI60" s="748">
        <f t="shared" ca="1" si="176"/>
        <v>0</v>
      </c>
      <c r="BJ60" s="748">
        <f t="shared" ca="1" si="177"/>
        <v>1</v>
      </c>
      <c r="BK60" s="748">
        <f t="shared" ca="1" si="178"/>
        <v>1</v>
      </c>
      <c r="BL60" s="748">
        <f t="shared" ca="1" si="193"/>
        <v>0</v>
      </c>
      <c r="BM60" s="748">
        <f t="shared" ca="1" si="194"/>
        <v>4</v>
      </c>
      <c r="BN60" s="748">
        <f t="shared" ca="1" si="195"/>
        <v>4</v>
      </c>
      <c r="BO60" s="738" t="str">
        <f t="shared" si="196"/>
        <v>4C</v>
      </c>
      <c r="BP60" s="738"/>
      <c r="BQ60" s="738"/>
      <c r="BR60" s="748">
        <f t="shared" ca="1" si="179"/>
        <v>1</v>
      </c>
      <c r="BS60" s="748">
        <f t="shared" ca="1" si="197"/>
        <v>1</v>
      </c>
      <c r="BT60" s="748" t="str">
        <f t="shared" ca="1" si="198"/>
        <v>Pos. 1 (6)</v>
      </c>
      <c r="BU60" s="748">
        <f t="shared" ca="1" si="180"/>
        <v>0</v>
      </c>
      <c r="BV60" s="748">
        <f t="shared" ca="1" si="181"/>
        <v>1</v>
      </c>
      <c r="BW60" s="748" t="str">
        <f t="shared" ca="1" si="182"/>
        <v>Pos. 1 (6)</v>
      </c>
      <c r="BX60" s="748">
        <f t="shared" ca="1" si="183"/>
        <v>1</v>
      </c>
      <c r="BY60" s="748">
        <f t="shared" ca="1" si="184"/>
        <v>2</v>
      </c>
      <c r="BZ60" s="748" t="str">
        <f t="shared" ca="1" si="185"/>
        <v>Pos. 2 (4)</v>
      </c>
      <c r="CA60" s="748">
        <f t="shared" ca="1" si="199"/>
        <v>5</v>
      </c>
      <c r="CB60" s="748">
        <f t="shared" ca="1" si="200"/>
        <v>4</v>
      </c>
      <c r="CC60" s="748"/>
      <c r="CD60" s="748">
        <f t="shared" ca="1" si="201"/>
        <v>4</v>
      </c>
      <c r="CE60" s="748">
        <f t="shared" ca="1" si="202"/>
        <v>3</v>
      </c>
      <c r="CF60" s="748">
        <f t="shared" ca="1" si="203"/>
        <v>4</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2</v>
      </c>
      <c r="DK60" s="744"/>
      <c r="DL60" s="744">
        <f t="shared" ca="1" si="204"/>
        <v>1</v>
      </c>
      <c r="DM60" s="738" t="str">
        <f t="shared" ca="1" si="187"/>
        <v>2.1</v>
      </c>
      <c r="DN60" s="744" cm="1">
        <f t="array" aca="1" ref="DN60" ca="1">OFFSET(Horarios!$P$3,DJ60-1,0,DL60,1)</f>
        <v>2</v>
      </c>
      <c r="DO60" s="744"/>
      <c r="DP60" s="744">
        <v>3</v>
      </c>
      <c r="DQ60" s="744" t="str">
        <f t="shared" ca="1" si="205"/>
        <v>Catar</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P.1 (4)</v>
      </c>
      <c r="F61" s="744" t="str">
        <f t="shared" ca="1" si="208"/>
        <v>P.1 (4)</v>
      </c>
      <c r="G61" s="744"/>
      <c r="H61" s="744" t="str">
        <f t="shared" ca="1" si="209"/>
        <v>P.1 (4)</v>
      </c>
      <c r="I61" s="744" t="str">
        <f t="shared" ca="1" si="210"/>
        <v>P.1 (4)</v>
      </c>
      <c r="J61" s="744"/>
      <c r="K61" s="744" t="str">
        <f t="shared" ca="1" si="211"/>
        <v>P.1 (4)</v>
      </c>
      <c r="L61" s="744" t="str">
        <f t="shared" ca="1" si="212"/>
        <v>P.1 (4)</v>
      </c>
      <c r="M61" s="744"/>
      <c r="N61" s="744" t="str">
        <f t="shared" ca="1" si="213"/>
        <v>P.1 (2)</v>
      </c>
      <c r="O61" s="744" t="str">
        <f t="shared" ca="1" si="214"/>
        <v>P.1 (2)</v>
      </c>
      <c r="P61" s="744"/>
      <c r="Q61" s="744" t="str">
        <f t="shared" ca="1" si="215"/>
        <v>P.1 (2)</v>
      </c>
      <c r="R61" s="744" t="str">
        <f t="shared" ca="1" si="216"/>
        <v>P.1 (2)</v>
      </c>
      <c r="S61" s="744"/>
      <c r="T61" s="744" t="str">
        <f t="shared" ca="1" si="217"/>
        <v>P.1 (2)</v>
      </c>
      <c r="U61" s="744" t="str">
        <f t="shared" ca="1" si="218"/>
        <v>P.1 (2)</v>
      </c>
      <c r="V61" s="172"/>
      <c r="W61" s="823"/>
      <c r="X61" s="189">
        <f ca="1">Horarios!C61</f>
        <v>46189</v>
      </c>
      <c r="Y61" s="190">
        <f ca="1">Horarios!C61</f>
        <v>46189</v>
      </c>
      <c r="Z61" s="191" t="str">
        <f>$Z$4</f>
        <v>J1</v>
      </c>
      <c r="AA61" s="192" t="str">
        <f ca="1">A63</f>
        <v>Arabia Saudita</v>
      </c>
      <c r="AB61" s="478" t="e" cm="1" vm="31">
        <f t="array" aca="1" ref="AB61" ca="1">Ver_flag_local</f>
        <v>#VALUE!</v>
      </c>
      <c r="AC61" s="193">
        <v>1</v>
      </c>
      <c r="AD61" s="194">
        <v>1</v>
      </c>
      <c r="AE61" s="483" t="e" cm="1" vm="32">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Turquía</v>
      </c>
      <c r="BE61" s="748">
        <f t="shared" ca="1" si="189"/>
        <v>0</v>
      </c>
      <c r="BF61" s="748">
        <f t="shared" ca="1" si="190"/>
        <v>1</v>
      </c>
      <c r="BG61" s="748">
        <f t="shared" ca="1" si="191"/>
        <v>0</v>
      </c>
      <c r="BH61" s="748">
        <f t="shared" ca="1" si="192"/>
        <v>0</v>
      </c>
      <c r="BI61" s="748">
        <f t="shared" ca="1" si="176"/>
        <v>1</v>
      </c>
      <c r="BJ61" s="748">
        <f t="shared" ca="1" si="177"/>
        <v>0</v>
      </c>
      <c r="BK61" s="748">
        <f t="shared" ca="1" si="178"/>
        <v>2</v>
      </c>
      <c r="BL61" s="748">
        <f t="shared" ca="1" si="193"/>
        <v>-2</v>
      </c>
      <c r="BM61" s="748">
        <f t="shared" ca="1" si="194"/>
        <v>12</v>
      </c>
      <c r="BN61" s="748">
        <f t="shared" ca="1" si="195"/>
        <v>12</v>
      </c>
      <c r="BO61" s="738" t="str">
        <f t="shared" si="196"/>
        <v>4D</v>
      </c>
      <c r="BP61" s="738"/>
      <c r="BQ61" s="738"/>
      <c r="BR61" s="748">
        <f t="shared" ca="1" si="179"/>
        <v>0</v>
      </c>
      <c r="BS61" s="748">
        <f t="shared" ca="1" si="197"/>
        <v>7</v>
      </c>
      <c r="BT61" s="748" t="str">
        <f t="shared" ca="1" si="198"/>
        <v>Pos. 7 (6)</v>
      </c>
      <c r="BU61" s="748">
        <f t="shared" ca="1" si="180"/>
        <v>-2</v>
      </c>
      <c r="BV61" s="748">
        <f t="shared" ca="1" si="181"/>
        <v>10</v>
      </c>
      <c r="BW61" s="748" t="str">
        <f t="shared" ca="1" si="182"/>
        <v>Pos. 10 (3)</v>
      </c>
      <c r="BX61" s="748">
        <f t="shared" ca="1" si="183"/>
        <v>0</v>
      </c>
      <c r="BY61" s="748">
        <f t="shared" ca="1" si="184"/>
        <v>12</v>
      </c>
      <c r="BZ61" s="748" t="str">
        <f t="shared" ca="1" si="185"/>
        <v>-</v>
      </c>
      <c r="CA61" s="748" t="str">
        <f t="shared" ca="1" si="199"/>
        <v>-</v>
      </c>
      <c r="CB61" s="748">
        <f t="shared" ca="1" si="200"/>
        <v>12</v>
      </c>
      <c r="CC61" s="748"/>
      <c r="CD61" s="748">
        <f t="shared" ca="1" si="201"/>
        <v>12</v>
      </c>
      <c r="CE61" s="748" t="str">
        <f t="shared" ca="1" si="202"/>
        <v>-</v>
      </c>
      <c r="CF61" s="748">
        <f t="shared" ca="1" si="203"/>
        <v>12</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2</v>
      </c>
      <c r="DK61" s="744"/>
      <c r="DL61" s="744">
        <f t="shared" ca="1" si="204"/>
        <v>1</v>
      </c>
      <c r="DM61" s="738" t="str">
        <f t="shared" ca="1" si="187"/>
        <v>2.1</v>
      </c>
      <c r="DN61" s="744" cm="1">
        <f t="array" aca="1" ref="DN61" ca="1">OFFSET(Horarios!$P$3,DJ61-1,0,DL61,1)</f>
        <v>2</v>
      </c>
      <c r="DO61" s="744"/>
      <c r="DP61" s="744">
        <v>4</v>
      </c>
      <c r="DQ61" s="744" t="str">
        <f t="shared" ca="1" si="205"/>
        <v>Marruecos</v>
      </c>
      <c r="DR61" s="744"/>
      <c r="DS61" s="744"/>
      <c r="DT61" s="744" t="str">
        <f t="shared" ca="1" si="15"/>
        <v>Arabia Saudita-Uruguay</v>
      </c>
      <c r="DU61" s="744"/>
      <c r="DV61" s="744"/>
      <c r="DW61" s="8"/>
    </row>
    <row r="62" spans="1:127">
      <c r="A62" s="745" t="str">
        <f ca="1">+Equipos!B31</f>
        <v>Cabo Verde</v>
      </c>
      <c r="B62" s="742"/>
      <c r="C62" s="746"/>
      <c r="D62" s="744" t="str">
        <f t="shared" si="206"/>
        <v>Pendiente</v>
      </c>
      <c r="E62" s="744" t="str">
        <f t="shared" si="207"/>
        <v>-</v>
      </c>
      <c r="F62" s="744" t="str">
        <f t="shared" si="208"/>
        <v>-</v>
      </c>
      <c r="G62" s="744"/>
      <c r="H62" s="744" t="str">
        <f t="shared" si="209"/>
        <v>-</v>
      </c>
      <c r="I62" s="744" t="str">
        <f t="shared" si="210"/>
        <v>-</v>
      </c>
      <c r="J62" s="744"/>
      <c r="K62" s="744" t="str">
        <f t="shared" si="211"/>
        <v>-</v>
      </c>
      <c r="L62" s="744" t="str">
        <f t="shared" si="212"/>
        <v>-</v>
      </c>
      <c r="M62" s="744"/>
      <c r="N62" s="744" t="str">
        <f t="shared" si="213"/>
        <v>-</v>
      </c>
      <c r="O62" s="744" t="str">
        <f t="shared" si="214"/>
        <v>-</v>
      </c>
      <c r="P62" s="744"/>
      <c r="Q62" s="744" t="str">
        <f t="shared" si="215"/>
        <v>-</v>
      </c>
      <c r="R62" s="744" t="str">
        <f t="shared" si="216"/>
        <v>-</v>
      </c>
      <c r="S62" s="744"/>
      <c r="T62" s="744" t="str">
        <f t="shared" si="217"/>
        <v>-</v>
      </c>
      <c r="U62" s="744" t="str">
        <f t="shared" si="218"/>
        <v>-</v>
      </c>
      <c r="V62" s="172"/>
      <c r="W62" s="823"/>
      <c r="X62" s="189">
        <f ca="1">Horarios!C62</f>
        <v>46194.75</v>
      </c>
      <c r="Y62" s="190">
        <f ca="1">Horarios!C62</f>
        <v>46194.75</v>
      </c>
      <c r="Z62" s="191" t="str">
        <f>$Z$6</f>
        <v>J2</v>
      </c>
      <c r="AA62" s="192" t="str">
        <f ca="1">A61</f>
        <v>España</v>
      </c>
      <c r="AB62" s="478" t="e" cm="1" vm="29">
        <f t="array" aca="1" ref="AB62" ca="1">Ver_flag_local</f>
        <v>#VALUE!</v>
      </c>
      <c r="AC62" s="193"/>
      <c r="AD62" s="194"/>
      <c r="AE62" s="483" t="e" cm="1" vm="31">
        <f t="array" aca="1" ref="AE62" ca="1">Ver_flag_visit</f>
        <v>#VALUE!</v>
      </c>
      <c r="AF62" s="195" t="str">
        <f ca="1">A63</f>
        <v>Arabia Saudita</v>
      </c>
      <c r="AG62" s="413">
        <f t="shared" si="219"/>
        <v>0</v>
      </c>
      <c r="AH62" s="196">
        <v>38</v>
      </c>
      <c r="AI62" s="19" t="str">
        <f>AJ62&amp;$B$60</f>
        <v>1H</v>
      </c>
      <c r="AJ62" s="211">
        <v>1</v>
      </c>
      <c r="AK62" s="488" t="e" cm="1" vm="31">
        <f t="array" aca="1" ref="AK62" ca="1">Ver_flag_visit</f>
        <v>#VALUE!</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9" t="str">
        <f t="shared" si="188"/>
        <v>3E</v>
      </c>
      <c r="BC62" s="756" t="s">
        <v>3</v>
      </c>
      <c r="BD62" s="744" t="str">
        <f t="shared" ca="1" si="175"/>
        <v>Ecuador</v>
      </c>
      <c r="BE62" s="748">
        <f t="shared" ca="1" si="189"/>
        <v>0</v>
      </c>
      <c r="BF62" s="748">
        <f t="shared" ca="1" si="190"/>
        <v>1</v>
      </c>
      <c r="BG62" s="748">
        <f t="shared" ca="1" si="191"/>
        <v>0</v>
      </c>
      <c r="BH62" s="748">
        <f t="shared" ca="1" si="192"/>
        <v>0</v>
      </c>
      <c r="BI62" s="748">
        <f t="shared" ca="1" si="176"/>
        <v>1</v>
      </c>
      <c r="BJ62" s="748">
        <f t="shared" ca="1" si="177"/>
        <v>0</v>
      </c>
      <c r="BK62" s="748">
        <f t="shared" ca="1" si="178"/>
        <v>1</v>
      </c>
      <c r="BL62" s="748">
        <f t="shared" ca="1" si="193"/>
        <v>-1</v>
      </c>
      <c r="BM62" s="748">
        <f t="shared" ca="1" si="194"/>
        <v>8</v>
      </c>
      <c r="BN62" s="748">
        <f t="shared" ca="1" si="195"/>
        <v>8</v>
      </c>
      <c r="BO62" s="738" t="str">
        <f t="shared" si="196"/>
        <v>4E</v>
      </c>
      <c r="BP62" s="738"/>
      <c r="BQ62" s="738"/>
      <c r="BR62" s="748">
        <f t="shared" ca="1" si="179"/>
        <v>0</v>
      </c>
      <c r="BS62" s="748">
        <f t="shared" ca="1" si="197"/>
        <v>7</v>
      </c>
      <c r="BT62" s="748" t="str">
        <f t="shared" ca="1" si="198"/>
        <v>Pos. 7 (6)</v>
      </c>
      <c r="BU62" s="748">
        <f t="shared" ca="1" si="180"/>
        <v>-1</v>
      </c>
      <c r="BV62" s="748">
        <f t="shared" ca="1" si="181"/>
        <v>7</v>
      </c>
      <c r="BW62" s="748" t="str">
        <f t="shared" ca="1" si="182"/>
        <v>Pos. 7 (3)</v>
      </c>
      <c r="BX62" s="748">
        <f t="shared" ca="1" si="183"/>
        <v>0</v>
      </c>
      <c r="BY62" s="748">
        <f t="shared" ca="1" si="184"/>
        <v>8</v>
      </c>
      <c r="BZ62" s="748" t="str">
        <f t="shared" ca="1" si="185"/>
        <v>Pos. 8 (2)</v>
      </c>
      <c r="CA62" s="748">
        <f t="shared" ca="1" si="199"/>
        <v>9</v>
      </c>
      <c r="CB62" s="748">
        <f t="shared" ca="1" si="200"/>
        <v>8</v>
      </c>
      <c r="CC62" s="748"/>
      <c r="CD62" s="748">
        <f t="shared" ca="1" si="201"/>
        <v>8</v>
      </c>
      <c r="CE62" s="748">
        <f t="shared" ca="1" si="202"/>
        <v>7</v>
      </c>
      <c r="CF62" s="748">
        <f t="shared" ca="1" si="203"/>
        <v>8</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2</v>
      </c>
      <c r="DK62" s="744"/>
      <c r="DL62" s="744">
        <f t="shared" ca="1" si="204"/>
        <v>1</v>
      </c>
      <c r="DM62" s="738" t="str">
        <f t="shared" ca="1" si="187"/>
        <v>2.1</v>
      </c>
      <c r="DN62" s="744" cm="1">
        <f t="array" aca="1" ref="DN62" ca="1">OFFSET(Horarios!$P$3,DJ62-1,0,DL62,1)</f>
        <v>2</v>
      </c>
      <c r="DO62" s="744"/>
      <c r="DP62" s="744">
        <v>5</v>
      </c>
      <c r="DQ62" s="744" t="str">
        <f t="shared" ca="1" si="205"/>
        <v>RD Congo</v>
      </c>
      <c r="DR62" s="744"/>
      <c r="DS62" s="744"/>
      <c r="DT62" s="744" t="str">
        <f t="shared" ca="1" si="15"/>
        <v>España-Arabia Saudita</v>
      </c>
      <c r="DU62" s="744"/>
      <c r="DV62" s="744"/>
      <c r="DW62" s="8"/>
    </row>
    <row r="63" spans="1:127">
      <c r="A63" s="745" t="str">
        <f ca="1">+Equipos!B32</f>
        <v>Arabia Saudita</v>
      </c>
      <c r="B63" s="742"/>
      <c r="C63" s="744"/>
      <c r="D63" s="744" t="str">
        <f t="shared" si="206"/>
        <v>Pendiente</v>
      </c>
      <c r="E63" s="744" t="str">
        <f t="shared" si="207"/>
        <v>-</v>
      </c>
      <c r="F63" s="744" t="str">
        <f t="shared" si="208"/>
        <v>-</v>
      </c>
      <c r="G63" s="744"/>
      <c r="H63" s="744" t="str">
        <f t="shared" si="209"/>
        <v>-</v>
      </c>
      <c r="I63" s="744" t="str">
        <f t="shared" si="210"/>
        <v>-</v>
      </c>
      <c r="J63" s="744"/>
      <c r="K63" s="744" t="str">
        <f t="shared" si="211"/>
        <v>-</v>
      </c>
      <c r="L63" s="744" t="str">
        <f t="shared" si="212"/>
        <v>-</v>
      </c>
      <c r="M63" s="744"/>
      <c r="N63" s="744" t="str">
        <f t="shared" si="213"/>
        <v>-</v>
      </c>
      <c r="O63" s="744" t="str">
        <f t="shared" si="214"/>
        <v>-</v>
      </c>
      <c r="P63" s="744"/>
      <c r="Q63" s="744" t="str">
        <f t="shared" si="215"/>
        <v>-</v>
      </c>
      <c r="R63" s="744" t="str">
        <f t="shared" si="216"/>
        <v>-</v>
      </c>
      <c r="S63" s="744"/>
      <c r="T63" s="744" t="str">
        <f t="shared" si="217"/>
        <v>-</v>
      </c>
      <c r="U63" s="744" t="str">
        <f t="shared" si="218"/>
        <v>-</v>
      </c>
      <c r="V63" s="172"/>
      <c r="W63" s="823"/>
      <c r="X63" s="189">
        <f ca="1">Horarios!C63</f>
        <v>46195</v>
      </c>
      <c r="Y63" s="190">
        <f ca="1">Horarios!C63</f>
        <v>46195</v>
      </c>
      <c r="Z63" s="191" t="str">
        <f>$Z$6</f>
        <v>J2</v>
      </c>
      <c r="AA63" s="192" t="str">
        <f ca="1">A64</f>
        <v>Uruguay</v>
      </c>
      <c r="AB63" s="478" t="e" cm="1" vm="32">
        <f t="array" aca="1" ref="AB63" ca="1">Ver_flag_local</f>
        <v>#VALUE!</v>
      </c>
      <c r="AC63" s="193"/>
      <c r="AD63" s="194"/>
      <c r="AE63" s="483" t="e" cm="1" vm="30">
        <f t="array" aca="1" ref="AE63" ca="1">Ver_flag_visit</f>
        <v>#VALUE!</v>
      </c>
      <c r="AF63" s="195" t="str">
        <f ca="1">A62</f>
        <v>Cabo Verde</v>
      </c>
      <c r="AG63" s="413">
        <f t="shared" si="219"/>
        <v>0</v>
      </c>
      <c r="AH63" s="196">
        <v>37</v>
      </c>
      <c r="AI63" s="19" t="str">
        <f t="shared" ref="AI63:AI65" si="224">AJ63&amp;$B$60</f>
        <v>2H</v>
      </c>
      <c r="AJ63" s="221">
        <v>2</v>
      </c>
      <c r="AK63" s="486" t="e" cm="1" vm="32">
        <f t="array" aca="1" ref="AK63" ca="1">Ver_flag_visit</f>
        <v>#VALUE!</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9" t="str">
        <f t="shared" si="188"/>
        <v>3F</v>
      </c>
      <c r="BC63" s="756" t="s">
        <v>4</v>
      </c>
      <c r="BD63" s="744" t="str">
        <f t="shared" ca="1" si="175"/>
        <v>Japón</v>
      </c>
      <c r="BE63" s="748">
        <f t="shared" ca="1" si="189"/>
        <v>1</v>
      </c>
      <c r="BF63" s="748">
        <f t="shared" ca="1" si="190"/>
        <v>1</v>
      </c>
      <c r="BG63" s="748">
        <f t="shared" ca="1" si="191"/>
        <v>0</v>
      </c>
      <c r="BH63" s="748">
        <f t="shared" ca="1" si="192"/>
        <v>1</v>
      </c>
      <c r="BI63" s="748">
        <f t="shared" ca="1" si="176"/>
        <v>0</v>
      </c>
      <c r="BJ63" s="748">
        <f t="shared" ca="1" si="177"/>
        <v>2</v>
      </c>
      <c r="BK63" s="748">
        <f t="shared" ca="1" si="178"/>
        <v>2</v>
      </c>
      <c r="BL63" s="748">
        <f t="shared" ca="1" si="193"/>
        <v>0</v>
      </c>
      <c r="BM63" s="748">
        <f t="shared" ca="1" si="194"/>
        <v>1</v>
      </c>
      <c r="BN63" s="748">
        <f t="shared" ca="1" si="195"/>
        <v>1</v>
      </c>
      <c r="BO63" s="738" t="str">
        <f t="shared" si="196"/>
        <v>4F</v>
      </c>
      <c r="BP63" s="738"/>
      <c r="BQ63" s="738"/>
      <c r="BR63" s="748">
        <f t="shared" ca="1" si="179"/>
        <v>1</v>
      </c>
      <c r="BS63" s="748">
        <f t="shared" ca="1" si="197"/>
        <v>1</v>
      </c>
      <c r="BT63" s="748" t="str">
        <f t="shared" ca="1" si="198"/>
        <v>Pos. 1 (6)</v>
      </c>
      <c r="BU63" s="748">
        <f t="shared" ca="1" si="180"/>
        <v>0</v>
      </c>
      <c r="BV63" s="748">
        <f t="shared" ca="1" si="181"/>
        <v>1</v>
      </c>
      <c r="BW63" s="748" t="str">
        <f t="shared" ca="1" si="182"/>
        <v>Pos. 1 (6)</v>
      </c>
      <c r="BX63" s="748">
        <f t="shared" ca="1" si="183"/>
        <v>2</v>
      </c>
      <c r="BY63" s="748">
        <f t="shared" ca="1" si="184"/>
        <v>1</v>
      </c>
      <c r="BZ63" s="748" t="str">
        <f t="shared" ca="1" si="185"/>
        <v>-</v>
      </c>
      <c r="CA63" s="748" t="str">
        <f t="shared" ca="1" si="199"/>
        <v>-</v>
      </c>
      <c r="CB63" s="748">
        <f t="shared" ca="1" si="200"/>
        <v>1</v>
      </c>
      <c r="CC63" s="748"/>
      <c r="CD63" s="748">
        <f t="shared" ca="1" si="201"/>
        <v>1</v>
      </c>
      <c r="CE63" s="748" t="str">
        <f t="shared" ca="1" si="202"/>
        <v>-</v>
      </c>
      <c r="CF63" s="748">
        <f t="shared" ca="1" si="203"/>
        <v>1</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España</v>
      </c>
      <c r="DR63" s="744"/>
      <c r="DS63" s="744"/>
      <c r="DT63" s="744" t="str">
        <f t="shared" ca="1" si="15"/>
        <v>Uruguay-Cabo Verde</v>
      </c>
      <c r="DU63" s="744"/>
      <c r="DV63" s="744"/>
      <c r="DW63" s="8"/>
    </row>
    <row r="64" spans="1:127">
      <c r="A64" s="745" t="str">
        <f ca="1">+Equipos!B33</f>
        <v>Uruguay</v>
      </c>
      <c r="B64" s="742"/>
      <c r="C64" s="744"/>
      <c r="D64" s="744" t="str">
        <f t="shared" si="206"/>
        <v>Pendiente</v>
      </c>
      <c r="E64" s="744" t="str">
        <f t="shared" si="207"/>
        <v>-</v>
      </c>
      <c r="F64" s="744" t="str">
        <f t="shared" si="208"/>
        <v>-</v>
      </c>
      <c r="G64" s="744"/>
      <c r="H64" s="744" t="str">
        <f t="shared" si="209"/>
        <v>-</v>
      </c>
      <c r="I64" s="744" t="str">
        <f t="shared" si="210"/>
        <v>-</v>
      </c>
      <c r="J64" s="744"/>
      <c r="K64" s="744" t="str">
        <f t="shared" si="211"/>
        <v>-</v>
      </c>
      <c r="L64" s="744" t="str">
        <f t="shared" si="212"/>
        <v>-</v>
      </c>
      <c r="M64" s="744"/>
      <c r="N64" s="744" t="str">
        <f t="shared" si="213"/>
        <v>-</v>
      </c>
      <c r="O64" s="744" t="str">
        <f t="shared" si="214"/>
        <v>-</v>
      </c>
      <c r="P64" s="744"/>
      <c r="Q64" s="744" t="str">
        <f t="shared" si="215"/>
        <v>-</v>
      </c>
      <c r="R64" s="744" t="str">
        <f t="shared" si="216"/>
        <v>-</v>
      </c>
      <c r="S64" s="744"/>
      <c r="T64" s="744" t="str">
        <f t="shared" si="217"/>
        <v>-</v>
      </c>
      <c r="U64" s="744" t="str">
        <f t="shared" si="218"/>
        <v>-</v>
      </c>
      <c r="V64" s="172"/>
      <c r="W64" s="823"/>
      <c r="X64" s="189">
        <f ca="1">Horarios!C64</f>
        <v>46200.083333333336</v>
      </c>
      <c r="Y64" s="190">
        <f ca="1">Horarios!C64</f>
        <v>46200.083333333336</v>
      </c>
      <c r="Z64" s="191" t="str">
        <f>$Z$8</f>
        <v>J3</v>
      </c>
      <c r="AA64" s="192" t="str">
        <f ca="1">A62</f>
        <v>Cabo Verde</v>
      </c>
      <c r="AB64" s="478" t="e" cm="1" vm="30">
        <f t="array" aca="1" ref="AB64" ca="1">Ver_flag_local</f>
        <v>#VALUE!</v>
      </c>
      <c r="AC64" s="193"/>
      <c r="AD64" s="194"/>
      <c r="AE64" s="483" t="e" cm="1" vm="31">
        <f t="array" aca="1" ref="AE64" ca="1">Ver_flag_visit</f>
        <v>#VALUE!</v>
      </c>
      <c r="AF64" s="195" t="str">
        <f ca="1">A63</f>
        <v>Arabia Saudita</v>
      </c>
      <c r="AG64" s="413">
        <f t="shared" si="219"/>
        <v>0</v>
      </c>
      <c r="AH64" s="196">
        <v>65</v>
      </c>
      <c r="AI64" s="19" t="str">
        <f t="shared" si="224"/>
        <v>3H</v>
      </c>
      <c r="AJ64" s="221">
        <v>3</v>
      </c>
      <c r="AK64" s="486" t="e" cm="1" vm="29">
        <f t="array" aca="1" ref="AK64" ca="1">Ver_flag_visit</f>
        <v>#VALUE!</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9" t="str">
        <f t="shared" si="188"/>
        <v>3G</v>
      </c>
      <c r="BC64" s="756" t="s">
        <v>6</v>
      </c>
      <c r="BD64" s="744" t="str">
        <f t="shared" ca="1" si="175"/>
        <v>Bélgica</v>
      </c>
      <c r="BE64" s="748">
        <f t="shared" ca="1" si="189"/>
        <v>1</v>
      </c>
      <c r="BF64" s="748">
        <f t="shared" ca="1" si="190"/>
        <v>1</v>
      </c>
      <c r="BG64" s="748">
        <f t="shared" ca="1" si="191"/>
        <v>0</v>
      </c>
      <c r="BH64" s="748">
        <f t="shared" ca="1" si="192"/>
        <v>1</v>
      </c>
      <c r="BI64" s="748">
        <f t="shared" ca="1" si="176"/>
        <v>0</v>
      </c>
      <c r="BJ64" s="748">
        <f t="shared" ca="1" si="177"/>
        <v>1</v>
      </c>
      <c r="BK64" s="748">
        <f t="shared" ca="1" si="178"/>
        <v>1</v>
      </c>
      <c r="BL64" s="748">
        <f t="shared" ca="1" si="193"/>
        <v>0</v>
      </c>
      <c r="BM64" s="748">
        <f t="shared" ca="1" si="194"/>
        <v>2</v>
      </c>
      <c r="BN64" s="748">
        <f t="shared" ca="1" si="195"/>
        <v>2</v>
      </c>
      <c r="BO64" s="738" t="str">
        <f t="shared" si="196"/>
        <v>4G</v>
      </c>
      <c r="BP64" s="738"/>
      <c r="BQ64" s="738"/>
      <c r="BR64" s="748">
        <f t="shared" ca="1" si="179"/>
        <v>1</v>
      </c>
      <c r="BS64" s="748">
        <f t="shared" ca="1" si="197"/>
        <v>1</v>
      </c>
      <c r="BT64" s="748" t="str">
        <f t="shared" ca="1" si="198"/>
        <v>Pos. 1 (6)</v>
      </c>
      <c r="BU64" s="748">
        <f t="shared" ca="1" si="180"/>
        <v>0</v>
      </c>
      <c r="BV64" s="748">
        <f t="shared" ca="1" si="181"/>
        <v>1</v>
      </c>
      <c r="BW64" s="748" t="str">
        <f t="shared" ca="1" si="182"/>
        <v>Pos. 1 (6)</v>
      </c>
      <c r="BX64" s="748">
        <f t="shared" ca="1" si="183"/>
        <v>1</v>
      </c>
      <c r="BY64" s="748">
        <f t="shared" ca="1" si="184"/>
        <v>2</v>
      </c>
      <c r="BZ64" s="748" t="str">
        <f t="shared" ca="1" si="185"/>
        <v>Pos. 2 (4)</v>
      </c>
      <c r="CA64" s="748">
        <f t="shared" ca="1" si="199"/>
        <v>11</v>
      </c>
      <c r="CB64" s="748">
        <f t="shared" ca="1" si="200"/>
        <v>2</v>
      </c>
      <c r="CC64" s="748"/>
      <c r="CD64" s="748">
        <f t="shared" ca="1" si="201"/>
        <v>2</v>
      </c>
      <c r="CE64" s="748">
        <f t="shared" ca="1" si="202"/>
        <v>1</v>
      </c>
      <c r="CF64" s="748">
        <f t="shared" ca="1" si="203"/>
        <v>2</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República Checa</v>
      </c>
      <c r="DR64" s="744"/>
      <c r="DS64" s="744"/>
      <c r="DT64" s="744" t="str">
        <f t="shared" ca="1" si="15"/>
        <v>Cabo Verde-Arabia Saudita</v>
      </c>
      <c r="DU64" s="744"/>
      <c r="DV64" s="744"/>
      <c r="DW64" s="8"/>
    </row>
    <row r="65" spans="1:127" ht="15" thickBot="1">
      <c r="A65" s="739"/>
      <c r="B65" s="742"/>
      <c r="C65" s="739"/>
      <c r="D65" s="744" t="str">
        <f t="shared" si="206"/>
        <v>Pendiente</v>
      </c>
      <c r="E65" s="744" t="str">
        <f t="shared" si="207"/>
        <v>-</v>
      </c>
      <c r="F65" s="744" t="str">
        <f t="shared" si="208"/>
        <v>-</v>
      </c>
      <c r="G65" s="744"/>
      <c r="H65" s="744" t="str">
        <f t="shared" si="209"/>
        <v>-</v>
      </c>
      <c r="I65" s="744" t="str">
        <f t="shared" si="210"/>
        <v>-</v>
      </c>
      <c r="J65" s="744"/>
      <c r="K65" s="744" t="str">
        <f t="shared" si="211"/>
        <v>-</v>
      </c>
      <c r="L65" s="744" t="str">
        <f t="shared" si="212"/>
        <v>-</v>
      </c>
      <c r="M65" s="744"/>
      <c r="N65" s="744" t="str">
        <f t="shared" si="213"/>
        <v>-</v>
      </c>
      <c r="O65" s="744" t="str">
        <f t="shared" si="214"/>
        <v>-</v>
      </c>
      <c r="P65" s="744"/>
      <c r="Q65" s="744" t="str">
        <f t="shared" si="215"/>
        <v>-</v>
      </c>
      <c r="R65" s="744" t="str">
        <f t="shared" si="216"/>
        <v>-</v>
      </c>
      <c r="S65" s="744"/>
      <c r="T65" s="744" t="str">
        <f t="shared" si="217"/>
        <v>-</v>
      </c>
      <c r="U65" s="744" t="str">
        <f t="shared" si="218"/>
        <v>-</v>
      </c>
      <c r="V65" s="172"/>
      <c r="W65" s="824"/>
      <c r="X65" s="228">
        <f ca="1">Horarios!C65</f>
        <v>46200.083333333336</v>
      </c>
      <c r="Y65" s="229">
        <f ca="1">Horarios!C65</f>
        <v>46200.083333333336</v>
      </c>
      <c r="Z65" s="230" t="str">
        <f>$Z$8</f>
        <v>J3</v>
      </c>
      <c r="AA65" s="231" t="str">
        <f ca="1">A64</f>
        <v>Uruguay</v>
      </c>
      <c r="AB65" s="479" t="e" cm="1" vm="32">
        <f t="array" aca="1" ref="AB65" ca="1">Ver_flag_local</f>
        <v>#VALUE!</v>
      </c>
      <c r="AC65" s="232"/>
      <c r="AD65" s="233"/>
      <c r="AE65" s="484" t="e" cm="1" vm="29">
        <f t="array" aca="1" ref="AE65" ca="1">Ver_flag_visit</f>
        <v>#VALUE!</v>
      </c>
      <c r="AF65" s="234" t="str">
        <f ca="1">A61</f>
        <v>España</v>
      </c>
      <c r="AG65" s="413">
        <f t="shared" si="219"/>
        <v>0</v>
      </c>
      <c r="AH65" s="196">
        <v>66</v>
      </c>
      <c r="AI65" s="19" t="str">
        <f t="shared" si="224"/>
        <v>4H</v>
      </c>
      <c r="AJ65" s="235">
        <v>4</v>
      </c>
      <c r="AK65" s="487" t="e" cm="1" vm="30">
        <f t="array" aca="1" ref="AK65" ca="1">Ver_flag_visit</f>
        <v>#VALUE!</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9" t="str">
        <f t="shared" si="188"/>
        <v>3H</v>
      </c>
      <c r="BC65" s="756" t="s">
        <v>437</v>
      </c>
      <c r="BD65" s="744" t="str">
        <f t="shared" ca="1" si="175"/>
        <v>España</v>
      </c>
      <c r="BE65" s="748">
        <f t="shared" ca="1" si="189"/>
        <v>1</v>
      </c>
      <c r="BF65" s="748">
        <f t="shared" ca="1" si="190"/>
        <v>1</v>
      </c>
      <c r="BG65" s="748">
        <f t="shared" ca="1" si="191"/>
        <v>0</v>
      </c>
      <c r="BH65" s="748">
        <f t="shared" ca="1" si="192"/>
        <v>1</v>
      </c>
      <c r="BI65" s="748">
        <f t="shared" ca="1" si="176"/>
        <v>0</v>
      </c>
      <c r="BJ65" s="748">
        <f t="shared" ca="1" si="177"/>
        <v>0</v>
      </c>
      <c r="BK65" s="748">
        <f t="shared" ca="1" si="178"/>
        <v>0</v>
      </c>
      <c r="BL65" s="748">
        <f t="shared" ca="1" si="193"/>
        <v>0</v>
      </c>
      <c r="BM65" s="748">
        <f t="shared" ca="1" si="194"/>
        <v>6</v>
      </c>
      <c r="BN65" s="748">
        <f t="shared" ca="1" si="195"/>
        <v>6</v>
      </c>
      <c r="BO65" s="738" t="str">
        <f t="shared" si="196"/>
        <v>4H</v>
      </c>
      <c r="BP65" s="738"/>
      <c r="BQ65" s="738"/>
      <c r="BR65" s="748">
        <f t="shared" ca="1" si="179"/>
        <v>1</v>
      </c>
      <c r="BS65" s="748">
        <f t="shared" ca="1" si="197"/>
        <v>1</v>
      </c>
      <c r="BT65" s="748" t="str">
        <f t="shared" ca="1" si="198"/>
        <v>Pos. 1 (6)</v>
      </c>
      <c r="BU65" s="748">
        <f t="shared" ca="1" si="180"/>
        <v>0</v>
      </c>
      <c r="BV65" s="748">
        <f t="shared" ca="1" si="181"/>
        <v>1</v>
      </c>
      <c r="BW65" s="748" t="str">
        <f t="shared" ca="1" si="182"/>
        <v>Pos. 1 (6)</v>
      </c>
      <c r="BX65" s="748">
        <f t="shared" ca="1" si="183"/>
        <v>0</v>
      </c>
      <c r="BY65" s="748">
        <f t="shared" ca="1" si="184"/>
        <v>6</v>
      </c>
      <c r="BZ65" s="748" t="str">
        <f t="shared" ca="1" si="185"/>
        <v>-</v>
      </c>
      <c r="CA65" s="748" t="str">
        <f t="shared" ca="1" si="199"/>
        <v>-</v>
      </c>
      <c r="CB65" s="748">
        <f t="shared" ca="1" si="200"/>
        <v>6</v>
      </c>
      <c r="CC65" s="748"/>
      <c r="CD65" s="748">
        <f t="shared" ca="1" si="201"/>
        <v>6</v>
      </c>
      <c r="CE65" s="748" t="str">
        <f t="shared" ca="1" si="202"/>
        <v>-</v>
      </c>
      <c r="CF65" s="748">
        <f t="shared" ca="1" si="203"/>
        <v>6</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Ecuador</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0</v>
      </c>
      <c r="BF66" s="748">
        <f t="shared" ca="1" si="190"/>
        <v>1</v>
      </c>
      <c r="BG66" s="748">
        <f t="shared" ca="1" si="191"/>
        <v>0</v>
      </c>
      <c r="BH66" s="748">
        <f t="shared" ca="1" si="192"/>
        <v>0</v>
      </c>
      <c r="BI66" s="748">
        <f t="shared" ca="1" si="176"/>
        <v>1</v>
      </c>
      <c r="BJ66" s="748">
        <f t="shared" ca="1" si="177"/>
        <v>1</v>
      </c>
      <c r="BK66" s="748">
        <f t="shared" ca="1" si="178"/>
        <v>3</v>
      </c>
      <c r="BL66" s="748">
        <f t="shared" ca="1" si="193"/>
        <v>-2</v>
      </c>
      <c r="BM66" s="748">
        <f t="shared" ca="1" si="194"/>
        <v>11</v>
      </c>
      <c r="BN66" s="748">
        <f t="shared" ca="1" si="195"/>
        <v>11</v>
      </c>
      <c r="BO66" s="738" t="str">
        <f t="shared" si="196"/>
        <v>4I</v>
      </c>
      <c r="BP66" s="738"/>
      <c r="BQ66" s="738"/>
      <c r="BR66" s="748">
        <f t="shared" ca="1" si="179"/>
        <v>0</v>
      </c>
      <c r="BS66" s="748">
        <f t="shared" ca="1" si="197"/>
        <v>7</v>
      </c>
      <c r="BT66" s="748" t="str">
        <f t="shared" ca="1" si="198"/>
        <v>Pos. 7 (6)</v>
      </c>
      <c r="BU66" s="748">
        <f t="shared" ca="1" si="180"/>
        <v>-2</v>
      </c>
      <c r="BV66" s="748">
        <f t="shared" ca="1" si="181"/>
        <v>10</v>
      </c>
      <c r="BW66" s="748" t="str">
        <f t="shared" ca="1" si="182"/>
        <v>Pos. 10 (3)</v>
      </c>
      <c r="BX66" s="748">
        <f t="shared" ca="1" si="183"/>
        <v>1</v>
      </c>
      <c r="BY66" s="748">
        <f t="shared" ca="1" si="184"/>
        <v>10</v>
      </c>
      <c r="BZ66" s="748" t="str">
        <f t="shared" ca="1" si="185"/>
        <v>Pos. 10 (2)</v>
      </c>
      <c r="CA66" s="748">
        <f t="shared" ca="1" si="199"/>
        <v>1</v>
      </c>
      <c r="CB66" s="748">
        <f t="shared" ca="1" si="200"/>
        <v>11</v>
      </c>
      <c r="CC66" s="748"/>
      <c r="CD66" s="748">
        <f t="shared" ca="1" si="201"/>
        <v>11</v>
      </c>
      <c r="CE66" s="748">
        <f t="shared" ca="1" si="202"/>
        <v>10</v>
      </c>
      <c r="CF66" s="748">
        <f t="shared" ca="1" si="203"/>
        <v>11</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8</v>
      </c>
      <c r="DK66" s="744"/>
      <c r="DL66" s="744">
        <f t="shared" ca="1" si="204"/>
        <v>1</v>
      </c>
      <c r="DM66" s="738" t="str">
        <f t="shared" ca="1" si="187"/>
        <v>8.1</v>
      </c>
      <c r="DN66" s="744" cm="1">
        <f t="array" aca="1" ref="DN66" ca="1">OFFSET(Horarios!$P$3,DJ66-1,0,DL66,1)</f>
        <v>8</v>
      </c>
      <c r="DO66" s="744"/>
      <c r="DP66" s="744">
        <v>9</v>
      </c>
      <c r="DQ66" s="744" t="str">
        <f t="shared" ca="1" si="205"/>
        <v>Panamá</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Jordania</v>
      </c>
      <c r="BE67" s="748">
        <f t="shared" ca="1" si="189"/>
        <v>0</v>
      </c>
      <c r="BF67" s="748">
        <f t="shared" ca="1" si="190"/>
        <v>1</v>
      </c>
      <c r="BG67" s="748">
        <f t="shared" ca="1" si="191"/>
        <v>0</v>
      </c>
      <c r="BH67" s="748">
        <f t="shared" ca="1" si="192"/>
        <v>0</v>
      </c>
      <c r="BI67" s="748">
        <f t="shared" ca="1" si="176"/>
        <v>1</v>
      </c>
      <c r="BJ67" s="748">
        <f t="shared" ca="1" si="177"/>
        <v>1</v>
      </c>
      <c r="BK67" s="748">
        <f t="shared" ca="1" si="178"/>
        <v>3</v>
      </c>
      <c r="BL67" s="748">
        <f t="shared" ca="1" si="193"/>
        <v>-2</v>
      </c>
      <c r="BM67" s="748">
        <f t="shared" ca="1" si="194"/>
        <v>10</v>
      </c>
      <c r="BN67" s="748">
        <f t="shared" ca="1" si="195"/>
        <v>10</v>
      </c>
      <c r="BO67" s="738" t="str">
        <f t="shared" si="196"/>
        <v>4J</v>
      </c>
      <c r="BP67" s="738"/>
      <c r="BQ67" s="738"/>
      <c r="BR67" s="748">
        <f t="shared" ca="1" si="179"/>
        <v>0</v>
      </c>
      <c r="BS67" s="748">
        <f t="shared" ca="1" si="197"/>
        <v>7</v>
      </c>
      <c r="BT67" s="748" t="str">
        <f t="shared" ca="1" si="198"/>
        <v>Pos. 7 (6)</v>
      </c>
      <c r="BU67" s="748">
        <f t="shared" ca="1" si="180"/>
        <v>-2</v>
      </c>
      <c r="BV67" s="748">
        <f t="shared" ca="1" si="181"/>
        <v>10</v>
      </c>
      <c r="BW67" s="748" t="str">
        <f t="shared" ca="1" si="182"/>
        <v>Pos. 10 (3)</v>
      </c>
      <c r="BX67" s="748">
        <f t="shared" ca="1" si="183"/>
        <v>1</v>
      </c>
      <c r="BY67" s="748">
        <f t="shared" ca="1" si="184"/>
        <v>10</v>
      </c>
      <c r="BZ67" s="748" t="str">
        <f t="shared" ca="1" si="185"/>
        <v>Pos. 10 (2)</v>
      </c>
      <c r="CA67" s="748">
        <f t="shared" ca="1" si="199"/>
        <v>6</v>
      </c>
      <c r="CB67" s="748">
        <f t="shared" ca="1" si="200"/>
        <v>10</v>
      </c>
      <c r="CC67" s="748"/>
      <c r="CD67" s="748">
        <f t="shared" ca="1" si="201"/>
        <v>10</v>
      </c>
      <c r="CE67" s="748">
        <f t="shared" ca="1" si="202"/>
        <v>9</v>
      </c>
      <c r="CF67" s="748">
        <f t="shared" ca="1" si="203"/>
        <v>10</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Jordania</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P.1 (2)</v>
      </c>
      <c r="F68" s="744" t="str">
        <f t="shared" ref="F68:F73" ca="1" si="227">IF(D68="Pendiente","-",INDEX($BT$6:$BT$53,MATCH($AF68,$BD$6:$BD$53,0)))</f>
        <v>P.3 (2)</v>
      </c>
      <c r="G68" s="744"/>
      <c r="H68" s="744" t="str">
        <f t="shared" ref="H68:H73" ca="1" si="228">IF(D68="Pendiente","-",INDEX($BZ$6:$BZ$53,MATCH($AA68,$BD$6:$BD$53,0)))</f>
        <v>P.1 (2)</v>
      </c>
      <c r="I68" s="744" t="str">
        <f t="shared" ref="I68:I73" ca="1" si="229">IF(D68="Pendiente","-",INDEX($BZ$6:$BZ$53,MATCH($AF68,$BD$6:$BD$53,0)))</f>
        <v>P.3 (2)</v>
      </c>
      <c r="J68" s="744"/>
      <c r="K68" s="744" t="str">
        <f t="shared" ref="K68:K73" ca="1" si="230">IF(D68="Pendiente","-",INDEX($CE$6:$CE$53,MATCH($AA68,$BD$6:$BD$53,0)))</f>
        <v>P.1 (2)</v>
      </c>
      <c r="L68" s="744" t="str">
        <f t="shared" ref="L68:L73" ca="1" si="231">IF(D68="Pendiente","-",INDEX($CE$6:$CE$53,MATCH($AF68,$BD$6:$BD$53,0)))</f>
        <v>P.3 (2)</v>
      </c>
      <c r="M68" s="744"/>
      <c r="N68" s="744" t="str">
        <f t="shared" ref="N68:N73" ca="1" si="232">IF(D68="Pendiente","-",INDEX($CH$6:$CH$53,MATCH($AA68,$BD$6:$BD$53,0)))</f>
        <v>P.1 (2)</v>
      </c>
      <c r="O68" s="744" t="str">
        <f t="shared" ref="O68:O73" ca="1" si="233">IF(D68="Pendiente","-",INDEX($CH$6:$CH$53,MATCH($AF68,$BD$6:$BD$53,0)))</f>
        <v>P.3 (2)</v>
      </c>
      <c r="P68" s="744"/>
      <c r="Q68" s="744" t="str">
        <f t="shared" ref="Q68:Q73" ca="1" si="234">IF(D68="Pendiente","-",INDEX($CN$6:$CN$53,MATCH($AA68,$BD$6:$BD$53,0)))</f>
        <v>P.1 (2)</v>
      </c>
      <c r="R68" s="744" t="str">
        <f t="shared" ref="R68:R73" ca="1" si="235">IF(D68="Pendiente","-",INDEX($CN$6:$CN$53,MATCH($AF68,$BD$6:$BD$53,0)))</f>
        <v>P.3 (2)</v>
      </c>
      <c r="S68" s="744"/>
      <c r="T68" s="744" t="str">
        <f t="shared" ref="T68:T73" ca="1" si="236">IF(D68="Pendiente","-",INDEX($CS$6:$CS$53,MATCH($AA68,$BD$6:$BD$53,0)))</f>
        <v>P.1 (2)</v>
      </c>
      <c r="U68" s="744" t="str">
        <f t="shared" ref="U68:U73" ca="1" si="237">IF(D68="Pendiente","-",INDEX($CS$6:$CS$53,MATCH($AF68,$BD$6:$BD$53,0)))</f>
        <v>P.3 (2)</v>
      </c>
      <c r="V68" s="172"/>
      <c r="W68" s="829" t="s">
        <v>438</v>
      </c>
      <c r="X68" s="189">
        <f ca="1">Horarios!C68</f>
        <v>46189.875</v>
      </c>
      <c r="Y68" s="190">
        <f ca="1">Horarios!C68</f>
        <v>46189.875</v>
      </c>
      <c r="Z68" s="191" t="str">
        <f>$Z$4</f>
        <v>J1</v>
      </c>
      <c r="AA68" s="192" t="str">
        <f ca="1">A69</f>
        <v>Francia</v>
      </c>
      <c r="AB68" s="478" t="e" cm="1" vm="33">
        <f t="array" aca="1" ref="AB68" ca="1">Ver_flag_local</f>
        <v>#VALUE!</v>
      </c>
      <c r="AC68" s="193">
        <v>3</v>
      </c>
      <c r="AD68" s="194">
        <v>1</v>
      </c>
      <c r="AE68" s="483" t="e" cm="1" vm="34">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1</v>
      </c>
      <c r="BF68" s="748">
        <f t="shared" ca="1" si="190"/>
        <v>1</v>
      </c>
      <c r="BG68" s="748">
        <f t="shared" ca="1" si="191"/>
        <v>0</v>
      </c>
      <c r="BH68" s="748">
        <f t="shared" ca="1" si="192"/>
        <v>1</v>
      </c>
      <c r="BI68" s="748">
        <f t="shared" ca="1" si="176"/>
        <v>0</v>
      </c>
      <c r="BJ68" s="748">
        <f t="shared" ca="1" si="177"/>
        <v>1</v>
      </c>
      <c r="BK68" s="748">
        <f t="shared" ca="1" si="178"/>
        <v>1</v>
      </c>
      <c r="BL68" s="748">
        <f t="shared" ca="1" si="193"/>
        <v>0</v>
      </c>
      <c r="BM68" s="748">
        <f t="shared" ca="1" si="194"/>
        <v>5</v>
      </c>
      <c r="BN68" s="748">
        <f t="shared" ca="1" si="195"/>
        <v>5</v>
      </c>
      <c r="BO68" s="738" t="str">
        <f t="shared" si="196"/>
        <v>4K</v>
      </c>
      <c r="BP68" s="738"/>
      <c r="BQ68" s="738"/>
      <c r="BR68" s="748">
        <f t="shared" ca="1" si="179"/>
        <v>1</v>
      </c>
      <c r="BS68" s="748">
        <f t="shared" ca="1" si="197"/>
        <v>1</v>
      </c>
      <c r="BT68" s="748" t="str">
        <f t="shared" ca="1" si="198"/>
        <v>Pos. 1 (6)</v>
      </c>
      <c r="BU68" s="748">
        <f t="shared" ca="1" si="180"/>
        <v>0</v>
      </c>
      <c r="BV68" s="748">
        <f t="shared" ca="1" si="181"/>
        <v>1</v>
      </c>
      <c r="BW68" s="748" t="str">
        <f t="shared" ca="1" si="182"/>
        <v>Pos. 1 (6)</v>
      </c>
      <c r="BX68" s="748">
        <f t="shared" ca="1" si="183"/>
        <v>1</v>
      </c>
      <c r="BY68" s="748">
        <f t="shared" ca="1" si="184"/>
        <v>2</v>
      </c>
      <c r="BZ68" s="748" t="str">
        <f t="shared" ca="1" si="185"/>
        <v>Pos. 2 (4)</v>
      </c>
      <c r="CA68" s="748">
        <f t="shared" ca="1" si="199"/>
        <v>3</v>
      </c>
      <c r="CB68" s="748">
        <f t="shared" ca="1" si="200"/>
        <v>5</v>
      </c>
      <c r="CC68" s="748"/>
      <c r="CD68" s="748">
        <f t="shared" ca="1" si="201"/>
        <v>5</v>
      </c>
      <c r="CE68" s="748">
        <f t="shared" ca="1" si="202"/>
        <v>4</v>
      </c>
      <c r="CF68" s="748">
        <f t="shared" ca="1" si="203"/>
        <v>5</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10</v>
      </c>
      <c r="DK68" s="744"/>
      <c r="DL68" s="744">
        <f t="shared" ca="1" si="204"/>
        <v>1</v>
      </c>
      <c r="DM68" s="738" t="str">
        <f t="shared" ca="1" si="187"/>
        <v>10.1</v>
      </c>
      <c r="DN68" s="744" cm="1">
        <f t="array" aca="1" ref="DN68" ca="1">OFFSET(Horarios!$P$3,DJ68-1,0,DL68,1)</f>
        <v>10</v>
      </c>
      <c r="DO68" s="744"/>
      <c r="DP68" s="744">
        <v>11</v>
      </c>
      <c r="DQ68" s="744" t="str">
        <f t="shared" ca="1" si="205"/>
        <v>Senegal</v>
      </c>
      <c r="DR68" s="744"/>
      <c r="DS68" s="744"/>
      <c r="DT68" s="744" t="str">
        <f t="shared" ca="1" si="15"/>
        <v>Francia-Senegal</v>
      </c>
      <c r="DU68" s="744"/>
      <c r="DV68" s="744"/>
      <c r="DW68" s="8"/>
    </row>
    <row r="69" spans="1:127" ht="16.05" customHeight="1">
      <c r="A69" s="745" t="str">
        <f ca="1">+Equipos!B34</f>
        <v>Francia</v>
      </c>
      <c r="B69" s="742"/>
      <c r="C69" s="742"/>
      <c r="D69" s="744" t="str">
        <f t="shared" si="225"/>
        <v>Visitante</v>
      </c>
      <c r="E69" s="744" t="str">
        <f t="shared" ca="1" si="226"/>
        <v>P.3 (2)</v>
      </c>
      <c r="F69" s="744" t="str">
        <f t="shared" ca="1" si="227"/>
        <v>P.1 (2)</v>
      </c>
      <c r="G69" s="744"/>
      <c r="H69" s="744" t="str">
        <f t="shared" ca="1" si="228"/>
        <v>P.3 (2)</v>
      </c>
      <c r="I69" s="744" t="str">
        <f t="shared" ca="1" si="229"/>
        <v>P.1 (2)</v>
      </c>
      <c r="J69" s="744"/>
      <c r="K69" s="744" t="str">
        <f t="shared" ca="1" si="230"/>
        <v>P.3 (2)</v>
      </c>
      <c r="L69" s="744" t="str">
        <f t="shared" ca="1" si="231"/>
        <v>P.1 (2)</v>
      </c>
      <c r="M69" s="744"/>
      <c r="N69" s="744" t="str">
        <f t="shared" ca="1" si="232"/>
        <v>P.3 (2)</v>
      </c>
      <c r="O69" s="744" t="str">
        <f t="shared" ca="1" si="233"/>
        <v>P.1 (2)</v>
      </c>
      <c r="P69" s="744"/>
      <c r="Q69" s="744" t="str">
        <f t="shared" ca="1" si="234"/>
        <v>P.3 (2)</v>
      </c>
      <c r="R69" s="744" t="str">
        <f t="shared" ca="1" si="235"/>
        <v>P.1 (2)</v>
      </c>
      <c r="S69" s="744"/>
      <c r="T69" s="744" t="str">
        <f t="shared" ca="1" si="236"/>
        <v>P.3 (2)</v>
      </c>
      <c r="U69" s="744" t="str">
        <f t="shared" ca="1" si="237"/>
        <v>P.1 (2)</v>
      </c>
      <c r="V69" s="172"/>
      <c r="W69" s="829"/>
      <c r="X69" s="189">
        <f ca="1">Horarios!C69</f>
        <v>46190</v>
      </c>
      <c r="Y69" s="190">
        <f ca="1">Horarios!C69</f>
        <v>46190</v>
      </c>
      <c r="Z69" s="191" t="str">
        <f>$Z$4</f>
        <v>J1</v>
      </c>
      <c r="AA69" s="192" t="str">
        <f ca="1">A71</f>
        <v>Irak</v>
      </c>
      <c r="AB69" s="478" t="e" cm="1" vm="35">
        <f t="array" aca="1" ref="AB69" ca="1">Ver_flag_local</f>
        <v>#VALUE!</v>
      </c>
      <c r="AC69" s="193">
        <v>1</v>
      </c>
      <c r="AD69" s="194">
        <v>4</v>
      </c>
      <c r="AE69" s="483" t="e" cm="1" vm="36">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Panamá</v>
      </c>
      <c r="BE69" s="748">
        <f t="shared" ca="1" si="189"/>
        <v>0</v>
      </c>
      <c r="BF69" s="748">
        <f t="shared" ca="1" si="190"/>
        <v>1</v>
      </c>
      <c r="BG69" s="748">
        <f t="shared" ca="1" si="191"/>
        <v>0</v>
      </c>
      <c r="BH69" s="748">
        <f t="shared" ca="1" si="192"/>
        <v>0</v>
      </c>
      <c r="BI69" s="748">
        <f t="shared" ca="1" si="176"/>
        <v>1</v>
      </c>
      <c r="BJ69" s="748">
        <f t="shared" ca="1" si="177"/>
        <v>0</v>
      </c>
      <c r="BK69" s="748">
        <f t="shared" ca="1" si="178"/>
        <v>1</v>
      </c>
      <c r="BL69" s="748">
        <f t="shared" ca="1" si="193"/>
        <v>-1</v>
      </c>
      <c r="BM69" s="748">
        <f t="shared" ca="1" si="194"/>
        <v>9</v>
      </c>
      <c r="BN69" s="748">
        <f t="shared" ca="1" si="195"/>
        <v>9</v>
      </c>
      <c r="BO69" s="738" t="str">
        <f t="shared" si="196"/>
        <v>4L</v>
      </c>
      <c r="BP69" s="738"/>
      <c r="BQ69" s="738"/>
      <c r="BR69" s="748">
        <f t="shared" ca="1" si="179"/>
        <v>0</v>
      </c>
      <c r="BS69" s="748">
        <f t="shared" ca="1" si="197"/>
        <v>7</v>
      </c>
      <c r="BT69" s="748" t="str">
        <f t="shared" ca="1" si="198"/>
        <v>Pos. 7 (6)</v>
      </c>
      <c r="BU69" s="748">
        <f t="shared" ca="1" si="180"/>
        <v>-1</v>
      </c>
      <c r="BV69" s="748">
        <f t="shared" ca="1" si="181"/>
        <v>7</v>
      </c>
      <c r="BW69" s="748" t="str">
        <f t="shared" ca="1" si="182"/>
        <v>Pos. 7 (3)</v>
      </c>
      <c r="BX69" s="748">
        <f t="shared" ca="1" si="183"/>
        <v>0</v>
      </c>
      <c r="BY69" s="748">
        <f t="shared" ca="1" si="184"/>
        <v>8</v>
      </c>
      <c r="BZ69" s="748" t="str">
        <f t="shared" ca="1" si="185"/>
        <v>Pos. 8 (2)</v>
      </c>
      <c r="CA69" s="748">
        <f t="shared" ca="1" si="199"/>
        <v>4</v>
      </c>
      <c r="CB69" s="748">
        <f ca="1">BY69+COUNTIFS(BZ$58:BZ$69,BZ69,CA$58:CA$69,"&gt;"&amp;CA69)</f>
        <v>9</v>
      </c>
      <c r="CC69" s="748"/>
      <c r="CD69" s="748">
        <f t="shared" ca="1" si="201"/>
        <v>9</v>
      </c>
      <c r="CE69" s="748">
        <f t="shared" ca="1" si="202"/>
        <v>8</v>
      </c>
      <c r="CF69" s="748">
        <f t="shared" ca="1" si="203"/>
        <v>9</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Turquía</v>
      </c>
      <c r="DR69" s="744"/>
      <c r="DS69" s="744"/>
      <c r="DT69" s="744" t="str">
        <f t="shared" ref="DT69:DT132" ca="1" si="242">AA69&amp;"-"&amp;AF69</f>
        <v>Irak-Noruega</v>
      </c>
      <c r="DU69" s="744"/>
      <c r="DV69" s="744"/>
      <c r="DW69" s="8"/>
    </row>
    <row r="70" spans="1:127" ht="16.05" customHeight="1">
      <c r="A70" s="745" t="str">
        <f ca="1">+Equipos!B35</f>
        <v>Senegal</v>
      </c>
      <c r="B70" s="742"/>
      <c r="C70" s="746"/>
      <c r="D70" s="744" t="str">
        <f t="shared" si="225"/>
        <v>Pendiente</v>
      </c>
      <c r="E70" s="744" t="str">
        <f t="shared" si="226"/>
        <v>-</v>
      </c>
      <c r="F70" s="744" t="str">
        <f t="shared" si="227"/>
        <v>-</v>
      </c>
      <c r="G70" s="744"/>
      <c r="H70" s="744" t="str">
        <f t="shared" si="228"/>
        <v>-</v>
      </c>
      <c r="I70" s="744" t="str">
        <f t="shared" si="229"/>
        <v>-</v>
      </c>
      <c r="J70" s="744"/>
      <c r="K70" s="744" t="str">
        <f t="shared" si="230"/>
        <v>-</v>
      </c>
      <c r="L70" s="744" t="str">
        <f t="shared" si="231"/>
        <v>-</v>
      </c>
      <c r="M70" s="744"/>
      <c r="N70" s="744" t="str">
        <f t="shared" si="232"/>
        <v>-</v>
      </c>
      <c r="O70" s="744" t="str">
        <f t="shared" si="233"/>
        <v>-</v>
      </c>
      <c r="P70" s="744"/>
      <c r="Q70" s="744" t="str">
        <f t="shared" si="234"/>
        <v>-</v>
      </c>
      <c r="R70" s="744" t="str">
        <f t="shared" si="235"/>
        <v>-</v>
      </c>
      <c r="S70" s="744"/>
      <c r="T70" s="744" t="str">
        <f t="shared" si="236"/>
        <v>-</v>
      </c>
      <c r="U70" s="744" t="str">
        <f t="shared" si="237"/>
        <v>-</v>
      </c>
      <c r="V70" s="172"/>
      <c r="W70" s="829"/>
      <c r="X70" s="189">
        <f ca="1">Horarios!C70</f>
        <v>46195.958333333336</v>
      </c>
      <c r="Y70" s="190">
        <f ca="1">Horarios!C70</f>
        <v>46195.958333333336</v>
      </c>
      <c r="Z70" s="191" t="str">
        <f>$Z$6</f>
        <v>J2</v>
      </c>
      <c r="AA70" s="192" t="str">
        <f ca="1">A69</f>
        <v>Francia</v>
      </c>
      <c r="AB70" s="478" t="e" cm="1" vm="33">
        <f t="array" aca="1" ref="AB70" ca="1">Ver_flag_local</f>
        <v>#VALUE!</v>
      </c>
      <c r="AC70" s="193"/>
      <c r="AD70" s="194"/>
      <c r="AE70" s="483" t="e" cm="1" vm="35">
        <f t="array" aca="1" ref="AE70" ca="1">Ver_flag_visit</f>
        <v>#VALUE!</v>
      </c>
      <c r="AF70" s="195" t="str">
        <f ca="1">A71</f>
        <v>Irak</v>
      </c>
      <c r="AG70" s="413">
        <f t="shared" si="238"/>
        <v>0</v>
      </c>
      <c r="AH70" s="196">
        <v>42</v>
      </c>
      <c r="AI70" s="19" t="str">
        <f>AJ70&amp;$B$68</f>
        <v>1I</v>
      </c>
      <c r="AJ70" s="211">
        <v>1</v>
      </c>
      <c r="AK70" s="488" t="e" cm="1" vm="36">
        <f t="array" aca="1" ref="AK70" ca="1">Ver_flag_visit</f>
        <v>#VALUE!</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05" customHeight="1">
      <c r="A71" s="745" t="str">
        <f ca="1">+Equipos!B36</f>
        <v>Irak</v>
      </c>
      <c r="B71" s="742"/>
      <c r="C71" s="744"/>
      <c r="D71" s="744" t="str">
        <f t="shared" si="225"/>
        <v>Pendiente</v>
      </c>
      <c r="E71" s="744" t="str">
        <f t="shared" si="226"/>
        <v>-</v>
      </c>
      <c r="F71" s="744" t="str">
        <f t="shared" si="227"/>
        <v>-</v>
      </c>
      <c r="G71" s="744"/>
      <c r="H71" s="744" t="str">
        <f t="shared" si="228"/>
        <v>-</v>
      </c>
      <c r="I71" s="744" t="str">
        <f t="shared" si="229"/>
        <v>-</v>
      </c>
      <c r="J71" s="744"/>
      <c r="K71" s="744" t="str">
        <f t="shared" si="230"/>
        <v>-</v>
      </c>
      <c r="L71" s="744" t="str">
        <f t="shared" si="231"/>
        <v>-</v>
      </c>
      <c r="M71" s="744"/>
      <c r="N71" s="744" t="str">
        <f t="shared" si="232"/>
        <v>-</v>
      </c>
      <c r="O71" s="744" t="str">
        <f t="shared" si="233"/>
        <v>-</v>
      </c>
      <c r="P71" s="744"/>
      <c r="Q71" s="744" t="str">
        <f t="shared" si="234"/>
        <v>-</v>
      </c>
      <c r="R71" s="744" t="str">
        <f t="shared" si="235"/>
        <v>-</v>
      </c>
      <c r="S71" s="744"/>
      <c r="T71" s="744" t="str">
        <f t="shared" si="236"/>
        <v>-</v>
      </c>
      <c r="U71" s="744" t="str">
        <f t="shared" si="237"/>
        <v>-</v>
      </c>
      <c r="V71" s="172"/>
      <c r="W71" s="829"/>
      <c r="X71" s="189">
        <f ca="1">Horarios!C71</f>
        <v>46196.083333333336</v>
      </c>
      <c r="Y71" s="190">
        <f ca="1">Horarios!C71</f>
        <v>46196.083333333336</v>
      </c>
      <c r="Z71" s="191" t="str">
        <f>$Z$6</f>
        <v>J2</v>
      </c>
      <c r="AA71" s="192" t="str">
        <f ca="1">A72</f>
        <v>Noruega</v>
      </c>
      <c r="AB71" s="478" t="e" cm="1" vm="36">
        <f t="array" aca="1" ref="AB71" ca="1">Ver_flag_local</f>
        <v>#VALUE!</v>
      </c>
      <c r="AC71" s="193"/>
      <c r="AD71" s="194"/>
      <c r="AE71" s="483" t="e" cm="1" vm="34">
        <f t="array" aca="1" ref="AE71" ca="1">Ver_flag_visit</f>
        <v>#VALUE!</v>
      </c>
      <c r="AF71" s="195" t="str">
        <f ca="1">A70</f>
        <v>Senegal</v>
      </c>
      <c r="AG71" s="413">
        <f t="shared" si="238"/>
        <v>0</v>
      </c>
      <c r="AH71" s="196">
        <v>41</v>
      </c>
      <c r="AI71" s="19" t="str">
        <f t="shared" ref="AI71:AI73" si="244">AJ71&amp;$B$68</f>
        <v>2I</v>
      </c>
      <c r="AJ71" s="221">
        <v>2</v>
      </c>
      <c r="AK71" s="486" t="e" cm="1" vm="33">
        <f t="array" aca="1" ref="AK71" ca="1">Ver_flag_visit</f>
        <v>#VALUE!</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05" customHeight="1">
      <c r="A72" s="745" t="str">
        <f ca="1">+Equipos!B37</f>
        <v>Noruega</v>
      </c>
      <c r="B72" s="742"/>
      <c r="C72" s="744"/>
      <c r="D72" s="744" t="str">
        <f t="shared" si="225"/>
        <v>Pendiente</v>
      </c>
      <c r="E72" s="744" t="str">
        <f t="shared" si="226"/>
        <v>-</v>
      </c>
      <c r="F72" s="744" t="str">
        <f t="shared" si="227"/>
        <v>-</v>
      </c>
      <c r="G72" s="744"/>
      <c r="H72" s="744" t="str">
        <f t="shared" si="228"/>
        <v>-</v>
      </c>
      <c r="I72" s="744" t="str">
        <f t="shared" si="229"/>
        <v>-</v>
      </c>
      <c r="J72" s="744"/>
      <c r="K72" s="744" t="str">
        <f t="shared" si="230"/>
        <v>-</v>
      </c>
      <c r="L72" s="744" t="str">
        <f t="shared" si="231"/>
        <v>-</v>
      </c>
      <c r="M72" s="744"/>
      <c r="N72" s="744" t="str">
        <f t="shared" si="232"/>
        <v>-</v>
      </c>
      <c r="O72" s="744" t="str">
        <f t="shared" si="233"/>
        <v>-</v>
      </c>
      <c r="P72" s="744"/>
      <c r="Q72" s="744" t="str">
        <f t="shared" si="234"/>
        <v>-</v>
      </c>
      <c r="R72" s="744" t="str">
        <f t="shared" si="235"/>
        <v>-</v>
      </c>
      <c r="S72" s="744"/>
      <c r="T72" s="744" t="str">
        <f t="shared" si="236"/>
        <v>-</v>
      </c>
      <c r="U72" s="744" t="str">
        <f t="shared" si="237"/>
        <v>-</v>
      </c>
      <c r="V72" s="172"/>
      <c r="W72" s="829"/>
      <c r="X72" s="189">
        <f ca="1">Horarios!C72</f>
        <v>46199.875</v>
      </c>
      <c r="Y72" s="190">
        <f ca="1">Horarios!C72</f>
        <v>46199.875</v>
      </c>
      <c r="Z72" s="191" t="str">
        <f>$Z$8</f>
        <v>J3</v>
      </c>
      <c r="AA72" s="192" t="str">
        <f ca="1">A72</f>
        <v>Noruega</v>
      </c>
      <c r="AB72" s="478" t="e" cm="1" vm="36">
        <f t="array" aca="1" ref="AB72" ca="1">Ver_flag_local</f>
        <v>#VALUE!</v>
      </c>
      <c r="AC72" s="193"/>
      <c r="AD72" s="194"/>
      <c r="AE72" s="483" t="e" cm="1" vm="33">
        <f t="array" aca="1" ref="AE72" ca="1">Ver_flag_visit</f>
        <v>#VALUE!</v>
      </c>
      <c r="AF72" s="195" t="str">
        <f ca="1">A69</f>
        <v>Francia</v>
      </c>
      <c r="AG72" s="413">
        <f t="shared" si="238"/>
        <v>0</v>
      </c>
      <c r="AH72" s="196">
        <v>61</v>
      </c>
      <c r="AI72" s="19" t="str">
        <f t="shared" si="244"/>
        <v>3I</v>
      </c>
      <c r="AJ72" s="221">
        <v>3</v>
      </c>
      <c r="AK72" s="486" t="e" cm="1" vm="34">
        <f t="array" aca="1" ref="AK72" ca="1">Ver_flag_visit</f>
        <v>#VALUE!</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Pendiente</v>
      </c>
      <c r="E73" s="744" t="str">
        <f t="shared" si="226"/>
        <v>-</v>
      </c>
      <c r="F73" s="744" t="str">
        <f t="shared" si="227"/>
        <v>-</v>
      </c>
      <c r="G73" s="744"/>
      <c r="H73" s="744" t="str">
        <f t="shared" si="228"/>
        <v>-</v>
      </c>
      <c r="I73" s="744" t="str">
        <f t="shared" si="229"/>
        <v>-</v>
      </c>
      <c r="J73" s="744"/>
      <c r="K73" s="744" t="str">
        <f t="shared" si="230"/>
        <v>-</v>
      </c>
      <c r="L73" s="744" t="str">
        <f t="shared" si="231"/>
        <v>-</v>
      </c>
      <c r="M73" s="744"/>
      <c r="N73" s="744" t="str">
        <f t="shared" si="232"/>
        <v>-</v>
      </c>
      <c r="O73" s="744" t="str">
        <f t="shared" si="233"/>
        <v>-</v>
      </c>
      <c r="P73" s="744"/>
      <c r="Q73" s="744" t="str">
        <f t="shared" si="234"/>
        <v>-</v>
      </c>
      <c r="R73" s="744" t="str">
        <f t="shared" si="235"/>
        <v>-</v>
      </c>
      <c r="S73" s="744"/>
      <c r="T73" s="744" t="str">
        <f t="shared" si="236"/>
        <v>-</v>
      </c>
      <c r="U73" s="744" t="str">
        <f t="shared" si="237"/>
        <v>-</v>
      </c>
      <c r="V73" s="172"/>
      <c r="W73" s="830"/>
      <c r="X73" s="228">
        <f ca="1">Horarios!C73</f>
        <v>46199.875</v>
      </c>
      <c r="Y73" s="229">
        <f ca="1">Horarios!C73</f>
        <v>46199.875</v>
      </c>
      <c r="Z73" s="230" t="str">
        <f>$Z$8</f>
        <v>J3</v>
      </c>
      <c r="AA73" s="231" t="str">
        <f ca="1">A70</f>
        <v>Senegal</v>
      </c>
      <c r="AB73" s="479" t="e" cm="1" vm="34">
        <f t="array" aca="1" ref="AB73" ca="1">Ver_flag_local</f>
        <v>#VALUE!</v>
      </c>
      <c r="AC73" s="232"/>
      <c r="AD73" s="233"/>
      <c r="AE73" s="484" t="e" cm="1" vm="35">
        <f t="array" aca="1" ref="AE73" ca="1">Ver_flag_visit</f>
        <v>#VALUE!</v>
      </c>
      <c r="AF73" s="234" t="str">
        <f ca="1">A71</f>
        <v>Irak</v>
      </c>
      <c r="AG73" s="413">
        <f t="shared" si="238"/>
        <v>0</v>
      </c>
      <c r="AH73" s="196">
        <v>62</v>
      </c>
      <c r="AI73" s="19" t="str">
        <f t="shared" si="244"/>
        <v>4I</v>
      </c>
      <c r="AJ73" s="235">
        <v>4</v>
      </c>
      <c r="AK73" s="487" t="e" cm="1" vm="35">
        <f t="array" aca="1" ref="AK73" ca="1">Ver_flag_visit</f>
        <v>#VALUE!</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05"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P.1 (2)</v>
      </c>
      <c r="F76" s="744" t="str">
        <f t="shared" ref="F76:F81" ca="1" si="247">IF(D76="Pendiente","-",INDEX($BT$6:$BT$53,MATCH($AF76,$BD$6:$BD$53,0)))</f>
        <v>P.3 (2)</v>
      </c>
      <c r="G76" s="744"/>
      <c r="H76" s="744" t="str">
        <f t="shared" ref="H76:H81" ca="1" si="248">IF(D76="Pendiente","-",INDEX($BZ$6:$BZ$53,MATCH($AA76,$BD$6:$BD$53,0)))</f>
        <v>P.1 (2)</v>
      </c>
      <c r="I76" s="744" t="str">
        <f t="shared" ref="I76:I81" ca="1" si="249">IF(D76="Pendiente","-",INDEX($BZ$6:$BZ$53,MATCH($AF76,$BD$6:$BD$53,0)))</f>
        <v>P.3 (2)</v>
      </c>
      <c r="J76" s="744"/>
      <c r="K76" s="744" t="str">
        <f t="shared" ref="K76:K81" ca="1" si="250">IF(D76="Pendiente","-",INDEX($CE$6:$CE$53,MATCH($AA76,$BD$6:$BD$53,0)))</f>
        <v>P.1 (2)</v>
      </c>
      <c r="L76" s="744" t="str">
        <f t="shared" ref="L76:L81" ca="1" si="251">IF(D76="Pendiente","-",INDEX($CE$6:$CE$53,MATCH($AF76,$BD$6:$BD$53,0)))</f>
        <v>P.3 (2)</v>
      </c>
      <c r="M76" s="744"/>
      <c r="N76" s="744" t="str">
        <f t="shared" ref="N76:N81" ca="1" si="252">IF(D76="Pendiente","-",INDEX($CH$6:$CH$53,MATCH($AA76,$BD$6:$BD$53,0)))</f>
        <v>P.1 (2)</v>
      </c>
      <c r="O76" s="744" t="str">
        <f t="shared" ref="O76:O81" ca="1" si="253">IF(D76="Pendiente","-",INDEX($CH$6:$CH$53,MATCH($AF76,$BD$6:$BD$53,0)))</f>
        <v>P.3 (2)</v>
      </c>
      <c r="P76" s="744"/>
      <c r="Q76" s="744" t="str">
        <f t="shared" ref="Q76:Q81" ca="1" si="254">IF(D76="Pendiente","-",INDEX($CN$6:$CN$53,MATCH($AA76,$BD$6:$BD$53,0)))</f>
        <v>P.1 (2)</v>
      </c>
      <c r="R76" s="744" t="str">
        <f t="shared" ref="R76:R81" ca="1" si="255">IF(D76="Pendiente","-",INDEX($CN$6:$CN$53,MATCH($AF76,$BD$6:$BD$53,0)))</f>
        <v>P.3 (2)</v>
      </c>
      <c r="S76" s="744"/>
      <c r="T76" s="744" t="str">
        <f t="shared" ref="T76:T81" ca="1" si="256">IF(D76="Pendiente","-",INDEX($CS$6:$CS$53,MATCH($AA76,$BD$6:$BD$53,0)))</f>
        <v>P.1 (2)</v>
      </c>
      <c r="U76" s="744" t="str">
        <f t="shared" ref="U76:U81" ca="1" si="257">IF(D76="Pendiente","-",INDEX($CS$6:$CS$53,MATCH($AF76,$BD$6:$BD$53,0)))</f>
        <v>P.3 (2)</v>
      </c>
      <c r="V76" s="172"/>
      <c r="W76" s="825" t="s">
        <v>5</v>
      </c>
      <c r="X76" s="189">
        <f ca="1">Horarios!C76</f>
        <v>46190.125</v>
      </c>
      <c r="Y76" s="190">
        <f ca="1">Horarios!C76</f>
        <v>46190.125</v>
      </c>
      <c r="Z76" s="191" t="str">
        <f>$Z$4</f>
        <v>J1</v>
      </c>
      <c r="AA76" s="192" t="str">
        <f ca="1">A77</f>
        <v>Argentina</v>
      </c>
      <c r="AB76" s="478" t="e" cm="1" vm="37">
        <f t="array" aca="1" ref="AB76" ca="1">Ver_flag_local</f>
        <v>#VALUE!</v>
      </c>
      <c r="AC76" s="193">
        <v>3</v>
      </c>
      <c r="AD76" s="194">
        <v>0</v>
      </c>
      <c r="AE76" s="483" t="e" cm="1" vm="38">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05" customHeight="1">
      <c r="A77" s="745" t="str">
        <f ca="1">+Equipos!B38</f>
        <v>Argentina</v>
      </c>
      <c r="B77" s="742"/>
      <c r="C77" s="742"/>
      <c r="D77" s="744" t="str">
        <f t="shared" si="245"/>
        <v>Local</v>
      </c>
      <c r="E77" s="744" t="str">
        <f t="shared" ca="1" si="246"/>
        <v>P.1 (2)</v>
      </c>
      <c r="F77" s="744" t="str">
        <f t="shared" ca="1" si="247"/>
        <v>P.3 (2)</v>
      </c>
      <c r="G77" s="744"/>
      <c r="H77" s="744" t="str">
        <f t="shared" ca="1" si="248"/>
        <v>P.1 (2)</v>
      </c>
      <c r="I77" s="744" t="str">
        <f t="shared" ca="1" si="249"/>
        <v>P.3 (2)</v>
      </c>
      <c r="J77" s="744"/>
      <c r="K77" s="744" t="str">
        <f t="shared" ca="1" si="250"/>
        <v>P.1 (2)</v>
      </c>
      <c r="L77" s="744" t="str">
        <f t="shared" ca="1" si="251"/>
        <v>P.3 (2)</v>
      </c>
      <c r="M77" s="744"/>
      <c r="N77" s="744" t="str">
        <f t="shared" ca="1" si="252"/>
        <v>P.1 (2)</v>
      </c>
      <c r="O77" s="744" t="str">
        <f t="shared" ca="1" si="253"/>
        <v>P.3 (2)</v>
      </c>
      <c r="P77" s="744"/>
      <c r="Q77" s="744" t="str">
        <f t="shared" ca="1" si="254"/>
        <v>P.1 (2)</v>
      </c>
      <c r="R77" s="744" t="str">
        <f t="shared" ca="1" si="255"/>
        <v>P.3 (2)</v>
      </c>
      <c r="S77" s="744"/>
      <c r="T77" s="744" t="str">
        <f t="shared" ca="1" si="256"/>
        <v>P.1 (2)</v>
      </c>
      <c r="U77" s="744" t="str">
        <f t="shared" ca="1" si="257"/>
        <v>P.3 (2)</v>
      </c>
      <c r="V77" s="172"/>
      <c r="W77" s="825"/>
      <c r="X77" s="189">
        <f ca="1">Horarios!C77</f>
        <v>46190.25</v>
      </c>
      <c r="Y77" s="190">
        <f ca="1">Horarios!C77</f>
        <v>46190.25</v>
      </c>
      <c r="Z77" s="191" t="str">
        <f>$Z$4</f>
        <v>J1</v>
      </c>
      <c r="AA77" s="192" t="str">
        <f ca="1">A79</f>
        <v>Austria</v>
      </c>
      <c r="AB77" s="478" t="e" cm="1" vm="39">
        <f t="array" aca="1" ref="AB77" ca="1">Ver_flag_local</f>
        <v>#VALUE!</v>
      </c>
      <c r="AC77" s="193">
        <v>3</v>
      </c>
      <c r="AD77" s="194">
        <v>1</v>
      </c>
      <c r="AE77" s="483" t="e" cm="1" vm="40">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05" customHeight="1">
      <c r="A78" s="745" t="str">
        <f ca="1">+Equipos!B39</f>
        <v>Argelia</v>
      </c>
      <c r="B78" s="742"/>
      <c r="C78" s="746"/>
      <c r="D78" s="744" t="str">
        <f t="shared" si="245"/>
        <v>Pendiente</v>
      </c>
      <c r="E78" s="744" t="str">
        <f t="shared" si="246"/>
        <v>-</v>
      </c>
      <c r="F78" s="744" t="str">
        <f t="shared" si="247"/>
        <v>-</v>
      </c>
      <c r="G78" s="744"/>
      <c r="H78" s="744" t="str">
        <f t="shared" si="248"/>
        <v>-</v>
      </c>
      <c r="I78" s="744" t="str">
        <f t="shared" si="249"/>
        <v>-</v>
      </c>
      <c r="J78" s="744"/>
      <c r="K78" s="744" t="str">
        <f t="shared" si="250"/>
        <v>-</v>
      </c>
      <c r="L78" s="744" t="str">
        <f t="shared" si="251"/>
        <v>-</v>
      </c>
      <c r="M78" s="744"/>
      <c r="N78" s="744" t="str">
        <f t="shared" si="252"/>
        <v>-</v>
      </c>
      <c r="O78" s="744" t="str">
        <f t="shared" si="253"/>
        <v>-</v>
      </c>
      <c r="P78" s="744"/>
      <c r="Q78" s="744" t="str">
        <f t="shared" si="254"/>
        <v>-</v>
      </c>
      <c r="R78" s="744" t="str">
        <f t="shared" si="255"/>
        <v>-</v>
      </c>
      <c r="S78" s="744"/>
      <c r="T78" s="744" t="str">
        <f t="shared" si="256"/>
        <v>-</v>
      </c>
      <c r="U78" s="744" t="str">
        <f t="shared" si="257"/>
        <v>-</v>
      </c>
      <c r="V78" s="172"/>
      <c r="W78" s="825"/>
      <c r="X78" s="189">
        <f ca="1">Horarios!C78</f>
        <v>46195.791666666664</v>
      </c>
      <c r="Y78" s="190">
        <f ca="1">Horarios!C78</f>
        <v>46195.791666666664</v>
      </c>
      <c r="Z78" s="191" t="str">
        <f>$Z$6</f>
        <v>J2</v>
      </c>
      <c r="AA78" s="192" t="str">
        <f ca="1">A77</f>
        <v>Argentina</v>
      </c>
      <c r="AB78" s="478" t="e" cm="1" vm="37">
        <f t="array" aca="1" ref="AB78" ca="1">Ver_flag_local</f>
        <v>#VALUE!</v>
      </c>
      <c r="AC78" s="193"/>
      <c r="AD78" s="194"/>
      <c r="AE78" s="483" t="e" cm="1" vm="39">
        <f t="array" aca="1" ref="AE78" ca="1">Ver_flag_visit</f>
        <v>#VALUE!</v>
      </c>
      <c r="AF78" s="195" t="str">
        <f ca="1">A79</f>
        <v>Austria</v>
      </c>
      <c r="AG78" s="413">
        <f t="shared" si="258"/>
        <v>0</v>
      </c>
      <c r="AH78" s="196">
        <v>43</v>
      </c>
      <c r="AI78" s="19" t="str">
        <f>AJ78&amp;$B$76</f>
        <v>1J</v>
      </c>
      <c r="AJ78" s="211">
        <v>1</v>
      </c>
      <c r="AK78" s="488" t="e" cm="1" vm="37">
        <f t="array" aca="1" ref="AK78" ca="1">Ver_flag_visit</f>
        <v>#VALUE!</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05" customHeight="1">
      <c r="A79" s="745" t="str">
        <f ca="1">+Equipos!B40</f>
        <v>Austria</v>
      </c>
      <c r="B79" s="742"/>
      <c r="C79" s="744"/>
      <c r="D79" s="744" t="str">
        <f t="shared" si="245"/>
        <v>Pendiente</v>
      </c>
      <c r="E79" s="744" t="str">
        <f t="shared" si="246"/>
        <v>-</v>
      </c>
      <c r="F79" s="744" t="str">
        <f t="shared" si="247"/>
        <v>-</v>
      </c>
      <c r="G79" s="744"/>
      <c r="H79" s="744" t="str">
        <f t="shared" si="248"/>
        <v>-</v>
      </c>
      <c r="I79" s="744" t="str">
        <f t="shared" si="249"/>
        <v>-</v>
      </c>
      <c r="J79" s="744"/>
      <c r="K79" s="744" t="str">
        <f t="shared" si="250"/>
        <v>-</v>
      </c>
      <c r="L79" s="744" t="str">
        <f t="shared" si="251"/>
        <v>-</v>
      </c>
      <c r="M79" s="744"/>
      <c r="N79" s="744" t="str">
        <f t="shared" si="252"/>
        <v>-</v>
      </c>
      <c r="O79" s="744" t="str">
        <f t="shared" si="253"/>
        <v>-</v>
      </c>
      <c r="P79" s="744"/>
      <c r="Q79" s="744" t="str">
        <f t="shared" si="254"/>
        <v>-</v>
      </c>
      <c r="R79" s="744" t="str">
        <f t="shared" si="255"/>
        <v>-</v>
      </c>
      <c r="S79" s="744"/>
      <c r="T79" s="744" t="str">
        <f t="shared" si="256"/>
        <v>-</v>
      </c>
      <c r="U79" s="744" t="str">
        <f t="shared" si="257"/>
        <v>-</v>
      </c>
      <c r="V79" s="172"/>
      <c r="W79" s="825"/>
      <c r="X79" s="189">
        <f ca="1">Horarios!C79</f>
        <v>46196.208333333336</v>
      </c>
      <c r="Y79" s="190">
        <f ca="1">Horarios!C79</f>
        <v>46196.208333333336</v>
      </c>
      <c r="Z79" s="191" t="str">
        <f>$Z$6</f>
        <v>J2</v>
      </c>
      <c r="AA79" s="192" t="str">
        <f ca="1">A80</f>
        <v>Jordania</v>
      </c>
      <c r="AB79" s="478" t="e" cm="1" vm="40">
        <f t="array" aca="1" ref="AB79" ca="1">Ver_flag_local</f>
        <v>#VALUE!</v>
      </c>
      <c r="AC79" s="193"/>
      <c r="AD79" s="194"/>
      <c r="AE79" s="483" t="e" cm="1" vm="38">
        <f t="array" aca="1" ref="AE79" ca="1">Ver_flag_visit</f>
        <v>#VALUE!</v>
      </c>
      <c r="AF79" s="195" t="str">
        <f ca="1">A78</f>
        <v>Argelia</v>
      </c>
      <c r="AG79" s="413">
        <f t="shared" si="258"/>
        <v>0</v>
      </c>
      <c r="AH79" s="196">
        <v>44</v>
      </c>
      <c r="AI79" s="19" t="str">
        <f t="shared" ref="AI79:AI81" si="263">AJ79&amp;$B$76</f>
        <v>2J</v>
      </c>
      <c r="AJ79" s="221">
        <v>2</v>
      </c>
      <c r="AK79" s="486" t="e" cm="1" vm="39">
        <f t="array" aca="1" ref="AK79" ca="1">Ver_flag_visit</f>
        <v>#VALUE!</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05" customHeight="1">
      <c r="A80" s="745" t="str">
        <f ca="1">+Equipos!B41</f>
        <v>Jordania</v>
      </c>
      <c r="B80" s="742"/>
      <c r="C80" s="744"/>
      <c r="D80" s="744" t="str">
        <f t="shared" si="245"/>
        <v>Pendiente</v>
      </c>
      <c r="E80" s="744" t="str">
        <f t="shared" si="246"/>
        <v>-</v>
      </c>
      <c r="F80" s="744" t="str">
        <f t="shared" si="247"/>
        <v>-</v>
      </c>
      <c r="G80" s="744"/>
      <c r="H80" s="744" t="str">
        <f t="shared" si="248"/>
        <v>-</v>
      </c>
      <c r="I80" s="744" t="str">
        <f t="shared" si="249"/>
        <v>-</v>
      </c>
      <c r="J80" s="744"/>
      <c r="K80" s="744" t="str">
        <f t="shared" si="250"/>
        <v>-</v>
      </c>
      <c r="L80" s="744" t="str">
        <f t="shared" si="251"/>
        <v>-</v>
      </c>
      <c r="M80" s="744"/>
      <c r="N80" s="744" t="str">
        <f t="shared" si="252"/>
        <v>-</v>
      </c>
      <c r="O80" s="744" t="str">
        <f t="shared" si="253"/>
        <v>-</v>
      </c>
      <c r="P80" s="744"/>
      <c r="Q80" s="744" t="str">
        <f t="shared" si="254"/>
        <v>-</v>
      </c>
      <c r="R80" s="744" t="str">
        <f t="shared" si="255"/>
        <v>-</v>
      </c>
      <c r="S80" s="744"/>
      <c r="T80" s="744" t="str">
        <f t="shared" si="256"/>
        <v>-</v>
      </c>
      <c r="U80" s="744" t="str">
        <f t="shared" si="257"/>
        <v>-</v>
      </c>
      <c r="V80" s="172"/>
      <c r="W80" s="825"/>
      <c r="X80" s="189">
        <f ca="1">Horarios!C80</f>
        <v>46201.166666666664</v>
      </c>
      <c r="Y80" s="190">
        <f ca="1">Horarios!C80</f>
        <v>46201.166666666664</v>
      </c>
      <c r="Z80" s="191" t="str">
        <f>$Z$8</f>
        <v>J3</v>
      </c>
      <c r="AA80" s="192" t="str">
        <f ca="1">A78</f>
        <v>Argelia</v>
      </c>
      <c r="AB80" s="478" t="e" cm="1" vm="38">
        <f t="array" aca="1" ref="AB80" ca="1">Ver_flag_local</f>
        <v>#VALUE!</v>
      </c>
      <c r="AC80" s="193"/>
      <c r="AD80" s="194"/>
      <c r="AE80" s="483" t="e" cm="1" vm="39">
        <f t="array" aca="1" ref="AE80" ca="1">Ver_flag_visit</f>
        <v>#VALUE!</v>
      </c>
      <c r="AF80" s="195" t="str">
        <f ca="1">A79</f>
        <v>Austria</v>
      </c>
      <c r="AG80" s="413">
        <f t="shared" si="258"/>
        <v>0</v>
      </c>
      <c r="AH80" s="196">
        <v>69</v>
      </c>
      <c r="AI80" s="19" t="str">
        <f t="shared" si="263"/>
        <v>3J</v>
      </c>
      <c r="AJ80" s="221">
        <v>3</v>
      </c>
      <c r="AK80" s="486" t="e" cm="1" vm="40">
        <f t="array" aca="1" ref="AK80" ca="1">Ver_flag_visit</f>
        <v>#VALUE!</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Pendiente</v>
      </c>
      <c r="E81" s="744" t="str">
        <f t="shared" si="246"/>
        <v>-</v>
      </c>
      <c r="F81" s="744" t="str">
        <f t="shared" si="247"/>
        <v>-</v>
      </c>
      <c r="G81" s="744"/>
      <c r="H81" s="744" t="str">
        <f t="shared" si="248"/>
        <v>-</v>
      </c>
      <c r="I81" s="744" t="str">
        <f t="shared" si="249"/>
        <v>-</v>
      </c>
      <c r="J81" s="744"/>
      <c r="K81" s="744" t="str">
        <f t="shared" si="250"/>
        <v>-</v>
      </c>
      <c r="L81" s="744" t="str">
        <f t="shared" si="251"/>
        <v>-</v>
      </c>
      <c r="M81" s="744"/>
      <c r="N81" s="744" t="str">
        <f t="shared" si="252"/>
        <v>-</v>
      </c>
      <c r="O81" s="744" t="str">
        <f t="shared" si="253"/>
        <v>-</v>
      </c>
      <c r="P81" s="744"/>
      <c r="Q81" s="744" t="str">
        <f t="shared" si="254"/>
        <v>-</v>
      </c>
      <c r="R81" s="744" t="str">
        <f t="shared" si="255"/>
        <v>-</v>
      </c>
      <c r="S81" s="744"/>
      <c r="T81" s="744" t="str">
        <f t="shared" si="256"/>
        <v>-</v>
      </c>
      <c r="U81" s="744" t="str">
        <f t="shared" si="257"/>
        <v>-</v>
      </c>
      <c r="V81" s="172"/>
      <c r="W81" s="826"/>
      <c r="X81" s="228">
        <f ca="1">Horarios!C81</f>
        <v>46201.166666666664</v>
      </c>
      <c r="Y81" s="229">
        <f ca="1">Horarios!C81</f>
        <v>46201.166666666664</v>
      </c>
      <c r="Z81" s="230" t="str">
        <f>$Z$8</f>
        <v>J3</v>
      </c>
      <c r="AA81" s="231" t="str">
        <f ca="1">A80</f>
        <v>Jordania</v>
      </c>
      <c r="AB81" s="479" t="e" cm="1" vm="40">
        <f t="array" aca="1" ref="AB81" ca="1">Ver_flag_local</f>
        <v>#VALUE!</v>
      </c>
      <c r="AC81" s="232"/>
      <c r="AD81" s="233"/>
      <c r="AE81" s="484" t="e" cm="1" vm="37">
        <f t="array" aca="1" ref="AE81" ca="1">Ver_flag_visit</f>
        <v>#VALUE!</v>
      </c>
      <c r="AF81" s="234" t="str">
        <f ca="1">A77</f>
        <v>Argentina</v>
      </c>
      <c r="AG81" s="413">
        <f t="shared" si="258"/>
        <v>0</v>
      </c>
      <c r="AH81" s="196">
        <v>70</v>
      </c>
      <c r="AI81" s="19" t="str">
        <f t="shared" si="263"/>
        <v>4J</v>
      </c>
      <c r="AJ81" s="235">
        <v>4</v>
      </c>
      <c r="AK81" s="487" t="e" cm="1" vm="38">
        <f t="array" aca="1" ref="AK81" ca="1">Ver_flag_visit</f>
        <v>#VALUE!</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P.2 (2)</v>
      </c>
      <c r="F84" s="744" t="str">
        <f t="shared" ref="F84:F89" ca="1" si="266">IF(D84="Pendiente","-",INDEX($BT$6:$BT$53,MATCH($AF84,$BD$6:$BD$53,0)))</f>
        <v>P.2 (2)</v>
      </c>
      <c r="G84" s="744"/>
      <c r="H84" s="744" t="str">
        <f t="shared" ref="H84:H89" ca="1" si="267">IF(D84="Pendiente","-",INDEX($BZ$6:$BZ$53,MATCH($AA84,$BD$6:$BD$53,0)))</f>
        <v>P.2 (2)</v>
      </c>
      <c r="I84" s="744" t="str">
        <f t="shared" ref="I84:I89" ca="1" si="268">IF(D84="Pendiente","-",INDEX($BZ$6:$BZ$53,MATCH($AF84,$BD$6:$BD$53,0)))</f>
        <v>P.2 (2)</v>
      </c>
      <c r="J84" s="744"/>
      <c r="K84" s="744" t="str">
        <f t="shared" ref="K84:K89" ca="1" si="269">IF(D84="Pendiente","-",INDEX($CE$6:$CE$53,MATCH($AA84,$BD$6:$BD$53,0)))</f>
        <v>P.2 (2)</v>
      </c>
      <c r="L84" s="744" t="str">
        <f t="shared" ref="L84:L89" ca="1" si="270">IF(D84="Pendiente","-",INDEX($CE$6:$CE$53,MATCH($AF84,$BD$6:$BD$53,0)))</f>
        <v>P.2 (2)</v>
      </c>
      <c r="M84" s="744"/>
      <c r="N84" s="744" t="str">
        <f t="shared" ref="N84:N89" ca="1" si="271">IF(D84="Pendiente","-",INDEX($CH$6:$CH$53,MATCH($AA84,$BD$6:$BD$53,0)))</f>
        <v>P.2 (2)</v>
      </c>
      <c r="O84" s="744" t="str">
        <f t="shared" ref="O84:O89" ca="1" si="272">IF(D84="Pendiente","-",INDEX($CH$6:$CH$53,MATCH($AF84,$BD$6:$BD$53,0)))</f>
        <v>P.2 (2)</v>
      </c>
      <c r="P84" s="744"/>
      <c r="Q84" s="744" t="str">
        <f t="shared" ref="Q84:Q89" ca="1" si="273">IF(D84="Pendiente","-",INDEX($CN$6:$CN$53,MATCH($AA84,$BD$6:$BD$53,0)))</f>
        <v>P.2 (2)</v>
      </c>
      <c r="R84" s="744" t="str">
        <f t="shared" ref="R84:R89" ca="1" si="274">IF(D84="Pendiente","-",INDEX($CN$6:$CN$53,MATCH($AF84,$BD$6:$BD$53,0)))</f>
        <v>P.2 (2)</v>
      </c>
      <c r="S84" s="744"/>
      <c r="T84" s="744" t="str">
        <f t="shared" ref="T84:T89" ca="1" si="275">IF(D84="Pendiente","-",INDEX($CS$6:$CS$53,MATCH($AA84,$BD$6:$BD$53,0)))</f>
        <v>P.2 (2)</v>
      </c>
      <c r="U84" s="744" t="str">
        <f t="shared" ref="U84:U89" ca="1" si="276">IF(D84="Pendiente","-",INDEX($CS$6:$CS$53,MATCH($AF84,$BD$6:$BD$53,0)))</f>
        <v>P.2 (2)</v>
      </c>
      <c r="V84" s="172"/>
      <c r="W84" s="831" t="s">
        <v>439</v>
      </c>
      <c r="X84" s="189">
        <f ca="1">Horarios!C84</f>
        <v>46190.791666666664</v>
      </c>
      <c r="Y84" s="190">
        <f ca="1">Horarios!C84</f>
        <v>46190.791666666664</v>
      </c>
      <c r="Z84" s="191" t="str">
        <f>$Z$4</f>
        <v>J1</v>
      </c>
      <c r="AA84" s="192" t="str">
        <f ca="1">A85</f>
        <v>Portugal</v>
      </c>
      <c r="AB84" s="478" t="e" cm="1" vm="41">
        <f t="array" aca="1" ref="AB84" ca="1">Ver_flag_local</f>
        <v>#VALUE!</v>
      </c>
      <c r="AC84" s="193">
        <v>1</v>
      </c>
      <c r="AD84" s="194">
        <v>1</v>
      </c>
      <c r="AE84" s="483" t="e" cm="1" vm="42">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05"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31"/>
      <c r="X85" s="189">
        <f ca="1">Horarios!C85</f>
        <v>46191.166666666664</v>
      </c>
      <c r="Y85" s="190">
        <f ca="1">Horarios!C85</f>
        <v>46191.166666666664</v>
      </c>
      <c r="Z85" s="191" t="str">
        <f>$Z$4</f>
        <v>J1</v>
      </c>
      <c r="AA85" s="192" t="str">
        <f ca="1">A87</f>
        <v>Uzbekistán</v>
      </c>
      <c r="AB85" s="478" t="e" cm="1" vm="43">
        <f t="array" aca="1" ref="AB85" ca="1">Ver_flag_local</f>
        <v>#VALUE!</v>
      </c>
      <c r="AC85" s="193">
        <v>1</v>
      </c>
      <c r="AD85" s="194">
        <v>3</v>
      </c>
      <c r="AE85" s="483" t="e" cm="1" vm="44">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05" customHeight="1">
      <c r="A86" s="745" t="str">
        <f ca="1">+Equipos!B43</f>
        <v>RD Congo</v>
      </c>
      <c r="B86" s="742"/>
      <c r="C86" s="746"/>
      <c r="D86" s="744" t="str">
        <f t="shared" si="264"/>
        <v>Pendiente</v>
      </c>
      <c r="E86" s="744" t="str">
        <f t="shared" si="265"/>
        <v>-</v>
      </c>
      <c r="F86" s="744" t="str">
        <f t="shared" si="266"/>
        <v>-</v>
      </c>
      <c r="G86" s="744"/>
      <c r="H86" s="744" t="str">
        <f t="shared" si="267"/>
        <v>-</v>
      </c>
      <c r="I86" s="744" t="str">
        <f t="shared" si="268"/>
        <v>-</v>
      </c>
      <c r="J86" s="744"/>
      <c r="K86" s="744" t="str">
        <f t="shared" si="269"/>
        <v>-</v>
      </c>
      <c r="L86" s="744" t="str">
        <f t="shared" si="270"/>
        <v>-</v>
      </c>
      <c r="M86" s="744"/>
      <c r="N86" s="744" t="str">
        <f t="shared" si="271"/>
        <v>-</v>
      </c>
      <c r="O86" s="744" t="str">
        <f t="shared" si="272"/>
        <v>-</v>
      </c>
      <c r="P86" s="744"/>
      <c r="Q86" s="744" t="str">
        <f t="shared" si="273"/>
        <v>-</v>
      </c>
      <c r="R86" s="744" t="str">
        <f t="shared" si="274"/>
        <v>-</v>
      </c>
      <c r="S86" s="744"/>
      <c r="T86" s="744" t="str">
        <f t="shared" si="275"/>
        <v>-</v>
      </c>
      <c r="U86" s="744" t="str">
        <f t="shared" si="276"/>
        <v>-</v>
      </c>
      <c r="V86" s="172"/>
      <c r="W86" s="831"/>
      <c r="X86" s="189">
        <f ca="1">Horarios!C86</f>
        <v>46196.791666666664</v>
      </c>
      <c r="Y86" s="190">
        <f ca="1">Horarios!C86</f>
        <v>46196.791666666664</v>
      </c>
      <c r="Z86" s="191" t="str">
        <f>$Z$6</f>
        <v>J2</v>
      </c>
      <c r="AA86" s="192" t="str">
        <f ca="1">A85</f>
        <v>Portugal</v>
      </c>
      <c r="AB86" s="478" t="e" cm="1" vm="41">
        <f t="array" aca="1" ref="AB86" ca="1">Ver_flag_local</f>
        <v>#VALUE!</v>
      </c>
      <c r="AC86" s="193"/>
      <c r="AD86" s="194"/>
      <c r="AE86" s="483" t="e" cm="1" vm="43">
        <f t="array" aca="1" ref="AE86" ca="1">Ver_flag_visit</f>
        <v>#VALUE!</v>
      </c>
      <c r="AF86" s="195" t="str">
        <f ca="1">A87</f>
        <v>Uzbekistán</v>
      </c>
      <c r="AG86" s="413">
        <f t="shared" si="277"/>
        <v>0</v>
      </c>
      <c r="AH86" s="196">
        <v>47</v>
      </c>
      <c r="AI86" s="19" t="str">
        <f>AJ86&amp;$B$84</f>
        <v>1K</v>
      </c>
      <c r="AJ86" s="211">
        <v>1</v>
      </c>
      <c r="AK86" s="488" t="e" cm="1" vm="44">
        <f t="array" aca="1" ref="AK86" ca="1">Ver_flag_visit</f>
        <v>#VALUE!</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05" customHeight="1">
      <c r="A87" s="745" t="str">
        <f ca="1">+Equipos!B44</f>
        <v>Uzbekistán</v>
      </c>
      <c r="B87" s="742"/>
      <c r="C87" s="744"/>
      <c r="D87" s="744" t="str">
        <f t="shared" si="264"/>
        <v>Pendiente</v>
      </c>
      <c r="E87" s="744" t="str">
        <f t="shared" si="265"/>
        <v>-</v>
      </c>
      <c r="F87" s="744" t="str">
        <f t="shared" si="266"/>
        <v>-</v>
      </c>
      <c r="G87" s="744"/>
      <c r="H87" s="744" t="str">
        <f t="shared" si="267"/>
        <v>-</v>
      </c>
      <c r="I87" s="744" t="str">
        <f t="shared" si="268"/>
        <v>-</v>
      </c>
      <c r="J87" s="744"/>
      <c r="K87" s="744" t="str">
        <f t="shared" si="269"/>
        <v>-</v>
      </c>
      <c r="L87" s="744" t="str">
        <f t="shared" si="270"/>
        <v>-</v>
      </c>
      <c r="M87" s="744"/>
      <c r="N87" s="744" t="str">
        <f t="shared" si="271"/>
        <v>-</v>
      </c>
      <c r="O87" s="744" t="str">
        <f t="shared" si="272"/>
        <v>-</v>
      </c>
      <c r="P87" s="744"/>
      <c r="Q87" s="744" t="str">
        <f t="shared" si="273"/>
        <v>-</v>
      </c>
      <c r="R87" s="744" t="str">
        <f t="shared" si="274"/>
        <v>-</v>
      </c>
      <c r="S87" s="744"/>
      <c r="T87" s="744" t="str">
        <f t="shared" si="275"/>
        <v>-</v>
      </c>
      <c r="U87" s="744" t="str">
        <f t="shared" si="276"/>
        <v>-</v>
      </c>
      <c r="V87" s="172"/>
      <c r="W87" s="831"/>
      <c r="X87" s="189">
        <f ca="1">Horarios!C87</f>
        <v>46197.166666666664</v>
      </c>
      <c r="Y87" s="190">
        <f ca="1">Horarios!C87</f>
        <v>46197.166666666664</v>
      </c>
      <c r="Z87" s="191" t="str">
        <f>$Z$6</f>
        <v>J2</v>
      </c>
      <c r="AA87" s="192" t="str">
        <f ca="1">A88</f>
        <v>Colombia</v>
      </c>
      <c r="AB87" s="478" t="e" cm="1" vm="44">
        <f t="array" aca="1" ref="AB87" ca="1">Ver_flag_local</f>
        <v>#VALUE!</v>
      </c>
      <c r="AC87" s="193"/>
      <c r="AD87" s="194"/>
      <c r="AE87" s="483" t="e" cm="1" vm="42">
        <f t="array" aca="1" ref="AE87" ca="1">Ver_flag_visit</f>
        <v>#VALUE!</v>
      </c>
      <c r="AF87" s="195" t="str">
        <f ca="1">A86</f>
        <v>RD Congo</v>
      </c>
      <c r="AG87" s="413">
        <f t="shared" si="277"/>
        <v>0</v>
      </c>
      <c r="AH87" s="196">
        <v>48</v>
      </c>
      <c r="AI87" s="19" t="str">
        <f t="shared" ref="AI87:AI89" si="282">AJ87&amp;$B$84</f>
        <v>2K</v>
      </c>
      <c r="AJ87" s="221">
        <v>2</v>
      </c>
      <c r="AK87" s="486" t="e" cm="1" vm="41">
        <f t="array" aca="1" ref="AK87" ca="1">Ver_flag_visit</f>
        <v>#VALUE!</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05" customHeight="1">
      <c r="A88" s="745" t="str">
        <f ca="1">+Equipos!B45</f>
        <v>Colombia</v>
      </c>
      <c r="B88" s="742"/>
      <c r="C88" s="744"/>
      <c r="D88" s="744" t="str">
        <f t="shared" si="264"/>
        <v>Pendiente</v>
      </c>
      <c r="E88" s="744" t="str">
        <f t="shared" si="265"/>
        <v>-</v>
      </c>
      <c r="F88" s="744" t="str">
        <f t="shared" si="266"/>
        <v>-</v>
      </c>
      <c r="G88" s="744"/>
      <c r="H88" s="744" t="str">
        <f t="shared" si="267"/>
        <v>-</v>
      </c>
      <c r="I88" s="744" t="str">
        <f t="shared" si="268"/>
        <v>-</v>
      </c>
      <c r="J88" s="744"/>
      <c r="K88" s="744" t="str">
        <f t="shared" si="269"/>
        <v>-</v>
      </c>
      <c r="L88" s="744" t="str">
        <f t="shared" si="270"/>
        <v>-</v>
      </c>
      <c r="M88" s="744"/>
      <c r="N88" s="744" t="str">
        <f t="shared" si="271"/>
        <v>-</v>
      </c>
      <c r="O88" s="744" t="str">
        <f t="shared" si="272"/>
        <v>-</v>
      </c>
      <c r="P88" s="744"/>
      <c r="Q88" s="744" t="str">
        <f t="shared" si="273"/>
        <v>-</v>
      </c>
      <c r="R88" s="744" t="str">
        <f t="shared" si="274"/>
        <v>-</v>
      </c>
      <c r="S88" s="744"/>
      <c r="T88" s="744" t="str">
        <f t="shared" si="275"/>
        <v>-</v>
      </c>
      <c r="U88" s="744" t="str">
        <f t="shared" si="276"/>
        <v>-</v>
      </c>
      <c r="V88" s="172"/>
      <c r="W88" s="831"/>
      <c r="X88" s="189">
        <f ca="1">Horarios!C88</f>
        <v>46201.0625</v>
      </c>
      <c r="Y88" s="190">
        <f ca="1">Horarios!C88</f>
        <v>46201.0625</v>
      </c>
      <c r="Z88" s="191" t="str">
        <f>$Z$8</f>
        <v>J3</v>
      </c>
      <c r="AA88" s="192" t="str">
        <f ca="1">A88</f>
        <v>Colombia</v>
      </c>
      <c r="AB88" s="478" t="e" cm="1" vm="44">
        <f t="array" aca="1" ref="AB88" ca="1">Ver_flag_local</f>
        <v>#VALUE!</v>
      </c>
      <c r="AC88" s="193"/>
      <c r="AD88" s="194"/>
      <c r="AE88" s="483" t="e" cm="1" vm="41">
        <f t="array" aca="1" ref="AE88" ca="1">Ver_flag_visit</f>
        <v>#VALUE!</v>
      </c>
      <c r="AF88" s="195" t="str">
        <f ca="1">A85</f>
        <v>Portugal</v>
      </c>
      <c r="AG88" s="413">
        <f t="shared" si="277"/>
        <v>0</v>
      </c>
      <c r="AH88" s="196">
        <v>71</v>
      </c>
      <c r="AI88" s="19" t="str">
        <f t="shared" si="282"/>
        <v>3K</v>
      </c>
      <c r="AJ88" s="221">
        <v>3</v>
      </c>
      <c r="AK88" s="486" t="e" cm="1" vm="42">
        <f t="array" aca="1" ref="AK88" ca="1">Ver_flag_visit</f>
        <v>#VALUE!</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Pendiente</v>
      </c>
      <c r="E89" s="744" t="str">
        <f t="shared" si="265"/>
        <v>-</v>
      </c>
      <c r="F89" s="744" t="str">
        <f t="shared" si="266"/>
        <v>-</v>
      </c>
      <c r="G89" s="744"/>
      <c r="H89" s="744" t="str">
        <f t="shared" si="267"/>
        <v>-</v>
      </c>
      <c r="I89" s="744" t="str">
        <f t="shared" si="268"/>
        <v>-</v>
      </c>
      <c r="J89" s="744"/>
      <c r="K89" s="744" t="str">
        <f t="shared" si="269"/>
        <v>-</v>
      </c>
      <c r="L89" s="744" t="str">
        <f t="shared" si="270"/>
        <v>-</v>
      </c>
      <c r="M89" s="744"/>
      <c r="N89" s="744" t="str">
        <f t="shared" si="271"/>
        <v>-</v>
      </c>
      <c r="O89" s="744" t="str">
        <f t="shared" si="272"/>
        <v>-</v>
      </c>
      <c r="P89" s="744"/>
      <c r="Q89" s="744" t="str">
        <f t="shared" si="273"/>
        <v>-</v>
      </c>
      <c r="R89" s="744" t="str">
        <f t="shared" si="274"/>
        <v>-</v>
      </c>
      <c r="S89" s="744"/>
      <c r="T89" s="744" t="str">
        <f t="shared" si="275"/>
        <v>-</v>
      </c>
      <c r="U89" s="744" t="str">
        <f t="shared" si="276"/>
        <v>-</v>
      </c>
      <c r="V89" s="172"/>
      <c r="W89" s="832"/>
      <c r="X89" s="228">
        <f ca="1">Horarios!C89</f>
        <v>46201.0625</v>
      </c>
      <c r="Y89" s="229">
        <f ca="1">Horarios!C89</f>
        <v>46201.0625</v>
      </c>
      <c r="Z89" s="230" t="str">
        <f>$Z$8</f>
        <v>J3</v>
      </c>
      <c r="AA89" s="231" t="str">
        <f ca="1">A86</f>
        <v>RD Congo</v>
      </c>
      <c r="AB89" s="479" t="e" cm="1" vm="42">
        <f t="array" aca="1" ref="AB89" ca="1">Ver_flag_local</f>
        <v>#VALUE!</v>
      </c>
      <c r="AC89" s="232"/>
      <c r="AD89" s="233"/>
      <c r="AE89" s="484" t="e" cm="1" vm="43">
        <f t="array" aca="1" ref="AE89" ca="1">Ver_flag_visit</f>
        <v>#VALUE!</v>
      </c>
      <c r="AF89" s="234" t="str">
        <f ca="1">A87</f>
        <v>Uzbekistán</v>
      </c>
      <c r="AG89" s="413">
        <f t="shared" si="277"/>
        <v>0</v>
      </c>
      <c r="AH89" s="196">
        <v>72</v>
      </c>
      <c r="AI89" s="19" t="str">
        <f t="shared" si="282"/>
        <v>4K</v>
      </c>
      <c r="AJ89" s="235">
        <v>4</v>
      </c>
      <c r="AK89" s="487" t="e" cm="1" vm="43">
        <f t="array" aca="1" ref="AK89" ca="1">Ver_flag_visit</f>
        <v>#VALUE!</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P.1 (2)</v>
      </c>
      <c r="F92" s="744" t="str">
        <f t="shared" ref="F92:F97" ca="1" si="285">IF(D92="Pendiente","-",INDEX($BT$6:$BT$53,MATCH($AF92,$BD$6:$BD$53,0)))</f>
        <v>P.3 (2)</v>
      </c>
      <c r="G92" s="744"/>
      <c r="H92" s="744" t="str">
        <f t="shared" ref="H92:H97" ca="1" si="286">IF(D92="Pendiente","-",INDEX($BZ$6:$BZ$53,MATCH($AA92,$BD$6:$BD$53,0)))</f>
        <v>P.1 (2)</v>
      </c>
      <c r="I92" s="744" t="str">
        <f t="shared" ref="I92:I97" ca="1" si="287">IF(D92="Pendiente","-",INDEX($BZ$6:$BZ$53,MATCH($AF92,$BD$6:$BD$53,0)))</f>
        <v>P.3 (2)</v>
      </c>
      <c r="J92" s="744"/>
      <c r="K92" s="744" t="str">
        <f t="shared" ref="K92:K97" ca="1" si="288">IF(D92="Pendiente","-",INDEX($CE$6:$CE$53,MATCH($AA92,$BD$6:$BD$53,0)))</f>
        <v>P.1 (2)</v>
      </c>
      <c r="L92" s="744" t="str">
        <f t="shared" ref="L92:L97" ca="1" si="289">IF(D92="Pendiente","-",INDEX($CE$6:$CE$53,MATCH($AF92,$BD$6:$BD$53,0)))</f>
        <v>P.3 (2)</v>
      </c>
      <c r="M92" s="744"/>
      <c r="N92" s="744" t="str">
        <f t="shared" ref="N92:N97" ca="1" si="290">IF(D92="Pendiente","-",INDEX($CH$6:$CH$53,MATCH($AA92,$BD$6:$BD$53,0)))</f>
        <v>P.1 (2)</v>
      </c>
      <c r="O92" s="744" t="str">
        <f t="shared" ref="O92:O97" ca="1" si="291">IF(D92="Pendiente","-",INDEX($CH$6:$CH$53,MATCH($AF92,$BD$6:$BD$53,0)))</f>
        <v>P.3 (2)</v>
      </c>
      <c r="P92" s="744"/>
      <c r="Q92" s="744" t="str">
        <f t="shared" ref="Q92:Q97" ca="1" si="292">IF(D92="Pendiente","-",INDEX($CN$6:$CN$53,MATCH($AA92,$BD$6:$BD$53,0)))</f>
        <v>P.1 (2)</v>
      </c>
      <c r="R92" s="744" t="str">
        <f t="shared" ref="R92:R97" ca="1" si="293">IF(D92="Pendiente","-",INDEX($CN$6:$CN$53,MATCH($AF92,$BD$6:$BD$53,0)))</f>
        <v>P.3 (2)</v>
      </c>
      <c r="S92" s="744"/>
      <c r="T92" s="744" t="str">
        <f t="shared" ref="T92:T97" ca="1" si="294">IF(D92="Pendiente","-",INDEX($CS$6:$CS$53,MATCH($AA92,$BD$6:$BD$53,0)))</f>
        <v>P.1 (2)</v>
      </c>
      <c r="U92" s="744" t="str">
        <f t="shared" ref="U92:U97" ca="1" si="295">IF(D92="Pendiente","-",INDEX($CS$6:$CS$53,MATCH($AF92,$BD$6:$BD$53,0)))</f>
        <v>P.3 (2)</v>
      </c>
      <c r="V92" s="172"/>
      <c r="W92" s="827" t="s">
        <v>238</v>
      </c>
      <c r="X92" s="189">
        <f ca="1">Horarios!C92</f>
        <v>46190.916666666664</v>
      </c>
      <c r="Y92" s="190">
        <f ca="1">Horarios!C92</f>
        <v>46190.916666666664</v>
      </c>
      <c r="Z92" s="191" t="str">
        <f>$Z$4</f>
        <v>J1</v>
      </c>
      <c r="AA92" s="192" t="str">
        <f ca="1">A93</f>
        <v>Inglaterra</v>
      </c>
      <c r="AB92" s="478" t="e" cm="1" vm="45">
        <f t="array" aca="1" ref="AB92" ca="1">Ver_flag_local</f>
        <v>#VALUE!</v>
      </c>
      <c r="AC92" s="193">
        <v>4</v>
      </c>
      <c r="AD92" s="194">
        <v>2</v>
      </c>
      <c r="AE92" s="483" t="e" cm="1" vm="46">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05" customHeight="1">
      <c r="A93" s="745" t="str">
        <f ca="1">+Equipos!B46</f>
        <v>Inglaterra</v>
      </c>
      <c r="B93" s="742"/>
      <c r="C93" s="742"/>
      <c r="D93" s="744" t="str">
        <f t="shared" si="283"/>
        <v>Local</v>
      </c>
      <c r="E93" s="744" t="str">
        <f t="shared" ca="1" si="284"/>
        <v>P.1 (2)</v>
      </c>
      <c r="F93" s="744" t="str">
        <f t="shared" ca="1" si="285"/>
        <v>P.3 (2)</v>
      </c>
      <c r="G93" s="744"/>
      <c r="H93" s="744" t="str">
        <f t="shared" ca="1" si="286"/>
        <v>P.1 (2)</v>
      </c>
      <c r="I93" s="744" t="str">
        <f t="shared" ca="1" si="287"/>
        <v>P.3 (2)</v>
      </c>
      <c r="J93" s="744"/>
      <c r="K93" s="744" t="str">
        <f t="shared" ca="1" si="288"/>
        <v>P.1 (2)</v>
      </c>
      <c r="L93" s="744" t="str">
        <f t="shared" ca="1" si="289"/>
        <v>P.3 (2)</v>
      </c>
      <c r="M93" s="744"/>
      <c r="N93" s="744" t="str">
        <f t="shared" ca="1" si="290"/>
        <v>P.1 (2)</v>
      </c>
      <c r="O93" s="744" t="str">
        <f t="shared" ca="1" si="291"/>
        <v>P.3 (2)</v>
      </c>
      <c r="P93" s="744"/>
      <c r="Q93" s="744" t="str">
        <f t="shared" ca="1" si="292"/>
        <v>P.1 (2)</v>
      </c>
      <c r="R93" s="744" t="str">
        <f t="shared" ca="1" si="293"/>
        <v>P.3 (2)</v>
      </c>
      <c r="S93" s="744"/>
      <c r="T93" s="744" t="str">
        <f t="shared" ca="1" si="294"/>
        <v>P.1 (2)</v>
      </c>
      <c r="U93" s="744" t="str">
        <f t="shared" ca="1" si="295"/>
        <v>P.3 (2)</v>
      </c>
      <c r="V93" s="172"/>
      <c r="W93" s="827"/>
      <c r="X93" s="189">
        <f ca="1">Horarios!C93</f>
        <v>46191.041666666664</v>
      </c>
      <c r="Y93" s="190">
        <f ca="1">Horarios!C93</f>
        <v>46191.041666666664</v>
      </c>
      <c r="Z93" s="191" t="str">
        <f>$Z$4</f>
        <v>J1</v>
      </c>
      <c r="AA93" s="192" t="str">
        <f ca="1">A95</f>
        <v>Ghana</v>
      </c>
      <c r="AB93" s="478" t="e" cm="1" vm="47">
        <f t="array" aca="1" ref="AB93" ca="1">Ver_flag_local</f>
        <v>#VALUE!</v>
      </c>
      <c r="AC93" s="193">
        <v>1</v>
      </c>
      <c r="AD93" s="194">
        <v>0</v>
      </c>
      <c r="AE93" s="483" t="e" cm="1" vm="48">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05" customHeight="1">
      <c r="A94" s="745" t="str">
        <f ca="1">+Equipos!B47</f>
        <v>Croacia</v>
      </c>
      <c r="B94" s="742"/>
      <c r="C94" s="746"/>
      <c r="D94" s="744" t="str">
        <f t="shared" si="283"/>
        <v>Pendiente</v>
      </c>
      <c r="E94" s="744" t="str">
        <f t="shared" si="284"/>
        <v>-</v>
      </c>
      <c r="F94" s="744" t="str">
        <f t="shared" si="285"/>
        <v>-</v>
      </c>
      <c r="G94" s="744"/>
      <c r="H94" s="744" t="str">
        <f t="shared" si="286"/>
        <v>-</v>
      </c>
      <c r="I94" s="744" t="str">
        <f t="shared" si="287"/>
        <v>-</v>
      </c>
      <c r="J94" s="744"/>
      <c r="K94" s="744" t="str">
        <f t="shared" si="288"/>
        <v>-</v>
      </c>
      <c r="L94" s="744" t="str">
        <f t="shared" si="289"/>
        <v>-</v>
      </c>
      <c r="M94" s="744"/>
      <c r="N94" s="744" t="str">
        <f t="shared" si="290"/>
        <v>-</v>
      </c>
      <c r="O94" s="744" t="str">
        <f t="shared" si="291"/>
        <v>-</v>
      </c>
      <c r="P94" s="744"/>
      <c r="Q94" s="744" t="str">
        <f t="shared" si="292"/>
        <v>-</v>
      </c>
      <c r="R94" s="744" t="str">
        <f t="shared" si="293"/>
        <v>-</v>
      </c>
      <c r="S94" s="744"/>
      <c r="T94" s="744" t="str">
        <f t="shared" si="294"/>
        <v>-</v>
      </c>
      <c r="U94" s="744" t="str">
        <f t="shared" si="295"/>
        <v>-</v>
      </c>
      <c r="V94" s="172"/>
      <c r="W94" s="827"/>
      <c r="X94" s="189">
        <f ca="1">Horarios!C94</f>
        <v>46196.916666666664</v>
      </c>
      <c r="Y94" s="190">
        <f ca="1">Horarios!C94</f>
        <v>46196.916666666664</v>
      </c>
      <c r="Z94" s="191" t="str">
        <f>$Z$6</f>
        <v>J2</v>
      </c>
      <c r="AA94" s="192" t="str">
        <f ca="1">A93</f>
        <v>Inglaterra</v>
      </c>
      <c r="AB94" s="478" t="e" cm="1" vm="45">
        <f t="array" aca="1" ref="AB94" ca="1">Ver_flag_local</f>
        <v>#VALUE!</v>
      </c>
      <c r="AC94" s="193"/>
      <c r="AD94" s="194"/>
      <c r="AE94" s="483" t="e" cm="1" vm="47">
        <f t="array" aca="1" ref="AE94" ca="1">Ver_flag_visit</f>
        <v>#VALUE!</v>
      </c>
      <c r="AF94" s="195" t="str">
        <f ca="1">A95</f>
        <v>Ghana</v>
      </c>
      <c r="AG94" s="413">
        <f t="shared" si="296"/>
        <v>0</v>
      </c>
      <c r="AH94" s="196">
        <v>45</v>
      </c>
      <c r="AI94" s="19" t="str">
        <f>AJ94&amp;$B$92</f>
        <v>1L</v>
      </c>
      <c r="AJ94" s="211">
        <v>1</v>
      </c>
      <c r="AK94" s="488" t="e" cm="1" vm="45">
        <f t="array" aca="1" ref="AK94" ca="1">Ver_flag_visit</f>
        <v>#VALUE!</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05" customHeight="1">
      <c r="A95" s="745" t="str">
        <f ca="1">+Equipos!B48</f>
        <v>Ghana</v>
      </c>
      <c r="B95" s="742"/>
      <c r="C95" s="744"/>
      <c r="D95" s="744" t="str">
        <f t="shared" si="283"/>
        <v>Pendiente</v>
      </c>
      <c r="E95" s="744" t="str">
        <f t="shared" si="284"/>
        <v>-</v>
      </c>
      <c r="F95" s="744" t="str">
        <f t="shared" si="285"/>
        <v>-</v>
      </c>
      <c r="G95" s="744"/>
      <c r="H95" s="744" t="str">
        <f t="shared" si="286"/>
        <v>-</v>
      </c>
      <c r="I95" s="744" t="str">
        <f t="shared" si="287"/>
        <v>-</v>
      </c>
      <c r="J95" s="744"/>
      <c r="K95" s="744" t="str">
        <f t="shared" si="288"/>
        <v>-</v>
      </c>
      <c r="L95" s="744" t="str">
        <f t="shared" si="289"/>
        <v>-</v>
      </c>
      <c r="M95" s="744"/>
      <c r="N95" s="744" t="str">
        <f t="shared" si="290"/>
        <v>-</v>
      </c>
      <c r="O95" s="744" t="str">
        <f t="shared" si="291"/>
        <v>-</v>
      </c>
      <c r="P95" s="744"/>
      <c r="Q95" s="744" t="str">
        <f t="shared" si="292"/>
        <v>-</v>
      </c>
      <c r="R95" s="744" t="str">
        <f t="shared" si="293"/>
        <v>-</v>
      </c>
      <c r="S95" s="744"/>
      <c r="T95" s="744" t="str">
        <f t="shared" si="294"/>
        <v>-</v>
      </c>
      <c r="U95" s="744" t="str">
        <f t="shared" si="295"/>
        <v>-</v>
      </c>
      <c r="V95" s="172"/>
      <c r="W95" s="827"/>
      <c r="X95" s="189">
        <f ca="1">Horarios!C95</f>
        <v>46197.041666666664</v>
      </c>
      <c r="Y95" s="190">
        <f ca="1">Horarios!C95</f>
        <v>46197.041666666664</v>
      </c>
      <c r="Z95" s="191" t="str">
        <f>$Z$6</f>
        <v>J2</v>
      </c>
      <c r="AA95" s="192" t="str">
        <f ca="1">A96</f>
        <v>Panamá</v>
      </c>
      <c r="AB95" s="478" t="e" cm="1" vm="48">
        <f t="array" aca="1" ref="AB95" ca="1">Ver_flag_local</f>
        <v>#VALUE!</v>
      </c>
      <c r="AC95" s="193"/>
      <c r="AD95" s="194"/>
      <c r="AE95" s="483" t="e" cm="1" vm="46">
        <f t="array" aca="1" ref="AE95" ca="1">Ver_flag_visit</f>
        <v>#VALUE!</v>
      </c>
      <c r="AF95" s="195" t="str">
        <f ca="1">A94</f>
        <v>Croacia</v>
      </c>
      <c r="AG95" s="413">
        <f t="shared" si="296"/>
        <v>0</v>
      </c>
      <c r="AH95" s="196">
        <v>46</v>
      </c>
      <c r="AI95" s="19" t="str">
        <f t="shared" ref="AI95:AI97" si="301">AJ95&amp;$B$92</f>
        <v>2L</v>
      </c>
      <c r="AJ95" s="221">
        <v>2</v>
      </c>
      <c r="AK95" s="486" t="e" cm="1" vm="47">
        <f t="array" aca="1" ref="AK95" ca="1">Ver_flag_visit</f>
        <v>#VALUE!</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05" customHeight="1">
      <c r="A96" s="745" t="str">
        <f ca="1">+Equipos!B49</f>
        <v>Panamá</v>
      </c>
      <c r="B96" s="742"/>
      <c r="C96" s="744"/>
      <c r="D96" s="744" t="str">
        <f t="shared" si="283"/>
        <v>Pendiente</v>
      </c>
      <c r="E96" s="744" t="str">
        <f t="shared" si="284"/>
        <v>-</v>
      </c>
      <c r="F96" s="744" t="str">
        <f t="shared" si="285"/>
        <v>-</v>
      </c>
      <c r="G96" s="744"/>
      <c r="H96" s="744" t="str">
        <f t="shared" si="286"/>
        <v>-</v>
      </c>
      <c r="I96" s="744" t="str">
        <f t="shared" si="287"/>
        <v>-</v>
      </c>
      <c r="J96" s="744"/>
      <c r="K96" s="744" t="str">
        <f t="shared" si="288"/>
        <v>-</v>
      </c>
      <c r="L96" s="744" t="str">
        <f t="shared" si="289"/>
        <v>-</v>
      </c>
      <c r="M96" s="744"/>
      <c r="N96" s="744" t="str">
        <f t="shared" si="290"/>
        <v>-</v>
      </c>
      <c r="O96" s="744" t="str">
        <f t="shared" si="291"/>
        <v>-</v>
      </c>
      <c r="P96" s="744"/>
      <c r="Q96" s="744" t="str">
        <f t="shared" si="292"/>
        <v>-</v>
      </c>
      <c r="R96" s="744" t="str">
        <f t="shared" si="293"/>
        <v>-</v>
      </c>
      <c r="S96" s="744"/>
      <c r="T96" s="744" t="str">
        <f t="shared" si="294"/>
        <v>-</v>
      </c>
      <c r="U96" s="744" t="str">
        <f t="shared" si="295"/>
        <v>-</v>
      </c>
      <c r="V96" s="172"/>
      <c r="W96" s="827"/>
      <c r="X96" s="189">
        <f ca="1">Horarios!C96</f>
        <v>46200.958333333336</v>
      </c>
      <c r="Y96" s="190">
        <f ca="1">Horarios!C96</f>
        <v>46200.958333333336</v>
      </c>
      <c r="Z96" s="191" t="str">
        <f>$Z$8</f>
        <v>J3</v>
      </c>
      <c r="AA96" s="192" t="str">
        <f ca="1">A96</f>
        <v>Panamá</v>
      </c>
      <c r="AB96" s="478" t="e" cm="1" vm="48">
        <f t="array" aca="1" ref="AB96" ca="1">Ver_flag_local</f>
        <v>#VALUE!</v>
      </c>
      <c r="AC96" s="193"/>
      <c r="AD96" s="194"/>
      <c r="AE96" s="483" t="e" cm="1" vm="45">
        <f t="array" aca="1" ref="AE96" ca="1">Ver_flag_visit</f>
        <v>#VALUE!</v>
      </c>
      <c r="AF96" s="195" t="str">
        <f ca="1">A93</f>
        <v>Inglaterra</v>
      </c>
      <c r="AG96" s="413">
        <f t="shared" si="296"/>
        <v>0</v>
      </c>
      <c r="AH96" s="196">
        <v>67</v>
      </c>
      <c r="AI96" s="19" t="str">
        <f t="shared" si="301"/>
        <v>3L</v>
      </c>
      <c r="AJ96" s="221">
        <v>3</v>
      </c>
      <c r="AK96" s="486" t="e" cm="1" vm="48">
        <f t="array" aca="1" ref="AK96" ca="1">Ver_flag_visit</f>
        <v>#VALUE!</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Pendiente</v>
      </c>
      <c r="E97" s="744" t="str">
        <f t="shared" si="284"/>
        <v>-</v>
      </c>
      <c r="F97" s="744" t="str">
        <f t="shared" si="285"/>
        <v>-</v>
      </c>
      <c r="G97" s="744"/>
      <c r="H97" s="744" t="str">
        <f t="shared" si="286"/>
        <v>-</v>
      </c>
      <c r="I97" s="744" t="str">
        <f t="shared" si="287"/>
        <v>-</v>
      </c>
      <c r="J97" s="744"/>
      <c r="K97" s="744" t="str">
        <f t="shared" si="288"/>
        <v>-</v>
      </c>
      <c r="L97" s="744" t="str">
        <f t="shared" si="289"/>
        <v>-</v>
      </c>
      <c r="M97" s="744"/>
      <c r="N97" s="744" t="str">
        <f t="shared" si="290"/>
        <v>-</v>
      </c>
      <c r="O97" s="744" t="str">
        <f t="shared" si="291"/>
        <v>-</v>
      </c>
      <c r="P97" s="744"/>
      <c r="Q97" s="744" t="str">
        <f t="shared" si="292"/>
        <v>-</v>
      </c>
      <c r="R97" s="744" t="str">
        <f t="shared" si="293"/>
        <v>-</v>
      </c>
      <c r="S97" s="744"/>
      <c r="T97" s="744" t="str">
        <f t="shared" si="294"/>
        <v>-</v>
      </c>
      <c r="U97" s="744" t="str">
        <f t="shared" si="295"/>
        <v>-</v>
      </c>
      <c r="V97" s="172"/>
      <c r="W97" s="828"/>
      <c r="X97" s="228">
        <f ca="1">Horarios!C97</f>
        <v>46200.958333333336</v>
      </c>
      <c r="Y97" s="229">
        <f ca="1">Horarios!C97</f>
        <v>46200.958333333336</v>
      </c>
      <c r="Z97" s="230" t="str">
        <f>$Z$8</f>
        <v>J3</v>
      </c>
      <c r="AA97" s="231" t="str">
        <f ca="1">A94</f>
        <v>Croacia</v>
      </c>
      <c r="AB97" s="479" t="e" cm="1" vm="46">
        <f t="array" aca="1" ref="AB97" ca="1">Ver_flag_local</f>
        <v>#VALUE!</v>
      </c>
      <c r="AC97" s="232"/>
      <c r="AD97" s="233"/>
      <c r="AE97" s="484" t="e" cm="1" vm="47">
        <f t="array" aca="1" ref="AE97" ca="1">Ver_flag_visit</f>
        <v>#VALUE!</v>
      </c>
      <c r="AF97" s="234" t="str">
        <f ca="1">A95</f>
        <v>Ghana</v>
      </c>
      <c r="AG97" s="413">
        <f t="shared" si="296"/>
        <v>0</v>
      </c>
      <c r="AH97" s="196">
        <v>68</v>
      </c>
      <c r="AI97" s="19" t="str">
        <f t="shared" si="301"/>
        <v>4L</v>
      </c>
      <c r="AJ97" s="235">
        <v>4</v>
      </c>
      <c r="AK97" s="487" t="e" cm="1" vm="46">
        <f t="array" aca="1" ref="AK97" ca="1">Ver_flag_visit</f>
        <v>#VALUE!</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05"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05" customHeight="1" thickBot="1">
      <c r="A101" s="738" t="s">
        <v>646</v>
      </c>
      <c r="B101" s="738" t="s">
        <v>649</v>
      </c>
      <c r="C101" s="739"/>
      <c r="D101" s="747" t="str">
        <f t="shared" ref="D101:D116" si="302">IF(AND(OR(AC101="",AD101="")),"W"&amp;AH101,IF(AC101&gt;AD101,AA101,IF(AC101&lt;AD101,AF101,IF(AND(AC101=AD101,AB101=AE101),"W"&amp;AH101,IF(AND(AC101=AD101,OR(AB101="",AE101="")),"W"&amp;AH101,IF(AND(AC101=AD101,AB101&gt;AE101),AA101,AF101))))))</f>
        <v>W73</v>
      </c>
      <c r="E101" s="739" t="s">
        <v>0</v>
      </c>
      <c r="F101" s="739" t="s">
        <v>1</v>
      </c>
      <c r="G101" s="748" t="s">
        <v>0</v>
      </c>
      <c r="H101" s="749">
        <f t="shared" ref="H101:H112" ca="1" si="303">+SUMIF($BC$6:$BC$53,G101,$BF$6:$BF$53)</f>
        <v>4</v>
      </c>
      <c r="I101" s="744"/>
      <c r="J101" s="738">
        <v>73</v>
      </c>
      <c r="K101" s="738">
        <v>46201.75</v>
      </c>
      <c r="L101" s="738" t="s">
        <v>685</v>
      </c>
      <c r="M101" s="738" t="str">
        <f t="shared" ref="M101:M116" ca="1" si="304">+IF(OR(INDEX($H$101:$H$113,MATCH(E101,$G$101:$G$113,0))=12,$AJ$99=144),INDEX($AL$6:$AL$97,MATCH(A101,$AI$6:$AI$97,0)),A101)</f>
        <v>2A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8"/>
      <c r="P101" s="738"/>
      <c r="Q101" s="738"/>
      <c r="R101" s="738"/>
      <c r="S101" s="738"/>
      <c r="T101" s="738"/>
      <c r="U101" s="738"/>
      <c r="V101" s="172"/>
      <c r="W101" s="833"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2A-2B</v>
      </c>
      <c r="DU101" s="744"/>
      <c r="DV101" s="744"/>
      <c r="DW101" s="8"/>
    </row>
    <row r="102" spans="1:127" ht="16.05" customHeight="1">
      <c r="A102" s="738" t="s">
        <v>661</v>
      </c>
      <c r="B102" s="738" t="s">
        <v>722</v>
      </c>
      <c r="C102" s="739"/>
      <c r="D102" s="747" t="str">
        <f t="shared" si="302"/>
        <v>W76</v>
      </c>
      <c r="E102" s="739" t="s">
        <v>3</v>
      </c>
      <c r="F102" s="739" t="s">
        <v>721</v>
      </c>
      <c r="G102" s="748" t="s">
        <v>1</v>
      </c>
      <c r="H102" s="749">
        <f t="shared" ca="1" si="303"/>
        <v>4</v>
      </c>
      <c r="I102" s="744"/>
      <c r="J102" s="738">
        <v>74</v>
      </c>
      <c r="K102" s="738">
        <v>46202.75</v>
      </c>
      <c r="L102" s="738" t="s">
        <v>686</v>
      </c>
      <c r="M102" s="738" t="str">
        <f t="shared" ca="1" si="304"/>
        <v>1E</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8"/>
      <c r="P102" s="738"/>
      <c r="Q102" s="738"/>
      <c r="R102" s="738"/>
      <c r="S102" s="738"/>
      <c r="T102" s="738"/>
      <c r="U102" s="738"/>
      <c r="V102" s="172"/>
      <c r="W102" s="833"/>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e" cm="1" vm="22">
        <f t="array" aca="1" ref="AK102" ca="1">Ver_flag_visit</f>
        <v>#VALUE!</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1C-2F</v>
      </c>
      <c r="DU102" s="738"/>
      <c r="DV102" s="738"/>
      <c r="DW102" s="11"/>
    </row>
    <row r="103" spans="1:127" ht="16.05" customHeight="1">
      <c r="A103" s="738" t="s">
        <v>664</v>
      </c>
      <c r="B103" s="738" t="s">
        <v>656</v>
      </c>
      <c r="C103" s="739"/>
      <c r="D103" s="747" t="str">
        <f t="shared" si="302"/>
        <v>W74</v>
      </c>
      <c r="E103" s="739" t="s">
        <v>4</v>
      </c>
      <c r="F103" s="739" t="s">
        <v>2</v>
      </c>
      <c r="G103" s="748" t="s">
        <v>2</v>
      </c>
      <c r="H103" s="749">
        <f t="shared" ca="1" si="303"/>
        <v>4</v>
      </c>
      <c r="I103" s="744"/>
      <c r="J103" s="738">
        <v>75</v>
      </c>
      <c r="K103" s="738">
        <v>46202.75</v>
      </c>
      <c r="L103" s="738" t="s">
        <v>687</v>
      </c>
      <c r="M103" s="738" t="str">
        <f t="shared" ca="1" si="304"/>
        <v>1F</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8"/>
      <c r="P103" s="738"/>
      <c r="Q103" s="738"/>
      <c r="R103" s="738"/>
      <c r="S103" s="738"/>
      <c r="T103" s="738"/>
      <c r="U103" s="738"/>
      <c r="V103" s="172"/>
      <c r="W103" s="833"/>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e" cm="1" vm="25">
        <f t="array" aca="1" ref="AK103" ca="1">Ver_flag_visit</f>
        <v>#VALUE!</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8"/>
      <c r="BC103" s="744"/>
      <c r="BD103" s="738"/>
      <c r="BE103" s="738"/>
      <c r="BF103" s="738" t="str">
        <f t="shared" ref="BF103:BF110" ca="1" si="316">IFERROR(INDEX($BC$6:$BC$53,MATCH(AL102,$BD$6:$BD$53,0)),"")</f>
        <v>F</v>
      </c>
      <c r="BG103" s="738">
        <f t="shared" ref="BG103:BG110" ca="1" si="317">COUNTIF($BF$103:$BF$110,"&lt;="&amp;BF103)</f>
        <v>5</v>
      </c>
      <c r="BH103" s="738"/>
      <c r="BI103" s="744">
        <v>1</v>
      </c>
      <c r="BJ103" s="738" t="str">
        <f t="shared" ref="BJ103:BJ110" ca="1" si="318">IFERROR(INDEX($BF$103:$BF$110,MATCH(BI103,$BG$103:$BG$110,0)),"Grupo")</f>
        <v>A</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1E-3ABCDF</v>
      </c>
      <c r="DU103" s="738"/>
      <c r="DV103" s="738"/>
      <c r="DW103" s="11"/>
    </row>
    <row r="104" spans="1:127" ht="16.05" customHeight="1">
      <c r="A104" s="738" t="s">
        <v>651</v>
      </c>
      <c r="B104" s="738" t="s">
        <v>665</v>
      </c>
      <c r="C104" s="739"/>
      <c r="D104" s="747" t="str">
        <f t="shared" si="302"/>
        <v>W75</v>
      </c>
      <c r="E104" s="739" t="s">
        <v>2</v>
      </c>
      <c r="F104" s="739" t="s">
        <v>4</v>
      </c>
      <c r="G104" s="748" t="s">
        <v>73</v>
      </c>
      <c r="H104" s="749">
        <f t="shared" ca="1" si="303"/>
        <v>4</v>
      </c>
      <c r="I104" s="744"/>
      <c r="J104" s="738">
        <v>76</v>
      </c>
      <c r="K104" s="738">
        <v>46202.75</v>
      </c>
      <c r="L104" s="738" t="s">
        <v>688</v>
      </c>
      <c r="M104" s="738" t="str">
        <f t="shared" ca="1" si="304"/>
        <v>1C</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8"/>
      <c r="P104" s="738"/>
      <c r="Q104" s="738"/>
      <c r="R104" s="738"/>
      <c r="S104" s="738"/>
      <c r="T104" s="738"/>
      <c r="U104" s="738"/>
      <c r="V104" s="172"/>
      <c r="W104" s="833"/>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e" cm="1" vm="7">
        <f t="array" aca="1" ref="AK104" ca="1">Ver_flag_visit</f>
        <v>#VALUE!</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8"/>
      <c r="BC104" s="744"/>
      <c r="BD104" s="738"/>
      <c r="BE104" s="738"/>
      <c r="BF104" s="738" t="str">
        <f t="shared" ca="1" si="316"/>
        <v>G</v>
      </c>
      <c r="BG104" s="738">
        <f t="shared" ca="1" si="317"/>
        <v>6</v>
      </c>
      <c r="BH104" s="738"/>
      <c r="BI104" s="744">
        <v>2</v>
      </c>
      <c r="BJ104" s="738" t="str">
        <f t="shared" ca="1" si="318"/>
        <v>B</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1F-2C</v>
      </c>
      <c r="DU104" s="738"/>
      <c r="DV104" s="738"/>
      <c r="DW104" s="11"/>
    </row>
    <row r="105" spans="1:127" ht="16.05" customHeight="1">
      <c r="A105" s="738" t="s">
        <v>673</v>
      </c>
      <c r="B105" s="738" t="s">
        <v>723</v>
      </c>
      <c r="C105" s="739"/>
      <c r="D105" s="747" t="str">
        <f t="shared" si="302"/>
        <v>W78</v>
      </c>
      <c r="E105" s="739" t="s">
        <v>438</v>
      </c>
      <c r="F105" s="739" t="s">
        <v>721</v>
      </c>
      <c r="G105" s="748" t="s">
        <v>3</v>
      </c>
      <c r="H105" s="749">
        <f t="shared" ca="1" si="303"/>
        <v>4</v>
      </c>
      <c r="I105" s="744"/>
      <c r="J105" s="738">
        <v>77</v>
      </c>
      <c r="K105" s="738">
        <v>46203.75</v>
      </c>
      <c r="L105" s="738" t="s">
        <v>689</v>
      </c>
      <c r="M105" s="738" t="str">
        <f t="shared" ca="1" si="304"/>
        <v>1I</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8"/>
      <c r="P105" s="738"/>
      <c r="Q105" s="738"/>
      <c r="R105" s="738"/>
      <c r="S105" s="738"/>
      <c r="T105" s="738"/>
      <c r="U105" s="738"/>
      <c r="V105" s="172"/>
      <c r="W105" s="833"/>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e" cm="1" vm="10">
        <f t="array" aca="1" ref="AK105" ca="1">Ver_flag_visit</f>
        <v>#VALUE!</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8"/>
      <c r="BC105" s="744"/>
      <c r="BD105" s="738"/>
      <c r="BE105" s="738"/>
      <c r="BF105" s="738" t="str">
        <f t="shared" ca="1" si="316"/>
        <v>B</v>
      </c>
      <c r="BG105" s="738">
        <f t="shared" ca="1" si="317"/>
        <v>2</v>
      </c>
      <c r="BH105" s="738"/>
      <c r="BI105" s="744">
        <v>3</v>
      </c>
      <c r="BJ105" s="738" t="str">
        <f t="shared" ca="1" si="318"/>
        <v>C</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2E-2I</v>
      </c>
      <c r="DU105" s="738"/>
      <c r="DV105" s="738"/>
      <c r="DW105" s="11"/>
    </row>
    <row r="106" spans="1:127" ht="16.05" customHeight="1">
      <c r="A106" s="738" t="s">
        <v>662</v>
      </c>
      <c r="B106" s="738" t="s">
        <v>674</v>
      </c>
      <c r="C106" s="739"/>
      <c r="D106" s="747" t="str">
        <f t="shared" si="302"/>
        <v>W77</v>
      </c>
      <c r="E106" s="739" t="s">
        <v>3</v>
      </c>
      <c r="F106" s="739" t="s">
        <v>438</v>
      </c>
      <c r="G106" s="748" t="s">
        <v>4</v>
      </c>
      <c r="H106" s="749">
        <f t="shared" ca="1" si="303"/>
        <v>4</v>
      </c>
      <c r="I106" s="744"/>
      <c r="J106" s="738">
        <v>78</v>
      </c>
      <c r="K106" s="738">
        <v>46203.75</v>
      </c>
      <c r="L106" s="738" t="s">
        <v>690</v>
      </c>
      <c r="M106" s="738" t="str">
        <f t="shared" ca="1" si="304"/>
        <v>2E</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8"/>
      <c r="P106" s="738"/>
      <c r="Q106" s="738"/>
      <c r="R106" s="738"/>
      <c r="S106" s="738"/>
      <c r="T106" s="738"/>
      <c r="U106" s="738"/>
      <c r="V106" s="172"/>
      <c r="W106" s="833"/>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e" cm="1" vm="42">
        <f t="array" aca="1" ref="AK106" ca="1">Ver_flag_visit</f>
        <v>#VALUE!</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8"/>
      <c r="BC106" s="744"/>
      <c r="BD106" s="738"/>
      <c r="BE106" s="738"/>
      <c r="BF106" s="738" t="str">
        <f t="shared" ca="1" si="316"/>
        <v>C</v>
      </c>
      <c r="BG106" s="738">
        <f t="shared" ca="1" si="317"/>
        <v>3</v>
      </c>
      <c r="BH106" s="738"/>
      <c r="BI106" s="744">
        <v>4</v>
      </c>
      <c r="BJ106" s="738" t="str">
        <f t="shared" ca="1" si="318"/>
        <v>E</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1I-3CDFGH</v>
      </c>
      <c r="DU106" s="738"/>
      <c r="DV106" s="738"/>
      <c r="DW106" s="11"/>
    </row>
    <row r="107" spans="1:127" ht="16.05" customHeight="1">
      <c r="A107" s="738" t="s">
        <v>645</v>
      </c>
      <c r="B107" s="738" t="s">
        <v>724</v>
      </c>
      <c r="C107" s="739"/>
      <c r="D107" s="747" t="str">
        <f t="shared" si="302"/>
        <v>W79</v>
      </c>
      <c r="E107" s="739" t="s">
        <v>0</v>
      </c>
      <c r="F107" s="739" t="s">
        <v>721</v>
      </c>
      <c r="G107" s="748" t="s">
        <v>6</v>
      </c>
      <c r="H107" s="749">
        <f t="shared" ca="1" si="303"/>
        <v>4</v>
      </c>
      <c r="I107" s="744"/>
      <c r="J107" s="738">
        <v>79</v>
      </c>
      <c r="K107" s="738">
        <v>46203.75</v>
      </c>
      <c r="L107" s="738" t="s">
        <v>691</v>
      </c>
      <c r="M107" s="738" t="str">
        <f t="shared" ca="1" si="304"/>
        <v>1A</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8"/>
      <c r="P107" s="738"/>
      <c r="Q107" s="738"/>
      <c r="R107" s="738"/>
      <c r="S107" s="738"/>
      <c r="T107" s="738"/>
      <c r="U107" s="738"/>
      <c r="V107" s="172"/>
      <c r="W107" s="833"/>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e" cm="1" vm="29">
        <f t="array" aca="1" ref="AK107" ca="1">Ver_flag_visit</f>
        <v>#VALUE!</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8"/>
      <c r="BC107" s="744"/>
      <c r="BD107" s="738"/>
      <c r="BE107" s="744"/>
      <c r="BF107" s="738" t="str">
        <f t="shared" ca="1" si="316"/>
        <v>K</v>
      </c>
      <c r="BG107" s="738">
        <f t="shared" ca="1" si="317"/>
        <v>8</v>
      </c>
      <c r="BH107" s="738"/>
      <c r="BI107" s="738">
        <v>5</v>
      </c>
      <c r="BJ107" s="738" t="str">
        <f t="shared" ca="1" si="318"/>
        <v>F</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1A-3CEFHI</v>
      </c>
      <c r="DU107" s="738"/>
      <c r="DV107" s="738"/>
      <c r="DW107" s="11"/>
    </row>
    <row r="108" spans="1:127" ht="16.05" customHeight="1">
      <c r="A108" s="738" t="s">
        <v>682</v>
      </c>
      <c r="B108" s="738" t="s">
        <v>725</v>
      </c>
      <c r="C108" s="739"/>
      <c r="D108" s="747" t="str">
        <f t="shared" si="302"/>
        <v>W80</v>
      </c>
      <c r="E108" s="739" t="s">
        <v>238</v>
      </c>
      <c r="F108" s="739" t="s">
        <v>721</v>
      </c>
      <c r="G108" s="748" t="s">
        <v>437</v>
      </c>
      <c r="H108" s="749">
        <f t="shared" ca="1" si="303"/>
        <v>4</v>
      </c>
      <c r="I108" s="744"/>
      <c r="J108" s="738">
        <v>80</v>
      </c>
      <c r="K108" s="738">
        <v>46204.75</v>
      </c>
      <c r="L108" s="738" t="s">
        <v>692</v>
      </c>
      <c r="M108" s="738" t="str">
        <f t="shared" ca="1" si="304"/>
        <v>1L</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8"/>
      <c r="P108" s="738"/>
      <c r="Q108" s="738"/>
      <c r="R108" s="738"/>
      <c r="S108" s="738"/>
      <c r="T108" s="738"/>
      <c r="U108" s="738"/>
      <c r="V108" s="172"/>
      <c r="W108" s="833"/>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e" cm="1" vm="4">
        <f t="array" aca="1" ref="AK108" ca="1">Ver_flag_visit</f>
        <v>#VALUE!</v>
      </c>
      <c r="AL108" s="289" t="str">
        <f t="shared" ca="1" si="310"/>
        <v>República Checa</v>
      </c>
      <c r="AM108" s="290">
        <f t="shared" ref="AM108:AT108" ca="1" si="323">+IF($H$113&gt;=48,INDEX($BE$58:$BN$69,MATCH($AL108,$BD$58:$BD$69,0),MATCH(AM$5,$BE$57:$BN$57,0)),$BB64)</f>
        <v>0</v>
      </c>
      <c r="AN108" s="291">
        <f t="shared" ca="1" si="323"/>
        <v>1</v>
      </c>
      <c r="AO108" s="291">
        <f t="shared" ca="1" si="323"/>
        <v>0</v>
      </c>
      <c r="AP108" s="291">
        <f t="shared" ca="1" si="323"/>
        <v>0</v>
      </c>
      <c r="AQ108" s="291">
        <f t="shared" ca="1" si="323"/>
        <v>1</v>
      </c>
      <c r="AR108" s="291">
        <f t="shared" ca="1" si="323"/>
        <v>1</v>
      </c>
      <c r="AS108" s="291">
        <f t="shared" ca="1" si="323"/>
        <v>2</v>
      </c>
      <c r="AT108" s="292">
        <f t="shared" ca="1" si="323"/>
        <v>-1</v>
      </c>
      <c r="AU108" s="420" t="str">
        <f t="shared" ca="1" si="312"/>
        <v/>
      </c>
      <c r="AV108" s="217" t="str">
        <f t="shared" ca="1" si="313"/>
        <v>República Checa</v>
      </c>
      <c r="AW108" s="427"/>
      <c r="AX108" s="288"/>
      <c r="AY108" s="293"/>
      <c r="AZ108" s="294" t="str">
        <f t="shared" ca="1" si="315"/>
        <v>1I - 3F</v>
      </c>
      <c r="BA108" s="175"/>
      <c r="BB108" s="738"/>
      <c r="BC108" s="738"/>
      <c r="BD108" s="738"/>
      <c r="BE108" s="744"/>
      <c r="BF108" s="738" t="str">
        <f t="shared" ca="1" si="316"/>
        <v>H</v>
      </c>
      <c r="BG108" s="738">
        <f t="shared" ca="1" si="317"/>
        <v>7</v>
      </c>
      <c r="BH108" s="738"/>
      <c r="BI108" s="738">
        <v>6</v>
      </c>
      <c r="BJ108" s="738" t="str">
        <f t="shared" ca="1" si="318"/>
        <v>G</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1L-3EHIJK</v>
      </c>
      <c r="DU108" s="738"/>
      <c r="DV108" s="738"/>
      <c r="DW108" s="11"/>
    </row>
    <row r="109" spans="1:127" ht="16.05" customHeight="1">
      <c r="A109" s="738" t="s">
        <v>658</v>
      </c>
      <c r="B109" s="738" t="s">
        <v>726</v>
      </c>
      <c r="C109" s="739"/>
      <c r="D109" s="747" t="str">
        <f t="shared" si="302"/>
        <v>W82</v>
      </c>
      <c r="E109" s="739" t="s">
        <v>73</v>
      </c>
      <c r="F109" s="739" t="s">
        <v>721</v>
      </c>
      <c r="G109" s="748" t="s">
        <v>438</v>
      </c>
      <c r="H109" s="749">
        <f t="shared" ca="1" si="303"/>
        <v>4</v>
      </c>
      <c r="I109" s="744"/>
      <c r="J109" s="738">
        <v>81</v>
      </c>
      <c r="K109" s="738">
        <v>46204.75</v>
      </c>
      <c r="L109" s="738" t="s">
        <v>693</v>
      </c>
      <c r="M109" s="738" t="str">
        <f t="shared" ca="1" si="304"/>
        <v>1D</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8"/>
      <c r="P109" s="738"/>
      <c r="Q109" s="738"/>
      <c r="R109" s="738"/>
      <c r="S109" s="738"/>
      <c r="T109" s="738"/>
      <c r="U109" s="738"/>
      <c r="V109" s="172"/>
      <c r="W109" s="833"/>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e" cm="1" vm="20">
        <f t="array" aca="1" ref="AK109" ca="1">Ver_flag_visit</f>
        <v>#VALUE!</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8"/>
      <c r="BC109" s="738"/>
      <c r="BD109" s="738"/>
      <c r="BE109" s="744"/>
      <c r="BF109" s="738" t="str">
        <f t="shared" ca="1" si="316"/>
        <v>A</v>
      </c>
      <c r="BG109" s="738">
        <f t="shared" ca="1" si="317"/>
        <v>1</v>
      </c>
      <c r="BH109" s="738"/>
      <c r="BI109" s="738">
        <v>7</v>
      </c>
      <c r="BJ109" s="738" t="str">
        <f t="shared" ca="1" si="318"/>
        <v>H</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1G-3AEHIJ</v>
      </c>
      <c r="DU109" s="738"/>
      <c r="DV109" s="738"/>
      <c r="DW109" s="11"/>
    </row>
    <row r="110" spans="1:127" ht="16.05" customHeight="1">
      <c r="A110" s="738" t="s">
        <v>667</v>
      </c>
      <c r="B110" s="738" t="s">
        <v>727</v>
      </c>
      <c r="C110" s="739"/>
      <c r="D110" s="747" t="str">
        <f t="shared" si="302"/>
        <v>W81</v>
      </c>
      <c r="E110" s="739" t="s">
        <v>6</v>
      </c>
      <c r="F110" s="739" t="s">
        <v>721</v>
      </c>
      <c r="G110" s="748" t="s">
        <v>5</v>
      </c>
      <c r="H110" s="749">
        <f t="shared" ca="1" si="303"/>
        <v>4</v>
      </c>
      <c r="I110" s="744"/>
      <c r="J110" s="738">
        <v>82</v>
      </c>
      <c r="K110" s="738">
        <v>46204.75</v>
      </c>
      <c r="L110" s="738" t="s">
        <v>694</v>
      </c>
      <c r="M110" s="738" t="str">
        <f t="shared" ca="1" si="304"/>
        <v>1G</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8"/>
      <c r="P110" s="738"/>
      <c r="Q110" s="738"/>
      <c r="R110" s="738"/>
      <c r="S110" s="738"/>
      <c r="T110" s="738"/>
      <c r="U110" s="738"/>
      <c r="V110" s="172"/>
      <c r="W110" s="833"/>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e" cm="1" vm="48">
        <f t="array" aca="1" ref="AK110" ca="1">Ver_flag_visit</f>
        <v>#VALUE!</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8"/>
      <c r="BC110" s="738"/>
      <c r="BD110" s="738"/>
      <c r="BE110" s="744"/>
      <c r="BF110" s="738" t="str">
        <f t="shared" ca="1" si="316"/>
        <v>E</v>
      </c>
      <c r="BG110" s="738">
        <f t="shared" ca="1" si="317"/>
        <v>4</v>
      </c>
      <c r="BH110" s="738"/>
      <c r="BI110" s="744">
        <v>8</v>
      </c>
      <c r="BJ110" s="738" t="str">
        <f t="shared" ca="1" si="318"/>
        <v>K</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1D-3BEFIJ</v>
      </c>
      <c r="DU110" s="738"/>
      <c r="DV110" s="738"/>
      <c r="DW110" s="11"/>
    </row>
    <row r="111" spans="1:127" ht="16.05" customHeight="1">
      <c r="A111" s="738" t="s">
        <v>680</v>
      </c>
      <c r="B111" s="738" t="s">
        <v>683</v>
      </c>
      <c r="C111" s="739"/>
      <c r="D111" s="747" t="str">
        <f t="shared" si="302"/>
        <v>W84</v>
      </c>
      <c r="E111" s="739" t="s">
        <v>439</v>
      </c>
      <c r="F111" s="739" t="s">
        <v>238</v>
      </c>
      <c r="G111" s="748" t="s">
        <v>439</v>
      </c>
      <c r="H111" s="749">
        <f t="shared" ca="1" si="303"/>
        <v>4</v>
      </c>
      <c r="I111" s="744"/>
      <c r="J111" s="738">
        <v>83</v>
      </c>
      <c r="K111" s="738">
        <v>46205.75</v>
      </c>
      <c r="L111" s="738" t="s">
        <v>695</v>
      </c>
      <c r="M111" s="738" t="str">
        <f t="shared" ca="1" si="304"/>
        <v>2K</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8"/>
      <c r="P111" s="738"/>
      <c r="Q111" s="738"/>
      <c r="R111" s="738"/>
      <c r="S111" s="738"/>
      <c r="T111" s="738"/>
      <c r="U111" s="738"/>
      <c r="V111" s="172"/>
      <c r="W111" s="833"/>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e" cm="1" vm="40">
        <f t="array" aca="1" ref="AK111" ca="1">Ver_flag_visit</f>
        <v>#VALUE!</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1H-2J</v>
      </c>
      <c r="DU111" s="738"/>
      <c r="DV111" s="738"/>
      <c r="DW111" s="11"/>
    </row>
    <row r="112" spans="1:127" ht="16.05" customHeight="1">
      <c r="A112" s="738" t="s">
        <v>670</v>
      </c>
      <c r="B112" s="738" t="s">
        <v>677</v>
      </c>
      <c r="C112" s="739"/>
      <c r="D112" s="747" t="str">
        <f t="shared" si="302"/>
        <v>W83</v>
      </c>
      <c r="E112" s="739" t="s">
        <v>437</v>
      </c>
      <c r="F112" s="739" t="s">
        <v>5</v>
      </c>
      <c r="G112" s="748" t="s">
        <v>238</v>
      </c>
      <c r="H112" s="749">
        <f t="shared" ca="1" si="303"/>
        <v>4</v>
      </c>
      <c r="I112" s="744"/>
      <c r="J112" s="738">
        <v>84</v>
      </c>
      <c r="K112" s="738">
        <v>46205.75</v>
      </c>
      <c r="L112" s="738" t="s">
        <v>696</v>
      </c>
      <c r="M112" s="738" t="str">
        <f t="shared" ca="1" si="304"/>
        <v>1H</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8"/>
      <c r="P112" s="738"/>
      <c r="Q112" s="738"/>
      <c r="R112" s="738"/>
      <c r="S112" s="738"/>
      <c r="T112" s="738"/>
      <c r="U112" s="738"/>
      <c r="V112" s="172"/>
      <c r="W112" s="833"/>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e" cm="1" vm="34">
        <f t="array" aca="1" ref="AK112" ca="1">Ver_flag_visit</f>
        <v>#VALUE!</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8"/>
      <c r="BC112" s="738"/>
      <c r="BD112" s="746"/>
      <c r="BE112" s="738"/>
      <c r="BF112" s="738"/>
      <c r="BG112" s="738"/>
      <c r="BH112" s="738"/>
      <c r="BI112" s="738" t="str">
        <f ca="1">IFERROR(CONCATENATE(BJ103,BJ104,BJ105,BJ106,BJ107,BJ108,BJ109,BJ110),"¿A/B/C/D/E/F/G/H/I/J/K/L?")</f>
        <v>ABCEFGHK</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2K-2L</v>
      </c>
      <c r="DU112" s="738"/>
      <c r="DV112" s="738"/>
      <c r="DW112" s="11"/>
    </row>
    <row r="113" spans="1:127" ht="16.05" customHeight="1" thickBot="1">
      <c r="A113" s="738" t="s">
        <v>648</v>
      </c>
      <c r="B113" s="738" t="s">
        <v>728</v>
      </c>
      <c r="C113" s="739"/>
      <c r="D113" s="747" t="str">
        <f t="shared" si="302"/>
        <v>W85</v>
      </c>
      <c r="E113" s="739" t="s">
        <v>1</v>
      </c>
      <c r="F113" s="739" t="s">
        <v>721</v>
      </c>
      <c r="G113" s="748" t="s">
        <v>721</v>
      </c>
      <c r="H113" s="749">
        <f ca="1">+IF(AJ99&lt;&gt;144,SUM(H101:H112),AJ99)</f>
        <v>48</v>
      </c>
      <c r="I113" s="744"/>
      <c r="J113" s="738">
        <v>85</v>
      </c>
      <c r="K113" s="738">
        <v>46205.75</v>
      </c>
      <c r="L113" s="738" t="s">
        <v>697</v>
      </c>
      <c r="M113" s="738" t="str">
        <f t="shared" ca="1" si="304"/>
        <v>1B</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8"/>
      <c r="P113" s="738"/>
      <c r="Q113" s="738"/>
      <c r="R113" s="738"/>
      <c r="S113" s="738"/>
      <c r="T113" s="738"/>
      <c r="U113" s="738"/>
      <c r="V113" s="172"/>
      <c r="W113" s="833"/>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e" cm="1" vm="16">
        <f t="array" aca="1" ref="AK113" ca="1">Ver_flag_visit</f>
        <v>#VALUE!</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1B-3EFGIJ</v>
      </c>
      <c r="DU113" s="738"/>
      <c r="DV113" s="738"/>
      <c r="DW113" s="11"/>
    </row>
    <row r="114" spans="1:127" ht="16.05"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1J</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8"/>
      <c r="P114" s="738"/>
      <c r="Q114" s="738"/>
      <c r="R114" s="738"/>
      <c r="S114" s="738"/>
      <c r="T114" s="738"/>
      <c r="U114" s="738"/>
      <c r="V114" s="172"/>
      <c r="W114" s="833"/>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2D-2G</v>
      </c>
      <c r="DU114" s="744"/>
      <c r="DV114" s="744"/>
      <c r="DW114" s="8"/>
    </row>
    <row r="115" spans="1:127" ht="16.05"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1K</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8"/>
      <c r="P115" s="738"/>
      <c r="Q115" s="738"/>
      <c r="R115" s="738"/>
      <c r="S115" s="738"/>
      <c r="T115" s="738"/>
      <c r="U115" s="738"/>
      <c r="V115" s="172"/>
      <c r="W115" s="833"/>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1J-2H</v>
      </c>
      <c r="DU115" s="744"/>
      <c r="DV115" s="744"/>
      <c r="DW115" s="8"/>
    </row>
    <row r="116" spans="1:127" ht="16.05"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2D</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8"/>
      <c r="P116" s="738"/>
      <c r="Q116" s="738"/>
      <c r="R116" s="738"/>
      <c r="S116" s="738"/>
      <c r="T116" s="738"/>
      <c r="U116" s="738"/>
      <c r="V116" s="172"/>
      <c r="W116" s="834"/>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1K-3DEIJL</v>
      </c>
      <c r="DU116" s="744"/>
      <c r="DV116" s="744"/>
      <c r="DW116" s="8"/>
    </row>
    <row r="117" spans="1:127" ht="16.05"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3H</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05"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3G</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05"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05"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si="330">+INDEX($D$101:$D$147,MATCH(E120,$AH$101:$AH$147,0))</f>
        <v>W74</v>
      </c>
      <c r="N120" s="744" t="str">
        <f t="shared" si="330"/>
        <v>W77</v>
      </c>
      <c r="O120" s="744"/>
      <c r="P120" s="744"/>
      <c r="Q120" s="744"/>
      <c r="R120" s="744"/>
      <c r="S120" s="744"/>
      <c r="T120" s="744"/>
      <c r="U120" s="744"/>
      <c r="V120" s="172"/>
      <c r="W120" s="835"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3C</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si="242"/>
        <v>W73-W75</v>
      </c>
      <c r="DU120" s="744"/>
      <c r="DV120" s="744"/>
      <c r="DW120" s="8"/>
    </row>
    <row r="121" spans="1:127" ht="16.05"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si="330"/>
        <v>W73</v>
      </c>
      <c r="N121" s="744" t="str">
        <f t="shared" si="330"/>
        <v>W75</v>
      </c>
      <c r="O121" s="744"/>
      <c r="P121" s="744"/>
      <c r="Q121" s="744"/>
      <c r="R121" s="744"/>
      <c r="S121" s="744"/>
      <c r="T121" s="744"/>
      <c r="U121" s="744"/>
      <c r="V121" s="172"/>
      <c r="W121" s="835"/>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3A</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si="242"/>
        <v>W74-W77</v>
      </c>
      <c r="DU121" s="744"/>
      <c r="DV121" s="744"/>
      <c r="DW121" s="8"/>
    </row>
    <row r="122" spans="1:127" ht="16.05"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si="330"/>
        <v>W76</v>
      </c>
      <c r="N122" s="744" t="str">
        <f t="shared" si="330"/>
        <v>W78</v>
      </c>
      <c r="O122" s="744"/>
      <c r="P122" s="744"/>
      <c r="Q122" s="744"/>
      <c r="R122" s="744"/>
      <c r="S122" s="744"/>
      <c r="T122" s="744"/>
      <c r="U122" s="744"/>
      <c r="V122" s="172"/>
      <c r="W122" s="835"/>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si="242"/>
        <v>W76-W78</v>
      </c>
      <c r="DU122" s="744"/>
      <c r="DV122" s="744"/>
      <c r="DW122" s="8"/>
    </row>
    <row r="123" spans="1:127" ht="16.05"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si="330"/>
        <v>W79</v>
      </c>
      <c r="N123" s="744" t="str">
        <f t="shared" si="330"/>
        <v>W80</v>
      </c>
      <c r="O123" s="744"/>
      <c r="P123" s="744"/>
      <c r="Q123" s="744"/>
      <c r="R123" s="744"/>
      <c r="S123" s="744"/>
      <c r="T123" s="744"/>
      <c r="U123" s="744"/>
      <c r="V123" s="172"/>
      <c r="W123" s="835"/>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3E</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si="242"/>
        <v>W79-W80</v>
      </c>
      <c r="DU123" s="744"/>
      <c r="DV123" s="744"/>
      <c r="DW123" s="8"/>
    </row>
    <row r="124" spans="1:127" ht="16.05"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si="330"/>
        <v>W83</v>
      </c>
      <c r="N124" s="744" t="str">
        <f t="shared" si="330"/>
        <v>W84</v>
      </c>
      <c r="O124" s="744"/>
      <c r="P124" s="744"/>
      <c r="Q124" s="744"/>
      <c r="R124" s="744"/>
      <c r="S124" s="744"/>
      <c r="T124" s="744"/>
      <c r="U124" s="744"/>
      <c r="V124" s="172"/>
      <c r="W124" s="835"/>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si="242"/>
        <v>W83-W84</v>
      </c>
      <c r="DU124" s="744"/>
      <c r="DV124" s="744"/>
      <c r="DW124" s="8"/>
    </row>
    <row r="125" spans="1:127" ht="16.05"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si="330"/>
        <v>W81</v>
      </c>
      <c r="N125" s="744" t="str">
        <f t="shared" si="330"/>
        <v>W82</v>
      </c>
      <c r="O125" s="744"/>
      <c r="P125" s="744"/>
      <c r="Q125" s="744"/>
      <c r="R125" s="744"/>
      <c r="S125" s="744"/>
      <c r="T125" s="744"/>
      <c r="U125" s="744"/>
      <c r="V125" s="172"/>
      <c r="W125" s="835"/>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si="242"/>
        <v>W81-W82</v>
      </c>
      <c r="DU125" s="744"/>
      <c r="DV125" s="744"/>
      <c r="DW125" s="8"/>
    </row>
    <row r="126" spans="1:127" ht="16.05"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35"/>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05"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si="330"/>
        <v>W85</v>
      </c>
      <c r="N127" s="744" t="str">
        <f t="shared" si="330"/>
        <v>W87</v>
      </c>
      <c r="O127" s="744"/>
      <c r="P127" s="744"/>
      <c r="Q127" s="744"/>
      <c r="R127" s="744"/>
      <c r="S127" s="744"/>
      <c r="T127" s="744"/>
      <c r="U127" s="744"/>
      <c r="V127" s="172"/>
      <c r="W127" s="836"/>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si="242"/>
        <v>W85-W87</v>
      </c>
      <c r="DU127" s="744"/>
      <c r="DV127" s="744"/>
      <c r="DW127" s="8"/>
    </row>
    <row r="128" spans="1:127" ht="16.05"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05"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05"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05"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37"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05"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37"/>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05"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37"/>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05"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38"/>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05"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05"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05"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05"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39"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05"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40"/>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05"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05"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05"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05"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05"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05"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05"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05"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0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05"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05"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05"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6.05"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6.05"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6.05"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6.05"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6.05"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6.05"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6.05"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05"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05"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05"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05"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05"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0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Z1" zoomScaleNormal="100" workbookViewId="0">
      <selection activeCell="EF5" sqref="EF5:EF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6640625" style="86" bestFit="1" customWidth="1"/>
    <col min="20" max="20" width="5.109375" style="86" customWidth="1"/>
    <col min="21" max="21" width="2.77734375" style="20" customWidth="1"/>
    <col min="22" max="22" width="29.6640625" style="86" bestFit="1" customWidth="1"/>
    <col min="23" max="23" width="5.109375" style="86" customWidth="1"/>
    <col min="24" max="24" width="2.77734375" style="20" customWidth="1"/>
    <col min="25" max="25" width="29.6640625" style="86" bestFit="1" customWidth="1"/>
    <col min="26" max="26" width="5.109375" style="86" customWidth="1"/>
    <col min="27" max="27" width="2.77734375" style="20" customWidth="1"/>
    <col min="28" max="28" width="29.6640625" style="86" bestFit="1" customWidth="1"/>
    <col min="29" max="29" width="5.109375" style="86" customWidth="1"/>
    <col min="30" max="30" width="2.77734375" style="20" customWidth="1"/>
    <col min="31" max="31" width="29.6640625" style="86" bestFit="1" customWidth="1"/>
    <col min="32" max="32" width="5.109375" style="86" customWidth="1"/>
    <col min="33" max="33" width="2.77734375" style="20" customWidth="1"/>
    <col min="34" max="34" width="29.6640625" style="86" bestFit="1" customWidth="1"/>
    <col min="35" max="35" width="5.109375" style="86" customWidth="1"/>
    <col min="36" max="36" width="2.77734375" style="20" customWidth="1"/>
    <col min="37" max="37" width="29.6640625" style="86" bestFit="1" customWidth="1"/>
    <col min="38" max="38" width="5.109375" style="86" customWidth="1"/>
    <col min="39" max="39" width="2.77734375" style="20" customWidth="1"/>
    <col min="40" max="40" width="29.6640625" style="86" bestFit="1" customWidth="1"/>
    <col min="41" max="41" width="5.109375" style="86" customWidth="1"/>
    <col min="42" max="42" width="2.77734375" style="20" customWidth="1"/>
    <col min="43" max="43" width="29.6640625" style="86" bestFit="1" customWidth="1"/>
    <col min="44" max="44" width="5.109375" style="86" customWidth="1"/>
    <col min="45" max="45" width="2.77734375" style="20" customWidth="1"/>
    <col min="46" max="46" width="29.6640625" style="86" bestFit="1" customWidth="1"/>
    <col min="47" max="47" width="5.109375" style="86" customWidth="1"/>
    <col min="48" max="48" width="2.77734375" style="20" customWidth="1"/>
    <col min="49" max="49" width="29.6640625" style="86" bestFit="1" customWidth="1"/>
    <col min="50" max="50" width="5.109375" style="86" customWidth="1"/>
    <col min="51" max="51" width="2.77734375" style="20" customWidth="1"/>
    <col min="52" max="52" width="29.6640625" style="86" bestFit="1" customWidth="1"/>
    <col min="53" max="53" width="5.109375" style="86" customWidth="1"/>
    <col min="54" max="54" width="2.77734375" style="20" customWidth="1"/>
    <col min="55" max="55" width="29.6640625" style="86" bestFit="1" customWidth="1"/>
    <col min="56" max="56" width="5.109375" style="86" customWidth="1"/>
    <col min="57" max="57" width="2.77734375" style="20" customWidth="1"/>
    <col min="58" max="58" width="29.6640625" style="86" bestFit="1" customWidth="1"/>
    <col min="59" max="59" width="5.109375" style="86" customWidth="1"/>
    <col min="60" max="60" width="2.77734375" style="20" customWidth="1"/>
    <col min="61" max="61" width="29.6640625" style="86" bestFit="1" customWidth="1"/>
    <col min="62" max="62" width="5.109375" style="86" customWidth="1"/>
    <col min="63" max="63" width="2.77734375" style="20" customWidth="1"/>
    <col min="64" max="64" width="29.6640625" style="86" bestFit="1" customWidth="1"/>
    <col min="65" max="65" width="5.109375" style="86" customWidth="1"/>
    <col min="66" max="66" width="2.77734375" style="20" customWidth="1"/>
    <col min="67" max="67" width="29.6640625" style="86" bestFit="1" customWidth="1"/>
    <col min="68" max="68" width="5.109375" style="86" customWidth="1"/>
    <col min="69" max="69" width="2.77734375" style="20" customWidth="1"/>
    <col min="70" max="70" width="29.6640625" style="86" bestFit="1" customWidth="1"/>
    <col min="71" max="71" width="5.109375" style="86" customWidth="1"/>
    <col min="72" max="72" width="2.77734375" style="20" customWidth="1"/>
    <col min="73" max="73" width="29.6640625" style="86" bestFit="1" customWidth="1"/>
    <col min="74" max="74" width="5.109375" style="86" customWidth="1"/>
    <col min="75" max="75" width="2.77734375" style="20" customWidth="1"/>
    <col min="76" max="76" width="29.6640625" style="86" bestFit="1" customWidth="1"/>
    <col min="77" max="77" width="5.109375" style="86" customWidth="1"/>
    <col min="78" max="78" width="2.77734375" style="20" customWidth="1"/>
    <col min="79" max="79" width="29.6640625" style="86" bestFit="1" customWidth="1"/>
    <col min="80" max="80" width="5.109375" style="86" customWidth="1"/>
    <col min="81" max="81" width="2.77734375" style="20" customWidth="1"/>
    <col min="82" max="82" width="29.6640625" style="86" bestFit="1" customWidth="1"/>
    <col min="83" max="83" width="5.109375" style="86" customWidth="1"/>
    <col min="84" max="84" width="2.77734375" style="20" customWidth="1"/>
    <col min="85" max="85" width="29.6640625" style="86" bestFit="1" customWidth="1"/>
    <col min="86" max="86" width="5.109375" style="86" customWidth="1"/>
    <col min="87" max="87" width="2.77734375" style="20" customWidth="1"/>
    <col min="88" max="88" width="29.6640625" style="86" bestFit="1" customWidth="1"/>
    <col min="89" max="89" width="5.109375" style="86" customWidth="1"/>
    <col min="90" max="90" width="2.77734375" style="20" customWidth="1"/>
    <col min="91" max="91" width="29.6640625" style="86" bestFit="1" customWidth="1"/>
    <col min="92" max="92" width="5.109375" style="86" customWidth="1"/>
    <col min="93" max="93" width="2.77734375" style="20" customWidth="1"/>
    <col min="94" max="94" width="29.6640625" style="86" bestFit="1" customWidth="1"/>
    <col min="95" max="95" width="5.109375" style="86" customWidth="1"/>
    <col min="96" max="96" width="2.77734375" style="20" customWidth="1"/>
    <col min="97" max="97" width="29.6640625" style="86" bestFit="1" customWidth="1"/>
    <col min="98" max="98" width="5.109375" style="86" customWidth="1"/>
    <col min="99" max="99" width="2.77734375" style="20" customWidth="1"/>
    <col min="100" max="100" width="29.6640625" style="86" bestFit="1" customWidth="1"/>
    <col min="101" max="101" width="5.109375" style="86" customWidth="1"/>
    <col min="102" max="102" width="2.77734375" style="20" customWidth="1"/>
    <col min="103" max="103" width="29.6640625" style="86" bestFit="1" customWidth="1"/>
    <col min="104" max="104" width="5.109375" style="86" customWidth="1"/>
    <col min="105" max="105" width="2.77734375" style="20" customWidth="1"/>
    <col min="106" max="106" width="29.6640625" style="86" bestFit="1" customWidth="1"/>
    <col min="107" max="107" width="5.109375" style="86" customWidth="1"/>
    <col min="108" max="108" width="2.77734375" style="20" customWidth="1"/>
    <col min="109" max="109" width="29.6640625" style="86" bestFit="1" customWidth="1"/>
    <col min="110" max="110" width="5.109375" style="86" customWidth="1"/>
    <col min="111" max="111" width="2.77734375" style="20" customWidth="1"/>
    <col min="112" max="112" width="29.6640625" style="86" bestFit="1" customWidth="1"/>
    <col min="113" max="113" width="5.109375" style="86" customWidth="1"/>
    <col min="114" max="114" width="2.77734375" style="20" customWidth="1"/>
    <col min="115" max="115" width="29.6640625" style="86" bestFit="1" customWidth="1"/>
    <col min="116" max="116" width="5.109375" style="86" customWidth="1"/>
    <col min="117" max="117" width="2.77734375" style="20" customWidth="1"/>
    <col min="118" max="118" width="29.6640625" style="86" bestFit="1" customWidth="1"/>
    <col min="119" max="119" width="5.109375" style="86" customWidth="1"/>
    <col min="120" max="120" width="2.77734375" style="20" customWidth="1"/>
    <col min="121" max="121" width="29.6640625" style="86" bestFit="1" customWidth="1"/>
    <col min="122" max="122" width="5.109375" style="86" customWidth="1"/>
    <col min="123" max="123" width="2.77734375" style="20" customWidth="1"/>
    <col min="124" max="124" width="29.6640625" style="86" bestFit="1" customWidth="1"/>
    <col min="125" max="125" width="5.109375" style="86" customWidth="1"/>
    <col min="126" max="126" width="2.77734375" style="20" customWidth="1"/>
    <col min="127" max="127" width="29.6640625" style="86" bestFit="1" customWidth="1"/>
    <col min="128" max="128" width="5.109375" style="86" customWidth="1"/>
    <col min="129" max="129" width="2.77734375" style="20" customWidth="1"/>
    <col min="130" max="130" width="29.6640625" style="86" bestFit="1" customWidth="1"/>
    <col min="131" max="131" width="5.109375" style="86" customWidth="1"/>
    <col min="132" max="132" width="2.77734375" style="20" customWidth="1"/>
    <col min="133" max="133" width="29.6640625" style="86" bestFit="1" customWidth="1"/>
    <col min="134" max="134" width="5.109375" style="86" customWidth="1"/>
    <col min="135" max="135" width="2.77734375" style="20" customWidth="1"/>
    <col min="136" max="136" width="29.6640625" style="86" bestFit="1" customWidth="1"/>
    <col min="137" max="137" width="5.109375" style="86" customWidth="1"/>
    <col min="138" max="138" width="2.77734375" style="20" customWidth="1"/>
    <col min="139" max="139" width="29.6640625" style="86" bestFit="1" customWidth="1"/>
    <col min="140" max="140" width="5.109375" style="86" customWidth="1"/>
    <col min="141" max="141" width="2.77734375" style="20" customWidth="1"/>
    <col min="142" max="142" width="29.6640625" style="86" bestFit="1" customWidth="1"/>
    <col min="143" max="143" width="5.109375" style="86" customWidth="1"/>
    <col min="144" max="144" width="2.77734375" style="20" customWidth="1"/>
    <col min="145" max="145" width="29.6640625" style="86" bestFit="1" customWidth="1"/>
    <col min="146" max="146" width="5.109375" style="86" customWidth="1"/>
    <col min="147" max="147" width="2.77734375" style="20" customWidth="1"/>
    <col min="148" max="148" width="29.6640625" style="86" bestFit="1" customWidth="1"/>
    <col min="149" max="149" width="5.109375" style="86" customWidth="1"/>
    <col min="150" max="150" width="2.77734375" style="20" customWidth="1"/>
    <col min="151" max="151" width="29.6640625" style="86" bestFit="1" customWidth="1"/>
    <col min="152" max="152" width="5.109375" style="86" customWidth="1"/>
    <col min="153" max="153" width="2.77734375" style="20" customWidth="1"/>
    <col min="154" max="154" width="29.6640625" style="86" bestFit="1" customWidth="1"/>
    <col min="155" max="155" width="5.109375" style="86" customWidth="1"/>
    <col min="156" max="156" width="2.77734375" style="20" customWidth="1"/>
    <col min="157" max="157" width="29.6640625" style="86" bestFit="1" customWidth="1"/>
    <col min="158" max="158" width="5.109375" style="86" customWidth="1"/>
    <col min="159" max="159" width="2.77734375" style="20" customWidth="1"/>
    <col min="160" max="160" width="29.6640625" style="86" bestFit="1" customWidth="1"/>
    <col min="161" max="161" width="5.109375" style="86" customWidth="1"/>
    <col min="162" max="162" width="2.77734375" style="20" customWidth="1"/>
    <col min="163" max="163" width="29.6640625" style="86" bestFit="1" customWidth="1"/>
    <col min="164" max="164" width="5.109375" style="86" customWidth="1"/>
    <col min="165" max="165" width="2.77734375" style="20" customWidth="1"/>
    <col min="166" max="166" width="29.664062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12</v>
      </c>
      <c r="T1" s="87"/>
      <c r="U1" s="65"/>
      <c r="V1" s="87">
        <f ca="1">+IFERROR(RANK(V2,OFFSET($S$2,0,0,1,$D$5*3),0),"-")</f>
        <v>36</v>
      </c>
      <c r="W1" s="87"/>
      <c r="X1" s="65"/>
      <c r="Y1" s="87">
        <f ca="1">+IFERROR(RANK(Y2,OFFSET($S$2,0,0,1,$D$5*3),0),"-")</f>
        <v>7</v>
      </c>
      <c r="Z1" s="87"/>
      <c r="AA1" s="65"/>
      <c r="AB1" s="87">
        <f ca="1">+IFERROR(RANK(AB2,OFFSET($S$2,0,0,1,$D$5*3),0),"-")</f>
        <v>5</v>
      </c>
      <c r="AC1" s="87"/>
      <c r="AD1" s="65"/>
      <c r="AE1" s="87">
        <f ca="1">+IFERROR(RANK(AE2,OFFSET($S$2,0,0,1,$D$5*3),0),"-")</f>
        <v>27</v>
      </c>
      <c r="AF1" s="87"/>
      <c r="AG1" s="65"/>
      <c r="AH1" s="87">
        <f ca="1">+IFERROR(RANK(AH2,OFFSET($S$2,0,0,1,$D$5*3),0),"-")</f>
        <v>8</v>
      </c>
      <c r="AI1" s="87"/>
      <c r="AJ1" s="65"/>
      <c r="AK1" s="87">
        <f ca="1">+IFERROR(RANK(AK2,OFFSET($S$2,0,0,1,$D$5*3),0),"-")</f>
        <v>34</v>
      </c>
      <c r="AL1" s="87"/>
      <c r="AM1" s="65"/>
      <c r="AN1" s="87">
        <f ca="1">+IFERROR(RANK(AN2,OFFSET($S$2,0,0,1,$D$5*3),0),"-")</f>
        <v>13</v>
      </c>
      <c r="AO1" s="87"/>
      <c r="AP1" s="65"/>
      <c r="AQ1" s="87">
        <f ca="1">+IFERROR(RANK(AQ2,OFFSET($S$2,0,0,1,$D$5*3),0),"-")</f>
        <v>3</v>
      </c>
      <c r="AR1" s="87"/>
      <c r="AS1" s="65"/>
      <c r="AT1" s="87">
        <f ca="1">+IFERROR(RANK(AT2,OFFSET($S$2,0,0,1,$D$5*3),0),"-")</f>
        <v>22</v>
      </c>
      <c r="AU1" s="87"/>
      <c r="AV1" s="65"/>
      <c r="AW1" s="87">
        <f ca="1">+IFERROR(RANK(AW2,OFFSET($S$2,0,0,1,$D$5*3),0),"-")</f>
        <v>28</v>
      </c>
      <c r="AX1" s="87"/>
      <c r="AY1" s="65"/>
      <c r="AZ1" s="87">
        <f ca="1">+IFERROR(RANK(AZ2,OFFSET($S$2,0,0,1,$D$5*3),0),"-")</f>
        <v>14</v>
      </c>
      <c r="BA1" s="87"/>
      <c r="BB1" s="65"/>
      <c r="BC1" s="87">
        <f ca="1">+IFERROR(RANK(BC2,OFFSET($S$2,0,0,1,$D$5*3),0),"-")</f>
        <v>17</v>
      </c>
      <c r="BD1" s="87"/>
      <c r="BE1" s="65"/>
      <c r="BF1" s="87">
        <f ca="1">+IFERROR(RANK(BF2,OFFSET($S$2,0,0,1,$D$5*3),0),"-")</f>
        <v>16</v>
      </c>
      <c r="BG1" s="87"/>
      <c r="BH1" s="65"/>
      <c r="BI1" s="87">
        <f ca="1">+IFERROR(RANK(BI2,OFFSET($S$2,0,0,1,$D$5*3),0),"-")</f>
        <v>9</v>
      </c>
      <c r="BJ1" s="87"/>
      <c r="BK1" s="65"/>
      <c r="BL1" s="87">
        <f ca="1">+IFERROR(RANK(BL2,OFFSET($S$2,0,0,1,$D$5*3),0),"-")</f>
        <v>37</v>
      </c>
      <c r="BM1" s="87"/>
      <c r="BN1" s="65"/>
      <c r="BO1" s="87">
        <f ca="1">+IFERROR(RANK(BO2,OFFSET($S$2,0,0,1,$D$5*3),0),"-")</f>
        <v>19</v>
      </c>
      <c r="BP1" s="87"/>
      <c r="BQ1" s="65"/>
      <c r="BR1" s="87">
        <f ca="1">+IFERROR(RANK(BR2,OFFSET($S$2,0,0,1,$D$5*3),0),"-")</f>
        <v>6</v>
      </c>
      <c r="BS1" s="87"/>
      <c r="BT1" s="65"/>
      <c r="BU1" s="87">
        <f ca="1">+IFERROR(RANK(BU2,OFFSET($S$2,0,0,1,$D$5*3),0),"-")</f>
        <v>35</v>
      </c>
      <c r="BV1" s="87"/>
      <c r="BW1" s="65"/>
      <c r="BX1" s="87">
        <f ca="1">+IFERROR(RANK(BX2,OFFSET($S$2,0,0,1,$D$5*3),0),"-")</f>
        <v>39</v>
      </c>
      <c r="BY1" s="87"/>
      <c r="BZ1" s="65"/>
      <c r="CA1" s="87">
        <f ca="1">+IFERROR(RANK(CA2,OFFSET($S$2,0,0,1,$D$5*3),0),"-")</f>
        <v>23</v>
      </c>
      <c r="CB1" s="87"/>
      <c r="CC1" s="65"/>
      <c r="CD1" s="87">
        <f ca="1">+IFERROR(RANK(CD2,OFFSET($S$2,0,0,1,$D$5*3),0),"-")</f>
        <v>2</v>
      </c>
      <c r="CE1" s="87"/>
      <c r="CF1" s="65"/>
      <c r="CG1" s="87">
        <f ca="1">+IFERROR(RANK(CG2,OFFSET($S$2,0,0,1,$D$5*3),0),"-")</f>
        <v>24</v>
      </c>
      <c r="CH1" s="87"/>
      <c r="CI1" s="65"/>
      <c r="CJ1" s="87">
        <f ca="1">+IFERROR(RANK(CJ2,OFFSET($S$2,0,0,1,$D$5*3),0),"-")</f>
        <v>10</v>
      </c>
      <c r="CK1" s="87"/>
      <c r="CL1" s="65"/>
      <c r="CM1" s="87">
        <f ca="1">+IFERROR(RANK(CM2,OFFSET($S$2,0,0,1,$D$5*3),0),"-")</f>
        <v>25</v>
      </c>
      <c r="CN1" s="87"/>
      <c r="CO1" s="65"/>
      <c r="CP1" s="87">
        <f ca="1">+IFERROR(RANK(CP2,OFFSET($S$2,0,0,1,$D$5*3),0),"-")</f>
        <v>30</v>
      </c>
      <c r="CQ1" s="87"/>
      <c r="CR1" s="65"/>
      <c r="CS1" s="87">
        <f ca="1">+IFERROR(RANK(CS2,OFFSET($S$2,0,0,1,$D$5*3),0),"-")</f>
        <v>38</v>
      </c>
      <c r="CT1" s="87"/>
      <c r="CU1" s="65"/>
      <c r="CV1" s="87">
        <f ca="1">+IFERROR(RANK(CV2,OFFSET($S$2,0,0,1,$D$5*3),0),"-")</f>
        <v>4</v>
      </c>
      <c r="CW1" s="87"/>
      <c r="CX1" s="65"/>
      <c r="CY1" s="87">
        <f ca="1">+IFERROR(RANK(CY2,OFFSET($S$2,0,0,1,$D$5*3),0),"-")</f>
        <v>11</v>
      </c>
      <c r="CZ1" s="87"/>
      <c r="DA1" s="65"/>
      <c r="DB1" s="87">
        <f ca="1">+IFERROR(RANK(DB2,OFFSET($S$2,0,0,1,$D$5*3),0),"-")</f>
        <v>20</v>
      </c>
      <c r="DC1" s="87"/>
      <c r="DD1" s="65"/>
      <c r="DE1" s="87">
        <f ca="1">+IFERROR(RANK(DE2,OFFSET($S$2,0,0,1,$D$5*3),0),"-")</f>
        <v>31</v>
      </c>
      <c r="DF1" s="87"/>
      <c r="DG1" s="65"/>
      <c r="DH1" s="87">
        <f ca="1">+IFERROR(RANK(DH2,OFFSET($S$2,0,0,1,$D$5*3),0),"-")</f>
        <v>32</v>
      </c>
      <c r="DI1" s="87"/>
      <c r="DJ1" s="65"/>
      <c r="DK1" s="87">
        <f ca="1">+IFERROR(RANK(DK2,OFFSET($S$2,0,0,1,$D$5*3),0),"-")</f>
        <v>15</v>
      </c>
      <c r="DL1" s="87"/>
      <c r="DM1" s="65"/>
      <c r="DN1" s="87">
        <f ca="1">+IFERROR(RANK(DN2,OFFSET($S$2,0,0,1,$D$5*3),0),"-")</f>
        <v>18</v>
      </c>
      <c r="DO1" s="87"/>
      <c r="DP1" s="65"/>
      <c r="DQ1" s="87">
        <f ca="1">+IFERROR(RANK(DQ2,OFFSET($S$2,0,0,1,$D$5*3),0),"-")</f>
        <v>40</v>
      </c>
      <c r="DR1" s="87"/>
      <c r="DS1" s="65"/>
      <c r="DT1" s="87">
        <f ca="1">+IFERROR(RANK(DT2,OFFSET($S$2,0,0,1,$D$5*3),0),"-")</f>
        <v>26</v>
      </c>
      <c r="DU1" s="87"/>
      <c r="DV1" s="65"/>
      <c r="DW1" s="87">
        <f ca="1">+IFERROR(RANK(DW2,OFFSET($S$2,0,0,1,$D$5*3),0),"-")</f>
        <v>1</v>
      </c>
      <c r="DX1" s="87"/>
      <c r="DY1" s="65"/>
      <c r="DZ1" s="87">
        <f ca="1">+IFERROR(RANK(DZ2,OFFSET($S$2,0,0,1,$D$5*3),0),"-")</f>
        <v>21</v>
      </c>
      <c r="EA1" s="87"/>
      <c r="EB1" s="65"/>
      <c r="EC1" s="87">
        <f ca="1">+IFERROR(RANK(EC2,OFFSET($S$2,0,0,1,$D$5*3),0),"-")</f>
        <v>33</v>
      </c>
      <c r="ED1" s="87"/>
      <c r="EE1" s="65"/>
      <c r="EF1" s="87">
        <f ca="1">+IFERROR(RANK(EF2,OFFSET($S$2,0,0,1,$D$5*3),0),"-")</f>
        <v>29</v>
      </c>
      <c r="EG1" s="87"/>
      <c r="EH1" s="65"/>
      <c r="EI1" s="87">
        <f ca="1">+IFERROR(RANK(EI2,OFFSET($S$2,0,0,1,$D$5*3),0),"-")</f>
        <v>41</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05" customHeight="1">
      <c r="A2" s="65"/>
      <c r="B2" s="65"/>
      <c r="C2" s="65"/>
      <c r="D2" s="65"/>
      <c r="E2" s="111"/>
      <c r="F2" s="730"/>
      <c r="G2" s="49"/>
      <c r="H2" s="49"/>
      <c r="I2" s="65"/>
      <c r="J2" s="93"/>
      <c r="K2" s="25"/>
      <c r="L2" s="65"/>
      <c r="M2" s="87"/>
      <c r="N2" s="25"/>
      <c r="O2" s="25"/>
      <c r="P2" s="25"/>
      <c r="Q2" s="25"/>
      <c r="R2" s="49"/>
      <c r="S2" s="87">
        <f ca="1">S4-(COLUMN()/10000)</f>
        <v>23.998100000000001</v>
      </c>
      <c r="T2" s="87"/>
      <c r="U2" s="65"/>
      <c r="V2" s="87">
        <f t="shared" ref="V2" ca="1" si="0">V4-(COLUMN()/10000)</f>
        <v>15.9978</v>
      </c>
      <c r="W2" s="87"/>
      <c r="X2" s="65"/>
      <c r="Y2" s="87">
        <f t="shared" ref="Y2" ca="1" si="1">Y4-(COLUMN()/10000)</f>
        <v>26.997499999999999</v>
      </c>
      <c r="Z2" s="87"/>
      <c r="AA2" s="65"/>
      <c r="AB2" s="87">
        <f t="shared" ref="AB2" ca="1" si="2">AB4-(COLUMN()/10000)</f>
        <v>28.997199999999999</v>
      </c>
      <c r="AC2" s="87"/>
      <c r="AD2" s="65"/>
      <c r="AE2" s="87">
        <f t="shared" ref="AE2" ca="1" si="3">AE4-(COLUMN()/10000)</f>
        <v>18.9969</v>
      </c>
      <c r="AF2" s="87"/>
      <c r="AG2" s="65"/>
      <c r="AH2" s="87">
        <f t="shared" ref="AH2" ca="1" si="4">AH4-(COLUMN()/10000)</f>
        <v>26.996600000000001</v>
      </c>
      <c r="AI2" s="87"/>
      <c r="AJ2" s="65"/>
      <c r="AK2" s="87">
        <f t="shared" ref="AK2" ca="1" si="5">AK4-(COLUMN()/10000)</f>
        <v>16.996300000000002</v>
      </c>
      <c r="AL2" s="87"/>
      <c r="AM2" s="65"/>
      <c r="AN2" s="87">
        <f t="shared" ref="AN2" ca="1" si="6">AN4-(COLUMN()/10000)</f>
        <v>23.995999999999999</v>
      </c>
      <c r="AO2" s="87"/>
      <c r="AP2" s="65"/>
      <c r="AQ2" s="87">
        <f t="shared" ref="AQ2" ca="1" si="7">AQ4-(COLUMN()/10000)</f>
        <v>31.995699999999999</v>
      </c>
      <c r="AR2" s="87"/>
      <c r="AS2" s="65"/>
      <c r="AT2" s="87">
        <f t="shared" ref="AT2" ca="1" si="8">AT4-(COLUMN()/10000)</f>
        <v>19.9954</v>
      </c>
      <c r="AU2" s="87"/>
      <c r="AV2" s="65"/>
      <c r="AW2" s="87">
        <f t="shared" ref="AW2" ca="1" si="9">AW4-(COLUMN()/10000)</f>
        <v>18.995100000000001</v>
      </c>
      <c r="AX2" s="87"/>
      <c r="AY2" s="65"/>
      <c r="AZ2" s="87">
        <f t="shared" ref="AZ2" ca="1" si="10">AZ4-(COLUMN()/10000)</f>
        <v>23.994800000000001</v>
      </c>
      <c r="BA2" s="87"/>
      <c r="BB2" s="65"/>
      <c r="BC2" s="87">
        <f t="shared" ref="BC2" ca="1" si="11">BC4-(COLUMN()/10000)</f>
        <v>21.994499999999999</v>
      </c>
      <c r="BD2" s="87"/>
      <c r="BE2" s="65"/>
      <c r="BF2" s="87">
        <f t="shared" ref="BF2" ca="1" si="12">BF4-(COLUMN()/10000)</f>
        <v>22.994199999999999</v>
      </c>
      <c r="BG2" s="87"/>
      <c r="BH2" s="65"/>
      <c r="BI2" s="87">
        <f t="shared" ref="BI2" ca="1" si="13">BI4-(COLUMN()/10000)</f>
        <v>26.9939</v>
      </c>
      <c r="BJ2" s="87"/>
      <c r="BK2" s="65"/>
      <c r="BL2" s="87">
        <f t="shared" ref="BL2" ca="1" si="14">BL4-(COLUMN()/10000)</f>
        <v>14.993600000000001</v>
      </c>
      <c r="BM2" s="87"/>
      <c r="BN2" s="65"/>
      <c r="BO2" s="87">
        <f t="shared" ref="BO2" ca="1" si="15">BO4-(COLUMN()/10000)</f>
        <v>20.993300000000001</v>
      </c>
      <c r="BP2" s="87"/>
      <c r="BQ2" s="65"/>
      <c r="BR2" s="87">
        <f t="shared" ref="BR2" ca="1" si="16">BR4-(COLUMN()/10000)</f>
        <v>27.992999999999999</v>
      </c>
      <c r="BS2" s="87"/>
      <c r="BT2" s="65"/>
      <c r="BU2" s="87">
        <f t="shared" ref="BU2" ca="1" si="17">BU4-(COLUMN()/10000)</f>
        <v>16.992699999999999</v>
      </c>
      <c r="BV2" s="87"/>
      <c r="BW2" s="65"/>
      <c r="BX2" s="87">
        <f t="shared" ref="BX2" ca="1" si="18">BX4-(COLUMN()/10000)</f>
        <v>13.9924</v>
      </c>
      <c r="BY2" s="87"/>
      <c r="BZ2" s="65"/>
      <c r="CA2" s="87">
        <f t="shared" ref="CA2" ca="1" si="19">CA4-(COLUMN()/10000)</f>
        <v>19.992100000000001</v>
      </c>
      <c r="CB2" s="87"/>
      <c r="CC2" s="65"/>
      <c r="CD2" s="87">
        <f t="shared" ref="CD2" ca="1" si="20">CD4-(COLUMN()/10000)</f>
        <v>32.991799999999998</v>
      </c>
      <c r="CE2" s="87"/>
      <c r="CF2" s="65"/>
      <c r="CG2" s="87">
        <f t="shared" ref="CG2" ca="1" si="21">CG4-(COLUMN()/10000)</f>
        <v>19.991499999999998</v>
      </c>
      <c r="CH2" s="87"/>
      <c r="CI2" s="65"/>
      <c r="CJ2" s="87">
        <f t="shared" ref="CJ2" ca="1" si="22">CJ4-(COLUMN()/10000)</f>
        <v>26.991199999999999</v>
      </c>
      <c r="CK2" s="87"/>
      <c r="CL2" s="65"/>
      <c r="CM2" s="87">
        <f t="shared" ref="CM2" ca="1" si="23">CM4-(COLUMN()/10000)</f>
        <v>19.9909</v>
      </c>
      <c r="CN2" s="87"/>
      <c r="CO2" s="65"/>
      <c r="CP2" s="87">
        <f t="shared" ref="CP2" ca="1" si="24">CP4-(COLUMN()/10000)</f>
        <v>17.990600000000001</v>
      </c>
      <c r="CQ2" s="87"/>
      <c r="CR2" s="65"/>
      <c r="CS2" s="87">
        <f t="shared" ref="CS2" ca="1" si="25">CS4-(COLUMN()/10000)</f>
        <v>14.9903</v>
      </c>
      <c r="CT2" s="87"/>
      <c r="CU2" s="65"/>
      <c r="CV2" s="87">
        <f t="shared" ref="CV2" ca="1" si="26">CV4-(COLUMN()/10000)</f>
        <v>29.99</v>
      </c>
      <c r="CW2" s="87"/>
      <c r="CX2" s="65"/>
      <c r="CY2" s="87">
        <f t="shared" ref="CY2" ca="1" si="27">CY4-(COLUMN()/10000)</f>
        <v>24.989699999999999</v>
      </c>
      <c r="CZ2" s="87"/>
      <c r="DA2" s="65"/>
      <c r="DB2" s="87">
        <f t="shared" ref="DB2" ca="1" si="28">DB4-(COLUMN()/10000)</f>
        <v>20.9894</v>
      </c>
      <c r="DC2" s="87"/>
      <c r="DD2" s="65"/>
      <c r="DE2" s="87">
        <f t="shared" ref="DE2" ca="1" si="29">DE4-(COLUMN()/10000)</f>
        <v>17.989100000000001</v>
      </c>
      <c r="DF2" s="87"/>
      <c r="DG2" s="65"/>
      <c r="DH2" s="87">
        <f t="shared" ref="DH2" ca="1" si="30">DH4-(COLUMN()/10000)</f>
        <v>17.988800000000001</v>
      </c>
      <c r="DI2" s="87"/>
      <c r="DJ2" s="65"/>
      <c r="DK2" s="87">
        <f t="shared" ref="DK2" ca="1" si="31">DK4-(COLUMN()/10000)</f>
        <v>23.988499999999998</v>
      </c>
      <c r="DL2" s="87"/>
      <c r="DM2" s="65"/>
      <c r="DN2" s="87">
        <f t="shared" ref="DN2" ca="1" si="32">DN4-(COLUMN()/10000)</f>
        <v>21.988199999999999</v>
      </c>
      <c r="DO2" s="87"/>
      <c r="DP2" s="65"/>
      <c r="DQ2" s="87">
        <f t="shared" ref="DQ2" ca="1" si="33">DQ4-(COLUMN()/10000)</f>
        <v>8.9878999999999998</v>
      </c>
      <c r="DR2" s="87"/>
      <c r="DS2" s="65"/>
      <c r="DT2" s="87">
        <f t="shared" ref="DT2" ca="1" si="34">DT4-(COLUMN()/10000)</f>
        <v>19.9876</v>
      </c>
      <c r="DU2" s="87"/>
      <c r="DV2" s="65"/>
      <c r="DW2" s="87">
        <f t="shared" ref="DW2" ca="1" si="35">DW4-(COLUMN()/10000)</f>
        <v>36.987299999999998</v>
      </c>
      <c r="DX2" s="87"/>
      <c r="DY2" s="65"/>
      <c r="DZ2" s="87">
        <f t="shared" ref="DZ2" ca="1" si="36">DZ4-(COLUMN()/10000)</f>
        <v>20.986999999999998</v>
      </c>
      <c r="EA2" s="87"/>
      <c r="EB2" s="65"/>
      <c r="EC2" s="87">
        <f t="shared" ref="EC2" ca="1" si="37">EC4-(COLUMN()/10000)</f>
        <v>17.986699999999999</v>
      </c>
      <c r="ED2" s="87"/>
      <c r="EE2" s="65"/>
      <c r="EF2" s="87">
        <f t="shared" ref="EF2" ca="1" si="38">EF4-(COLUMN()/10000)</f>
        <v>18.9864</v>
      </c>
      <c r="EG2" s="87"/>
      <c r="EH2" s="65"/>
      <c r="EI2" s="87">
        <f t="shared" ref="EI2" ca="1" si="39">EI4-(COLUMN()/10000)</f>
        <v>-1.3899999999999999E-2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12</v>
      </c>
      <c r="T3" s="87"/>
      <c r="U3" s="65"/>
      <c r="V3" s="87">
        <f ca="1">RANK(V4,OFFSET($S$4,0,0,1,$D$5*3),0)</f>
        <v>36</v>
      </c>
      <c r="W3" s="87"/>
      <c r="X3" s="65"/>
      <c r="Y3" s="87">
        <f ca="1">RANK(Y4,OFFSET($S$4,0,0,1,$D$5*3),0)</f>
        <v>7</v>
      </c>
      <c r="Z3" s="87"/>
      <c r="AA3" s="65"/>
      <c r="AB3" s="87">
        <f ca="1">RANK(AB4,OFFSET($S$4,0,0,1,$D$5*3),0)</f>
        <v>5</v>
      </c>
      <c r="AC3" s="87"/>
      <c r="AD3" s="65"/>
      <c r="AE3" s="87">
        <f ca="1">RANK(AE4,OFFSET($S$4,0,0,1,$D$5*3),0)</f>
        <v>27</v>
      </c>
      <c r="AF3" s="87"/>
      <c r="AG3" s="65"/>
      <c r="AH3" s="87">
        <f ca="1">RANK(AH4,OFFSET($S$4,0,0,1,$D$5*3),0)</f>
        <v>7</v>
      </c>
      <c r="AI3" s="87"/>
      <c r="AJ3" s="65"/>
      <c r="AK3" s="87">
        <f ca="1">RANK(AK4,OFFSET($S$4,0,0,1,$D$5*3),0)</f>
        <v>34</v>
      </c>
      <c r="AL3" s="87"/>
      <c r="AM3" s="65"/>
      <c r="AN3" s="87">
        <f ca="1">RANK(AN4,OFFSET($S$4,0,0,1,$D$5*3),0)</f>
        <v>12</v>
      </c>
      <c r="AO3" s="87"/>
      <c r="AP3" s="65"/>
      <c r="AQ3" s="87">
        <f ca="1">RANK(AQ4,OFFSET($S$4,0,0,1,$D$5*3),0)</f>
        <v>3</v>
      </c>
      <c r="AR3" s="87"/>
      <c r="AS3" s="65"/>
      <c r="AT3" s="87">
        <f ca="1">RANK(AT4,OFFSET($S$4,0,0,1,$D$5*3),0)</f>
        <v>22</v>
      </c>
      <c r="AU3" s="87"/>
      <c r="AV3" s="65"/>
      <c r="AW3" s="87">
        <f ca="1">RANK(AW4,OFFSET($S$4,0,0,1,$D$5*3),0)</f>
        <v>27</v>
      </c>
      <c r="AX3" s="87"/>
      <c r="AY3" s="65"/>
      <c r="AZ3" s="87">
        <f ca="1">RANK(AZ4,OFFSET($S$4,0,0,1,$D$5*3),0)</f>
        <v>12</v>
      </c>
      <c r="BA3" s="87"/>
      <c r="BB3" s="65"/>
      <c r="BC3" s="87">
        <f ca="1">RANK(BC4,OFFSET($S$4,0,0,1,$D$5*3),0)</f>
        <v>17</v>
      </c>
      <c r="BD3" s="87"/>
      <c r="BE3" s="65"/>
      <c r="BF3" s="87">
        <f ca="1">RANK(BF4,OFFSET($S$4,0,0,1,$D$5*3),0)</f>
        <v>16</v>
      </c>
      <c r="BG3" s="87"/>
      <c r="BH3" s="65"/>
      <c r="BI3" s="87">
        <f ca="1">RANK(BI4,OFFSET($S$4,0,0,1,$D$5*3),0)</f>
        <v>7</v>
      </c>
      <c r="BJ3" s="87"/>
      <c r="BK3" s="65"/>
      <c r="BL3" s="87">
        <f ca="1">RANK(BL4,OFFSET($S$4,0,0,1,$D$5*3),0)</f>
        <v>37</v>
      </c>
      <c r="BM3" s="87"/>
      <c r="BN3" s="65"/>
      <c r="BO3" s="87">
        <f ca="1">RANK(BO4,OFFSET($S$4,0,0,1,$D$5*3),0)</f>
        <v>19</v>
      </c>
      <c r="BP3" s="87"/>
      <c r="BQ3" s="65"/>
      <c r="BR3" s="87">
        <f ca="1">RANK(BR4,OFFSET($S$4,0,0,1,$D$5*3),0)</f>
        <v>6</v>
      </c>
      <c r="BS3" s="87"/>
      <c r="BT3" s="65"/>
      <c r="BU3" s="87">
        <f ca="1">RANK(BU4,OFFSET($S$4,0,0,1,$D$5*3),0)</f>
        <v>34</v>
      </c>
      <c r="BV3" s="87"/>
      <c r="BW3" s="65"/>
      <c r="BX3" s="87">
        <f ca="1">RANK(BX4,OFFSET($S$4,0,0,1,$D$5*3),0)</f>
        <v>39</v>
      </c>
      <c r="BY3" s="87"/>
      <c r="BZ3" s="65"/>
      <c r="CA3" s="87">
        <f ca="1">RANK(CA4,OFFSET($S$4,0,0,1,$D$5*3),0)</f>
        <v>22</v>
      </c>
      <c r="CB3" s="87"/>
      <c r="CC3" s="65"/>
      <c r="CD3" s="87">
        <f ca="1">RANK(CD4,OFFSET($S$4,0,0,1,$D$5*3),0)</f>
        <v>2</v>
      </c>
      <c r="CE3" s="87"/>
      <c r="CF3" s="65"/>
      <c r="CG3" s="87">
        <f ca="1">RANK(CG4,OFFSET($S$4,0,0,1,$D$5*3),0)</f>
        <v>22</v>
      </c>
      <c r="CH3" s="87"/>
      <c r="CI3" s="65"/>
      <c r="CJ3" s="87">
        <f ca="1">RANK(CJ4,OFFSET($S$4,0,0,1,$D$5*3),0)</f>
        <v>7</v>
      </c>
      <c r="CK3" s="87"/>
      <c r="CL3" s="65"/>
      <c r="CM3" s="87">
        <f ca="1">RANK(CM4,OFFSET($S$4,0,0,1,$D$5*3),0)</f>
        <v>22</v>
      </c>
      <c r="CN3" s="87"/>
      <c r="CO3" s="65"/>
      <c r="CP3" s="87">
        <f ca="1">RANK(CP4,OFFSET($S$4,0,0,1,$D$5*3),0)</f>
        <v>30</v>
      </c>
      <c r="CQ3" s="87"/>
      <c r="CR3" s="65"/>
      <c r="CS3" s="87">
        <f ca="1">RANK(CS4,OFFSET($S$4,0,0,1,$D$5*3),0)</f>
        <v>37</v>
      </c>
      <c r="CT3" s="87"/>
      <c r="CU3" s="65"/>
      <c r="CV3" s="87">
        <f ca="1">RANK(CV4,OFFSET($S$4,0,0,1,$D$5*3),0)</f>
        <v>4</v>
      </c>
      <c r="CW3" s="87"/>
      <c r="CX3" s="65"/>
      <c r="CY3" s="87">
        <f ca="1">RANK(CY4,OFFSET($S$4,0,0,1,$D$5*3),0)</f>
        <v>11</v>
      </c>
      <c r="CZ3" s="87"/>
      <c r="DA3" s="65"/>
      <c r="DB3" s="87">
        <f ca="1">RANK(DB4,OFFSET($S$4,0,0,1,$D$5*3),0)</f>
        <v>19</v>
      </c>
      <c r="DC3" s="87"/>
      <c r="DD3" s="65"/>
      <c r="DE3" s="87">
        <f ca="1">RANK(DE4,OFFSET($S$4,0,0,1,$D$5*3),0)</f>
        <v>30</v>
      </c>
      <c r="DF3" s="87"/>
      <c r="DG3" s="65"/>
      <c r="DH3" s="87">
        <f ca="1">RANK(DH4,OFFSET($S$4,0,0,1,$D$5*3),0)</f>
        <v>30</v>
      </c>
      <c r="DI3" s="87"/>
      <c r="DJ3" s="65"/>
      <c r="DK3" s="87">
        <f ca="1">RANK(DK4,OFFSET($S$4,0,0,1,$D$5*3),0)</f>
        <v>12</v>
      </c>
      <c r="DL3" s="87"/>
      <c r="DM3" s="65"/>
      <c r="DN3" s="87">
        <f ca="1">RANK(DN4,OFFSET($S$4,0,0,1,$D$5*3),0)</f>
        <v>17</v>
      </c>
      <c r="DO3" s="87"/>
      <c r="DP3" s="65"/>
      <c r="DQ3" s="87">
        <f ca="1">RANK(DQ4,OFFSET($S$4,0,0,1,$D$5*3),0)</f>
        <v>40</v>
      </c>
      <c r="DR3" s="87"/>
      <c r="DS3" s="65"/>
      <c r="DT3" s="87">
        <f ca="1">RANK(DT4,OFFSET($S$4,0,0,1,$D$5*3),0)</f>
        <v>22</v>
      </c>
      <c r="DU3" s="87"/>
      <c r="DV3" s="65"/>
      <c r="DW3" s="87">
        <f ca="1">RANK(DW4,OFFSET($S$4,0,0,1,$D$5*3),0)</f>
        <v>1</v>
      </c>
      <c r="DX3" s="87"/>
      <c r="DY3" s="65"/>
      <c r="DZ3" s="87">
        <f ca="1">RANK(DZ4,OFFSET($S$4,0,0,1,$D$5*3),0)</f>
        <v>19</v>
      </c>
      <c r="EA3" s="87"/>
      <c r="EB3" s="65"/>
      <c r="EC3" s="87">
        <f ca="1">RANK(EC4,OFFSET($S$4,0,0,1,$D$5*3),0)</f>
        <v>30</v>
      </c>
      <c r="ED3" s="87"/>
      <c r="EE3" s="65"/>
      <c r="EF3" s="87">
        <f ca="1">RANK(EF4,OFFSET($S$4,0,0,1,$D$5*3),0)</f>
        <v>27</v>
      </c>
      <c r="EG3" s="87"/>
      <c r="EH3" s="65"/>
      <c r="EI3" s="87">
        <f ca="1">RANK(EI4,OFFSET($S$4,0,0,1,$D$5*3),0)</f>
        <v>41</v>
      </c>
      <c r="EJ3" s="87"/>
      <c r="EK3" s="65"/>
      <c r="EL3" s="87">
        <f ca="1">RANK(EL4,OFFSET($S$4,0,0,1,$D$5*3),0)</f>
        <v>41</v>
      </c>
      <c r="EM3" s="87"/>
      <c r="EN3" s="65"/>
      <c r="EO3" s="87">
        <f ca="1">RANK(EO4,OFFSET($S$4,0,0,1,$D$5*3),0)</f>
        <v>41</v>
      </c>
      <c r="EP3" s="87"/>
      <c r="EQ3" s="65"/>
      <c r="ER3" s="87">
        <f ca="1">RANK(ER4,OFFSET($S$4,0,0,1,$D$5*3),0)</f>
        <v>41</v>
      </c>
      <c r="ES3" s="87"/>
      <c r="ET3" s="65"/>
      <c r="EU3" s="87">
        <f ca="1">RANK(EU4,OFFSET($S$4,0,0,1,$D$5*3),0)</f>
        <v>41</v>
      </c>
      <c r="EV3" s="87"/>
      <c r="EW3" s="65"/>
      <c r="EX3" s="87">
        <f ca="1">RANK(EX4,OFFSET($S$4,0,0,1,$D$5*3),0)</f>
        <v>41</v>
      </c>
      <c r="EY3" s="87"/>
      <c r="EZ3" s="65"/>
      <c r="FA3" s="87">
        <f ca="1">RANK(FA4,OFFSET($S$4,0,0,1,$D$5*3),0)</f>
        <v>41</v>
      </c>
      <c r="FB3" s="87"/>
      <c r="FC3" s="65"/>
      <c r="FD3" s="87">
        <f ca="1">RANK(FD4,OFFSET($S$4,0,0,1,$D$5*3),0)</f>
        <v>41</v>
      </c>
      <c r="FE3" s="87"/>
      <c r="FF3" s="65"/>
      <c r="FG3" s="87">
        <f ca="1">RANK(FG4,OFFSET($S$4,0,0,1,$D$5*3),0)</f>
        <v>41</v>
      </c>
      <c r="FH3" s="87"/>
      <c r="FI3" s="65"/>
      <c r="FJ3" s="87">
        <f ca="1">RANK(FJ4,OFFSET($S$4,0,0,1,$D$5*3),0)</f>
        <v>41</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24</v>
      </c>
      <c r="T4" s="68"/>
      <c r="U4" s="65"/>
      <c r="V4" s="67">
        <f ca="1">SUM(W6:W259)/2</f>
        <v>16</v>
      </c>
      <c r="W4" s="68"/>
      <c r="X4" s="65"/>
      <c r="Y4" s="67">
        <f ca="1">SUM(Z6:Z259)/2</f>
        <v>27</v>
      </c>
      <c r="Z4" s="68"/>
      <c r="AA4" s="65"/>
      <c r="AB4" s="67">
        <f ca="1">SUM(AC6:AC259)/2</f>
        <v>29</v>
      </c>
      <c r="AC4" s="68"/>
      <c r="AD4" s="65"/>
      <c r="AE4" s="67">
        <f ca="1">SUM(AF6:AF259)/2</f>
        <v>19</v>
      </c>
      <c r="AF4" s="68"/>
      <c r="AG4" s="65"/>
      <c r="AH4" s="67">
        <f ca="1">SUM(AI6:AI259)/2</f>
        <v>27</v>
      </c>
      <c r="AI4" s="68"/>
      <c r="AJ4" s="65"/>
      <c r="AK4" s="67">
        <f ca="1">SUM(AL6:AL259)/2</f>
        <v>17</v>
      </c>
      <c r="AL4" s="68"/>
      <c r="AM4" s="65"/>
      <c r="AN4" s="67">
        <f ca="1">SUM(AO6:AO259)/2</f>
        <v>24</v>
      </c>
      <c r="AO4" s="68"/>
      <c r="AP4" s="65"/>
      <c r="AQ4" s="67">
        <f ca="1">SUM(AR6:AR259)/2</f>
        <v>32</v>
      </c>
      <c r="AR4" s="68"/>
      <c r="AS4" s="65"/>
      <c r="AT4" s="67">
        <f ca="1">SUM(AU6:AU259)/2</f>
        <v>20</v>
      </c>
      <c r="AU4" s="68"/>
      <c r="AV4" s="65"/>
      <c r="AW4" s="67">
        <f ca="1">SUM(AX6:AX259)/2</f>
        <v>19</v>
      </c>
      <c r="AX4" s="68"/>
      <c r="AY4" s="65"/>
      <c r="AZ4" s="67">
        <f ca="1">SUM(BA6:BA259)/2</f>
        <v>24</v>
      </c>
      <c r="BA4" s="68"/>
      <c r="BB4" s="65"/>
      <c r="BC4" s="67">
        <f ca="1">SUM(BD6:BD259)/2</f>
        <v>22</v>
      </c>
      <c r="BD4" s="68"/>
      <c r="BE4" s="65"/>
      <c r="BF4" s="67">
        <f ca="1">SUM(BG6:BG259)/2</f>
        <v>23</v>
      </c>
      <c r="BG4" s="68"/>
      <c r="BH4" s="65"/>
      <c r="BI4" s="67">
        <f ca="1">SUM(BJ6:BJ259)/2</f>
        <v>27</v>
      </c>
      <c r="BJ4" s="68"/>
      <c r="BK4" s="65"/>
      <c r="BL4" s="67">
        <f ca="1">SUM(BM6:BM259)/2</f>
        <v>15</v>
      </c>
      <c r="BM4" s="68"/>
      <c r="BN4" s="65"/>
      <c r="BO4" s="67">
        <f ca="1">SUM(BP6:BP259)/2</f>
        <v>21</v>
      </c>
      <c r="BP4" s="68"/>
      <c r="BQ4" s="65"/>
      <c r="BR4" s="67">
        <f ca="1">SUM(BS6:BS259)/2</f>
        <v>28</v>
      </c>
      <c r="BS4" s="68"/>
      <c r="BT4" s="65"/>
      <c r="BU4" s="67">
        <f ca="1">SUM(BV6:BV259)/2</f>
        <v>17</v>
      </c>
      <c r="BV4" s="68"/>
      <c r="BW4" s="65"/>
      <c r="BX4" s="67">
        <f ca="1">SUM(BY6:BY259)/2</f>
        <v>14</v>
      </c>
      <c r="BY4" s="68"/>
      <c r="BZ4" s="65"/>
      <c r="CA4" s="67">
        <f ca="1">SUM(CB6:CB259)/2</f>
        <v>20</v>
      </c>
      <c r="CB4" s="68"/>
      <c r="CC4" s="65"/>
      <c r="CD4" s="67">
        <f ca="1">SUM(CE6:CE259)/2</f>
        <v>33</v>
      </c>
      <c r="CE4" s="68"/>
      <c r="CF4" s="65"/>
      <c r="CG4" s="67">
        <f ca="1">SUM(CH6:CH259)/2</f>
        <v>20</v>
      </c>
      <c r="CH4" s="68"/>
      <c r="CI4" s="65"/>
      <c r="CJ4" s="67">
        <f ca="1">SUM(CK6:CK259)/2</f>
        <v>27</v>
      </c>
      <c r="CK4" s="68"/>
      <c r="CL4" s="65"/>
      <c r="CM4" s="67">
        <f ca="1">SUM(CN6:CN259)/2</f>
        <v>20</v>
      </c>
      <c r="CN4" s="68"/>
      <c r="CO4" s="65"/>
      <c r="CP4" s="67">
        <f ca="1">SUM(CQ6:CQ259)/2</f>
        <v>18</v>
      </c>
      <c r="CQ4" s="68"/>
      <c r="CR4" s="65"/>
      <c r="CS4" s="67">
        <f ca="1">SUM(CT6:CT259)/2</f>
        <v>15</v>
      </c>
      <c r="CT4" s="68"/>
      <c r="CU4" s="65"/>
      <c r="CV4" s="67">
        <f ca="1">SUM(CW6:CW259)/2</f>
        <v>30</v>
      </c>
      <c r="CW4" s="68"/>
      <c r="CX4" s="65"/>
      <c r="CY4" s="67">
        <f ca="1">SUM(CZ6:CZ259)/2</f>
        <v>25</v>
      </c>
      <c r="CZ4" s="68"/>
      <c r="DA4" s="65"/>
      <c r="DB4" s="67">
        <f ca="1">SUM(DC6:DC259)/2</f>
        <v>21</v>
      </c>
      <c r="DC4" s="68"/>
      <c r="DD4" s="65"/>
      <c r="DE4" s="67">
        <f ca="1">SUM(DF6:DF259)/2</f>
        <v>18</v>
      </c>
      <c r="DF4" s="68"/>
      <c r="DG4" s="65"/>
      <c r="DH4" s="67">
        <f ca="1">SUM(DI6:DI259)/2</f>
        <v>18</v>
      </c>
      <c r="DI4" s="68"/>
      <c r="DJ4" s="65"/>
      <c r="DK4" s="67">
        <f ca="1">SUM(DL6:DL259)/2</f>
        <v>24</v>
      </c>
      <c r="DL4" s="68"/>
      <c r="DM4" s="65"/>
      <c r="DN4" s="67">
        <f ca="1">SUM(DO6:DO259)/2</f>
        <v>22</v>
      </c>
      <c r="DO4" s="68"/>
      <c r="DP4" s="65"/>
      <c r="DQ4" s="67">
        <f ca="1">SUM(DR6:DR259)/2</f>
        <v>9</v>
      </c>
      <c r="DR4" s="68"/>
      <c r="DS4" s="65"/>
      <c r="DT4" s="67">
        <f ca="1">SUM(DU6:DU259)/2</f>
        <v>20</v>
      </c>
      <c r="DU4" s="68"/>
      <c r="DV4" s="65"/>
      <c r="DW4" s="67">
        <f ca="1">SUM(DX6:DX259)/2</f>
        <v>37</v>
      </c>
      <c r="DX4" s="68"/>
      <c r="DY4" s="65"/>
      <c r="DZ4" s="67">
        <f ca="1">SUM(EA6:EA259)/2</f>
        <v>21</v>
      </c>
      <c r="EA4" s="68"/>
      <c r="EB4" s="65"/>
      <c r="EC4" s="67">
        <f ca="1">SUM(ED6:ED259)/2</f>
        <v>18</v>
      </c>
      <c r="ED4" s="68"/>
      <c r="EE4" s="65"/>
      <c r="EF4" s="67">
        <f ca="1">SUM(EG6:EG259)/2</f>
        <v>19</v>
      </c>
      <c r="EG4" s="68"/>
      <c r="EH4" s="65"/>
      <c r="EI4" s="67">
        <f ca="1">SUM(EJ6:EJ259)/2</f>
        <v>0</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tr">
        <f>Idiomas!$G$363&amp;ADMIN!EK5</f>
        <v>Pegar Valores Nombre J41</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tr">
        <f>Idiomas!$D$364</f>
        <v>Pegar Valores (J1)</v>
      </c>
      <c r="EJ6" s="73">
        <f t="shared" ref="EJ6" si="87">IFERROR(IF($M6=EI6,($D$8+$D$9+$D$10)*$I6,IF($N6=LEFT(EI6,1),($D$8+MAX(0,IF($D$50=1,$D$9*(1-(ABS($Q6-ABS(VALUE(MID(EI6,FIND("|",EI6)+1,FIND("-",EI6)-FIND("|",EI6)-1))-VALUE(MID(EI6,FIND("-",EI6)+1,10)))))*$D$50),$D$9*(1-(IF($N6="X",ABS($O6-VALUE(MID(EI6,FIND("|",EI6)+1,FIND("-",EI6)-FIND("|",EI6)-1))),ABS($Q6-ABS(VALUE(MID(EI6,FIND("|",EI6)+1,FIND("-",EI6)-FIND("|",EI6)-1))-VALUE(MID(EI6,FIND("-",EI6)+1,10)))))*$D$50)))))*$I6,0)),0)</f>
        <v>0</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c r="EJ7" s="73">
        <f t="shared" si="70"/>
        <v>0</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c r="EJ8" s="73">
        <f t="shared" si="70"/>
        <v>0</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c r="EJ10" s="73">
        <f t="shared" si="70"/>
        <v>0</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c r="EJ11" s="73">
        <f t="shared" si="70"/>
        <v>0</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c r="EJ14" s="73">
        <f t="shared" si="70"/>
        <v>0</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c r="EJ16" s="73">
        <f t="shared" si="70"/>
        <v>0</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c r="EJ18" s="73">
        <f t="shared" si="70"/>
        <v>0</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c r="EJ23" s="73">
        <f t="shared" si="105"/>
        <v>0</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c r="EJ24" s="77">
        <f t="shared" si="105"/>
        <v>0</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c r="EJ25" s="73">
        <f t="shared" si="105"/>
        <v>0</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c r="EJ27" s="73">
        <f t="shared" si="105"/>
        <v>0</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c r="EJ28" s="73">
        <f t="shared" si="105"/>
        <v>0</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0</v>
      </c>
      <c r="AD30" s="65"/>
      <c r="AE30" s="76" t="s">
        <v>1942</v>
      </c>
      <c r="AF30" s="77">
        <f t="shared" si="103"/>
        <v>0</v>
      </c>
      <c r="AG30" s="65"/>
      <c r="AH30" s="76" t="s">
        <v>1946</v>
      </c>
      <c r="AI30" s="77">
        <f t="shared" si="103"/>
        <v>0</v>
      </c>
      <c r="AJ30" s="65"/>
      <c r="AK30" s="76" t="s">
        <v>1948</v>
      </c>
      <c r="AL30" s="77">
        <f t="shared" si="103"/>
        <v>0</v>
      </c>
      <c r="AM30" s="65"/>
      <c r="AN30" s="76" t="s">
        <v>1958</v>
      </c>
      <c r="AO30" s="77">
        <f t="shared" si="103"/>
        <v>0</v>
      </c>
      <c r="AP30" s="65"/>
      <c r="AQ30" s="76" t="s">
        <v>1946</v>
      </c>
      <c r="AR30" s="77">
        <f t="shared" si="103"/>
        <v>0</v>
      </c>
      <c r="AS30" s="65"/>
      <c r="AT30" s="76" t="s">
        <v>1946</v>
      </c>
      <c r="AU30" s="77">
        <f t="shared" si="103"/>
        <v>0</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0</v>
      </c>
      <c r="BQ30" s="65"/>
      <c r="BR30" s="76" t="s">
        <v>1942</v>
      </c>
      <c r="BS30" s="77">
        <f t="shared" si="107"/>
        <v>0</v>
      </c>
      <c r="BT30" s="65"/>
      <c r="BU30" s="76" t="s">
        <v>1948</v>
      </c>
      <c r="BV30" s="77">
        <f t="shared" si="107"/>
        <v>0</v>
      </c>
      <c r="BW30" s="65"/>
      <c r="BX30" s="76" t="s">
        <v>1946</v>
      </c>
      <c r="BY30" s="77">
        <f t="shared" si="107"/>
        <v>0</v>
      </c>
      <c r="BZ30" s="65"/>
      <c r="CA30" s="76" t="s">
        <v>1960</v>
      </c>
      <c r="CB30" s="77">
        <f t="shared" si="107"/>
        <v>0</v>
      </c>
      <c r="CC30" s="65"/>
      <c r="CD30" s="76" t="s">
        <v>1946</v>
      </c>
      <c r="CE30" s="77">
        <f t="shared" si="107"/>
        <v>0</v>
      </c>
      <c r="CF30" s="65"/>
      <c r="CG30" s="76" t="s">
        <v>1954</v>
      </c>
      <c r="CH30" s="77">
        <f t="shared" si="107"/>
        <v>0</v>
      </c>
      <c r="CI30" s="65"/>
      <c r="CJ30" s="76" t="s">
        <v>1942</v>
      </c>
      <c r="CK30" s="77">
        <f t="shared" si="107"/>
        <v>0</v>
      </c>
      <c r="CL30" s="65"/>
      <c r="CM30" s="76" t="s">
        <v>1948</v>
      </c>
      <c r="CN30" s="77">
        <f t="shared" si="107"/>
        <v>0</v>
      </c>
      <c r="CO30" s="65"/>
      <c r="CP30" s="76" t="s">
        <v>1946</v>
      </c>
      <c r="CQ30" s="77">
        <f t="shared" si="107"/>
        <v>0</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0</v>
      </c>
      <c r="DS30" s="65"/>
      <c r="DT30" s="76" t="s">
        <v>1944</v>
      </c>
      <c r="DU30" s="77">
        <f t="shared" si="107"/>
        <v>0</v>
      </c>
      <c r="DV30" s="65"/>
      <c r="DW30" s="76" t="s">
        <v>1948</v>
      </c>
      <c r="DX30" s="77">
        <f t="shared" si="105"/>
        <v>0</v>
      </c>
      <c r="DY30" s="65"/>
      <c r="DZ30" s="76" t="s">
        <v>1942</v>
      </c>
      <c r="EA30" s="77">
        <f t="shared" si="105"/>
        <v>0</v>
      </c>
      <c r="EB30" s="65"/>
      <c r="EC30" s="76" t="s">
        <v>1946</v>
      </c>
      <c r="ED30" s="77">
        <f t="shared" si="105"/>
        <v>0</v>
      </c>
      <c r="EE30" s="65"/>
      <c r="EF30" s="76" t="s">
        <v>1942</v>
      </c>
      <c r="EG30" s="77">
        <f t="shared" si="105"/>
        <v>0</v>
      </c>
      <c r="EH30" s="65"/>
      <c r="EI30" s="76" t="str">
        <f>Idiomas!$D$365</f>
        <v>Pegar Valores (J2)</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101"/>
        <v>0</v>
      </c>
      <c r="R31" s="49"/>
      <c r="S31" s="74" t="s">
        <v>1948</v>
      </c>
      <c r="T31" s="73">
        <f t="shared" si="106"/>
        <v>0</v>
      </c>
      <c r="U31" s="65"/>
      <c r="V31" s="74" t="s">
        <v>1954</v>
      </c>
      <c r="W31" s="73">
        <f t="shared" si="99"/>
        <v>0</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1948</v>
      </c>
      <c r="AC31" s="73">
        <f t="shared" si="108"/>
        <v>0</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0</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0</v>
      </c>
      <c r="BH31" s="65"/>
      <c r="BI31" s="74" t="s">
        <v>1948</v>
      </c>
      <c r="BJ31" s="73">
        <f t="shared" si="108"/>
        <v>0</v>
      </c>
      <c r="BK31" s="65"/>
      <c r="BL31" s="74" t="s">
        <v>1948</v>
      </c>
      <c r="BM31" s="73">
        <f t="shared" si="108"/>
        <v>0</v>
      </c>
      <c r="BN31" s="65"/>
      <c r="BO31" s="74" t="s">
        <v>1948</v>
      </c>
      <c r="BP31" s="73">
        <f t="shared" si="108"/>
        <v>0</v>
      </c>
      <c r="BQ31" s="65"/>
      <c r="BR31" s="74" t="s">
        <v>1942</v>
      </c>
      <c r="BS31" s="73">
        <f t="shared" si="108"/>
        <v>0</v>
      </c>
      <c r="BT31" s="65"/>
      <c r="BU31" s="74" t="s">
        <v>1944</v>
      </c>
      <c r="BV31" s="73">
        <f t="shared" si="108"/>
        <v>0</v>
      </c>
      <c r="BW31" s="65"/>
      <c r="BX31" s="74" t="s">
        <v>1948</v>
      </c>
      <c r="BY31" s="73">
        <f t="shared" si="108"/>
        <v>0</v>
      </c>
      <c r="BZ31" s="65"/>
      <c r="CA31" s="74" t="s">
        <v>1946</v>
      </c>
      <c r="CB31" s="73">
        <f t="shared" si="108"/>
        <v>0</v>
      </c>
      <c r="CC31" s="65"/>
      <c r="CD31" s="74" t="s">
        <v>1954</v>
      </c>
      <c r="CE31" s="73">
        <f t="shared" si="108"/>
        <v>0</v>
      </c>
      <c r="CF31" s="65"/>
      <c r="CG31" s="74" t="s">
        <v>1946</v>
      </c>
      <c r="CH31" s="73">
        <f t="shared" si="108"/>
        <v>0</v>
      </c>
      <c r="CI31" s="65"/>
      <c r="CJ31" s="74" t="s">
        <v>1946</v>
      </c>
      <c r="CK31" s="73">
        <f t="shared" si="107"/>
        <v>0</v>
      </c>
      <c r="CL31" s="65"/>
      <c r="CM31" s="74" t="s">
        <v>1944</v>
      </c>
      <c r="CN31" s="73">
        <f t="shared" si="107"/>
        <v>0</v>
      </c>
      <c r="CO31" s="65"/>
      <c r="CP31" s="74" t="s">
        <v>1942</v>
      </c>
      <c r="CQ31" s="73">
        <f t="shared" si="107"/>
        <v>0</v>
      </c>
      <c r="CR31" s="65"/>
      <c r="CS31" s="74" t="s">
        <v>1954</v>
      </c>
      <c r="CT31" s="73">
        <f t="shared" si="107"/>
        <v>0</v>
      </c>
      <c r="CU31" s="65"/>
      <c r="CV31" s="74" t="s">
        <v>1942</v>
      </c>
      <c r="CW31" s="73">
        <f t="shared" si="107"/>
        <v>0</v>
      </c>
      <c r="CX31" s="65"/>
      <c r="CY31" s="74" t="s">
        <v>1954</v>
      </c>
      <c r="CZ31" s="73">
        <f t="shared" si="107"/>
        <v>0</v>
      </c>
      <c r="DA31" s="65"/>
      <c r="DB31" s="74" t="s">
        <v>1948</v>
      </c>
      <c r="DC31" s="73">
        <f t="shared" si="107"/>
        <v>0</v>
      </c>
      <c r="DD31" s="65"/>
      <c r="DE31" s="74" t="s">
        <v>1948</v>
      </c>
      <c r="DF31" s="73">
        <f t="shared" si="107"/>
        <v>0</v>
      </c>
      <c r="DG31" s="65"/>
      <c r="DH31" s="74" t="s">
        <v>1946</v>
      </c>
      <c r="DI31" s="73">
        <f t="shared" si="107"/>
        <v>0</v>
      </c>
      <c r="DJ31" s="65"/>
      <c r="DK31" s="74" t="s">
        <v>1942</v>
      </c>
      <c r="DL31" s="73">
        <f t="shared" si="107"/>
        <v>0</v>
      </c>
      <c r="DM31" s="65"/>
      <c r="DN31" s="795" t="s">
        <v>1948</v>
      </c>
      <c r="DO31" s="73">
        <f t="shared" si="107"/>
        <v>0</v>
      </c>
      <c r="DP31" s="65"/>
      <c r="DQ31" s="795" t="s">
        <v>1958</v>
      </c>
      <c r="DR31" s="73">
        <f t="shared" si="107"/>
        <v>0</v>
      </c>
      <c r="DS31" s="65"/>
      <c r="DT31" s="74" t="s">
        <v>1956</v>
      </c>
      <c r="DU31" s="73">
        <f t="shared" si="107"/>
        <v>0</v>
      </c>
      <c r="DV31" s="65"/>
      <c r="DW31" s="74" t="s">
        <v>1956</v>
      </c>
      <c r="DX31" s="73">
        <f t="shared" si="105"/>
        <v>0</v>
      </c>
      <c r="DY31" s="65"/>
      <c r="DZ31" s="74" t="s">
        <v>1946</v>
      </c>
      <c r="EA31" s="73">
        <f t="shared" si="105"/>
        <v>0</v>
      </c>
      <c r="EB31" s="65"/>
      <c r="EC31" s="74" t="s">
        <v>1942</v>
      </c>
      <c r="ED31" s="73">
        <f t="shared" si="105"/>
        <v>0</v>
      </c>
      <c r="EE31" s="65"/>
      <c r="EF31" s="74" t="s">
        <v>1946</v>
      </c>
      <c r="EG31" s="73">
        <f t="shared" si="105"/>
        <v>0</v>
      </c>
      <c r="EH31" s="65"/>
      <c r="EI31" s="74"/>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101"/>
        <v>0</v>
      </c>
      <c r="R32" s="49"/>
      <c r="S32" s="74" t="s">
        <v>1954</v>
      </c>
      <c r="T32" s="73">
        <f t="shared" si="106"/>
        <v>0</v>
      </c>
      <c r="U32" s="65"/>
      <c r="V32" s="74" t="s">
        <v>1942</v>
      </c>
      <c r="W32" s="73">
        <f t="shared" si="99"/>
        <v>0</v>
      </c>
      <c r="X32" s="65"/>
      <c r="Y32" s="74" t="s">
        <v>1957</v>
      </c>
      <c r="Z32" s="73">
        <f t="shared" si="108"/>
        <v>0</v>
      </c>
      <c r="AA32" s="65"/>
      <c r="AB32" s="74" t="s">
        <v>1946</v>
      </c>
      <c r="AC32" s="73">
        <f t="shared" si="108"/>
        <v>0</v>
      </c>
      <c r="AD32" s="65"/>
      <c r="AE32" s="74" t="s">
        <v>1948</v>
      </c>
      <c r="AF32" s="73">
        <f t="shared" si="108"/>
        <v>0</v>
      </c>
      <c r="AG32" s="65"/>
      <c r="AH32" s="74" t="s">
        <v>1943</v>
      </c>
      <c r="AI32" s="73">
        <f t="shared" si="108"/>
        <v>0</v>
      </c>
      <c r="AJ32" s="65"/>
      <c r="AK32" s="74" t="s">
        <v>1944</v>
      </c>
      <c r="AL32" s="73">
        <f t="shared" si="108"/>
        <v>0</v>
      </c>
      <c r="AM32" s="65"/>
      <c r="AN32" s="74" t="s">
        <v>1954</v>
      </c>
      <c r="AO32" s="73">
        <f t="shared" si="108"/>
        <v>0</v>
      </c>
      <c r="AP32" s="65"/>
      <c r="AQ32" s="74" t="s">
        <v>1948</v>
      </c>
      <c r="AR32" s="73">
        <f t="shared" si="108"/>
        <v>0</v>
      </c>
      <c r="AS32" s="65"/>
      <c r="AT32" s="74" t="s">
        <v>1946</v>
      </c>
      <c r="AU32" s="73">
        <f t="shared" si="108"/>
        <v>0</v>
      </c>
      <c r="AV32" s="65"/>
      <c r="AW32" s="74" t="s">
        <v>1944</v>
      </c>
      <c r="AX32" s="73">
        <f t="shared" si="108"/>
        <v>0</v>
      </c>
      <c r="AY32" s="65"/>
      <c r="AZ32" s="74" t="s">
        <v>1948</v>
      </c>
      <c r="BA32" s="73">
        <f t="shared" si="108"/>
        <v>0</v>
      </c>
      <c r="BB32" s="65"/>
      <c r="BC32" s="74" t="s">
        <v>1942</v>
      </c>
      <c r="BD32" s="73">
        <f t="shared" si="108"/>
        <v>0</v>
      </c>
      <c r="BE32" s="65"/>
      <c r="BF32" s="74" t="s">
        <v>1954</v>
      </c>
      <c r="BG32" s="73">
        <f t="shared" si="108"/>
        <v>0</v>
      </c>
      <c r="BH32" s="65"/>
      <c r="BI32" s="74" t="s">
        <v>1957</v>
      </c>
      <c r="BJ32" s="73">
        <f t="shared" si="108"/>
        <v>0</v>
      </c>
      <c r="BK32" s="65"/>
      <c r="BL32" s="74" t="s">
        <v>1958</v>
      </c>
      <c r="BM32" s="73">
        <f t="shared" si="108"/>
        <v>0</v>
      </c>
      <c r="BN32" s="65"/>
      <c r="BO32" s="74" t="s">
        <v>1954</v>
      </c>
      <c r="BP32" s="73">
        <f t="shared" si="108"/>
        <v>0</v>
      </c>
      <c r="BQ32" s="65"/>
      <c r="BR32" s="74" t="s">
        <v>1946</v>
      </c>
      <c r="BS32" s="73">
        <f t="shared" si="108"/>
        <v>0</v>
      </c>
      <c r="BT32" s="65"/>
      <c r="BU32" s="74" t="s">
        <v>1948</v>
      </c>
      <c r="BV32" s="73">
        <f t="shared" si="108"/>
        <v>0</v>
      </c>
      <c r="BW32" s="65"/>
      <c r="BX32" s="74" t="s">
        <v>1942</v>
      </c>
      <c r="BY32" s="73">
        <f t="shared" si="108"/>
        <v>0</v>
      </c>
      <c r="BZ32" s="65"/>
      <c r="CA32" s="74" t="s">
        <v>1948</v>
      </c>
      <c r="CB32" s="73">
        <f t="shared" si="108"/>
        <v>0</v>
      </c>
      <c r="CC32" s="65"/>
      <c r="CD32" s="74" t="s">
        <v>1948</v>
      </c>
      <c r="CE32" s="73">
        <f t="shared" si="108"/>
        <v>0</v>
      </c>
      <c r="CF32" s="65"/>
      <c r="CG32" s="74" t="s">
        <v>1942</v>
      </c>
      <c r="CH32" s="73">
        <f t="shared" si="108"/>
        <v>0</v>
      </c>
      <c r="CI32" s="65"/>
      <c r="CJ32" s="74" t="s">
        <v>1943</v>
      </c>
      <c r="CK32" s="73">
        <f t="shared" si="107"/>
        <v>0</v>
      </c>
      <c r="CL32" s="65"/>
      <c r="CM32" s="74" t="s">
        <v>1943</v>
      </c>
      <c r="CN32" s="73">
        <f t="shared" si="107"/>
        <v>0</v>
      </c>
      <c r="CO32" s="65"/>
      <c r="CP32" s="74" t="s">
        <v>1942</v>
      </c>
      <c r="CQ32" s="73">
        <f t="shared" si="107"/>
        <v>0</v>
      </c>
      <c r="CR32" s="65"/>
      <c r="CS32" s="74" t="s">
        <v>1954</v>
      </c>
      <c r="CT32" s="73">
        <f t="shared" si="107"/>
        <v>0</v>
      </c>
      <c r="CU32" s="65"/>
      <c r="CV32" s="74" t="s">
        <v>1948</v>
      </c>
      <c r="CW32" s="73">
        <f t="shared" si="107"/>
        <v>0</v>
      </c>
      <c r="CX32" s="65"/>
      <c r="CY32" s="74" t="s">
        <v>1948</v>
      </c>
      <c r="CZ32" s="73">
        <f t="shared" si="107"/>
        <v>0</v>
      </c>
      <c r="DA32" s="65"/>
      <c r="DB32" s="74" t="s">
        <v>1954</v>
      </c>
      <c r="DC32" s="73">
        <f t="shared" si="107"/>
        <v>0</v>
      </c>
      <c r="DD32" s="65"/>
      <c r="DE32" s="74" t="s">
        <v>1942</v>
      </c>
      <c r="DF32" s="73">
        <f t="shared" si="107"/>
        <v>0</v>
      </c>
      <c r="DG32" s="65"/>
      <c r="DH32" s="74" t="s">
        <v>1948</v>
      </c>
      <c r="DI32" s="73">
        <f t="shared" si="107"/>
        <v>0</v>
      </c>
      <c r="DJ32" s="65"/>
      <c r="DK32" s="74" t="s">
        <v>1948</v>
      </c>
      <c r="DL32" s="73">
        <f t="shared" si="107"/>
        <v>0</v>
      </c>
      <c r="DM32" s="65"/>
      <c r="DN32" s="795" t="s">
        <v>1948</v>
      </c>
      <c r="DO32" s="73">
        <f t="shared" si="107"/>
        <v>0</v>
      </c>
      <c r="DP32" s="65"/>
      <c r="DQ32" s="795" t="s">
        <v>1946</v>
      </c>
      <c r="DR32" s="73">
        <f t="shared" si="107"/>
        <v>0</v>
      </c>
      <c r="DS32" s="65"/>
      <c r="DT32" s="74" t="s">
        <v>1959</v>
      </c>
      <c r="DU32" s="73">
        <f t="shared" si="107"/>
        <v>0</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0</v>
      </c>
      <c r="DY32" s="65"/>
      <c r="DZ32" s="74" t="s">
        <v>1946</v>
      </c>
      <c r="EA32" s="73">
        <f t="shared" si="109"/>
        <v>0</v>
      </c>
      <c r="EB32" s="65"/>
      <c r="EC32" s="74" t="s">
        <v>1948</v>
      </c>
      <c r="ED32" s="73">
        <f t="shared" si="109"/>
        <v>0</v>
      </c>
      <c r="EE32" s="65"/>
      <c r="EF32" s="74" t="s">
        <v>1943</v>
      </c>
      <c r="EG32" s="73">
        <f t="shared" si="109"/>
        <v>0</v>
      </c>
      <c r="EH32" s="65"/>
      <c r="EI32" s="74"/>
      <c r="EJ32" s="73">
        <f t="shared" si="109"/>
        <v>0</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101"/>
        <v>0</v>
      </c>
      <c r="R33" s="49"/>
      <c r="S33" s="74" t="s">
        <v>1954</v>
      </c>
      <c r="T33" s="73">
        <f t="shared" si="106"/>
        <v>0</v>
      </c>
      <c r="U33" s="65"/>
      <c r="V33" s="74" t="s">
        <v>1942</v>
      </c>
      <c r="W33" s="73">
        <f t="shared" si="99"/>
        <v>0</v>
      </c>
      <c r="X33" s="65"/>
      <c r="Y33" s="74" t="s">
        <v>1954</v>
      </c>
      <c r="Z33" s="73">
        <f t="shared" si="108"/>
        <v>0</v>
      </c>
      <c r="AA33" s="65"/>
      <c r="AB33" s="74" t="s">
        <v>1946</v>
      </c>
      <c r="AC33" s="73">
        <f t="shared" si="108"/>
        <v>0</v>
      </c>
      <c r="AD33" s="65"/>
      <c r="AE33" s="74" t="s">
        <v>1946</v>
      </c>
      <c r="AF33" s="73">
        <f t="shared" si="108"/>
        <v>0</v>
      </c>
      <c r="AG33" s="65"/>
      <c r="AH33" s="74" t="s">
        <v>1958</v>
      </c>
      <c r="AI33" s="73">
        <f t="shared" si="108"/>
        <v>0</v>
      </c>
      <c r="AJ33" s="65"/>
      <c r="AK33" s="74" t="s">
        <v>1954</v>
      </c>
      <c r="AL33" s="73">
        <f t="shared" si="108"/>
        <v>0</v>
      </c>
      <c r="AM33" s="65"/>
      <c r="AN33" s="74" t="s">
        <v>1959</v>
      </c>
      <c r="AO33" s="73">
        <f t="shared" si="108"/>
        <v>0</v>
      </c>
      <c r="AP33" s="65"/>
      <c r="AQ33" s="74" t="s">
        <v>2001</v>
      </c>
      <c r="AR33" s="73">
        <f t="shared" si="108"/>
        <v>0</v>
      </c>
      <c r="AS33" s="65"/>
      <c r="AT33" s="74" t="s">
        <v>1948</v>
      </c>
      <c r="AU33" s="73">
        <f t="shared" si="108"/>
        <v>0</v>
      </c>
      <c r="AV33" s="65"/>
      <c r="AW33" s="74" t="s">
        <v>1954</v>
      </c>
      <c r="AX33" s="73">
        <f t="shared" si="108"/>
        <v>0</v>
      </c>
      <c r="AY33" s="65"/>
      <c r="AZ33" s="74" t="s">
        <v>1943</v>
      </c>
      <c r="BA33" s="73">
        <f t="shared" si="108"/>
        <v>0</v>
      </c>
      <c r="BB33" s="65"/>
      <c r="BC33" s="74" t="s">
        <v>1946</v>
      </c>
      <c r="BD33" s="73">
        <f t="shared" si="108"/>
        <v>0</v>
      </c>
      <c r="BE33" s="65"/>
      <c r="BF33" s="74" t="s">
        <v>1942</v>
      </c>
      <c r="BG33" s="73">
        <f t="shared" si="108"/>
        <v>0</v>
      </c>
      <c r="BH33" s="65"/>
      <c r="BI33" s="74" t="s">
        <v>1954</v>
      </c>
      <c r="BJ33" s="73">
        <f t="shared" si="108"/>
        <v>0</v>
      </c>
      <c r="BK33" s="65"/>
      <c r="BL33" s="74" t="s">
        <v>1954</v>
      </c>
      <c r="BM33" s="73">
        <f t="shared" si="108"/>
        <v>0</v>
      </c>
      <c r="BN33" s="65"/>
      <c r="BO33" s="74" t="s">
        <v>1946</v>
      </c>
      <c r="BP33" s="73">
        <f t="shared" si="108"/>
        <v>0</v>
      </c>
      <c r="BQ33" s="65"/>
      <c r="BR33" s="74" t="s">
        <v>1942</v>
      </c>
      <c r="BS33" s="73">
        <f t="shared" si="108"/>
        <v>0</v>
      </c>
      <c r="BT33" s="65"/>
      <c r="BU33" s="74" t="s">
        <v>1954</v>
      </c>
      <c r="BV33" s="73">
        <f t="shared" si="108"/>
        <v>0</v>
      </c>
      <c r="BW33" s="65"/>
      <c r="BX33" s="74" t="s">
        <v>1954</v>
      </c>
      <c r="BY33" s="73">
        <f t="shared" si="108"/>
        <v>0</v>
      </c>
      <c r="BZ33" s="65"/>
      <c r="CA33" s="74" t="s">
        <v>1954</v>
      </c>
      <c r="CB33" s="73">
        <f t="shared" si="108"/>
        <v>0</v>
      </c>
      <c r="CC33" s="65"/>
      <c r="CD33" s="74" t="s">
        <v>1942</v>
      </c>
      <c r="CE33" s="73">
        <f t="shared" si="108"/>
        <v>0</v>
      </c>
      <c r="CF33" s="65"/>
      <c r="CG33" s="74" t="s">
        <v>1954</v>
      </c>
      <c r="CH33" s="73">
        <f t="shared" si="108"/>
        <v>0</v>
      </c>
      <c r="CI33" s="65"/>
      <c r="CJ33" s="74" t="s">
        <v>1946</v>
      </c>
      <c r="CK33" s="73">
        <f t="shared" si="107"/>
        <v>0</v>
      </c>
      <c r="CL33" s="65"/>
      <c r="CM33" s="74" t="s">
        <v>1946</v>
      </c>
      <c r="CN33" s="73">
        <f t="shared" si="107"/>
        <v>0</v>
      </c>
      <c r="CO33" s="65"/>
      <c r="CP33" s="74" t="s">
        <v>1954</v>
      </c>
      <c r="CQ33" s="73">
        <f t="shared" si="107"/>
        <v>0</v>
      </c>
      <c r="CR33" s="65"/>
      <c r="CS33" s="74" t="s">
        <v>1958</v>
      </c>
      <c r="CT33" s="73">
        <f t="shared" si="107"/>
        <v>0</v>
      </c>
      <c r="CU33" s="65"/>
      <c r="CV33" s="74" t="s">
        <v>1954</v>
      </c>
      <c r="CW33" s="73">
        <f t="shared" si="107"/>
        <v>0</v>
      </c>
      <c r="CX33" s="65"/>
      <c r="CY33" s="74" t="s">
        <v>1946</v>
      </c>
      <c r="CZ33" s="73">
        <f t="shared" si="107"/>
        <v>0</v>
      </c>
      <c r="DA33" s="65"/>
      <c r="DB33" s="74" t="s">
        <v>1954</v>
      </c>
      <c r="DC33" s="73">
        <f t="shared" si="107"/>
        <v>0</v>
      </c>
      <c r="DD33" s="65"/>
      <c r="DE33" s="74" t="s">
        <v>1942</v>
      </c>
      <c r="DF33" s="73">
        <f t="shared" si="107"/>
        <v>0</v>
      </c>
      <c r="DG33" s="65"/>
      <c r="DH33" s="74" t="s">
        <v>1948</v>
      </c>
      <c r="DI33" s="73">
        <f t="shared" si="107"/>
        <v>0</v>
      </c>
      <c r="DJ33" s="65"/>
      <c r="DK33" s="74" t="s">
        <v>1954</v>
      </c>
      <c r="DL33" s="73">
        <f t="shared" si="107"/>
        <v>0</v>
      </c>
      <c r="DM33" s="65"/>
      <c r="DN33" s="795" t="s">
        <v>1952</v>
      </c>
      <c r="DO33" s="73">
        <f t="shared" si="107"/>
        <v>0</v>
      </c>
      <c r="DP33" s="65"/>
      <c r="DQ33" s="795" t="s">
        <v>1960</v>
      </c>
      <c r="DR33" s="73">
        <f t="shared" si="107"/>
        <v>0</v>
      </c>
      <c r="DS33" s="65"/>
      <c r="DT33" s="74" t="s">
        <v>1948</v>
      </c>
      <c r="DU33" s="73">
        <f t="shared" si="107"/>
        <v>0</v>
      </c>
      <c r="DV33" s="65"/>
      <c r="DW33" s="74" t="s">
        <v>1948</v>
      </c>
      <c r="DX33" s="73">
        <f t="shared" si="109"/>
        <v>0</v>
      </c>
      <c r="DY33" s="65"/>
      <c r="DZ33" s="74" t="s">
        <v>1954</v>
      </c>
      <c r="EA33" s="73">
        <f t="shared" si="109"/>
        <v>0</v>
      </c>
      <c r="EB33" s="65"/>
      <c r="EC33" s="74" t="s">
        <v>1960</v>
      </c>
      <c r="ED33" s="73">
        <f t="shared" si="109"/>
        <v>0</v>
      </c>
      <c r="EE33" s="65"/>
      <c r="EF33" s="74" t="s">
        <v>1948</v>
      </c>
      <c r="EG33" s="73">
        <f t="shared" si="109"/>
        <v>0</v>
      </c>
      <c r="EH33" s="65"/>
      <c r="EI33" s="74"/>
      <c r="EJ33" s="73">
        <f t="shared" si="109"/>
        <v>0</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101"/>
        <v>0</v>
      </c>
      <c r="R34" s="49"/>
      <c r="S34" s="74" t="s">
        <v>1952</v>
      </c>
      <c r="T34" s="73">
        <f t="shared" si="106"/>
        <v>0</v>
      </c>
      <c r="U34" s="65"/>
      <c r="V34" s="74" t="s">
        <v>1945</v>
      </c>
      <c r="W34" s="73">
        <f t="shared" si="99"/>
        <v>0</v>
      </c>
      <c r="X34" s="65"/>
      <c r="Y34" s="74" t="s">
        <v>1952</v>
      </c>
      <c r="Z34" s="73">
        <f t="shared" si="108"/>
        <v>0</v>
      </c>
      <c r="AA34" s="65"/>
      <c r="AB34" s="74" t="s">
        <v>1946</v>
      </c>
      <c r="AC34" s="73">
        <f t="shared" si="108"/>
        <v>0</v>
      </c>
      <c r="AD34" s="65"/>
      <c r="AE34" s="74" t="s">
        <v>1957</v>
      </c>
      <c r="AF34" s="73">
        <f t="shared" si="108"/>
        <v>0</v>
      </c>
      <c r="AG34" s="65"/>
      <c r="AH34" s="74" t="s">
        <v>1949</v>
      </c>
      <c r="AI34" s="73">
        <f t="shared" si="108"/>
        <v>0</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0</v>
      </c>
      <c r="AY34" s="65"/>
      <c r="AZ34" s="74" t="s">
        <v>1946</v>
      </c>
      <c r="BA34" s="73">
        <f t="shared" si="108"/>
        <v>0</v>
      </c>
      <c r="BB34" s="65"/>
      <c r="BC34" s="74" t="s">
        <v>1949</v>
      </c>
      <c r="BD34" s="73">
        <f t="shared" si="108"/>
        <v>0</v>
      </c>
      <c r="BE34" s="65"/>
      <c r="BF34" s="74" t="s">
        <v>1949</v>
      </c>
      <c r="BG34" s="73">
        <f t="shared" si="108"/>
        <v>0</v>
      </c>
      <c r="BH34" s="65"/>
      <c r="BI34" s="74" t="s">
        <v>1952</v>
      </c>
      <c r="BJ34" s="73">
        <f t="shared" si="108"/>
        <v>0</v>
      </c>
      <c r="BK34" s="65"/>
      <c r="BL34" s="74" t="s">
        <v>1952</v>
      </c>
      <c r="BM34" s="73">
        <f t="shared" si="108"/>
        <v>0</v>
      </c>
      <c r="BN34" s="65"/>
      <c r="BO34" s="74" t="s">
        <v>1952</v>
      </c>
      <c r="BP34" s="73">
        <f t="shared" si="108"/>
        <v>0</v>
      </c>
      <c r="BQ34" s="65"/>
      <c r="BR34" s="74" t="s">
        <v>1946</v>
      </c>
      <c r="BS34" s="73">
        <f t="shared" si="108"/>
        <v>0</v>
      </c>
      <c r="BT34" s="65"/>
      <c r="BU34" s="74" t="s">
        <v>1948</v>
      </c>
      <c r="BV34" s="73">
        <f t="shared" si="108"/>
        <v>0</v>
      </c>
      <c r="BW34" s="65"/>
      <c r="BX34" s="74" t="s">
        <v>1952</v>
      </c>
      <c r="BY34" s="73">
        <f t="shared" si="108"/>
        <v>0</v>
      </c>
      <c r="BZ34" s="65"/>
      <c r="CA34" s="74" t="s">
        <v>1948</v>
      </c>
      <c r="CB34" s="73">
        <f t="shared" si="108"/>
        <v>0</v>
      </c>
      <c r="CC34" s="65"/>
      <c r="CD34" s="74" t="s">
        <v>1946</v>
      </c>
      <c r="CE34" s="73">
        <f t="shared" si="108"/>
        <v>0</v>
      </c>
      <c r="CF34" s="65"/>
      <c r="CG34" s="74" t="s">
        <v>1946</v>
      </c>
      <c r="CH34" s="73">
        <f t="shared" si="108"/>
        <v>0</v>
      </c>
      <c r="CI34" s="65"/>
      <c r="CJ34" s="74" t="s">
        <v>1960</v>
      </c>
      <c r="CK34" s="73">
        <f t="shared" si="107"/>
        <v>0</v>
      </c>
      <c r="CL34" s="65"/>
      <c r="CM34" s="74" t="s">
        <v>1952</v>
      </c>
      <c r="CN34" s="73">
        <f t="shared" si="107"/>
        <v>0</v>
      </c>
      <c r="CO34" s="65"/>
      <c r="CP34" s="74" t="s">
        <v>1945</v>
      </c>
      <c r="CQ34" s="73">
        <f t="shared" si="107"/>
        <v>0</v>
      </c>
      <c r="CR34" s="65"/>
      <c r="CS34" s="74" t="s">
        <v>1952</v>
      </c>
      <c r="CT34" s="73">
        <f t="shared" si="107"/>
        <v>0</v>
      </c>
      <c r="CU34" s="65"/>
      <c r="CV34" s="74" t="s">
        <v>1949</v>
      </c>
      <c r="CW34" s="73">
        <f t="shared" si="107"/>
        <v>0</v>
      </c>
      <c r="CX34" s="65"/>
      <c r="CY34" s="74" t="s">
        <v>1949</v>
      </c>
      <c r="CZ34" s="73">
        <f t="shared" si="107"/>
        <v>0</v>
      </c>
      <c r="DA34" s="65"/>
      <c r="DB34" s="74" t="s">
        <v>1952</v>
      </c>
      <c r="DC34" s="73">
        <f t="shared" si="107"/>
        <v>0</v>
      </c>
      <c r="DD34" s="65"/>
      <c r="DE34" s="74" t="s">
        <v>1952</v>
      </c>
      <c r="DF34" s="73">
        <f t="shared" si="107"/>
        <v>0</v>
      </c>
      <c r="DG34" s="65"/>
      <c r="DH34" s="74" t="s">
        <v>1952</v>
      </c>
      <c r="DI34" s="73">
        <f t="shared" si="107"/>
        <v>0</v>
      </c>
      <c r="DJ34" s="65"/>
      <c r="DK34" s="74" t="s">
        <v>1949</v>
      </c>
      <c r="DL34" s="73">
        <f t="shared" si="107"/>
        <v>0</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0</v>
      </c>
      <c r="EE34" s="65"/>
      <c r="EF34" s="74" t="s">
        <v>1946</v>
      </c>
      <c r="EG34" s="73">
        <f t="shared" si="109"/>
        <v>0</v>
      </c>
      <c r="EH34" s="65"/>
      <c r="EI34" s="74"/>
      <c r="EJ34" s="73">
        <f t="shared" si="109"/>
        <v>0</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101"/>
        <v>0</v>
      </c>
      <c r="R35" s="49"/>
      <c r="S35" s="74" t="s">
        <v>1951</v>
      </c>
      <c r="T35" s="73">
        <f t="shared" si="106"/>
        <v>0</v>
      </c>
      <c r="U35" s="65"/>
      <c r="V35" s="74" t="s">
        <v>2002</v>
      </c>
      <c r="W35" s="73">
        <f t="shared" si="99"/>
        <v>0</v>
      </c>
      <c r="X35" s="65"/>
      <c r="Y35" s="74" t="s">
        <v>1958</v>
      </c>
      <c r="Z35" s="73">
        <f t="shared" si="108"/>
        <v>0</v>
      </c>
      <c r="AA35" s="65"/>
      <c r="AB35" s="74" t="s">
        <v>1958</v>
      </c>
      <c r="AC35" s="73">
        <f t="shared" si="108"/>
        <v>0</v>
      </c>
      <c r="AD35" s="65"/>
      <c r="AE35" s="74" t="s">
        <v>1958</v>
      </c>
      <c r="AF35" s="73">
        <f t="shared" si="108"/>
        <v>0</v>
      </c>
      <c r="AG35" s="65"/>
      <c r="AH35" s="74" t="s">
        <v>1943</v>
      </c>
      <c r="AI35" s="73">
        <f t="shared" si="108"/>
        <v>0</v>
      </c>
      <c r="AJ35" s="65"/>
      <c r="AK35" s="74" t="s">
        <v>2001</v>
      </c>
      <c r="AL35" s="73">
        <f t="shared" si="108"/>
        <v>0</v>
      </c>
      <c r="AM35" s="65"/>
      <c r="AN35" s="74" t="s">
        <v>2184</v>
      </c>
      <c r="AO35" s="73">
        <f t="shared" si="108"/>
        <v>0</v>
      </c>
      <c r="AP35" s="65"/>
      <c r="AQ35" s="74" t="s">
        <v>1951</v>
      </c>
      <c r="AR35" s="73">
        <f t="shared" si="108"/>
        <v>0</v>
      </c>
      <c r="AS35" s="65"/>
      <c r="AT35" s="74" t="s">
        <v>2001</v>
      </c>
      <c r="AU35" s="73">
        <f t="shared" si="108"/>
        <v>0</v>
      </c>
      <c r="AV35" s="65"/>
      <c r="AW35" s="74" t="s">
        <v>1950</v>
      </c>
      <c r="AX35" s="73">
        <f t="shared" si="108"/>
        <v>0</v>
      </c>
      <c r="AY35" s="65"/>
      <c r="AZ35" s="74" t="s">
        <v>2001</v>
      </c>
      <c r="BA35" s="73">
        <f t="shared" si="108"/>
        <v>0</v>
      </c>
      <c r="BB35" s="65"/>
      <c r="BC35" s="74" t="s">
        <v>1950</v>
      </c>
      <c r="BD35" s="73">
        <f t="shared" si="108"/>
        <v>0</v>
      </c>
      <c r="BE35" s="65"/>
      <c r="BF35" s="74" t="s">
        <v>1958</v>
      </c>
      <c r="BG35" s="73">
        <f t="shared" si="108"/>
        <v>0</v>
      </c>
      <c r="BH35" s="65"/>
      <c r="BI35" s="74" t="s">
        <v>1958</v>
      </c>
      <c r="BJ35" s="73">
        <f t="shared" si="108"/>
        <v>0</v>
      </c>
      <c r="BK35" s="65"/>
      <c r="BL35" s="74" t="s">
        <v>1958</v>
      </c>
      <c r="BM35" s="73">
        <f t="shared" si="108"/>
        <v>0</v>
      </c>
      <c r="BN35" s="65"/>
      <c r="BO35" s="74" t="s">
        <v>1958</v>
      </c>
      <c r="BP35" s="73">
        <f t="shared" si="108"/>
        <v>0</v>
      </c>
      <c r="BQ35" s="65"/>
      <c r="BR35" s="74" t="s">
        <v>1959</v>
      </c>
      <c r="BS35" s="73">
        <f t="shared" si="108"/>
        <v>0</v>
      </c>
      <c r="BT35" s="65"/>
      <c r="BU35" s="74" t="s">
        <v>2001</v>
      </c>
      <c r="BV35" s="73">
        <f t="shared" si="108"/>
        <v>0</v>
      </c>
      <c r="BW35" s="65"/>
      <c r="BX35" s="74" t="s">
        <v>1958</v>
      </c>
      <c r="BY35" s="73">
        <f t="shared" si="108"/>
        <v>0</v>
      </c>
      <c r="BZ35" s="65"/>
      <c r="CA35" s="74" t="s">
        <v>1954</v>
      </c>
      <c r="CB35" s="73">
        <f t="shared" si="108"/>
        <v>0</v>
      </c>
      <c r="CC35" s="65"/>
      <c r="CD35" s="74" t="s">
        <v>2001</v>
      </c>
      <c r="CE35" s="73">
        <f t="shared" si="108"/>
        <v>0</v>
      </c>
      <c r="CF35" s="65"/>
      <c r="CG35" s="74" t="s">
        <v>1954</v>
      </c>
      <c r="CH35" s="73">
        <f t="shared" si="108"/>
        <v>0</v>
      </c>
      <c r="CI35" s="65"/>
      <c r="CJ35" s="74" t="s">
        <v>1951</v>
      </c>
      <c r="CK35" s="73">
        <f t="shared" si="107"/>
        <v>0</v>
      </c>
      <c r="CL35" s="65"/>
      <c r="CM35" s="74" t="s">
        <v>2001</v>
      </c>
      <c r="CN35" s="73">
        <f t="shared" si="107"/>
        <v>0</v>
      </c>
      <c r="CO35" s="65"/>
      <c r="CP35" s="74" t="s">
        <v>1950</v>
      </c>
      <c r="CQ35" s="73">
        <f t="shared" si="107"/>
        <v>0</v>
      </c>
      <c r="CR35" s="65"/>
      <c r="CS35" s="74" t="s">
        <v>2001</v>
      </c>
      <c r="CT35" s="73">
        <f t="shared" si="107"/>
        <v>0</v>
      </c>
      <c r="CU35" s="65"/>
      <c r="CV35" s="74" t="s">
        <v>2001</v>
      </c>
      <c r="CW35" s="73">
        <f t="shared" si="107"/>
        <v>0</v>
      </c>
      <c r="CX35" s="65"/>
      <c r="CY35" s="74" t="s">
        <v>2001</v>
      </c>
      <c r="CZ35" s="73">
        <f t="shared" si="107"/>
        <v>0</v>
      </c>
      <c r="DA35" s="65"/>
      <c r="DB35" s="74" t="s">
        <v>2001</v>
      </c>
      <c r="DC35" s="73">
        <f t="shared" si="107"/>
        <v>0</v>
      </c>
      <c r="DD35" s="65"/>
      <c r="DE35" s="74" t="s">
        <v>1950</v>
      </c>
      <c r="DF35" s="73">
        <f t="shared" si="107"/>
        <v>0</v>
      </c>
      <c r="DG35" s="65"/>
      <c r="DH35" s="74" t="s">
        <v>1958</v>
      </c>
      <c r="DI35" s="73">
        <f t="shared" si="107"/>
        <v>0</v>
      </c>
      <c r="DJ35" s="65"/>
      <c r="DK35" s="74" t="s">
        <v>2001</v>
      </c>
      <c r="DL35" s="73">
        <f t="shared" si="107"/>
        <v>0</v>
      </c>
      <c r="DM35" s="65"/>
      <c r="DN35" s="795" t="s">
        <v>1950</v>
      </c>
      <c r="DO35" s="73">
        <f t="shared" si="107"/>
        <v>0</v>
      </c>
      <c r="DP35" s="65"/>
      <c r="DQ35" s="795" t="s">
        <v>1958</v>
      </c>
      <c r="DR35" s="73">
        <f t="shared" si="107"/>
        <v>0</v>
      </c>
      <c r="DS35" s="65"/>
      <c r="DT35" s="74" t="s">
        <v>1958</v>
      </c>
      <c r="DU35" s="73">
        <f t="shared" si="107"/>
        <v>0</v>
      </c>
      <c r="DV35" s="65"/>
      <c r="DW35" s="74" t="s">
        <v>2001</v>
      </c>
      <c r="DX35" s="73">
        <f t="shared" si="109"/>
        <v>0</v>
      </c>
      <c r="DY35" s="65"/>
      <c r="DZ35" s="74" t="s">
        <v>2001</v>
      </c>
      <c r="EA35" s="73">
        <f t="shared" si="109"/>
        <v>0</v>
      </c>
      <c r="EB35" s="65"/>
      <c r="EC35" s="74" t="s">
        <v>1951</v>
      </c>
      <c r="ED35" s="73">
        <f t="shared" si="109"/>
        <v>0</v>
      </c>
      <c r="EE35" s="65"/>
      <c r="EF35" s="74" t="s">
        <v>1959</v>
      </c>
      <c r="EG35" s="73">
        <f t="shared" si="109"/>
        <v>0</v>
      </c>
      <c r="EH35" s="65"/>
      <c r="EI35" s="74"/>
      <c r="EJ35" s="73">
        <f t="shared" si="109"/>
        <v>0</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101"/>
        <v>0</v>
      </c>
      <c r="R36" s="49"/>
      <c r="S36" s="74" t="s">
        <v>1946</v>
      </c>
      <c r="T36" s="73">
        <f t="shared" si="106"/>
        <v>0</v>
      </c>
      <c r="U36" s="65"/>
      <c r="V36" s="74" t="s">
        <v>1942</v>
      </c>
      <c r="W36" s="73">
        <f t="shared" si="99"/>
        <v>0</v>
      </c>
      <c r="X36" s="65"/>
      <c r="Y36" s="74" t="s">
        <v>1948</v>
      </c>
      <c r="Z36" s="73">
        <f t="shared" si="108"/>
        <v>0</v>
      </c>
      <c r="AA36" s="65"/>
      <c r="AB36" s="74" t="s">
        <v>1942</v>
      </c>
      <c r="AC36" s="73">
        <f t="shared" si="108"/>
        <v>0</v>
      </c>
      <c r="AD36" s="65"/>
      <c r="AE36" s="74" t="s">
        <v>1946</v>
      </c>
      <c r="AF36" s="73">
        <f t="shared" si="108"/>
        <v>0</v>
      </c>
      <c r="AG36" s="65"/>
      <c r="AH36" s="74" t="s">
        <v>1942</v>
      </c>
      <c r="AI36" s="73">
        <f t="shared" si="108"/>
        <v>0</v>
      </c>
      <c r="AJ36" s="65"/>
      <c r="AK36" s="74" t="s">
        <v>1948</v>
      </c>
      <c r="AL36" s="73">
        <f t="shared" si="108"/>
        <v>0</v>
      </c>
      <c r="AM36" s="65"/>
      <c r="AN36" s="74" t="s">
        <v>1954</v>
      </c>
      <c r="AO36" s="73">
        <f t="shared" si="108"/>
        <v>0</v>
      </c>
      <c r="AP36" s="65"/>
      <c r="AQ36" s="74" t="s">
        <v>1943</v>
      </c>
      <c r="AR36" s="73">
        <f t="shared" si="108"/>
        <v>0</v>
      </c>
      <c r="AS36" s="65"/>
      <c r="AT36" s="74" t="s">
        <v>1946</v>
      </c>
      <c r="AU36" s="73">
        <f t="shared" si="108"/>
        <v>0</v>
      </c>
      <c r="AV36" s="65"/>
      <c r="AW36" s="74" t="s">
        <v>1954</v>
      </c>
      <c r="AX36" s="73">
        <f t="shared" si="108"/>
        <v>0</v>
      </c>
      <c r="AY36" s="65"/>
      <c r="AZ36" s="74" t="s">
        <v>1942</v>
      </c>
      <c r="BA36" s="73">
        <f t="shared" si="108"/>
        <v>0</v>
      </c>
      <c r="BB36" s="65"/>
      <c r="BC36" s="74" t="s">
        <v>1946</v>
      </c>
      <c r="BD36" s="73">
        <f t="shared" si="108"/>
        <v>0</v>
      </c>
      <c r="BE36" s="65"/>
      <c r="BF36" s="74" t="s">
        <v>1954</v>
      </c>
      <c r="BG36" s="73">
        <f t="shared" si="108"/>
        <v>0</v>
      </c>
      <c r="BH36" s="65"/>
      <c r="BI36" s="74" t="s">
        <v>1948</v>
      </c>
      <c r="BJ36" s="73">
        <f t="shared" si="108"/>
        <v>0</v>
      </c>
      <c r="BK36" s="65"/>
      <c r="BL36" s="74" t="s">
        <v>1954</v>
      </c>
      <c r="BM36" s="73">
        <f t="shared" si="108"/>
        <v>0</v>
      </c>
      <c r="BN36" s="65"/>
      <c r="BO36" s="74" t="s">
        <v>1942</v>
      </c>
      <c r="BP36" s="73">
        <f t="shared" si="108"/>
        <v>0</v>
      </c>
      <c r="BQ36" s="65"/>
      <c r="BR36" s="74" t="s">
        <v>1954</v>
      </c>
      <c r="BS36" s="73">
        <f t="shared" si="108"/>
        <v>0</v>
      </c>
      <c r="BT36" s="65"/>
      <c r="BU36" s="74" t="s">
        <v>1954</v>
      </c>
      <c r="BV36" s="73">
        <f t="shared" si="108"/>
        <v>0</v>
      </c>
      <c r="BW36" s="65"/>
      <c r="BX36" s="74" t="s">
        <v>1948</v>
      </c>
      <c r="BY36" s="73">
        <f t="shared" si="108"/>
        <v>0</v>
      </c>
      <c r="BZ36" s="65"/>
      <c r="CA36" s="74" t="s">
        <v>1948</v>
      </c>
      <c r="CB36" s="73">
        <f t="shared" si="108"/>
        <v>0</v>
      </c>
      <c r="CC36" s="65"/>
      <c r="CD36" s="74" t="s">
        <v>1946</v>
      </c>
      <c r="CE36" s="73">
        <f t="shared" si="108"/>
        <v>0</v>
      </c>
      <c r="CF36" s="65"/>
      <c r="CG36" s="74" t="s">
        <v>1942</v>
      </c>
      <c r="CH36" s="73">
        <f t="shared" si="108"/>
        <v>0</v>
      </c>
      <c r="CI36" s="65"/>
      <c r="CJ36" s="74" t="s">
        <v>1954</v>
      </c>
      <c r="CK36" s="73">
        <f t="shared" si="107"/>
        <v>0</v>
      </c>
      <c r="CL36" s="65"/>
      <c r="CM36" s="74" t="s">
        <v>1942</v>
      </c>
      <c r="CN36" s="73">
        <f t="shared" si="107"/>
        <v>0</v>
      </c>
      <c r="CO36" s="65"/>
      <c r="CP36" s="74" t="s">
        <v>1948</v>
      </c>
      <c r="CQ36" s="73">
        <f t="shared" si="107"/>
        <v>0</v>
      </c>
      <c r="CR36" s="65"/>
      <c r="CS36" s="74" t="s">
        <v>1954</v>
      </c>
      <c r="CT36" s="73">
        <f t="shared" si="107"/>
        <v>0</v>
      </c>
      <c r="CU36" s="65"/>
      <c r="CV36" s="74" t="s">
        <v>1942</v>
      </c>
      <c r="CW36" s="73">
        <f t="shared" si="107"/>
        <v>0</v>
      </c>
      <c r="CX36" s="65"/>
      <c r="CY36" s="74" t="s">
        <v>1952</v>
      </c>
      <c r="CZ36" s="73">
        <f t="shared" si="107"/>
        <v>0</v>
      </c>
      <c r="DA36" s="65"/>
      <c r="DB36" s="74" t="s">
        <v>1954</v>
      </c>
      <c r="DC36" s="73">
        <f t="shared" si="107"/>
        <v>0</v>
      </c>
      <c r="DD36" s="65"/>
      <c r="DE36" s="74" t="s">
        <v>1948</v>
      </c>
      <c r="DF36" s="73">
        <f t="shared" si="107"/>
        <v>0</v>
      </c>
      <c r="DG36" s="65"/>
      <c r="DH36" s="74" t="s">
        <v>1942</v>
      </c>
      <c r="DI36" s="73">
        <f t="shared" si="107"/>
        <v>0</v>
      </c>
      <c r="DJ36" s="65"/>
      <c r="DK36" s="74" t="s">
        <v>1954</v>
      </c>
      <c r="DL36" s="73">
        <f t="shared" si="107"/>
        <v>0</v>
      </c>
      <c r="DM36" s="65"/>
      <c r="DN36" s="795" t="s">
        <v>1948</v>
      </c>
      <c r="DO36" s="73">
        <f t="shared" si="107"/>
        <v>0</v>
      </c>
      <c r="DP36" s="65"/>
      <c r="DQ36" s="795" t="s">
        <v>1942</v>
      </c>
      <c r="DR36" s="73">
        <f t="shared" si="107"/>
        <v>0</v>
      </c>
      <c r="DS36" s="65"/>
      <c r="DT36" s="74" t="s">
        <v>1946</v>
      </c>
      <c r="DU36" s="73">
        <f t="shared" si="107"/>
        <v>0</v>
      </c>
      <c r="DV36" s="65"/>
      <c r="DW36" s="74" t="s">
        <v>1948</v>
      </c>
      <c r="DX36" s="73">
        <f t="shared" si="109"/>
        <v>0</v>
      </c>
      <c r="DY36" s="65"/>
      <c r="DZ36" s="74" t="s">
        <v>1948</v>
      </c>
      <c r="EA36" s="73">
        <f t="shared" si="109"/>
        <v>0</v>
      </c>
      <c r="EB36" s="65"/>
      <c r="EC36" s="74" t="s">
        <v>1954</v>
      </c>
      <c r="ED36" s="73">
        <f t="shared" si="109"/>
        <v>0</v>
      </c>
      <c r="EE36" s="65"/>
      <c r="EF36" s="74" t="s">
        <v>1948</v>
      </c>
      <c r="EG36" s="73">
        <f t="shared" si="109"/>
        <v>0</v>
      </c>
      <c r="EH36" s="65"/>
      <c r="EI36" s="74"/>
      <c r="EJ36" s="73">
        <f t="shared" si="109"/>
        <v>0</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101"/>
        <v>0</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0</v>
      </c>
      <c r="AG37" s="65"/>
      <c r="AH37" s="74" t="s">
        <v>1946</v>
      </c>
      <c r="AI37" s="73">
        <f t="shared" si="108"/>
        <v>0</v>
      </c>
      <c r="AJ37" s="65"/>
      <c r="AK37" s="74" t="s">
        <v>1943</v>
      </c>
      <c r="AL37" s="73">
        <f t="shared" si="108"/>
        <v>0</v>
      </c>
      <c r="AM37" s="65"/>
      <c r="AN37" s="74" t="s">
        <v>1942</v>
      </c>
      <c r="AO37" s="73">
        <f t="shared" si="108"/>
        <v>0</v>
      </c>
      <c r="AP37" s="65"/>
      <c r="AQ37" s="74" t="s">
        <v>1960</v>
      </c>
      <c r="AR37" s="73">
        <f t="shared" si="108"/>
        <v>0</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101"/>
        <v>0</v>
      </c>
      <c r="R38" s="49"/>
      <c r="S38" s="74" t="s">
        <v>1944</v>
      </c>
      <c r="T38" s="73">
        <f t="shared" si="98"/>
        <v>0</v>
      </c>
      <c r="U38" s="65"/>
      <c r="V38" s="74" t="s">
        <v>1948</v>
      </c>
      <c r="W38" s="73">
        <f t="shared" si="99"/>
        <v>0</v>
      </c>
      <c r="X38" s="65"/>
      <c r="Y38" s="74" t="s">
        <v>1948</v>
      </c>
      <c r="Z38" s="73">
        <f t="shared" si="108"/>
        <v>0</v>
      </c>
      <c r="AA38" s="65"/>
      <c r="AB38" s="74" t="s">
        <v>1942</v>
      </c>
      <c r="AC38" s="73">
        <f t="shared" si="108"/>
        <v>0</v>
      </c>
      <c r="AD38" s="65"/>
      <c r="AE38" s="74" t="s">
        <v>1943</v>
      </c>
      <c r="AF38" s="73">
        <f t="shared" si="108"/>
        <v>0</v>
      </c>
      <c r="AG38" s="65"/>
      <c r="AH38" s="74" t="s">
        <v>1958</v>
      </c>
      <c r="AI38" s="73">
        <f t="shared" si="108"/>
        <v>0</v>
      </c>
      <c r="AJ38" s="65"/>
      <c r="AK38" s="74" t="s">
        <v>1948</v>
      </c>
      <c r="AL38" s="73">
        <f t="shared" si="108"/>
        <v>0</v>
      </c>
      <c r="AM38" s="65"/>
      <c r="AN38" s="74" t="s">
        <v>1948</v>
      </c>
      <c r="AO38" s="73">
        <f t="shared" si="108"/>
        <v>0</v>
      </c>
      <c r="AP38" s="65"/>
      <c r="AQ38" s="74" t="s">
        <v>1942</v>
      </c>
      <c r="AR38" s="73">
        <f t="shared" si="108"/>
        <v>0</v>
      </c>
      <c r="AS38" s="65"/>
      <c r="AT38" s="74" t="s">
        <v>1946</v>
      </c>
      <c r="AU38" s="73">
        <f t="shared" si="108"/>
        <v>0</v>
      </c>
      <c r="AV38" s="65"/>
      <c r="AW38" s="74" t="s">
        <v>1944</v>
      </c>
      <c r="AX38" s="73">
        <f t="shared" si="108"/>
        <v>0</v>
      </c>
      <c r="AY38" s="65"/>
      <c r="AZ38" s="74" t="s">
        <v>1948</v>
      </c>
      <c r="BA38" s="73">
        <f t="shared" si="108"/>
        <v>0</v>
      </c>
      <c r="BB38" s="65"/>
      <c r="BC38" s="74" t="s">
        <v>1954</v>
      </c>
      <c r="BD38" s="73">
        <f t="shared" si="108"/>
        <v>0</v>
      </c>
      <c r="BE38" s="65"/>
      <c r="BF38" s="74" t="s">
        <v>1954</v>
      </c>
      <c r="BG38" s="73">
        <f t="shared" si="108"/>
        <v>0</v>
      </c>
      <c r="BH38" s="65"/>
      <c r="BI38" s="74" t="s">
        <v>1948</v>
      </c>
      <c r="BJ38" s="73">
        <f t="shared" si="108"/>
        <v>0</v>
      </c>
      <c r="BK38" s="65"/>
      <c r="BL38" s="74" t="s">
        <v>1948</v>
      </c>
      <c r="BM38" s="73">
        <f t="shared" si="108"/>
        <v>0</v>
      </c>
      <c r="BN38" s="65"/>
      <c r="BO38" s="74" t="s">
        <v>1948</v>
      </c>
      <c r="BP38" s="73">
        <f t="shared" si="108"/>
        <v>0</v>
      </c>
      <c r="BQ38" s="65"/>
      <c r="BR38" s="74" t="s">
        <v>1954</v>
      </c>
      <c r="BS38" s="73">
        <f t="shared" si="108"/>
        <v>0</v>
      </c>
      <c r="BT38" s="65"/>
      <c r="BU38" s="74" t="s">
        <v>1944</v>
      </c>
      <c r="BV38" s="73">
        <f t="shared" si="108"/>
        <v>0</v>
      </c>
      <c r="BW38" s="65"/>
      <c r="BX38" s="74" t="s">
        <v>1954</v>
      </c>
      <c r="BY38" s="73">
        <f t="shared" si="108"/>
        <v>0</v>
      </c>
      <c r="BZ38" s="65"/>
      <c r="CA38" s="74" t="s">
        <v>1948</v>
      </c>
      <c r="CB38" s="73">
        <f t="shared" si="108"/>
        <v>0</v>
      </c>
      <c r="CC38" s="65"/>
      <c r="CD38" s="74" t="s">
        <v>1948</v>
      </c>
      <c r="CE38" s="73">
        <f t="shared" si="108"/>
        <v>0</v>
      </c>
      <c r="CF38" s="65"/>
      <c r="CG38" s="74" t="s">
        <v>1943</v>
      </c>
      <c r="CH38" s="73">
        <f t="shared" si="108"/>
        <v>0</v>
      </c>
      <c r="CI38" s="65"/>
      <c r="CJ38" s="74" t="s">
        <v>1948</v>
      </c>
      <c r="CK38" s="73">
        <f t="shared" si="107"/>
        <v>0</v>
      </c>
      <c r="CL38" s="65"/>
      <c r="CM38" s="74" t="s">
        <v>1943</v>
      </c>
      <c r="CN38" s="73">
        <f t="shared" si="107"/>
        <v>0</v>
      </c>
      <c r="CO38" s="65"/>
      <c r="CP38" s="74" t="s">
        <v>1943</v>
      </c>
      <c r="CQ38" s="73">
        <f t="shared" si="107"/>
        <v>0</v>
      </c>
      <c r="CR38" s="65"/>
      <c r="CS38" s="74" t="s">
        <v>1948</v>
      </c>
      <c r="CT38" s="73">
        <f t="shared" si="107"/>
        <v>0</v>
      </c>
      <c r="CU38" s="65"/>
      <c r="CV38" s="74" t="s">
        <v>1946</v>
      </c>
      <c r="CW38" s="73">
        <f t="shared" si="107"/>
        <v>0</v>
      </c>
      <c r="CX38" s="65"/>
      <c r="CY38" s="74" t="s">
        <v>1946</v>
      </c>
      <c r="CZ38" s="73">
        <f t="shared" si="107"/>
        <v>0</v>
      </c>
      <c r="DA38" s="65"/>
      <c r="DB38" s="74" t="s">
        <v>1948</v>
      </c>
      <c r="DC38" s="73">
        <f t="shared" si="107"/>
        <v>0</v>
      </c>
      <c r="DD38" s="65"/>
      <c r="DE38" s="74" t="s">
        <v>1948</v>
      </c>
      <c r="DF38" s="73">
        <f t="shared" si="107"/>
        <v>0</v>
      </c>
      <c r="DG38" s="65"/>
      <c r="DH38" s="74" t="s">
        <v>1948</v>
      </c>
      <c r="DI38" s="73">
        <f t="shared" si="107"/>
        <v>0</v>
      </c>
      <c r="DJ38" s="65"/>
      <c r="DK38" s="74" t="s">
        <v>1948</v>
      </c>
      <c r="DL38" s="73">
        <f t="shared" si="107"/>
        <v>0</v>
      </c>
      <c r="DM38" s="65"/>
      <c r="DN38" s="795" t="s">
        <v>1944</v>
      </c>
      <c r="DO38" s="73">
        <f t="shared" si="107"/>
        <v>0</v>
      </c>
      <c r="DP38" s="65"/>
      <c r="DQ38" s="795" t="s">
        <v>1956</v>
      </c>
      <c r="DR38" s="73">
        <f t="shared" si="107"/>
        <v>0</v>
      </c>
      <c r="DS38" s="65"/>
      <c r="DT38" s="74" t="s">
        <v>1948</v>
      </c>
      <c r="DU38" s="73">
        <f t="shared" si="107"/>
        <v>0</v>
      </c>
      <c r="DV38" s="65"/>
      <c r="DW38" s="74" t="s">
        <v>1948</v>
      </c>
      <c r="DX38" s="73">
        <f t="shared" si="109"/>
        <v>0</v>
      </c>
      <c r="DY38" s="65"/>
      <c r="DZ38" s="74" t="s">
        <v>1954</v>
      </c>
      <c r="EA38" s="73">
        <f t="shared" si="109"/>
        <v>0</v>
      </c>
      <c r="EB38" s="65"/>
      <c r="EC38" s="74" t="s">
        <v>1943</v>
      </c>
      <c r="ED38" s="73">
        <f t="shared" si="109"/>
        <v>0</v>
      </c>
      <c r="EE38" s="65"/>
      <c r="EF38" s="74" t="s">
        <v>1954</v>
      </c>
      <c r="EG38" s="73">
        <f t="shared" si="109"/>
        <v>0</v>
      </c>
      <c r="EH38" s="65"/>
      <c r="EI38" s="74"/>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101"/>
        <v>0</v>
      </c>
      <c r="R40" s="49"/>
      <c r="S40" s="74" t="s">
        <v>1954</v>
      </c>
      <c r="T40" s="73">
        <f t="shared" si="98"/>
        <v>0</v>
      </c>
      <c r="U40" s="65"/>
      <c r="V40" s="74" t="s">
        <v>1948</v>
      </c>
      <c r="W40" s="73">
        <f t="shared" si="99"/>
        <v>0</v>
      </c>
      <c r="X40" s="65"/>
      <c r="Y40" s="74" t="s">
        <v>1954</v>
      </c>
      <c r="Z40" s="73">
        <f t="shared" si="108"/>
        <v>0</v>
      </c>
      <c r="AA40" s="65"/>
      <c r="AB40" s="74" t="s">
        <v>1948</v>
      </c>
      <c r="AC40" s="73">
        <f t="shared" si="108"/>
        <v>0</v>
      </c>
      <c r="AD40" s="65"/>
      <c r="AE40" s="74" t="s">
        <v>1954</v>
      </c>
      <c r="AF40" s="73">
        <f t="shared" si="108"/>
        <v>0</v>
      </c>
      <c r="AG40" s="65"/>
      <c r="AH40" s="74" t="s">
        <v>1956</v>
      </c>
      <c r="AI40" s="73">
        <f t="shared" si="108"/>
        <v>0</v>
      </c>
      <c r="AJ40" s="65"/>
      <c r="AK40" s="74" t="s">
        <v>1954</v>
      </c>
      <c r="AL40" s="73">
        <f t="shared" si="108"/>
        <v>0</v>
      </c>
      <c r="AM40" s="65"/>
      <c r="AN40" s="74" t="s">
        <v>1954</v>
      </c>
      <c r="AO40" s="73">
        <f t="shared" si="108"/>
        <v>0</v>
      </c>
      <c r="AP40" s="65"/>
      <c r="AQ40" s="74" t="s">
        <v>1946</v>
      </c>
      <c r="AR40" s="73">
        <f t="shared" si="108"/>
        <v>0</v>
      </c>
      <c r="AS40" s="65"/>
      <c r="AT40" s="74" t="s">
        <v>1946</v>
      </c>
      <c r="AU40" s="73">
        <f t="shared" si="108"/>
        <v>0</v>
      </c>
      <c r="AV40" s="65"/>
      <c r="AW40" s="74" t="s">
        <v>1954</v>
      </c>
      <c r="AX40" s="73">
        <f t="shared" si="108"/>
        <v>0</v>
      </c>
      <c r="AY40" s="65"/>
      <c r="AZ40" s="74" t="s">
        <v>1954</v>
      </c>
      <c r="BA40" s="73">
        <f t="shared" si="108"/>
        <v>0</v>
      </c>
      <c r="BB40" s="65"/>
      <c r="BC40" s="74" t="s">
        <v>1948</v>
      </c>
      <c r="BD40" s="73">
        <f t="shared" si="108"/>
        <v>0</v>
      </c>
      <c r="BE40" s="65"/>
      <c r="BF40" s="74" t="s">
        <v>1954</v>
      </c>
      <c r="BG40" s="73">
        <f t="shared" si="108"/>
        <v>0</v>
      </c>
      <c r="BH40" s="65"/>
      <c r="BI40" s="74" t="s">
        <v>1954</v>
      </c>
      <c r="BJ40" s="73">
        <f t="shared" si="108"/>
        <v>0</v>
      </c>
      <c r="BK40" s="65"/>
      <c r="BL40" s="74" t="s">
        <v>1948</v>
      </c>
      <c r="BM40" s="73">
        <f t="shared" si="108"/>
        <v>0</v>
      </c>
      <c r="BN40" s="65"/>
      <c r="BO40" s="74" t="s">
        <v>1946</v>
      </c>
      <c r="BP40" s="73">
        <f t="shared" si="108"/>
        <v>0</v>
      </c>
      <c r="BQ40" s="65"/>
      <c r="BR40" s="74" t="s">
        <v>1954</v>
      </c>
      <c r="BS40" s="73">
        <f t="shared" si="108"/>
        <v>0</v>
      </c>
      <c r="BT40" s="65"/>
      <c r="BU40" s="74" t="s">
        <v>1944</v>
      </c>
      <c r="BV40" s="73">
        <f t="shared" si="108"/>
        <v>0</v>
      </c>
      <c r="BW40" s="65"/>
      <c r="BX40" s="74" t="s">
        <v>1942</v>
      </c>
      <c r="BY40" s="73">
        <f t="shared" si="108"/>
        <v>0</v>
      </c>
      <c r="BZ40" s="65"/>
      <c r="CA40" s="74" t="s">
        <v>1948</v>
      </c>
      <c r="CB40" s="73">
        <f t="shared" si="108"/>
        <v>0</v>
      </c>
      <c r="CC40" s="65"/>
      <c r="CD40" s="74" t="s">
        <v>1942</v>
      </c>
      <c r="CE40" s="73">
        <f t="shared" si="108"/>
        <v>0</v>
      </c>
      <c r="CF40" s="65"/>
      <c r="CG40" s="74" t="s">
        <v>1948</v>
      </c>
      <c r="CH40" s="73">
        <f t="shared" si="108"/>
        <v>0</v>
      </c>
      <c r="CI40" s="65"/>
      <c r="CJ40" s="74" t="s">
        <v>1942</v>
      </c>
      <c r="CK40" s="73">
        <f t="shared" si="107"/>
        <v>0</v>
      </c>
      <c r="CL40" s="65"/>
      <c r="CM40" s="74" t="s">
        <v>1948</v>
      </c>
      <c r="CN40" s="73">
        <f t="shared" si="107"/>
        <v>0</v>
      </c>
      <c r="CO40" s="65"/>
      <c r="CP40" s="74" t="s">
        <v>1948</v>
      </c>
      <c r="CQ40" s="73">
        <f t="shared" si="107"/>
        <v>0</v>
      </c>
      <c r="CR40" s="65"/>
      <c r="CS40" s="74" t="s">
        <v>1954</v>
      </c>
      <c r="CT40" s="73">
        <f t="shared" si="107"/>
        <v>0</v>
      </c>
      <c r="CU40" s="65"/>
      <c r="CV40" s="74" t="s">
        <v>1948</v>
      </c>
      <c r="CW40" s="73">
        <f t="shared" si="107"/>
        <v>0</v>
      </c>
      <c r="CX40" s="65"/>
      <c r="CY40" s="74" t="s">
        <v>1946</v>
      </c>
      <c r="CZ40" s="73">
        <f t="shared" si="107"/>
        <v>0</v>
      </c>
      <c r="DA40" s="65"/>
      <c r="DB40" s="74" t="s">
        <v>1946</v>
      </c>
      <c r="DC40" s="73">
        <f t="shared" si="107"/>
        <v>0</v>
      </c>
      <c r="DD40" s="65"/>
      <c r="DE40" s="74" t="s">
        <v>1948</v>
      </c>
      <c r="DF40" s="73">
        <f t="shared" si="107"/>
        <v>0</v>
      </c>
      <c r="DG40" s="65"/>
      <c r="DH40" s="74" t="s">
        <v>1948</v>
      </c>
      <c r="DI40" s="73">
        <f t="shared" si="107"/>
        <v>0</v>
      </c>
      <c r="DJ40" s="65"/>
      <c r="DK40" s="74" t="s">
        <v>1948</v>
      </c>
      <c r="DL40" s="73">
        <f t="shared" si="107"/>
        <v>0</v>
      </c>
      <c r="DM40" s="65"/>
      <c r="DN40" s="795" t="s">
        <v>1942</v>
      </c>
      <c r="DO40" s="73">
        <f t="shared" si="107"/>
        <v>0</v>
      </c>
      <c r="DP40" s="65"/>
      <c r="DQ40" s="795" t="s">
        <v>1946</v>
      </c>
      <c r="DR40" s="73">
        <f t="shared" si="107"/>
        <v>0</v>
      </c>
      <c r="DS40" s="65"/>
      <c r="DT40" s="74" t="s">
        <v>1946</v>
      </c>
      <c r="DU40" s="73">
        <f t="shared" si="107"/>
        <v>0</v>
      </c>
      <c r="DV40" s="65"/>
      <c r="DW40" s="74" t="s">
        <v>1948</v>
      </c>
      <c r="DX40" s="73">
        <f t="shared" si="109"/>
        <v>0</v>
      </c>
      <c r="DY40" s="65"/>
      <c r="DZ40" s="74" t="s">
        <v>1954</v>
      </c>
      <c r="EA40" s="73">
        <f t="shared" si="109"/>
        <v>0</v>
      </c>
      <c r="EB40" s="65"/>
      <c r="EC40" s="74" t="s">
        <v>1948</v>
      </c>
      <c r="ED40" s="73">
        <f t="shared" si="109"/>
        <v>0</v>
      </c>
      <c r="EE40" s="65"/>
      <c r="EF40" s="74" t="s">
        <v>1948</v>
      </c>
      <c r="EG40" s="73">
        <f t="shared" si="109"/>
        <v>0</v>
      </c>
      <c r="EH40" s="65"/>
      <c r="EI40" s="74"/>
      <c r="EJ40" s="73">
        <f t="shared" si="109"/>
        <v>0</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101"/>
        <v>0</v>
      </c>
      <c r="R41" s="49"/>
      <c r="S41" s="74" t="s">
        <v>1944</v>
      </c>
      <c r="T41" s="73">
        <f t="shared" si="98"/>
        <v>0</v>
      </c>
      <c r="U41" s="65"/>
      <c r="V41" s="74" t="s">
        <v>1960</v>
      </c>
      <c r="W41" s="73">
        <f t="shared" si="99"/>
        <v>0</v>
      </c>
      <c r="X41" s="65"/>
      <c r="Y41" s="74" t="s">
        <v>1946</v>
      </c>
      <c r="Z41" s="73">
        <f t="shared" si="108"/>
        <v>0</v>
      </c>
      <c r="AA41" s="65"/>
      <c r="AB41" s="74" t="s">
        <v>1946</v>
      </c>
      <c r="AC41" s="73">
        <f t="shared" si="108"/>
        <v>0</v>
      </c>
      <c r="AD41" s="65"/>
      <c r="AE41" s="74" t="s">
        <v>1960</v>
      </c>
      <c r="AF41" s="73">
        <f t="shared" si="108"/>
        <v>0</v>
      </c>
      <c r="AG41" s="65"/>
      <c r="AH41" s="74" t="s">
        <v>1945</v>
      </c>
      <c r="AI41" s="73">
        <f t="shared" si="108"/>
        <v>0</v>
      </c>
      <c r="AJ41" s="65"/>
      <c r="AK41" s="74" t="s">
        <v>1949</v>
      </c>
      <c r="AL41" s="73">
        <f t="shared" si="108"/>
        <v>0</v>
      </c>
      <c r="AM41" s="65"/>
      <c r="AN41" s="74" t="s">
        <v>1957</v>
      </c>
      <c r="AO41" s="73">
        <f t="shared" si="108"/>
        <v>0</v>
      </c>
      <c r="AP41" s="65"/>
      <c r="AQ41" s="74" t="s">
        <v>1960</v>
      </c>
      <c r="AR41" s="73">
        <f t="shared" si="108"/>
        <v>0</v>
      </c>
      <c r="AS41" s="65"/>
      <c r="AT41" s="74" t="s">
        <v>1952</v>
      </c>
      <c r="AU41" s="73">
        <f t="shared" si="108"/>
        <v>0</v>
      </c>
      <c r="AV41" s="65"/>
      <c r="AW41" s="74" t="s">
        <v>1960</v>
      </c>
      <c r="AX41" s="73">
        <f t="shared" si="108"/>
        <v>0</v>
      </c>
      <c r="AY41" s="65"/>
      <c r="AZ41" s="74" t="s">
        <v>1952</v>
      </c>
      <c r="BA41" s="73">
        <f t="shared" si="108"/>
        <v>0</v>
      </c>
      <c r="BB41" s="65"/>
      <c r="BC41" s="74" t="s">
        <v>1960</v>
      </c>
      <c r="BD41" s="73">
        <f t="shared" si="108"/>
        <v>0</v>
      </c>
      <c r="BE41" s="65"/>
      <c r="BF41" s="74" t="s">
        <v>1949</v>
      </c>
      <c r="BG41" s="73">
        <f t="shared" si="108"/>
        <v>0</v>
      </c>
      <c r="BH41" s="65"/>
      <c r="BI41" s="74" t="s">
        <v>1946</v>
      </c>
      <c r="BJ41" s="73">
        <f t="shared" si="108"/>
        <v>0</v>
      </c>
      <c r="BK41" s="65"/>
      <c r="BL41" s="74" t="s">
        <v>1949</v>
      </c>
      <c r="BM41" s="73">
        <f t="shared" si="108"/>
        <v>0</v>
      </c>
      <c r="BN41" s="65"/>
      <c r="BO41" s="74" t="s">
        <v>1952</v>
      </c>
      <c r="BP41" s="73">
        <f t="shared" si="108"/>
        <v>0</v>
      </c>
      <c r="BQ41" s="65"/>
      <c r="BR41" s="74" t="s">
        <v>1949</v>
      </c>
      <c r="BS41" s="73">
        <f t="shared" si="108"/>
        <v>0</v>
      </c>
      <c r="BT41" s="65"/>
      <c r="BU41" s="74" t="s">
        <v>1945</v>
      </c>
      <c r="BV41" s="73">
        <f t="shared" si="108"/>
        <v>0</v>
      </c>
      <c r="BW41" s="65"/>
      <c r="BX41" s="74" t="s">
        <v>1944</v>
      </c>
      <c r="BY41" s="73">
        <f t="shared" si="108"/>
        <v>0</v>
      </c>
      <c r="BZ41" s="65"/>
      <c r="CA41" s="74" t="s">
        <v>1960</v>
      </c>
      <c r="CB41" s="73">
        <f t="shared" si="108"/>
        <v>0</v>
      </c>
      <c r="CC41" s="65"/>
      <c r="CD41" s="74" t="s">
        <v>1949</v>
      </c>
      <c r="CE41" s="73">
        <f t="shared" si="108"/>
        <v>0</v>
      </c>
      <c r="CF41" s="65"/>
      <c r="CG41" s="74" t="s">
        <v>1960</v>
      </c>
      <c r="CH41" s="73">
        <f t="shared" si="108"/>
        <v>0</v>
      </c>
      <c r="CI41" s="65"/>
      <c r="CJ41" s="74" t="s">
        <v>1960</v>
      </c>
      <c r="CK41" s="73">
        <f t="shared" si="107"/>
        <v>0</v>
      </c>
      <c r="CL41" s="65"/>
      <c r="CM41" s="74" t="s">
        <v>1952</v>
      </c>
      <c r="CN41" s="73">
        <f t="shared" si="107"/>
        <v>0</v>
      </c>
      <c r="CO41" s="65"/>
      <c r="CP41" s="74" t="s">
        <v>1952</v>
      </c>
      <c r="CQ41" s="73">
        <f t="shared" si="107"/>
        <v>0</v>
      </c>
      <c r="CR41" s="65"/>
      <c r="CS41" s="74" t="s">
        <v>1949</v>
      </c>
      <c r="CT41" s="73">
        <f t="shared" si="107"/>
        <v>0</v>
      </c>
      <c r="CU41" s="65"/>
      <c r="CV41" s="74" t="s">
        <v>1946</v>
      </c>
      <c r="CW41" s="73">
        <f t="shared" si="107"/>
        <v>0</v>
      </c>
      <c r="CX41" s="65"/>
      <c r="CY41" s="74" t="s">
        <v>1946</v>
      </c>
      <c r="CZ41" s="73">
        <f t="shared" si="107"/>
        <v>0</v>
      </c>
      <c r="DA41" s="65"/>
      <c r="DB41" s="74" t="s">
        <v>1949</v>
      </c>
      <c r="DC41" s="73">
        <f t="shared" si="107"/>
        <v>0</v>
      </c>
      <c r="DD41" s="65"/>
      <c r="DE41" s="74" t="s">
        <v>1960</v>
      </c>
      <c r="DF41" s="73">
        <f t="shared" si="107"/>
        <v>0</v>
      </c>
      <c r="DG41" s="65"/>
      <c r="DH41" s="74" t="s">
        <v>1960</v>
      </c>
      <c r="DI41" s="73">
        <f t="shared" si="107"/>
        <v>0</v>
      </c>
      <c r="DJ41" s="65"/>
      <c r="DK41" s="74" t="s">
        <v>1946</v>
      </c>
      <c r="DL41" s="73">
        <f t="shared" si="107"/>
        <v>0</v>
      </c>
      <c r="DM41" s="65"/>
      <c r="DN41" s="795" t="s">
        <v>1945</v>
      </c>
      <c r="DO41" s="73">
        <f t="shared" si="107"/>
        <v>0</v>
      </c>
      <c r="DP41" s="65"/>
      <c r="DQ41" s="795" t="s">
        <v>1949</v>
      </c>
      <c r="DR41" s="73">
        <f t="shared" si="107"/>
        <v>0</v>
      </c>
      <c r="DS41" s="65"/>
      <c r="DT41" s="74" t="s">
        <v>1949</v>
      </c>
      <c r="DU41" s="73">
        <f t="shared" si="107"/>
        <v>0</v>
      </c>
      <c r="DV41" s="65"/>
      <c r="DW41" s="74" t="s">
        <v>1945</v>
      </c>
      <c r="DX41" s="73">
        <f t="shared" si="109"/>
        <v>0</v>
      </c>
      <c r="DY41" s="65"/>
      <c r="DZ41" s="74" t="s">
        <v>1949</v>
      </c>
      <c r="EA41" s="73">
        <f t="shared" si="109"/>
        <v>0</v>
      </c>
      <c r="EB41" s="65"/>
      <c r="EC41" s="74" t="s">
        <v>1942</v>
      </c>
      <c r="ED41" s="73">
        <f t="shared" si="109"/>
        <v>0</v>
      </c>
      <c r="EE41" s="65"/>
      <c r="EF41" s="74" t="s">
        <v>1957</v>
      </c>
      <c r="EG41" s="73">
        <f t="shared" si="109"/>
        <v>0</v>
      </c>
      <c r="EH41" s="65"/>
      <c r="EI41" s="74"/>
      <c r="EJ41" s="73">
        <f t="shared" si="109"/>
        <v>0</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0</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0</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101"/>
        <v>0</v>
      </c>
      <c r="R43" s="49"/>
      <c r="S43" s="74" t="s">
        <v>1947</v>
      </c>
      <c r="T43" s="73">
        <f t="shared" si="98"/>
        <v>0</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0</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0</v>
      </c>
      <c r="AA43" s="65"/>
      <c r="AB43" s="74" t="s">
        <v>1952</v>
      </c>
      <c r="AC43" s="73">
        <f t="shared" si="112"/>
        <v>0</v>
      </c>
      <c r="AD43" s="65"/>
      <c r="AE43" s="74" t="s">
        <v>1952</v>
      </c>
      <c r="AF43" s="73">
        <f t="shared" si="112"/>
        <v>0</v>
      </c>
      <c r="AG43" s="65"/>
      <c r="AH43" s="74" t="s">
        <v>1952</v>
      </c>
      <c r="AI43" s="73">
        <f t="shared" si="112"/>
        <v>0</v>
      </c>
      <c r="AJ43" s="65"/>
      <c r="AK43" s="74" t="s">
        <v>1960</v>
      </c>
      <c r="AL43" s="73">
        <f t="shared" si="112"/>
        <v>0</v>
      </c>
      <c r="AM43" s="65"/>
      <c r="AN43" s="74" t="s">
        <v>1952</v>
      </c>
      <c r="AO43" s="73">
        <f t="shared" si="112"/>
        <v>0</v>
      </c>
      <c r="AP43" s="65"/>
      <c r="AQ43" s="74" t="s">
        <v>1945</v>
      </c>
      <c r="AR43" s="73">
        <f t="shared" si="112"/>
        <v>0</v>
      </c>
      <c r="AS43" s="65"/>
      <c r="AT43" s="74" t="s">
        <v>1945</v>
      </c>
      <c r="AU43" s="73">
        <f t="shared" si="112"/>
        <v>0</v>
      </c>
      <c r="AV43" s="65"/>
      <c r="AW43" s="74" t="s">
        <v>1949</v>
      </c>
      <c r="AX43" s="73">
        <f t="shared" si="112"/>
        <v>0</v>
      </c>
      <c r="AY43" s="65"/>
      <c r="AZ43" s="74" t="s">
        <v>1946</v>
      </c>
      <c r="BA43" s="73">
        <f t="shared" si="112"/>
        <v>0</v>
      </c>
      <c r="BB43" s="65"/>
      <c r="BC43" s="74" t="s">
        <v>1960</v>
      </c>
      <c r="BD43" s="73">
        <f t="shared" si="112"/>
        <v>0</v>
      </c>
      <c r="BE43" s="65"/>
      <c r="BF43" s="74" t="s">
        <v>1949</v>
      </c>
      <c r="BG43" s="73">
        <f t="shared" si="112"/>
        <v>0</v>
      </c>
      <c r="BH43" s="65"/>
      <c r="BI43" s="74" t="s">
        <v>1952</v>
      </c>
      <c r="BJ43" s="73">
        <f t="shared" si="112"/>
        <v>0</v>
      </c>
      <c r="BK43" s="65"/>
      <c r="BL43" s="74" t="s">
        <v>1960</v>
      </c>
      <c r="BM43" s="73">
        <f t="shared" si="112"/>
        <v>0</v>
      </c>
      <c r="BN43" s="65"/>
      <c r="BO43" s="74" t="s">
        <v>1960</v>
      </c>
      <c r="BP43" s="73">
        <f t="shared" si="112"/>
        <v>0</v>
      </c>
      <c r="BQ43" s="65"/>
      <c r="BR43" s="74" t="s">
        <v>1949</v>
      </c>
      <c r="BS43" s="73">
        <f t="shared" si="112"/>
        <v>0</v>
      </c>
      <c r="BT43" s="65"/>
      <c r="BU43" s="74" t="s">
        <v>1949</v>
      </c>
      <c r="BV43" s="73">
        <f t="shared" si="112"/>
        <v>0</v>
      </c>
      <c r="BW43" s="65"/>
      <c r="BX43" s="74" t="s">
        <v>1949</v>
      </c>
      <c r="BY43" s="73">
        <f t="shared" si="112"/>
        <v>0</v>
      </c>
      <c r="BZ43" s="65"/>
      <c r="CA43" s="74" t="s">
        <v>1961</v>
      </c>
      <c r="CB43" s="73">
        <f t="shared" si="112"/>
        <v>0</v>
      </c>
      <c r="CC43" s="65"/>
      <c r="CD43" s="74" t="s">
        <v>1946</v>
      </c>
      <c r="CE43" s="73">
        <f t="shared" si="112"/>
        <v>0</v>
      </c>
      <c r="CF43" s="65"/>
      <c r="CG43" s="74" t="s">
        <v>1948</v>
      </c>
      <c r="CH43" s="73">
        <f t="shared" si="112"/>
        <v>0</v>
      </c>
      <c r="CI43" s="65"/>
      <c r="CJ43" s="74" t="s">
        <v>1960</v>
      </c>
      <c r="CK43" s="73">
        <f t="shared" si="110"/>
        <v>0</v>
      </c>
      <c r="CL43" s="65"/>
      <c r="CM43" s="74" t="s">
        <v>1949</v>
      </c>
      <c r="CN43" s="73">
        <f t="shared" si="110"/>
        <v>0</v>
      </c>
      <c r="CO43" s="65"/>
      <c r="CP43" s="74" t="s">
        <v>1952</v>
      </c>
      <c r="CQ43" s="73">
        <f t="shared" si="110"/>
        <v>0</v>
      </c>
      <c r="CR43" s="65"/>
      <c r="CS43" s="74" t="s">
        <v>1952</v>
      </c>
      <c r="CT43" s="73">
        <f t="shared" si="110"/>
        <v>0</v>
      </c>
      <c r="CU43" s="65"/>
      <c r="CV43" s="74" t="s">
        <v>1960</v>
      </c>
      <c r="CW43" s="73">
        <f t="shared" si="110"/>
        <v>0</v>
      </c>
      <c r="CX43" s="65"/>
      <c r="CY43" s="74" t="s">
        <v>1945</v>
      </c>
      <c r="CZ43" s="73">
        <f t="shared" si="110"/>
        <v>0</v>
      </c>
      <c r="DA43" s="65"/>
      <c r="DB43" s="74" t="s">
        <v>1949</v>
      </c>
      <c r="DC43" s="73">
        <f t="shared" si="110"/>
        <v>0</v>
      </c>
      <c r="DD43" s="65"/>
      <c r="DE43" s="74" t="s">
        <v>1949</v>
      </c>
      <c r="DF43" s="73">
        <f t="shared" si="110"/>
        <v>0</v>
      </c>
      <c r="DG43" s="65"/>
      <c r="DH43" s="74" t="s">
        <v>1949</v>
      </c>
      <c r="DI43" s="73">
        <f t="shared" si="110"/>
        <v>0</v>
      </c>
      <c r="DJ43" s="65"/>
      <c r="DK43" s="74" t="s">
        <v>1947</v>
      </c>
      <c r="DL43" s="73">
        <f t="shared" si="110"/>
        <v>0</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0</v>
      </c>
      <c r="DY43" s="65"/>
      <c r="DZ43" s="74" t="s">
        <v>1946</v>
      </c>
      <c r="EA43" s="73">
        <f t="shared" si="109"/>
        <v>0</v>
      </c>
      <c r="EB43" s="65"/>
      <c r="EC43" s="74" t="s">
        <v>1960</v>
      </c>
      <c r="ED43" s="73">
        <f t="shared" si="109"/>
        <v>0</v>
      </c>
      <c r="EE43" s="65"/>
      <c r="EF43" s="74" t="s">
        <v>1945</v>
      </c>
      <c r="EG43" s="73">
        <f t="shared" si="109"/>
        <v>0</v>
      </c>
      <c r="EH43" s="65"/>
      <c r="EI43" s="74"/>
      <c r="EJ43" s="73">
        <f t="shared" si="109"/>
        <v>0</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101"/>
        <v>0</v>
      </c>
      <c r="R44" s="49"/>
      <c r="S44" s="74" t="s">
        <v>1958</v>
      </c>
      <c r="T44" s="73">
        <f t="shared" si="98"/>
        <v>0</v>
      </c>
      <c r="U44" s="65"/>
      <c r="V44" s="74" t="s">
        <v>1954</v>
      </c>
      <c r="W44" s="73">
        <f t="shared" si="111"/>
        <v>0</v>
      </c>
      <c r="X44" s="65"/>
      <c r="Y44" s="74" t="s">
        <v>1958</v>
      </c>
      <c r="Z44" s="73">
        <f t="shared" si="112"/>
        <v>0</v>
      </c>
      <c r="AA44" s="65"/>
      <c r="AB44" s="74" t="s">
        <v>1943</v>
      </c>
      <c r="AC44" s="73">
        <f t="shared" si="112"/>
        <v>0</v>
      </c>
      <c r="AD44" s="65"/>
      <c r="AE44" s="74" t="s">
        <v>1958</v>
      </c>
      <c r="AF44" s="73">
        <f t="shared" si="112"/>
        <v>0</v>
      </c>
      <c r="AG44" s="65"/>
      <c r="AH44" s="74" t="s">
        <v>1954</v>
      </c>
      <c r="AI44" s="73">
        <f t="shared" si="112"/>
        <v>0</v>
      </c>
      <c r="AJ44" s="65"/>
      <c r="AK44" s="74" t="s">
        <v>1954</v>
      </c>
      <c r="AL44" s="73">
        <f t="shared" si="112"/>
        <v>0</v>
      </c>
      <c r="AM44" s="65"/>
      <c r="AN44" s="74" t="s">
        <v>1948</v>
      </c>
      <c r="AO44" s="73">
        <f t="shared" si="112"/>
        <v>0</v>
      </c>
      <c r="AP44" s="65"/>
      <c r="AQ44" s="74" t="s">
        <v>2001</v>
      </c>
      <c r="AR44" s="73">
        <f t="shared" si="112"/>
        <v>0</v>
      </c>
      <c r="AS44" s="65"/>
      <c r="AT44" s="74" t="s">
        <v>1954</v>
      </c>
      <c r="AU44" s="73">
        <f t="shared" si="112"/>
        <v>0</v>
      </c>
      <c r="AV44" s="65"/>
      <c r="AW44" s="74" t="s">
        <v>1958</v>
      </c>
      <c r="AX44" s="73">
        <f t="shared" si="112"/>
        <v>0</v>
      </c>
      <c r="AY44" s="65"/>
      <c r="AZ44" s="74" t="s">
        <v>1948</v>
      </c>
      <c r="BA44" s="73">
        <f t="shared" si="112"/>
        <v>0</v>
      </c>
      <c r="BB44" s="65"/>
      <c r="BC44" s="74" t="s">
        <v>1958</v>
      </c>
      <c r="BD44" s="73">
        <f t="shared" si="112"/>
        <v>0</v>
      </c>
      <c r="BE44" s="65"/>
      <c r="BF44" s="74" t="s">
        <v>1954</v>
      </c>
      <c r="BG44" s="73">
        <f t="shared" si="112"/>
        <v>0</v>
      </c>
      <c r="BH44" s="65"/>
      <c r="BI44" s="74" t="s">
        <v>1958</v>
      </c>
      <c r="BJ44" s="73">
        <f t="shared" si="112"/>
        <v>0</v>
      </c>
      <c r="BK44" s="65"/>
      <c r="BL44" s="74" t="s">
        <v>1954</v>
      </c>
      <c r="BM44" s="73">
        <f t="shared" si="112"/>
        <v>0</v>
      </c>
      <c r="BN44" s="65"/>
      <c r="BO44" s="74" t="s">
        <v>1954</v>
      </c>
      <c r="BP44" s="73">
        <f t="shared" si="112"/>
        <v>0</v>
      </c>
      <c r="BQ44" s="65"/>
      <c r="BR44" s="74" t="s">
        <v>1954</v>
      </c>
      <c r="BS44" s="73">
        <f t="shared" si="112"/>
        <v>0</v>
      </c>
      <c r="BT44" s="65"/>
      <c r="BU44" s="74" t="s">
        <v>1954</v>
      </c>
      <c r="BV44" s="73">
        <f t="shared" si="112"/>
        <v>0</v>
      </c>
      <c r="BW44" s="65"/>
      <c r="BX44" s="74" t="s">
        <v>1954</v>
      </c>
      <c r="BY44" s="73">
        <f t="shared" si="112"/>
        <v>0</v>
      </c>
      <c r="BZ44" s="65"/>
      <c r="CA44" s="74" t="s">
        <v>1958</v>
      </c>
      <c r="CB44" s="73">
        <f t="shared" si="112"/>
        <v>0</v>
      </c>
      <c r="CC44" s="65"/>
      <c r="CD44" s="74" t="s">
        <v>1942</v>
      </c>
      <c r="CE44" s="73">
        <f t="shared" si="112"/>
        <v>0</v>
      </c>
      <c r="CF44" s="65"/>
      <c r="CG44" s="74" t="s">
        <v>1954</v>
      </c>
      <c r="CH44" s="73">
        <f t="shared" si="112"/>
        <v>0</v>
      </c>
      <c r="CI44" s="65"/>
      <c r="CJ44" s="74" t="s">
        <v>1948</v>
      </c>
      <c r="CK44" s="73">
        <f t="shared" si="110"/>
        <v>0</v>
      </c>
      <c r="CL44" s="65"/>
      <c r="CM44" s="74" t="s">
        <v>1954</v>
      </c>
      <c r="CN44" s="73">
        <f t="shared" si="110"/>
        <v>0</v>
      </c>
      <c r="CO44" s="65"/>
      <c r="CP44" s="74" t="s">
        <v>1958</v>
      </c>
      <c r="CQ44" s="73">
        <f t="shared" si="110"/>
        <v>0</v>
      </c>
      <c r="CR44" s="65"/>
      <c r="CS44" s="74" t="s">
        <v>1958</v>
      </c>
      <c r="CT44" s="73">
        <f t="shared" si="110"/>
        <v>0</v>
      </c>
      <c r="CU44" s="65"/>
      <c r="CV44" s="74" t="s">
        <v>1942</v>
      </c>
      <c r="CW44" s="73">
        <f t="shared" si="110"/>
        <v>0</v>
      </c>
      <c r="CX44" s="65"/>
      <c r="CY44" s="74" t="s">
        <v>1943</v>
      </c>
      <c r="CZ44" s="73">
        <f t="shared" si="110"/>
        <v>0</v>
      </c>
      <c r="DA44" s="65"/>
      <c r="DB44" s="74" t="s">
        <v>1958</v>
      </c>
      <c r="DC44" s="73">
        <f t="shared" si="110"/>
        <v>0</v>
      </c>
      <c r="DD44" s="65"/>
      <c r="DE44" s="74" t="s">
        <v>1942</v>
      </c>
      <c r="DF44" s="73">
        <f t="shared" si="110"/>
        <v>0</v>
      </c>
      <c r="DG44" s="65"/>
      <c r="DH44" s="74" t="s">
        <v>1954</v>
      </c>
      <c r="DI44" s="73">
        <f t="shared" si="110"/>
        <v>0</v>
      </c>
      <c r="DJ44" s="65"/>
      <c r="DK44" s="74" t="s">
        <v>1954</v>
      </c>
      <c r="DL44" s="73">
        <f t="shared" si="110"/>
        <v>0</v>
      </c>
      <c r="DM44" s="65"/>
      <c r="DN44" s="795" t="s">
        <v>1943</v>
      </c>
      <c r="DO44" s="73">
        <f t="shared" si="110"/>
        <v>0</v>
      </c>
      <c r="DP44" s="65"/>
      <c r="DQ44" s="795" t="s">
        <v>1944</v>
      </c>
      <c r="DR44" s="73">
        <f t="shared" si="110"/>
        <v>0</v>
      </c>
      <c r="DS44" s="65"/>
      <c r="DT44" s="74" t="s">
        <v>1959</v>
      </c>
      <c r="DU44" s="73">
        <f t="shared" si="110"/>
        <v>0</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0</v>
      </c>
      <c r="DY44" s="65"/>
      <c r="DZ44" s="74" t="s">
        <v>1954</v>
      </c>
      <c r="EA44" s="73">
        <f t="shared" si="114"/>
        <v>0</v>
      </c>
      <c r="EB44" s="65"/>
      <c r="EC44" s="74" t="s">
        <v>1954</v>
      </c>
      <c r="ED44" s="73">
        <f t="shared" si="114"/>
        <v>0</v>
      </c>
      <c r="EE44" s="65"/>
      <c r="EF44" s="74" t="s">
        <v>1943</v>
      </c>
      <c r="EG44" s="73">
        <f t="shared" si="114"/>
        <v>0</v>
      </c>
      <c r="EH44" s="65"/>
      <c r="EI44" s="74"/>
      <c r="EJ44" s="73">
        <f t="shared" si="114"/>
        <v>0</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101"/>
        <v>0</v>
      </c>
      <c r="R46" s="49"/>
      <c r="S46" s="74" t="s">
        <v>1959</v>
      </c>
      <c r="T46" s="73">
        <f t="shared" si="98"/>
        <v>0</v>
      </c>
      <c r="U46" s="65"/>
      <c r="V46" s="74" t="s">
        <v>2001</v>
      </c>
      <c r="W46" s="73">
        <f t="shared" si="111"/>
        <v>0</v>
      </c>
      <c r="X46" s="65"/>
      <c r="Y46" s="74" t="s">
        <v>1951</v>
      </c>
      <c r="Z46" s="73">
        <f t="shared" si="112"/>
        <v>0</v>
      </c>
      <c r="AA46" s="65"/>
      <c r="AB46" s="74" t="s">
        <v>1959</v>
      </c>
      <c r="AC46" s="73">
        <f t="shared" si="112"/>
        <v>0</v>
      </c>
      <c r="AD46" s="65"/>
      <c r="AE46" s="74" t="s">
        <v>1943</v>
      </c>
      <c r="AF46" s="73">
        <f t="shared" si="112"/>
        <v>0</v>
      </c>
      <c r="AG46" s="65"/>
      <c r="AH46" s="74" t="s">
        <v>1959</v>
      </c>
      <c r="AI46" s="73">
        <f t="shared" si="112"/>
        <v>0</v>
      </c>
      <c r="AJ46" s="65"/>
      <c r="AK46" s="74" t="s">
        <v>1958</v>
      </c>
      <c r="AL46" s="73">
        <f t="shared" si="112"/>
        <v>0</v>
      </c>
      <c r="AM46" s="65"/>
      <c r="AN46" s="74" t="s">
        <v>1958</v>
      </c>
      <c r="AO46" s="73">
        <f t="shared" si="112"/>
        <v>0</v>
      </c>
      <c r="AP46" s="65"/>
      <c r="AQ46" s="74" t="s">
        <v>2001</v>
      </c>
      <c r="AR46" s="73">
        <f t="shared" si="112"/>
        <v>0</v>
      </c>
      <c r="AS46" s="65"/>
      <c r="AT46" s="74" t="s">
        <v>2001</v>
      </c>
      <c r="AU46" s="73">
        <f t="shared" si="112"/>
        <v>0</v>
      </c>
      <c r="AV46" s="65"/>
      <c r="AW46" s="74" t="s">
        <v>1951</v>
      </c>
      <c r="AX46" s="73">
        <f t="shared" si="112"/>
        <v>0</v>
      </c>
      <c r="AY46" s="65"/>
      <c r="AZ46" s="74" t="s">
        <v>2001</v>
      </c>
      <c r="BA46" s="73">
        <f t="shared" si="112"/>
        <v>0</v>
      </c>
      <c r="BB46" s="65"/>
      <c r="BC46" s="74" t="s">
        <v>1958</v>
      </c>
      <c r="BD46" s="73">
        <f t="shared" si="112"/>
        <v>0</v>
      </c>
      <c r="BE46" s="65"/>
      <c r="BF46" s="74" t="s">
        <v>1954</v>
      </c>
      <c r="BG46" s="73">
        <f t="shared" si="112"/>
        <v>0</v>
      </c>
      <c r="BH46" s="65"/>
      <c r="BI46" s="74" t="s">
        <v>1951</v>
      </c>
      <c r="BJ46" s="73">
        <f t="shared" si="112"/>
        <v>0</v>
      </c>
      <c r="BK46" s="65"/>
      <c r="BL46" s="74" t="s">
        <v>1958</v>
      </c>
      <c r="BM46" s="73">
        <f t="shared" si="112"/>
        <v>0</v>
      </c>
      <c r="BN46" s="65"/>
      <c r="BO46" s="74" t="s">
        <v>1958</v>
      </c>
      <c r="BP46" s="73">
        <f t="shared" si="112"/>
        <v>0</v>
      </c>
      <c r="BQ46" s="65"/>
      <c r="BR46" s="74" t="s">
        <v>1958</v>
      </c>
      <c r="BS46" s="73">
        <f t="shared" si="112"/>
        <v>0</v>
      </c>
      <c r="BT46" s="65"/>
      <c r="BU46" s="74" t="s">
        <v>2001</v>
      </c>
      <c r="BV46" s="73">
        <f t="shared" si="112"/>
        <v>0</v>
      </c>
      <c r="BW46" s="65"/>
      <c r="BX46" s="74" t="s">
        <v>1958</v>
      </c>
      <c r="BY46" s="73">
        <f t="shared" si="112"/>
        <v>0</v>
      </c>
      <c r="BZ46" s="65"/>
      <c r="CA46" s="74" t="s">
        <v>2001</v>
      </c>
      <c r="CB46" s="73">
        <f t="shared" si="112"/>
        <v>0</v>
      </c>
      <c r="CC46" s="65"/>
      <c r="CD46" s="74" t="s">
        <v>1942</v>
      </c>
      <c r="CE46" s="73">
        <f t="shared" si="112"/>
        <v>0</v>
      </c>
      <c r="CF46" s="65"/>
      <c r="CG46" s="74" t="s">
        <v>1958</v>
      </c>
      <c r="CH46" s="73">
        <f t="shared" si="112"/>
        <v>0</v>
      </c>
      <c r="CI46" s="65"/>
      <c r="CJ46" s="74" t="s">
        <v>1943</v>
      </c>
      <c r="CK46" s="73">
        <f t="shared" si="110"/>
        <v>0</v>
      </c>
      <c r="CL46" s="65"/>
      <c r="CM46" s="74" t="s">
        <v>2001</v>
      </c>
      <c r="CN46" s="73">
        <f t="shared" si="110"/>
        <v>0</v>
      </c>
      <c r="CO46" s="65"/>
      <c r="CP46" s="74" t="s">
        <v>2001</v>
      </c>
      <c r="CQ46" s="73">
        <f t="shared" si="110"/>
        <v>0</v>
      </c>
      <c r="CR46" s="65"/>
      <c r="CS46" s="74" t="s">
        <v>2001</v>
      </c>
      <c r="CT46" s="73">
        <f t="shared" si="110"/>
        <v>0</v>
      </c>
      <c r="CU46" s="65"/>
      <c r="CV46" s="74" t="s">
        <v>2001</v>
      </c>
      <c r="CW46" s="73">
        <f t="shared" si="110"/>
        <v>0</v>
      </c>
      <c r="CX46" s="65"/>
      <c r="CY46" s="74" t="s">
        <v>2001</v>
      </c>
      <c r="CZ46" s="73">
        <f t="shared" si="110"/>
        <v>0</v>
      </c>
      <c r="DA46" s="65"/>
      <c r="DB46" s="74" t="s">
        <v>1958</v>
      </c>
      <c r="DC46" s="73">
        <f t="shared" si="110"/>
        <v>0</v>
      </c>
      <c r="DD46" s="65"/>
      <c r="DE46" s="74" t="s">
        <v>2001</v>
      </c>
      <c r="DF46" s="73">
        <f t="shared" si="110"/>
        <v>0</v>
      </c>
      <c r="DG46" s="65"/>
      <c r="DH46" s="74" t="s">
        <v>1943</v>
      </c>
      <c r="DI46" s="73">
        <f t="shared" si="110"/>
        <v>0</v>
      </c>
      <c r="DJ46" s="65"/>
      <c r="DK46" s="74" t="s">
        <v>2001</v>
      </c>
      <c r="DL46" s="73">
        <f t="shared" si="110"/>
        <v>0</v>
      </c>
      <c r="DM46" s="65"/>
      <c r="DN46" s="795" t="s">
        <v>2184</v>
      </c>
      <c r="DO46" s="73">
        <f t="shared" si="110"/>
        <v>0</v>
      </c>
      <c r="DP46" s="65"/>
      <c r="DQ46" s="795" t="s">
        <v>1943</v>
      </c>
      <c r="DR46" s="73">
        <f t="shared" si="110"/>
        <v>0</v>
      </c>
      <c r="DS46" s="65"/>
      <c r="DT46" s="74" t="s">
        <v>1948</v>
      </c>
      <c r="DU46" s="73">
        <f t="shared" si="110"/>
        <v>0</v>
      </c>
      <c r="DV46" s="65"/>
      <c r="DW46" s="74" t="s">
        <v>1954</v>
      </c>
      <c r="DX46" s="73">
        <f t="shared" si="114"/>
        <v>0</v>
      </c>
      <c r="DY46" s="65"/>
      <c r="DZ46" s="74" t="s">
        <v>1958</v>
      </c>
      <c r="EA46" s="73">
        <f t="shared" si="114"/>
        <v>0</v>
      </c>
      <c r="EB46" s="65"/>
      <c r="EC46" s="74" t="s">
        <v>1959</v>
      </c>
      <c r="ED46" s="73">
        <f t="shared" si="114"/>
        <v>0</v>
      </c>
      <c r="EE46" s="65"/>
      <c r="EF46" s="74" t="s">
        <v>1943</v>
      </c>
      <c r="EG46" s="73">
        <f t="shared" si="114"/>
        <v>0</v>
      </c>
      <c r="EH46" s="65"/>
      <c r="EI46" s="74"/>
      <c r="EJ46" s="73">
        <f t="shared" si="114"/>
        <v>0</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101"/>
        <v>0</v>
      </c>
      <c r="R47" s="49"/>
      <c r="S47" s="74" t="s">
        <v>1954</v>
      </c>
      <c r="T47" s="73">
        <f t="shared" si="98"/>
        <v>0</v>
      </c>
      <c r="U47" s="65"/>
      <c r="V47" s="74" t="s">
        <v>1962</v>
      </c>
      <c r="W47" s="73">
        <f t="shared" si="111"/>
        <v>0</v>
      </c>
      <c r="X47" s="65"/>
      <c r="Y47" s="74" t="s">
        <v>1943</v>
      </c>
      <c r="Z47" s="73">
        <f t="shared" si="112"/>
        <v>0</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0</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0</v>
      </c>
      <c r="BE47" s="65"/>
      <c r="BF47" s="74" t="s">
        <v>1954</v>
      </c>
      <c r="BG47" s="73">
        <f t="shared" si="112"/>
        <v>0</v>
      </c>
      <c r="BH47" s="65"/>
      <c r="BI47" s="74" t="s">
        <v>1943</v>
      </c>
      <c r="BJ47" s="73">
        <f t="shared" si="112"/>
        <v>0</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0</v>
      </c>
      <c r="CL47" s="65"/>
      <c r="CM47" s="74" t="s">
        <v>1948</v>
      </c>
      <c r="CN47" s="73">
        <f t="shared" si="110"/>
        <v>0</v>
      </c>
      <c r="CO47" s="65"/>
      <c r="CP47" s="74" t="s">
        <v>1944</v>
      </c>
      <c r="CQ47" s="73">
        <f t="shared" si="110"/>
        <v>0</v>
      </c>
      <c r="CR47" s="65"/>
      <c r="CS47" s="74" t="s">
        <v>1946</v>
      </c>
      <c r="CT47" s="73">
        <f t="shared" si="110"/>
        <v>0</v>
      </c>
      <c r="CU47" s="65"/>
      <c r="CV47" s="74" t="s">
        <v>1946</v>
      </c>
      <c r="CW47" s="73">
        <f t="shared" si="110"/>
        <v>0</v>
      </c>
      <c r="CX47" s="65"/>
      <c r="CY47" s="74" t="s">
        <v>1943</v>
      </c>
      <c r="CZ47" s="73">
        <f t="shared" si="110"/>
        <v>0</v>
      </c>
      <c r="DA47" s="65"/>
      <c r="DB47" s="74" t="s">
        <v>1946</v>
      </c>
      <c r="DC47" s="73">
        <f t="shared" si="110"/>
        <v>0</v>
      </c>
      <c r="DD47" s="65"/>
      <c r="DE47" s="74" t="s">
        <v>1946</v>
      </c>
      <c r="DF47" s="73">
        <f t="shared" si="110"/>
        <v>0</v>
      </c>
      <c r="DG47" s="65"/>
      <c r="DH47" s="74" t="s">
        <v>1944</v>
      </c>
      <c r="DI47" s="73">
        <f t="shared" si="110"/>
        <v>0</v>
      </c>
      <c r="DJ47" s="65"/>
      <c r="DK47" s="74" t="s">
        <v>1942</v>
      </c>
      <c r="DL47" s="73">
        <f t="shared" si="110"/>
        <v>0</v>
      </c>
      <c r="DM47" s="65"/>
      <c r="DN47" s="795" t="s">
        <v>1948</v>
      </c>
      <c r="DO47" s="73">
        <f t="shared" si="110"/>
        <v>0</v>
      </c>
      <c r="DP47" s="65"/>
      <c r="DQ47" s="795" t="s">
        <v>1954</v>
      </c>
      <c r="DR47" s="73">
        <f t="shared" si="110"/>
        <v>0</v>
      </c>
      <c r="DS47" s="65"/>
      <c r="DT47" s="74" t="s">
        <v>1956</v>
      </c>
      <c r="DU47" s="73">
        <f t="shared" si="110"/>
        <v>0</v>
      </c>
      <c r="DV47" s="65"/>
      <c r="DW47" s="74" t="s">
        <v>1946</v>
      </c>
      <c r="DX47" s="73">
        <f t="shared" si="114"/>
        <v>0</v>
      </c>
      <c r="DY47" s="65"/>
      <c r="DZ47" s="74" t="s">
        <v>1948</v>
      </c>
      <c r="EA47" s="73">
        <f t="shared" si="114"/>
        <v>0</v>
      </c>
      <c r="EB47" s="65"/>
      <c r="EC47" s="74" t="s">
        <v>1944</v>
      </c>
      <c r="ED47" s="73">
        <f t="shared" si="114"/>
        <v>0</v>
      </c>
      <c r="EE47" s="65"/>
      <c r="EF47" s="74" t="s">
        <v>1960</v>
      </c>
      <c r="EG47" s="73">
        <f t="shared" si="114"/>
        <v>0</v>
      </c>
      <c r="EH47" s="65"/>
      <c r="EI47" s="74"/>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101"/>
        <v>0</v>
      </c>
      <c r="R48" s="49"/>
      <c r="S48" s="74" t="s">
        <v>1943</v>
      </c>
      <c r="T48" s="73">
        <f t="shared" si="98"/>
        <v>0</v>
      </c>
      <c r="U48" s="65"/>
      <c r="V48" s="74" t="s">
        <v>1954</v>
      </c>
      <c r="W48" s="73">
        <f t="shared" si="111"/>
        <v>0</v>
      </c>
      <c r="X48" s="65"/>
      <c r="Y48" s="74" t="s">
        <v>1948</v>
      </c>
      <c r="Z48" s="73">
        <f t="shared" si="112"/>
        <v>0</v>
      </c>
      <c r="AA48" s="65"/>
      <c r="AB48" s="74" t="s">
        <v>1946</v>
      </c>
      <c r="AC48" s="73">
        <f t="shared" si="112"/>
        <v>0</v>
      </c>
      <c r="AD48" s="65"/>
      <c r="AE48" s="74" t="s">
        <v>1944</v>
      </c>
      <c r="AF48" s="73">
        <f t="shared" si="112"/>
        <v>0</v>
      </c>
      <c r="AG48" s="65"/>
      <c r="AH48" s="74" t="s">
        <v>1948</v>
      </c>
      <c r="AI48" s="73">
        <f t="shared" si="112"/>
        <v>0</v>
      </c>
      <c r="AJ48" s="65"/>
      <c r="AK48" s="74" t="s">
        <v>1942</v>
      </c>
      <c r="AL48" s="73">
        <f t="shared" si="112"/>
        <v>0</v>
      </c>
      <c r="AM48" s="65"/>
      <c r="AN48" s="74" t="s">
        <v>1946</v>
      </c>
      <c r="AO48" s="73">
        <f t="shared" si="112"/>
        <v>0</v>
      </c>
      <c r="AP48" s="65"/>
      <c r="AQ48" s="74" t="s">
        <v>1943</v>
      </c>
      <c r="AR48" s="73">
        <f t="shared" si="112"/>
        <v>0</v>
      </c>
      <c r="AS48" s="65"/>
      <c r="AT48" s="74" t="s">
        <v>1946</v>
      </c>
      <c r="AU48" s="73">
        <f t="shared" si="112"/>
        <v>0</v>
      </c>
      <c r="AV48" s="65"/>
      <c r="AW48" s="74" t="s">
        <v>1948</v>
      </c>
      <c r="AX48" s="73">
        <f t="shared" si="112"/>
        <v>0</v>
      </c>
      <c r="AY48" s="65"/>
      <c r="AZ48" s="74" t="s">
        <v>1948</v>
      </c>
      <c r="BA48" s="73">
        <f t="shared" si="112"/>
        <v>0</v>
      </c>
      <c r="BB48" s="65"/>
      <c r="BC48" s="74" t="s">
        <v>1954</v>
      </c>
      <c r="BD48" s="73">
        <f t="shared" si="112"/>
        <v>0</v>
      </c>
      <c r="BE48" s="65"/>
      <c r="BF48" s="74" t="s">
        <v>1954</v>
      </c>
      <c r="BG48" s="73">
        <f t="shared" si="112"/>
        <v>0</v>
      </c>
      <c r="BH48" s="65"/>
      <c r="BI48" s="74" t="s">
        <v>1948</v>
      </c>
      <c r="BJ48" s="73">
        <f t="shared" si="112"/>
        <v>0</v>
      </c>
      <c r="BK48" s="65"/>
      <c r="BL48" s="74" t="s">
        <v>1954</v>
      </c>
      <c r="BM48" s="73">
        <f t="shared" si="112"/>
        <v>0</v>
      </c>
      <c r="BN48" s="65"/>
      <c r="BO48" s="74" t="s">
        <v>1948</v>
      </c>
      <c r="BP48" s="73">
        <f t="shared" si="112"/>
        <v>0</v>
      </c>
      <c r="BQ48" s="65"/>
      <c r="BR48" s="74" t="s">
        <v>1942</v>
      </c>
      <c r="BS48" s="73">
        <f t="shared" si="112"/>
        <v>0</v>
      </c>
      <c r="BT48" s="65"/>
      <c r="BU48" s="74" t="s">
        <v>1948</v>
      </c>
      <c r="BV48" s="73">
        <f t="shared" si="112"/>
        <v>0</v>
      </c>
      <c r="BW48" s="65"/>
      <c r="BX48" s="74" t="s">
        <v>1948</v>
      </c>
      <c r="BY48" s="73">
        <f t="shared" si="112"/>
        <v>0</v>
      </c>
      <c r="BZ48" s="65"/>
      <c r="CA48" s="74" t="s">
        <v>1942</v>
      </c>
      <c r="CB48" s="73">
        <f t="shared" si="112"/>
        <v>0</v>
      </c>
      <c r="CC48" s="65"/>
      <c r="CD48" s="74" t="s">
        <v>1944</v>
      </c>
      <c r="CE48" s="73">
        <f t="shared" si="112"/>
        <v>0</v>
      </c>
      <c r="CF48" s="65"/>
      <c r="CG48" s="74" t="s">
        <v>1948</v>
      </c>
      <c r="CH48" s="73">
        <f t="shared" si="112"/>
        <v>0</v>
      </c>
      <c r="CI48" s="65"/>
      <c r="CJ48" s="74" t="s">
        <v>1942</v>
      </c>
      <c r="CK48" s="73">
        <f t="shared" si="110"/>
        <v>0</v>
      </c>
      <c r="CL48" s="65"/>
      <c r="CM48" s="74" t="s">
        <v>1954</v>
      </c>
      <c r="CN48" s="73">
        <f t="shared" si="110"/>
        <v>0</v>
      </c>
      <c r="CO48" s="65"/>
      <c r="CP48" s="74" t="s">
        <v>1948</v>
      </c>
      <c r="CQ48" s="73">
        <f t="shared" si="110"/>
        <v>0</v>
      </c>
      <c r="CR48" s="65"/>
      <c r="CS48" s="74" t="s">
        <v>1948</v>
      </c>
      <c r="CT48" s="73">
        <f t="shared" si="110"/>
        <v>0</v>
      </c>
      <c r="CU48" s="65"/>
      <c r="CV48" s="74" t="s">
        <v>1943</v>
      </c>
      <c r="CW48" s="73">
        <f t="shared" si="110"/>
        <v>0</v>
      </c>
      <c r="CX48" s="65"/>
      <c r="CY48" s="74" t="s">
        <v>1942</v>
      </c>
      <c r="CZ48" s="73">
        <f t="shared" si="110"/>
        <v>0</v>
      </c>
      <c r="DA48" s="65"/>
      <c r="DB48" s="74" t="s">
        <v>1948</v>
      </c>
      <c r="DC48" s="73">
        <f t="shared" si="110"/>
        <v>0</v>
      </c>
      <c r="DD48" s="65"/>
      <c r="DE48" s="74" t="s">
        <v>1957</v>
      </c>
      <c r="DF48" s="73">
        <f t="shared" si="110"/>
        <v>0</v>
      </c>
      <c r="DG48" s="65"/>
      <c r="DH48" s="74" t="s">
        <v>1948</v>
      </c>
      <c r="DI48" s="73">
        <f t="shared" si="110"/>
        <v>0</v>
      </c>
      <c r="DJ48" s="65"/>
      <c r="DK48" s="74" t="s">
        <v>1948</v>
      </c>
      <c r="DL48" s="73">
        <f t="shared" si="110"/>
        <v>0</v>
      </c>
      <c r="DM48" s="65"/>
      <c r="DN48" s="795" t="s">
        <v>1957</v>
      </c>
      <c r="DO48" s="73">
        <f t="shared" si="110"/>
        <v>0</v>
      </c>
      <c r="DP48" s="65"/>
      <c r="DQ48" s="795" t="s">
        <v>1946</v>
      </c>
      <c r="DR48" s="73">
        <f t="shared" si="110"/>
        <v>0</v>
      </c>
      <c r="DS48" s="65"/>
      <c r="DT48" s="74" t="s">
        <v>1948</v>
      </c>
      <c r="DU48" s="73">
        <f t="shared" si="110"/>
        <v>0</v>
      </c>
      <c r="DV48" s="65"/>
      <c r="DW48" s="74" t="s">
        <v>1948</v>
      </c>
      <c r="DX48" s="73">
        <f t="shared" si="114"/>
        <v>0</v>
      </c>
      <c r="DY48" s="65"/>
      <c r="DZ48" s="74" t="s">
        <v>1948</v>
      </c>
      <c r="EA48" s="73">
        <f t="shared" si="114"/>
        <v>0</v>
      </c>
      <c r="EB48" s="65"/>
      <c r="EC48" s="74" t="s">
        <v>1942</v>
      </c>
      <c r="ED48" s="73">
        <f t="shared" si="114"/>
        <v>0</v>
      </c>
      <c r="EE48" s="65"/>
      <c r="EF48" s="74" t="s">
        <v>1942</v>
      </c>
      <c r="EG48" s="73">
        <f t="shared" si="114"/>
        <v>0</v>
      </c>
      <c r="EH48" s="65"/>
      <c r="EI48" s="74"/>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101"/>
        <v>0</v>
      </c>
      <c r="R49" s="49"/>
      <c r="S49" s="74" t="s">
        <v>1960</v>
      </c>
      <c r="T49" s="73">
        <f t="shared" si="98"/>
        <v>0</v>
      </c>
      <c r="U49" s="65"/>
      <c r="V49" s="74" t="s">
        <v>1952</v>
      </c>
      <c r="W49" s="73">
        <f t="shared" si="111"/>
        <v>0</v>
      </c>
      <c r="X49" s="65"/>
      <c r="Y49" s="74" t="s">
        <v>1952</v>
      </c>
      <c r="Z49" s="73">
        <f t="shared" si="112"/>
        <v>0</v>
      </c>
      <c r="AA49" s="65"/>
      <c r="AB49" s="74" t="s">
        <v>1957</v>
      </c>
      <c r="AC49" s="73">
        <f t="shared" si="112"/>
        <v>0</v>
      </c>
      <c r="AD49" s="65"/>
      <c r="AE49" s="74" t="s">
        <v>1946</v>
      </c>
      <c r="AF49" s="73">
        <f t="shared" si="112"/>
        <v>0</v>
      </c>
      <c r="AG49" s="65"/>
      <c r="AH49" s="74" t="s">
        <v>1960</v>
      </c>
      <c r="AI49" s="73">
        <f t="shared" si="112"/>
        <v>0</v>
      </c>
      <c r="AJ49" s="65"/>
      <c r="AK49" s="74" t="s">
        <v>1949</v>
      </c>
      <c r="AL49" s="73">
        <f t="shared" si="112"/>
        <v>0</v>
      </c>
      <c r="AM49" s="65"/>
      <c r="AN49" s="74" t="s">
        <v>1945</v>
      </c>
      <c r="AO49" s="73">
        <f t="shared" si="112"/>
        <v>0</v>
      </c>
      <c r="AP49" s="65"/>
      <c r="AQ49" s="74" t="s">
        <v>1945</v>
      </c>
      <c r="AR49" s="73">
        <f t="shared" si="112"/>
        <v>0</v>
      </c>
      <c r="AS49" s="65"/>
      <c r="AT49" s="74" t="s">
        <v>1949</v>
      </c>
      <c r="AU49" s="73">
        <f t="shared" si="112"/>
        <v>0</v>
      </c>
      <c r="AV49" s="65"/>
      <c r="AW49" s="74" t="s">
        <v>1949</v>
      </c>
      <c r="AX49" s="73">
        <f t="shared" si="112"/>
        <v>0</v>
      </c>
      <c r="AY49" s="65"/>
      <c r="AZ49" s="74" t="s">
        <v>1960</v>
      </c>
      <c r="BA49" s="73">
        <f t="shared" si="112"/>
        <v>0</v>
      </c>
      <c r="BB49" s="65"/>
      <c r="BC49" s="74" t="s">
        <v>1957</v>
      </c>
      <c r="BD49" s="73">
        <f t="shared" si="112"/>
        <v>0</v>
      </c>
      <c r="BE49" s="65"/>
      <c r="BF49" s="74" t="s">
        <v>1946</v>
      </c>
      <c r="BG49" s="73">
        <f t="shared" si="112"/>
        <v>0</v>
      </c>
      <c r="BH49" s="65"/>
      <c r="BI49" s="74" t="s">
        <v>1952</v>
      </c>
      <c r="BJ49" s="73">
        <f t="shared" si="112"/>
        <v>0</v>
      </c>
      <c r="BK49" s="65"/>
      <c r="BL49" s="74" t="s">
        <v>1960</v>
      </c>
      <c r="BM49" s="73">
        <f t="shared" si="112"/>
        <v>0</v>
      </c>
      <c r="BN49" s="65"/>
      <c r="BO49" s="74" t="s">
        <v>1949</v>
      </c>
      <c r="BP49" s="73">
        <f t="shared" si="112"/>
        <v>0</v>
      </c>
      <c r="BQ49" s="65"/>
      <c r="BR49" s="74" t="s">
        <v>1946</v>
      </c>
      <c r="BS49" s="73">
        <f t="shared" si="112"/>
        <v>0</v>
      </c>
      <c r="BT49" s="65"/>
      <c r="BU49" s="74" t="s">
        <v>1952</v>
      </c>
      <c r="BV49" s="73">
        <f t="shared" si="112"/>
        <v>0</v>
      </c>
      <c r="BW49" s="65"/>
      <c r="BX49" s="74" t="s">
        <v>1960</v>
      </c>
      <c r="BY49" s="73">
        <f t="shared" si="112"/>
        <v>0</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0</v>
      </c>
      <c r="CR49" s="65"/>
      <c r="CS49" s="74" t="s">
        <v>1949</v>
      </c>
      <c r="CT49" s="73">
        <f t="shared" si="110"/>
        <v>0</v>
      </c>
      <c r="CU49" s="65"/>
      <c r="CV49" s="74" t="s">
        <v>1960</v>
      </c>
      <c r="CW49" s="73">
        <f t="shared" si="110"/>
        <v>0</v>
      </c>
      <c r="CX49" s="65"/>
      <c r="CY49" s="74" t="s">
        <v>1960</v>
      </c>
      <c r="CZ49" s="73">
        <f t="shared" si="110"/>
        <v>0</v>
      </c>
      <c r="DA49" s="65"/>
      <c r="DB49" s="74" t="s">
        <v>1960</v>
      </c>
      <c r="DC49" s="73">
        <f t="shared" si="110"/>
        <v>0</v>
      </c>
      <c r="DD49" s="65"/>
      <c r="DE49" s="74" t="s">
        <v>1960</v>
      </c>
      <c r="DF49" s="73">
        <f t="shared" si="110"/>
        <v>0</v>
      </c>
      <c r="DG49" s="65"/>
      <c r="DH49" s="74" t="s">
        <v>1949</v>
      </c>
      <c r="DI49" s="73">
        <f t="shared" si="110"/>
        <v>0</v>
      </c>
      <c r="DJ49" s="65"/>
      <c r="DK49" s="74" t="s">
        <v>1952</v>
      </c>
      <c r="DL49" s="73">
        <f t="shared" si="110"/>
        <v>0</v>
      </c>
      <c r="DM49" s="65"/>
      <c r="DN49" s="795" t="s">
        <v>1947</v>
      </c>
      <c r="DO49" s="73">
        <f t="shared" si="110"/>
        <v>0</v>
      </c>
      <c r="DP49" s="65"/>
      <c r="DQ49" s="795" t="s">
        <v>1945</v>
      </c>
      <c r="DR49" s="73">
        <f t="shared" si="110"/>
        <v>0</v>
      </c>
      <c r="DS49" s="65"/>
      <c r="DT49" s="74" t="s">
        <v>1960</v>
      </c>
      <c r="DU49" s="73">
        <f t="shared" si="110"/>
        <v>0</v>
      </c>
      <c r="DV49" s="65"/>
      <c r="DW49" s="74" t="s">
        <v>1949</v>
      </c>
      <c r="DX49" s="73">
        <f t="shared" si="114"/>
        <v>0</v>
      </c>
      <c r="DY49" s="65"/>
      <c r="DZ49" s="74" t="s">
        <v>1960</v>
      </c>
      <c r="EA49" s="73">
        <f t="shared" si="114"/>
        <v>0</v>
      </c>
      <c r="EB49" s="65"/>
      <c r="EC49" s="74" t="s">
        <v>1945</v>
      </c>
      <c r="ED49" s="73">
        <f t="shared" si="114"/>
        <v>0</v>
      </c>
      <c r="EE49" s="65"/>
      <c r="EF49" s="74" t="s">
        <v>1952</v>
      </c>
      <c r="EG49" s="73">
        <f t="shared" si="114"/>
        <v>0</v>
      </c>
      <c r="EH49" s="65"/>
      <c r="EI49" s="74"/>
      <c r="EJ49" s="73">
        <f t="shared" si="114"/>
        <v>0</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101"/>
        <v>0</v>
      </c>
      <c r="R50" s="49"/>
      <c r="S50" s="74" t="s">
        <v>1943</v>
      </c>
      <c r="T50" s="73">
        <f t="shared" si="98"/>
        <v>0</v>
      </c>
      <c r="U50" s="65"/>
      <c r="V50" s="74" t="s">
        <v>1943</v>
      </c>
      <c r="W50" s="73">
        <f t="shared" si="111"/>
        <v>0</v>
      </c>
      <c r="X50" s="65"/>
      <c r="Y50" s="74" t="s">
        <v>1954</v>
      </c>
      <c r="Z50" s="73">
        <f t="shared" si="112"/>
        <v>0</v>
      </c>
      <c r="AA50" s="65"/>
      <c r="AB50" s="74" t="s">
        <v>1948</v>
      </c>
      <c r="AC50" s="73">
        <f t="shared" si="112"/>
        <v>0</v>
      </c>
      <c r="AD50" s="65"/>
      <c r="AE50" s="74" t="s">
        <v>1948</v>
      </c>
      <c r="AF50" s="73">
        <f t="shared" si="112"/>
        <v>0</v>
      </c>
      <c r="AG50" s="65"/>
      <c r="AH50" s="74" t="s">
        <v>1943</v>
      </c>
      <c r="AI50" s="73">
        <f t="shared" si="112"/>
        <v>0</v>
      </c>
      <c r="AJ50" s="65"/>
      <c r="AK50" s="74" t="s">
        <v>1951</v>
      </c>
      <c r="AL50" s="73">
        <f t="shared" si="112"/>
        <v>0</v>
      </c>
      <c r="AM50" s="65"/>
      <c r="AN50" s="74" t="s">
        <v>1948</v>
      </c>
      <c r="AO50" s="73">
        <f t="shared" si="112"/>
        <v>0</v>
      </c>
      <c r="AP50" s="65"/>
      <c r="AQ50" s="74" t="s">
        <v>2001</v>
      </c>
      <c r="AR50" s="73">
        <f t="shared" si="112"/>
        <v>0</v>
      </c>
      <c r="AS50" s="65"/>
      <c r="AT50" s="74" t="s">
        <v>1943</v>
      </c>
      <c r="AU50" s="73">
        <f t="shared" si="112"/>
        <v>0</v>
      </c>
      <c r="AV50" s="65"/>
      <c r="AW50" s="74" t="s">
        <v>2001</v>
      </c>
      <c r="AX50" s="73">
        <f t="shared" si="112"/>
        <v>0</v>
      </c>
      <c r="AY50" s="65"/>
      <c r="AZ50" s="74" t="s">
        <v>1958</v>
      </c>
      <c r="BA50" s="73">
        <f t="shared" si="112"/>
        <v>0</v>
      </c>
      <c r="BB50" s="65"/>
      <c r="BC50" s="74" t="s">
        <v>1958</v>
      </c>
      <c r="BD50" s="73">
        <f t="shared" si="112"/>
        <v>0</v>
      </c>
      <c r="BE50" s="65"/>
      <c r="BF50" s="74" t="s">
        <v>1954</v>
      </c>
      <c r="BG50" s="73">
        <f t="shared" si="112"/>
        <v>0</v>
      </c>
      <c r="BH50" s="65"/>
      <c r="BI50" s="74" t="s">
        <v>1954</v>
      </c>
      <c r="BJ50" s="73">
        <f t="shared" si="112"/>
        <v>0</v>
      </c>
      <c r="BK50" s="65"/>
      <c r="BL50" s="74" t="s">
        <v>1954</v>
      </c>
      <c r="BM50" s="73">
        <f t="shared" si="112"/>
        <v>0</v>
      </c>
      <c r="BN50" s="65"/>
      <c r="BO50" s="74" t="s">
        <v>1942</v>
      </c>
      <c r="BP50" s="73">
        <f t="shared" si="112"/>
        <v>0</v>
      </c>
      <c r="BQ50" s="65"/>
      <c r="BR50" s="74" t="s">
        <v>1954</v>
      </c>
      <c r="BS50" s="73">
        <f t="shared" si="112"/>
        <v>0</v>
      </c>
      <c r="BT50" s="65"/>
      <c r="BU50" s="74" t="s">
        <v>2001</v>
      </c>
      <c r="BV50" s="73">
        <f t="shared" si="112"/>
        <v>0</v>
      </c>
      <c r="BW50" s="65"/>
      <c r="BX50" s="74" t="s">
        <v>1948</v>
      </c>
      <c r="BY50" s="73">
        <f t="shared" si="112"/>
        <v>0</v>
      </c>
      <c r="BZ50" s="65"/>
      <c r="CA50" s="74" t="s">
        <v>1942</v>
      </c>
      <c r="CB50" s="73">
        <f t="shared" si="112"/>
        <v>0</v>
      </c>
      <c r="CC50" s="65"/>
      <c r="CD50" s="74" t="s">
        <v>1958</v>
      </c>
      <c r="CE50" s="73">
        <f t="shared" si="112"/>
        <v>0</v>
      </c>
      <c r="CF50" s="65"/>
      <c r="CG50" s="74" t="s">
        <v>1943</v>
      </c>
      <c r="CH50" s="73">
        <f t="shared" si="112"/>
        <v>0</v>
      </c>
      <c r="CI50" s="65"/>
      <c r="CJ50" s="74" t="s">
        <v>1954</v>
      </c>
      <c r="CK50" s="73">
        <f t="shared" si="110"/>
        <v>0</v>
      </c>
      <c r="CL50" s="65"/>
      <c r="CM50" s="74" t="s">
        <v>1951</v>
      </c>
      <c r="CN50" s="73">
        <f t="shared" si="110"/>
        <v>0</v>
      </c>
      <c r="CO50" s="65"/>
      <c r="CP50" s="74" t="s">
        <v>1958</v>
      </c>
      <c r="CQ50" s="73">
        <f t="shared" si="110"/>
        <v>0</v>
      </c>
      <c r="CR50" s="65"/>
      <c r="CS50" s="74" t="s">
        <v>1943</v>
      </c>
      <c r="CT50" s="73">
        <f t="shared" si="110"/>
        <v>0</v>
      </c>
      <c r="CU50" s="65"/>
      <c r="CV50" s="74" t="s">
        <v>1954</v>
      </c>
      <c r="CW50" s="73">
        <f t="shared" si="110"/>
        <v>0</v>
      </c>
      <c r="CX50" s="65"/>
      <c r="CY50" s="74" t="s">
        <v>1943</v>
      </c>
      <c r="CZ50" s="73">
        <f t="shared" si="110"/>
        <v>0</v>
      </c>
      <c r="DA50" s="65"/>
      <c r="DB50" s="74" t="s">
        <v>1954</v>
      </c>
      <c r="DC50" s="73">
        <f t="shared" si="110"/>
        <v>0</v>
      </c>
      <c r="DD50" s="65"/>
      <c r="DE50" s="74" t="s">
        <v>1954</v>
      </c>
      <c r="DF50" s="73">
        <f t="shared" si="110"/>
        <v>0</v>
      </c>
      <c r="DG50" s="65"/>
      <c r="DH50" s="74" t="s">
        <v>1943</v>
      </c>
      <c r="DI50" s="73">
        <f t="shared" si="110"/>
        <v>0</v>
      </c>
      <c r="DJ50" s="65"/>
      <c r="DK50" s="74" t="s">
        <v>1958</v>
      </c>
      <c r="DL50" s="73">
        <f t="shared" si="110"/>
        <v>0</v>
      </c>
      <c r="DM50" s="65"/>
      <c r="DN50" s="795" t="s">
        <v>2001</v>
      </c>
      <c r="DO50" s="73">
        <f t="shared" si="110"/>
        <v>0</v>
      </c>
      <c r="DP50" s="65"/>
      <c r="DQ50" s="795" t="s">
        <v>1942</v>
      </c>
      <c r="DR50" s="73">
        <f t="shared" si="110"/>
        <v>0</v>
      </c>
      <c r="DS50" s="65"/>
      <c r="DT50" s="74" t="s">
        <v>1943</v>
      </c>
      <c r="DU50" s="73">
        <f t="shared" si="110"/>
        <v>0</v>
      </c>
      <c r="DV50" s="65"/>
      <c r="DW50" s="74" t="s">
        <v>2001</v>
      </c>
      <c r="DX50" s="73">
        <f t="shared" si="114"/>
        <v>0</v>
      </c>
      <c r="DY50" s="65"/>
      <c r="DZ50" s="74" t="s">
        <v>1958</v>
      </c>
      <c r="EA50" s="73">
        <f t="shared" si="114"/>
        <v>0</v>
      </c>
      <c r="EB50" s="65"/>
      <c r="EC50" s="74" t="s">
        <v>1958</v>
      </c>
      <c r="ED50" s="73">
        <f t="shared" si="114"/>
        <v>0</v>
      </c>
      <c r="EE50" s="65"/>
      <c r="EF50" s="74" t="s">
        <v>1948</v>
      </c>
      <c r="EG50" s="73">
        <f t="shared" si="114"/>
        <v>0</v>
      </c>
      <c r="EH50" s="65"/>
      <c r="EI50" s="74"/>
      <c r="EJ50" s="73">
        <f t="shared" si="114"/>
        <v>0</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101"/>
        <v>0</v>
      </c>
      <c r="R51" s="49"/>
      <c r="S51" s="74" t="s">
        <v>1948</v>
      </c>
      <c r="T51" s="73">
        <f t="shared" si="98"/>
        <v>0</v>
      </c>
      <c r="U51" s="65"/>
      <c r="V51" s="74" t="s">
        <v>1946</v>
      </c>
      <c r="W51" s="73">
        <f t="shared" si="111"/>
        <v>0</v>
      </c>
      <c r="X51" s="65"/>
      <c r="Y51" s="74" t="s">
        <v>1958</v>
      </c>
      <c r="Z51" s="73">
        <f t="shared" si="112"/>
        <v>0</v>
      </c>
      <c r="AA51" s="65"/>
      <c r="AB51" s="74" t="s">
        <v>1942</v>
      </c>
      <c r="AC51" s="73">
        <f t="shared" si="112"/>
        <v>0</v>
      </c>
      <c r="AD51" s="65"/>
      <c r="AE51" s="74" t="s">
        <v>1942</v>
      </c>
      <c r="AF51" s="73">
        <f t="shared" si="112"/>
        <v>0</v>
      </c>
      <c r="AG51" s="65"/>
      <c r="AH51" s="74" t="s">
        <v>1957</v>
      </c>
      <c r="AI51" s="73">
        <f t="shared" si="112"/>
        <v>0</v>
      </c>
      <c r="AJ51" s="65"/>
      <c r="AK51" s="74" t="s">
        <v>1943</v>
      </c>
      <c r="AL51" s="73">
        <f t="shared" si="112"/>
        <v>0</v>
      </c>
      <c r="AM51" s="65"/>
      <c r="AN51" s="74" t="s">
        <v>1946</v>
      </c>
      <c r="AO51" s="73">
        <f t="shared" si="112"/>
        <v>0</v>
      </c>
      <c r="AP51" s="65"/>
      <c r="AQ51" s="74" t="s">
        <v>1943</v>
      </c>
      <c r="AR51" s="73">
        <f t="shared" si="112"/>
        <v>0</v>
      </c>
      <c r="AS51" s="65"/>
      <c r="AT51" s="74" t="s">
        <v>1942</v>
      </c>
      <c r="AU51" s="73">
        <f t="shared" si="112"/>
        <v>0</v>
      </c>
      <c r="AV51" s="65"/>
      <c r="AW51" s="74" t="s">
        <v>1952</v>
      </c>
      <c r="AX51" s="73">
        <f t="shared" si="112"/>
        <v>0</v>
      </c>
      <c r="AY51" s="65"/>
      <c r="AZ51" s="74" t="s">
        <v>1943</v>
      </c>
      <c r="BA51" s="73">
        <f t="shared" si="112"/>
        <v>0</v>
      </c>
      <c r="BB51" s="65"/>
      <c r="BC51" s="74" t="s">
        <v>1942</v>
      </c>
      <c r="BD51" s="73">
        <f t="shared" si="112"/>
        <v>0</v>
      </c>
      <c r="BE51" s="65"/>
      <c r="BF51" s="74" t="s">
        <v>1954</v>
      </c>
      <c r="BG51" s="73">
        <f t="shared" si="112"/>
        <v>0</v>
      </c>
      <c r="BH51" s="65"/>
      <c r="BI51" s="74" t="s">
        <v>1958</v>
      </c>
      <c r="BJ51" s="73">
        <f t="shared" si="112"/>
        <v>0</v>
      </c>
      <c r="BK51" s="65"/>
      <c r="BL51" s="74" t="s">
        <v>1948</v>
      </c>
      <c r="BM51" s="73">
        <f t="shared" si="112"/>
        <v>0</v>
      </c>
      <c r="BN51" s="65"/>
      <c r="BO51" s="74" t="s">
        <v>1942</v>
      </c>
      <c r="BP51" s="73">
        <f t="shared" si="112"/>
        <v>0</v>
      </c>
      <c r="BQ51" s="65"/>
      <c r="BR51" s="74" t="s">
        <v>1954</v>
      </c>
      <c r="BS51" s="73">
        <f t="shared" si="112"/>
        <v>0</v>
      </c>
      <c r="BT51" s="65"/>
      <c r="BU51" s="74" t="s">
        <v>1948</v>
      </c>
      <c r="BV51" s="73">
        <f t="shared" si="112"/>
        <v>0</v>
      </c>
      <c r="BW51" s="65"/>
      <c r="BX51" s="74" t="s">
        <v>1954</v>
      </c>
      <c r="BY51" s="73">
        <f t="shared" si="112"/>
        <v>0</v>
      </c>
      <c r="BZ51" s="65"/>
      <c r="CA51" s="74" t="s">
        <v>1942</v>
      </c>
      <c r="CB51" s="73">
        <f t="shared" si="112"/>
        <v>0</v>
      </c>
      <c r="CC51" s="65"/>
      <c r="CD51" s="74" t="s">
        <v>1948</v>
      </c>
      <c r="CE51" s="73">
        <f t="shared" si="112"/>
        <v>0</v>
      </c>
      <c r="CF51" s="65"/>
      <c r="CG51" s="74" t="s">
        <v>1943</v>
      </c>
      <c r="CH51" s="73">
        <f t="shared" si="112"/>
        <v>0</v>
      </c>
      <c r="CI51" s="65"/>
      <c r="CJ51" s="74" t="s">
        <v>1954</v>
      </c>
      <c r="CK51" s="73">
        <f t="shared" si="110"/>
        <v>0</v>
      </c>
      <c r="CL51" s="65"/>
      <c r="CM51" s="74" t="s">
        <v>1954</v>
      </c>
      <c r="CN51" s="73">
        <f t="shared" si="110"/>
        <v>0</v>
      </c>
      <c r="CO51" s="65"/>
      <c r="CP51" s="74" t="s">
        <v>1959</v>
      </c>
      <c r="CQ51" s="73">
        <f t="shared" si="110"/>
        <v>0</v>
      </c>
      <c r="CR51" s="65"/>
      <c r="CS51" s="74" t="s">
        <v>1954</v>
      </c>
      <c r="CT51" s="73">
        <f t="shared" si="110"/>
        <v>0</v>
      </c>
      <c r="CU51" s="65"/>
      <c r="CV51" s="74" t="s">
        <v>1954</v>
      </c>
      <c r="CW51" s="73">
        <f t="shared" si="110"/>
        <v>0</v>
      </c>
      <c r="CX51" s="65"/>
      <c r="CY51" s="74" t="s">
        <v>1954</v>
      </c>
      <c r="CZ51" s="73">
        <f t="shared" si="110"/>
        <v>0</v>
      </c>
      <c r="DA51" s="65"/>
      <c r="DB51" s="74" t="s">
        <v>1948</v>
      </c>
      <c r="DC51" s="73">
        <f t="shared" si="110"/>
        <v>0</v>
      </c>
      <c r="DD51" s="65"/>
      <c r="DE51" s="74" t="s">
        <v>1948</v>
      </c>
      <c r="DF51" s="73">
        <f t="shared" si="110"/>
        <v>0</v>
      </c>
      <c r="DG51" s="65"/>
      <c r="DH51" s="74" t="s">
        <v>1954</v>
      </c>
      <c r="DI51" s="73">
        <f t="shared" si="110"/>
        <v>0</v>
      </c>
      <c r="DJ51" s="65"/>
      <c r="DK51" s="74" t="s">
        <v>1954</v>
      </c>
      <c r="DL51" s="73">
        <f t="shared" si="110"/>
        <v>0</v>
      </c>
      <c r="DM51" s="65"/>
      <c r="DN51" s="795" t="s">
        <v>1946</v>
      </c>
      <c r="DO51" s="73">
        <f t="shared" si="110"/>
        <v>0</v>
      </c>
      <c r="DP51" s="65"/>
      <c r="DQ51" s="795" t="s">
        <v>1944</v>
      </c>
      <c r="DR51" s="73">
        <f t="shared" si="110"/>
        <v>0</v>
      </c>
      <c r="DS51" s="65"/>
      <c r="DT51" s="74" t="s">
        <v>1943</v>
      </c>
      <c r="DU51" s="73">
        <f t="shared" si="110"/>
        <v>0</v>
      </c>
      <c r="DV51" s="65"/>
      <c r="DW51" s="74" t="s">
        <v>1943</v>
      </c>
      <c r="DX51" s="73">
        <f t="shared" si="114"/>
        <v>0</v>
      </c>
      <c r="DY51" s="65"/>
      <c r="DZ51" s="74" t="s">
        <v>1948</v>
      </c>
      <c r="EA51" s="73">
        <f t="shared" si="114"/>
        <v>0</v>
      </c>
      <c r="EB51" s="65"/>
      <c r="EC51" s="74" t="s">
        <v>1942</v>
      </c>
      <c r="ED51" s="73">
        <f t="shared" si="114"/>
        <v>0</v>
      </c>
      <c r="EE51" s="65"/>
      <c r="EF51" s="74" t="s">
        <v>1942</v>
      </c>
      <c r="EG51" s="73">
        <f t="shared" si="114"/>
        <v>0</v>
      </c>
      <c r="EH51" s="65"/>
      <c r="EI51" s="74"/>
      <c r="EJ51" s="73">
        <f t="shared" si="114"/>
        <v>0</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0</v>
      </c>
      <c r="AM52" s="65"/>
      <c r="AN52" s="74" t="s">
        <v>1954</v>
      </c>
      <c r="AO52" s="73">
        <f t="shared" si="112"/>
        <v>0</v>
      </c>
      <c r="AP52" s="65"/>
      <c r="AQ52" s="74" t="s">
        <v>1943</v>
      </c>
      <c r="AR52" s="73">
        <f t="shared" si="112"/>
        <v>0</v>
      </c>
      <c r="AS52" s="65"/>
      <c r="AT52" s="74" t="s">
        <v>1942</v>
      </c>
      <c r="AU52" s="73">
        <f t="shared" si="112"/>
        <v>0</v>
      </c>
      <c r="AV52" s="65"/>
      <c r="AW52" s="74" t="s">
        <v>1944</v>
      </c>
      <c r="AX52" s="73">
        <f t="shared" si="112"/>
        <v>0</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0</v>
      </c>
      <c r="DS52" s="65"/>
      <c r="DT52" s="74" t="s">
        <v>1944</v>
      </c>
      <c r="DU52" s="73">
        <f t="shared" si="110"/>
        <v>0</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101"/>
        <v>0</v>
      </c>
      <c r="R53" s="49"/>
      <c r="S53" s="78" t="s">
        <v>1945</v>
      </c>
      <c r="T53" s="79">
        <f t="shared" si="98"/>
        <v>0</v>
      </c>
      <c r="U53" s="65"/>
      <c r="V53" s="78" t="s">
        <v>1945</v>
      </c>
      <c r="W53" s="79">
        <f t="shared" si="111"/>
        <v>0</v>
      </c>
      <c r="X53" s="65"/>
      <c r="Y53" s="78" t="s">
        <v>1945</v>
      </c>
      <c r="Z53" s="79">
        <f t="shared" si="112"/>
        <v>0</v>
      </c>
      <c r="AA53" s="65"/>
      <c r="AB53" s="78" t="s">
        <v>1960</v>
      </c>
      <c r="AC53" s="79">
        <f t="shared" si="112"/>
        <v>0</v>
      </c>
      <c r="AD53" s="65"/>
      <c r="AE53" s="78" t="s">
        <v>1952</v>
      </c>
      <c r="AF53" s="79">
        <f t="shared" si="112"/>
        <v>0</v>
      </c>
      <c r="AG53" s="65"/>
      <c r="AH53" s="78" t="s">
        <v>1947</v>
      </c>
      <c r="AI53" s="79">
        <f t="shared" si="112"/>
        <v>0</v>
      </c>
      <c r="AJ53" s="65"/>
      <c r="AK53" s="78" t="s">
        <v>1949</v>
      </c>
      <c r="AL53" s="79">
        <f t="shared" si="112"/>
        <v>0</v>
      </c>
      <c r="AM53" s="65"/>
      <c r="AN53" s="78" t="s">
        <v>1947</v>
      </c>
      <c r="AO53" s="79">
        <f t="shared" si="112"/>
        <v>0</v>
      </c>
      <c r="AP53" s="65"/>
      <c r="AQ53" s="78" t="s">
        <v>1947</v>
      </c>
      <c r="AR53" s="79">
        <f t="shared" si="112"/>
        <v>0</v>
      </c>
      <c r="AS53" s="65"/>
      <c r="AT53" s="78" t="s">
        <v>1949</v>
      </c>
      <c r="AU53" s="79">
        <f t="shared" si="112"/>
        <v>0</v>
      </c>
      <c r="AV53" s="65"/>
      <c r="AW53" s="78" t="s">
        <v>1947</v>
      </c>
      <c r="AX53" s="79">
        <f t="shared" si="112"/>
        <v>0</v>
      </c>
      <c r="AY53" s="65"/>
      <c r="AZ53" s="78" t="s">
        <v>1947</v>
      </c>
      <c r="BA53" s="79">
        <f t="shared" si="112"/>
        <v>0</v>
      </c>
      <c r="BB53" s="65"/>
      <c r="BC53" s="78" t="s">
        <v>1952</v>
      </c>
      <c r="BD53" s="79">
        <f t="shared" si="112"/>
        <v>0</v>
      </c>
      <c r="BE53" s="65"/>
      <c r="BF53" s="78" t="s">
        <v>1949</v>
      </c>
      <c r="BG53" s="79">
        <f t="shared" si="112"/>
        <v>0</v>
      </c>
      <c r="BH53" s="65"/>
      <c r="BI53" s="78" t="s">
        <v>1945</v>
      </c>
      <c r="BJ53" s="79">
        <f t="shared" si="112"/>
        <v>0</v>
      </c>
      <c r="BK53" s="65"/>
      <c r="BL53" s="78" t="s">
        <v>1949</v>
      </c>
      <c r="BM53" s="79">
        <f t="shared" si="112"/>
        <v>0</v>
      </c>
      <c r="BN53" s="65"/>
      <c r="BO53" s="78" t="s">
        <v>1952</v>
      </c>
      <c r="BP53" s="79">
        <f t="shared" si="112"/>
        <v>0</v>
      </c>
      <c r="BQ53" s="65"/>
      <c r="BR53" s="78" t="s">
        <v>1960</v>
      </c>
      <c r="BS53" s="79">
        <f t="shared" si="112"/>
        <v>0</v>
      </c>
      <c r="BT53" s="65"/>
      <c r="BU53" s="78" t="s">
        <v>1947</v>
      </c>
      <c r="BV53" s="79">
        <f t="shared" si="112"/>
        <v>0</v>
      </c>
      <c r="BW53" s="65"/>
      <c r="BX53" s="78" t="s">
        <v>1960</v>
      </c>
      <c r="BY53" s="79">
        <f t="shared" si="112"/>
        <v>0</v>
      </c>
      <c r="BZ53" s="65"/>
      <c r="CA53" s="78" t="s">
        <v>1960</v>
      </c>
      <c r="CB53" s="79">
        <f t="shared" si="112"/>
        <v>0</v>
      </c>
      <c r="CC53" s="65"/>
      <c r="CD53" s="78" t="s">
        <v>1952</v>
      </c>
      <c r="CE53" s="79">
        <f t="shared" si="112"/>
        <v>0</v>
      </c>
      <c r="CF53" s="65"/>
      <c r="CG53" s="78" t="s">
        <v>1946</v>
      </c>
      <c r="CH53" s="79">
        <f t="shared" si="112"/>
        <v>0</v>
      </c>
      <c r="CI53" s="65"/>
      <c r="CJ53" s="78" t="s">
        <v>1960</v>
      </c>
      <c r="CK53" s="79">
        <f t="shared" si="110"/>
        <v>0</v>
      </c>
      <c r="CL53" s="65"/>
      <c r="CM53" s="78" t="s">
        <v>1946</v>
      </c>
      <c r="CN53" s="79">
        <f t="shared" si="110"/>
        <v>0</v>
      </c>
      <c r="CO53" s="65"/>
      <c r="CP53" s="78" t="s">
        <v>1960</v>
      </c>
      <c r="CQ53" s="79">
        <f t="shared" si="110"/>
        <v>0</v>
      </c>
      <c r="CR53" s="65"/>
      <c r="CS53" s="78" t="s">
        <v>1952</v>
      </c>
      <c r="CT53" s="79">
        <f t="shared" si="110"/>
        <v>0</v>
      </c>
      <c r="CU53" s="65"/>
      <c r="CV53" s="78" t="s">
        <v>1960</v>
      </c>
      <c r="CW53" s="79">
        <f t="shared" si="110"/>
        <v>0</v>
      </c>
      <c r="CX53" s="65"/>
      <c r="CY53" s="78" t="s">
        <v>1946</v>
      </c>
      <c r="CZ53" s="79">
        <f t="shared" si="110"/>
        <v>0</v>
      </c>
      <c r="DA53" s="65"/>
      <c r="DB53" s="78" t="s">
        <v>1944</v>
      </c>
      <c r="DC53" s="79">
        <f t="shared" si="110"/>
        <v>0</v>
      </c>
      <c r="DD53" s="65"/>
      <c r="DE53" s="78" t="s">
        <v>1952</v>
      </c>
      <c r="DF53" s="79">
        <f t="shared" si="110"/>
        <v>0</v>
      </c>
      <c r="DG53" s="65"/>
      <c r="DH53" s="78" t="s">
        <v>1949</v>
      </c>
      <c r="DI53" s="79">
        <f t="shared" si="110"/>
        <v>0</v>
      </c>
      <c r="DJ53" s="65"/>
      <c r="DK53" s="78" t="s">
        <v>1960</v>
      </c>
      <c r="DL53" s="79">
        <f t="shared" si="110"/>
        <v>0</v>
      </c>
      <c r="DM53" s="65"/>
      <c r="DN53" s="795" t="s">
        <v>1949</v>
      </c>
      <c r="DO53" s="79">
        <f t="shared" si="110"/>
        <v>0</v>
      </c>
      <c r="DP53" s="65"/>
      <c r="DQ53" s="795" t="s">
        <v>1956</v>
      </c>
      <c r="DR53" s="79">
        <f t="shared" si="110"/>
        <v>0</v>
      </c>
      <c r="DS53" s="65"/>
      <c r="DT53" s="78" t="s">
        <v>1949</v>
      </c>
      <c r="DU53" s="79">
        <f t="shared" si="110"/>
        <v>0</v>
      </c>
      <c r="DV53" s="65"/>
      <c r="DW53" s="78" t="s">
        <v>1949</v>
      </c>
      <c r="DX53" s="79">
        <f t="shared" si="114"/>
        <v>0</v>
      </c>
      <c r="DY53" s="65"/>
      <c r="DZ53" s="78" t="s">
        <v>1949</v>
      </c>
      <c r="EA53" s="79">
        <f t="shared" si="114"/>
        <v>0</v>
      </c>
      <c r="EB53" s="65"/>
      <c r="EC53" s="78" t="s">
        <v>1949</v>
      </c>
      <c r="ED53" s="79">
        <f t="shared" si="114"/>
        <v>0</v>
      </c>
      <c r="EE53" s="65"/>
      <c r="EF53" s="78" t="s">
        <v>1960</v>
      </c>
      <c r="EG53" s="79">
        <f t="shared" si="114"/>
        <v>0</v>
      </c>
      <c r="EH53" s="65"/>
      <c r="EI53" s="78"/>
      <c r="EJ53" s="79">
        <f t="shared" si="114"/>
        <v>0</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101"/>
        <v>0</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0</v>
      </c>
      <c r="AG54" s="65"/>
      <c r="AH54" s="76" t="s">
        <v>1952</v>
      </c>
      <c r="AI54" s="77">
        <f t="shared" si="112"/>
        <v>0</v>
      </c>
      <c r="AJ54" s="65"/>
      <c r="AK54" s="76" t="s">
        <v>1949</v>
      </c>
      <c r="AL54" s="77">
        <f t="shared" si="112"/>
        <v>0</v>
      </c>
      <c r="AM54" s="65"/>
      <c r="AN54" s="76" t="s">
        <v>1946</v>
      </c>
      <c r="AO54" s="77">
        <f t="shared" si="112"/>
        <v>0</v>
      </c>
      <c r="AP54" s="65"/>
      <c r="AQ54" s="76" t="s">
        <v>1942</v>
      </c>
      <c r="AR54" s="77">
        <f t="shared" si="112"/>
        <v>0</v>
      </c>
      <c r="AS54" s="65"/>
      <c r="AT54" s="76" t="s">
        <v>1944</v>
      </c>
      <c r="AU54" s="77">
        <f t="shared" si="112"/>
        <v>0</v>
      </c>
      <c r="AV54" s="65"/>
      <c r="AW54" s="76" t="s">
        <v>1960</v>
      </c>
      <c r="AX54" s="77">
        <f t="shared" si="112"/>
        <v>0</v>
      </c>
      <c r="AY54" s="65"/>
      <c r="AZ54" s="76" t="s">
        <v>1960</v>
      </c>
      <c r="BA54" s="77">
        <f t="shared" si="112"/>
        <v>0</v>
      </c>
      <c r="BB54" s="65"/>
      <c r="BC54" s="76" t="s">
        <v>1947</v>
      </c>
      <c r="BD54" s="77">
        <f t="shared" si="112"/>
        <v>0</v>
      </c>
      <c r="BE54" s="65"/>
      <c r="BF54" s="76" t="s">
        <v>1960</v>
      </c>
      <c r="BG54" s="77">
        <f t="shared" si="112"/>
        <v>0</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0</v>
      </c>
      <c r="BN54" s="65"/>
      <c r="BO54" s="76" t="s">
        <v>1946</v>
      </c>
      <c r="BP54" s="77">
        <f t="shared" si="115"/>
        <v>0</v>
      </c>
      <c r="BQ54" s="65"/>
      <c r="BR54" s="76" t="s">
        <v>1944</v>
      </c>
      <c r="BS54" s="77">
        <f t="shared" si="115"/>
        <v>0</v>
      </c>
      <c r="BT54" s="65"/>
      <c r="BU54" s="76" t="s">
        <v>1946</v>
      </c>
      <c r="BV54" s="77">
        <f t="shared" si="115"/>
        <v>0</v>
      </c>
      <c r="BW54" s="65"/>
      <c r="BX54" s="76" t="s">
        <v>1952</v>
      </c>
      <c r="BY54" s="77">
        <f t="shared" si="115"/>
        <v>0</v>
      </c>
      <c r="BZ54" s="65"/>
      <c r="CA54" s="76" t="s">
        <v>1952</v>
      </c>
      <c r="CB54" s="77">
        <f t="shared" si="115"/>
        <v>0</v>
      </c>
      <c r="CC54" s="65"/>
      <c r="CD54" s="76" t="s">
        <v>1946</v>
      </c>
      <c r="CE54" s="77">
        <f t="shared" si="115"/>
        <v>0</v>
      </c>
      <c r="CF54" s="65"/>
      <c r="CG54" s="76" t="s">
        <v>1952</v>
      </c>
      <c r="CH54" s="77">
        <f t="shared" si="115"/>
        <v>0</v>
      </c>
      <c r="CI54" s="65"/>
      <c r="CJ54" s="76" t="s">
        <v>1945</v>
      </c>
      <c r="CK54" s="77">
        <f t="shared" si="115"/>
        <v>0</v>
      </c>
      <c r="CL54" s="65"/>
      <c r="CM54" s="76" t="s">
        <v>1960</v>
      </c>
      <c r="CN54" s="77">
        <f t="shared" si="115"/>
        <v>0</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0</v>
      </c>
      <c r="DG54" s="65"/>
      <c r="DH54" s="76" t="s">
        <v>1960</v>
      </c>
      <c r="DI54" s="77">
        <f t="shared" si="115"/>
        <v>0</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0</v>
      </c>
      <c r="EB54" s="65"/>
      <c r="EC54" s="76" t="s">
        <v>1946</v>
      </c>
      <c r="ED54" s="77">
        <f t="shared" si="114"/>
        <v>0</v>
      </c>
      <c r="EE54" s="65"/>
      <c r="EF54" s="76" t="s">
        <v>1952</v>
      </c>
      <c r="EG54" s="77">
        <f t="shared" si="114"/>
        <v>0</v>
      </c>
      <c r="EH54" s="65"/>
      <c r="EI54" s="76" t="str">
        <f>Idiomas!$D$366</f>
        <v>Pegar Valores (J3)</v>
      </c>
      <c r="EJ54" s="77">
        <f t="shared" si="114"/>
        <v>0</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101"/>
        <v>0</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0</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101"/>
        <v>0</v>
      </c>
      <c r="R56" s="49"/>
      <c r="S56" s="74" t="s">
        <v>1952</v>
      </c>
      <c r="T56" s="73">
        <f t="shared" si="98"/>
        <v>0</v>
      </c>
      <c r="U56" s="65"/>
      <c r="V56" s="74" t="s">
        <v>1943</v>
      </c>
      <c r="W56" s="73">
        <f t="shared" si="111"/>
        <v>0</v>
      </c>
      <c r="X56" s="65"/>
      <c r="Y56" s="74" t="s">
        <v>1942</v>
      </c>
      <c r="Z56" s="73">
        <f t="shared" si="116"/>
        <v>0</v>
      </c>
      <c r="AA56" s="65"/>
      <c r="AB56" s="74" t="s">
        <v>1948</v>
      </c>
      <c r="AC56" s="73">
        <f t="shared" si="116"/>
        <v>0</v>
      </c>
      <c r="AD56" s="65"/>
      <c r="AE56" s="74" t="s">
        <v>1946</v>
      </c>
      <c r="AF56" s="73">
        <f t="shared" si="116"/>
        <v>0</v>
      </c>
      <c r="AG56" s="65"/>
      <c r="AH56" s="74" t="s">
        <v>1948</v>
      </c>
      <c r="AI56" s="73">
        <f t="shared" si="116"/>
        <v>0</v>
      </c>
      <c r="AJ56" s="65"/>
      <c r="AK56" s="74" t="s">
        <v>1943</v>
      </c>
      <c r="AL56" s="73">
        <f t="shared" si="116"/>
        <v>0</v>
      </c>
      <c r="AM56" s="65"/>
      <c r="AN56" s="74" t="s">
        <v>1957</v>
      </c>
      <c r="AO56" s="73">
        <f t="shared" si="116"/>
        <v>0</v>
      </c>
      <c r="AP56" s="65"/>
      <c r="AQ56" s="74" t="s">
        <v>1957</v>
      </c>
      <c r="AR56" s="73">
        <f t="shared" si="116"/>
        <v>0</v>
      </c>
      <c r="AS56" s="65"/>
      <c r="AT56" s="74" t="s">
        <v>1943</v>
      </c>
      <c r="AU56" s="73">
        <f t="shared" si="116"/>
        <v>0</v>
      </c>
      <c r="AV56" s="65"/>
      <c r="AW56" s="74" t="s">
        <v>1946</v>
      </c>
      <c r="AX56" s="73">
        <f t="shared" si="116"/>
        <v>0</v>
      </c>
      <c r="AY56" s="65"/>
      <c r="AZ56" s="74" t="s">
        <v>1946</v>
      </c>
      <c r="BA56" s="73">
        <f t="shared" si="116"/>
        <v>0</v>
      </c>
      <c r="BB56" s="65"/>
      <c r="BC56" s="74" t="s">
        <v>1943</v>
      </c>
      <c r="BD56" s="73">
        <f t="shared" si="116"/>
        <v>0</v>
      </c>
      <c r="BE56" s="65"/>
      <c r="BF56" s="74" t="s">
        <v>1948</v>
      </c>
      <c r="BG56" s="73">
        <f t="shared" si="116"/>
        <v>0</v>
      </c>
      <c r="BH56" s="65"/>
      <c r="BI56" s="74" t="s">
        <v>1942</v>
      </c>
      <c r="BJ56" s="73">
        <f t="shared" si="116"/>
        <v>0</v>
      </c>
      <c r="BK56" s="65"/>
      <c r="BL56" s="74" t="s">
        <v>1946</v>
      </c>
      <c r="BM56" s="73">
        <f t="shared" si="116"/>
        <v>0</v>
      </c>
      <c r="BN56" s="65"/>
      <c r="BO56" s="74" t="s">
        <v>1946</v>
      </c>
      <c r="BP56" s="73">
        <f t="shared" si="116"/>
        <v>0</v>
      </c>
      <c r="BQ56" s="65"/>
      <c r="BR56" s="74" t="s">
        <v>1954</v>
      </c>
      <c r="BS56" s="73">
        <f t="shared" si="116"/>
        <v>0</v>
      </c>
      <c r="BT56" s="65"/>
      <c r="BU56" s="74" t="s">
        <v>1946</v>
      </c>
      <c r="BV56" s="73">
        <f t="shared" si="116"/>
        <v>0</v>
      </c>
      <c r="BW56" s="65"/>
      <c r="BX56" s="74" t="s">
        <v>1954</v>
      </c>
      <c r="BY56" s="73">
        <f t="shared" si="116"/>
        <v>0</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0</v>
      </c>
      <c r="CR56" s="65"/>
      <c r="CS56" s="74" t="s">
        <v>1954</v>
      </c>
      <c r="CT56" s="73">
        <f t="shared" si="115"/>
        <v>0</v>
      </c>
      <c r="CU56" s="65"/>
      <c r="CV56" s="74" t="s">
        <v>1954</v>
      </c>
      <c r="CW56" s="73">
        <f t="shared" si="115"/>
        <v>0</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0</v>
      </c>
      <c r="DP56" s="65"/>
      <c r="DQ56" s="795" t="s">
        <v>1948</v>
      </c>
      <c r="DR56" s="73">
        <f t="shared" si="115"/>
        <v>0</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0</v>
      </c>
      <c r="EE56" s="65"/>
      <c r="EF56" s="74" t="s">
        <v>1946</v>
      </c>
      <c r="EG56" s="73">
        <f t="shared" si="118"/>
        <v>0</v>
      </c>
      <c r="EH56" s="65"/>
      <c r="EI56" s="74"/>
      <c r="EJ56" s="73">
        <f t="shared" si="118"/>
        <v>0</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101"/>
        <v>0</v>
      </c>
      <c r="R57" s="49"/>
      <c r="S57" s="74" t="s">
        <v>1954</v>
      </c>
      <c r="T57" s="73">
        <f t="shared" si="98"/>
        <v>0</v>
      </c>
      <c r="U57" s="65"/>
      <c r="V57" s="74" t="s">
        <v>2001</v>
      </c>
      <c r="W57" s="73">
        <f t="shared" si="111"/>
        <v>0</v>
      </c>
      <c r="X57" s="65"/>
      <c r="Y57" s="74" t="s">
        <v>1954</v>
      </c>
      <c r="Z57" s="73">
        <f t="shared" si="116"/>
        <v>0</v>
      </c>
      <c r="AA57" s="65"/>
      <c r="AB57" s="74" t="s">
        <v>1944</v>
      </c>
      <c r="AC57" s="73">
        <f t="shared" si="116"/>
        <v>0</v>
      </c>
      <c r="AD57" s="65"/>
      <c r="AE57" s="74" t="s">
        <v>1942</v>
      </c>
      <c r="AF57" s="73">
        <f t="shared" si="116"/>
        <v>0</v>
      </c>
      <c r="AG57" s="65"/>
      <c r="AH57" s="74" t="s">
        <v>1957</v>
      </c>
      <c r="AI57" s="73">
        <f t="shared" si="116"/>
        <v>0</v>
      </c>
      <c r="AJ57" s="65"/>
      <c r="AK57" s="74" t="s">
        <v>1959</v>
      </c>
      <c r="AL57" s="73">
        <f t="shared" si="116"/>
        <v>0</v>
      </c>
      <c r="AM57" s="65"/>
      <c r="AN57" s="74" t="s">
        <v>1946</v>
      </c>
      <c r="AO57" s="73">
        <f t="shared" si="116"/>
        <v>0</v>
      </c>
      <c r="AP57" s="65"/>
      <c r="AQ57" s="74" t="s">
        <v>1943</v>
      </c>
      <c r="AR57" s="73">
        <f t="shared" si="116"/>
        <v>0</v>
      </c>
      <c r="AS57" s="65"/>
      <c r="AT57" s="74" t="s">
        <v>1954</v>
      </c>
      <c r="AU57" s="73">
        <f t="shared" si="116"/>
        <v>0</v>
      </c>
      <c r="AV57" s="65"/>
      <c r="AW57" s="74" t="s">
        <v>1958</v>
      </c>
      <c r="AX57" s="73">
        <f t="shared" si="116"/>
        <v>0</v>
      </c>
      <c r="AY57" s="65"/>
      <c r="AZ57" s="74" t="s">
        <v>1954</v>
      </c>
      <c r="BA57" s="73">
        <f t="shared" si="116"/>
        <v>0</v>
      </c>
      <c r="BB57" s="65"/>
      <c r="BC57" s="74" t="s">
        <v>1952</v>
      </c>
      <c r="BD57" s="73">
        <f t="shared" si="116"/>
        <v>0</v>
      </c>
      <c r="BE57" s="65"/>
      <c r="BF57" s="74" t="s">
        <v>1946</v>
      </c>
      <c r="BG57" s="73">
        <f t="shared" si="116"/>
        <v>0</v>
      </c>
      <c r="BH57" s="65"/>
      <c r="BI57" s="74" t="s">
        <v>1954</v>
      </c>
      <c r="BJ57" s="73">
        <f t="shared" si="116"/>
        <v>0</v>
      </c>
      <c r="BK57" s="65"/>
      <c r="BL57" s="74" t="s">
        <v>1946</v>
      </c>
      <c r="BM57" s="73">
        <f t="shared" si="116"/>
        <v>0</v>
      </c>
      <c r="BN57" s="65"/>
      <c r="BO57" s="74" t="s">
        <v>1946</v>
      </c>
      <c r="BP57" s="73">
        <f t="shared" si="116"/>
        <v>0</v>
      </c>
      <c r="BQ57" s="65"/>
      <c r="BR57" s="74" t="s">
        <v>1954</v>
      </c>
      <c r="BS57" s="73">
        <f t="shared" si="116"/>
        <v>0</v>
      </c>
      <c r="BT57" s="65"/>
      <c r="BU57" s="74" t="s">
        <v>1954</v>
      </c>
      <c r="BV57" s="73">
        <f t="shared" si="116"/>
        <v>0</v>
      </c>
      <c r="BW57" s="65"/>
      <c r="BX57" s="74" t="s">
        <v>1948</v>
      </c>
      <c r="BY57" s="73">
        <f t="shared" si="116"/>
        <v>0</v>
      </c>
      <c r="BZ57" s="65"/>
      <c r="CA57" s="74" t="s">
        <v>1942</v>
      </c>
      <c r="CB57" s="73">
        <f t="shared" si="116"/>
        <v>0</v>
      </c>
      <c r="CC57" s="65"/>
      <c r="CD57" s="74" t="s">
        <v>1948</v>
      </c>
      <c r="CE57" s="73">
        <f t="shared" si="116"/>
        <v>0</v>
      </c>
      <c r="CF57" s="65"/>
      <c r="CG57" s="74" t="s">
        <v>1942</v>
      </c>
      <c r="CH57" s="73">
        <f t="shared" si="116"/>
        <v>0</v>
      </c>
      <c r="CI57" s="65"/>
      <c r="CJ57" s="74" t="s">
        <v>1960</v>
      </c>
      <c r="CK57" s="73">
        <f t="shared" si="115"/>
        <v>0</v>
      </c>
      <c r="CL57" s="65"/>
      <c r="CM57" s="74" t="s">
        <v>1942</v>
      </c>
      <c r="CN57" s="73">
        <f t="shared" si="115"/>
        <v>0</v>
      </c>
      <c r="CO57" s="65"/>
      <c r="CP57" s="74" t="s">
        <v>1942</v>
      </c>
      <c r="CQ57" s="73">
        <f t="shared" si="115"/>
        <v>0</v>
      </c>
      <c r="CR57" s="65"/>
      <c r="CS57" s="74" t="s">
        <v>1948</v>
      </c>
      <c r="CT57" s="73">
        <f t="shared" si="115"/>
        <v>0</v>
      </c>
      <c r="CU57" s="65"/>
      <c r="CV57" s="74" t="s">
        <v>1954</v>
      </c>
      <c r="CW57" s="73">
        <f t="shared" si="115"/>
        <v>0</v>
      </c>
      <c r="CX57" s="65"/>
      <c r="CY57" s="74" t="s">
        <v>1942</v>
      </c>
      <c r="CZ57" s="73">
        <f t="shared" si="115"/>
        <v>0</v>
      </c>
      <c r="DA57" s="65"/>
      <c r="DB57" s="74" t="s">
        <v>1954</v>
      </c>
      <c r="DC57" s="73">
        <f t="shared" si="115"/>
        <v>0</v>
      </c>
      <c r="DD57" s="65"/>
      <c r="DE57" s="74" t="s">
        <v>1958</v>
      </c>
      <c r="DF57" s="73">
        <f t="shared" si="115"/>
        <v>0</v>
      </c>
      <c r="DG57" s="65"/>
      <c r="DH57" s="74" t="s">
        <v>1960</v>
      </c>
      <c r="DI57" s="73">
        <f t="shared" si="115"/>
        <v>0</v>
      </c>
      <c r="DJ57" s="65"/>
      <c r="DK57" s="74" t="s">
        <v>1946</v>
      </c>
      <c r="DL57" s="73">
        <f t="shared" si="115"/>
        <v>0</v>
      </c>
      <c r="DM57" s="65"/>
      <c r="DN57" s="795" t="s">
        <v>1943</v>
      </c>
      <c r="DO57" s="73">
        <f t="shared" si="115"/>
        <v>0</v>
      </c>
      <c r="DP57" s="65"/>
      <c r="DQ57" s="795" t="s">
        <v>1942</v>
      </c>
      <c r="DR57" s="73">
        <f t="shared" si="115"/>
        <v>0</v>
      </c>
      <c r="DS57" s="65"/>
      <c r="DT57" s="74" t="s">
        <v>1942</v>
      </c>
      <c r="DU57" s="73">
        <f t="shared" si="115"/>
        <v>0</v>
      </c>
      <c r="DV57" s="65"/>
      <c r="DW57" s="74" t="s">
        <v>1942</v>
      </c>
      <c r="DX57" s="73">
        <f t="shared" si="118"/>
        <v>0</v>
      </c>
      <c r="DY57" s="65"/>
      <c r="DZ57" s="74" t="s">
        <v>1954</v>
      </c>
      <c r="EA57" s="73">
        <f t="shared" si="118"/>
        <v>0</v>
      </c>
      <c r="EB57" s="65"/>
      <c r="EC57" s="74" t="s">
        <v>1942</v>
      </c>
      <c r="ED57" s="73">
        <f t="shared" si="118"/>
        <v>0</v>
      </c>
      <c r="EE57" s="65"/>
      <c r="EF57" s="74" t="s">
        <v>1946</v>
      </c>
      <c r="EG57" s="73">
        <f t="shared" si="118"/>
        <v>0</v>
      </c>
      <c r="EH57" s="65"/>
      <c r="EI57" s="74"/>
      <c r="EJ57" s="73">
        <f t="shared" si="118"/>
        <v>0</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101"/>
        <v>0</v>
      </c>
      <c r="R58" s="49"/>
      <c r="S58" s="74" t="s">
        <v>1949</v>
      </c>
      <c r="T58" s="73">
        <f t="shared" si="98"/>
        <v>0</v>
      </c>
      <c r="U58" s="65"/>
      <c r="V58" s="74" t="s">
        <v>1962</v>
      </c>
      <c r="W58" s="73">
        <f t="shared" si="111"/>
        <v>0</v>
      </c>
      <c r="X58" s="65"/>
      <c r="Y58" s="74" t="s">
        <v>1944</v>
      </c>
      <c r="Z58" s="73">
        <f t="shared" si="116"/>
        <v>0</v>
      </c>
      <c r="AA58" s="65"/>
      <c r="AB58" s="74" t="s">
        <v>1960</v>
      </c>
      <c r="AC58" s="73">
        <f t="shared" si="116"/>
        <v>0</v>
      </c>
      <c r="AD58" s="65"/>
      <c r="AE58" s="74" t="s">
        <v>1960</v>
      </c>
      <c r="AF58" s="73">
        <f t="shared" si="116"/>
        <v>0</v>
      </c>
      <c r="AG58" s="65"/>
      <c r="AH58" s="74" t="s">
        <v>1945</v>
      </c>
      <c r="AI58" s="73">
        <f t="shared" si="116"/>
        <v>0</v>
      </c>
      <c r="AJ58" s="65"/>
      <c r="AK58" s="74" t="s">
        <v>1952</v>
      </c>
      <c r="AL58" s="73">
        <f t="shared" si="116"/>
        <v>0</v>
      </c>
      <c r="AM58" s="65"/>
      <c r="AN58" s="74" t="s">
        <v>1945</v>
      </c>
      <c r="AO58" s="73">
        <f t="shared" si="116"/>
        <v>0</v>
      </c>
      <c r="AP58" s="65"/>
      <c r="AQ58" s="74" t="s">
        <v>1949</v>
      </c>
      <c r="AR58" s="73">
        <f t="shared" si="116"/>
        <v>0</v>
      </c>
      <c r="AS58" s="65"/>
      <c r="AT58" s="74" t="s">
        <v>1952</v>
      </c>
      <c r="AU58" s="73">
        <f t="shared" si="116"/>
        <v>0</v>
      </c>
      <c r="AV58" s="65"/>
      <c r="AW58" s="74" t="s">
        <v>1961</v>
      </c>
      <c r="AX58" s="73">
        <f t="shared" si="116"/>
        <v>0</v>
      </c>
      <c r="AY58" s="65"/>
      <c r="AZ58" s="74" t="s">
        <v>1945</v>
      </c>
      <c r="BA58" s="73">
        <f t="shared" si="116"/>
        <v>0</v>
      </c>
      <c r="BB58" s="65"/>
      <c r="BC58" s="74" t="s">
        <v>1949</v>
      </c>
      <c r="BD58" s="73">
        <f t="shared" si="116"/>
        <v>0</v>
      </c>
      <c r="BE58" s="65"/>
      <c r="BF58" s="74" t="s">
        <v>1949</v>
      </c>
      <c r="BG58" s="73">
        <f t="shared" si="116"/>
        <v>0</v>
      </c>
      <c r="BH58" s="65"/>
      <c r="BI58" s="74" t="s">
        <v>1944</v>
      </c>
      <c r="BJ58" s="73">
        <f t="shared" si="116"/>
        <v>0</v>
      </c>
      <c r="BK58" s="65"/>
      <c r="BL58" s="74" t="s">
        <v>1952</v>
      </c>
      <c r="BM58" s="73">
        <f t="shared" si="116"/>
        <v>0</v>
      </c>
      <c r="BN58" s="65"/>
      <c r="BO58" s="74" t="s">
        <v>1945</v>
      </c>
      <c r="BP58" s="73">
        <f t="shared" si="116"/>
        <v>0</v>
      </c>
      <c r="BQ58" s="65"/>
      <c r="BR58" s="74" t="s">
        <v>1949</v>
      </c>
      <c r="BS58" s="73">
        <f t="shared" si="116"/>
        <v>0</v>
      </c>
      <c r="BT58" s="65"/>
      <c r="BU58" s="74" t="s">
        <v>1947</v>
      </c>
      <c r="BV58" s="73">
        <f t="shared" si="116"/>
        <v>0</v>
      </c>
      <c r="BW58" s="65"/>
      <c r="BX58" s="74" t="s">
        <v>1952</v>
      </c>
      <c r="BY58" s="73">
        <f t="shared" si="116"/>
        <v>0</v>
      </c>
      <c r="BZ58" s="65"/>
      <c r="CA58" s="74" t="s">
        <v>1946</v>
      </c>
      <c r="CB58" s="73">
        <f t="shared" si="116"/>
        <v>0</v>
      </c>
      <c r="CC58" s="65"/>
      <c r="CD58" s="74" t="s">
        <v>1952</v>
      </c>
      <c r="CE58" s="73">
        <f t="shared" si="116"/>
        <v>0</v>
      </c>
      <c r="CF58" s="65"/>
      <c r="CG58" s="74" t="s">
        <v>1952</v>
      </c>
      <c r="CH58" s="73">
        <f t="shared" si="116"/>
        <v>0</v>
      </c>
      <c r="CI58" s="65"/>
      <c r="CJ58" s="74" t="s">
        <v>1952</v>
      </c>
      <c r="CK58" s="73">
        <f t="shared" si="115"/>
        <v>0</v>
      </c>
      <c r="CL58" s="65"/>
      <c r="CM58" s="74" t="s">
        <v>1945</v>
      </c>
      <c r="CN58" s="73">
        <f t="shared" si="115"/>
        <v>0</v>
      </c>
      <c r="CO58" s="65"/>
      <c r="CP58" s="74" t="s">
        <v>1945</v>
      </c>
      <c r="CQ58" s="73">
        <f t="shared" si="115"/>
        <v>0</v>
      </c>
      <c r="CR58" s="65"/>
      <c r="CS58" s="74" t="s">
        <v>1947</v>
      </c>
      <c r="CT58" s="73">
        <f t="shared" si="115"/>
        <v>0</v>
      </c>
      <c r="CU58" s="65"/>
      <c r="CV58" s="74" t="s">
        <v>1952</v>
      </c>
      <c r="CW58" s="73">
        <f t="shared" si="115"/>
        <v>0</v>
      </c>
      <c r="CX58" s="65"/>
      <c r="CY58" s="74" t="s">
        <v>1946</v>
      </c>
      <c r="CZ58" s="73">
        <f t="shared" si="115"/>
        <v>0</v>
      </c>
      <c r="DA58" s="65"/>
      <c r="DB58" s="74" t="s">
        <v>1947</v>
      </c>
      <c r="DC58" s="73">
        <f t="shared" si="115"/>
        <v>0</v>
      </c>
      <c r="DD58" s="65"/>
      <c r="DE58" s="74" t="s">
        <v>1949</v>
      </c>
      <c r="DF58" s="73">
        <f t="shared" si="115"/>
        <v>0</v>
      </c>
      <c r="DG58" s="65"/>
      <c r="DH58" s="74" t="s">
        <v>1947</v>
      </c>
      <c r="DI58" s="73">
        <f t="shared" si="115"/>
        <v>0</v>
      </c>
      <c r="DJ58" s="65"/>
      <c r="DK58" s="74" t="s">
        <v>1949</v>
      </c>
      <c r="DL58" s="73">
        <f t="shared" si="115"/>
        <v>0</v>
      </c>
      <c r="DM58" s="65"/>
      <c r="DN58" s="795" t="s">
        <v>1945</v>
      </c>
      <c r="DO58" s="73">
        <f t="shared" si="115"/>
        <v>0</v>
      </c>
      <c r="DP58" s="65"/>
      <c r="DQ58" s="795" t="s">
        <v>1952</v>
      </c>
      <c r="DR58" s="73">
        <f t="shared" si="115"/>
        <v>0</v>
      </c>
      <c r="DS58" s="65"/>
      <c r="DT58" s="74" t="s">
        <v>1944</v>
      </c>
      <c r="DU58" s="73">
        <f t="shared" si="115"/>
        <v>0</v>
      </c>
      <c r="DV58" s="65"/>
      <c r="DW58" s="74" t="s">
        <v>1945</v>
      </c>
      <c r="DX58" s="73">
        <f t="shared" si="118"/>
        <v>0</v>
      </c>
      <c r="DY58" s="65"/>
      <c r="DZ58" s="74" t="s">
        <v>1946</v>
      </c>
      <c r="EA58" s="73">
        <f t="shared" si="118"/>
        <v>0</v>
      </c>
      <c r="EB58" s="65"/>
      <c r="EC58" s="74" t="s">
        <v>1945</v>
      </c>
      <c r="ED58" s="73">
        <f t="shared" si="118"/>
        <v>0</v>
      </c>
      <c r="EE58" s="65"/>
      <c r="EF58" s="74" t="s">
        <v>1960</v>
      </c>
      <c r="EG58" s="73">
        <f t="shared" si="118"/>
        <v>0</v>
      </c>
      <c r="EH58" s="65"/>
      <c r="EI58" s="74"/>
      <c r="EJ58" s="73">
        <f t="shared" si="118"/>
        <v>0</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101"/>
        <v>0</v>
      </c>
      <c r="R59" s="49"/>
      <c r="S59" s="74" t="s">
        <v>1943</v>
      </c>
      <c r="T59" s="73">
        <f t="shared" si="98"/>
        <v>0</v>
      </c>
      <c r="U59" s="65"/>
      <c r="V59" s="74" t="s">
        <v>1958</v>
      </c>
      <c r="W59" s="73">
        <f t="shared" si="111"/>
        <v>0</v>
      </c>
      <c r="X59" s="65"/>
      <c r="Y59" s="74" t="s">
        <v>1958</v>
      </c>
      <c r="Z59" s="73">
        <f t="shared" si="116"/>
        <v>0</v>
      </c>
      <c r="AA59" s="65"/>
      <c r="AB59" s="74" t="s">
        <v>1958</v>
      </c>
      <c r="AC59" s="73">
        <f t="shared" si="116"/>
        <v>0</v>
      </c>
      <c r="AD59" s="65"/>
      <c r="AE59" s="74" t="s">
        <v>1954</v>
      </c>
      <c r="AF59" s="73">
        <f t="shared" si="116"/>
        <v>0</v>
      </c>
      <c r="AG59" s="65"/>
      <c r="AH59" s="74" t="s">
        <v>1958</v>
      </c>
      <c r="AI59" s="73">
        <f t="shared" si="116"/>
        <v>0</v>
      </c>
      <c r="AJ59" s="65"/>
      <c r="AK59" s="74" t="s">
        <v>1951</v>
      </c>
      <c r="AL59" s="73">
        <f t="shared" si="116"/>
        <v>0</v>
      </c>
      <c r="AM59" s="65"/>
      <c r="AN59" s="74" t="s">
        <v>1959</v>
      </c>
      <c r="AO59" s="73">
        <f t="shared" si="116"/>
        <v>0</v>
      </c>
      <c r="AP59" s="65"/>
      <c r="AQ59" s="74" t="s">
        <v>2001</v>
      </c>
      <c r="AR59" s="73">
        <f t="shared" si="116"/>
        <v>0</v>
      </c>
      <c r="AS59" s="65"/>
      <c r="AT59" s="74" t="s">
        <v>1958</v>
      </c>
      <c r="AU59" s="73">
        <f t="shared" si="116"/>
        <v>0</v>
      </c>
      <c r="AV59" s="65"/>
      <c r="AW59" s="74" t="s">
        <v>2001</v>
      </c>
      <c r="AX59" s="73">
        <f t="shared" si="116"/>
        <v>0</v>
      </c>
      <c r="AY59" s="65"/>
      <c r="AZ59" s="74" t="s">
        <v>1948</v>
      </c>
      <c r="BA59" s="73">
        <f t="shared" si="116"/>
        <v>0</v>
      </c>
      <c r="BB59" s="65"/>
      <c r="BC59" s="74" t="s">
        <v>1958</v>
      </c>
      <c r="BD59" s="73">
        <f t="shared" si="116"/>
        <v>0</v>
      </c>
      <c r="BE59" s="65"/>
      <c r="BF59" s="74" t="s">
        <v>1954</v>
      </c>
      <c r="BG59" s="73">
        <f t="shared" si="116"/>
        <v>0</v>
      </c>
      <c r="BH59" s="65"/>
      <c r="BI59" s="74" t="s">
        <v>1958</v>
      </c>
      <c r="BJ59" s="73">
        <f t="shared" si="116"/>
        <v>0</v>
      </c>
      <c r="BK59" s="65"/>
      <c r="BL59" s="74" t="s">
        <v>1954</v>
      </c>
      <c r="BM59" s="73">
        <f t="shared" si="116"/>
        <v>0</v>
      </c>
      <c r="BN59" s="65"/>
      <c r="BO59" s="74" t="s">
        <v>1954</v>
      </c>
      <c r="BP59" s="73">
        <f t="shared" si="116"/>
        <v>0</v>
      </c>
      <c r="BQ59" s="65"/>
      <c r="BR59" s="74" t="s">
        <v>1954</v>
      </c>
      <c r="BS59" s="73">
        <f t="shared" si="116"/>
        <v>0</v>
      </c>
      <c r="BT59" s="65"/>
      <c r="BU59" s="74" t="s">
        <v>1958</v>
      </c>
      <c r="BV59" s="73">
        <f t="shared" si="116"/>
        <v>0</v>
      </c>
      <c r="BW59" s="65"/>
      <c r="BX59" s="74" t="s">
        <v>1954</v>
      </c>
      <c r="BY59" s="73">
        <f t="shared" si="116"/>
        <v>0</v>
      </c>
      <c r="BZ59" s="65"/>
      <c r="CA59" s="74" t="s">
        <v>1954</v>
      </c>
      <c r="CB59" s="73">
        <f t="shared" si="116"/>
        <v>0</v>
      </c>
      <c r="CC59" s="65"/>
      <c r="CD59" s="74" t="s">
        <v>1958</v>
      </c>
      <c r="CE59" s="73">
        <f t="shared" si="116"/>
        <v>0</v>
      </c>
      <c r="CF59" s="65"/>
      <c r="CG59" s="74" t="s">
        <v>1948</v>
      </c>
      <c r="CH59" s="73">
        <f t="shared" si="116"/>
        <v>0</v>
      </c>
      <c r="CI59" s="65"/>
      <c r="CJ59" s="74" t="s">
        <v>1958</v>
      </c>
      <c r="CK59" s="73">
        <f t="shared" si="115"/>
        <v>0</v>
      </c>
      <c r="CL59" s="65"/>
      <c r="CM59" s="74" t="s">
        <v>1942</v>
      </c>
      <c r="CN59" s="73">
        <f t="shared" si="115"/>
        <v>0</v>
      </c>
      <c r="CO59" s="65"/>
      <c r="CP59" s="74" t="s">
        <v>2001</v>
      </c>
      <c r="CQ59" s="73">
        <f t="shared" si="115"/>
        <v>0</v>
      </c>
      <c r="CR59" s="65"/>
      <c r="CS59" s="74" t="s">
        <v>1958</v>
      </c>
      <c r="CT59" s="73">
        <f t="shared" si="115"/>
        <v>0</v>
      </c>
      <c r="CU59" s="65"/>
      <c r="CV59" s="74" t="s">
        <v>1954</v>
      </c>
      <c r="CW59" s="73">
        <f t="shared" si="115"/>
        <v>0</v>
      </c>
      <c r="CX59" s="65"/>
      <c r="CY59" s="74" t="s">
        <v>1948</v>
      </c>
      <c r="CZ59" s="73">
        <f t="shared" si="115"/>
        <v>0</v>
      </c>
      <c r="DA59" s="65"/>
      <c r="DB59" s="74" t="s">
        <v>1954</v>
      </c>
      <c r="DC59" s="73">
        <f t="shared" si="115"/>
        <v>0</v>
      </c>
      <c r="DD59" s="65"/>
      <c r="DE59" s="74" t="s">
        <v>1954</v>
      </c>
      <c r="DF59" s="73">
        <f t="shared" si="115"/>
        <v>0</v>
      </c>
      <c r="DG59" s="65"/>
      <c r="DH59" s="74" t="s">
        <v>1954</v>
      </c>
      <c r="DI59" s="73">
        <f t="shared" si="115"/>
        <v>0</v>
      </c>
      <c r="DJ59" s="65"/>
      <c r="DK59" s="74" t="s">
        <v>1958</v>
      </c>
      <c r="DL59" s="73">
        <f t="shared" si="115"/>
        <v>0</v>
      </c>
      <c r="DM59" s="65"/>
      <c r="DN59" s="795" t="s">
        <v>1959</v>
      </c>
      <c r="DO59" s="73">
        <f t="shared" si="115"/>
        <v>0</v>
      </c>
      <c r="DP59" s="65"/>
      <c r="DQ59" s="795" t="s">
        <v>1954</v>
      </c>
      <c r="DR59" s="73">
        <f t="shared" si="115"/>
        <v>0</v>
      </c>
      <c r="DS59" s="65"/>
      <c r="DT59" s="74" t="s">
        <v>1959</v>
      </c>
      <c r="DU59" s="73">
        <f t="shared" si="115"/>
        <v>0</v>
      </c>
      <c r="DV59" s="65"/>
      <c r="DW59" s="74" t="s">
        <v>1958</v>
      </c>
      <c r="DX59" s="73">
        <f t="shared" si="118"/>
        <v>0</v>
      </c>
      <c r="DY59" s="65"/>
      <c r="DZ59" s="74" t="s">
        <v>1954</v>
      </c>
      <c r="EA59" s="73">
        <f t="shared" si="118"/>
        <v>0</v>
      </c>
      <c r="EB59" s="65"/>
      <c r="EC59" s="74" t="s">
        <v>2001</v>
      </c>
      <c r="ED59" s="73">
        <f t="shared" si="118"/>
        <v>0</v>
      </c>
      <c r="EE59" s="65"/>
      <c r="EF59" s="74" t="s">
        <v>1954</v>
      </c>
      <c r="EG59" s="73">
        <f t="shared" si="118"/>
        <v>0</v>
      </c>
      <c r="EH59" s="65"/>
      <c r="EI59" s="74"/>
      <c r="EJ59" s="73">
        <f t="shared" si="118"/>
        <v>0</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101"/>
        <v>0</v>
      </c>
      <c r="R60" s="49"/>
      <c r="S60" s="76" t="s">
        <v>1945</v>
      </c>
      <c r="T60" s="77">
        <f t="shared" si="98"/>
        <v>0</v>
      </c>
      <c r="U60" s="65"/>
      <c r="V60" s="76" t="s">
        <v>1946</v>
      </c>
      <c r="W60" s="77">
        <f t="shared" si="111"/>
        <v>0</v>
      </c>
      <c r="X60" s="65"/>
      <c r="Y60" s="76" t="s">
        <v>1943</v>
      </c>
      <c r="Z60" s="77">
        <f t="shared" si="116"/>
        <v>0</v>
      </c>
      <c r="AA60" s="65"/>
      <c r="AB60" s="76" t="s">
        <v>1948</v>
      </c>
      <c r="AC60" s="77">
        <f t="shared" si="116"/>
        <v>0</v>
      </c>
      <c r="AD60" s="65"/>
      <c r="AE60" s="76" t="s">
        <v>1948</v>
      </c>
      <c r="AF60" s="77">
        <f t="shared" si="116"/>
        <v>0</v>
      </c>
      <c r="AG60" s="65"/>
      <c r="AH60" s="76" t="s">
        <v>1944</v>
      </c>
      <c r="AI60" s="77">
        <f t="shared" si="116"/>
        <v>0</v>
      </c>
      <c r="AJ60" s="65"/>
      <c r="AK60" s="76" t="s">
        <v>1954</v>
      </c>
      <c r="AL60" s="77">
        <f t="shared" si="116"/>
        <v>0</v>
      </c>
      <c r="AM60" s="65"/>
      <c r="AN60" s="76" t="s">
        <v>1948</v>
      </c>
      <c r="AO60" s="77">
        <f t="shared" si="116"/>
        <v>0</v>
      </c>
      <c r="AP60" s="65"/>
      <c r="AQ60" s="76" t="s">
        <v>1948</v>
      </c>
      <c r="AR60" s="77">
        <f t="shared" si="116"/>
        <v>0</v>
      </c>
      <c r="AS60" s="65"/>
      <c r="AT60" s="76" t="s">
        <v>1943</v>
      </c>
      <c r="AU60" s="77">
        <f t="shared" si="116"/>
        <v>0</v>
      </c>
      <c r="AV60" s="65"/>
      <c r="AW60" s="76" t="s">
        <v>1948</v>
      </c>
      <c r="AX60" s="77">
        <f t="shared" si="116"/>
        <v>0</v>
      </c>
      <c r="AY60" s="65"/>
      <c r="AZ60" s="76" t="s">
        <v>1948</v>
      </c>
      <c r="BA60" s="77">
        <f t="shared" si="116"/>
        <v>0</v>
      </c>
      <c r="BB60" s="65"/>
      <c r="BC60" s="76" t="s">
        <v>1946</v>
      </c>
      <c r="BD60" s="77">
        <f t="shared" si="116"/>
        <v>0</v>
      </c>
      <c r="BE60" s="65"/>
      <c r="BF60" s="76" t="s">
        <v>1960</v>
      </c>
      <c r="BG60" s="77">
        <f t="shared" si="116"/>
        <v>0</v>
      </c>
      <c r="BH60" s="65"/>
      <c r="BI60" s="76" t="s">
        <v>1943</v>
      </c>
      <c r="BJ60" s="77">
        <f t="shared" si="116"/>
        <v>0</v>
      </c>
      <c r="BK60" s="65"/>
      <c r="BL60" s="76" t="s">
        <v>1946</v>
      </c>
      <c r="BM60" s="77">
        <f t="shared" si="116"/>
        <v>0</v>
      </c>
      <c r="BN60" s="65"/>
      <c r="BO60" s="76" t="s">
        <v>1942</v>
      </c>
      <c r="BP60" s="77">
        <f t="shared" si="116"/>
        <v>0</v>
      </c>
      <c r="BQ60" s="65"/>
      <c r="BR60" s="76" t="s">
        <v>1948</v>
      </c>
      <c r="BS60" s="77">
        <f t="shared" si="116"/>
        <v>0</v>
      </c>
      <c r="BT60" s="65"/>
      <c r="BU60" s="76" t="s">
        <v>1954</v>
      </c>
      <c r="BV60" s="77">
        <f t="shared" si="116"/>
        <v>0</v>
      </c>
      <c r="BW60" s="65"/>
      <c r="BX60" s="76" t="s">
        <v>1944</v>
      </c>
      <c r="BY60" s="77">
        <f t="shared" si="116"/>
        <v>0</v>
      </c>
      <c r="BZ60" s="65"/>
      <c r="CA60" s="76" t="s">
        <v>1954</v>
      </c>
      <c r="CB60" s="77">
        <f t="shared" si="116"/>
        <v>0</v>
      </c>
      <c r="CC60" s="65"/>
      <c r="CD60" s="76" t="s">
        <v>1942</v>
      </c>
      <c r="CE60" s="77">
        <f t="shared" si="116"/>
        <v>0</v>
      </c>
      <c r="CF60" s="65"/>
      <c r="CG60" s="76" t="s">
        <v>1946</v>
      </c>
      <c r="CH60" s="77">
        <f t="shared" si="116"/>
        <v>0</v>
      </c>
      <c r="CI60" s="65"/>
      <c r="CJ60" s="76" t="s">
        <v>1946</v>
      </c>
      <c r="CK60" s="77">
        <f t="shared" si="115"/>
        <v>0</v>
      </c>
      <c r="CL60" s="65"/>
      <c r="CM60" s="76" t="s">
        <v>1948</v>
      </c>
      <c r="CN60" s="77">
        <f t="shared" si="115"/>
        <v>0</v>
      </c>
      <c r="CO60" s="65"/>
      <c r="CP60" s="76" t="s">
        <v>1954</v>
      </c>
      <c r="CQ60" s="77">
        <f t="shared" si="115"/>
        <v>0</v>
      </c>
      <c r="CR60" s="65"/>
      <c r="CS60" s="76" t="s">
        <v>1946</v>
      </c>
      <c r="CT60" s="77">
        <f t="shared" si="115"/>
        <v>0</v>
      </c>
      <c r="CU60" s="65"/>
      <c r="CV60" s="76" t="s">
        <v>1948</v>
      </c>
      <c r="CW60" s="77">
        <f t="shared" si="115"/>
        <v>0</v>
      </c>
      <c r="CX60" s="65"/>
      <c r="CY60" s="76" t="s">
        <v>1944</v>
      </c>
      <c r="CZ60" s="77">
        <f t="shared" si="115"/>
        <v>0</v>
      </c>
      <c r="DA60" s="65"/>
      <c r="DB60" s="76" t="s">
        <v>1946</v>
      </c>
      <c r="DC60" s="77">
        <f t="shared" si="115"/>
        <v>0</v>
      </c>
      <c r="DD60" s="65"/>
      <c r="DE60" s="76" t="s">
        <v>1946</v>
      </c>
      <c r="DF60" s="77">
        <f t="shared" si="115"/>
        <v>0</v>
      </c>
      <c r="DG60" s="65"/>
      <c r="DH60" s="76" t="s">
        <v>1948</v>
      </c>
      <c r="DI60" s="77">
        <f t="shared" si="115"/>
        <v>0</v>
      </c>
      <c r="DJ60" s="65"/>
      <c r="DK60" s="76" t="s">
        <v>1948</v>
      </c>
      <c r="DL60" s="77">
        <f t="shared" si="115"/>
        <v>0</v>
      </c>
      <c r="DM60" s="65"/>
      <c r="DN60" s="795" t="s">
        <v>1959</v>
      </c>
      <c r="DO60" s="77">
        <f t="shared" si="115"/>
        <v>0</v>
      </c>
      <c r="DP60" s="65"/>
      <c r="DQ60" s="795" t="s">
        <v>1960</v>
      </c>
      <c r="DR60" s="77">
        <f t="shared" si="115"/>
        <v>0</v>
      </c>
      <c r="DS60" s="65"/>
      <c r="DT60" s="76" t="s">
        <v>2264</v>
      </c>
      <c r="DU60" s="77">
        <f t="shared" si="115"/>
        <v>0</v>
      </c>
      <c r="DV60" s="65"/>
      <c r="DW60" s="76" t="s">
        <v>1948</v>
      </c>
      <c r="DX60" s="77">
        <f t="shared" si="118"/>
        <v>0</v>
      </c>
      <c r="DY60" s="65"/>
      <c r="DZ60" s="76" t="s">
        <v>1946</v>
      </c>
      <c r="EA60" s="77">
        <f t="shared" si="118"/>
        <v>0</v>
      </c>
      <c r="EB60" s="65"/>
      <c r="EC60" s="76" t="s">
        <v>1958</v>
      </c>
      <c r="ED60" s="77">
        <f t="shared" si="118"/>
        <v>0</v>
      </c>
      <c r="EE60" s="65"/>
      <c r="EF60" s="76" t="s">
        <v>1946</v>
      </c>
      <c r="EG60" s="77">
        <f t="shared" si="118"/>
        <v>0</v>
      </c>
      <c r="EH60" s="65"/>
      <c r="EI60" s="76"/>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101"/>
        <v>0</v>
      </c>
      <c r="R61" s="49"/>
      <c r="S61" s="74" t="s">
        <v>1946</v>
      </c>
      <c r="T61" s="73">
        <f t="shared" si="98"/>
        <v>0</v>
      </c>
      <c r="U61" s="65"/>
      <c r="V61" s="74" t="s">
        <v>1942</v>
      </c>
      <c r="W61" s="73">
        <f t="shared" si="111"/>
        <v>0</v>
      </c>
      <c r="X61" s="65"/>
      <c r="Y61" s="74" t="s">
        <v>1944</v>
      </c>
      <c r="Z61" s="73">
        <f t="shared" si="116"/>
        <v>0</v>
      </c>
      <c r="AA61" s="65"/>
      <c r="AB61" s="74" t="s">
        <v>1946</v>
      </c>
      <c r="AC61" s="73">
        <f t="shared" si="116"/>
        <v>0</v>
      </c>
      <c r="AD61" s="65"/>
      <c r="AE61" s="74" t="s">
        <v>1946</v>
      </c>
      <c r="AF61" s="73">
        <f t="shared" si="116"/>
        <v>0</v>
      </c>
      <c r="AG61" s="65"/>
      <c r="AH61" s="74" t="s">
        <v>1954</v>
      </c>
      <c r="AI61" s="73">
        <f t="shared" si="116"/>
        <v>0</v>
      </c>
      <c r="AJ61" s="65"/>
      <c r="AK61" s="74" t="s">
        <v>1954</v>
      </c>
      <c r="AL61" s="73">
        <f t="shared" si="116"/>
        <v>0</v>
      </c>
      <c r="AM61" s="65"/>
      <c r="AN61" s="74" t="s">
        <v>1957</v>
      </c>
      <c r="AO61" s="73">
        <f t="shared" si="116"/>
        <v>0</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0</v>
      </c>
      <c r="BH61" s="65"/>
      <c r="BI61" s="74" t="s">
        <v>1943</v>
      </c>
      <c r="BJ61" s="73">
        <f t="shared" si="116"/>
        <v>0</v>
      </c>
      <c r="BK61" s="65"/>
      <c r="BL61" s="74" t="s">
        <v>1948</v>
      </c>
      <c r="BM61" s="73">
        <f t="shared" si="116"/>
        <v>0</v>
      </c>
      <c r="BN61" s="65"/>
      <c r="BO61" s="74" t="s">
        <v>1946</v>
      </c>
      <c r="BP61" s="73">
        <f t="shared" si="116"/>
        <v>0</v>
      </c>
      <c r="BQ61" s="65"/>
      <c r="BR61" s="74" t="s">
        <v>1942</v>
      </c>
      <c r="BS61" s="73">
        <f t="shared" si="116"/>
        <v>0</v>
      </c>
      <c r="BT61" s="65"/>
      <c r="BU61" s="74" t="s">
        <v>1946</v>
      </c>
      <c r="BV61" s="73">
        <f t="shared" si="116"/>
        <v>0</v>
      </c>
      <c r="BW61" s="65"/>
      <c r="BX61" s="74" t="s">
        <v>1946</v>
      </c>
      <c r="BY61" s="73">
        <f t="shared" si="116"/>
        <v>0</v>
      </c>
      <c r="BZ61" s="65"/>
      <c r="CA61" s="74" t="s">
        <v>1954</v>
      </c>
      <c r="CB61" s="73">
        <f t="shared" si="116"/>
        <v>0</v>
      </c>
      <c r="CC61" s="65"/>
      <c r="CD61" s="74" t="s">
        <v>1952</v>
      </c>
      <c r="CE61" s="73">
        <f t="shared" si="116"/>
        <v>0</v>
      </c>
      <c r="CF61" s="65"/>
      <c r="CG61" s="74" t="s">
        <v>1946</v>
      </c>
      <c r="CH61" s="73">
        <f t="shared" si="116"/>
        <v>0</v>
      </c>
      <c r="CI61" s="65"/>
      <c r="CJ61" s="74" t="s">
        <v>1957</v>
      </c>
      <c r="CK61" s="73">
        <f t="shared" si="115"/>
        <v>0</v>
      </c>
      <c r="CL61" s="65"/>
      <c r="CM61" s="74" t="s">
        <v>1942</v>
      </c>
      <c r="CN61" s="73">
        <f t="shared" si="115"/>
        <v>0</v>
      </c>
      <c r="CO61" s="65"/>
      <c r="CP61" s="74" t="s">
        <v>1946</v>
      </c>
      <c r="CQ61" s="73">
        <f t="shared" si="115"/>
        <v>0</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0</v>
      </c>
      <c r="DJ61" s="65"/>
      <c r="DK61" s="74" t="s">
        <v>1946</v>
      </c>
      <c r="DL61" s="73">
        <f t="shared" si="115"/>
        <v>0</v>
      </c>
      <c r="DM61" s="65"/>
      <c r="DN61" s="795" t="s">
        <v>1954</v>
      </c>
      <c r="DO61" s="73">
        <f t="shared" si="115"/>
        <v>0</v>
      </c>
      <c r="DP61" s="65"/>
      <c r="DQ61" s="795" t="s">
        <v>1944</v>
      </c>
      <c r="DR61" s="73">
        <f t="shared" si="115"/>
        <v>0</v>
      </c>
      <c r="DS61" s="65"/>
      <c r="DT61" s="74" t="s">
        <v>1942</v>
      </c>
      <c r="DU61" s="73">
        <f t="shared" si="115"/>
        <v>0</v>
      </c>
      <c r="DV61" s="65"/>
      <c r="DW61" s="74" t="s">
        <v>1954</v>
      </c>
      <c r="DX61" s="73">
        <f t="shared" si="118"/>
        <v>0</v>
      </c>
      <c r="DY61" s="65"/>
      <c r="DZ61" s="74" t="s">
        <v>1946</v>
      </c>
      <c r="EA61" s="73">
        <f t="shared" si="118"/>
        <v>0</v>
      </c>
      <c r="EB61" s="65"/>
      <c r="EC61" s="74" t="s">
        <v>1954</v>
      </c>
      <c r="ED61" s="73">
        <f t="shared" si="118"/>
        <v>0</v>
      </c>
      <c r="EE61" s="65"/>
      <c r="EF61" s="74" t="s">
        <v>1952</v>
      </c>
      <c r="EG61" s="73">
        <f t="shared" si="118"/>
        <v>0</v>
      </c>
      <c r="EH61" s="65"/>
      <c r="EI61" s="74"/>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101"/>
        <v>0</v>
      </c>
      <c r="R62" s="49"/>
      <c r="S62" s="74" t="s">
        <v>1947</v>
      </c>
      <c r="T62" s="73">
        <f t="shared" si="98"/>
        <v>0</v>
      </c>
      <c r="U62" s="65"/>
      <c r="V62" s="74" t="s">
        <v>1955</v>
      </c>
      <c r="W62" s="73">
        <f t="shared" si="111"/>
        <v>0</v>
      </c>
      <c r="X62" s="65"/>
      <c r="Y62" s="74" t="s">
        <v>1952</v>
      </c>
      <c r="Z62" s="73">
        <f t="shared" si="116"/>
        <v>0</v>
      </c>
      <c r="AA62" s="65"/>
      <c r="AB62" s="74" t="s">
        <v>1960</v>
      </c>
      <c r="AC62" s="73">
        <f t="shared" si="116"/>
        <v>0</v>
      </c>
      <c r="AD62" s="65"/>
      <c r="AE62" s="74" t="s">
        <v>1945</v>
      </c>
      <c r="AF62" s="73">
        <f t="shared" si="116"/>
        <v>0</v>
      </c>
      <c r="AG62" s="65"/>
      <c r="AH62" s="74" t="s">
        <v>1944</v>
      </c>
      <c r="AI62" s="73">
        <f t="shared" si="116"/>
        <v>0</v>
      </c>
      <c r="AJ62" s="65"/>
      <c r="AK62" s="74" t="s">
        <v>1947</v>
      </c>
      <c r="AL62" s="73">
        <f t="shared" si="116"/>
        <v>0</v>
      </c>
      <c r="AM62" s="65"/>
      <c r="AN62" s="74" t="s">
        <v>1955</v>
      </c>
      <c r="AO62" s="73">
        <f t="shared" si="116"/>
        <v>0</v>
      </c>
      <c r="AP62" s="65"/>
      <c r="AQ62" s="74" t="s">
        <v>1961</v>
      </c>
      <c r="AR62" s="73">
        <f t="shared" si="116"/>
        <v>0</v>
      </c>
      <c r="AS62" s="65"/>
      <c r="AT62" s="74" t="s">
        <v>1960</v>
      </c>
      <c r="AU62" s="73">
        <f t="shared" si="116"/>
        <v>0</v>
      </c>
      <c r="AV62" s="65"/>
      <c r="AW62" s="74" t="s">
        <v>1955</v>
      </c>
      <c r="AX62" s="73">
        <f t="shared" si="116"/>
        <v>0</v>
      </c>
      <c r="AY62" s="65"/>
      <c r="AZ62" s="74" t="s">
        <v>1945</v>
      </c>
      <c r="BA62" s="73">
        <f t="shared" si="116"/>
        <v>0</v>
      </c>
      <c r="BB62" s="65"/>
      <c r="BC62" s="74" t="s">
        <v>1960</v>
      </c>
      <c r="BD62" s="73">
        <f t="shared" si="116"/>
        <v>0</v>
      </c>
      <c r="BE62" s="65"/>
      <c r="BF62" s="74" t="s">
        <v>1960</v>
      </c>
      <c r="BG62" s="73">
        <f t="shared" si="116"/>
        <v>0</v>
      </c>
      <c r="BH62" s="65"/>
      <c r="BI62" s="74" t="s">
        <v>1952</v>
      </c>
      <c r="BJ62" s="73">
        <f t="shared" si="116"/>
        <v>0</v>
      </c>
      <c r="BK62" s="65"/>
      <c r="BL62" s="74" t="s">
        <v>1949</v>
      </c>
      <c r="BM62" s="73">
        <f t="shared" si="116"/>
        <v>0</v>
      </c>
      <c r="BN62" s="65"/>
      <c r="BO62" s="74" t="s">
        <v>1946</v>
      </c>
      <c r="BP62" s="73">
        <f t="shared" si="116"/>
        <v>0</v>
      </c>
      <c r="BQ62" s="65"/>
      <c r="BR62" s="74" t="s">
        <v>1960</v>
      </c>
      <c r="BS62" s="73">
        <f t="shared" si="116"/>
        <v>0</v>
      </c>
      <c r="BT62" s="65"/>
      <c r="BU62" s="74" t="s">
        <v>1947</v>
      </c>
      <c r="BV62" s="73">
        <f t="shared" si="116"/>
        <v>0</v>
      </c>
      <c r="BW62" s="65"/>
      <c r="BX62" s="74" t="s">
        <v>1944</v>
      </c>
      <c r="BY62" s="73">
        <f t="shared" si="116"/>
        <v>0</v>
      </c>
      <c r="BZ62" s="65"/>
      <c r="CA62" s="74" t="s">
        <v>1949</v>
      </c>
      <c r="CB62" s="73">
        <f t="shared" si="116"/>
        <v>0</v>
      </c>
      <c r="CC62" s="65"/>
      <c r="CD62" s="74" t="s">
        <v>1949</v>
      </c>
      <c r="CE62" s="73">
        <f t="shared" si="116"/>
        <v>0</v>
      </c>
      <c r="CF62" s="65"/>
      <c r="CG62" s="74" t="s">
        <v>1949</v>
      </c>
      <c r="CH62" s="73">
        <f t="shared" si="116"/>
        <v>0</v>
      </c>
      <c r="CI62" s="65"/>
      <c r="CJ62" s="74" t="s">
        <v>1952</v>
      </c>
      <c r="CK62" s="73">
        <f t="shared" si="115"/>
        <v>0</v>
      </c>
      <c r="CL62" s="65"/>
      <c r="CM62" s="74" t="s">
        <v>1960</v>
      </c>
      <c r="CN62" s="73">
        <f t="shared" si="115"/>
        <v>0</v>
      </c>
      <c r="CO62" s="65"/>
      <c r="CP62" s="74" t="s">
        <v>1947</v>
      </c>
      <c r="CQ62" s="73">
        <f t="shared" si="115"/>
        <v>0</v>
      </c>
      <c r="CR62" s="65"/>
      <c r="CS62" s="74" t="s">
        <v>1952</v>
      </c>
      <c r="CT62" s="73">
        <f t="shared" si="115"/>
        <v>0</v>
      </c>
      <c r="CU62" s="65"/>
      <c r="CV62" s="74" t="s">
        <v>1952</v>
      </c>
      <c r="CW62" s="73">
        <f t="shared" si="115"/>
        <v>0</v>
      </c>
      <c r="CX62" s="65"/>
      <c r="CY62" s="74" t="s">
        <v>1949</v>
      </c>
      <c r="CZ62" s="73">
        <f t="shared" si="115"/>
        <v>0</v>
      </c>
      <c r="DA62" s="65"/>
      <c r="DB62" s="74" t="s">
        <v>1949</v>
      </c>
      <c r="DC62" s="73">
        <f t="shared" si="115"/>
        <v>0</v>
      </c>
      <c r="DD62" s="65"/>
      <c r="DE62" s="74" t="s">
        <v>1949</v>
      </c>
      <c r="DF62" s="73">
        <f t="shared" si="115"/>
        <v>0</v>
      </c>
      <c r="DG62" s="65"/>
      <c r="DH62" s="74" t="s">
        <v>1952</v>
      </c>
      <c r="DI62" s="73">
        <f t="shared" si="115"/>
        <v>0</v>
      </c>
      <c r="DJ62" s="65"/>
      <c r="DK62" s="74" t="s">
        <v>1947</v>
      </c>
      <c r="DL62" s="73">
        <f t="shared" si="115"/>
        <v>0</v>
      </c>
      <c r="DM62" s="65"/>
      <c r="DN62" s="795" t="s">
        <v>1949</v>
      </c>
      <c r="DO62" s="73">
        <f t="shared" si="115"/>
        <v>0</v>
      </c>
      <c r="DP62" s="65"/>
      <c r="DQ62" s="795" t="s">
        <v>1949</v>
      </c>
      <c r="DR62" s="73">
        <f t="shared" si="115"/>
        <v>0</v>
      </c>
      <c r="DS62" s="65"/>
      <c r="DT62" s="74" t="s">
        <v>1946</v>
      </c>
      <c r="DU62" s="73">
        <f t="shared" si="115"/>
        <v>0</v>
      </c>
      <c r="DV62" s="65"/>
      <c r="DW62" s="74" t="s">
        <v>1961</v>
      </c>
      <c r="DX62" s="73">
        <f t="shared" si="118"/>
        <v>0</v>
      </c>
      <c r="DY62" s="65"/>
      <c r="DZ62" s="74" t="s">
        <v>1949</v>
      </c>
      <c r="EA62" s="73">
        <f t="shared" si="118"/>
        <v>0</v>
      </c>
      <c r="EB62" s="65"/>
      <c r="EC62" s="74" t="s">
        <v>1949</v>
      </c>
      <c r="ED62" s="73">
        <f t="shared" si="118"/>
        <v>0</v>
      </c>
      <c r="EE62" s="65"/>
      <c r="EF62" s="74" t="s">
        <v>1947</v>
      </c>
      <c r="EG62" s="73">
        <f t="shared" si="118"/>
        <v>0</v>
      </c>
      <c r="EH62" s="65"/>
      <c r="EI62" s="74"/>
      <c r="EJ62" s="73">
        <f t="shared" si="118"/>
        <v>0</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101"/>
        <v>0</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0</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0</v>
      </c>
      <c r="AG64" s="65"/>
      <c r="AH64" s="74" t="s">
        <v>1949</v>
      </c>
      <c r="AI64" s="73">
        <f t="shared" si="116"/>
        <v>0</v>
      </c>
      <c r="AJ64" s="65"/>
      <c r="AK64" s="74" t="s">
        <v>1957</v>
      </c>
      <c r="AL64" s="73">
        <f t="shared" si="116"/>
        <v>0</v>
      </c>
      <c r="AM64" s="65"/>
      <c r="AN64" s="74" t="s">
        <v>1942</v>
      </c>
      <c r="AO64" s="73">
        <f t="shared" si="116"/>
        <v>0</v>
      </c>
      <c r="AP64" s="65"/>
      <c r="AQ64" s="74" t="s">
        <v>1946</v>
      </c>
      <c r="AR64" s="73">
        <f t="shared" si="116"/>
        <v>0</v>
      </c>
      <c r="AS64" s="65"/>
      <c r="AT64" s="74" t="s">
        <v>1948</v>
      </c>
      <c r="AU64" s="73">
        <f t="shared" si="116"/>
        <v>0</v>
      </c>
      <c r="AV64" s="65"/>
      <c r="AW64" s="74" t="s">
        <v>1948</v>
      </c>
      <c r="AX64" s="73">
        <f t="shared" si="116"/>
        <v>0</v>
      </c>
      <c r="AY64" s="65"/>
      <c r="AZ64" s="74" t="s">
        <v>1946</v>
      </c>
      <c r="BA64" s="73">
        <f t="shared" si="116"/>
        <v>0</v>
      </c>
      <c r="BB64" s="65"/>
      <c r="BC64" s="74" t="s">
        <v>1957</v>
      </c>
      <c r="BD64" s="73">
        <f t="shared" si="116"/>
        <v>0</v>
      </c>
      <c r="BE64" s="65"/>
      <c r="BF64" s="74" t="s">
        <v>1954</v>
      </c>
      <c r="BG64" s="73">
        <f t="shared" si="116"/>
        <v>0</v>
      </c>
      <c r="BH64" s="65"/>
      <c r="BI64" s="74" t="s">
        <v>1948</v>
      </c>
      <c r="BJ64" s="73">
        <f t="shared" si="116"/>
        <v>0</v>
      </c>
      <c r="BK64" s="65"/>
      <c r="BL64" s="74" t="s">
        <v>1946</v>
      </c>
      <c r="BM64" s="73">
        <f t="shared" si="116"/>
        <v>0</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0</v>
      </c>
      <c r="CI64" s="65"/>
      <c r="CJ64" s="74" t="s">
        <v>1946</v>
      </c>
      <c r="CK64" s="73">
        <f t="shared" si="115"/>
        <v>0</v>
      </c>
      <c r="CL64" s="65"/>
      <c r="CM64" s="74" t="s">
        <v>1958</v>
      </c>
      <c r="CN64" s="73">
        <f t="shared" si="115"/>
        <v>0</v>
      </c>
      <c r="CO64" s="65"/>
      <c r="CP64" s="74" t="s">
        <v>1943</v>
      </c>
      <c r="CQ64" s="73">
        <f t="shared" si="115"/>
        <v>0</v>
      </c>
      <c r="CR64" s="65"/>
      <c r="CS64" s="74" t="s">
        <v>1946</v>
      </c>
      <c r="CT64" s="73">
        <f t="shared" si="115"/>
        <v>0</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0</v>
      </c>
      <c r="DJ64" s="65"/>
      <c r="DK64" s="74" t="s">
        <v>1946</v>
      </c>
      <c r="DL64" s="73">
        <f t="shared" si="115"/>
        <v>0</v>
      </c>
      <c r="DM64" s="65"/>
      <c r="DN64" s="795" t="s">
        <v>1946</v>
      </c>
      <c r="DO64" s="73">
        <f t="shared" si="115"/>
        <v>0</v>
      </c>
      <c r="DP64" s="65"/>
      <c r="DQ64" s="795" t="s">
        <v>2264</v>
      </c>
      <c r="DR64" s="73">
        <f t="shared" si="115"/>
        <v>0</v>
      </c>
      <c r="DS64" s="65"/>
      <c r="DT64" s="74" t="s">
        <v>1945</v>
      </c>
      <c r="DU64" s="73">
        <f t="shared" si="115"/>
        <v>0</v>
      </c>
      <c r="DV64" s="65"/>
      <c r="DW64" s="74" t="s">
        <v>1946</v>
      </c>
      <c r="DX64" s="73">
        <f t="shared" si="118"/>
        <v>0</v>
      </c>
      <c r="DY64" s="65"/>
      <c r="DZ64" s="74" t="s">
        <v>1942</v>
      </c>
      <c r="EA64" s="73">
        <f t="shared" si="118"/>
        <v>0</v>
      </c>
      <c r="EB64" s="65"/>
      <c r="EC64" s="74" t="s">
        <v>1952</v>
      </c>
      <c r="ED64" s="73">
        <f t="shared" si="118"/>
        <v>0</v>
      </c>
      <c r="EE64" s="65"/>
      <c r="EF64" s="74" t="s">
        <v>1959</v>
      </c>
      <c r="EG64" s="73">
        <f t="shared" si="118"/>
        <v>0</v>
      </c>
      <c r="EH64" s="65"/>
      <c r="EI64" s="74"/>
      <c r="EJ64" s="73">
        <f t="shared" si="118"/>
        <v>0</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101"/>
        <v>0</v>
      </c>
      <c r="R65" s="49"/>
      <c r="S65" s="74" t="s">
        <v>1960</v>
      </c>
      <c r="T65" s="73">
        <f t="shared" si="98"/>
        <v>0</v>
      </c>
      <c r="U65" s="65"/>
      <c r="V65" s="74" t="s">
        <v>1952</v>
      </c>
      <c r="W65" s="73">
        <f t="shared" si="111"/>
        <v>0</v>
      </c>
      <c r="X65" s="65"/>
      <c r="Y65" s="74" t="s">
        <v>1949</v>
      </c>
      <c r="Z65" s="73">
        <f t="shared" si="116"/>
        <v>0</v>
      </c>
      <c r="AA65" s="65"/>
      <c r="AB65" s="74" t="s">
        <v>1949</v>
      </c>
      <c r="AC65" s="73">
        <f t="shared" si="116"/>
        <v>0</v>
      </c>
      <c r="AD65" s="65"/>
      <c r="AE65" s="74" t="s">
        <v>1947</v>
      </c>
      <c r="AF65" s="73">
        <f t="shared" si="116"/>
        <v>0</v>
      </c>
      <c r="AG65" s="65"/>
      <c r="AH65" s="74" t="s">
        <v>1960</v>
      </c>
      <c r="AI65" s="73">
        <f t="shared" si="116"/>
        <v>0</v>
      </c>
      <c r="AJ65" s="65"/>
      <c r="AK65" s="74" t="s">
        <v>1945</v>
      </c>
      <c r="AL65" s="73">
        <f t="shared" si="116"/>
        <v>0</v>
      </c>
      <c r="AM65" s="65"/>
      <c r="AN65" s="74" t="s">
        <v>1962</v>
      </c>
      <c r="AO65" s="73">
        <f t="shared" si="116"/>
        <v>0</v>
      </c>
      <c r="AP65" s="65"/>
      <c r="AQ65" s="74" t="s">
        <v>1945</v>
      </c>
      <c r="AR65" s="73">
        <f t="shared" si="116"/>
        <v>0</v>
      </c>
      <c r="AS65" s="65"/>
      <c r="AT65" s="74" t="s">
        <v>1952</v>
      </c>
      <c r="AU65" s="73">
        <f t="shared" si="116"/>
        <v>0</v>
      </c>
      <c r="AV65" s="65"/>
      <c r="AW65" s="74" t="s">
        <v>1949</v>
      </c>
      <c r="AX65" s="73">
        <f t="shared" si="116"/>
        <v>0</v>
      </c>
      <c r="AY65" s="65"/>
      <c r="AZ65" s="74" t="s">
        <v>1947</v>
      </c>
      <c r="BA65" s="73">
        <f t="shared" si="116"/>
        <v>0</v>
      </c>
      <c r="BB65" s="65"/>
      <c r="BC65" s="74" t="s">
        <v>1957</v>
      </c>
      <c r="BD65" s="73">
        <f t="shared" si="116"/>
        <v>0</v>
      </c>
      <c r="BE65" s="65"/>
      <c r="BF65" s="74" t="s">
        <v>1949</v>
      </c>
      <c r="BG65" s="73">
        <f t="shared" si="116"/>
        <v>0</v>
      </c>
      <c r="BH65" s="65"/>
      <c r="BI65" s="74" t="s">
        <v>1949</v>
      </c>
      <c r="BJ65" s="73">
        <f t="shared" si="116"/>
        <v>0</v>
      </c>
      <c r="BK65" s="65"/>
      <c r="BL65" s="74" t="s">
        <v>1949</v>
      </c>
      <c r="BM65" s="73">
        <f t="shared" si="116"/>
        <v>0</v>
      </c>
      <c r="BN65" s="65"/>
      <c r="BO65" s="74" t="s">
        <v>1952</v>
      </c>
      <c r="BP65" s="73">
        <f t="shared" si="116"/>
        <v>0</v>
      </c>
      <c r="BQ65" s="65"/>
      <c r="BR65" s="74" t="s">
        <v>1949</v>
      </c>
      <c r="BS65" s="73">
        <f t="shared" si="116"/>
        <v>0</v>
      </c>
      <c r="BT65" s="65"/>
      <c r="BU65" s="74" t="s">
        <v>1949</v>
      </c>
      <c r="BV65" s="73">
        <f t="shared" si="116"/>
        <v>0</v>
      </c>
      <c r="BW65" s="65"/>
      <c r="BX65" s="74" t="s">
        <v>1949</v>
      </c>
      <c r="BY65" s="73">
        <f t="shared" si="116"/>
        <v>0</v>
      </c>
      <c r="BZ65" s="65"/>
      <c r="CA65" s="74" t="s">
        <v>1949</v>
      </c>
      <c r="CB65" s="73">
        <f t="shared" si="116"/>
        <v>0</v>
      </c>
      <c r="CC65" s="65"/>
      <c r="CD65" s="74" t="s">
        <v>1952</v>
      </c>
      <c r="CE65" s="73">
        <f t="shared" si="116"/>
        <v>0</v>
      </c>
      <c r="CF65" s="65"/>
      <c r="CG65" s="74" t="s">
        <v>1952</v>
      </c>
      <c r="CH65" s="73">
        <f t="shared" si="116"/>
        <v>0</v>
      </c>
      <c r="CI65" s="65"/>
      <c r="CJ65" s="74" t="s">
        <v>1949</v>
      </c>
      <c r="CK65" s="73">
        <f t="shared" si="115"/>
        <v>0</v>
      </c>
      <c r="CL65" s="65"/>
      <c r="CM65" s="74" t="s">
        <v>1949</v>
      </c>
      <c r="CN65" s="73">
        <f t="shared" si="115"/>
        <v>0</v>
      </c>
      <c r="CO65" s="65"/>
      <c r="CP65" s="74" t="s">
        <v>1949</v>
      </c>
      <c r="CQ65" s="73">
        <f t="shared" si="115"/>
        <v>0</v>
      </c>
      <c r="CR65" s="65"/>
      <c r="CS65" s="74" t="s">
        <v>1945</v>
      </c>
      <c r="CT65" s="73">
        <f t="shared" si="115"/>
        <v>0</v>
      </c>
      <c r="CU65" s="65"/>
      <c r="CV65" s="74" t="s">
        <v>1949</v>
      </c>
      <c r="CW65" s="73">
        <f t="shared" si="115"/>
        <v>0</v>
      </c>
      <c r="CX65" s="65"/>
      <c r="CY65" s="74" t="s">
        <v>1960</v>
      </c>
      <c r="CZ65" s="73">
        <f t="shared" si="115"/>
        <v>0</v>
      </c>
      <c r="DA65" s="65"/>
      <c r="DB65" s="74" t="s">
        <v>1949</v>
      </c>
      <c r="DC65" s="73">
        <f t="shared" si="115"/>
        <v>0</v>
      </c>
      <c r="DD65" s="65"/>
      <c r="DE65" s="74" t="s">
        <v>1962</v>
      </c>
      <c r="DF65" s="73">
        <f t="shared" si="115"/>
        <v>0</v>
      </c>
      <c r="DG65" s="65"/>
      <c r="DH65" s="74" t="s">
        <v>1945</v>
      </c>
      <c r="DI65" s="73">
        <f t="shared" si="115"/>
        <v>0</v>
      </c>
      <c r="DJ65" s="65"/>
      <c r="DK65" s="74" t="s">
        <v>1947</v>
      </c>
      <c r="DL65" s="73">
        <f t="shared" si="115"/>
        <v>0</v>
      </c>
      <c r="DM65" s="65"/>
      <c r="DN65" s="795" t="s">
        <v>1962</v>
      </c>
      <c r="DO65" s="73">
        <f t="shared" si="115"/>
        <v>0</v>
      </c>
      <c r="DP65" s="65"/>
      <c r="DQ65" s="795" t="s">
        <v>1949</v>
      </c>
      <c r="DR65" s="73">
        <f t="shared" si="115"/>
        <v>0</v>
      </c>
      <c r="DS65" s="65"/>
      <c r="DT65" s="74" t="s">
        <v>1960</v>
      </c>
      <c r="DU65" s="73">
        <f t="shared" si="115"/>
        <v>0</v>
      </c>
      <c r="DV65" s="65"/>
      <c r="DW65" s="74" t="s">
        <v>1949</v>
      </c>
      <c r="DX65" s="73">
        <f t="shared" si="118"/>
        <v>0</v>
      </c>
      <c r="DY65" s="65"/>
      <c r="DZ65" s="74" t="s">
        <v>1949</v>
      </c>
      <c r="EA65" s="73">
        <f t="shared" si="118"/>
        <v>0</v>
      </c>
      <c r="EB65" s="65"/>
      <c r="EC65" s="74" t="s">
        <v>1944</v>
      </c>
      <c r="ED65" s="73">
        <f t="shared" si="118"/>
        <v>0</v>
      </c>
      <c r="EE65" s="65"/>
      <c r="EF65" s="74" t="s">
        <v>1952</v>
      </c>
      <c r="EG65" s="73">
        <f t="shared" si="118"/>
        <v>0</v>
      </c>
      <c r="EH65" s="65"/>
      <c r="EI65" s="74"/>
      <c r="EJ65" s="73">
        <f t="shared" si="118"/>
        <v>0</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0</v>
      </c>
      <c r="AD66" s="65"/>
      <c r="AE66" s="74" t="s">
        <v>1957</v>
      </c>
      <c r="AF66" s="73">
        <f t="shared" si="116"/>
        <v>0</v>
      </c>
      <c r="AG66" s="65"/>
      <c r="AH66" s="74" t="s">
        <v>1946</v>
      </c>
      <c r="AI66" s="73">
        <f t="shared" si="116"/>
        <v>0</v>
      </c>
      <c r="AJ66" s="65"/>
      <c r="AK66" s="74" t="s">
        <v>1957</v>
      </c>
      <c r="AL66" s="73">
        <f t="shared" si="116"/>
        <v>0</v>
      </c>
      <c r="AM66" s="65"/>
      <c r="AN66" s="74" t="s">
        <v>1946</v>
      </c>
      <c r="AO66" s="73">
        <f t="shared" si="116"/>
        <v>0</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0</v>
      </c>
      <c r="BN66" s="65"/>
      <c r="BO66" s="74" t="s">
        <v>1946</v>
      </c>
      <c r="BP66" s="73">
        <f t="shared" si="119"/>
        <v>0</v>
      </c>
      <c r="BQ66" s="65"/>
      <c r="BR66" s="74" t="s">
        <v>1942</v>
      </c>
      <c r="BS66" s="73">
        <f t="shared" si="119"/>
        <v>0</v>
      </c>
      <c r="BT66" s="65"/>
      <c r="BU66" s="74" t="s">
        <v>1948</v>
      </c>
      <c r="BV66" s="73">
        <f t="shared" si="119"/>
        <v>0</v>
      </c>
      <c r="BW66" s="65"/>
      <c r="BX66" s="74" t="s">
        <v>1946</v>
      </c>
      <c r="BY66" s="73">
        <f t="shared" si="119"/>
        <v>0</v>
      </c>
      <c r="BZ66" s="65"/>
      <c r="CA66" s="74" t="s">
        <v>1946</v>
      </c>
      <c r="CB66" s="73">
        <f t="shared" si="119"/>
        <v>0</v>
      </c>
      <c r="CC66" s="65"/>
      <c r="CD66" s="74" t="s">
        <v>1942</v>
      </c>
      <c r="CE66" s="73">
        <f t="shared" si="119"/>
        <v>0</v>
      </c>
      <c r="CF66" s="65"/>
      <c r="CG66" s="74" t="s">
        <v>1944</v>
      </c>
      <c r="CH66" s="73">
        <f t="shared" si="119"/>
        <v>0</v>
      </c>
      <c r="CI66" s="65"/>
      <c r="CJ66" s="74" t="s">
        <v>1943</v>
      </c>
      <c r="CK66" s="73">
        <f t="shared" si="119"/>
        <v>0</v>
      </c>
      <c r="CL66" s="65"/>
      <c r="CM66" s="74" t="s">
        <v>1946</v>
      </c>
      <c r="CN66" s="73">
        <f t="shared" si="119"/>
        <v>0</v>
      </c>
      <c r="CO66" s="65"/>
      <c r="CP66" s="74" t="s">
        <v>1958</v>
      </c>
      <c r="CQ66" s="73">
        <f t="shared" si="119"/>
        <v>0</v>
      </c>
      <c r="CR66" s="65"/>
      <c r="CS66" s="74" t="s">
        <v>1946</v>
      </c>
      <c r="CT66" s="73">
        <f t="shared" si="119"/>
        <v>0</v>
      </c>
      <c r="CU66" s="65"/>
      <c r="CV66" s="74" t="s">
        <v>1946</v>
      </c>
      <c r="CW66" s="73">
        <f t="shared" si="119"/>
        <v>0</v>
      </c>
      <c r="CX66" s="65"/>
      <c r="CY66" s="74" t="s">
        <v>1957</v>
      </c>
      <c r="CZ66" s="73">
        <f t="shared" si="119"/>
        <v>0</v>
      </c>
      <c r="DA66" s="65"/>
      <c r="DB66" s="74" t="s">
        <v>1948</v>
      </c>
      <c r="DC66" s="73">
        <f t="shared" si="119"/>
        <v>0</v>
      </c>
      <c r="DD66" s="65"/>
      <c r="DE66" s="74" t="s">
        <v>1944</v>
      </c>
      <c r="DF66" s="73">
        <f t="shared" si="119"/>
        <v>0</v>
      </c>
      <c r="DG66" s="65"/>
      <c r="DH66" s="74" t="s">
        <v>1946</v>
      </c>
      <c r="DI66" s="73">
        <f t="shared" si="119"/>
        <v>0</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0</v>
      </c>
      <c r="DY66" s="65"/>
      <c r="DZ66" s="74" t="s">
        <v>1946</v>
      </c>
      <c r="EA66" s="73">
        <f t="shared" si="118"/>
        <v>0</v>
      </c>
      <c r="EB66" s="65"/>
      <c r="EC66" s="74" t="s">
        <v>1948</v>
      </c>
      <c r="ED66" s="73">
        <f t="shared" si="118"/>
        <v>0</v>
      </c>
      <c r="EE66" s="65"/>
      <c r="EF66" s="74" t="s">
        <v>1946</v>
      </c>
      <c r="EG66" s="73">
        <f t="shared" si="118"/>
        <v>0</v>
      </c>
      <c r="EH66" s="65"/>
      <c r="EI66" s="74"/>
      <c r="EJ66" s="73">
        <f t="shared" si="118"/>
        <v>0</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101"/>
        <v>0</v>
      </c>
      <c r="R67" s="49"/>
      <c r="S67" s="74" t="s">
        <v>1946</v>
      </c>
      <c r="T67" s="73">
        <f t="shared" si="98"/>
        <v>0</v>
      </c>
      <c r="U67" s="65"/>
      <c r="V67" s="74" t="s">
        <v>1945</v>
      </c>
      <c r="W67" s="73">
        <f t="shared" si="111"/>
        <v>0</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0</v>
      </c>
      <c r="AA67" s="65"/>
      <c r="AB67" s="74" t="s">
        <v>1949</v>
      </c>
      <c r="AC67" s="73">
        <f t="shared" si="120"/>
        <v>0</v>
      </c>
      <c r="AD67" s="65"/>
      <c r="AE67" s="74" t="s">
        <v>1952</v>
      </c>
      <c r="AF67" s="73">
        <f t="shared" si="120"/>
        <v>0</v>
      </c>
      <c r="AG67" s="65"/>
      <c r="AH67" s="74" t="s">
        <v>1947</v>
      </c>
      <c r="AI67" s="73">
        <f t="shared" si="120"/>
        <v>0</v>
      </c>
      <c r="AJ67" s="65"/>
      <c r="AK67" s="74" t="s">
        <v>1945</v>
      </c>
      <c r="AL67" s="73">
        <f t="shared" si="120"/>
        <v>0</v>
      </c>
      <c r="AM67" s="65"/>
      <c r="AN67" s="74" t="s">
        <v>1947</v>
      </c>
      <c r="AO67" s="73">
        <f t="shared" si="120"/>
        <v>0</v>
      </c>
      <c r="AP67" s="65"/>
      <c r="AQ67" s="74" t="s">
        <v>1947</v>
      </c>
      <c r="AR67" s="73">
        <f t="shared" si="120"/>
        <v>0</v>
      </c>
      <c r="AS67" s="65"/>
      <c r="AT67" s="74" t="s">
        <v>1949</v>
      </c>
      <c r="AU67" s="73">
        <f t="shared" si="120"/>
        <v>0</v>
      </c>
      <c r="AV67" s="65"/>
      <c r="AW67" s="74" t="s">
        <v>1955</v>
      </c>
      <c r="AX67" s="73">
        <f t="shared" si="120"/>
        <v>0</v>
      </c>
      <c r="AY67" s="65"/>
      <c r="AZ67" s="74" t="s">
        <v>1949</v>
      </c>
      <c r="BA67" s="73">
        <f t="shared" si="120"/>
        <v>0</v>
      </c>
      <c r="BB67" s="65"/>
      <c r="BC67" s="74" t="s">
        <v>1952</v>
      </c>
      <c r="BD67" s="73">
        <f t="shared" si="120"/>
        <v>0</v>
      </c>
      <c r="BE67" s="65"/>
      <c r="BF67" s="74" t="s">
        <v>1947</v>
      </c>
      <c r="BG67" s="73">
        <f t="shared" si="120"/>
        <v>0</v>
      </c>
      <c r="BH67" s="65"/>
      <c r="BI67" s="74" t="s">
        <v>1952</v>
      </c>
      <c r="BJ67" s="73">
        <f t="shared" si="120"/>
        <v>0</v>
      </c>
      <c r="BK67" s="65"/>
      <c r="BL67" s="74" t="s">
        <v>1947</v>
      </c>
      <c r="BM67" s="73">
        <f t="shared" si="120"/>
        <v>0</v>
      </c>
      <c r="BN67" s="65"/>
      <c r="BO67" s="74" t="s">
        <v>1947</v>
      </c>
      <c r="BP67" s="73">
        <f t="shared" si="120"/>
        <v>0</v>
      </c>
      <c r="BQ67" s="65"/>
      <c r="BR67" s="74" t="s">
        <v>1955</v>
      </c>
      <c r="BS67" s="73">
        <f t="shared" si="120"/>
        <v>0</v>
      </c>
      <c r="BT67" s="65"/>
      <c r="BU67" s="74" t="s">
        <v>1955</v>
      </c>
      <c r="BV67" s="73">
        <f t="shared" si="120"/>
        <v>0</v>
      </c>
      <c r="BW67" s="65"/>
      <c r="BX67" s="74" t="s">
        <v>1949</v>
      </c>
      <c r="BY67" s="73">
        <f t="shared" si="120"/>
        <v>0</v>
      </c>
      <c r="BZ67" s="65"/>
      <c r="CA67" s="74" t="s">
        <v>1949</v>
      </c>
      <c r="CB67" s="73">
        <f t="shared" si="120"/>
        <v>0</v>
      </c>
      <c r="CC67" s="65"/>
      <c r="CD67" s="74" t="s">
        <v>1946</v>
      </c>
      <c r="CE67" s="73">
        <f t="shared" si="120"/>
        <v>0</v>
      </c>
      <c r="CF67" s="65"/>
      <c r="CG67" s="74" t="s">
        <v>1960</v>
      </c>
      <c r="CH67" s="73">
        <f t="shared" si="120"/>
        <v>0</v>
      </c>
      <c r="CI67" s="65"/>
      <c r="CJ67" s="74" t="s">
        <v>1949</v>
      </c>
      <c r="CK67" s="73">
        <f t="shared" si="119"/>
        <v>0</v>
      </c>
      <c r="CL67" s="65"/>
      <c r="CM67" s="74" t="s">
        <v>1960</v>
      </c>
      <c r="CN67" s="73">
        <f t="shared" si="119"/>
        <v>0</v>
      </c>
      <c r="CO67" s="65"/>
      <c r="CP67" s="74" t="s">
        <v>1961</v>
      </c>
      <c r="CQ67" s="73">
        <f t="shared" si="119"/>
        <v>0</v>
      </c>
      <c r="CR67" s="65"/>
      <c r="CS67" s="74" t="s">
        <v>1958</v>
      </c>
      <c r="CT67" s="73">
        <f t="shared" si="119"/>
        <v>0</v>
      </c>
      <c r="CU67" s="65"/>
      <c r="CV67" s="74" t="s">
        <v>1947</v>
      </c>
      <c r="CW67" s="73">
        <f t="shared" si="119"/>
        <v>0</v>
      </c>
      <c r="CX67" s="65"/>
      <c r="CY67" s="74" t="s">
        <v>2215</v>
      </c>
      <c r="CZ67" s="73">
        <f t="shared" si="119"/>
        <v>0</v>
      </c>
      <c r="DA67" s="65"/>
      <c r="DB67" s="74" t="s">
        <v>1947</v>
      </c>
      <c r="DC67" s="73">
        <f t="shared" si="119"/>
        <v>0</v>
      </c>
      <c r="DD67" s="65"/>
      <c r="DE67" s="74" t="s">
        <v>1952</v>
      </c>
      <c r="DF67" s="73">
        <f t="shared" si="119"/>
        <v>0</v>
      </c>
      <c r="DG67" s="65"/>
      <c r="DH67" s="74" t="s">
        <v>1949</v>
      </c>
      <c r="DI67" s="73">
        <f t="shared" si="119"/>
        <v>0</v>
      </c>
      <c r="DJ67" s="65"/>
      <c r="DK67" s="74" t="s">
        <v>1960</v>
      </c>
      <c r="DL67" s="73">
        <f t="shared" si="119"/>
        <v>0</v>
      </c>
      <c r="DM67" s="65"/>
      <c r="DN67" s="795" t="s">
        <v>1945</v>
      </c>
      <c r="DO67" s="73">
        <f t="shared" si="119"/>
        <v>0</v>
      </c>
      <c r="DP67" s="65"/>
      <c r="DQ67" s="795" t="s">
        <v>1945</v>
      </c>
      <c r="DR67" s="73">
        <f t="shared" si="119"/>
        <v>0</v>
      </c>
      <c r="DS67" s="65"/>
      <c r="DT67" s="74" t="s">
        <v>1945</v>
      </c>
      <c r="DU67" s="73">
        <f t="shared" si="119"/>
        <v>0</v>
      </c>
      <c r="DV67" s="65"/>
      <c r="DW67" s="74" t="s">
        <v>1949</v>
      </c>
      <c r="DX67" s="73">
        <f t="shared" si="118"/>
        <v>0</v>
      </c>
      <c r="DY67" s="65"/>
      <c r="DZ67" s="74" t="s">
        <v>1949</v>
      </c>
      <c r="EA67" s="73">
        <f t="shared" si="118"/>
        <v>0</v>
      </c>
      <c r="EB67" s="65"/>
      <c r="EC67" s="74" t="s">
        <v>1949</v>
      </c>
      <c r="ED67" s="73">
        <f t="shared" si="118"/>
        <v>0</v>
      </c>
      <c r="EE67" s="65"/>
      <c r="EF67" s="74" t="s">
        <v>1952</v>
      </c>
      <c r="EG67" s="73">
        <f t="shared" si="118"/>
        <v>0</v>
      </c>
      <c r="EH67" s="65"/>
      <c r="EI67" s="74"/>
      <c r="EJ67" s="73">
        <f t="shared" si="118"/>
        <v>0</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0</v>
      </c>
      <c r="AP68" s="65"/>
      <c r="AQ68" s="74" t="s">
        <v>1961</v>
      </c>
      <c r="AR68" s="73">
        <f t="shared" si="120"/>
        <v>0</v>
      </c>
      <c r="AS68" s="65"/>
      <c r="AT68" s="74" t="s">
        <v>1960</v>
      </c>
      <c r="AU68" s="73">
        <f t="shared" si="120"/>
        <v>0</v>
      </c>
      <c r="AV68" s="65"/>
      <c r="AW68" s="74" t="s">
        <v>2264</v>
      </c>
      <c r="AX68" s="73">
        <f t="shared" si="120"/>
        <v>0</v>
      </c>
      <c r="AY68" s="65"/>
      <c r="AZ68" s="74" t="s">
        <v>1945</v>
      </c>
      <c r="BA68" s="73">
        <f t="shared" si="120"/>
        <v>0</v>
      </c>
      <c r="BB68" s="65"/>
      <c r="BC68" s="74" t="s">
        <v>1957</v>
      </c>
      <c r="BD68" s="73">
        <f t="shared" si="120"/>
        <v>0</v>
      </c>
      <c r="BE68" s="65"/>
      <c r="BF68" s="74" t="s">
        <v>1946</v>
      </c>
      <c r="BG68" s="73">
        <f t="shared" si="120"/>
        <v>0</v>
      </c>
      <c r="BH68" s="65"/>
      <c r="BI68" s="74" t="s">
        <v>1947</v>
      </c>
      <c r="BJ68" s="73">
        <f t="shared" si="120"/>
        <v>0</v>
      </c>
      <c r="BK68" s="65"/>
      <c r="BL68" s="74" t="s">
        <v>1946</v>
      </c>
      <c r="BM68" s="73">
        <f t="shared" si="120"/>
        <v>0</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0</v>
      </c>
      <c r="CI68" s="65"/>
      <c r="CJ68" s="74" t="s">
        <v>1949</v>
      </c>
      <c r="CK68" s="73">
        <f t="shared" si="119"/>
        <v>0</v>
      </c>
      <c r="CL68" s="65"/>
      <c r="CM68" s="74" t="s">
        <v>1960</v>
      </c>
      <c r="CN68" s="73">
        <f t="shared" si="119"/>
        <v>0</v>
      </c>
      <c r="CO68" s="65"/>
      <c r="CP68" s="74" t="s">
        <v>1948</v>
      </c>
      <c r="CQ68" s="73">
        <f t="shared" si="119"/>
        <v>0</v>
      </c>
      <c r="CR68" s="65"/>
      <c r="CS68" s="74" t="s">
        <v>1946</v>
      </c>
      <c r="CT68" s="73">
        <f t="shared" si="119"/>
        <v>0</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0</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0</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101"/>
        <v>0</v>
      </c>
      <c r="R69" s="49"/>
      <c r="S69" s="74" t="s">
        <v>1962</v>
      </c>
      <c r="T69" s="73">
        <f t="shared" si="98"/>
        <v>0</v>
      </c>
      <c r="U69" s="65"/>
      <c r="V69" s="74" t="s">
        <v>1952</v>
      </c>
      <c r="W69" s="73">
        <f t="shared" si="111"/>
        <v>0</v>
      </c>
      <c r="X69" s="65"/>
      <c r="Y69" s="74" t="s">
        <v>1945</v>
      </c>
      <c r="Z69" s="73">
        <f t="shared" si="120"/>
        <v>0</v>
      </c>
      <c r="AA69" s="65"/>
      <c r="AB69" s="74" t="s">
        <v>1960</v>
      </c>
      <c r="AC69" s="73">
        <f t="shared" si="120"/>
        <v>0</v>
      </c>
      <c r="AD69" s="65"/>
      <c r="AE69" s="74" t="s">
        <v>1952</v>
      </c>
      <c r="AF69" s="73">
        <f t="shared" si="120"/>
        <v>0</v>
      </c>
      <c r="AG69" s="65"/>
      <c r="AH69" s="74" t="s">
        <v>1944</v>
      </c>
      <c r="AI69" s="73">
        <f t="shared" si="120"/>
        <v>0</v>
      </c>
      <c r="AJ69" s="65"/>
      <c r="AK69" s="74" t="s">
        <v>1945</v>
      </c>
      <c r="AL69" s="73">
        <f t="shared" si="120"/>
        <v>0</v>
      </c>
      <c r="AM69" s="65"/>
      <c r="AN69" s="74" t="s">
        <v>1945</v>
      </c>
      <c r="AO69" s="73">
        <f t="shared" si="120"/>
        <v>0</v>
      </c>
      <c r="AP69" s="65"/>
      <c r="AQ69" s="74" t="s">
        <v>1960</v>
      </c>
      <c r="AR69" s="73">
        <f t="shared" si="120"/>
        <v>0</v>
      </c>
      <c r="AS69" s="65"/>
      <c r="AT69" s="74" t="s">
        <v>1952</v>
      </c>
      <c r="AU69" s="73">
        <f t="shared" si="120"/>
        <v>0</v>
      </c>
      <c r="AV69" s="65"/>
      <c r="AW69" s="74" t="s">
        <v>1945</v>
      </c>
      <c r="AX69" s="73">
        <f t="shared" si="120"/>
        <v>0</v>
      </c>
      <c r="AY69" s="65"/>
      <c r="AZ69" s="74" t="s">
        <v>1946</v>
      </c>
      <c r="BA69" s="73">
        <f t="shared" si="120"/>
        <v>0</v>
      </c>
      <c r="BB69" s="65"/>
      <c r="BC69" s="74" t="s">
        <v>1962</v>
      </c>
      <c r="BD69" s="73">
        <f t="shared" si="120"/>
        <v>0</v>
      </c>
      <c r="BE69" s="65"/>
      <c r="BF69" s="74" t="s">
        <v>1949</v>
      </c>
      <c r="BG69" s="73">
        <f t="shared" si="120"/>
        <v>0</v>
      </c>
      <c r="BH69" s="65"/>
      <c r="BI69" s="74" t="s">
        <v>1945</v>
      </c>
      <c r="BJ69" s="73">
        <f t="shared" si="120"/>
        <v>0</v>
      </c>
      <c r="BK69" s="65"/>
      <c r="BL69" s="74" t="s">
        <v>1945</v>
      </c>
      <c r="BM69" s="73">
        <f t="shared" si="120"/>
        <v>0</v>
      </c>
      <c r="BN69" s="65"/>
      <c r="BO69" s="74" t="s">
        <v>1952</v>
      </c>
      <c r="BP69" s="73">
        <f t="shared" si="120"/>
        <v>0</v>
      </c>
      <c r="BQ69" s="65"/>
      <c r="BR69" s="74" t="s">
        <v>1952</v>
      </c>
      <c r="BS69" s="73">
        <f t="shared" si="120"/>
        <v>0</v>
      </c>
      <c r="BT69" s="65"/>
      <c r="BU69" s="74" t="s">
        <v>1952</v>
      </c>
      <c r="BV69" s="73">
        <f t="shared" si="120"/>
        <v>0</v>
      </c>
      <c r="BW69" s="65"/>
      <c r="BX69" s="74" t="s">
        <v>1952</v>
      </c>
      <c r="BY69" s="73">
        <f t="shared" si="120"/>
        <v>0</v>
      </c>
      <c r="BZ69" s="65"/>
      <c r="CA69" s="74" t="s">
        <v>1949</v>
      </c>
      <c r="CB69" s="73">
        <f t="shared" si="120"/>
        <v>0</v>
      </c>
      <c r="CC69" s="65"/>
      <c r="CD69" s="74" t="s">
        <v>1946</v>
      </c>
      <c r="CE69" s="73">
        <f t="shared" si="120"/>
        <v>0</v>
      </c>
      <c r="CF69" s="65"/>
      <c r="CG69" s="74" t="s">
        <v>1945</v>
      </c>
      <c r="CH69" s="73">
        <f t="shared" si="120"/>
        <v>0</v>
      </c>
      <c r="CI69" s="65"/>
      <c r="CJ69" s="74" t="s">
        <v>1952</v>
      </c>
      <c r="CK69" s="73">
        <f t="shared" si="119"/>
        <v>0</v>
      </c>
      <c r="CL69" s="65"/>
      <c r="CM69" s="74" t="s">
        <v>1946</v>
      </c>
      <c r="CN69" s="73">
        <f t="shared" si="119"/>
        <v>0</v>
      </c>
      <c r="CO69" s="65"/>
      <c r="CP69" s="74" t="s">
        <v>1945</v>
      </c>
      <c r="CQ69" s="73">
        <f t="shared" si="119"/>
        <v>0</v>
      </c>
      <c r="CR69" s="65"/>
      <c r="CS69" s="74" t="s">
        <v>1946</v>
      </c>
      <c r="CT69" s="73">
        <f t="shared" si="119"/>
        <v>0</v>
      </c>
      <c r="CU69" s="65"/>
      <c r="CV69" s="74" t="s">
        <v>1945</v>
      </c>
      <c r="CW69" s="73">
        <f t="shared" si="119"/>
        <v>0</v>
      </c>
      <c r="CX69" s="65"/>
      <c r="CY69" s="74" t="s">
        <v>1949</v>
      </c>
      <c r="CZ69" s="73">
        <f t="shared" si="119"/>
        <v>0</v>
      </c>
      <c r="DA69" s="65"/>
      <c r="DB69" s="74" t="s">
        <v>1957</v>
      </c>
      <c r="DC69" s="73">
        <f t="shared" si="119"/>
        <v>0</v>
      </c>
      <c r="DD69" s="65"/>
      <c r="DE69" s="74" t="s">
        <v>1946</v>
      </c>
      <c r="DF69" s="73">
        <f t="shared" si="119"/>
        <v>0</v>
      </c>
      <c r="DG69" s="65"/>
      <c r="DH69" s="74" t="s">
        <v>1946</v>
      </c>
      <c r="DI69" s="73">
        <f t="shared" si="119"/>
        <v>0</v>
      </c>
      <c r="DJ69" s="65"/>
      <c r="DK69" s="74" t="s">
        <v>1952</v>
      </c>
      <c r="DL69" s="73">
        <f t="shared" si="119"/>
        <v>0</v>
      </c>
      <c r="DM69" s="65"/>
      <c r="DN69" s="795" t="s">
        <v>1952</v>
      </c>
      <c r="DO69" s="73">
        <f t="shared" si="119"/>
        <v>0</v>
      </c>
      <c r="DP69" s="65"/>
      <c r="DQ69" s="795" t="s">
        <v>1963</v>
      </c>
      <c r="DR69" s="73">
        <f t="shared" si="119"/>
        <v>0</v>
      </c>
      <c r="DS69" s="65"/>
      <c r="DT69" s="74" t="s">
        <v>1952</v>
      </c>
      <c r="DU69" s="73">
        <f t="shared" si="119"/>
        <v>0</v>
      </c>
      <c r="DV69" s="65"/>
      <c r="DW69" s="74" t="s">
        <v>1960</v>
      </c>
      <c r="DX69" s="73">
        <f t="shared" si="122"/>
        <v>0</v>
      </c>
      <c r="DY69" s="65"/>
      <c r="DZ69" s="74" t="s">
        <v>1952</v>
      </c>
      <c r="EA69" s="73">
        <f t="shared" si="122"/>
        <v>0</v>
      </c>
      <c r="EB69" s="65"/>
      <c r="EC69" s="74" t="s">
        <v>1949</v>
      </c>
      <c r="ED69" s="73">
        <f t="shared" si="122"/>
        <v>0</v>
      </c>
      <c r="EE69" s="65"/>
      <c r="EF69" s="74" t="s">
        <v>1946</v>
      </c>
      <c r="EG69" s="73">
        <f t="shared" si="122"/>
        <v>0</v>
      </c>
      <c r="EH69" s="65"/>
      <c r="EI69" s="74"/>
      <c r="EJ69" s="73">
        <f t="shared" si="122"/>
        <v>0</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101"/>
        <v>0</v>
      </c>
      <c r="R70" s="49"/>
      <c r="S70" s="74" t="s">
        <v>1946</v>
      </c>
      <c r="T70" s="73">
        <f t="shared" si="98"/>
        <v>0</v>
      </c>
      <c r="U70" s="65"/>
      <c r="V70" s="74" t="s">
        <v>1944</v>
      </c>
      <c r="W70" s="73">
        <f t="shared" si="111"/>
        <v>0</v>
      </c>
      <c r="X70" s="65"/>
      <c r="Y70" s="74" t="s">
        <v>1947</v>
      </c>
      <c r="Z70" s="73">
        <f t="shared" si="120"/>
        <v>0</v>
      </c>
      <c r="AA70" s="65"/>
      <c r="AB70" s="74" t="s">
        <v>1960</v>
      </c>
      <c r="AC70" s="73">
        <f t="shared" si="120"/>
        <v>0</v>
      </c>
      <c r="AD70" s="65"/>
      <c r="AE70" s="74" t="s">
        <v>1946</v>
      </c>
      <c r="AF70" s="73">
        <f t="shared" si="120"/>
        <v>0</v>
      </c>
      <c r="AG70" s="65"/>
      <c r="AH70" s="74" t="s">
        <v>1963</v>
      </c>
      <c r="AI70" s="73">
        <f t="shared" si="120"/>
        <v>0</v>
      </c>
      <c r="AJ70" s="65"/>
      <c r="AK70" s="74" t="s">
        <v>1952</v>
      </c>
      <c r="AL70" s="73">
        <f t="shared" si="120"/>
        <v>0</v>
      </c>
      <c r="AM70" s="65"/>
      <c r="AN70" s="74" t="s">
        <v>1944</v>
      </c>
      <c r="AO70" s="73">
        <f t="shared" si="120"/>
        <v>0</v>
      </c>
      <c r="AP70" s="65"/>
      <c r="AQ70" s="74" t="s">
        <v>1952</v>
      </c>
      <c r="AR70" s="73">
        <f t="shared" si="120"/>
        <v>0</v>
      </c>
      <c r="AS70" s="65"/>
      <c r="AT70" s="74" t="s">
        <v>1946</v>
      </c>
      <c r="AU70" s="73">
        <f t="shared" si="120"/>
        <v>0</v>
      </c>
      <c r="AV70" s="65"/>
      <c r="AW70" s="74" t="s">
        <v>1945</v>
      </c>
      <c r="AX70" s="73">
        <f t="shared" si="120"/>
        <v>0</v>
      </c>
      <c r="AY70" s="65"/>
      <c r="AZ70" s="74" t="s">
        <v>1952</v>
      </c>
      <c r="BA70" s="73">
        <f t="shared" si="120"/>
        <v>0</v>
      </c>
      <c r="BB70" s="65"/>
      <c r="BC70" s="74" t="s">
        <v>1945</v>
      </c>
      <c r="BD70" s="73">
        <f t="shared" si="120"/>
        <v>0</v>
      </c>
      <c r="BE70" s="65"/>
      <c r="BF70" s="74" t="s">
        <v>1960</v>
      </c>
      <c r="BG70" s="73">
        <f t="shared" si="120"/>
        <v>0</v>
      </c>
      <c r="BH70" s="65"/>
      <c r="BI70" s="74" t="s">
        <v>1947</v>
      </c>
      <c r="BJ70" s="73">
        <f t="shared" si="120"/>
        <v>0</v>
      </c>
      <c r="BK70" s="65"/>
      <c r="BL70" s="74" t="s">
        <v>1945</v>
      </c>
      <c r="BM70" s="73">
        <f t="shared" si="120"/>
        <v>0</v>
      </c>
      <c r="BN70" s="65"/>
      <c r="BO70" s="74" t="s">
        <v>1945</v>
      </c>
      <c r="BP70" s="73">
        <f t="shared" si="120"/>
        <v>0</v>
      </c>
      <c r="BQ70" s="65"/>
      <c r="BR70" s="74" t="s">
        <v>1952</v>
      </c>
      <c r="BS70" s="73">
        <f t="shared" si="120"/>
        <v>0</v>
      </c>
      <c r="BT70" s="65"/>
      <c r="BU70" s="74" t="s">
        <v>1952</v>
      </c>
      <c r="BV70" s="73">
        <f t="shared" si="120"/>
        <v>0</v>
      </c>
      <c r="BW70" s="65"/>
      <c r="BX70" s="74" t="s">
        <v>1952</v>
      </c>
      <c r="BY70" s="73">
        <f t="shared" si="120"/>
        <v>0</v>
      </c>
      <c r="BZ70" s="65"/>
      <c r="CA70" s="74" t="s">
        <v>1949</v>
      </c>
      <c r="CB70" s="73">
        <f t="shared" si="120"/>
        <v>0</v>
      </c>
      <c r="CC70" s="65"/>
      <c r="CD70" s="74" t="s">
        <v>1946</v>
      </c>
      <c r="CE70" s="73">
        <f t="shared" si="120"/>
        <v>0</v>
      </c>
      <c r="CF70" s="65"/>
      <c r="CG70" s="74" t="s">
        <v>1952</v>
      </c>
      <c r="CH70" s="73">
        <f t="shared" si="120"/>
        <v>0</v>
      </c>
      <c r="CI70" s="65"/>
      <c r="CJ70" s="74" t="s">
        <v>1945</v>
      </c>
      <c r="CK70" s="73">
        <f t="shared" si="119"/>
        <v>0</v>
      </c>
      <c r="CL70" s="65"/>
      <c r="CM70" s="74" t="s">
        <v>1945</v>
      </c>
      <c r="CN70" s="73">
        <f t="shared" si="119"/>
        <v>0</v>
      </c>
      <c r="CO70" s="65"/>
      <c r="CP70" s="74" t="s">
        <v>1952</v>
      </c>
      <c r="CQ70" s="73">
        <f t="shared" si="119"/>
        <v>0</v>
      </c>
      <c r="CR70" s="65"/>
      <c r="CS70" s="74" t="s">
        <v>1952</v>
      </c>
      <c r="CT70" s="73">
        <f t="shared" si="119"/>
        <v>0</v>
      </c>
      <c r="CU70" s="65"/>
      <c r="CV70" s="74" t="s">
        <v>1946</v>
      </c>
      <c r="CW70" s="73">
        <f t="shared" si="119"/>
        <v>0</v>
      </c>
      <c r="CX70" s="65"/>
      <c r="CY70" s="74" t="s">
        <v>1944</v>
      </c>
      <c r="CZ70" s="73">
        <f t="shared" si="119"/>
        <v>0</v>
      </c>
      <c r="DA70" s="65"/>
      <c r="DB70" s="74" t="s">
        <v>1944</v>
      </c>
      <c r="DC70" s="73">
        <f t="shared" si="119"/>
        <v>0</v>
      </c>
      <c r="DD70" s="65"/>
      <c r="DE70" s="74" t="s">
        <v>1962</v>
      </c>
      <c r="DF70" s="73">
        <f t="shared" si="119"/>
        <v>0</v>
      </c>
      <c r="DG70" s="65"/>
      <c r="DH70" s="74" t="s">
        <v>1952</v>
      </c>
      <c r="DI70" s="73">
        <f t="shared" si="119"/>
        <v>0</v>
      </c>
      <c r="DJ70" s="65"/>
      <c r="DK70" s="74" t="s">
        <v>1944</v>
      </c>
      <c r="DL70" s="73">
        <f t="shared" si="119"/>
        <v>0</v>
      </c>
      <c r="DM70" s="65"/>
      <c r="DN70" s="795" t="s">
        <v>1944</v>
      </c>
      <c r="DO70" s="73">
        <f t="shared" si="119"/>
        <v>0</v>
      </c>
      <c r="DP70" s="65"/>
      <c r="DQ70" s="795" t="s">
        <v>1949</v>
      </c>
      <c r="DR70" s="73">
        <f t="shared" si="119"/>
        <v>0</v>
      </c>
      <c r="DS70" s="65"/>
      <c r="DT70" s="74" t="s">
        <v>1963</v>
      </c>
      <c r="DU70" s="73">
        <f t="shared" si="119"/>
        <v>0</v>
      </c>
      <c r="DV70" s="65"/>
      <c r="DW70" s="74" t="s">
        <v>1944</v>
      </c>
      <c r="DX70" s="73">
        <f t="shared" si="122"/>
        <v>0</v>
      </c>
      <c r="DY70" s="65"/>
      <c r="DZ70" s="74" t="s">
        <v>1952</v>
      </c>
      <c r="EA70" s="73">
        <f t="shared" si="122"/>
        <v>0</v>
      </c>
      <c r="EB70" s="65"/>
      <c r="EC70" s="74" t="s">
        <v>1945</v>
      </c>
      <c r="ED70" s="73">
        <f t="shared" si="122"/>
        <v>0</v>
      </c>
      <c r="EE70" s="65"/>
      <c r="EF70" s="74" t="s">
        <v>1946</v>
      </c>
      <c r="EG70" s="73">
        <f t="shared" si="122"/>
        <v>0</v>
      </c>
      <c r="EH70" s="65"/>
      <c r="EI70" s="74"/>
      <c r="EJ70" s="73">
        <f t="shared" si="122"/>
        <v>0</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124">ABS(O71-P71)</f>
        <v>0</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0</v>
      </c>
      <c r="U71" s="65"/>
      <c r="V71" s="74" t="s">
        <v>1958</v>
      </c>
      <c r="W71" s="73">
        <f t="shared" si="111"/>
        <v>0</v>
      </c>
      <c r="X71" s="65"/>
      <c r="Y71" s="74" t="s">
        <v>1958</v>
      </c>
      <c r="Z71" s="73">
        <f t="shared" si="120"/>
        <v>0</v>
      </c>
      <c r="AA71" s="65"/>
      <c r="AB71" s="74" t="s">
        <v>1954</v>
      </c>
      <c r="AC71" s="73">
        <f t="shared" si="120"/>
        <v>0</v>
      </c>
      <c r="AD71" s="65"/>
      <c r="AE71" s="74" t="s">
        <v>1943</v>
      </c>
      <c r="AF71" s="73">
        <f t="shared" si="120"/>
        <v>0</v>
      </c>
      <c r="AG71" s="65"/>
      <c r="AH71" s="74" t="s">
        <v>1954</v>
      </c>
      <c r="AI71" s="73">
        <f t="shared" si="120"/>
        <v>0</v>
      </c>
      <c r="AJ71" s="65"/>
      <c r="AK71" s="74" t="s">
        <v>1958</v>
      </c>
      <c r="AL71" s="73">
        <f t="shared" si="120"/>
        <v>0</v>
      </c>
      <c r="AM71" s="65"/>
      <c r="AN71" s="74" t="s">
        <v>1954</v>
      </c>
      <c r="AO71" s="73">
        <f t="shared" si="120"/>
        <v>0</v>
      </c>
      <c r="AP71" s="65"/>
      <c r="AQ71" s="74" t="s">
        <v>1948</v>
      </c>
      <c r="AR71" s="73">
        <f t="shared" si="120"/>
        <v>0</v>
      </c>
      <c r="AS71" s="65"/>
      <c r="AT71" s="74" t="s">
        <v>1954</v>
      </c>
      <c r="AU71" s="73">
        <f t="shared" si="120"/>
        <v>0</v>
      </c>
      <c r="AV71" s="65"/>
      <c r="AW71" s="74" t="s">
        <v>1954</v>
      </c>
      <c r="AX71" s="73">
        <f t="shared" si="120"/>
        <v>0</v>
      </c>
      <c r="AY71" s="65"/>
      <c r="AZ71" s="74" t="s">
        <v>1943</v>
      </c>
      <c r="BA71" s="73">
        <f t="shared" si="120"/>
        <v>0</v>
      </c>
      <c r="BB71" s="65"/>
      <c r="BC71" s="74" t="s">
        <v>1942</v>
      </c>
      <c r="BD71" s="73">
        <f t="shared" si="120"/>
        <v>0</v>
      </c>
      <c r="BE71" s="65"/>
      <c r="BF71" s="74" t="s">
        <v>1946</v>
      </c>
      <c r="BG71" s="73">
        <f t="shared" si="120"/>
        <v>0</v>
      </c>
      <c r="BH71" s="65"/>
      <c r="BI71" s="74" t="s">
        <v>1958</v>
      </c>
      <c r="BJ71" s="73">
        <f t="shared" si="120"/>
        <v>0</v>
      </c>
      <c r="BK71" s="65"/>
      <c r="BL71" s="74" t="s">
        <v>1954</v>
      </c>
      <c r="BM71" s="73">
        <f t="shared" si="120"/>
        <v>0</v>
      </c>
      <c r="BN71" s="65"/>
      <c r="BO71" s="74" t="s">
        <v>1954</v>
      </c>
      <c r="BP71" s="73">
        <f t="shared" si="120"/>
        <v>0</v>
      </c>
      <c r="BQ71" s="65"/>
      <c r="BR71" s="74" t="s">
        <v>1954</v>
      </c>
      <c r="BS71" s="73">
        <f t="shared" si="120"/>
        <v>0</v>
      </c>
      <c r="BT71" s="65"/>
      <c r="BU71" s="74" t="s">
        <v>1958</v>
      </c>
      <c r="BV71" s="73">
        <f t="shared" si="120"/>
        <v>0</v>
      </c>
      <c r="BW71" s="65"/>
      <c r="BX71" s="74" t="s">
        <v>1954</v>
      </c>
      <c r="BY71" s="73">
        <f t="shared" si="120"/>
        <v>0</v>
      </c>
      <c r="BZ71" s="65"/>
      <c r="CA71" s="74" t="s">
        <v>1942</v>
      </c>
      <c r="CB71" s="73">
        <f t="shared" si="120"/>
        <v>0</v>
      </c>
      <c r="CC71" s="65"/>
      <c r="CD71" s="74" t="s">
        <v>1942</v>
      </c>
      <c r="CE71" s="73">
        <f t="shared" si="120"/>
        <v>0</v>
      </c>
      <c r="CF71" s="65"/>
      <c r="CG71" s="74" t="s">
        <v>1943</v>
      </c>
      <c r="CH71" s="73">
        <f t="shared" si="120"/>
        <v>0</v>
      </c>
      <c r="CI71" s="65"/>
      <c r="CJ71" s="74" t="s">
        <v>1942</v>
      </c>
      <c r="CK71" s="73">
        <f t="shared" si="119"/>
        <v>0</v>
      </c>
      <c r="CL71" s="65"/>
      <c r="CM71" s="74" t="s">
        <v>1954</v>
      </c>
      <c r="CN71" s="73">
        <f t="shared" si="119"/>
        <v>0</v>
      </c>
      <c r="CO71" s="65"/>
      <c r="CP71" s="74" t="s">
        <v>1954</v>
      </c>
      <c r="CQ71" s="73">
        <f t="shared" si="119"/>
        <v>0</v>
      </c>
      <c r="CR71" s="65"/>
      <c r="CS71" s="74" t="s">
        <v>1954</v>
      </c>
      <c r="CT71" s="73">
        <f t="shared" si="119"/>
        <v>0</v>
      </c>
      <c r="CU71" s="65"/>
      <c r="CV71" s="74" t="s">
        <v>1954</v>
      </c>
      <c r="CW71" s="73">
        <f t="shared" si="119"/>
        <v>0</v>
      </c>
      <c r="CX71" s="65"/>
      <c r="CY71" s="74" t="s">
        <v>1948</v>
      </c>
      <c r="CZ71" s="73">
        <f t="shared" si="119"/>
        <v>0</v>
      </c>
      <c r="DA71" s="65"/>
      <c r="DB71" s="74" t="s">
        <v>1954</v>
      </c>
      <c r="DC71" s="73">
        <f t="shared" si="119"/>
        <v>0</v>
      </c>
      <c r="DD71" s="65"/>
      <c r="DE71" s="74" t="s">
        <v>1943</v>
      </c>
      <c r="DF71" s="73">
        <f t="shared" si="119"/>
        <v>0</v>
      </c>
      <c r="DG71" s="65"/>
      <c r="DH71" s="74" t="s">
        <v>1954</v>
      </c>
      <c r="DI71" s="73">
        <f t="shared" si="119"/>
        <v>0</v>
      </c>
      <c r="DJ71" s="65"/>
      <c r="DK71" s="74" t="s">
        <v>1958</v>
      </c>
      <c r="DL71" s="73">
        <f t="shared" si="119"/>
        <v>0</v>
      </c>
      <c r="DM71" s="65"/>
      <c r="DN71" s="795" t="s">
        <v>1943</v>
      </c>
      <c r="DO71" s="73">
        <f t="shared" si="119"/>
        <v>0</v>
      </c>
      <c r="DP71" s="65"/>
      <c r="DQ71" s="795" t="s">
        <v>1957</v>
      </c>
      <c r="DR71" s="73">
        <f t="shared" si="119"/>
        <v>0</v>
      </c>
      <c r="DS71" s="65"/>
      <c r="DT71" s="74" t="s">
        <v>1944</v>
      </c>
      <c r="DU71" s="73">
        <f t="shared" si="119"/>
        <v>0</v>
      </c>
      <c r="DV71" s="65"/>
      <c r="DW71" s="74" t="s">
        <v>1948</v>
      </c>
      <c r="DX71" s="73">
        <f t="shared" si="122"/>
        <v>0</v>
      </c>
      <c r="DY71" s="65"/>
      <c r="DZ71" s="74" t="s">
        <v>1954</v>
      </c>
      <c r="EA71" s="73">
        <f t="shared" si="122"/>
        <v>0</v>
      </c>
      <c r="EB71" s="65"/>
      <c r="EC71" s="74" t="s">
        <v>1958</v>
      </c>
      <c r="ED71" s="73">
        <f t="shared" si="122"/>
        <v>0</v>
      </c>
      <c r="EE71" s="65"/>
      <c r="EF71" s="74" t="s">
        <v>1942</v>
      </c>
      <c r="EG71" s="73">
        <f t="shared" si="122"/>
        <v>0</v>
      </c>
      <c r="EH71" s="65"/>
      <c r="EI71" s="74"/>
      <c r="EJ71" s="73">
        <f t="shared" si="122"/>
        <v>0</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0</v>
      </c>
      <c r="AD72" s="65"/>
      <c r="AE72" s="74" t="s">
        <v>1946</v>
      </c>
      <c r="AF72" s="73">
        <f t="shared" si="120"/>
        <v>0</v>
      </c>
      <c r="AG72" s="65"/>
      <c r="AH72" s="74" t="s">
        <v>1946</v>
      </c>
      <c r="AI72" s="73">
        <f t="shared" si="120"/>
        <v>0</v>
      </c>
      <c r="AJ72" s="65"/>
      <c r="AK72" s="74" t="s">
        <v>1952</v>
      </c>
      <c r="AL72" s="73">
        <f t="shared" si="120"/>
        <v>0</v>
      </c>
      <c r="AM72" s="65"/>
      <c r="AN72" s="74" t="s">
        <v>1957</v>
      </c>
      <c r="AO72" s="73">
        <f t="shared" si="120"/>
        <v>0</v>
      </c>
      <c r="AP72" s="65"/>
      <c r="AQ72" s="74" t="s">
        <v>1946</v>
      </c>
      <c r="AR72" s="73">
        <f t="shared" si="120"/>
        <v>0</v>
      </c>
      <c r="AS72" s="65"/>
      <c r="AT72" s="74" t="s">
        <v>1960</v>
      </c>
      <c r="AU72" s="73">
        <f t="shared" si="120"/>
        <v>0</v>
      </c>
      <c r="AV72" s="65"/>
      <c r="AW72" s="74" t="s">
        <v>1946</v>
      </c>
      <c r="AX72" s="73">
        <f t="shared" si="120"/>
        <v>0</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0</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0</v>
      </c>
      <c r="CR72" s="65"/>
      <c r="CS72" s="74" t="s">
        <v>1946</v>
      </c>
      <c r="CT72" s="73">
        <f t="shared" si="119"/>
        <v>0</v>
      </c>
      <c r="CU72" s="65"/>
      <c r="CV72" s="74" t="s">
        <v>1960</v>
      </c>
      <c r="CW72" s="73">
        <f t="shared" si="119"/>
        <v>0</v>
      </c>
      <c r="CX72" s="65"/>
      <c r="CY72" s="74" t="s">
        <v>1952</v>
      </c>
      <c r="CZ72" s="73">
        <f t="shared" si="119"/>
        <v>0</v>
      </c>
      <c r="DA72" s="65"/>
      <c r="DB72" s="74" t="s">
        <v>1946</v>
      </c>
      <c r="DC72" s="73">
        <f t="shared" si="119"/>
        <v>0</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0</v>
      </c>
      <c r="DP72" s="65"/>
      <c r="DQ72" s="795" t="s">
        <v>1944</v>
      </c>
      <c r="DR72" s="73">
        <f t="shared" si="119"/>
        <v>0</v>
      </c>
      <c r="DS72" s="65"/>
      <c r="DT72" s="74" t="s">
        <v>1946</v>
      </c>
      <c r="DU72" s="73">
        <f t="shared" si="119"/>
        <v>0</v>
      </c>
      <c r="DV72" s="65"/>
      <c r="DW72" s="74" t="s">
        <v>1946</v>
      </c>
      <c r="DX72" s="73">
        <f t="shared" si="122"/>
        <v>0</v>
      </c>
      <c r="DY72" s="65"/>
      <c r="DZ72" s="74" t="s">
        <v>1952</v>
      </c>
      <c r="EA72" s="73">
        <f t="shared" si="122"/>
        <v>0</v>
      </c>
      <c r="EB72" s="65"/>
      <c r="EC72" s="74" t="s">
        <v>1952</v>
      </c>
      <c r="ED72" s="73">
        <f t="shared" si="122"/>
        <v>0</v>
      </c>
      <c r="EE72" s="65"/>
      <c r="EF72" s="74" t="s">
        <v>1944</v>
      </c>
      <c r="EG72" s="73">
        <f t="shared" si="122"/>
        <v>0</v>
      </c>
      <c r="EH72" s="65"/>
      <c r="EI72" s="74"/>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124"/>
        <v>0</v>
      </c>
      <c r="R73" s="49"/>
      <c r="S73" s="74" t="s">
        <v>1947</v>
      </c>
      <c r="T73" s="73">
        <f t="shared" si="125"/>
        <v>0</v>
      </c>
      <c r="U73" s="65"/>
      <c r="V73" s="74" t="s">
        <v>1961</v>
      </c>
      <c r="W73" s="73">
        <f t="shared" si="111"/>
        <v>0</v>
      </c>
      <c r="X73" s="65"/>
      <c r="Y73" s="74" t="s">
        <v>1949</v>
      </c>
      <c r="Z73" s="73">
        <f t="shared" si="120"/>
        <v>0</v>
      </c>
      <c r="AA73" s="65"/>
      <c r="AB73" s="74" t="s">
        <v>1949</v>
      </c>
      <c r="AC73" s="73">
        <f t="shared" si="120"/>
        <v>0</v>
      </c>
      <c r="AD73" s="65"/>
      <c r="AE73" s="74" t="s">
        <v>1947</v>
      </c>
      <c r="AF73" s="73">
        <f t="shared" si="120"/>
        <v>0</v>
      </c>
      <c r="AG73" s="65"/>
      <c r="AH73" s="74" t="s">
        <v>1947</v>
      </c>
      <c r="AI73" s="73">
        <f t="shared" si="120"/>
        <v>0</v>
      </c>
      <c r="AJ73" s="65"/>
      <c r="AK73" s="74" t="s">
        <v>1947</v>
      </c>
      <c r="AL73" s="73">
        <f t="shared" si="120"/>
        <v>0</v>
      </c>
      <c r="AM73" s="65"/>
      <c r="AN73" s="74" t="s">
        <v>1955</v>
      </c>
      <c r="AO73" s="73">
        <f t="shared" si="120"/>
        <v>0</v>
      </c>
      <c r="AP73" s="65"/>
      <c r="AQ73" s="74" t="s">
        <v>2215</v>
      </c>
      <c r="AR73" s="73">
        <f t="shared" si="120"/>
        <v>0</v>
      </c>
      <c r="AS73" s="65"/>
      <c r="AT73" s="74" t="s">
        <v>1947</v>
      </c>
      <c r="AU73" s="73">
        <f t="shared" si="120"/>
        <v>0</v>
      </c>
      <c r="AV73" s="65"/>
      <c r="AW73" s="74" t="s">
        <v>1955</v>
      </c>
      <c r="AX73" s="73">
        <f t="shared" si="120"/>
        <v>0</v>
      </c>
      <c r="AY73" s="65"/>
      <c r="AZ73" s="74" t="s">
        <v>1947</v>
      </c>
      <c r="BA73" s="73">
        <f t="shared" si="120"/>
        <v>0</v>
      </c>
      <c r="BB73" s="65"/>
      <c r="BC73" s="74" t="s">
        <v>1947</v>
      </c>
      <c r="BD73" s="73">
        <f t="shared" si="120"/>
        <v>0</v>
      </c>
      <c r="BE73" s="65"/>
      <c r="BF73" s="74" t="s">
        <v>1949</v>
      </c>
      <c r="BG73" s="73">
        <f t="shared" si="120"/>
        <v>0</v>
      </c>
      <c r="BH73" s="65"/>
      <c r="BI73" s="74" t="s">
        <v>1947</v>
      </c>
      <c r="BJ73" s="73">
        <f t="shared" si="120"/>
        <v>0</v>
      </c>
      <c r="BK73" s="65"/>
      <c r="BL73" s="74" t="s">
        <v>1947</v>
      </c>
      <c r="BM73" s="73">
        <f t="shared" si="120"/>
        <v>0</v>
      </c>
      <c r="BN73" s="65"/>
      <c r="BO73" s="74" t="s">
        <v>1947</v>
      </c>
      <c r="BP73" s="73">
        <f t="shared" si="120"/>
        <v>0</v>
      </c>
      <c r="BQ73" s="65"/>
      <c r="BR73" s="74" t="s">
        <v>1947</v>
      </c>
      <c r="BS73" s="73">
        <f t="shared" si="120"/>
        <v>0</v>
      </c>
      <c r="BT73" s="65"/>
      <c r="BU73" s="74" t="s">
        <v>1955</v>
      </c>
      <c r="BV73" s="73">
        <f t="shared" si="120"/>
        <v>0</v>
      </c>
      <c r="BW73" s="65"/>
      <c r="BX73" s="74" t="s">
        <v>1947</v>
      </c>
      <c r="BY73" s="73">
        <f t="shared" si="120"/>
        <v>0</v>
      </c>
      <c r="BZ73" s="65"/>
      <c r="CA73" s="74" t="s">
        <v>1955</v>
      </c>
      <c r="CB73" s="73">
        <f t="shared" si="120"/>
        <v>0</v>
      </c>
      <c r="CC73" s="65"/>
      <c r="CD73" s="74" t="s">
        <v>1952</v>
      </c>
      <c r="CE73" s="73">
        <f t="shared" si="120"/>
        <v>0</v>
      </c>
      <c r="CF73" s="65"/>
      <c r="CG73" s="74" t="s">
        <v>1945</v>
      </c>
      <c r="CH73" s="73">
        <f t="shared" si="120"/>
        <v>0</v>
      </c>
      <c r="CI73" s="65"/>
      <c r="CJ73" s="74" t="s">
        <v>1952</v>
      </c>
      <c r="CK73" s="73">
        <f t="shared" si="119"/>
        <v>0</v>
      </c>
      <c r="CL73" s="65"/>
      <c r="CM73" s="74" t="s">
        <v>1955</v>
      </c>
      <c r="CN73" s="73">
        <f t="shared" si="119"/>
        <v>0</v>
      </c>
      <c r="CO73" s="65"/>
      <c r="CP73" s="74" t="s">
        <v>1947</v>
      </c>
      <c r="CQ73" s="73">
        <f t="shared" si="119"/>
        <v>0</v>
      </c>
      <c r="CR73" s="65"/>
      <c r="CS73" s="74" t="s">
        <v>1955</v>
      </c>
      <c r="CT73" s="73">
        <f t="shared" si="119"/>
        <v>0</v>
      </c>
      <c r="CU73" s="65"/>
      <c r="CV73" s="74" t="s">
        <v>1947</v>
      </c>
      <c r="CW73" s="73">
        <f t="shared" si="119"/>
        <v>0</v>
      </c>
      <c r="CX73" s="65"/>
      <c r="CY73" s="74" t="s">
        <v>1955</v>
      </c>
      <c r="CZ73" s="73">
        <f t="shared" si="119"/>
        <v>0</v>
      </c>
      <c r="DA73" s="65"/>
      <c r="DB73" s="74" t="s">
        <v>1947</v>
      </c>
      <c r="DC73" s="73">
        <f t="shared" si="119"/>
        <v>0</v>
      </c>
      <c r="DD73" s="65"/>
      <c r="DE73" s="74" t="s">
        <v>1947</v>
      </c>
      <c r="DF73" s="73">
        <f t="shared" si="119"/>
        <v>0</v>
      </c>
      <c r="DG73" s="65"/>
      <c r="DH73" s="74" t="s">
        <v>1945</v>
      </c>
      <c r="DI73" s="73">
        <f t="shared" si="119"/>
        <v>0</v>
      </c>
      <c r="DJ73" s="65"/>
      <c r="DK73" s="74" t="s">
        <v>1945</v>
      </c>
      <c r="DL73" s="73">
        <f t="shared" si="119"/>
        <v>0</v>
      </c>
      <c r="DM73" s="65"/>
      <c r="DN73" s="795" t="s">
        <v>1955</v>
      </c>
      <c r="DO73" s="73">
        <f t="shared" si="119"/>
        <v>0</v>
      </c>
      <c r="DP73" s="65"/>
      <c r="DQ73" s="795" t="s">
        <v>1952</v>
      </c>
      <c r="DR73" s="73">
        <f t="shared" si="119"/>
        <v>0</v>
      </c>
      <c r="DS73" s="65"/>
      <c r="DT73" s="74" t="s">
        <v>1961</v>
      </c>
      <c r="DU73" s="73">
        <f t="shared" si="119"/>
        <v>0</v>
      </c>
      <c r="DV73" s="65"/>
      <c r="DW73" s="74" t="s">
        <v>1947</v>
      </c>
      <c r="DX73" s="73">
        <f t="shared" si="122"/>
        <v>0</v>
      </c>
      <c r="DY73" s="65"/>
      <c r="DZ73" s="74" t="s">
        <v>1949</v>
      </c>
      <c r="EA73" s="73">
        <f t="shared" si="122"/>
        <v>0</v>
      </c>
      <c r="EB73" s="65"/>
      <c r="EC73" s="74" t="s">
        <v>1960</v>
      </c>
      <c r="ED73" s="73">
        <f t="shared" si="122"/>
        <v>0</v>
      </c>
      <c r="EE73" s="65"/>
      <c r="EF73" s="74" t="s">
        <v>1952</v>
      </c>
      <c r="EG73" s="73">
        <f t="shared" si="122"/>
        <v>0</v>
      </c>
      <c r="EH73" s="65"/>
      <c r="EI73" s="74"/>
      <c r="EJ73" s="73">
        <f t="shared" si="122"/>
        <v>0</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0</v>
      </c>
      <c r="AS74" s="65"/>
      <c r="AT74" s="74" t="s">
        <v>1952</v>
      </c>
      <c r="AU74" s="73">
        <f t="shared" si="120"/>
        <v>0</v>
      </c>
      <c r="AV74" s="65"/>
      <c r="AW74" s="74" t="s">
        <v>1944</v>
      </c>
      <c r="AX74" s="73">
        <f t="shared" si="120"/>
        <v>0</v>
      </c>
      <c r="AY74" s="65"/>
      <c r="AZ74" s="74" t="s">
        <v>1946</v>
      </c>
      <c r="BA74" s="73">
        <f t="shared" si="120"/>
        <v>0</v>
      </c>
      <c r="BB74" s="65"/>
      <c r="BC74" s="74" t="s">
        <v>1961</v>
      </c>
      <c r="BD74" s="73">
        <f t="shared" si="120"/>
        <v>0</v>
      </c>
      <c r="BE74" s="65"/>
      <c r="BF74" s="74" t="s">
        <v>1960</v>
      </c>
      <c r="BG74" s="73">
        <f t="shared" si="120"/>
        <v>0</v>
      </c>
      <c r="BH74" s="65"/>
      <c r="BI74" s="74" t="s">
        <v>1945</v>
      </c>
      <c r="BJ74" s="73">
        <f t="shared" si="120"/>
        <v>0</v>
      </c>
      <c r="BK74" s="65"/>
      <c r="BL74" s="74" t="s">
        <v>1946</v>
      </c>
      <c r="BM74" s="73">
        <f t="shared" si="120"/>
        <v>0</v>
      </c>
      <c r="BN74" s="65"/>
      <c r="BO74" s="74" t="s">
        <v>1944</v>
      </c>
      <c r="BP74" s="73">
        <f t="shared" si="120"/>
        <v>0</v>
      </c>
      <c r="BQ74" s="65"/>
      <c r="BR74" s="74" t="s">
        <v>1952</v>
      </c>
      <c r="BS74" s="73">
        <f t="shared" si="120"/>
        <v>0</v>
      </c>
      <c r="BT74" s="65"/>
      <c r="BU74" s="74" t="s">
        <v>1944</v>
      </c>
      <c r="BV74" s="73">
        <f t="shared" si="120"/>
        <v>0</v>
      </c>
      <c r="BW74" s="65"/>
      <c r="BX74" s="74" t="s">
        <v>1946</v>
      </c>
      <c r="BY74" s="73">
        <f t="shared" si="120"/>
        <v>0</v>
      </c>
      <c r="BZ74" s="65"/>
      <c r="CA74" s="74" t="s">
        <v>1952</v>
      </c>
      <c r="CB74" s="73">
        <f t="shared" si="120"/>
        <v>0</v>
      </c>
      <c r="CC74" s="65"/>
      <c r="CD74" s="74" t="s">
        <v>1952</v>
      </c>
      <c r="CE74" s="73">
        <f t="shared" si="120"/>
        <v>0</v>
      </c>
      <c r="CF74" s="65"/>
      <c r="CG74" s="74" t="s">
        <v>1946</v>
      </c>
      <c r="CH74" s="73">
        <f t="shared" si="120"/>
        <v>0</v>
      </c>
      <c r="CI74" s="65"/>
      <c r="CJ74" s="74" t="s">
        <v>1952</v>
      </c>
      <c r="CK74" s="73">
        <f t="shared" si="119"/>
        <v>0</v>
      </c>
      <c r="CL74" s="65"/>
      <c r="CM74" s="74" t="s">
        <v>1952</v>
      </c>
      <c r="CN74" s="73">
        <f t="shared" si="119"/>
        <v>0</v>
      </c>
      <c r="CO74" s="65"/>
      <c r="CP74" s="74" t="s">
        <v>1952</v>
      </c>
      <c r="CQ74" s="73">
        <f t="shared" si="119"/>
        <v>0</v>
      </c>
      <c r="CR74" s="65"/>
      <c r="CS74" s="74" t="s">
        <v>1946</v>
      </c>
      <c r="CT74" s="73">
        <f t="shared" si="119"/>
        <v>0</v>
      </c>
      <c r="CU74" s="65"/>
      <c r="CV74" s="74" t="s">
        <v>1952</v>
      </c>
      <c r="CW74" s="73">
        <f t="shared" si="119"/>
        <v>0</v>
      </c>
      <c r="CX74" s="65"/>
      <c r="CY74" s="74" t="s">
        <v>1946</v>
      </c>
      <c r="CZ74" s="73">
        <f t="shared" si="119"/>
        <v>0</v>
      </c>
      <c r="DA74" s="65"/>
      <c r="DB74" s="74" t="s">
        <v>1946</v>
      </c>
      <c r="DC74" s="73">
        <f t="shared" si="119"/>
        <v>0</v>
      </c>
      <c r="DD74" s="65"/>
      <c r="DE74" s="74" t="s">
        <v>1946</v>
      </c>
      <c r="DF74" s="73">
        <f t="shared" si="119"/>
        <v>0</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0</v>
      </c>
      <c r="EE74" s="65"/>
      <c r="EF74" s="74" t="s">
        <v>1944</v>
      </c>
      <c r="EG74" s="73">
        <f t="shared" si="122"/>
        <v>0</v>
      </c>
      <c r="EH74" s="65"/>
      <c r="EI74" s="74"/>
      <c r="EJ74" s="73">
        <f t="shared" si="122"/>
        <v>0</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124"/>
        <v>0</v>
      </c>
      <c r="R75" s="49"/>
      <c r="S75" s="74" t="s">
        <v>1942</v>
      </c>
      <c r="T75" s="73">
        <f t="shared" si="125"/>
        <v>0</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0</v>
      </c>
      <c r="X75" s="65"/>
      <c r="Y75" s="74" t="s">
        <v>1944</v>
      </c>
      <c r="Z75" s="73">
        <f t="shared" si="120"/>
        <v>0</v>
      </c>
      <c r="AA75" s="65"/>
      <c r="AB75" s="74" t="s">
        <v>1942</v>
      </c>
      <c r="AC75" s="73">
        <f t="shared" si="120"/>
        <v>0</v>
      </c>
      <c r="AD75" s="65"/>
      <c r="AE75" s="74" t="s">
        <v>1952</v>
      </c>
      <c r="AF75" s="73">
        <f t="shared" si="120"/>
        <v>0</v>
      </c>
      <c r="AG75" s="65"/>
      <c r="AH75" s="74" t="s">
        <v>1957</v>
      </c>
      <c r="AI75" s="73">
        <f t="shared" si="120"/>
        <v>0</v>
      </c>
      <c r="AJ75" s="65"/>
      <c r="AK75" s="74" t="s">
        <v>1954</v>
      </c>
      <c r="AL75" s="73">
        <f t="shared" si="120"/>
        <v>0</v>
      </c>
      <c r="AM75" s="65"/>
      <c r="AN75" s="74" t="s">
        <v>1948</v>
      </c>
      <c r="AO75" s="73">
        <f t="shared" si="120"/>
        <v>0</v>
      </c>
      <c r="AP75" s="65"/>
      <c r="AQ75" s="74" t="s">
        <v>1946</v>
      </c>
      <c r="AR75" s="73">
        <f t="shared" si="120"/>
        <v>0</v>
      </c>
      <c r="AS75" s="65"/>
      <c r="AT75" s="74" t="s">
        <v>1954</v>
      </c>
      <c r="AU75" s="73">
        <f t="shared" si="120"/>
        <v>0</v>
      </c>
      <c r="AV75" s="65"/>
      <c r="AW75" s="74" t="s">
        <v>1958</v>
      </c>
      <c r="AX75" s="73">
        <f t="shared" si="120"/>
        <v>0</v>
      </c>
      <c r="AY75" s="65"/>
      <c r="AZ75" s="74" t="s">
        <v>1948</v>
      </c>
      <c r="BA75" s="73">
        <f t="shared" si="120"/>
        <v>0</v>
      </c>
      <c r="BB75" s="65"/>
      <c r="BC75" s="74" t="s">
        <v>1942</v>
      </c>
      <c r="BD75" s="73">
        <f t="shared" si="120"/>
        <v>0</v>
      </c>
      <c r="BE75" s="65"/>
      <c r="BF75" s="74" t="s">
        <v>1946</v>
      </c>
      <c r="BG75" s="73">
        <f t="shared" si="120"/>
        <v>0</v>
      </c>
      <c r="BH75" s="65"/>
      <c r="BI75" s="74" t="s">
        <v>1944</v>
      </c>
      <c r="BJ75" s="73">
        <f t="shared" si="120"/>
        <v>0</v>
      </c>
      <c r="BK75" s="65"/>
      <c r="BL75" s="74" t="s">
        <v>1948</v>
      </c>
      <c r="BM75" s="73">
        <f t="shared" si="120"/>
        <v>0</v>
      </c>
      <c r="BN75" s="65"/>
      <c r="BO75" s="74" t="s">
        <v>1946</v>
      </c>
      <c r="BP75" s="73">
        <f t="shared" si="120"/>
        <v>0</v>
      </c>
      <c r="BQ75" s="65"/>
      <c r="BR75" s="74" t="s">
        <v>1946</v>
      </c>
      <c r="BS75" s="73">
        <f t="shared" si="120"/>
        <v>0</v>
      </c>
      <c r="BT75" s="65"/>
      <c r="BU75" s="74" t="s">
        <v>1948</v>
      </c>
      <c r="BV75" s="73">
        <f t="shared" si="120"/>
        <v>0</v>
      </c>
      <c r="BW75" s="65"/>
      <c r="BX75" s="74" t="s">
        <v>1942</v>
      </c>
      <c r="BY75" s="73">
        <f t="shared" si="120"/>
        <v>0</v>
      </c>
      <c r="BZ75" s="65"/>
      <c r="CA75" s="74" t="s">
        <v>1942</v>
      </c>
      <c r="CB75" s="73">
        <f t="shared" si="120"/>
        <v>0</v>
      </c>
      <c r="CC75" s="65"/>
      <c r="CD75" s="74" t="s">
        <v>1954</v>
      </c>
      <c r="CE75" s="73">
        <f t="shared" si="120"/>
        <v>0</v>
      </c>
      <c r="CF75" s="65"/>
      <c r="CG75" s="74" t="s">
        <v>1948</v>
      </c>
      <c r="CH75" s="73">
        <f t="shared" si="120"/>
        <v>0</v>
      </c>
      <c r="CI75" s="65"/>
      <c r="CJ75" s="74" t="s">
        <v>1957</v>
      </c>
      <c r="CK75" s="73">
        <f t="shared" si="119"/>
        <v>0</v>
      </c>
      <c r="CL75" s="65"/>
      <c r="CM75" s="74" t="s">
        <v>1946</v>
      </c>
      <c r="CN75" s="73">
        <f t="shared" si="119"/>
        <v>0</v>
      </c>
      <c r="CO75" s="65"/>
      <c r="CP75" s="74" t="s">
        <v>1954</v>
      </c>
      <c r="CQ75" s="73">
        <f t="shared" si="119"/>
        <v>0</v>
      </c>
      <c r="CR75" s="65"/>
      <c r="CS75" s="74" t="s">
        <v>1952</v>
      </c>
      <c r="CT75" s="73">
        <f t="shared" si="119"/>
        <v>0</v>
      </c>
      <c r="CU75" s="65"/>
      <c r="CV75" s="74" t="s">
        <v>1957</v>
      </c>
      <c r="CW75" s="73">
        <f t="shared" si="119"/>
        <v>0</v>
      </c>
      <c r="CX75" s="65"/>
      <c r="CY75" s="74" t="s">
        <v>1952</v>
      </c>
      <c r="CZ75" s="73">
        <f t="shared" si="119"/>
        <v>0</v>
      </c>
      <c r="DA75" s="65"/>
      <c r="DB75" s="74" t="s">
        <v>1942</v>
      </c>
      <c r="DC75" s="73">
        <f t="shared" si="119"/>
        <v>0</v>
      </c>
      <c r="DD75" s="65"/>
      <c r="DE75" s="74" t="s">
        <v>1942</v>
      </c>
      <c r="DF75" s="73">
        <f t="shared" si="119"/>
        <v>0</v>
      </c>
      <c r="DG75" s="65"/>
      <c r="DH75" s="74" t="s">
        <v>1946</v>
      </c>
      <c r="DI75" s="73">
        <f t="shared" si="119"/>
        <v>0</v>
      </c>
      <c r="DJ75" s="65"/>
      <c r="DK75" s="74" t="s">
        <v>1957</v>
      </c>
      <c r="DL75" s="73">
        <f t="shared" si="119"/>
        <v>0</v>
      </c>
      <c r="DM75" s="65"/>
      <c r="DN75" s="795" t="s">
        <v>1954</v>
      </c>
      <c r="DO75" s="73">
        <f t="shared" si="119"/>
        <v>0</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0</v>
      </c>
      <c r="EB75" s="65"/>
      <c r="EC75" s="74" t="s">
        <v>1952</v>
      </c>
      <c r="ED75" s="73">
        <f t="shared" si="122"/>
        <v>0</v>
      </c>
      <c r="EE75" s="65"/>
      <c r="EF75" s="74" t="s">
        <v>1946</v>
      </c>
      <c r="EG75" s="73">
        <f t="shared" si="122"/>
        <v>0</v>
      </c>
      <c r="EH75" s="65"/>
      <c r="EI75" s="74"/>
      <c r="EJ75" s="73">
        <f t="shared" si="122"/>
        <v>0</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124"/>
        <v>0</v>
      </c>
      <c r="R76" s="49"/>
      <c r="S76" s="74" t="s">
        <v>1963</v>
      </c>
      <c r="T76" s="73">
        <f t="shared" si="125"/>
        <v>0</v>
      </c>
      <c r="U76" s="65"/>
      <c r="V76" s="74" t="s">
        <v>1961</v>
      </c>
      <c r="W76" s="73">
        <f t="shared" si="126"/>
        <v>0</v>
      </c>
      <c r="X76" s="65"/>
      <c r="Y76" s="74" t="s">
        <v>1961</v>
      </c>
      <c r="Z76" s="73">
        <f t="shared" si="120"/>
        <v>0</v>
      </c>
      <c r="AA76" s="65"/>
      <c r="AB76" s="74" t="s">
        <v>1945</v>
      </c>
      <c r="AC76" s="73">
        <f t="shared" si="120"/>
        <v>0</v>
      </c>
      <c r="AD76" s="65"/>
      <c r="AE76" s="74" t="s">
        <v>1949</v>
      </c>
      <c r="AF76" s="73">
        <f t="shared" si="120"/>
        <v>0</v>
      </c>
      <c r="AG76" s="65"/>
      <c r="AH76" s="74" t="s">
        <v>1949</v>
      </c>
      <c r="AI76" s="73">
        <f t="shared" si="120"/>
        <v>0</v>
      </c>
      <c r="AJ76" s="65"/>
      <c r="AK76" s="74" t="s">
        <v>1947</v>
      </c>
      <c r="AL76" s="73">
        <f t="shared" si="120"/>
        <v>0</v>
      </c>
      <c r="AM76" s="65"/>
      <c r="AN76" s="74" t="s">
        <v>2185</v>
      </c>
      <c r="AO76" s="73">
        <f t="shared" si="120"/>
        <v>0</v>
      </c>
      <c r="AP76" s="65"/>
      <c r="AQ76" s="74" t="s">
        <v>2215</v>
      </c>
      <c r="AR76" s="73">
        <f t="shared" si="120"/>
        <v>0</v>
      </c>
      <c r="AS76" s="65"/>
      <c r="AT76" s="74" t="s">
        <v>1961</v>
      </c>
      <c r="AU76" s="73">
        <f t="shared" si="120"/>
        <v>0</v>
      </c>
      <c r="AV76" s="65"/>
      <c r="AW76" s="74" t="s">
        <v>1955</v>
      </c>
      <c r="AX76" s="73">
        <f t="shared" si="120"/>
        <v>0</v>
      </c>
      <c r="AY76" s="65"/>
      <c r="AZ76" s="74" t="s">
        <v>1955</v>
      </c>
      <c r="BA76" s="73">
        <f t="shared" si="120"/>
        <v>0</v>
      </c>
      <c r="BB76" s="65"/>
      <c r="BC76" s="74" t="s">
        <v>1949</v>
      </c>
      <c r="BD76" s="73">
        <f t="shared" si="120"/>
        <v>0</v>
      </c>
      <c r="BE76" s="65"/>
      <c r="BF76" s="74" t="s">
        <v>1949</v>
      </c>
      <c r="BG76" s="73">
        <f t="shared" si="120"/>
        <v>0</v>
      </c>
      <c r="BH76" s="65"/>
      <c r="BI76" s="74" t="s">
        <v>1961</v>
      </c>
      <c r="BJ76" s="73">
        <f t="shared" si="120"/>
        <v>0</v>
      </c>
      <c r="BK76" s="65"/>
      <c r="BL76" s="74" t="s">
        <v>1947</v>
      </c>
      <c r="BM76" s="73">
        <f t="shared" si="120"/>
        <v>0</v>
      </c>
      <c r="BN76" s="65"/>
      <c r="BO76" s="74" t="s">
        <v>1949</v>
      </c>
      <c r="BP76" s="73">
        <f t="shared" si="120"/>
        <v>0</v>
      </c>
      <c r="BQ76" s="65"/>
      <c r="BR76" s="74" t="s">
        <v>1952</v>
      </c>
      <c r="BS76" s="73">
        <f t="shared" si="120"/>
        <v>0</v>
      </c>
      <c r="BT76" s="65"/>
      <c r="BU76" s="74" t="s">
        <v>1955</v>
      </c>
      <c r="BV76" s="73">
        <f t="shared" si="120"/>
        <v>0</v>
      </c>
      <c r="BW76" s="65"/>
      <c r="BX76" s="74" t="s">
        <v>1949</v>
      </c>
      <c r="BY76" s="73">
        <f t="shared" si="120"/>
        <v>0</v>
      </c>
      <c r="BZ76" s="65"/>
      <c r="CA76" s="74" t="s">
        <v>1947</v>
      </c>
      <c r="CB76" s="73">
        <f t="shared" si="120"/>
        <v>0</v>
      </c>
      <c r="CC76" s="65"/>
      <c r="CD76" s="74" t="s">
        <v>1946</v>
      </c>
      <c r="CE76" s="73">
        <f t="shared" si="120"/>
        <v>0</v>
      </c>
      <c r="CF76" s="65"/>
      <c r="CG76" s="74" t="s">
        <v>1952</v>
      </c>
      <c r="CH76" s="73">
        <f t="shared" si="120"/>
        <v>0</v>
      </c>
      <c r="CI76" s="65"/>
      <c r="CJ76" s="74" t="s">
        <v>1949</v>
      </c>
      <c r="CK76" s="73">
        <f t="shared" si="119"/>
        <v>0</v>
      </c>
      <c r="CL76" s="65"/>
      <c r="CM76" s="74" t="s">
        <v>1947</v>
      </c>
      <c r="CN76" s="73">
        <f t="shared" si="119"/>
        <v>0</v>
      </c>
      <c r="CO76" s="65"/>
      <c r="CP76" s="74" t="s">
        <v>1945</v>
      </c>
      <c r="CQ76" s="73">
        <f t="shared" si="119"/>
        <v>0</v>
      </c>
      <c r="CR76" s="65"/>
      <c r="CS76" s="74" t="s">
        <v>1947</v>
      </c>
      <c r="CT76" s="73">
        <f t="shared" si="119"/>
        <v>0</v>
      </c>
      <c r="CU76" s="65"/>
      <c r="CV76" s="74" t="s">
        <v>1949</v>
      </c>
      <c r="CW76" s="73">
        <f t="shared" si="119"/>
        <v>0</v>
      </c>
      <c r="CX76" s="65"/>
      <c r="CY76" s="74" t="s">
        <v>1952</v>
      </c>
      <c r="CZ76" s="73">
        <f t="shared" si="119"/>
        <v>0</v>
      </c>
      <c r="DA76" s="65"/>
      <c r="DB76" s="74" t="s">
        <v>1947</v>
      </c>
      <c r="DC76" s="73">
        <f t="shared" si="119"/>
        <v>0</v>
      </c>
      <c r="DD76" s="65"/>
      <c r="DE76" s="74" t="s">
        <v>1961</v>
      </c>
      <c r="DF76" s="73">
        <f t="shared" si="119"/>
        <v>0</v>
      </c>
      <c r="DG76" s="65"/>
      <c r="DH76" s="74" t="s">
        <v>1952</v>
      </c>
      <c r="DI76" s="73">
        <f t="shared" si="119"/>
        <v>0</v>
      </c>
      <c r="DJ76" s="65"/>
      <c r="DK76" s="74" t="s">
        <v>1945</v>
      </c>
      <c r="DL76" s="73">
        <f t="shared" si="119"/>
        <v>0</v>
      </c>
      <c r="DM76" s="65"/>
      <c r="DN76" s="795" t="s">
        <v>1955</v>
      </c>
      <c r="DO76" s="73">
        <f t="shared" si="119"/>
        <v>0</v>
      </c>
      <c r="DP76" s="65"/>
      <c r="DQ76" s="795" t="s">
        <v>1945</v>
      </c>
      <c r="DR76" s="73">
        <f t="shared" si="119"/>
        <v>0</v>
      </c>
      <c r="DS76" s="65"/>
      <c r="DT76" s="74" t="s">
        <v>1945</v>
      </c>
      <c r="DU76" s="73">
        <f t="shared" si="119"/>
        <v>0</v>
      </c>
      <c r="DV76" s="65"/>
      <c r="DW76" s="74" t="s">
        <v>1955</v>
      </c>
      <c r="DX76" s="73">
        <f t="shared" si="122"/>
        <v>0</v>
      </c>
      <c r="DY76" s="65"/>
      <c r="DZ76" s="74" t="s">
        <v>1960</v>
      </c>
      <c r="EA76" s="73">
        <f t="shared" si="122"/>
        <v>0</v>
      </c>
      <c r="EB76" s="65"/>
      <c r="EC76" s="74" t="s">
        <v>1960</v>
      </c>
      <c r="ED76" s="73">
        <f t="shared" si="122"/>
        <v>0</v>
      </c>
      <c r="EE76" s="65"/>
      <c r="EF76" s="74" t="s">
        <v>1949</v>
      </c>
      <c r="EG76" s="73">
        <f t="shared" si="122"/>
        <v>0</v>
      </c>
      <c r="EH76" s="65"/>
      <c r="EI76" s="74"/>
      <c r="EJ76" s="73">
        <f t="shared" si="122"/>
        <v>0</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124"/>
        <v>0</v>
      </c>
      <c r="R77" s="49"/>
      <c r="S77" s="80" t="s">
        <v>1942</v>
      </c>
      <c r="T77" s="81">
        <f t="shared" si="125"/>
        <v>0</v>
      </c>
      <c r="U77" s="65"/>
      <c r="V77" s="80" t="s">
        <v>1944</v>
      </c>
      <c r="W77" s="81">
        <f t="shared" si="126"/>
        <v>0</v>
      </c>
      <c r="X77" s="65"/>
      <c r="Y77" s="80" t="s">
        <v>1956</v>
      </c>
      <c r="Z77" s="81">
        <f t="shared" si="120"/>
        <v>0</v>
      </c>
      <c r="AA77" s="65"/>
      <c r="AB77" s="80" t="s">
        <v>1944</v>
      </c>
      <c r="AC77" s="81">
        <f t="shared" si="120"/>
        <v>0</v>
      </c>
      <c r="AD77" s="65"/>
      <c r="AE77" s="80" t="s">
        <v>1949</v>
      </c>
      <c r="AF77" s="81">
        <f t="shared" si="120"/>
        <v>0</v>
      </c>
      <c r="AG77" s="65"/>
      <c r="AH77" s="80" t="s">
        <v>1954</v>
      </c>
      <c r="AI77" s="81">
        <f t="shared" si="120"/>
        <v>0</v>
      </c>
      <c r="AJ77" s="65"/>
      <c r="AK77" s="80" t="s">
        <v>1944</v>
      </c>
      <c r="AL77" s="81">
        <f t="shared" si="120"/>
        <v>0</v>
      </c>
      <c r="AM77" s="65"/>
      <c r="AN77" s="80" t="s">
        <v>1954</v>
      </c>
      <c r="AO77" s="81">
        <f t="shared" si="120"/>
        <v>0</v>
      </c>
      <c r="AP77" s="65"/>
      <c r="AQ77" s="80" t="s">
        <v>1944</v>
      </c>
      <c r="AR77" s="81">
        <f t="shared" si="120"/>
        <v>0</v>
      </c>
      <c r="AS77" s="65"/>
      <c r="AT77" s="80" t="s">
        <v>1948</v>
      </c>
      <c r="AU77" s="81">
        <f t="shared" si="120"/>
        <v>0</v>
      </c>
      <c r="AV77" s="65"/>
      <c r="AW77" s="80" t="s">
        <v>1944</v>
      </c>
      <c r="AX77" s="81">
        <f t="shared" si="120"/>
        <v>0</v>
      </c>
      <c r="AY77" s="65"/>
      <c r="AZ77" s="80" t="s">
        <v>1946</v>
      </c>
      <c r="BA77" s="81">
        <f t="shared" si="120"/>
        <v>0</v>
      </c>
      <c r="BB77" s="65"/>
      <c r="BC77" s="80" t="s">
        <v>1942</v>
      </c>
      <c r="BD77" s="81">
        <f t="shared" si="120"/>
        <v>0</v>
      </c>
      <c r="BE77" s="65"/>
      <c r="BF77" s="80" t="s">
        <v>1954</v>
      </c>
      <c r="BG77" s="81">
        <f t="shared" si="120"/>
        <v>0</v>
      </c>
      <c r="BH77" s="65"/>
      <c r="BI77" s="80" t="s">
        <v>1956</v>
      </c>
      <c r="BJ77" s="81">
        <f t="shared" si="120"/>
        <v>0</v>
      </c>
      <c r="BK77" s="65"/>
      <c r="BL77" s="80" t="s">
        <v>1946</v>
      </c>
      <c r="BM77" s="81">
        <f t="shared" si="120"/>
        <v>0</v>
      </c>
      <c r="BN77" s="65"/>
      <c r="BO77" s="80" t="s">
        <v>1942</v>
      </c>
      <c r="BP77" s="81">
        <f t="shared" si="120"/>
        <v>0</v>
      </c>
      <c r="BQ77" s="65"/>
      <c r="BR77" s="80" t="s">
        <v>1942</v>
      </c>
      <c r="BS77" s="81">
        <f t="shared" si="120"/>
        <v>0</v>
      </c>
      <c r="BT77" s="65"/>
      <c r="BU77" s="80" t="s">
        <v>1948</v>
      </c>
      <c r="BV77" s="81">
        <f t="shared" si="120"/>
        <v>0</v>
      </c>
      <c r="BW77" s="65"/>
      <c r="BX77" s="80" t="s">
        <v>1946</v>
      </c>
      <c r="BY77" s="81">
        <f t="shared" si="120"/>
        <v>0</v>
      </c>
      <c r="BZ77" s="65"/>
      <c r="CA77" s="80" t="s">
        <v>1942</v>
      </c>
      <c r="CB77" s="81">
        <f t="shared" si="120"/>
        <v>0</v>
      </c>
      <c r="CC77" s="65"/>
      <c r="CD77" s="80" t="s">
        <v>1954</v>
      </c>
      <c r="CE77" s="81">
        <f t="shared" si="120"/>
        <v>0</v>
      </c>
      <c r="CF77" s="65"/>
      <c r="CG77" s="80" t="s">
        <v>1954</v>
      </c>
      <c r="CH77" s="81">
        <f t="shared" si="120"/>
        <v>0</v>
      </c>
      <c r="CI77" s="65"/>
      <c r="CJ77" s="80" t="s">
        <v>1948</v>
      </c>
      <c r="CK77" s="81">
        <f t="shared" si="119"/>
        <v>0</v>
      </c>
      <c r="CL77" s="65"/>
      <c r="CM77" s="80" t="s">
        <v>1948</v>
      </c>
      <c r="CN77" s="81">
        <f t="shared" si="119"/>
        <v>0</v>
      </c>
      <c r="CO77" s="65"/>
      <c r="CP77" s="80" t="s">
        <v>1954</v>
      </c>
      <c r="CQ77" s="81">
        <f t="shared" si="119"/>
        <v>0</v>
      </c>
      <c r="CR77" s="65"/>
      <c r="CS77" s="80" t="s">
        <v>1948</v>
      </c>
      <c r="CT77" s="81">
        <f t="shared" si="119"/>
        <v>0</v>
      </c>
      <c r="CU77" s="65"/>
      <c r="CV77" s="80" t="s">
        <v>1948</v>
      </c>
      <c r="CW77" s="81">
        <f t="shared" si="119"/>
        <v>0</v>
      </c>
      <c r="CX77" s="65"/>
      <c r="CY77" s="80" t="s">
        <v>1944</v>
      </c>
      <c r="CZ77" s="81">
        <f t="shared" si="119"/>
        <v>0</v>
      </c>
      <c r="DA77" s="65"/>
      <c r="DB77" s="80" t="s">
        <v>1948</v>
      </c>
      <c r="DC77" s="81">
        <f t="shared" si="119"/>
        <v>0</v>
      </c>
      <c r="DD77" s="65"/>
      <c r="DE77" s="80" t="s">
        <v>1944</v>
      </c>
      <c r="DF77" s="81">
        <f t="shared" si="119"/>
        <v>0</v>
      </c>
      <c r="DG77" s="65"/>
      <c r="DH77" s="80" t="s">
        <v>1942</v>
      </c>
      <c r="DI77" s="81">
        <f t="shared" si="119"/>
        <v>0</v>
      </c>
      <c r="DJ77" s="65"/>
      <c r="DK77" s="80" t="s">
        <v>1944</v>
      </c>
      <c r="DL77" s="81">
        <f t="shared" si="119"/>
        <v>0</v>
      </c>
      <c r="DM77" s="65"/>
      <c r="DN77" s="795" t="s">
        <v>1948</v>
      </c>
      <c r="DO77" s="81">
        <f t="shared" si="119"/>
        <v>0</v>
      </c>
      <c r="DP77" s="65"/>
      <c r="DQ77" s="795" t="s">
        <v>1948</v>
      </c>
      <c r="DR77" s="81">
        <f t="shared" si="119"/>
        <v>0</v>
      </c>
      <c r="DS77" s="65"/>
      <c r="DT77" s="80" t="s">
        <v>1956</v>
      </c>
      <c r="DU77" s="81">
        <f t="shared" si="119"/>
        <v>0</v>
      </c>
      <c r="DV77" s="65"/>
      <c r="DW77" s="80" t="s">
        <v>1946</v>
      </c>
      <c r="DX77" s="81">
        <f t="shared" si="122"/>
        <v>0</v>
      </c>
      <c r="DY77" s="65"/>
      <c r="DZ77" s="80" t="s">
        <v>1946</v>
      </c>
      <c r="EA77" s="81">
        <f t="shared" si="122"/>
        <v>0</v>
      </c>
      <c r="EB77" s="65"/>
      <c r="EC77" s="80" t="s">
        <v>1946</v>
      </c>
      <c r="ED77" s="81">
        <f t="shared" si="122"/>
        <v>0</v>
      </c>
      <c r="EE77" s="65"/>
      <c r="EF77" s="80" t="s">
        <v>1948</v>
      </c>
      <c r="EG77" s="81">
        <f t="shared" si="122"/>
        <v>0</v>
      </c>
      <c r="EH77" s="65"/>
      <c r="EI77" s="80"/>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24</v>
      </c>
      <c r="U78" s="64"/>
      <c r="V78" s="82"/>
      <c r="W78" s="83">
        <f>SUM(W6:W77)</f>
        <v>16</v>
      </c>
      <c r="X78" s="64"/>
      <c r="Y78" s="82"/>
      <c r="Z78" s="83">
        <f t="shared" ref="Z78" si="127">SUM(Z6:Z77)</f>
        <v>27</v>
      </c>
      <c r="AA78" s="64"/>
      <c r="AB78" s="82"/>
      <c r="AC78" s="83">
        <f t="shared" ref="AC78" si="128">SUM(AC6:AC77)</f>
        <v>29</v>
      </c>
      <c r="AD78" s="64"/>
      <c r="AE78" s="82"/>
      <c r="AF78" s="83">
        <f t="shared" ref="AF78" si="129">SUM(AF6:AF77)</f>
        <v>19</v>
      </c>
      <c r="AG78" s="64"/>
      <c r="AH78" s="82"/>
      <c r="AI78" s="83">
        <f t="shared" ref="AI78" si="130">SUM(AI6:AI77)</f>
        <v>27</v>
      </c>
      <c r="AJ78" s="64"/>
      <c r="AK78" s="82"/>
      <c r="AL78" s="83">
        <f t="shared" ref="AL78" si="131">SUM(AL6:AL77)</f>
        <v>17</v>
      </c>
      <c r="AM78" s="64"/>
      <c r="AN78" s="82"/>
      <c r="AO78" s="83">
        <f t="shared" ref="AO78" si="132">SUM(AO6:AO77)</f>
        <v>24</v>
      </c>
      <c r="AP78" s="64"/>
      <c r="AQ78" s="82"/>
      <c r="AR78" s="83">
        <f t="shared" ref="AR78" si="133">SUM(AR6:AR77)</f>
        <v>32</v>
      </c>
      <c r="AS78" s="64"/>
      <c r="AT78" s="82"/>
      <c r="AU78" s="83">
        <f t="shared" ref="AU78" si="134">SUM(AU6:AU77)</f>
        <v>20</v>
      </c>
      <c r="AV78" s="64"/>
      <c r="AW78" s="82"/>
      <c r="AX78" s="83">
        <f t="shared" ref="AX78" si="135">SUM(AX6:AX77)</f>
        <v>19</v>
      </c>
      <c r="AY78" s="64"/>
      <c r="AZ78" s="82"/>
      <c r="BA78" s="83">
        <f t="shared" ref="BA78" si="136">SUM(BA6:BA77)</f>
        <v>24</v>
      </c>
      <c r="BB78" s="64"/>
      <c r="BC78" s="82"/>
      <c r="BD78" s="83">
        <f t="shared" ref="BD78" si="137">SUM(BD6:BD77)</f>
        <v>22</v>
      </c>
      <c r="BE78" s="64"/>
      <c r="BF78" s="82"/>
      <c r="BG78" s="83">
        <f t="shared" ref="BG78" si="138">SUM(BG6:BG77)</f>
        <v>23</v>
      </c>
      <c r="BH78" s="64"/>
      <c r="BI78" s="82"/>
      <c r="BJ78" s="83">
        <f t="shared" ref="BJ78" si="139">SUM(BJ6:BJ77)</f>
        <v>27</v>
      </c>
      <c r="BK78" s="64"/>
      <c r="BL78" s="82"/>
      <c r="BM78" s="83">
        <f t="shared" ref="BM78" si="140">SUM(BM6:BM77)</f>
        <v>15</v>
      </c>
      <c r="BN78" s="64"/>
      <c r="BO78" s="82"/>
      <c r="BP78" s="83">
        <f t="shared" ref="BP78" si="141">SUM(BP6:BP77)</f>
        <v>21</v>
      </c>
      <c r="BQ78" s="64"/>
      <c r="BR78" s="82"/>
      <c r="BS78" s="83">
        <f t="shared" ref="BS78" si="142">SUM(BS6:BS77)</f>
        <v>28</v>
      </c>
      <c r="BT78" s="64"/>
      <c r="BU78" s="82"/>
      <c r="BV78" s="83">
        <f t="shared" ref="BV78" si="143">SUM(BV6:BV77)</f>
        <v>17</v>
      </c>
      <c r="BW78" s="64"/>
      <c r="BX78" s="82"/>
      <c r="BY78" s="83">
        <f t="shared" ref="BY78" si="144">SUM(BY6:BY77)</f>
        <v>14</v>
      </c>
      <c r="BZ78" s="64"/>
      <c r="CA78" s="82"/>
      <c r="CB78" s="83">
        <f t="shared" ref="CB78" si="145">SUM(CB6:CB77)</f>
        <v>20</v>
      </c>
      <c r="CC78" s="64"/>
      <c r="CD78" s="82"/>
      <c r="CE78" s="83">
        <f t="shared" ref="CE78" si="146">SUM(CE6:CE77)</f>
        <v>33</v>
      </c>
      <c r="CF78" s="64"/>
      <c r="CG78" s="82"/>
      <c r="CH78" s="83">
        <f t="shared" ref="CH78" si="147">SUM(CH6:CH77)</f>
        <v>20</v>
      </c>
      <c r="CI78" s="64"/>
      <c r="CJ78" s="82"/>
      <c r="CK78" s="83">
        <f t="shared" ref="CK78" si="148">SUM(CK6:CK77)</f>
        <v>27</v>
      </c>
      <c r="CL78" s="64"/>
      <c r="CM78" s="82"/>
      <c r="CN78" s="83">
        <f t="shared" ref="CN78" si="149">SUM(CN6:CN77)</f>
        <v>20</v>
      </c>
      <c r="CO78" s="64"/>
      <c r="CP78" s="82"/>
      <c r="CQ78" s="83">
        <f t="shared" ref="CQ78" si="150">SUM(CQ6:CQ77)</f>
        <v>18</v>
      </c>
      <c r="CR78" s="64"/>
      <c r="CS78" s="82"/>
      <c r="CT78" s="83">
        <f t="shared" ref="CT78" si="151">SUM(CT6:CT77)</f>
        <v>15</v>
      </c>
      <c r="CU78" s="64"/>
      <c r="CV78" s="82"/>
      <c r="CW78" s="83">
        <f t="shared" ref="CW78" si="152">SUM(CW6:CW77)</f>
        <v>30</v>
      </c>
      <c r="CX78" s="64"/>
      <c r="CY78" s="82"/>
      <c r="CZ78" s="83">
        <f t="shared" ref="CZ78" si="153">SUM(CZ6:CZ77)</f>
        <v>25</v>
      </c>
      <c r="DA78" s="64"/>
      <c r="DB78" s="82"/>
      <c r="DC78" s="83">
        <f t="shared" ref="DC78" si="154">SUM(DC6:DC77)</f>
        <v>21</v>
      </c>
      <c r="DD78" s="64"/>
      <c r="DE78" s="82"/>
      <c r="DF78" s="83">
        <f t="shared" ref="DF78" si="155">SUM(DF6:DF77)</f>
        <v>18</v>
      </c>
      <c r="DG78" s="64"/>
      <c r="DH78" s="82"/>
      <c r="DI78" s="83">
        <f t="shared" ref="DI78" si="156">SUM(DI6:DI77)</f>
        <v>18</v>
      </c>
      <c r="DJ78" s="64"/>
      <c r="DK78" s="82"/>
      <c r="DL78" s="83">
        <f t="shared" ref="DL78" si="157">SUM(DL6:DL77)</f>
        <v>24</v>
      </c>
      <c r="DM78" s="64"/>
      <c r="DN78" s="796"/>
      <c r="DO78" s="83">
        <f t="shared" ref="DO78" si="158">SUM(DO6:DO77)</f>
        <v>22</v>
      </c>
      <c r="DP78" s="64"/>
      <c r="DQ78" s="796"/>
      <c r="DR78" s="83">
        <f t="shared" ref="DR78" si="159">SUM(DR6:DR77)</f>
        <v>9</v>
      </c>
      <c r="DS78" s="64"/>
      <c r="DT78" s="82"/>
      <c r="DU78" s="83">
        <f t="shared" ref="DU78" si="160">SUM(DU6:DU77)</f>
        <v>20</v>
      </c>
      <c r="DV78" s="64"/>
      <c r="DW78" s="82"/>
      <c r="DX78" s="83">
        <f t="shared" ref="DX78" si="161">SUM(DX6:DX77)</f>
        <v>37</v>
      </c>
      <c r="DY78" s="64"/>
      <c r="DZ78" s="82"/>
      <c r="EA78" s="83">
        <f t="shared" ref="EA78" si="162">SUM(EA6:EA77)</f>
        <v>21</v>
      </c>
      <c r="EB78" s="64"/>
      <c r="EC78" s="82"/>
      <c r="ED78" s="83">
        <f t="shared" ref="ED78" si="163">SUM(ED6:ED77)</f>
        <v>18</v>
      </c>
      <c r="EE78" s="64"/>
      <c r="EF78" s="82"/>
      <c r="EG78" s="83">
        <f t="shared" ref="EG78" si="164">SUM(EG6:EG77)</f>
        <v>19</v>
      </c>
      <c r="EH78" s="64"/>
      <c r="EI78" s="82"/>
      <c r="EJ78" s="83">
        <f t="shared" ref="EJ78" si="165">SUM(EJ6:EJ77)</f>
        <v>0</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2"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175">($M80=V80)*$D$11</f>
        <v>0</v>
      </c>
      <c r="X80" s="64"/>
      <c r="Y80" s="76" t="s">
        <v>1265</v>
      </c>
      <c r="Z80" s="77">
        <f t="shared" ref="Z80" ca="1" si="176">($M80=Y80)*$D$11</f>
        <v>0</v>
      </c>
      <c r="AA80" s="64"/>
      <c r="AB80" s="76" t="s">
        <v>1265</v>
      </c>
      <c r="AC80" s="77">
        <f t="shared" ref="AC80" ca="1" si="177">($M80=AB80)*$D$11</f>
        <v>0</v>
      </c>
      <c r="AD80" s="64"/>
      <c r="AE80" s="76" t="s">
        <v>1265</v>
      </c>
      <c r="AF80" s="77">
        <f t="shared" ref="AF80" ca="1" si="178">($M80=AE80)*$D$11</f>
        <v>0</v>
      </c>
      <c r="AG80" s="64"/>
      <c r="AH80" s="76" t="s">
        <v>1265</v>
      </c>
      <c r="AI80" s="77">
        <f t="shared" ref="AI80" ca="1" si="179">($M80=AH80)*$D$11</f>
        <v>0</v>
      </c>
      <c r="AJ80" s="64"/>
      <c r="AK80" s="76" t="s">
        <v>1265</v>
      </c>
      <c r="AL80" s="77">
        <f t="shared" ref="AL80" ca="1" si="180">($M80=AK80)*$D$11</f>
        <v>0</v>
      </c>
      <c r="AM80" s="64"/>
      <c r="AN80" s="76" t="s">
        <v>1265</v>
      </c>
      <c r="AO80" s="77">
        <f t="shared" ref="AO80" ca="1" si="181">($M80=AN80)*$D$11</f>
        <v>0</v>
      </c>
      <c r="AP80" s="64"/>
      <c r="AQ80" s="76" t="s">
        <v>1265</v>
      </c>
      <c r="AR80" s="77">
        <f t="shared" ref="AR80" ca="1" si="182">($M80=AQ80)*$D$11</f>
        <v>0</v>
      </c>
      <c r="AS80" s="64"/>
      <c r="AT80" s="76" t="s">
        <v>1265</v>
      </c>
      <c r="AU80" s="77">
        <f t="shared" ref="AU80" ca="1" si="183">($M80=AT80)*$D$11</f>
        <v>0</v>
      </c>
      <c r="AV80" s="64"/>
      <c r="AW80" s="76" t="s">
        <v>1265</v>
      </c>
      <c r="AX80" s="77">
        <f t="shared" ref="AX80" ca="1" si="184">($M80=AW80)*$D$11</f>
        <v>0</v>
      </c>
      <c r="AY80" s="64"/>
      <c r="AZ80" s="76" t="s">
        <v>1265</v>
      </c>
      <c r="BA80" s="77">
        <f t="shared" ref="BA80" ca="1" si="185">($M80=AZ80)*$D$11</f>
        <v>0</v>
      </c>
      <c r="BB80" s="64"/>
      <c r="BC80" s="76" t="s">
        <v>1260</v>
      </c>
      <c r="BD80" s="77">
        <f t="shared" ref="BD80" ca="1" si="186">($M80=BC80)*$D$11</f>
        <v>0</v>
      </c>
      <c r="BE80" s="64"/>
      <c r="BF80" s="76" t="s">
        <v>1265</v>
      </c>
      <c r="BG80" s="77">
        <f t="shared" ref="BG80" ca="1" si="187">($M80=BF80)*$D$11</f>
        <v>0</v>
      </c>
      <c r="BH80" s="64"/>
      <c r="BI80" s="76" t="s">
        <v>1265</v>
      </c>
      <c r="BJ80" s="77">
        <f t="shared" ref="BJ80" ca="1" si="188">($M80=BI80)*$D$11</f>
        <v>0</v>
      </c>
      <c r="BK80" s="64"/>
      <c r="BL80" s="76" t="s">
        <v>1265</v>
      </c>
      <c r="BM80" s="77">
        <f t="shared" ref="BM80" ca="1" si="189">($M80=BL80)*$D$11</f>
        <v>0</v>
      </c>
      <c r="BN80" s="64"/>
      <c r="BO80" s="76" t="s">
        <v>1265</v>
      </c>
      <c r="BP80" s="77">
        <f t="shared" ref="BP80" ca="1" si="190">($M80=BO80)*$D$11</f>
        <v>0</v>
      </c>
      <c r="BQ80" s="64"/>
      <c r="BR80" s="76" t="s">
        <v>1265</v>
      </c>
      <c r="BS80" s="77">
        <f t="shared" ref="BS80" ca="1" si="191">($M80=BR80)*$D$11</f>
        <v>0</v>
      </c>
      <c r="BT80" s="64"/>
      <c r="BU80" s="76" t="s">
        <v>1260</v>
      </c>
      <c r="BV80" s="77">
        <f t="shared" ref="BV80" ca="1" si="192">($M80=BU80)*$D$11</f>
        <v>0</v>
      </c>
      <c r="BW80" s="64"/>
      <c r="BX80" s="76" t="s">
        <v>1265</v>
      </c>
      <c r="BY80" s="77">
        <f t="shared" ref="BY80" ca="1" si="193">($M80=BX80)*$D$11</f>
        <v>0</v>
      </c>
      <c r="BZ80" s="64"/>
      <c r="CA80" s="76" t="s">
        <v>1260</v>
      </c>
      <c r="CB80" s="77">
        <f t="shared" ref="CB80" ca="1" si="194">($M80=CA80)*$D$11</f>
        <v>0</v>
      </c>
      <c r="CC80" s="64"/>
      <c r="CD80" s="76" t="s">
        <v>1265</v>
      </c>
      <c r="CE80" s="77">
        <f t="shared" ref="CE80" ca="1" si="195">($M80=CD80)*$D$11</f>
        <v>0</v>
      </c>
      <c r="CF80" s="64"/>
      <c r="CG80" s="76" t="s">
        <v>1265</v>
      </c>
      <c r="CH80" s="77">
        <f t="shared" ref="CH80" ca="1" si="196">($M80=CG80)*$D$11</f>
        <v>0</v>
      </c>
      <c r="CI80" s="64"/>
      <c r="CJ80" s="76" t="s">
        <v>1265</v>
      </c>
      <c r="CK80" s="77">
        <f t="shared" ref="CK80" ca="1" si="197">($M80=CJ80)*$D$11</f>
        <v>0</v>
      </c>
      <c r="CL80" s="64"/>
      <c r="CM80" s="76" t="s">
        <v>1265</v>
      </c>
      <c r="CN80" s="77">
        <f t="shared" ref="CN80" ca="1" si="198">($M80=CM80)*$D$11</f>
        <v>0</v>
      </c>
      <c r="CO80" s="64"/>
      <c r="CP80" s="76" t="s">
        <v>1265</v>
      </c>
      <c r="CQ80" s="77">
        <f t="shared" ref="CQ80" ca="1" si="199">($M80=CP80)*$D$11</f>
        <v>0</v>
      </c>
      <c r="CR80" s="64"/>
      <c r="CS80" s="76" t="s">
        <v>1265</v>
      </c>
      <c r="CT80" s="77">
        <f t="shared" ref="CT80" ca="1" si="200">($M80=CS80)*$D$11</f>
        <v>0</v>
      </c>
      <c r="CU80" s="64"/>
      <c r="CV80" s="76" t="s">
        <v>1265</v>
      </c>
      <c r="CW80" s="77">
        <f t="shared" ref="CW80" ca="1" si="201">($M80=CV80)*$D$11</f>
        <v>0</v>
      </c>
      <c r="CX80" s="64"/>
      <c r="CY80" s="76" t="s">
        <v>1265</v>
      </c>
      <c r="CZ80" s="77">
        <f t="shared" ref="CZ80" ca="1" si="202">($M80=CY80)*$D$11</f>
        <v>0</v>
      </c>
      <c r="DA80" s="64"/>
      <c r="DB80" s="76" t="s">
        <v>1265</v>
      </c>
      <c r="DC80" s="77">
        <f t="shared" ref="DC80" ca="1" si="203">($M80=DB80)*$D$11</f>
        <v>0</v>
      </c>
      <c r="DD80" s="64"/>
      <c r="DE80" s="76" t="s">
        <v>1265</v>
      </c>
      <c r="DF80" s="77">
        <f t="shared" ref="DF80" ca="1" si="204">($M80=DE80)*$D$11</f>
        <v>0</v>
      </c>
      <c r="DG80" s="64"/>
      <c r="DH80" s="76" t="s">
        <v>1260</v>
      </c>
      <c r="DI80" s="77">
        <f t="shared" ref="DI80" ca="1" si="205">($M80=DH80)*$D$11</f>
        <v>0</v>
      </c>
      <c r="DJ80" s="64"/>
      <c r="DK80" s="76" t="s">
        <v>1843</v>
      </c>
      <c r="DL80" s="77">
        <f t="shared" ref="DL80" ca="1" si="206">($M80=DK80)*$D$11</f>
        <v>0</v>
      </c>
      <c r="DM80" s="64"/>
      <c r="DN80" s="795" t="s">
        <v>1265</v>
      </c>
      <c r="DO80" s="77">
        <f t="shared" ref="DO80" ca="1" si="207">($M80=DN80)*$D$11</f>
        <v>0</v>
      </c>
      <c r="DP80" s="64"/>
      <c r="DQ80" s="795" t="s">
        <v>1265</v>
      </c>
      <c r="DR80" s="77">
        <f t="shared" ref="DR80" ca="1" si="208">($M80=DQ80)*$D$11</f>
        <v>0</v>
      </c>
      <c r="DS80" s="64"/>
      <c r="DT80" s="76" t="s">
        <v>1265</v>
      </c>
      <c r="DU80" s="77">
        <f t="shared" ref="DU80" ca="1" si="209">($M80=DT80)*$D$11</f>
        <v>0</v>
      </c>
      <c r="DV80" s="64"/>
      <c r="DW80" s="76" t="s">
        <v>1265</v>
      </c>
      <c r="DX80" s="77">
        <f t="shared" ref="DX80" ca="1" si="210">($M80=DW80)*$D$11</f>
        <v>0</v>
      </c>
      <c r="DY80" s="64"/>
      <c r="DZ80" s="76" t="s">
        <v>1265</v>
      </c>
      <c r="EA80" s="77">
        <f t="shared" ref="EA80" ca="1" si="211">($M80=DZ80)*$D$11</f>
        <v>0</v>
      </c>
      <c r="EB80" s="64"/>
      <c r="EC80" s="76" t="s">
        <v>1265</v>
      </c>
      <c r="ED80" s="77">
        <f t="shared" ref="ED80" ca="1" si="212">($M80=EC80)*$D$11</f>
        <v>0</v>
      </c>
      <c r="EE80" s="64"/>
      <c r="EF80" s="76" t="s">
        <v>1265</v>
      </c>
      <c r="EG80" s="77">
        <f t="shared" ref="EG80" ca="1" si="213">($M80=EF80)*$D$11</f>
        <v>0</v>
      </c>
      <c r="EH80" s="64"/>
      <c r="EI80" s="76"/>
      <c r="EJ80" s="77">
        <f t="shared" ref="EJ80" ca="1" si="214">($M80=EI80)*$D$11</f>
        <v>0</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2"/>
      <c r="K81" s="56" t="str">
        <f>Idiomas!D151</f>
        <v>2º GRUPO A</v>
      </c>
      <c r="L81" s="53"/>
      <c r="M81" s="55" t="str">
        <f ca="1">IF(OR(SUM(WORLDCUP!$AN$6:$AN$9)=12,WORLDCUP!$AJ$99=144),WORLDCUP!AL7,LEFT(K81,1)&amp;RIGHT(K81,1))</f>
        <v>2A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2"/>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1260</v>
      </c>
      <c r="W82" s="73">
        <f t="shared" ref="W82" ca="1" si="273">($M82=V82)*$D$13</f>
        <v>0</v>
      </c>
      <c r="X82" s="64"/>
      <c r="Y82" s="74" t="s">
        <v>1260</v>
      </c>
      <c r="Z82" s="73">
        <f t="shared" ref="Z82" ca="1" si="274">($M82=Y82)*$D$13</f>
        <v>0</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0</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0</v>
      </c>
      <c r="BH82" s="64"/>
      <c r="BI82" s="74" t="s">
        <v>1260</v>
      </c>
      <c r="BJ82" s="73">
        <f t="shared" ref="BJ82" ca="1" si="286">($M82=BI82)*$D$13</f>
        <v>0</v>
      </c>
      <c r="BK82" s="64"/>
      <c r="BL82" s="74" t="s">
        <v>1630</v>
      </c>
      <c r="BM82" s="73">
        <f t="shared" ref="BM82" ca="1" si="287">($M82=BL82)*$D$13</f>
        <v>0</v>
      </c>
      <c r="BN82" s="64"/>
      <c r="BO82" s="74" t="s">
        <v>1843</v>
      </c>
      <c r="BP82" s="73">
        <f t="shared" ref="BP82" ca="1" si="288">($M82=BO82)*$D$13</f>
        <v>0</v>
      </c>
      <c r="BQ82" s="64"/>
      <c r="BR82" s="74" t="s">
        <v>1260</v>
      </c>
      <c r="BS82" s="73">
        <f t="shared" ref="BS82" ca="1" si="289">($M82=BR82)*$D$13</f>
        <v>0</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0</v>
      </c>
      <c r="CU82" s="64"/>
      <c r="CV82" s="74" t="s">
        <v>1843</v>
      </c>
      <c r="CW82" s="73">
        <f t="shared" ref="CW82" ca="1" si="299">($M82=CV82)*$D$13</f>
        <v>0</v>
      </c>
      <c r="CX82" s="64"/>
      <c r="CY82" s="74" t="s">
        <v>1260</v>
      </c>
      <c r="CZ82" s="73">
        <f t="shared" ref="CZ82" ca="1" si="300">($M82=CY82)*$D$13</f>
        <v>0</v>
      </c>
      <c r="DA82" s="64"/>
      <c r="DB82" s="74" t="s">
        <v>1260</v>
      </c>
      <c r="DC82" s="73">
        <f t="shared" ref="DC82" ca="1" si="301">($M82=DB82)*$D$13</f>
        <v>0</v>
      </c>
      <c r="DD82" s="64"/>
      <c r="DE82" s="74" t="s">
        <v>1260</v>
      </c>
      <c r="DF82" s="73">
        <f t="shared" ref="DF82" ca="1" si="302">($M82=DE82)*$D$13</f>
        <v>0</v>
      </c>
      <c r="DG82" s="64"/>
      <c r="DH82" s="74" t="s">
        <v>1843</v>
      </c>
      <c r="DI82" s="73">
        <f t="shared" ref="DI82" ca="1" si="303">($M82=DH82)*$D$13</f>
        <v>0</v>
      </c>
      <c r="DJ82" s="64"/>
      <c r="DK82" s="74" t="s">
        <v>1260</v>
      </c>
      <c r="DL82" s="73">
        <f t="shared" ref="DL82" ca="1" si="304">($M82=DK82)*$D$13</f>
        <v>0</v>
      </c>
      <c r="DM82" s="64"/>
      <c r="DN82" s="795" t="s">
        <v>1260</v>
      </c>
      <c r="DO82" s="73">
        <f t="shared" ref="DO82" ca="1" si="305">($M82=DN82)*$D$13</f>
        <v>0</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0</v>
      </c>
      <c r="EE82" s="64"/>
      <c r="EF82" s="74" t="s">
        <v>1843</v>
      </c>
      <c r="EG82" s="73">
        <f t="shared" ref="EG82" ca="1" si="311">($M82=EF82)*$D$13</f>
        <v>0</v>
      </c>
      <c r="EH82" s="64"/>
      <c r="EI82" s="74"/>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2"/>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0</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0</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51" t="s">
        <v>1</v>
      </c>
      <c r="K84" s="56" t="str">
        <f>Idiomas!D154</f>
        <v>1º GRUPO B</v>
      </c>
      <c r="L84" s="53"/>
      <c r="M84" s="55" t="str">
        <f ca="1">IF(OR(SUM(WORLDCUP!$AN$14:$AN$17)=12,WORLDCUP!$AJ$99=144),WORLDCUP!AL14,LEFT(K84,1)&amp;RIGHT(K84,1))</f>
        <v>1B</v>
      </c>
      <c r="N84" s="25"/>
      <c r="O84" s="25"/>
      <c r="P84" s="25"/>
      <c r="Q84" s="25"/>
      <c r="R84" s="110"/>
      <c r="S84" s="74" t="s">
        <v>1259</v>
      </c>
      <c r="T84" s="73">
        <f t="shared" ref="T84" ca="1" si="372">($M84=S84)*$D$11</f>
        <v>0</v>
      </c>
      <c r="U84" s="64"/>
      <c r="V84" s="74" t="s">
        <v>75</v>
      </c>
      <c r="W84" s="73">
        <f t="shared" ref="W84:CH84" ca="1" si="373">($M84=V84)*$D$11</f>
        <v>0</v>
      </c>
      <c r="X84" s="64"/>
      <c r="Y84" s="74" t="s">
        <v>75</v>
      </c>
      <c r="Z84" s="73">
        <f t="shared" ca="1" si="373"/>
        <v>0</v>
      </c>
      <c r="AA84" s="64"/>
      <c r="AB84" s="74" t="s">
        <v>75</v>
      </c>
      <c r="AC84" s="73">
        <f t="shared" ca="1" si="373"/>
        <v>0</v>
      </c>
      <c r="AD84" s="64"/>
      <c r="AE84" s="74" t="s">
        <v>75</v>
      </c>
      <c r="AF84" s="73">
        <f t="shared" ca="1" si="373"/>
        <v>0</v>
      </c>
      <c r="AG84" s="64"/>
      <c r="AH84" s="74" t="s">
        <v>75</v>
      </c>
      <c r="AI84" s="73">
        <f t="shared" ca="1" si="373"/>
        <v>0</v>
      </c>
      <c r="AJ84" s="64"/>
      <c r="AK84" s="74" t="s">
        <v>75</v>
      </c>
      <c r="AL84" s="73">
        <f t="shared" ca="1" si="373"/>
        <v>0</v>
      </c>
      <c r="AM84" s="64"/>
      <c r="AN84" s="74" t="s">
        <v>75</v>
      </c>
      <c r="AO84" s="73">
        <f t="shared" ca="1" si="373"/>
        <v>0</v>
      </c>
      <c r="AP84" s="64"/>
      <c r="AQ84" s="74" t="s">
        <v>75</v>
      </c>
      <c r="AR84" s="73">
        <f t="shared" ca="1" si="373"/>
        <v>0</v>
      </c>
      <c r="AS84" s="64"/>
      <c r="AT84" s="74" t="s">
        <v>75</v>
      </c>
      <c r="AU84" s="73">
        <f t="shared" ca="1" si="373"/>
        <v>0</v>
      </c>
      <c r="AV84" s="64"/>
      <c r="AW84" s="74" t="s">
        <v>1841</v>
      </c>
      <c r="AX84" s="73">
        <f t="shared" ca="1" si="373"/>
        <v>0</v>
      </c>
      <c r="AY84" s="64"/>
      <c r="AZ84" s="74" t="s">
        <v>75</v>
      </c>
      <c r="BA84" s="73">
        <f t="shared" ca="1" si="373"/>
        <v>0</v>
      </c>
      <c r="BB84" s="64"/>
      <c r="BC84" s="74" t="s">
        <v>75</v>
      </c>
      <c r="BD84" s="73">
        <f t="shared" ca="1" si="373"/>
        <v>0</v>
      </c>
      <c r="BE84" s="64"/>
      <c r="BF84" s="74" t="s">
        <v>75</v>
      </c>
      <c r="BG84" s="73">
        <f t="shared" ca="1" si="373"/>
        <v>0</v>
      </c>
      <c r="BH84" s="64"/>
      <c r="BI84" s="74" t="s">
        <v>75</v>
      </c>
      <c r="BJ84" s="73">
        <f t="shared" ca="1" si="373"/>
        <v>0</v>
      </c>
      <c r="BK84" s="64"/>
      <c r="BL84" s="74" t="s">
        <v>75</v>
      </c>
      <c r="BM84" s="73">
        <f t="shared" ca="1" si="373"/>
        <v>0</v>
      </c>
      <c r="BN84" s="64"/>
      <c r="BO84" s="74" t="s">
        <v>75</v>
      </c>
      <c r="BP84" s="73">
        <f t="shared" ca="1" si="373"/>
        <v>0</v>
      </c>
      <c r="BQ84" s="64"/>
      <c r="BR84" s="74" t="s">
        <v>75</v>
      </c>
      <c r="BS84" s="73">
        <f t="shared" ca="1" si="373"/>
        <v>0</v>
      </c>
      <c r="BT84" s="64"/>
      <c r="BU84" s="74" t="s">
        <v>75</v>
      </c>
      <c r="BV84" s="73">
        <f t="shared" ca="1" si="373"/>
        <v>0</v>
      </c>
      <c r="BW84" s="64"/>
      <c r="BX84" s="74" t="s">
        <v>75</v>
      </c>
      <c r="BY84" s="73">
        <f t="shared" ca="1" si="373"/>
        <v>0</v>
      </c>
      <c r="BZ84" s="64"/>
      <c r="CA84" s="74" t="s">
        <v>75</v>
      </c>
      <c r="CB84" s="73">
        <f t="shared" ca="1" si="373"/>
        <v>0</v>
      </c>
      <c r="CC84" s="64"/>
      <c r="CD84" s="74" t="s">
        <v>75</v>
      </c>
      <c r="CE84" s="73">
        <f t="shared" ca="1" si="373"/>
        <v>0</v>
      </c>
      <c r="CF84" s="64"/>
      <c r="CG84" s="74" t="s">
        <v>1259</v>
      </c>
      <c r="CH84" s="73">
        <f t="shared" ca="1" si="373"/>
        <v>0</v>
      </c>
      <c r="CI84" s="64"/>
      <c r="CJ84" s="74" t="s">
        <v>75</v>
      </c>
      <c r="CK84" s="73">
        <f t="shared" ref="CK84:EV84" ca="1" si="374">($M84=CJ84)*$D$11</f>
        <v>0</v>
      </c>
      <c r="CL84" s="64"/>
      <c r="CM84" s="74" t="s">
        <v>75</v>
      </c>
      <c r="CN84" s="73">
        <f t="shared" ca="1" si="374"/>
        <v>0</v>
      </c>
      <c r="CO84" s="64"/>
      <c r="CP84" s="74" t="s">
        <v>75</v>
      </c>
      <c r="CQ84" s="73">
        <f t="shared" ca="1" si="374"/>
        <v>0</v>
      </c>
      <c r="CR84" s="64"/>
      <c r="CS84" s="74" t="s">
        <v>75</v>
      </c>
      <c r="CT84" s="73">
        <f t="shared" ca="1" si="374"/>
        <v>0</v>
      </c>
      <c r="CU84" s="64"/>
      <c r="CV84" s="74" t="s">
        <v>75</v>
      </c>
      <c r="CW84" s="73">
        <f t="shared" ca="1" si="374"/>
        <v>0</v>
      </c>
      <c r="CX84" s="64"/>
      <c r="CY84" s="74" t="s">
        <v>75</v>
      </c>
      <c r="CZ84" s="73">
        <f t="shared" ca="1" si="374"/>
        <v>0</v>
      </c>
      <c r="DA84" s="64"/>
      <c r="DB84" s="74" t="s">
        <v>75</v>
      </c>
      <c r="DC84" s="73">
        <f t="shared" ca="1" si="374"/>
        <v>0</v>
      </c>
      <c r="DD84" s="64"/>
      <c r="DE84" s="74" t="s">
        <v>75</v>
      </c>
      <c r="DF84" s="73">
        <f t="shared" ca="1" si="374"/>
        <v>0</v>
      </c>
      <c r="DG84" s="64"/>
      <c r="DH84" s="74" t="s">
        <v>75</v>
      </c>
      <c r="DI84" s="73">
        <f t="shared" ca="1" si="374"/>
        <v>0</v>
      </c>
      <c r="DJ84" s="64"/>
      <c r="DK84" s="74" t="s">
        <v>75</v>
      </c>
      <c r="DL84" s="73">
        <f t="shared" ca="1" si="374"/>
        <v>0</v>
      </c>
      <c r="DM84" s="64"/>
      <c r="DN84" s="795" t="s">
        <v>75</v>
      </c>
      <c r="DO84" s="73">
        <f t="shared" ca="1" si="374"/>
        <v>0</v>
      </c>
      <c r="DP84" s="64"/>
      <c r="DQ84" s="795" t="s">
        <v>75</v>
      </c>
      <c r="DR84" s="73">
        <f t="shared" ca="1" si="374"/>
        <v>0</v>
      </c>
      <c r="DS84" s="64"/>
      <c r="DT84" s="74" t="s">
        <v>75</v>
      </c>
      <c r="DU84" s="73">
        <f t="shared" ca="1" si="374"/>
        <v>0</v>
      </c>
      <c r="DV84" s="64"/>
      <c r="DW84" s="74" t="s">
        <v>75</v>
      </c>
      <c r="DX84" s="73">
        <f t="shared" ca="1" si="374"/>
        <v>0</v>
      </c>
      <c r="DY84" s="64"/>
      <c r="DZ84" s="74" t="s">
        <v>1259</v>
      </c>
      <c r="EA84" s="73">
        <f t="shared" ca="1" si="374"/>
        <v>0</v>
      </c>
      <c r="EB84" s="64"/>
      <c r="EC84" s="74" t="s">
        <v>75</v>
      </c>
      <c r="ED84" s="73">
        <f t="shared" ca="1" si="374"/>
        <v>0</v>
      </c>
      <c r="EE84" s="64"/>
      <c r="EF84" s="74" t="s">
        <v>75</v>
      </c>
      <c r="EG84" s="73">
        <f t="shared" ca="1" si="374"/>
        <v>0</v>
      </c>
      <c r="EH84" s="64"/>
      <c r="EI84" s="74"/>
      <c r="EJ84" s="73">
        <f t="shared" ca="1" si="374"/>
        <v>0</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51"/>
      <c r="K85" s="56" t="str">
        <f>Idiomas!D155</f>
        <v>2º GRUPO B</v>
      </c>
      <c r="L85" s="53"/>
      <c r="M85" s="55" t="str">
        <f ca="1">IF(OR(SUM(WORLDCUP!$AN$14:$AN$17)=12,WORLDCUP!$AJ$99=144),WORLDCUP!AL15,LEFT(K85,1)&amp;RIGHT(K85,1))</f>
        <v>2B</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0</v>
      </c>
      <c r="AG85" s="64"/>
      <c r="AH85" s="74" t="s">
        <v>1259</v>
      </c>
      <c r="AI85" s="73">
        <f t="shared" ca="1" si="378"/>
        <v>0</v>
      </c>
      <c r="AJ85" s="64"/>
      <c r="AK85" s="74" t="s">
        <v>1841</v>
      </c>
      <c r="AL85" s="73">
        <f t="shared" ca="1" si="378"/>
        <v>0</v>
      </c>
      <c r="AM85" s="64"/>
      <c r="AN85" s="74" t="s">
        <v>1259</v>
      </c>
      <c r="AO85" s="73">
        <f t="shared" ca="1" si="378"/>
        <v>0</v>
      </c>
      <c r="AP85" s="64"/>
      <c r="AQ85" s="74" t="s">
        <v>1259</v>
      </c>
      <c r="AR85" s="73">
        <f t="shared" ca="1" si="378"/>
        <v>0</v>
      </c>
      <c r="AS85" s="64"/>
      <c r="AT85" s="74" t="s">
        <v>1841</v>
      </c>
      <c r="AU85" s="73">
        <f t="shared" ca="1" si="378"/>
        <v>0</v>
      </c>
      <c r="AV85" s="64"/>
      <c r="AW85" s="74" t="s">
        <v>75</v>
      </c>
      <c r="AX85" s="73">
        <f t="shared" ca="1" si="378"/>
        <v>0</v>
      </c>
      <c r="AY85" s="64"/>
      <c r="AZ85" s="74" t="s">
        <v>1259</v>
      </c>
      <c r="BA85" s="73">
        <f t="shared" ca="1" si="378"/>
        <v>0</v>
      </c>
      <c r="BB85" s="64"/>
      <c r="BC85" s="74" t="s">
        <v>1259</v>
      </c>
      <c r="BD85" s="73">
        <f t="shared" ca="1" si="378"/>
        <v>0</v>
      </c>
      <c r="BE85" s="64"/>
      <c r="BF85" s="74" t="s">
        <v>1259</v>
      </c>
      <c r="BG85" s="73">
        <f t="shared" ca="1" si="378"/>
        <v>0</v>
      </c>
      <c r="BH85" s="64"/>
      <c r="BI85" s="74" t="s">
        <v>1841</v>
      </c>
      <c r="BJ85" s="73">
        <f t="shared" ca="1" si="378"/>
        <v>0</v>
      </c>
      <c r="BK85" s="64"/>
      <c r="BL85" s="74" t="s">
        <v>1259</v>
      </c>
      <c r="BM85" s="73">
        <f t="shared" ca="1" si="378"/>
        <v>0</v>
      </c>
      <c r="BN85" s="64"/>
      <c r="BO85" s="74" t="s">
        <v>1259</v>
      </c>
      <c r="BP85" s="73">
        <f t="shared" ca="1" si="378"/>
        <v>0</v>
      </c>
      <c r="BQ85" s="64"/>
      <c r="BR85" s="74" t="s">
        <v>1841</v>
      </c>
      <c r="BS85" s="73">
        <f t="shared" ca="1" si="378"/>
        <v>0</v>
      </c>
      <c r="BT85" s="64"/>
      <c r="BU85" s="74" t="s">
        <v>1841</v>
      </c>
      <c r="BV85" s="73">
        <f t="shared" ca="1" si="378"/>
        <v>0</v>
      </c>
      <c r="BW85" s="64"/>
      <c r="BX85" s="74" t="s">
        <v>1259</v>
      </c>
      <c r="BY85" s="73">
        <f t="shared" ca="1" si="378"/>
        <v>0</v>
      </c>
      <c r="BZ85" s="64"/>
      <c r="CA85" s="74" t="s">
        <v>1259</v>
      </c>
      <c r="CB85" s="73">
        <f t="shared" ca="1" si="378"/>
        <v>0</v>
      </c>
      <c r="CC85" s="64"/>
      <c r="CD85" s="74" t="s">
        <v>1259</v>
      </c>
      <c r="CE85" s="73">
        <f t="shared" ca="1" si="378"/>
        <v>0</v>
      </c>
      <c r="CF85" s="64"/>
      <c r="CG85" s="74" t="s">
        <v>75</v>
      </c>
      <c r="CH85" s="73">
        <f t="shared" ca="1" si="378"/>
        <v>0</v>
      </c>
      <c r="CI85" s="64"/>
      <c r="CJ85" s="74" t="s">
        <v>1259</v>
      </c>
      <c r="CK85" s="73">
        <f t="shared" ref="CK85:EV85" ca="1" si="379">($M85=CJ85)*$D$12</f>
        <v>0</v>
      </c>
      <c r="CL85" s="64"/>
      <c r="CM85" s="74" t="s">
        <v>1259</v>
      </c>
      <c r="CN85" s="73">
        <f t="shared" ca="1" si="379"/>
        <v>0</v>
      </c>
      <c r="CO85" s="64"/>
      <c r="CP85" s="74" t="s">
        <v>1259</v>
      </c>
      <c r="CQ85" s="73">
        <f t="shared" ca="1" si="379"/>
        <v>0</v>
      </c>
      <c r="CR85" s="64"/>
      <c r="CS85" s="74" t="s">
        <v>1259</v>
      </c>
      <c r="CT85" s="73">
        <f t="shared" ca="1" si="379"/>
        <v>0</v>
      </c>
      <c r="CU85" s="64"/>
      <c r="CV85" s="74" t="s">
        <v>1841</v>
      </c>
      <c r="CW85" s="73">
        <f t="shared" ca="1" si="379"/>
        <v>0</v>
      </c>
      <c r="CX85" s="64"/>
      <c r="CY85" s="74" t="s">
        <v>1841</v>
      </c>
      <c r="CZ85" s="73">
        <f t="shared" ca="1" si="379"/>
        <v>0</v>
      </c>
      <c r="DA85" s="64"/>
      <c r="DB85" s="74" t="s">
        <v>1259</v>
      </c>
      <c r="DC85" s="73">
        <f t="shared" ca="1" si="379"/>
        <v>0</v>
      </c>
      <c r="DD85" s="64"/>
      <c r="DE85" s="74" t="s">
        <v>1259</v>
      </c>
      <c r="DF85" s="73">
        <f t="shared" ca="1" si="379"/>
        <v>0</v>
      </c>
      <c r="DG85" s="64"/>
      <c r="DH85" s="74" t="s">
        <v>1259</v>
      </c>
      <c r="DI85" s="73">
        <f t="shared" ca="1" si="379"/>
        <v>0</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0</v>
      </c>
      <c r="DV85" s="64"/>
      <c r="DW85" s="74" t="s">
        <v>1259</v>
      </c>
      <c r="DX85" s="73">
        <f t="shared" ca="1" si="379"/>
        <v>0</v>
      </c>
      <c r="DY85" s="64"/>
      <c r="DZ85" s="74" t="s">
        <v>75</v>
      </c>
      <c r="EA85" s="73">
        <f t="shared" ca="1" si="379"/>
        <v>0</v>
      </c>
      <c r="EB85" s="64"/>
      <c r="EC85" s="74" t="s">
        <v>1841</v>
      </c>
      <c r="ED85" s="73">
        <f t="shared" ca="1" si="379"/>
        <v>0</v>
      </c>
      <c r="EE85" s="64"/>
      <c r="EF85" s="74" t="s">
        <v>1259</v>
      </c>
      <c r="EG85" s="73">
        <f t="shared" ca="1" si="379"/>
        <v>0</v>
      </c>
      <c r="EH85" s="64"/>
      <c r="EI85" s="74"/>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51"/>
      <c r="K86" s="56" t="str">
        <f>Idiomas!D156</f>
        <v>3º GRUPO B</v>
      </c>
      <c r="L86" s="53"/>
      <c r="M86" s="55" t="str">
        <f ca="1">IF(OR(SUM(WORLDCUP!$AN$14:$AN$17)=12,WORLDCUP!$AJ$99=144),WORLDCUP!AL16,LEFT(K86,1)&amp;RIGHT(K86,1))</f>
        <v>3B</v>
      </c>
      <c r="N86" s="25"/>
      <c r="O86" s="25"/>
      <c r="P86" s="25"/>
      <c r="Q86" s="25"/>
      <c r="R86" s="110"/>
      <c r="S86" s="74" t="s">
        <v>1841</v>
      </c>
      <c r="T86" s="73">
        <f t="shared" ref="T86" ca="1" si="382">($M86=S86)*$D$13</f>
        <v>0</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0</v>
      </c>
      <c r="AG86" s="64"/>
      <c r="AH86" s="74" t="s">
        <v>1841</v>
      </c>
      <c r="AI86" s="73">
        <f t="shared" ca="1" si="383"/>
        <v>0</v>
      </c>
      <c r="AJ86" s="64"/>
      <c r="AK86" s="74" t="s">
        <v>1259</v>
      </c>
      <c r="AL86" s="73">
        <f t="shared" ca="1" si="383"/>
        <v>0</v>
      </c>
      <c r="AM86" s="64"/>
      <c r="AN86" s="74" t="s">
        <v>1841</v>
      </c>
      <c r="AO86" s="73">
        <f t="shared" ca="1" si="383"/>
        <v>0</v>
      </c>
      <c r="AP86" s="64"/>
      <c r="AQ86" s="74" t="s">
        <v>1841</v>
      </c>
      <c r="AR86" s="73">
        <f t="shared" ca="1" si="383"/>
        <v>0</v>
      </c>
      <c r="AS86" s="64"/>
      <c r="AT86" s="74" t="s">
        <v>1259</v>
      </c>
      <c r="AU86" s="73">
        <f t="shared" ca="1" si="383"/>
        <v>0</v>
      </c>
      <c r="AV86" s="64"/>
      <c r="AW86" s="74" t="s">
        <v>1259</v>
      </c>
      <c r="AX86" s="73">
        <f t="shared" ca="1" si="383"/>
        <v>0</v>
      </c>
      <c r="AY86" s="64"/>
      <c r="AZ86" s="74" t="s">
        <v>1841</v>
      </c>
      <c r="BA86" s="73">
        <f t="shared" ca="1" si="383"/>
        <v>0</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0</v>
      </c>
      <c r="BZ86" s="64"/>
      <c r="CA86" s="74" t="s">
        <v>1841</v>
      </c>
      <c r="CB86" s="73">
        <f t="shared" ca="1" si="383"/>
        <v>0</v>
      </c>
      <c r="CC86" s="64"/>
      <c r="CD86" s="74" t="s">
        <v>1841</v>
      </c>
      <c r="CE86" s="73">
        <f t="shared" ca="1" si="383"/>
        <v>0</v>
      </c>
      <c r="CF86" s="64"/>
      <c r="CG86" s="74" t="s">
        <v>1841</v>
      </c>
      <c r="CH86" s="73">
        <f t="shared" ca="1" si="383"/>
        <v>0</v>
      </c>
      <c r="CI86" s="64"/>
      <c r="CJ86" s="74" t="s">
        <v>1631</v>
      </c>
      <c r="CK86" s="73">
        <f t="shared" ref="CK86:EV86" ca="1" si="384">($M86=CJ86)*$D$13</f>
        <v>0</v>
      </c>
      <c r="CL86" s="64"/>
      <c r="CM86" s="74" t="s">
        <v>1841</v>
      </c>
      <c r="CN86" s="73">
        <f t="shared" ca="1" si="384"/>
        <v>0</v>
      </c>
      <c r="CO86" s="64"/>
      <c r="CP86" s="74" t="s">
        <v>1841</v>
      </c>
      <c r="CQ86" s="73">
        <f t="shared" ca="1" si="384"/>
        <v>0</v>
      </c>
      <c r="CR86" s="64"/>
      <c r="CS86" s="74" t="s">
        <v>1841</v>
      </c>
      <c r="CT86" s="73">
        <f t="shared" ca="1" si="384"/>
        <v>0</v>
      </c>
      <c r="CU86" s="64"/>
      <c r="CV86" s="74" t="s">
        <v>1259</v>
      </c>
      <c r="CW86" s="73">
        <f t="shared" ca="1" si="384"/>
        <v>0</v>
      </c>
      <c r="CX86" s="64"/>
      <c r="CY86" s="74" t="s">
        <v>1259</v>
      </c>
      <c r="CZ86" s="73">
        <f t="shared" ca="1" si="384"/>
        <v>0</v>
      </c>
      <c r="DA86" s="64"/>
      <c r="DB86" s="74" t="s">
        <v>1841</v>
      </c>
      <c r="DC86" s="73">
        <f t="shared" ca="1" si="384"/>
        <v>0</v>
      </c>
      <c r="DD86" s="64"/>
      <c r="DE86" s="74" t="s">
        <v>1841</v>
      </c>
      <c r="DF86" s="73">
        <f t="shared" ca="1" si="384"/>
        <v>0</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0</v>
      </c>
      <c r="DV86" s="64"/>
      <c r="DW86" s="74" t="s">
        <v>1841</v>
      </c>
      <c r="DX86" s="73">
        <f t="shared" ca="1" si="384"/>
        <v>0</v>
      </c>
      <c r="DY86" s="64"/>
      <c r="DZ86" s="74" t="s">
        <v>1841</v>
      </c>
      <c r="EA86" s="73">
        <f t="shared" ca="1" si="384"/>
        <v>0</v>
      </c>
      <c r="EB86" s="64"/>
      <c r="EC86" s="74" t="s">
        <v>1631</v>
      </c>
      <c r="ED86" s="73">
        <f t="shared" ca="1" si="384"/>
        <v>0</v>
      </c>
      <c r="EE86" s="64"/>
      <c r="EF86" s="74" t="s">
        <v>1631</v>
      </c>
      <c r="EG86" s="73">
        <f t="shared" ca="1" si="384"/>
        <v>0</v>
      </c>
      <c r="EH86" s="64"/>
      <c r="EI86" s="74"/>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51"/>
      <c r="K87" s="56" t="str">
        <f>Idiomas!D157</f>
        <v>4º GRUPO B</v>
      </c>
      <c r="L87" s="53"/>
      <c r="M87" s="55" t="str">
        <f ca="1">IF(OR(SUM(WORLDCUP!$AN$14:$AN$17)=12,WORLDCUP!$AJ$99=144),WORLDCUP!AL17,LEFT(K87,1)&amp;RIGHT(K87,1))</f>
        <v>4B</v>
      </c>
      <c r="N87" s="25"/>
      <c r="O87" s="25"/>
      <c r="P87" s="25"/>
      <c r="Q87" s="25"/>
      <c r="R87" s="110"/>
      <c r="S87" s="74" t="s">
        <v>1631</v>
      </c>
      <c r="T87" s="73">
        <f t="shared" ref="T87" ca="1" si="387">($M87=S87)*$D$14</f>
        <v>0</v>
      </c>
      <c r="U87" s="64"/>
      <c r="V87" s="74" t="s">
        <v>1631</v>
      </c>
      <c r="W87" s="73">
        <f t="shared" ref="W87:CH87" ca="1" si="388">($M87=V87)*$D$14</f>
        <v>0</v>
      </c>
      <c r="X87" s="64"/>
      <c r="Y87" s="74" t="s">
        <v>1631</v>
      </c>
      <c r="Z87" s="73">
        <f t="shared" ca="1" si="388"/>
        <v>0</v>
      </c>
      <c r="AA87" s="64"/>
      <c r="AB87" s="74" t="s">
        <v>1631</v>
      </c>
      <c r="AC87" s="73">
        <f t="shared" ca="1" si="388"/>
        <v>0</v>
      </c>
      <c r="AD87" s="64"/>
      <c r="AE87" s="74" t="s">
        <v>1631</v>
      </c>
      <c r="AF87" s="73">
        <f t="shared" ca="1" si="388"/>
        <v>0</v>
      </c>
      <c r="AG87" s="64"/>
      <c r="AH87" s="74" t="s">
        <v>1631</v>
      </c>
      <c r="AI87" s="73">
        <f t="shared" ca="1" si="388"/>
        <v>0</v>
      </c>
      <c r="AJ87" s="64"/>
      <c r="AK87" s="74" t="s">
        <v>1631</v>
      </c>
      <c r="AL87" s="73">
        <f t="shared" ca="1" si="388"/>
        <v>0</v>
      </c>
      <c r="AM87" s="64"/>
      <c r="AN87" s="74" t="s">
        <v>1631</v>
      </c>
      <c r="AO87" s="73">
        <f t="shared" ca="1" si="388"/>
        <v>0</v>
      </c>
      <c r="AP87" s="64"/>
      <c r="AQ87" s="74" t="s">
        <v>1631</v>
      </c>
      <c r="AR87" s="73">
        <f t="shared" ca="1" si="388"/>
        <v>0</v>
      </c>
      <c r="AS87" s="64"/>
      <c r="AT87" s="74" t="s">
        <v>1631</v>
      </c>
      <c r="AU87" s="73">
        <f t="shared" ca="1" si="388"/>
        <v>0</v>
      </c>
      <c r="AV87" s="64"/>
      <c r="AW87" s="74" t="s">
        <v>1631</v>
      </c>
      <c r="AX87" s="73">
        <f t="shared" ca="1" si="388"/>
        <v>0</v>
      </c>
      <c r="AY87" s="64"/>
      <c r="AZ87" s="74" t="s">
        <v>1631</v>
      </c>
      <c r="BA87" s="73">
        <f t="shared" ca="1" si="388"/>
        <v>0</v>
      </c>
      <c r="BB87" s="64"/>
      <c r="BC87" s="74" t="s">
        <v>1841</v>
      </c>
      <c r="BD87" s="73">
        <f t="shared" ca="1" si="388"/>
        <v>0</v>
      </c>
      <c r="BE87" s="64"/>
      <c r="BF87" s="74" t="s">
        <v>1841</v>
      </c>
      <c r="BG87" s="73">
        <f t="shared" ca="1" si="388"/>
        <v>0</v>
      </c>
      <c r="BH87" s="64"/>
      <c r="BI87" s="74" t="s">
        <v>1631</v>
      </c>
      <c r="BJ87" s="73">
        <f t="shared" ca="1" si="388"/>
        <v>0</v>
      </c>
      <c r="BK87" s="64"/>
      <c r="BL87" s="74" t="s">
        <v>1841</v>
      </c>
      <c r="BM87" s="73">
        <f t="shared" ca="1" si="388"/>
        <v>0</v>
      </c>
      <c r="BN87" s="64"/>
      <c r="BO87" s="74" t="s">
        <v>1841</v>
      </c>
      <c r="BP87" s="73">
        <f t="shared" ca="1" si="388"/>
        <v>0</v>
      </c>
      <c r="BQ87" s="64"/>
      <c r="BR87" s="74" t="s">
        <v>1631</v>
      </c>
      <c r="BS87" s="73">
        <f t="shared" ca="1" si="388"/>
        <v>0</v>
      </c>
      <c r="BT87" s="64"/>
      <c r="BU87" s="74" t="s">
        <v>1631</v>
      </c>
      <c r="BV87" s="73">
        <f t="shared" ca="1" si="388"/>
        <v>0</v>
      </c>
      <c r="BW87" s="64"/>
      <c r="BX87" s="74" t="s">
        <v>1631</v>
      </c>
      <c r="BY87" s="73">
        <f t="shared" ca="1" si="388"/>
        <v>0</v>
      </c>
      <c r="BZ87" s="64"/>
      <c r="CA87" s="74" t="s">
        <v>1631</v>
      </c>
      <c r="CB87" s="73">
        <f t="shared" ca="1" si="388"/>
        <v>0</v>
      </c>
      <c r="CC87" s="64"/>
      <c r="CD87" s="74" t="s">
        <v>1631</v>
      </c>
      <c r="CE87" s="73">
        <f t="shared" ca="1" si="388"/>
        <v>0</v>
      </c>
      <c r="CF87" s="64"/>
      <c r="CG87" s="74" t="s">
        <v>1631</v>
      </c>
      <c r="CH87" s="73">
        <f t="shared" ca="1" si="388"/>
        <v>0</v>
      </c>
      <c r="CI87" s="64"/>
      <c r="CJ87" s="74" t="s">
        <v>1841</v>
      </c>
      <c r="CK87" s="73">
        <f t="shared" ref="CK87:EV87" ca="1" si="389">($M87=CJ87)*$D$14</f>
        <v>0</v>
      </c>
      <c r="CL87" s="64"/>
      <c r="CM87" s="74" t="s">
        <v>1631</v>
      </c>
      <c r="CN87" s="73">
        <f t="shared" ca="1" si="389"/>
        <v>0</v>
      </c>
      <c r="CO87" s="64"/>
      <c r="CP87" s="74" t="s">
        <v>1631</v>
      </c>
      <c r="CQ87" s="73">
        <f t="shared" ca="1" si="389"/>
        <v>0</v>
      </c>
      <c r="CR87" s="64"/>
      <c r="CS87" s="74" t="s">
        <v>1631</v>
      </c>
      <c r="CT87" s="73">
        <f t="shared" ca="1" si="389"/>
        <v>0</v>
      </c>
      <c r="CU87" s="64"/>
      <c r="CV87" s="74" t="s">
        <v>1631</v>
      </c>
      <c r="CW87" s="73">
        <f t="shared" ca="1" si="389"/>
        <v>0</v>
      </c>
      <c r="CX87" s="64"/>
      <c r="CY87" s="74" t="s">
        <v>1631</v>
      </c>
      <c r="CZ87" s="73">
        <f t="shared" ca="1" si="389"/>
        <v>0</v>
      </c>
      <c r="DA87" s="64"/>
      <c r="DB87" s="74" t="s">
        <v>1631</v>
      </c>
      <c r="DC87" s="73">
        <f t="shared" ca="1" si="389"/>
        <v>0</v>
      </c>
      <c r="DD87" s="64"/>
      <c r="DE87" s="74" t="s">
        <v>1631</v>
      </c>
      <c r="DF87" s="73">
        <f t="shared" ca="1" si="389"/>
        <v>0</v>
      </c>
      <c r="DG87" s="64"/>
      <c r="DH87" s="74" t="s">
        <v>1841</v>
      </c>
      <c r="DI87" s="73">
        <f t="shared" ca="1" si="389"/>
        <v>0</v>
      </c>
      <c r="DJ87" s="64"/>
      <c r="DK87" s="74" t="s">
        <v>1631</v>
      </c>
      <c r="DL87" s="73">
        <f t="shared" ca="1" si="389"/>
        <v>0</v>
      </c>
      <c r="DM87" s="64"/>
      <c r="DN87" s="795" t="s">
        <v>1259</v>
      </c>
      <c r="DO87" s="73">
        <f t="shared" ca="1" si="389"/>
        <v>0</v>
      </c>
      <c r="DP87" s="64"/>
      <c r="DQ87" s="795" t="s">
        <v>1259</v>
      </c>
      <c r="DR87" s="73">
        <f t="shared" ca="1" si="389"/>
        <v>0</v>
      </c>
      <c r="DS87" s="64"/>
      <c r="DT87" s="74" t="s">
        <v>1631</v>
      </c>
      <c r="DU87" s="73">
        <f t="shared" ca="1" si="389"/>
        <v>0</v>
      </c>
      <c r="DV87" s="64"/>
      <c r="DW87" s="74" t="s">
        <v>1631</v>
      </c>
      <c r="DX87" s="73">
        <f t="shared" ca="1" si="389"/>
        <v>0</v>
      </c>
      <c r="DY87" s="64"/>
      <c r="DZ87" s="74" t="s">
        <v>1631</v>
      </c>
      <c r="EA87" s="73">
        <f t="shared" ca="1" si="389"/>
        <v>0</v>
      </c>
      <c r="EB87" s="64"/>
      <c r="EC87" s="74" t="s">
        <v>1259</v>
      </c>
      <c r="ED87" s="73">
        <f t="shared" ca="1" si="389"/>
        <v>0</v>
      </c>
      <c r="EE87" s="64"/>
      <c r="EF87" s="74" t="s">
        <v>1841</v>
      </c>
      <c r="EG87" s="73">
        <f t="shared" ca="1" si="389"/>
        <v>0</v>
      </c>
      <c r="EH87" s="64"/>
      <c r="EI87" s="74"/>
      <c r="EJ87" s="73">
        <f t="shared" ca="1" si="389"/>
        <v>0</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2"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392">($M88=S88)*$D$11</f>
        <v>0</v>
      </c>
      <c r="U88" s="64"/>
      <c r="V88" s="74" t="s">
        <v>1258</v>
      </c>
      <c r="W88" s="73">
        <f t="shared" ref="W88:CH88" ca="1" si="393">($M88=V88)*$D$11</f>
        <v>0</v>
      </c>
      <c r="X88" s="64"/>
      <c r="Y88" s="74" t="s">
        <v>1258</v>
      </c>
      <c r="Z88" s="73">
        <f t="shared" ca="1" si="393"/>
        <v>0</v>
      </c>
      <c r="AA88" s="64"/>
      <c r="AB88" s="74" t="s">
        <v>1258</v>
      </c>
      <c r="AC88" s="73">
        <f t="shared" ca="1" si="393"/>
        <v>0</v>
      </c>
      <c r="AD88" s="64"/>
      <c r="AE88" s="74" t="s">
        <v>1258</v>
      </c>
      <c r="AF88" s="73">
        <f t="shared" ca="1" si="393"/>
        <v>0</v>
      </c>
      <c r="AG88" s="64"/>
      <c r="AH88" s="74" t="s">
        <v>1321</v>
      </c>
      <c r="AI88" s="73">
        <f t="shared" ca="1" si="393"/>
        <v>0</v>
      </c>
      <c r="AJ88" s="64"/>
      <c r="AK88" s="74" t="s">
        <v>1258</v>
      </c>
      <c r="AL88" s="73">
        <f t="shared" ca="1" si="393"/>
        <v>0</v>
      </c>
      <c r="AM88" s="64"/>
      <c r="AN88" s="74" t="s">
        <v>1258</v>
      </c>
      <c r="AO88" s="73">
        <f t="shared" ca="1" si="393"/>
        <v>0</v>
      </c>
      <c r="AP88" s="64"/>
      <c r="AQ88" s="74" t="s">
        <v>1258</v>
      </c>
      <c r="AR88" s="73">
        <f t="shared" ca="1" si="393"/>
        <v>0</v>
      </c>
      <c r="AS88" s="64"/>
      <c r="AT88" s="74" t="s">
        <v>1258</v>
      </c>
      <c r="AU88" s="73">
        <f t="shared" ca="1" si="393"/>
        <v>0</v>
      </c>
      <c r="AV88" s="64"/>
      <c r="AW88" s="74" t="s">
        <v>1258</v>
      </c>
      <c r="AX88" s="73">
        <f t="shared" ca="1" si="393"/>
        <v>0</v>
      </c>
      <c r="AY88" s="64"/>
      <c r="AZ88" s="74" t="s">
        <v>1258</v>
      </c>
      <c r="BA88" s="73">
        <f t="shared" ca="1" si="393"/>
        <v>0</v>
      </c>
      <c r="BB88" s="64"/>
      <c r="BC88" s="74" t="s">
        <v>1258</v>
      </c>
      <c r="BD88" s="73">
        <f t="shared" ca="1" si="393"/>
        <v>0</v>
      </c>
      <c r="BE88" s="64"/>
      <c r="BF88" s="74" t="s">
        <v>1258</v>
      </c>
      <c r="BG88" s="73">
        <f t="shared" ca="1" si="393"/>
        <v>0</v>
      </c>
      <c r="BH88" s="64"/>
      <c r="BI88" s="74" t="s">
        <v>1258</v>
      </c>
      <c r="BJ88" s="73">
        <f t="shared" ca="1" si="393"/>
        <v>0</v>
      </c>
      <c r="BK88" s="64"/>
      <c r="BL88" s="74" t="s">
        <v>1258</v>
      </c>
      <c r="BM88" s="73">
        <f t="shared" ca="1" si="393"/>
        <v>0</v>
      </c>
      <c r="BN88" s="64"/>
      <c r="BO88" s="74" t="s">
        <v>1258</v>
      </c>
      <c r="BP88" s="73">
        <f t="shared" ca="1" si="393"/>
        <v>0</v>
      </c>
      <c r="BQ88" s="64"/>
      <c r="BR88" s="74" t="s">
        <v>1258</v>
      </c>
      <c r="BS88" s="73">
        <f t="shared" ca="1" si="393"/>
        <v>0</v>
      </c>
      <c r="BT88" s="64"/>
      <c r="BU88" s="74" t="s">
        <v>1258</v>
      </c>
      <c r="BV88" s="73">
        <f t="shared" ca="1" si="393"/>
        <v>0</v>
      </c>
      <c r="BW88" s="64"/>
      <c r="BX88" s="74" t="s">
        <v>1258</v>
      </c>
      <c r="BY88" s="73">
        <f t="shared" ca="1" si="393"/>
        <v>0</v>
      </c>
      <c r="BZ88" s="64"/>
      <c r="CA88" s="74" t="s">
        <v>134</v>
      </c>
      <c r="CB88" s="73">
        <f t="shared" ca="1" si="393"/>
        <v>0</v>
      </c>
      <c r="CC88" s="64"/>
      <c r="CD88" s="74" t="s">
        <v>1258</v>
      </c>
      <c r="CE88" s="73">
        <f t="shared" ca="1" si="393"/>
        <v>0</v>
      </c>
      <c r="CF88" s="64"/>
      <c r="CG88" s="74" t="s">
        <v>1258</v>
      </c>
      <c r="CH88" s="73">
        <f t="shared" ca="1" si="393"/>
        <v>0</v>
      </c>
      <c r="CI88" s="64"/>
      <c r="CJ88" s="74" t="s">
        <v>1258</v>
      </c>
      <c r="CK88" s="73">
        <f t="shared" ref="CK88:EV88" ca="1" si="394">($M88=CJ88)*$D$11</f>
        <v>0</v>
      </c>
      <c r="CL88" s="64"/>
      <c r="CM88" s="74" t="s">
        <v>1258</v>
      </c>
      <c r="CN88" s="73">
        <f t="shared" ca="1" si="394"/>
        <v>0</v>
      </c>
      <c r="CO88" s="64"/>
      <c r="CP88" s="74" t="s">
        <v>1258</v>
      </c>
      <c r="CQ88" s="73">
        <f t="shared" ca="1" si="394"/>
        <v>0</v>
      </c>
      <c r="CR88" s="64"/>
      <c r="CS88" s="74" t="s">
        <v>1258</v>
      </c>
      <c r="CT88" s="73">
        <f t="shared" ca="1" si="394"/>
        <v>0</v>
      </c>
      <c r="CU88" s="64"/>
      <c r="CV88" s="74" t="s">
        <v>1258</v>
      </c>
      <c r="CW88" s="73">
        <f t="shared" ca="1" si="394"/>
        <v>0</v>
      </c>
      <c r="CX88" s="64"/>
      <c r="CY88" s="74" t="s">
        <v>1258</v>
      </c>
      <c r="CZ88" s="73">
        <f t="shared" ca="1" si="394"/>
        <v>0</v>
      </c>
      <c r="DA88" s="64"/>
      <c r="DB88" s="74" t="s">
        <v>1258</v>
      </c>
      <c r="DC88" s="73">
        <f t="shared" ca="1" si="394"/>
        <v>0</v>
      </c>
      <c r="DD88" s="64"/>
      <c r="DE88" s="74" t="s">
        <v>1258</v>
      </c>
      <c r="DF88" s="73">
        <f t="shared" ca="1" si="394"/>
        <v>0</v>
      </c>
      <c r="DG88" s="64"/>
      <c r="DH88" s="74" t="s">
        <v>1258</v>
      </c>
      <c r="DI88" s="73">
        <f t="shared" ca="1" si="394"/>
        <v>0</v>
      </c>
      <c r="DJ88" s="64"/>
      <c r="DK88" s="74" t="s">
        <v>1321</v>
      </c>
      <c r="DL88" s="73">
        <f t="shared" ca="1" si="394"/>
        <v>0</v>
      </c>
      <c r="DM88" s="64"/>
      <c r="DN88" s="795" t="s">
        <v>1258</v>
      </c>
      <c r="DO88" s="73">
        <f t="shared" ca="1" si="394"/>
        <v>0</v>
      </c>
      <c r="DP88" s="64"/>
      <c r="DQ88" s="795" t="s">
        <v>1321</v>
      </c>
      <c r="DR88" s="73">
        <f t="shared" ca="1" si="394"/>
        <v>0</v>
      </c>
      <c r="DS88" s="64"/>
      <c r="DT88" s="74" t="s">
        <v>1321</v>
      </c>
      <c r="DU88" s="73">
        <f t="shared" ca="1" si="394"/>
        <v>0</v>
      </c>
      <c r="DV88" s="64"/>
      <c r="DW88" s="74" t="s">
        <v>1258</v>
      </c>
      <c r="DX88" s="73">
        <f t="shared" ca="1" si="394"/>
        <v>0</v>
      </c>
      <c r="DY88" s="64"/>
      <c r="DZ88" s="74" t="s">
        <v>1258</v>
      </c>
      <c r="EA88" s="73">
        <f t="shared" ca="1" si="394"/>
        <v>0</v>
      </c>
      <c r="EB88" s="64"/>
      <c r="EC88" s="74" t="s">
        <v>1258</v>
      </c>
      <c r="ED88" s="73">
        <f t="shared" ca="1" si="394"/>
        <v>0</v>
      </c>
      <c r="EE88" s="64"/>
      <c r="EF88" s="74" t="s">
        <v>1258</v>
      </c>
      <c r="EG88" s="73">
        <f t="shared" ca="1" si="394"/>
        <v>0</v>
      </c>
      <c r="EH88" s="64"/>
      <c r="EI88" s="74"/>
      <c r="EJ88" s="73">
        <f t="shared" ca="1" si="394"/>
        <v>0</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2"/>
      <c r="K89" s="56" t="str">
        <f>Idiomas!D159</f>
        <v>2º GRUPO C</v>
      </c>
      <c r="L89" s="53"/>
      <c r="M89" s="55" t="str">
        <f ca="1">IF(OR(SUM(WORLDCUP!$AN$22:$AN$25)=12,WORLDCUP!$AJ$99=144),WORLDCUP!AL23,LEFT(K89,1)&amp;RIGHT(K89,1))</f>
        <v>2C</v>
      </c>
      <c r="N89" s="25"/>
      <c r="O89" s="25"/>
      <c r="P89" s="25"/>
      <c r="Q89" s="25"/>
      <c r="R89" s="110"/>
      <c r="S89" s="74" t="s">
        <v>1321</v>
      </c>
      <c r="T89" s="73">
        <f t="shared" ref="T89" ca="1" si="397">($M89=S89)*$D$12</f>
        <v>0</v>
      </c>
      <c r="U89" s="64"/>
      <c r="V89" s="74" t="s">
        <v>1321</v>
      </c>
      <c r="W89" s="73">
        <f t="shared" ref="W89:CH89" ca="1" si="398">($M89=V89)*$D$12</f>
        <v>0</v>
      </c>
      <c r="X89" s="64"/>
      <c r="Y89" s="74" t="s">
        <v>1321</v>
      </c>
      <c r="Z89" s="73">
        <f t="shared" ca="1" si="398"/>
        <v>0</v>
      </c>
      <c r="AA89" s="64"/>
      <c r="AB89" s="74" t="s">
        <v>1321</v>
      </c>
      <c r="AC89" s="73">
        <f t="shared" ca="1" si="398"/>
        <v>0</v>
      </c>
      <c r="AD89" s="64"/>
      <c r="AE89" s="74" t="s">
        <v>1321</v>
      </c>
      <c r="AF89" s="73">
        <f t="shared" ca="1" si="398"/>
        <v>0</v>
      </c>
      <c r="AG89" s="64"/>
      <c r="AH89" s="74" t="s">
        <v>1258</v>
      </c>
      <c r="AI89" s="73">
        <f t="shared" ca="1" si="398"/>
        <v>0</v>
      </c>
      <c r="AJ89" s="64"/>
      <c r="AK89" s="74" t="s">
        <v>1321</v>
      </c>
      <c r="AL89" s="73">
        <f t="shared" ca="1" si="398"/>
        <v>0</v>
      </c>
      <c r="AM89" s="64"/>
      <c r="AN89" s="74" t="s">
        <v>1321</v>
      </c>
      <c r="AO89" s="73">
        <f t="shared" ca="1" si="398"/>
        <v>0</v>
      </c>
      <c r="AP89" s="64"/>
      <c r="AQ89" s="74" t="s">
        <v>1321</v>
      </c>
      <c r="AR89" s="73">
        <f t="shared" ca="1" si="398"/>
        <v>0</v>
      </c>
      <c r="AS89" s="64"/>
      <c r="AT89" s="74" t="s">
        <v>1321</v>
      </c>
      <c r="AU89" s="73">
        <f t="shared" ca="1" si="398"/>
        <v>0</v>
      </c>
      <c r="AV89" s="64"/>
      <c r="AW89" s="74" t="s">
        <v>1321</v>
      </c>
      <c r="AX89" s="73">
        <f t="shared" ca="1" si="398"/>
        <v>0</v>
      </c>
      <c r="AY89" s="64"/>
      <c r="AZ89" s="74" t="s">
        <v>1321</v>
      </c>
      <c r="BA89" s="73">
        <f t="shared" ca="1" si="398"/>
        <v>0</v>
      </c>
      <c r="BB89" s="64"/>
      <c r="BC89" s="74" t="s">
        <v>1321</v>
      </c>
      <c r="BD89" s="73">
        <f t="shared" ca="1" si="398"/>
        <v>0</v>
      </c>
      <c r="BE89" s="64"/>
      <c r="BF89" s="74" t="s">
        <v>1321</v>
      </c>
      <c r="BG89" s="73">
        <f t="shared" ca="1" si="398"/>
        <v>0</v>
      </c>
      <c r="BH89" s="64"/>
      <c r="BI89" s="74" t="s">
        <v>1321</v>
      </c>
      <c r="BJ89" s="73">
        <f t="shared" ca="1" si="398"/>
        <v>0</v>
      </c>
      <c r="BK89" s="64"/>
      <c r="BL89" s="74" t="s">
        <v>1321</v>
      </c>
      <c r="BM89" s="73">
        <f t="shared" ca="1" si="398"/>
        <v>0</v>
      </c>
      <c r="BN89" s="64"/>
      <c r="BO89" s="74" t="s">
        <v>1321</v>
      </c>
      <c r="BP89" s="73">
        <f t="shared" ca="1" si="398"/>
        <v>0</v>
      </c>
      <c r="BQ89" s="64"/>
      <c r="BR89" s="74" t="s">
        <v>1321</v>
      </c>
      <c r="BS89" s="73">
        <f t="shared" ca="1" si="398"/>
        <v>0</v>
      </c>
      <c r="BT89" s="64"/>
      <c r="BU89" s="74" t="s">
        <v>134</v>
      </c>
      <c r="BV89" s="73">
        <f t="shared" ca="1" si="398"/>
        <v>0</v>
      </c>
      <c r="BW89" s="64"/>
      <c r="BX89" s="74" t="s">
        <v>1321</v>
      </c>
      <c r="BY89" s="73">
        <f t="shared" ca="1" si="398"/>
        <v>0</v>
      </c>
      <c r="BZ89" s="64"/>
      <c r="CA89" s="74" t="s">
        <v>1258</v>
      </c>
      <c r="CB89" s="73">
        <f t="shared" ca="1" si="398"/>
        <v>0</v>
      </c>
      <c r="CC89" s="64"/>
      <c r="CD89" s="74" t="s">
        <v>1321</v>
      </c>
      <c r="CE89" s="73">
        <f t="shared" ca="1" si="398"/>
        <v>0</v>
      </c>
      <c r="CF89" s="64"/>
      <c r="CG89" s="74" t="s">
        <v>1321</v>
      </c>
      <c r="CH89" s="73">
        <f t="shared" ca="1" si="398"/>
        <v>0</v>
      </c>
      <c r="CI89" s="64"/>
      <c r="CJ89" s="74" t="s">
        <v>1321</v>
      </c>
      <c r="CK89" s="73">
        <f t="shared" ref="CK89:EV89" ca="1" si="399">($M89=CJ89)*$D$12</f>
        <v>0</v>
      </c>
      <c r="CL89" s="64"/>
      <c r="CM89" s="74" t="s">
        <v>1321</v>
      </c>
      <c r="CN89" s="73">
        <f t="shared" ca="1" si="399"/>
        <v>0</v>
      </c>
      <c r="CO89" s="64"/>
      <c r="CP89" s="74" t="s">
        <v>1321</v>
      </c>
      <c r="CQ89" s="73">
        <f t="shared" ca="1" si="399"/>
        <v>0</v>
      </c>
      <c r="CR89" s="64"/>
      <c r="CS89" s="74" t="s">
        <v>1321</v>
      </c>
      <c r="CT89" s="73">
        <f t="shared" ca="1" si="399"/>
        <v>0</v>
      </c>
      <c r="CU89" s="64"/>
      <c r="CV89" s="74" t="s">
        <v>1321</v>
      </c>
      <c r="CW89" s="73">
        <f t="shared" ca="1" si="399"/>
        <v>0</v>
      </c>
      <c r="CX89" s="64"/>
      <c r="CY89" s="74" t="s">
        <v>1321</v>
      </c>
      <c r="CZ89" s="73">
        <f t="shared" ca="1" si="399"/>
        <v>0</v>
      </c>
      <c r="DA89" s="64"/>
      <c r="DB89" s="74" t="s">
        <v>1321</v>
      </c>
      <c r="DC89" s="73">
        <f t="shared" ca="1" si="399"/>
        <v>0</v>
      </c>
      <c r="DD89" s="64"/>
      <c r="DE89" s="74" t="s">
        <v>1321</v>
      </c>
      <c r="DF89" s="73">
        <f t="shared" ca="1" si="399"/>
        <v>0</v>
      </c>
      <c r="DG89" s="64"/>
      <c r="DH89" s="74" t="s">
        <v>1321</v>
      </c>
      <c r="DI89" s="73">
        <f t="shared" ca="1" si="399"/>
        <v>0</v>
      </c>
      <c r="DJ89" s="64"/>
      <c r="DK89" s="74" t="s">
        <v>1258</v>
      </c>
      <c r="DL89" s="73">
        <f t="shared" ca="1" si="399"/>
        <v>0</v>
      </c>
      <c r="DM89" s="64"/>
      <c r="DN89" s="795" t="s">
        <v>1321</v>
      </c>
      <c r="DO89" s="73">
        <f t="shared" ca="1" si="399"/>
        <v>0</v>
      </c>
      <c r="DP89" s="64"/>
      <c r="DQ89" s="795" t="s">
        <v>1258</v>
      </c>
      <c r="DR89" s="73">
        <f t="shared" ca="1" si="399"/>
        <v>0</v>
      </c>
      <c r="DS89" s="64"/>
      <c r="DT89" s="74" t="s">
        <v>134</v>
      </c>
      <c r="DU89" s="73">
        <f t="shared" ca="1" si="399"/>
        <v>0</v>
      </c>
      <c r="DV89" s="64"/>
      <c r="DW89" s="74" t="s">
        <v>1321</v>
      </c>
      <c r="DX89" s="73">
        <f t="shared" ca="1" si="399"/>
        <v>0</v>
      </c>
      <c r="DY89" s="64"/>
      <c r="DZ89" s="74" t="s">
        <v>134</v>
      </c>
      <c r="EA89" s="73">
        <f t="shared" ca="1" si="399"/>
        <v>0</v>
      </c>
      <c r="EB89" s="64"/>
      <c r="EC89" s="74" t="s">
        <v>1321</v>
      </c>
      <c r="ED89" s="73">
        <f t="shared" ca="1" si="399"/>
        <v>0</v>
      </c>
      <c r="EE89" s="64"/>
      <c r="EF89" s="74" t="s">
        <v>1321</v>
      </c>
      <c r="EG89" s="73">
        <f t="shared" ca="1" si="399"/>
        <v>0</v>
      </c>
      <c r="EH89" s="64"/>
      <c r="EI89" s="74"/>
      <c r="EJ89" s="73">
        <f t="shared" ca="1" si="399"/>
        <v>0</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2"/>
      <c r="K90" s="56" t="str">
        <f>Idiomas!D160</f>
        <v>3º GRUPO C</v>
      </c>
      <c r="L90" s="53"/>
      <c r="M90" s="55" t="str">
        <f ca="1">IF(OR(SUM(WORLDCUP!$AN$22:$AN$25)=12,WORLDCUP!$AJ$99=144),WORLDCUP!AL24,LEFT(K90,1)&amp;RIGHT(K90,1))</f>
        <v>3C</v>
      </c>
      <c r="N90" s="25"/>
      <c r="O90" s="25"/>
      <c r="P90" s="25"/>
      <c r="Q90" s="25"/>
      <c r="R90" s="110"/>
      <c r="S90" s="74" t="s">
        <v>134</v>
      </c>
      <c r="T90" s="73">
        <f t="shared" ref="T90" ca="1" si="402">($M90=S90)*$D$13</f>
        <v>0</v>
      </c>
      <c r="U90" s="64"/>
      <c r="V90" s="74" t="s">
        <v>134</v>
      </c>
      <c r="W90" s="73">
        <f t="shared" ref="W90:CH90" ca="1" si="403">($M90=V90)*$D$13</f>
        <v>0</v>
      </c>
      <c r="X90" s="64"/>
      <c r="Y90" s="74" t="s">
        <v>134</v>
      </c>
      <c r="Z90" s="73">
        <f t="shared" ca="1" si="403"/>
        <v>0</v>
      </c>
      <c r="AA90" s="64"/>
      <c r="AB90" s="74" t="s">
        <v>134</v>
      </c>
      <c r="AC90" s="73">
        <f t="shared" ca="1" si="403"/>
        <v>0</v>
      </c>
      <c r="AD90" s="64"/>
      <c r="AE90" s="74" t="s">
        <v>134</v>
      </c>
      <c r="AF90" s="73">
        <f t="shared" ca="1" si="403"/>
        <v>0</v>
      </c>
      <c r="AG90" s="64"/>
      <c r="AH90" s="74" t="s">
        <v>134</v>
      </c>
      <c r="AI90" s="73">
        <f t="shared" ca="1" si="403"/>
        <v>0</v>
      </c>
      <c r="AJ90" s="64"/>
      <c r="AK90" s="74" t="s">
        <v>134</v>
      </c>
      <c r="AL90" s="73">
        <f t="shared" ca="1" si="403"/>
        <v>0</v>
      </c>
      <c r="AM90" s="64"/>
      <c r="AN90" s="74" t="s">
        <v>134</v>
      </c>
      <c r="AO90" s="73">
        <f t="shared" ca="1" si="403"/>
        <v>0</v>
      </c>
      <c r="AP90" s="64"/>
      <c r="AQ90" s="74" t="s">
        <v>134</v>
      </c>
      <c r="AR90" s="73">
        <f t="shared" ca="1" si="403"/>
        <v>0</v>
      </c>
      <c r="AS90" s="64"/>
      <c r="AT90" s="74" t="s">
        <v>134</v>
      </c>
      <c r="AU90" s="73">
        <f t="shared" ca="1" si="403"/>
        <v>0</v>
      </c>
      <c r="AV90" s="64"/>
      <c r="AW90" s="74" t="s">
        <v>134</v>
      </c>
      <c r="AX90" s="73">
        <f t="shared" ca="1" si="403"/>
        <v>0</v>
      </c>
      <c r="AY90" s="64"/>
      <c r="AZ90" s="74" t="s">
        <v>134</v>
      </c>
      <c r="BA90" s="73">
        <f t="shared" ca="1" si="403"/>
        <v>0</v>
      </c>
      <c r="BB90" s="64"/>
      <c r="BC90" s="74" t="s">
        <v>134</v>
      </c>
      <c r="BD90" s="73">
        <f t="shared" ca="1" si="403"/>
        <v>0</v>
      </c>
      <c r="BE90" s="64"/>
      <c r="BF90" s="74" t="s">
        <v>134</v>
      </c>
      <c r="BG90" s="73">
        <f t="shared" ca="1" si="403"/>
        <v>0</v>
      </c>
      <c r="BH90" s="64"/>
      <c r="BI90" s="74" t="s">
        <v>134</v>
      </c>
      <c r="BJ90" s="73">
        <f t="shared" ca="1" si="403"/>
        <v>0</v>
      </c>
      <c r="BK90" s="64"/>
      <c r="BL90" s="74" t="s">
        <v>134</v>
      </c>
      <c r="BM90" s="73">
        <f t="shared" ca="1" si="403"/>
        <v>0</v>
      </c>
      <c r="BN90" s="64"/>
      <c r="BO90" s="74" t="s">
        <v>134</v>
      </c>
      <c r="BP90" s="73">
        <f t="shared" ca="1" si="403"/>
        <v>0</v>
      </c>
      <c r="BQ90" s="64"/>
      <c r="BR90" s="74" t="s">
        <v>134</v>
      </c>
      <c r="BS90" s="73">
        <f t="shared" ca="1" si="403"/>
        <v>0</v>
      </c>
      <c r="BT90" s="64"/>
      <c r="BU90" s="74" t="s">
        <v>1321</v>
      </c>
      <c r="BV90" s="73">
        <f t="shared" ca="1" si="403"/>
        <v>0</v>
      </c>
      <c r="BW90" s="64"/>
      <c r="BX90" s="74" t="s">
        <v>134</v>
      </c>
      <c r="BY90" s="73">
        <f t="shared" ca="1" si="403"/>
        <v>0</v>
      </c>
      <c r="BZ90" s="64"/>
      <c r="CA90" s="74" t="s">
        <v>1321</v>
      </c>
      <c r="CB90" s="73">
        <f t="shared" ca="1" si="403"/>
        <v>0</v>
      </c>
      <c r="CC90" s="64"/>
      <c r="CD90" s="74" t="s">
        <v>134</v>
      </c>
      <c r="CE90" s="73">
        <f t="shared" ca="1" si="403"/>
        <v>0</v>
      </c>
      <c r="CF90" s="64"/>
      <c r="CG90" s="74" t="s">
        <v>134</v>
      </c>
      <c r="CH90" s="73">
        <f t="shared" ca="1" si="403"/>
        <v>0</v>
      </c>
      <c r="CI90" s="64"/>
      <c r="CJ90" s="74" t="s">
        <v>134</v>
      </c>
      <c r="CK90" s="73">
        <f t="shared" ref="CK90:EV90" ca="1" si="404">($M90=CJ90)*$D$13</f>
        <v>0</v>
      </c>
      <c r="CL90" s="64"/>
      <c r="CM90" s="74" t="s">
        <v>134</v>
      </c>
      <c r="CN90" s="73">
        <f t="shared" ca="1" si="404"/>
        <v>0</v>
      </c>
      <c r="CO90" s="64"/>
      <c r="CP90" s="74" t="s">
        <v>134</v>
      </c>
      <c r="CQ90" s="73">
        <f t="shared" ca="1" si="404"/>
        <v>0</v>
      </c>
      <c r="CR90" s="64"/>
      <c r="CS90" s="74" t="s">
        <v>134</v>
      </c>
      <c r="CT90" s="73">
        <f t="shared" ca="1" si="404"/>
        <v>0</v>
      </c>
      <c r="CU90" s="64"/>
      <c r="CV90" s="74" t="s">
        <v>134</v>
      </c>
      <c r="CW90" s="73">
        <f t="shared" ca="1" si="404"/>
        <v>0</v>
      </c>
      <c r="CX90" s="64"/>
      <c r="CY90" s="74" t="s">
        <v>134</v>
      </c>
      <c r="CZ90" s="73">
        <f t="shared" ca="1" si="404"/>
        <v>0</v>
      </c>
      <c r="DA90" s="64"/>
      <c r="DB90" s="74" t="s">
        <v>134</v>
      </c>
      <c r="DC90" s="73">
        <f t="shared" ca="1" si="404"/>
        <v>0</v>
      </c>
      <c r="DD90" s="64"/>
      <c r="DE90" s="74" t="s">
        <v>134</v>
      </c>
      <c r="DF90" s="73">
        <f t="shared" ca="1" si="404"/>
        <v>0</v>
      </c>
      <c r="DG90" s="64"/>
      <c r="DH90" s="74" t="s">
        <v>134</v>
      </c>
      <c r="DI90" s="73">
        <f t="shared" ca="1" si="404"/>
        <v>0</v>
      </c>
      <c r="DJ90" s="64"/>
      <c r="DK90" s="74" t="s">
        <v>134</v>
      </c>
      <c r="DL90" s="73">
        <f t="shared" ca="1" si="404"/>
        <v>0</v>
      </c>
      <c r="DM90" s="64"/>
      <c r="DN90" s="795" t="s">
        <v>134</v>
      </c>
      <c r="DO90" s="73">
        <f t="shared" ca="1" si="404"/>
        <v>0</v>
      </c>
      <c r="DP90" s="64"/>
      <c r="DQ90" s="795" t="s">
        <v>134</v>
      </c>
      <c r="DR90" s="73">
        <f t="shared" ca="1" si="404"/>
        <v>0</v>
      </c>
      <c r="DS90" s="64"/>
      <c r="DT90" s="74" t="s">
        <v>1258</v>
      </c>
      <c r="DU90" s="73">
        <f t="shared" ca="1" si="404"/>
        <v>0</v>
      </c>
      <c r="DV90" s="64"/>
      <c r="DW90" s="74" t="s">
        <v>134</v>
      </c>
      <c r="DX90" s="73">
        <f t="shared" ca="1" si="404"/>
        <v>0</v>
      </c>
      <c r="DY90" s="64"/>
      <c r="DZ90" s="74" t="s">
        <v>1321</v>
      </c>
      <c r="EA90" s="73">
        <f t="shared" ca="1" si="404"/>
        <v>0</v>
      </c>
      <c r="EB90" s="64"/>
      <c r="EC90" s="74" t="s">
        <v>134</v>
      </c>
      <c r="ED90" s="73">
        <f t="shared" ca="1" si="404"/>
        <v>0</v>
      </c>
      <c r="EE90" s="64"/>
      <c r="EF90" s="74" t="s">
        <v>134</v>
      </c>
      <c r="EG90" s="73">
        <f t="shared" ca="1" si="404"/>
        <v>0</v>
      </c>
      <c r="EH90" s="64"/>
      <c r="EI90" s="74"/>
      <c r="EJ90" s="73">
        <f t="shared" ca="1" si="404"/>
        <v>0</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2"/>
      <c r="K91" s="56" t="str">
        <f>Idiomas!D161</f>
        <v>4º GRUPO C</v>
      </c>
      <c r="L91" s="53"/>
      <c r="M91" s="55" t="str">
        <f ca="1">IF(OR(SUM(WORLDCUP!$AN$22:$AN$25)=12,WORLDCUP!$AJ$99=144),WORLDCUP!AL25,LEFT(K91,1)&amp;RIGHT(K91,1))</f>
        <v>4C</v>
      </c>
      <c r="N91" s="25"/>
      <c r="O91" s="25"/>
      <c r="P91" s="25"/>
      <c r="Q91" s="25"/>
      <c r="R91" s="110"/>
      <c r="S91" s="74" t="s">
        <v>1728</v>
      </c>
      <c r="T91" s="73">
        <f t="shared" ref="T91" ca="1" si="407">($M91=S91)*$D$14</f>
        <v>0</v>
      </c>
      <c r="U91" s="64"/>
      <c r="V91" s="74" t="s">
        <v>1728</v>
      </c>
      <c r="W91" s="73">
        <f t="shared" ref="W91:CH91" ca="1" si="408">($M91=V91)*$D$14</f>
        <v>0</v>
      </c>
      <c r="X91" s="64"/>
      <c r="Y91" s="74" t="s">
        <v>1728</v>
      </c>
      <c r="Z91" s="73">
        <f t="shared" ca="1" si="408"/>
        <v>0</v>
      </c>
      <c r="AA91" s="64"/>
      <c r="AB91" s="74" t="s">
        <v>1728</v>
      </c>
      <c r="AC91" s="73">
        <f t="shared" ca="1" si="408"/>
        <v>0</v>
      </c>
      <c r="AD91" s="64"/>
      <c r="AE91" s="74" t="s">
        <v>1728</v>
      </c>
      <c r="AF91" s="73">
        <f t="shared" ca="1" si="408"/>
        <v>0</v>
      </c>
      <c r="AG91" s="64"/>
      <c r="AH91" s="74" t="s">
        <v>1728</v>
      </c>
      <c r="AI91" s="73">
        <f t="shared" ca="1" si="408"/>
        <v>0</v>
      </c>
      <c r="AJ91" s="64"/>
      <c r="AK91" s="74" t="s">
        <v>1728</v>
      </c>
      <c r="AL91" s="73">
        <f t="shared" ca="1" si="408"/>
        <v>0</v>
      </c>
      <c r="AM91" s="64"/>
      <c r="AN91" s="74" t="s">
        <v>1728</v>
      </c>
      <c r="AO91" s="73">
        <f t="shared" ca="1" si="408"/>
        <v>0</v>
      </c>
      <c r="AP91" s="64"/>
      <c r="AQ91" s="74" t="s">
        <v>1728</v>
      </c>
      <c r="AR91" s="73">
        <f t="shared" ca="1" si="408"/>
        <v>0</v>
      </c>
      <c r="AS91" s="64"/>
      <c r="AT91" s="74" t="s">
        <v>1728</v>
      </c>
      <c r="AU91" s="73">
        <f t="shared" ca="1" si="408"/>
        <v>0</v>
      </c>
      <c r="AV91" s="64"/>
      <c r="AW91" s="74" t="s">
        <v>1728</v>
      </c>
      <c r="AX91" s="73">
        <f t="shared" ca="1" si="408"/>
        <v>0</v>
      </c>
      <c r="AY91" s="64"/>
      <c r="AZ91" s="74" t="s">
        <v>1728</v>
      </c>
      <c r="BA91" s="73">
        <f t="shared" ca="1" si="408"/>
        <v>0</v>
      </c>
      <c r="BB91" s="64"/>
      <c r="BC91" s="74" t="s">
        <v>1728</v>
      </c>
      <c r="BD91" s="73">
        <f t="shared" ca="1" si="408"/>
        <v>0</v>
      </c>
      <c r="BE91" s="64"/>
      <c r="BF91" s="74" t="s">
        <v>1728</v>
      </c>
      <c r="BG91" s="73">
        <f t="shared" ca="1" si="408"/>
        <v>0</v>
      </c>
      <c r="BH91" s="64"/>
      <c r="BI91" s="74" t="s">
        <v>1728</v>
      </c>
      <c r="BJ91" s="73">
        <f t="shared" ca="1" si="408"/>
        <v>0</v>
      </c>
      <c r="BK91" s="64"/>
      <c r="BL91" s="74" t="s">
        <v>1728</v>
      </c>
      <c r="BM91" s="73">
        <f t="shared" ca="1" si="408"/>
        <v>0</v>
      </c>
      <c r="BN91" s="64"/>
      <c r="BO91" s="74" t="s">
        <v>1728</v>
      </c>
      <c r="BP91" s="73">
        <f t="shared" ca="1" si="408"/>
        <v>0</v>
      </c>
      <c r="BQ91" s="64"/>
      <c r="BR91" s="74" t="s">
        <v>1728</v>
      </c>
      <c r="BS91" s="73">
        <f t="shared" ca="1" si="408"/>
        <v>0</v>
      </c>
      <c r="BT91" s="64"/>
      <c r="BU91" s="74" t="s">
        <v>1728</v>
      </c>
      <c r="BV91" s="73">
        <f t="shared" ca="1" si="408"/>
        <v>0</v>
      </c>
      <c r="BW91" s="64"/>
      <c r="BX91" s="74" t="s">
        <v>1728</v>
      </c>
      <c r="BY91" s="73">
        <f t="shared" ca="1" si="408"/>
        <v>0</v>
      </c>
      <c r="BZ91" s="64"/>
      <c r="CA91" s="74" t="s">
        <v>1728</v>
      </c>
      <c r="CB91" s="73">
        <f t="shared" ca="1" si="408"/>
        <v>0</v>
      </c>
      <c r="CC91" s="64"/>
      <c r="CD91" s="74" t="s">
        <v>1728</v>
      </c>
      <c r="CE91" s="73">
        <f t="shared" ca="1" si="408"/>
        <v>0</v>
      </c>
      <c r="CF91" s="64"/>
      <c r="CG91" s="74" t="s">
        <v>1728</v>
      </c>
      <c r="CH91" s="73">
        <f t="shared" ca="1" si="408"/>
        <v>0</v>
      </c>
      <c r="CI91" s="64"/>
      <c r="CJ91" s="74" t="s">
        <v>1728</v>
      </c>
      <c r="CK91" s="73">
        <f t="shared" ref="CK91:EV91" ca="1" si="409">($M91=CJ91)*$D$14</f>
        <v>0</v>
      </c>
      <c r="CL91" s="64"/>
      <c r="CM91" s="74" t="s">
        <v>1728</v>
      </c>
      <c r="CN91" s="73">
        <f t="shared" ca="1" si="409"/>
        <v>0</v>
      </c>
      <c r="CO91" s="64"/>
      <c r="CP91" s="74" t="s">
        <v>1728</v>
      </c>
      <c r="CQ91" s="73">
        <f t="shared" ca="1" si="409"/>
        <v>0</v>
      </c>
      <c r="CR91" s="64"/>
      <c r="CS91" s="74" t="s">
        <v>1728</v>
      </c>
      <c r="CT91" s="73">
        <f t="shared" ca="1" si="409"/>
        <v>0</v>
      </c>
      <c r="CU91" s="64"/>
      <c r="CV91" s="74" t="s">
        <v>1728</v>
      </c>
      <c r="CW91" s="73">
        <f t="shared" ca="1" si="409"/>
        <v>0</v>
      </c>
      <c r="CX91" s="64"/>
      <c r="CY91" s="74" t="s">
        <v>1728</v>
      </c>
      <c r="CZ91" s="73">
        <f t="shared" ca="1" si="409"/>
        <v>0</v>
      </c>
      <c r="DA91" s="64"/>
      <c r="DB91" s="74" t="s">
        <v>1728</v>
      </c>
      <c r="DC91" s="73">
        <f t="shared" ca="1" si="409"/>
        <v>0</v>
      </c>
      <c r="DD91" s="64"/>
      <c r="DE91" s="74" t="s">
        <v>1728</v>
      </c>
      <c r="DF91" s="73">
        <f t="shared" ca="1" si="409"/>
        <v>0</v>
      </c>
      <c r="DG91" s="64"/>
      <c r="DH91" s="74" t="s">
        <v>1728</v>
      </c>
      <c r="DI91" s="73">
        <f t="shared" ca="1" si="409"/>
        <v>0</v>
      </c>
      <c r="DJ91" s="64"/>
      <c r="DK91" s="74" t="s">
        <v>1728</v>
      </c>
      <c r="DL91" s="73">
        <f t="shared" ca="1" si="409"/>
        <v>0</v>
      </c>
      <c r="DM91" s="64"/>
      <c r="DN91" s="795" t="s">
        <v>1728</v>
      </c>
      <c r="DO91" s="73">
        <f t="shared" ca="1" si="409"/>
        <v>0</v>
      </c>
      <c r="DP91" s="64"/>
      <c r="DQ91" s="795" t="s">
        <v>1728</v>
      </c>
      <c r="DR91" s="73">
        <f t="shared" ca="1" si="409"/>
        <v>0</v>
      </c>
      <c r="DS91" s="64"/>
      <c r="DT91" s="74" t="s">
        <v>1728</v>
      </c>
      <c r="DU91" s="73">
        <f t="shared" ca="1" si="409"/>
        <v>0</v>
      </c>
      <c r="DV91" s="64"/>
      <c r="DW91" s="74" t="s">
        <v>1728</v>
      </c>
      <c r="DX91" s="73">
        <f t="shared" ca="1" si="409"/>
        <v>0</v>
      </c>
      <c r="DY91" s="64"/>
      <c r="DZ91" s="74" t="s">
        <v>1728</v>
      </c>
      <c r="EA91" s="73">
        <f t="shared" ca="1" si="409"/>
        <v>0</v>
      </c>
      <c r="EB91" s="64"/>
      <c r="EC91" s="74" t="s">
        <v>1728</v>
      </c>
      <c r="ED91" s="73">
        <f t="shared" ca="1" si="409"/>
        <v>0</v>
      </c>
      <c r="EE91" s="64"/>
      <c r="EF91" s="74" t="s">
        <v>1728</v>
      </c>
      <c r="EG91" s="73">
        <f t="shared" ca="1" si="409"/>
        <v>0</v>
      </c>
      <c r="EH91" s="64"/>
      <c r="EI91" s="74"/>
      <c r="EJ91" s="73">
        <f t="shared" ca="1" si="409"/>
        <v>0</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51"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412">($M92=S92)*$D$11</f>
        <v>0</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0</v>
      </c>
      <c r="AG92" s="64"/>
      <c r="AH92" s="74" t="s">
        <v>497</v>
      </c>
      <c r="AI92" s="73">
        <f t="shared" ca="1" si="413"/>
        <v>0</v>
      </c>
      <c r="AJ92" s="64"/>
      <c r="AK92" s="74" t="s">
        <v>1835</v>
      </c>
      <c r="AL92" s="73">
        <f t="shared" ca="1" si="413"/>
        <v>0</v>
      </c>
      <c r="AM92" s="64"/>
      <c r="AN92" s="74" t="s">
        <v>1835</v>
      </c>
      <c r="AO92" s="73">
        <f t="shared" ca="1" si="413"/>
        <v>0</v>
      </c>
      <c r="AP92" s="64"/>
      <c r="AQ92" s="74" t="s">
        <v>497</v>
      </c>
      <c r="AR92" s="73">
        <f t="shared" ca="1" si="413"/>
        <v>0</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0</v>
      </c>
      <c r="BH92" s="64"/>
      <c r="BI92" s="74" t="s">
        <v>1835</v>
      </c>
      <c r="BJ92" s="73">
        <f t="shared" ca="1" si="413"/>
        <v>0</v>
      </c>
      <c r="BK92" s="64"/>
      <c r="BL92" s="74" t="s">
        <v>497</v>
      </c>
      <c r="BM92" s="73">
        <f t="shared" ca="1" si="413"/>
        <v>0</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0</v>
      </c>
      <c r="CI92" s="64"/>
      <c r="CJ92" s="74" t="s">
        <v>497</v>
      </c>
      <c r="CK92" s="73">
        <f t="shared" ref="CK92:EV92" ca="1" si="414">($M92=CJ92)*$D$11</f>
        <v>0</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0</v>
      </c>
      <c r="DS92" s="64"/>
      <c r="DT92" s="74" t="s">
        <v>497</v>
      </c>
      <c r="DU92" s="73">
        <f t="shared" ca="1" si="414"/>
        <v>0</v>
      </c>
      <c r="DV92" s="64"/>
      <c r="DW92" s="74" t="s">
        <v>1835</v>
      </c>
      <c r="DX92" s="73">
        <f t="shared" ca="1" si="414"/>
        <v>0</v>
      </c>
      <c r="DY92" s="64"/>
      <c r="DZ92" s="74" t="s">
        <v>497</v>
      </c>
      <c r="EA92" s="73">
        <f t="shared" ca="1" si="414"/>
        <v>0</v>
      </c>
      <c r="EB92" s="64"/>
      <c r="EC92" s="74" t="s">
        <v>1835</v>
      </c>
      <c r="ED92" s="73">
        <f t="shared" ca="1" si="414"/>
        <v>0</v>
      </c>
      <c r="EE92" s="64"/>
      <c r="EF92" s="74" t="s">
        <v>497</v>
      </c>
      <c r="EG92" s="73">
        <f t="shared" ca="1" si="414"/>
        <v>0</v>
      </c>
      <c r="EH92" s="64"/>
      <c r="EI92" s="74"/>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51"/>
      <c r="K93" s="56" t="str">
        <f>Idiomas!D163</f>
        <v>2º GRUPO D</v>
      </c>
      <c r="L93" s="53"/>
      <c r="M93" s="55" t="str">
        <f ca="1">IF(OR(SUM(WORLDCUP!$AN$30:$AN$33)=12,WORLDCUP!$AJ$99=144),WORLDCUP!AL31,LEFT(K93,1)&amp;RIGHT(K93,1))</f>
        <v>2D</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51"/>
      <c r="K94" s="56" t="str">
        <f>Idiomas!D164</f>
        <v>3º GRUPO D</v>
      </c>
      <c r="L94" s="53"/>
      <c r="M94" s="55" t="str">
        <f ca="1">IF(OR(SUM(WORLDCUP!$AN$30:$AN$33)=12,WORLDCUP!$AJ$99=144),WORLDCUP!AL32,LEFT(K94,1)&amp;RIGHT(K94,1))</f>
        <v>3D</v>
      </c>
      <c r="N94" s="25"/>
      <c r="O94" s="25"/>
      <c r="P94" s="25"/>
      <c r="Q94" s="25"/>
      <c r="R94" s="110"/>
      <c r="S94" s="74" t="s">
        <v>1257</v>
      </c>
      <c r="T94" s="73">
        <f t="shared" ref="T94" ca="1" si="422">($M94=S94)*$D$13</f>
        <v>0</v>
      </c>
      <c r="U94" s="64"/>
      <c r="V94" s="74" t="s">
        <v>1319</v>
      </c>
      <c r="W94" s="73">
        <f t="shared" ref="W94:CH94" ca="1" si="423">($M94=V94)*$D$13</f>
        <v>0</v>
      </c>
      <c r="X94" s="64"/>
      <c r="Y94" s="74" t="s">
        <v>1319</v>
      </c>
      <c r="Z94" s="73">
        <f t="shared" ca="1" si="423"/>
        <v>0</v>
      </c>
      <c r="AA94" s="64"/>
      <c r="AB94" s="74" t="s">
        <v>1319</v>
      </c>
      <c r="AC94" s="73">
        <f t="shared" ca="1" si="423"/>
        <v>0</v>
      </c>
      <c r="AD94" s="64"/>
      <c r="AE94" s="74" t="s">
        <v>1319</v>
      </c>
      <c r="AF94" s="73">
        <f t="shared" ca="1" si="423"/>
        <v>0</v>
      </c>
      <c r="AG94" s="64"/>
      <c r="AH94" s="74" t="s">
        <v>1319</v>
      </c>
      <c r="AI94" s="73">
        <f t="shared" ca="1" si="423"/>
        <v>0</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0</v>
      </c>
      <c r="AV94" s="64"/>
      <c r="AW94" s="74" t="s">
        <v>497</v>
      </c>
      <c r="AX94" s="73">
        <f t="shared" ca="1" si="423"/>
        <v>0</v>
      </c>
      <c r="AY94" s="64"/>
      <c r="AZ94" s="74" t="s">
        <v>1257</v>
      </c>
      <c r="BA94" s="73">
        <f t="shared" ca="1" si="423"/>
        <v>0</v>
      </c>
      <c r="BB94" s="64"/>
      <c r="BC94" s="74" t="s">
        <v>1319</v>
      </c>
      <c r="BD94" s="73">
        <f t="shared" ca="1" si="423"/>
        <v>0</v>
      </c>
      <c r="BE94" s="64"/>
      <c r="BF94" s="74" t="s">
        <v>1319</v>
      </c>
      <c r="BG94" s="73">
        <f t="shared" ca="1" si="423"/>
        <v>0</v>
      </c>
      <c r="BH94" s="64"/>
      <c r="BI94" s="74" t="s">
        <v>497</v>
      </c>
      <c r="BJ94" s="73">
        <f t="shared" ca="1" si="423"/>
        <v>0</v>
      </c>
      <c r="BK94" s="64"/>
      <c r="BL94" s="74" t="s">
        <v>1319</v>
      </c>
      <c r="BM94" s="73">
        <f t="shared" ca="1" si="423"/>
        <v>0</v>
      </c>
      <c r="BN94" s="64"/>
      <c r="BO94" s="74" t="s">
        <v>1319</v>
      </c>
      <c r="BP94" s="73">
        <f t="shared" ca="1" si="423"/>
        <v>0</v>
      </c>
      <c r="BQ94" s="64"/>
      <c r="BR94" s="74" t="s">
        <v>497</v>
      </c>
      <c r="BS94" s="73">
        <f t="shared" ca="1" si="423"/>
        <v>0</v>
      </c>
      <c r="BT94" s="64"/>
      <c r="BU94" s="74" t="s">
        <v>1319</v>
      </c>
      <c r="BV94" s="73">
        <f t="shared" ca="1" si="423"/>
        <v>0</v>
      </c>
      <c r="BW94" s="64"/>
      <c r="BX94" s="74" t="s">
        <v>1319</v>
      </c>
      <c r="BY94" s="73">
        <f t="shared" ca="1" si="423"/>
        <v>0</v>
      </c>
      <c r="BZ94" s="64"/>
      <c r="CA94" s="74" t="s">
        <v>1319</v>
      </c>
      <c r="CB94" s="73">
        <f t="shared" ca="1" si="423"/>
        <v>0</v>
      </c>
      <c r="CC94" s="64"/>
      <c r="CD94" s="74" t="s">
        <v>1257</v>
      </c>
      <c r="CE94" s="73">
        <f t="shared" ca="1" si="423"/>
        <v>0</v>
      </c>
      <c r="CF94" s="64"/>
      <c r="CG94" s="74" t="s">
        <v>1319</v>
      </c>
      <c r="CH94" s="73">
        <f t="shared" ca="1" si="423"/>
        <v>0</v>
      </c>
      <c r="CI94" s="64"/>
      <c r="CJ94" s="74" t="s">
        <v>1319</v>
      </c>
      <c r="CK94" s="73">
        <f t="shared" ref="CK94:EV94" ca="1" si="424">($M94=CJ94)*$D$13</f>
        <v>0</v>
      </c>
      <c r="CL94" s="64"/>
      <c r="CM94" s="74" t="s">
        <v>1319</v>
      </c>
      <c r="CN94" s="73">
        <f t="shared" ca="1" si="424"/>
        <v>0</v>
      </c>
      <c r="CO94" s="64"/>
      <c r="CP94" s="74" t="s">
        <v>1319</v>
      </c>
      <c r="CQ94" s="73">
        <f t="shared" ca="1" si="424"/>
        <v>0</v>
      </c>
      <c r="CR94" s="64"/>
      <c r="CS94" s="74" t="s">
        <v>1319</v>
      </c>
      <c r="CT94" s="73">
        <f t="shared" ca="1" si="424"/>
        <v>0</v>
      </c>
      <c r="CU94" s="64"/>
      <c r="CV94" s="74" t="s">
        <v>1319</v>
      </c>
      <c r="CW94" s="73">
        <f t="shared" ca="1" si="424"/>
        <v>0</v>
      </c>
      <c r="CX94" s="64"/>
      <c r="CY94" s="74" t="s">
        <v>1319</v>
      </c>
      <c r="CZ94" s="73">
        <f t="shared" ca="1" si="424"/>
        <v>0</v>
      </c>
      <c r="DA94" s="64"/>
      <c r="DB94" s="74" t="s">
        <v>1319</v>
      </c>
      <c r="DC94" s="73">
        <f t="shared" ca="1" si="424"/>
        <v>0</v>
      </c>
      <c r="DD94" s="64"/>
      <c r="DE94" s="74" t="s">
        <v>1257</v>
      </c>
      <c r="DF94" s="73">
        <f t="shared" ca="1" si="424"/>
        <v>0</v>
      </c>
      <c r="DG94" s="64"/>
      <c r="DH94" s="74" t="s">
        <v>1319</v>
      </c>
      <c r="DI94" s="73">
        <f t="shared" ca="1" si="424"/>
        <v>0</v>
      </c>
      <c r="DJ94" s="64"/>
      <c r="DK94" s="74" t="s">
        <v>1319</v>
      </c>
      <c r="DL94" s="73">
        <f t="shared" ca="1" si="424"/>
        <v>0</v>
      </c>
      <c r="DM94" s="64"/>
      <c r="DN94" s="795" t="s">
        <v>497</v>
      </c>
      <c r="DO94" s="73">
        <f t="shared" ca="1" si="424"/>
        <v>0</v>
      </c>
      <c r="DP94" s="64"/>
      <c r="DQ94" s="795" t="s">
        <v>1257</v>
      </c>
      <c r="DR94" s="73">
        <f t="shared" ca="1" si="424"/>
        <v>0</v>
      </c>
      <c r="DS94" s="64"/>
      <c r="DT94" s="74" t="s">
        <v>1319</v>
      </c>
      <c r="DU94" s="73">
        <f t="shared" ca="1" si="424"/>
        <v>0</v>
      </c>
      <c r="DV94" s="64"/>
      <c r="DW94" s="74" t="s">
        <v>1319</v>
      </c>
      <c r="DX94" s="73">
        <f t="shared" ca="1" si="424"/>
        <v>0</v>
      </c>
      <c r="DY94" s="64"/>
      <c r="DZ94" s="74" t="s">
        <v>1257</v>
      </c>
      <c r="EA94" s="73">
        <f t="shared" ca="1" si="424"/>
        <v>0</v>
      </c>
      <c r="EB94" s="64"/>
      <c r="EC94" s="74" t="s">
        <v>497</v>
      </c>
      <c r="ED94" s="73">
        <f t="shared" ca="1" si="424"/>
        <v>0</v>
      </c>
      <c r="EE94" s="64"/>
      <c r="EF94" s="74" t="s">
        <v>1257</v>
      </c>
      <c r="EG94" s="73">
        <f t="shared" ca="1" si="424"/>
        <v>0</v>
      </c>
      <c r="EH94" s="64"/>
      <c r="EI94" s="74"/>
      <c r="EJ94" s="73">
        <f t="shared" ca="1" si="424"/>
        <v>0</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51"/>
      <c r="K95" s="56" t="str">
        <f>Idiomas!D165</f>
        <v>4º GRUPO D</v>
      </c>
      <c r="L95" s="53"/>
      <c r="M95" s="55" t="str">
        <f ca="1">IF(OR(SUM(WORLDCUP!$AN$30:$AN$33)=12,WORLDCUP!$AJ$99=144),WORLDCUP!AL33,LEFT(K95,1)&amp;RIGHT(K95,1))</f>
        <v>4D</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2"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432">($M96=S96)*$D$11</f>
        <v>0</v>
      </c>
      <c r="U96" s="64"/>
      <c r="V96" s="74" t="s">
        <v>77</v>
      </c>
      <c r="W96" s="73">
        <f t="shared" ref="W96:CH96" ca="1" si="433">($M96=V96)*$D$11</f>
        <v>0</v>
      </c>
      <c r="X96" s="64"/>
      <c r="Y96" s="74" t="s">
        <v>77</v>
      </c>
      <c r="Z96" s="73">
        <f t="shared" ca="1" si="433"/>
        <v>0</v>
      </c>
      <c r="AA96" s="64"/>
      <c r="AB96" s="74" t="s">
        <v>77</v>
      </c>
      <c r="AC96" s="73">
        <f t="shared" ca="1" si="433"/>
        <v>0</v>
      </c>
      <c r="AD96" s="64"/>
      <c r="AE96" s="74" t="s">
        <v>77</v>
      </c>
      <c r="AF96" s="73">
        <f t="shared" ca="1" si="433"/>
        <v>0</v>
      </c>
      <c r="AG96" s="64"/>
      <c r="AH96" s="74" t="s">
        <v>77</v>
      </c>
      <c r="AI96" s="73">
        <f t="shared" ca="1" si="433"/>
        <v>0</v>
      </c>
      <c r="AJ96" s="64"/>
      <c r="AK96" s="74" t="s">
        <v>77</v>
      </c>
      <c r="AL96" s="73">
        <f t="shared" ca="1" si="433"/>
        <v>0</v>
      </c>
      <c r="AM96" s="64"/>
      <c r="AN96" s="74" t="s">
        <v>77</v>
      </c>
      <c r="AO96" s="73">
        <f t="shared" ca="1" si="433"/>
        <v>0</v>
      </c>
      <c r="AP96" s="64"/>
      <c r="AQ96" s="74" t="s">
        <v>77</v>
      </c>
      <c r="AR96" s="73">
        <f t="shared" ca="1" si="433"/>
        <v>0</v>
      </c>
      <c r="AS96" s="64"/>
      <c r="AT96" s="74" t="s">
        <v>77</v>
      </c>
      <c r="AU96" s="73">
        <f t="shared" ca="1" si="433"/>
        <v>0</v>
      </c>
      <c r="AV96" s="64"/>
      <c r="AW96" s="74" t="s">
        <v>77</v>
      </c>
      <c r="AX96" s="73">
        <f t="shared" ca="1" si="433"/>
        <v>0</v>
      </c>
      <c r="AY96" s="64"/>
      <c r="AZ96" s="74" t="s">
        <v>77</v>
      </c>
      <c r="BA96" s="73">
        <f t="shared" ca="1" si="433"/>
        <v>0</v>
      </c>
      <c r="BB96" s="64"/>
      <c r="BC96" s="74" t="s">
        <v>77</v>
      </c>
      <c r="BD96" s="73">
        <f t="shared" ca="1" si="433"/>
        <v>0</v>
      </c>
      <c r="BE96" s="64"/>
      <c r="BF96" s="74" t="s">
        <v>77</v>
      </c>
      <c r="BG96" s="73">
        <f t="shared" ca="1" si="433"/>
        <v>0</v>
      </c>
      <c r="BH96" s="64"/>
      <c r="BI96" s="74" t="s">
        <v>77</v>
      </c>
      <c r="BJ96" s="73">
        <f t="shared" ca="1" si="433"/>
        <v>0</v>
      </c>
      <c r="BK96" s="64"/>
      <c r="BL96" s="74" t="s">
        <v>77</v>
      </c>
      <c r="BM96" s="73">
        <f t="shared" ca="1" si="433"/>
        <v>0</v>
      </c>
      <c r="BN96" s="64"/>
      <c r="BO96" s="74" t="s">
        <v>77</v>
      </c>
      <c r="BP96" s="73">
        <f t="shared" ca="1" si="433"/>
        <v>0</v>
      </c>
      <c r="BQ96" s="64"/>
      <c r="BR96" s="74" t="s">
        <v>77</v>
      </c>
      <c r="BS96" s="73">
        <f t="shared" ca="1" si="433"/>
        <v>0</v>
      </c>
      <c r="BT96" s="64"/>
      <c r="BU96" s="74" t="s">
        <v>77</v>
      </c>
      <c r="BV96" s="73">
        <f t="shared" ca="1" si="433"/>
        <v>0</v>
      </c>
      <c r="BW96" s="64"/>
      <c r="BX96" s="74" t="s">
        <v>77</v>
      </c>
      <c r="BY96" s="73">
        <f t="shared" ca="1" si="433"/>
        <v>0</v>
      </c>
      <c r="BZ96" s="64"/>
      <c r="CA96" s="74" t="s">
        <v>77</v>
      </c>
      <c r="CB96" s="73">
        <f t="shared" ca="1" si="433"/>
        <v>0</v>
      </c>
      <c r="CC96" s="64"/>
      <c r="CD96" s="74" t="s">
        <v>77</v>
      </c>
      <c r="CE96" s="73">
        <f t="shared" ca="1" si="433"/>
        <v>0</v>
      </c>
      <c r="CF96" s="64"/>
      <c r="CG96" s="74" t="s">
        <v>77</v>
      </c>
      <c r="CH96" s="73">
        <f t="shared" ca="1" si="433"/>
        <v>0</v>
      </c>
      <c r="CI96" s="64"/>
      <c r="CJ96" s="74" t="s">
        <v>77</v>
      </c>
      <c r="CK96" s="73">
        <f t="shared" ref="CK96:EV96" ca="1" si="434">($M96=CJ96)*$D$11</f>
        <v>0</v>
      </c>
      <c r="CL96" s="64"/>
      <c r="CM96" s="74" t="s">
        <v>77</v>
      </c>
      <c r="CN96" s="73">
        <f t="shared" ca="1" si="434"/>
        <v>0</v>
      </c>
      <c r="CO96" s="64"/>
      <c r="CP96" s="74" t="s">
        <v>77</v>
      </c>
      <c r="CQ96" s="73">
        <f t="shared" ca="1" si="434"/>
        <v>0</v>
      </c>
      <c r="CR96" s="64"/>
      <c r="CS96" s="74" t="s">
        <v>77</v>
      </c>
      <c r="CT96" s="73">
        <f t="shared" ca="1" si="434"/>
        <v>0</v>
      </c>
      <c r="CU96" s="64"/>
      <c r="CV96" s="74" t="s">
        <v>77</v>
      </c>
      <c r="CW96" s="73">
        <f t="shared" ca="1" si="434"/>
        <v>0</v>
      </c>
      <c r="CX96" s="64"/>
      <c r="CY96" s="74" t="s">
        <v>1261</v>
      </c>
      <c r="CZ96" s="73">
        <f t="shared" ca="1" si="434"/>
        <v>0</v>
      </c>
      <c r="DA96" s="64"/>
      <c r="DB96" s="74" t="s">
        <v>77</v>
      </c>
      <c r="DC96" s="73">
        <f t="shared" ca="1" si="434"/>
        <v>0</v>
      </c>
      <c r="DD96" s="64"/>
      <c r="DE96" s="74" t="s">
        <v>77</v>
      </c>
      <c r="DF96" s="73">
        <f t="shared" ca="1" si="434"/>
        <v>0</v>
      </c>
      <c r="DG96" s="64"/>
      <c r="DH96" s="74" t="s">
        <v>77</v>
      </c>
      <c r="DI96" s="73">
        <f t="shared" ca="1" si="434"/>
        <v>0</v>
      </c>
      <c r="DJ96" s="64"/>
      <c r="DK96" s="74" t="s">
        <v>77</v>
      </c>
      <c r="DL96" s="73">
        <f t="shared" ca="1" si="434"/>
        <v>0</v>
      </c>
      <c r="DM96" s="64"/>
      <c r="DN96" s="795" t="s">
        <v>77</v>
      </c>
      <c r="DO96" s="73">
        <f t="shared" ca="1" si="434"/>
        <v>0</v>
      </c>
      <c r="DP96" s="64"/>
      <c r="DQ96" s="795" t="s">
        <v>77</v>
      </c>
      <c r="DR96" s="73">
        <f t="shared" ca="1" si="434"/>
        <v>0</v>
      </c>
      <c r="DS96" s="64"/>
      <c r="DT96" s="74" t="s">
        <v>77</v>
      </c>
      <c r="DU96" s="73">
        <f t="shared" ca="1" si="434"/>
        <v>0</v>
      </c>
      <c r="DV96" s="64"/>
      <c r="DW96" s="74" t="s">
        <v>77</v>
      </c>
      <c r="DX96" s="73">
        <f t="shared" ca="1" si="434"/>
        <v>0</v>
      </c>
      <c r="DY96" s="64"/>
      <c r="DZ96" s="74" t="s">
        <v>77</v>
      </c>
      <c r="EA96" s="73">
        <f t="shared" ca="1" si="434"/>
        <v>0</v>
      </c>
      <c r="EB96" s="64"/>
      <c r="EC96" s="74" t="s">
        <v>77</v>
      </c>
      <c r="ED96" s="73">
        <f t="shared" ca="1" si="434"/>
        <v>0</v>
      </c>
      <c r="EE96" s="64"/>
      <c r="EF96" s="74" t="s">
        <v>77</v>
      </c>
      <c r="EG96" s="73">
        <f t="shared" ca="1" si="434"/>
        <v>0</v>
      </c>
      <c r="EH96" s="64"/>
      <c r="EI96" s="74"/>
      <c r="EJ96" s="73">
        <f t="shared" ca="1" si="434"/>
        <v>0</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2"/>
      <c r="K97" s="56" t="str">
        <f>Idiomas!D167</f>
        <v>2º GRUPO E</v>
      </c>
      <c r="L97" s="53"/>
      <c r="M97" s="55" t="str">
        <f ca="1">IF(OR(SUM(WORLDCUP!$AN$38:$AN$41)=12,WORLDCUP!$AJ$99=144),WORLDCUP!AL39,LEFT(K97,1)&amp;RIGHT(K97,1))</f>
        <v>2E</v>
      </c>
      <c r="N97" s="25"/>
      <c r="O97" s="25"/>
      <c r="P97" s="25"/>
      <c r="Q97" s="25"/>
      <c r="R97" s="110"/>
      <c r="S97" s="74" t="s">
        <v>1633</v>
      </c>
      <c r="T97" s="73">
        <f t="shared" ref="T97" ca="1" si="437">($M97=S97)*$D$12</f>
        <v>0</v>
      </c>
      <c r="U97" s="64"/>
      <c r="V97" s="74" t="s">
        <v>1261</v>
      </c>
      <c r="W97" s="73">
        <f t="shared" ref="W97:CH97" ca="1" si="438">($M97=V97)*$D$12</f>
        <v>0</v>
      </c>
      <c r="X97" s="64"/>
      <c r="Y97" s="74" t="s">
        <v>1633</v>
      </c>
      <c r="Z97" s="73">
        <f t="shared" ca="1" si="438"/>
        <v>0</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0</v>
      </c>
      <c r="AP97" s="64"/>
      <c r="AQ97" s="74" t="s">
        <v>1261</v>
      </c>
      <c r="AR97" s="73">
        <f t="shared" ca="1" si="438"/>
        <v>0</v>
      </c>
      <c r="AS97" s="64"/>
      <c r="AT97" s="74" t="s">
        <v>1261</v>
      </c>
      <c r="AU97" s="73">
        <f t="shared" ca="1" si="438"/>
        <v>0</v>
      </c>
      <c r="AV97" s="64"/>
      <c r="AW97" s="74" t="s">
        <v>1633</v>
      </c>
      <c r="AX97" s="73">
        <f t="shared" ca="1" si="438"/>
        <v>0</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0</v>
      </c>
      <c r="BK97" s="64"/>
      <c r="BL97" s="74" t="s">
        <v>1261</v>
      </c>
      <c r="BM97" s="73">
        <f t="shared" ca="1" si="438"/>
        <v>0</v>
      </c>
      <c r="BN97" s="64"/>
      <c r="BO97" s="74" t="s">
        <v>1633</v>
      </c>
      <c r="BP97" s="73">
        <f t="shared" ca="1" si="438"/>
        <v>0</v>
      </c>
      <c r="BQ97" s="64"/>
      <c r="BR97" s="74" t="s">
        <v>1261</v>
      </c>
      <c r="BS97" s="73">
        <f t="shared" ca="1" si="438"/>
        <v>0</v>
      </c>
      <c r="BT97" s="64"/>
      <c r="BU97" s="74" t="s">
        <v>1633</v>
      </c>
      <c r="BV97" s="73">
        <f t="shared" ca="1" si="438"/>
        <v>0</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0</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0</v>
      </c>
      <c r="CU97" s="64"/>
      <c r="CV97" s="74" t="s">
        <v>1261</v>
      </c>
      <c r="CW97" s="73">
        <f t="shared" ca="1" si="439"/>
        <v>0</v>
      </c>
      <c r="CX97" s="64"/>
      <c r="CY97" s="74" t="s">
        <v>1633</v>
      </c>
      <c r="CZ97" s="73">
        <f t="shared" ca="1" si="439"/>
        <v>0</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2"/>
      <c r="K98" s="56" t="str">
        <f>Idiomas!D168</f>
        <v>3º GRUPO E</v>
      </c>
      <c r="L98" s="53"/>
      <c r="M98" s="55" t="str">
        <f ca="1">IF(OR(SUM(WORLDCUP!$AN$38:$AN$41)=12,WORLDCUP!$AJ$99=144),WORLDCUP!AL40,LEFT(K98,1)&amp;RIGHT(K98,1))</f>
        <v>3E</v>
      </c>
      <c r="N98" s="25"/>
      <c r="O98" s="25"/>
      <c r="P98" s="25"/>
      <c r="Q98" s="25"/>
      <c r="R98" s="110"/>
      <c r="S98" s="74" t="s">
        <v>1261</v>
      </c>
      <c r="T98" s="73">
        <f t="shared" ref="T98" ca="1" si="442">($M98=S98)*$D$13</f>
        <v>0</v>
      </c>
      <c r="U98" s="64"/>
      <c r="V98" s="74" t="s">
        <v>1633</v>
      </c>
      <c r="W98" s="73">
        <f t="shared" ref="W98:CH98" ca="1" si="443">($M98=V98)*$D$13</f>
        <v>0</v>
      </c>
      <c r="X98" s="64"/>
      <c r="Y98" s="74" t="s">
        <v>1261</v>
      </c>
      <c r="Z98" s="73">
        <f t="shared" ca="1" si="443"/>
        <v>0</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0</v>
      </c>
      <c r="AP98" s="64"/>
      <c r="AQ98" s="74" t="s">
        <v>1633</v>
      </c>
      <c r="AR98" s="73">
        <f t="shared" ca="1" si="443"/>
        <v>0</v>
      </c>
      <c r="AS98" s="64"/>
      <c r="AT98" s="74" t="s">
        <v>1633</v>
      </c>
      <c r="AU98" s="73">
        <f t="shared" ca="1" si="443"/>
        <v>0</v>
      </c>
      <c r="AV98" s="64"/>
      <c r="AW98" s="74" t="s">
        <v>1261</v>
      </c>
      <c r="AX98" s="73">
        <f t="shared" ca="1" si="443"/>
        <v>0</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0</v>
      </c>
      <c r="BK98" s="64"/>
      <c r="BL98" s="74" t="s">
        <v>1633</v>
      </c>
      <c r="BM98" s="73">
        <f t="shared" ca="1" si="443"/>
        <v>0</v>
      </c>
      <c r="BN98" s="64"/>
      <c r="BO98" s="74" t="s">
        <v>1261</v>
      </c>
      <c r="BP98" s="73">
        <f t="shared" ca="1" si="443"/>
        <v>0</v>
      </c>
      <c r="BQ98" s="64"/>
      <c r="BR98" s="74" t="s">
        <v>1633</v>
      </c>
      <c r="BS98" s="73">
        <f t="shared" ca="1" si="443"/>
        <v>0</v>
      </c>
      <c r="BT98" s="64"/>
      <c r="BU98" s="74" t="s">
        <v>1261</v>
      </c>
      <c r="BV98" s="73">
        <f t="shared" ca="1" si="443"/>
        <v>0</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0</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0</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2"/>
      <c r="K99" s="56" t="str">
        <f>Idiomas!D169</f>
        <v>4º GRUPO E</v>
      </c>
      <c r="L99" s="53"/>
      <c r="M99" s="55" t="str">
        <f ca="1">IF(OR(SUM(WORLDCUP!$AN$38:$AN$41)=12,WORLDCUP!$AJ$99=144),WORLDCUP!AL41,LEFT(K99,1)&amp;RIGHT(K99,1))</f>
        <v>4E</v>
      </c>
      <c r="N99" s="25"/>
      <c r="O99" s="25"/>
      <c r="P99" s="25"/>
      <c r="Q99" s="25"/>
      <c r="R99" s="110"/>
      <c r="S99" s="74" t="s">
        <v>1726</v>
      </c>
      <c r="T99" s="73">
        <f t="shared" ref="T99" ca="1" si="447">($M99=S99)*$D$14</f>
        <v>0</v>
      </c>
      <c r="U99" s="64"/>
      <c r="V99" s="74" t="s">
        <v>1726</v>
      </c>
      <c r="W99" s="73">
        <f t="shared" ref="W99:CH99" ca="1" si="448">($M99=V99)*$D$14</f>
        <v>0</v>
      </c>
      <c r="X99" s="64"/>
      <c r="Y99" s="74" t="s">
        <v>1726</v>
      </c>
      <c r="Z99" s="73">
        <f t="shared" ca="1" si="448"/>
        <v>0</v>
      </c>
      <c r="AA99" s="64"/>
      <c r="AB99" s="74" t="s">
        <v>1726</v>
      </c>
      <c r="AC99" s="73">
        <f t="shared" ca="1" si="448"/>
        <v>0</v>
      </c>
      <c r="AD99" s="64"/>
      <c r="AE99" s="74" t="s">
        <v>1726</v>
      </c>
      <c r="AF99" s="73">
        <f t="shared" ca="1" si="448"/>
        <v>0</v>
      </c>
      <c r="AG99" s="64"/>
      <c r="AH99" s="74" t="s">
        <v>1633</v>
      </c>
      <c r="AI99" s="73">
        <f t="shared" ca="1" si="448"/>
        <v>0</v>
      </c>
      <c r="AJ99" s="64"/>
      <c r="AK99" s="74" t="s">
        <v>1726</v>
      </c>
      <c r="AL99" s="73">
        <f t="shared" ca="1" si="448"/>
        <v>0</v>
      </c>
      <c r="AM99" s="64"/>
      <c r="AN99" s="74" t="s">
        <v>1726</v>
      </c>
      <c r="AO99" s="73">
        <f t="shared" ca="1" si="448"/>
        <v>0</v>
      </c>
      <c r="AP99" s="64"/>
      <c r="AQ99" s="74" t="s">
        <v>1726</v>
      </c>
      <c r="AR99" s="73">
        <f t="shared" ca="1" si="448"/>
        <v>0</v>
      </c>
      <c r="AS99" s="64"/>
      <c r="AT99" s="74" t="s">
        <v>1726</v>
      </c>
      <c r="AU99" s="73">
        <f t="shared" ca="1" si="448"/>
        <v>0</v>
      </c>
      <c r="AV99" s="64"/>
      <c r="AW99" s="74" t="s">
        <v>1726</v>
      </c>
      <c r="AX99" s="73">
        <f t="shared" ca="1" si="448"/>
        <v>0</v>
      </c>
      <c r="AY99" s="64"/>
      <c r="AZ99" s="74" t="s">
        <v>1726</v>
      </c>
      <c r="BA99" s="73">
        <f t="shared" ca="1" si="448"/>
        <v>0</v>
      </c>
      <c r="BB99" s="64"/>
      <c r="BC99" s="74" t="s">
        <v>1726</v>
      </c>
      <c r="BD99" s="73">
        <f t="shared" ca="1" si="448"/>
        <v>0</v>
      </c>
      <c r="BE99" s="64"/>
      <c r="BF99" s="74" t="s">
        <v>1726</v>
      </c>
      <c r="BG99" s="73">
        <f t="shared" ca="1" si="448"/>
        <v>0</v>
      </c>
      <c r="BH99" s="64"/>
      <c r="BI99" s="74" t="s">
        <v>1726</v>
      </c>
      <c r="BJ99" s="73">
        <f t="shared" ca="1" si="448"/>
        <v>0</v>
      </c>
      <c r="BK99" s="64"/>
      <c r="BL99" s="74" t="s">
        <v>1726</v>
      </c>
      <c r="BM99" s="73">
        <f t="shared" ca="1" si="448"/>
        <v>0</v>
      </c>
      <c r="BN99" s="64"/>
      <c r="BO99" s="74" t="s">
        <v>1726</v>
      </c>
      <c r="BP99" s="73">
        <f t="shared" ca="1" si="448"/>
        <v>0</v>
      </c>
      <c r="BQ99" s="64"/>
      <c r="BR99" s="74" t="s">
        <v>1726</v>
      </c>
      <c r="BS99" s="73">
        <f t="shared" ca="1" si="448"/>
        <v>0</v>
      </c>
      <c r="BT99" s="64"/>
      <c r="BU99" s="74" t="s">
        <v>1726</v>
      </c>
      <c r="BV99" s="73">
        <f t="shared" ca="1" si="448"/>
        <v>0</v>
      </c>
      <c r="BW99" s="64"/>
      <c r="BX99" s="74" t="s">
        <v>1726</v>
      </c>
      <c r="BY99" s="73">
        <f t="shared" ca="1" si="448"/>
        <v>0</v>
      </c>
      <c r="BZ99" s="64"/>
      <c r="CA99" s="74" t="s">
        <v>1726</v>
      </c>
      <c r="CB99" s="73">
        <f t="shared" ca="1" si="448"/>
        <v>0</v>
      </c>
      <c r="CC99" s="64"/>
      <c r="CD99" s="74" t="s">
        <v>1726</v>
      </c>
      <c r="CE99" s="73">
        <f t="shared" ca="1" si="448"/>
        <v>0</v>
      </c>
      <c r="CF99" s="64"/>
      <c r="CG99" s="74" t="s">
        <v>1726</v>
      </c>
      <c r="CH99" s="73">
        <f t="shared" ca="1" si="448"/>
        <v>0</v>
      </c>
      <c r="CI99" s="64"/>
      <c r="CJ99" s="74" t="s">
        <v>1726</v>
      </c>
      <c r="CK99" s="73">
        <f t="shared" ref="CK99:EV99" ca="1" si="449">($M99=CJ99)*$D$14</f>
        <v>0</v>
      </c>
      <c r="CL99" s="64"/>
      <c r="CM99" s="74" t="s">
        <v>1726</v>
      </c>
      <c r="CN99" s="73">
        <f t="shared" ca="1" si="449"/>
        <v>0</v>
      </c>
      <c r="CO99" s="64"/>
      <c r="CP99" s="74" t="s">
        <v>1726</v>
      </c>
      <c r="CQ99" s="73">
        <f t="shared" ca="1" si="449"/>
        <v>0</v>
      </c>
      <c r="CR99" s="64"/>
      <c r="CS99" s="74" t="s">
        <v>1726</v>
      </c>
      <c r="CT99" s="73">
        <f t="shared" ca="1" si="449"/>
        <v>0</v>
      </c>
      <c r="CU99" s="64"/>
      <c r="CV99" s="74" t="s">
        <v>1726</v>
      </c>
      <c r="CW99" s="73">
        <f t="shared" ca="1" si="449"/>
        <v>0</v>
      </c>
      <c r="CX99" s="64"/>
      <c r="CY99" s="74" t="s">
        <v>1726</v>
      </c>
      <c r="CZ99" s="73">
        <f t="shared" ca="1" si="449"/>
        <v>0</v>
      </c>
      <c r="DA99" s="64"/>
      <c r="DB99" s="74" t="s">
        <v>1726</v>
      </c>
      <c r="DC99" s="73">
        <f t="shared" ca="1" si="449"/>
        <v>0</v>
      </c>
      <c r="DD99" s="64"/>
      <c r="DE99" s="74" t="s">
        <v>1726</v>
      </c>
      <c r="DF99" s="73">
        <f t="shared" ca="1" si="449"/>
        <v>0</v>
      </c>
      <c r="DG99" s="64"/>
      <c r="DH99" s="74" t="s">
        <v>1726</v>
      </c>
      <c r="DI99" s="73">
        <f t="shared" ca="1" si="449"/>
        <v>0</v>
      </c>
      <c r="DJ99" s="64"/>
      <c r="DK99" s="74" t="s">
        <v>1726</v>
      </c>
      <c r="DL99" s="73">
        <f t="shared" ca="1" si="449"/>
        <v>0</v>
      </c>
      <c r="DM99" s="64"/>
      <c r="DN99" s="795" t="s">
        <v>1726</v>
      </c>
      <c r="DO99" s="73">
        <f t="shared" ca="1" si="449"/>
        <v>0</v>
      </c>
      <c r="DP99" s="64"/>
      <c r="DQ99" s="795" t="s">
        <v>1726</v>
      </c>
      <c r="DR99" s="73">
        <f t="shared" ca="1" si="449"/>
        <v>0</v>
      </c>
      <c r="DS99" s="64"/>
      <c r="DT99" s="74" t="s">
        <v>1726</v>
      </c>
      <c r="DU99" s="73">
        <f t="shared" ca="1" si="449"/>
        <v>0</v>
      </c>
      <c r="DV99" s="64"/>
      <c r="DW99" s="74" t="s">
        <v>1726</v>
      </c>
      <c r="DX99" s="73">
        <f t="shared" ca="1" si="449"/>
        <v>0</v>
      </c>
      <c r="DY99" s="64"/>
      <c r="DZ99" s="74" t="s">
        <v>1726</v>
      </c>
      <c r="EA99" s="73">
        <f t="shared" ca="1" si="449"/>
        <v>0</v>
      </c>
      <c r="EB99" s="64"/>
      <c r="EC99" s="74" t="s">
        <v>1726</v>
      </c>
      <c r="ED99" s="73">
        <f t="shared" ca="1" si="449"/>
        <v>0</v>
      </c>
      <c r="EE99" s="64"/>
      <c r="EF99" s="74" t="s">
        <v>1726</v>
      </c>
      <c r="EG99" s="73">
        <f t="shared" ca="1" si="449"/>
        <v>0</v>
      </c>
      <c r="EH99" s="64"/>
      <c r="EI99" s="74"/>
      <c r="EJ99" s="73">
        <f t="shared" ca="1" si="449"/>
        <v>0</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51" t="s">
        <v>4</v>
      </c>
      <c r="K100" s="56" t="str">
        <f>Idiomas!D170</f>
        <v>1º GRUPO F</v>
      </c>
      <c r="L100" s="53"/>
      <c r="M100" s="55" t="str">
        <f ca="1">IF(OR(SUM(WORLDCUP!$AN$46:$AN$49)=12,WORLDCUP!$AJ$99=144),WORLDCUP!AL46,LEFT(K100,1)&amp;RIGHT(K100,1))</f>
        <v>1F</v>
      </c>
      <c r="N100" s="25"/>
      <c r="O100" s="25"/>
      <c r="P100" s="25"/>
      <c r="Q100" s="25"/>
      <c r="R100" s="110"/>
      <c r="S100" s="74" t="s">
        <v>1263</v>
      </c>
      <c r="T100" s="73">
        <f t="shared" ref="T100" ca="1" si="452">($M100=S100)*$D$11</f>
        <v>0</v>
      </c>
      <c r="U100" s="64"/>
      <c r="V100" s="74" t="s">
        <v>111</v>
      </c>
      <c r="W100" s="73">
        <f t="shared" ref="W100:CH100" ca="1" si="453">($M100=V100)*$D$11</f>
        <v>0</v>
      </c>
      <c r="X100" s="64"/>
      <c r="Y100" s="74" t="s">
        <v>111</v>
      </c>
      <c r="Z100" s="73">
        <f t="shared" ca="1" si="453"/>
        <v>0</v>
      </c>
      <c r="AA100" s="64"/>
      <c r="AB100" s="74" t="s">
        <v>111</v>
      </c>
      <c r="AC100" s="73">
        <f t="shared" ca="1" si="453"/>
        <v>0</v>
      </c>
      <c r="AD100" s="64"/>
      <c r="AE100" s="74" t="s">
        <v>1263</v>
      </c>
      <c r="AF100" s="73">
        <f t="shared" ca="1" si="453"/>
        <v>0</v>
      </c>
      <c r="AG100" s="64"/>
      <c r="AH100" s="74" t="s">
        <v>111</v>
      </c>
      <c r="AI100" s="73">
        <f t="shared" ca="1" si="453"/>
        <v>0</v>
      </c>
      <c r="AJ100" s="64"/>
      <c r="AK100" s="74" t="s">
        <v>111</v>
      </c>
      <c r="AL100" s="73">
        <f t="shared" ca="1" si="453"/>
        <v>0</v>
      </c>
      <c r="AM100" s="64"/>
      <c r="AN100" s="74" t="s">
        <v>111</v>
      </c>
      <c r="AO100" s="73">
        <f t="shared" ca="1" si="453"/>
        <v>0</v>
      </c>
      <c r="AP100" s="64"/>
      <c r="AQ100" s="74" t="s">
        <v>111</v>
      </c>
      <c r="AR100" s="73">
        <f t="shared" ca="1" si="453"/>
        <v>0</v>
      </c>
      <c r="AS100" s="64"/>
      <c r="AT100" s="74" t="s">
        <v>111</v>
      </c>
      <c r="AU100" s="73">
        <f t="shared" ca="1" si="453"/>
        <v>0</v>
      </c>
      <c r="AV100" s="64"/>
      <c r="AW100" s="74" t="s">
        <v>111</v>
      </c>
      <c r="AX100" s="73">
        <f t="shared" ca="1" si="453"/>
        <v>0</v>
      </c>
      <c r="AY100" s="64"/>
      <c r="AZ100" s="74" t="s">
        <v>111</v>
      </c>
      <c r="BA100" s="73">
        <f t="shared" ca="1" si="453"/>
        <v>0</v>
      </c>
      <c r="BB100" s="64"/>
      <c r="BC100" s="74" t="s">
        <v>111</v>
      </c>
      <c r="BD100" s="73">
        <f t="shared" ca="1" si="453"/>
        <v>0</v>
      </c>
      <c r="BE100" s="64"/>
      <c r="BF100" s="74" t="s">
        <v>111</v>
      </c>
      <c r="BG100" s="73">
        <f t="shared" ca="1" si="453"/>
        <v>0</v>
      </c>
      <c r="BH100" s="64"/>
      <c r="BI100" s="74" t="s">
        <v>111</v>
      </c>
      <c r="BJ100" s="73">
        <f t="shared" ca="1" si="453"/>
        <v>0</v>
      </c>
      <c r="BK100" s="64"/>
      <c r="BL100" s="74" t="s">
        <v>111</v>
      </c>
      <c r="BM100" s="73">
        <f t="shared" ca="1" si="453"/>
        <v>0</v>
      </c>
      <c r="BN100" s="64"/>
      <c r="BO100" s="74" t="s">
        <v>111</v>
      </c>
      <c r="BP100" s="73">
        <f t="shared" ca="1" si="453"/>
        <v>0</v>
      </c>
      <c r="BQ100" s="64"/>
      <c r="BR100" s="74" t="s">
        <v>111</v>
      </c>
      <c r="BS100" s="73">
        <f t="shared" ca="1" si="453"/>
        <v>0</v>
      </c>
      <c r="BT100" s="64"/>
      <c r="BU100" s="74" t="s">
        <v>1263</v>
      </c>
      <c r="BV100" s="73">
        <f t="shared" ca="1" si="453"/>
        <v>0</v>
      </c>
      <c r="BW100" s="64"/>
      <c r="BX100" s="74" t="s">
        <v>111</v>
      </c>
      <c r="BY100" s="73">
        <f t="shared" ca="1" si="453"/>
        <v>0</v>
      </c>
      <c r="BZ100" s="64"/>
      <c r="CA100" s="74" t="s">
        <v>111</v>
      </c>
      <c r="CB100" s="73">
        <f t="shared" ca="1" si="453"/>
        <v>0</v>
      </c>
      <c r="CC100" s="64"/>
      <c r="CD100" s="74" t="s">
        <v>1263</v>
      </c>
      <c r="CE100" s="73">
        <f t="shared" ca="1" si="453"/>
        <v>0</v>
      </c>
      <c r="CF100" s="64"/>
      <c r="CG100" s="74" t="s">
        <v>111</v>
      </c>
      <c r="CH100" s="73">
        <f t="shared" ca="1" si="453"/>
        <v>0</v>
      </c>
      <c r="CI100" s="64"/>
      <c r="CJ100" s="74" t="s">
        <v>111</v>
      </c>
      <c r="CK100" s="73">
        <f t="shared" ref="CK100:EV100" ca="1" si="454">($M100=CJ100)*$D$11</f>
        <v>0</v>
      </c>
      <c r="CL100" s="64"/>
      <c r="CM100" s="74" t="s">
        <v>1263</v>
      </c>
      <c r="CN100" s="73">
        <f t="shared" ca="1" si="454"/>
        <v>0</v>
      </c>
      <c r="CO100" s="64"/>
      <c r="CP100" s="74" t="s">
        <v>1263</v>
      </c>
      <c r="CQ100" s="73">
        <f t="shared" ca="1" si="454"/>
        <v>0</v>
      </c>
      <c r="CR100" s="64"/>
      <c r="CS100" s="74" t="s">
        <v>111</v>
      </c>
      <c r="CT100" s="73">
        <f t="shared" ca="1" si="454"/>
        <v>0</v>
      </c>
      <c r="CU100" s="64"/>
      <c r="CV100" s="74" t="s">
        <v>111</v>
      </c>
      <c r="CW100" s="73">
        <f t="shared" ca="1" si="454"/>
        <v>0</v>
      </c>
      <c r="CX100" s="64"/>
      <c r="CY100" s="74" t="s">
        <v>1833</v>
      </c>
      <c r="CZ100" s="73">
        <f t="shared" ca="1" si="454"/>
        <v>0</v>
      </c>
      <c r="DA100" s="64"/>
      <c r="DB100" s="74" t="s">
        <v>111</v>
      </c>
      <c r="DC100" s="73">
        <f t="shared" ca="1" si="454"/>
        <v>0</v>
      </c>
      <c r="DD100" s="64"/>
      <c r="DE100" s="74" t="s">
        <v>111</v>
      </c>
      <c r="DF100" s="73">
        <f t="shared" ca="1" si="454"/>
        <v>0</v>
      </c>
      <c r="DG100" s="64"/>
      <c r="DH100" s="74" t="s">
        <v>111</v>
      </c>
      <c r="DI100" s="73">
        <f t="shared" ca="1" si="454"/>
        <v>0</v>
      </c>
      <c r="DJ100" s="64"/>
      <c r="DK100" s="74" t="s">
        <v>111</v>
      </c>
      <c r="DL100" s="73">
        <f t="shared" ca="1" si="454"/>
        <v>0</v>
      </c>
      <c r="DM100" s="64"/>
      <c r="DN100" s="795" t="s">
        <v>111</v>
      </c>
      <c r="DO100" s="73">
        <f t="shared" ca="1" si="454"/>
        <v>0</v>
      </c>
      <c r="DP100" s="64"/>
      <c r="DQ100" s="795" t="s">
        <v>1263</v>
      </c>
      <c r="DR100" s="73">
        <f t="shared" ca="1" si="454"/>
        <v>0</v>
      </c>
      <c r="DS100" s="64"/>
      <c r="DT100" s="74" t="s">
        <v>1833</v>
      </c>
      <c r="DU100" s="73">
        <f t="shared" ca="1" si="454"/>
        <v>0</v>
      </c>
      <c r="DV100" s="64"/>
      <c r="DW100" s="74" t="s">
        <v>111</v>
      </c>
      <c r="DX100" s="73">
        <f t="shared" ca="1" si="454"/>
        <v>0</v>
      </c>
      <c r="DY100" s="64"/>
      <c r="DZ100" s="74" t="s">
        <v>111</v>
      </c>
      <c r="EA100" s="73">
        <f t="shared" ca="1" si="454"/>
        <v>0</v>
      </c>
      <c r="EB100" s="64"/>
      <c r="EC100" s="74" t="s">
        <v>111</v>
      </c>
      <c r="ED100" s="73">
        <f t="shared" ca="1" si="454"/>
        <v>0</v>
      </c>
      <c r="EE100" s="64"/>
      <c r="EF100" s="74" t="s">
        <v>111</v>
      </c>
      <c r="EG100" s="73">
        <f t="shared" ca="1" si="454"/>
        <v>0</v>
      </c>
      <c r="EH100" s="64"/>
      <c r="EI100" s="74"/>
      <c r="EJ100" s="73">
        <f t="shared" ca="1" si="454"/>
        <v>0</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51"/>
      <c r="K101" s="56" t="str">
        <f>Idiomas!D171</f>
        <v>2º GRUPO F</v>
      </c>
      <c r="L101" s="53"/>
      <c r="M101" s="55" t="str">
        <f ca="1">IF(OR(SUM(WORLDCUP!$AN$46:$AN$49)=12,WORLDCUP!$AJ$99=144),WORLDCUP!AL47,LEFT(K101,1)&amp;RIGHT(K101,1))</f>
        <v>2F</v>
      </c>
      <c r="N101" s="25"/>
      <c r="O101" s="25"/>
      <c r="P101" s="25"/>
      <c r="Q101" s="25"/>
      <c r="R101" s="110"/>
      <c r="S101" s="74" t="s">
        <v>111</v>
      </c>
      <c r="T101" s="73">
        <f t="shared" ref="T101" ca="1" si="457">($M101=S101)*$D$12</f>
        <v>0</v>
      </c>
      <c r="U101" s="64"/>
      <c r="V101" s="74" t="s">
        <v>1263</v>
      </c>
      <c r="W101" s="73">
        <f t="shared" ref="W101:CH101" ca="1" si="458">($M101=V101)*$D$12</f>
        <v>0</v>
      </c>
      <c r="X101" s="64"/>
      <c r="Y101" s="74" t="s">
        <v>1263</v>
      </c>
      <c r="Z101" s="73">
        <f t="shared" ca="1" si="458"/>
        <v>0</v>
      </c>
      <c r="AA101" s="64"/>
      <c r="AB101" s="74" t="s">
        <v>1263</v>
      </c>
      <c r="AC101" s="73">
        <f t="shared" ca="1" si="458"/>
        <v>0</v>
      </c>
      <c r="AD101" s="64"/>
      <c r="AE101" s="74" t="s">
        <v>111</v>
      </c>
      <c r="AF101" s="73">
        <f t="shared" ca="1" si="458"/>
        <v>0</v>
      </c>
      <c r="AG101" s="64"/>
      <c r="AH101" s="74" t="s">
        <v>1833</v>
      </c>
      <c r="AI101" s="73">
        <f t="shared" ca="1" si="458"/>
        <v>0</v>
      </c>
      <c r="AJ101" s="64"/>
      <c r="AK101" s="74" t="s">
        <v>1263</v>
      </c>
      <c r="AL101" s="73">
        <f t="shared" ca="1" si="458"/>
        <v>0</v>
      </c>
      <c r="AM101" s="64"/>
      <c r="AN101" s="74" t="s">
        <v>1263</v>
      </c>
      <c r="AO101" s="73">
        <f t="shared" ca="1" si="458"/>
        <v>0</v>
      </c>
      <c r="AP101" s="64"/>
      <c r="AQ101" s="74" t="s">
        <v>1833</v>
      </c>
      <c r="AR101" s="73">
        <f t="shared" ca="1" si="458"/>
        <v>0</v>
      </c>
      <c r="AS101" s="64"/>
      <c r="AT101" s="74" t="s">
        <v>1263</v>
      </c>
      <c r="AU101" s="73">
        <f t="shared" ca="1" si="458"/>
        <v>0</v>
      </c>
      <c r="AV101" s="64"/>
      <c r="AW101" s="74" t="s">
        <v>1263</v>
      </c>
      <c r="AX101" s="73">
        <f t="shared" ca="1" si="458"/>
        <v>0</v>
      </c>
      <c r="AY101" s="64"/>
      <c r="AZ101" s="74" t="s">
        <v>1263</v>
      </c>
      <c r="BA101" s="73">
        <f t="shared" ca="1" si="458"/>
        <v>0</v>
      </c>
      <c r="BB101" s="64"/>
      <c r="BC101" s="74" t="s">
        <v>1833</v>
      </c>
      <c r="BD101" s="73">
        <f t="shared" ca="1" si="458"/>
        <v>0</v>
      </c>
      <c r="BE101" s="64"/>
      <c r="BF101" s="74" t="s">
        <v>1263</v>
      </c>
      <c r="BG101" s="73">
        <f t="shared" ca="1" si="458"/>
        <v>0</v>
      </c>
      <c r="BH101" s="64"/>
      <c r="BI101" s="74" t="s">
        <v>1263</v>
      </c>
      <c r="BJ101" s="73">
        <f t="shared" ca="1" si="458"/>
        <v>0</v>
      </c>
      <c r="BK101" s="64"/>
      <c r="BL101" s="74" t="s">
        <v>1263</v>
      </c>
      <c r="BM101" s="73">
        <f t="shared" ca="1" si="458"/>
        <v>0</v>
      </c>
      <c r="BN101" s="64"/>
      <c r="BO101" s="74" t="s">
        <v>1263</v>
      </c>
      <c r="BP101" s="73">
        <f t="shared" ca="1" si="458"/>
        <v>0</v>
      </c>
      <c r="BQ101" s="64"/>
      <c r="BR101" s="74" t="s">
        <v>1263</v>
      </c>
      <c r="BS101" s="73">
        <f t="shared" ca="1" si="458"/>
        <v>0</v>
      </c>
      <c r="BT101" s="64"/>
      <c r="BU101" s="74" t="s">
        <v>111</v>
      </c>
      <c r="BV101" s="73">
        <f t="shared" ca="1" si="458"/>
        <v>0</v>
      </c>
      <c r="BW101" s="64"/>
      <c r="BX101" s="74" t="s">
        <v>1263</v>
      </c>
      <c r="BY101" s="73">
        <f t="shared" ca="1" si="458"/>
        <v>0</v>
      </c>
      <c r="BZ101" s="64"/>
      <c r="CA101" s="74" t="s">
        <v>1833</v>
      </c>
      <c r="CB101" s="73">
        <f t="shared" ca="1" si="458"/>
        <v>0</v>
      </c>
      <c r="CC101" s="64"/>
      <c r="CD101" s="74" t="s">
        <v>111</v>
      </c>
      <c r="CE101" s="73">
        <f t="shared" ca="1" si="458"/>
        <v>0</v>
      </c>
      <c r="CF101" s="64"/>
      <c r="CG101" s="74" t="s">
        <v>1263</v>
      </c>
      <c r="CH101" s="73">
        <f t="shared" ca="1" si="458"/>
        <v>0</v>
      </c>
      <c r="CI101" s="64"/>
      <c r="CJ101" s="74" t="s">
        <v>1263</v>
      </c>
      <c r="CK101" s="73">
        <f t="shared" ref="CK101:EV101" ca="1" si="459">($M101=CJ101)*$D$12</f>
        <v>0</v>
      </c>
      <c r="CL101" s="64"/>
      <c r="CM101" s="74" t="s">
        <v>111</v>
      </c>
      <c r="CN101" s="73">
        <f t="shared" ca="1" si="459"/>
        <v>0</v>
      </c>
      <c r="CO101" s="64"/>
      <c r="CP101" s="74" t="s">
        <v>111</v>
      </c>
      <c r="CQ101" s="73">
        <f t="shared" ca="1" si="459"/>
        <v>0</v>
      </c>
      <c r="CR101" s="64"/>
      <c r="CS101" s="74" t="s">
        <v>1263</v>
      </c>
      <c r="CT101" s="73">
        <f t="shared" ca="1" si="459"/>
        <v>0</v>
      </c>
      <c r="CU101" s="64"/>
      <c r="CV101" s="74" t="s">
        <v>1263</v>
      </c>
      <c r="CW101" s="73">
        <f t="shared" ca="1" si="459"/>
        <v>0</v>
      </c>
      <c r="CX101" s="64"/>
      <c r="CY101" s="74" t="s">
        <v>111</v>
      </c>
      <c r="CZ101" s="73">
        <f t="shared" ca="1" si="459"/>
        <v>0</v>
      </c>
      <c r="DA101" s="64"/>
      <c r="DB101" s="74" t="s">
        <v>1263</v>
      </c>
      <c r="DC101" s="73">
        <f t="shared" ca="1" si="459"/>
        <v>0</v>
      </c>
      <c r="DD101" s="64"/>
      <c r="DE101" s="74" t="s">
        <v>1263</v>
      </c>
      <c r="DF101" s="73">
        <f t="shared" ca="1" si="459"/>
        <v>0</v>
      </c>
      <c r="DG101" s="64"/>
      <c r="DH101" s="74" t="s">
        <v>1263</v>
      </c>
      <c r="DI101" s="73">
        <f t="shared" ca="1" si="459"/>
        <v>0</v>
      </c>
      <c r="DJ101" s="64"/>
      <c r="DK101" s="74" t="s">
        <v>1833</v>
      </c>
      <c r="DL101" s="73">
        <f t="shared" ca="1" si="459"/>
        <v>0</v>
      </c>
      <c r="DM101" s="64"/>
      <c r="DN101" s="795" t="s">
        <v>1263</v>
      </c>
      <c r="DO101" s="73">
        <f t="shared" ca="1" si="459"/>
        <v>0</v>
      </c>
      <c r="DP101" s="64"/>
      <c r="DQ101" s="795" t="s">
        <v>111</v>
      </c>
      <c r="DR101" s="73">
        <f t="shared" ca="1" si="459"/>
        <v>0</v>
      </c>
      <c r="DS101" s="64"/>
      <c r="DT101" s="74" t="s">
        <v>111</v>
      </c>
      <c r="DU101" s="73">
        <f t="shared" ca="1" si="459"/>
        <v>0</v>
      </c>
      <c r="DV101" s="64"/>
      <c r="DW101" s="74" t="s">
        <v>1263</v>
      </c>
      <c r="DX101" s="73">
        <f t="shared" ca="1" si="459"/>
        <v>0</v>
      </c>
      <c r="DY101" s="64"/>
      <c r="DZ101" s="74" t="s">
        <v>1263</v>
      </c>
      <c r="EA101" s="73">
        <f t="shared" ca="1" si="459"/>
        <v>0</v>
      </c>
      <c r="EB101" s="64"/>
      <c r="EC101" s="74" t="s">
        <v>1322</v>
      </c>
      <c r="ED101" s="73">
        <f t="shared" ca="1" si="459"/>
        <v>0</v>
      </c>
      <c r="EE101" s="64"/>
      <c r="EF101" s="74" t="s">
        <v>1263</v>
      </c>
      <c r="EG101" s="73">
        <f t="shared" ca="1" si="459"/>
        <v>0</v>
      </c>
      <c r="EH101" s="64"/>
      <c r="EI101" s="74"/>
      <c r="EJ101" s="73">
        <f t="shared" ca="1" si="459"/>
        <v>0</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51"/>
      <c r="K102" s="56" t="str">
        <f>Idiomas!D172</f>
        <v>3º GRUPO F</v>
      </c>
      <c r="L102" s="53"/>
      <c r="M102" s="55" t="str">
        <f ca="1">IF(OR(SUM(WORLDCUP!$AN$46:$AN$49)=12,WORLDCUP!$AJ$99=144),WORLDCUP!AL48,LEFT(K102,1)&amp;RIGHT(K102,1))</f>
        <v>3F</v>
      </c>
      <c r="N102" s="25"/>
      <c r="O102" s="25"/>
      <c r="P102" s="25"/>
      <c r="Q102" s="25"/>
      <c r="R102" s="110"/>
      <c r="S102" s="74" t="s">
        <v>1322</v>
      </c>
      <c r="T102" s="73">
        <f t="shared" ref="T102" ca="1" si="462">($M102=S102)*$D$13</f>
        <v>0</v>
      </c>
      <c r="U102" s="64"/>
      <c r="V102" s="74" t="s">
        <v>1833</v>
      </c>
      <c r="W102" s="73">
        <f t="shared" ref="W102:CH102" ca="1" si="463">($M102=V102)*$D$13</f>
        <v>0</v>
      </c>
      <c r="X102" s="64"/>
      <c r="Y102" s="74" t="s">
        <v>1833</v>
      </c>
      <c r="Z102" s="73">
        <f t="shared" ca="1" si="463"/>
        <v>0</v>
      </c>
      <c r="AA102" s="64"/>
      <c r="AB102" s="74" t="s">
        <v>1833</v>
      </c>
      <c r="AC102" s="73">
        <f t="shared" ca="1" si="463"/>
        <v>0</v>
      </c>
      <c r="AD102" s="64"/>
      <c r="AE102" s="74" t="s">
        <v>1833</v>
      </c>
      <c r="AF102" s="73">
        <f t="shared" ca="1" si="463"/>
        <v>0</v>
      </c>
      <c r="AG102" s="64"/>
      <c r="AH102" s="74" t="s">
        <v>1263</v>
      </c>
      <c r="AI102" s="73">
        <f t="shared" ca="1" si="463"/>
        <v>0</v>
      </c>
      <c r="AJ102" s="64"/>
      <c r="AK102" s="74" t="s">
        <v>1833</v>
      </c>
      <c r="AL102" s="73">
        <f t="shared" ca="1" si="463"/>
        <v>0</v>
      </c>
      <c r="AM102" s="64"/>
      <c r="AN102" s="74" t="s">
        <v>1322</v>
      </c>
      <c r="AO102" s="73">
        <f t="shared" ca="1" si="463"/>
        <v>0</v>
      </c>
      <c r="AP102" s="64"/>
      <c r="AQ102" s="74" t="s">
        <v>1263</v>
      </c>
      <c r="AR102" s="73">
        <f t="shared" ca="1" si="463"/>
        <v>0</v>
      </c>
      <c r="AS102" s="64"/>
      <c r="AT102" s="74" t="s">
        <v>1833</v>
      </c>
      <c r="AU102" s="73">
        <f t="shared" ca="1" si="463"/>
        <v>0</v>
      </c>
      <c r="AV102" s="64"/>
      <c r="AW102" s="74" t="s">
        <v>1833</v>
      </c>
      <c r="AX102" s="73">
        <f t="shared" ca="1" si="463"/>
        <v>0</v>
      </c>
      <c r="AY102" s="64"/>
      <c r="AZ102" s="74" t="s">
        <v>1833</v>
      </c>
      <c r="BA102" s="73">
        <f t="shared" ca="1" si="463"/>
        <v>0</v>
      </c>
      <c r="BB102" s="64"/>
      <c r="BC102" s="74" t="s">
        <v>1263</v>
      </c>
      <c r="BD102" s="73">
        <f t="shared" ca="1" si="463"/>
        <v>0</v>
      </c>
      <c r="BE102" s="64"/>
      <c r="BF102" s="74" t="s">
        <v>1833</v>
      </c>
      <c r="BG102" s="73">
        <f t="shared" ca="1" si="463"/>
        <v>0</v>
      </c>
      <c r="BH102" s="64"/>
      <c r="BI102" s="74" t="s">
        <v>1833</v>
      </c>
      <c r="BJ102" s="73">
        <f t="shared" ca="1" si="463"/>
        <v>0</v>
      </c>
      <c r="BK102" s="64"/>
      <c r="BL102" s="74" t="s">
        <v>1833</v>
      </c>
      <c r="BM102" s="73">
        <f t="shared" ca="1" si="463"/>
        <v>0</v>
      </c>
      <c r="BN102" s="64"/>
      <c r="BO102" s="74" t="s">
        <v>1833</v>
      </c>
      <c r="BP102" s="73">
        <f t="shared" ca="1" si="463"/>
        <v>0</v>
      </c>
      <c r="BQ102" s="64"/>
      <c r="BR102" s="74" t="s">
        <v>1833</v>
      </c>
      <c r="BS102" s="73">
        <f t="shared" ca="1" si="463"/>
        <v>0</v>
      </c>
      <c r="BT102" s="64"/>
      <c r="BU102" s="74" t="s">
        <v>1833</v>
      </c>
      <c r="BV102" s="73">
        <f t="shared" ca="1" si="463"/>
        <v>0</v>
      </c>
      <c r="BW102" s="64"/>
      <c r="BX102" s="74" t="s">
        <v>1322</v>
      </c>
      <c r="BY102" s="73">
        <f t="shared" ca="1" si="463"/>
        <v>0</v>
      </c>
      <c r="BZ102" s="64"/>
      <c r="CA102" s="74" t="s">
        <v>1263</v>
      </c>
      <c r="CB102" s="73">
        <f t="shared" ca="1" si="463"/>
        <v>0</v>
      </c>
      <c r="CC102" s="64"/>
      <c r="CD102" s="74" t="s">
        <v>1833</v>
      </c>
      <c r="CE102" s="73">
        <f t="shared" ca="1" si="463"/>
        <v>0</v>
      </c>
      <c r="CF102" s="64"/>
      <c r="CG102" s="74" t="s">
        <v>1833</v>
      </c>
      <c r="CH102" s="73">
        <f t="shared" ca="1" si="463"/>
        <v>0</v>
      </c>
      <c r="CI102" s="64"/>
      <c r="CJ102" s="74" t="s">
        <v>1833</v>
      </c>
      <c r="CK102" s="73">
        <f t="shared" ref="CK102:EV102" ca="1" si="464">($M102=CJ102)*$D$13</f>
        <v>0</v>
      </c>
      <c r="CL102" s="64"/>
      <c r="CM102" s="74" t="s">
        <v>1322</v>
      </c>
      <c r="CN102" s="73">
        <f t="shared" ca="1" si="464"/>
        <v>0</v>
      </c>
      <c r="CO102" s="64"/>
      <c r="CP102" s="74" t="s">
        <v>1833</v>
      </c>
      <c r="CQ102" s="73">
        <f t="shared" ca="1" si="464"/>
        <v>0</v>
      </c>
      <c r="CR102" s="64"/>
      <c r="CS102" s="74" t="s">
        <v>1833</v>
      </c>
      <c r="CT102" s="73">
        <f t="shared" ca="1" si="464"/>
        <v>0</v>
      </c>
      <c r="CU102" s="64"/>
      <c r="CV102" s="74" t="s">
        <v>1833</v>
      </c>
      <c r="CW102" s="73">
        <f t="shared" ca="1" si="464"/>
        <v>0</v>
      </c>
      <c r="CX102" s="64"/>
      <c r="CY102" s="74" t="s">
        <v>1263</v>
      </c>
      <c r="CZ102" s="73">
        <f t="shared" ca="1" si="464"/>
        <v>0</v>
      </c>
      <c r="DA102" s="64"/>
      <c r="DB102" s="74" t="s">
        <v>1833</v>
      </c>
      <c r="DC102" s="73">
        <f t="shared" ca="1" si="464"/>
        <v>0</v>
      </c>
      <c r="DD102" s="64"/>
      <c r="DE102" s="74" t="s">
        <v>1833</v>
      </c>
      <c r="DF102" s="73">
        <f t="shared" ca="1" si="464"/>
        <v>0</v>
      </c>
      <c r="DG102" s="64"/>
      <c r="DH102" s="74" t="s">
        <v>1833</v>
      </c>
      <c r="DI102" s="73">
        <f t="shared" ca="1" si="464"/>
        <v>0</v>
      </c>
      <c r="DJ102" s="64"/>
      <c r="DK102" s="74" t="s">
        <v>1263</v>
      </c>
      <c r="DL102" s="73">
        <f t="shared" ca="1" si="464"/>
        <v>0</v>
      </c>
      <c r="DM102" s="64"/>
      <c r="DN102" s="795" t="s">
        <v>1833</v>
      </c>
      <c r="DO102" s="73">
        <f t="shared" ca="1" si="464"/>
        <v>0</v>
      </c>
      <c r="DP102" s="64"/>
      <c r="DQ102" s="795" t="s">
        <v>1833</v>
      </c>
      <c r="DR102" s="73">
        <f t="shared" ca="1" si="464"/>
        <v>0</v>
      </c>
      <c r="DS102" s="64"/>
      <c r="DT102" s="74" t="s">
        <v>1263</v>
      </c>
      <c r="DU102" s="73">
        <f t="shared" ca="1" si="464"/>
        <v>0</v>
      </c>
      <c r="DV102" s="64"/>
      <c r="DW102" s="74" t="s">
        <v>1833</v>
      </c>
      <c r="DX102" s="73">
        <f t="shared" ca="1" si="464"/>
        <v>0</v>
      </c>
      <c r="DY102" s="64"/>
      <c r="DZ102" s="74" t="s">
        <v>1833</v>
      </c>
      <c r="EA102" s="73">
        <f t="shared" ca="1" si="464"/>
        <v>0</v>
      </c>
      <c r="EB102" s="64"/>
      <c r="EC102" s="74" t="s">
        <v>1833</v>
      </c>
      <c r="ED102" s="73">
        <f t="shared" ca="1" si="464"/>
        <v>0</v>
      </c>
      <c r="EE102" s="64"/>
      <c r="EF102" s="74" t="s">
        <v>1833</v>
      </c>
      <c r="EG102" s="73">
        <f t="shared" ca="1" si="464"/>
        <v>0</v>
      </c>
      <c r="EH102" s="64"/>
      <c r="EI102" s="74"/>
      <c r="EJ102" s="73">
        <f t="shared" ca="1" si="464"/>
        <v>0</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51"/>
      <c r="K103" s="56" t="str">
        <f>Idiomas!D173</f>
        <v>4º GRUPO F</v>
      </c>
      <c r="L103" s="53"/>
      <c r="M103" s="55" t="str">
        <f ca="1">IF(OR(SUM(WORLDCUP!$AN$46:$AN$49)=12,WORLDCUP!$AJ$99=144),WORLDCUP!AL49,LEFT(K103,1)&amp;RIGHT(K103,1))</f>
        <v>4F</v>
      </c>
      <c r="N103" s="25"/>
      <c r="O103" s="25"/>
      <c r="P103" s="25"/>
      <c r="Q103" s="25"/>
      <c r="R103" s="110"/>
      <c r="S103" s="74" t="s">
        <v>1833</v>
      </c>
      <c r="T103" s="73">
        <f t="shared" ref="T103" ca="1" si="467">($M103=S103)*$D$14</f>
        <v>0</v>
      </c>
      <c r="U103" s="64"/>
      <c r="V103" s="74" t="s">
        <v>1322</v>
      </c>
      <c r="W103" s="73">
        <f t="shared" ref="W103:CH103" ca="1" si="468">($M103=V103)*$D$14</f>
        <v>0</v>
      </c>
      <c r="X103" s="64"/>
      <c r="Y103" s="74" t="s">
        <v>1322</v>
      </c>
      <c r="Z103" s="73">
        <f t="shared" ca="1" si="468"/>
        <v>0</v>
      </c>
      <c r="AA103" s="64"/>
      <c r="AB103" s="74" t="s">
        <v>1322</v>
      </c>
      <c r="AC103" s="73">
        <f t="shared" ca="1" si="468"/>
        <v>0</v>
      </c>
      <c r="AD103" s="64"/>
      <c r="AE103" s="74" t="s">
        <v>1322</v>
      </c>
      <c r="AF103" s="73">
        <f t="shared" ca="1" si="468"/>
        <v>0</v>
      </c>
      <c r="AG103" s="64"/>
      <c r="AH103" s="74" t="s">
        <v>1322</v>
      </c>
      <c r="AI103" s="73">
        <f t="shared" ca="1" si="468"/>
        <v>0</v>
      </c>
      <c r="AJ103" s="64"/>
      <c r="AK103" s="74" t="s">
        <v>1322</v>
      </c>
      <c r="AL103" s="73">
        <f t="shared" ca="1" si="468"/>
        <v>0</v>
      </c>
      <c r="AM103" s="64"/>
      <c r="AN103" s="74" t="s">
        <v>1833</v>
      </c>
      <c r="AO103" s="73">
        <f t="shared" ca="1" si="468"/>
        <v>0</v>
      </c>
      <c r="AP103" s="64"/>
      <c r="AQ103" s="74" t="s">
        <v>1322</v>
      </c>
      <c r="AR103" s="73">
        <f t="shared" ca="1" si="468"/>
        <v>0</v>
      </c>
      <c r="AS103" s="64"/>
      <c r="AT103" s="74" t="s">
        <v>1322</v>
      </c>
      <c r="AU103" s="73">
        <f t="shared" ca="1" si="468"/>
        <v>0</v>
      </c>
      <c r="AV103" s="64"/>
      <c r="AW103" s="74" t="s">
        <v>1322</v>
      </c>
      <c r="AX103" s="73">
        <f t="shared" ca="1" si="468"/>
        <v>0</v>
      </c>
      <c r="AY103" s="64"/>
      <c r="AZ103" s="74" t="s">
        <v>1322</v>
      </c>
      <c r="BA103" s="73">
        <f t="shared" ca="1" si="468"/>
        <v>0</v>
      </c>
      <c r="BB103" s="64"/>
      <c r="BC103" s="74" t="s">
        <v>1322</v>
      </c>
      <c r="BD103" s="73">
        <f t="shared" ca="1" si="468"/>
        <v>0</v>
      </c>
      <c r="BE103" s="64"/>
      <c r="BF103" s="74" t="s">
        <v>1322</v>
      </c>
      <c r="BG103" s="73">
        <f t="shared" ca="1" si="468"/>
        <v>0</v>
      </c>
      <c r="BH103" s="64"/>
      <c r="BI103" s="74" t="s">
        <v>1322</v>
      </c>
      <c r="BJ103" s="73">
        <f t="shared" ca="1" si="468"/>
        <v>0</v>
      </c>
      <c r="BK103" s="64"/>
      <c r="BL103" s="74" t="s">
        <v>1322</v>
      </c>
      <c r="BM103" s="73">
        <f t="shared" ca="1" si="468"/>
        <v>0</v>
      </c>
      <c r="BN103" s="64"/>
      <c r="BO103" s="74" t="s">
        <v>1322</v>
      </c>
      <c r="BP103" s="73">
        <f t="shared" ca="1" si="468"/>
        <v>0</v>
      </c>
      <c r="BQ103" s="64"/>
      <c r="BR103" s="74" t="s">
        <v>1322</v>
      </c>
      <c r="BS103" s="73">
        <f t="shared" ca="1" si="468"/>
        <v>0</v>
      </c>
      <c r="BT103" s="64"/>
      <c r="BU103" s="74" t="s">
        <v>1322</v>
      </c>
      <c r="BV103" s="73">
        <f t="shared" ca="1" si="468"/>
        <v>0</v>
      </c>
      <c r="BW103" s="64"/>
      <c r="BX103" s="74" t="s">
        <v>1833</v>
      </c>
      <c r="BY103" s="73">
        <f t="shared" ca="1" si="468"/>
        <v>0</v>
      </c>
      <c r="BZ103" s="64"/>
      <c r="CA103" s="74" t="s">
        <v>1322</v>
      </c>
      <c r="CB103" s="73">
        <f t="shared" ca="1" si="468"/>
        <v>0</v>
      </c>
      <c r="CC103" s="64"/>
      <c r="CD103" s="74" t="s">
        <v>1322</v>
      </c>
      <c r="CE103" s="73">
        <f t="shared" ca="1" si="468"/>
        <v>0</v>
      </c>
      <c r="CF103" s="64"/>
      <c r="CG103" s="74" t="s">
        <v>1322</v>
      </c>
      <c r="CH103" s="73">
        <f t="shared" ca="1" si="468"/>
        <v>0</v>
      </c>
      <c r="CI103" s="64"/>
      <c r="CJ103" s="74" t="s">
        <v>1322</v>
      </c>
      <c r="CK103" s="73">
        <f t="shared" ref="CK103:EV103" ca="1" si="469">($M103=CJ103)*$D$14</f>
        <v>0</v>
      </c>
      <c r="CL103" s="64"/>
      <c r="CM103" s="74" t="s">
        <v>1833</v>
      </c>
      <c r="CN103" s="73">
        <f t="shared" ca="1" si="469"/>
        <v>0</v>
      </c>
      <c r="CO103" s="64"/>
      <c r="CP103" s="74" t="s">
        <v>1322</v>
      </c>
      <c r="CQ103" s="73">
        <f t="shared" ca="1" si="469"/>
        <v>0</v>
      </c>
      <c r="CR103" s="64"/>
      <c r="CS103" s="74" t="s">
        <v>1322</v>
      </c>
      <c r="CT103" s="73">
        <f t="shared" ca="1" si="469"/>
        <v>0</v>
      </c>
      <c r="CU103" s="64"/>
      <c r="CV103" s="74" t="s">
        <v>1322</v>
      </c>
      <c r="CW103" s="73">
        <f t="shared" ca="1" si="469"/>
        <v>0</v>
      </c>
      <c r="CX103" s="64"/>
      <c r="CY103" s="74" t="s">
        <v>1322</v>
      </c>
      <c r="CZ103" s="73">
        <f t="shared" ca="1" si="469"/>
        <v>0</v>
      </c>
      <c r="DA103" s="64"/>
      <c r="DB103" s="74" t="s">
        <v>1322</v>
      </c>
      <c r="DC103" s="73">
        <f t="shared" ca="1" si="469"/>
        <v>0</v>
      </c>
      <c r="DD103" s="64"/>
      <c r="DE103" s="74" t="s">
        <v>1322</v>
      </c>
      <c r="DF103" s="73">
        <f t="shared" ca="1" si="469"/>
        <v>0</v>
      </c>
      <c r="DG103" s="64"/>
      <c r="DH103" s="74" t="s">
        <v>1322</v>
      </c>
      <c r="DI103" s="73">
        <f t="shared" ca="1" si="469"/>
        <v>0</v>
      </c>
      <c r="DJ103" s="64"/>
      <c r="DK103" s="74" t="s">
        <v>1322</v>
      </c>
      <c r="DL103" s="73">
        <f t="shared" ca="1" si="469"/>
        <v>0</v>
      </c>
      <c r="DM103" s="64"/>
      <c r="DN103" s="795" t="s">
        <v>1322</v>
      </c>
      <c r="DO103" s="73">
        <f t="shared" ca="1" si="469"/>
        <v>0</v>
      </c>
      <c r="DP103" s="64"/>
      <c r="DQ103" s="795" t="s">
        <v>1322</v>
      </c>
      <c r="DR103" s="73">
        <f t="shared" ca="1" si="469"/>
        <v>0</v>
      </c>
      <c r="DS103" s="64"/>
      <c r="DT103" s="74" t="s">
        <v>1322</v>
      </c>
      <c r="DU103" s="73">
        <f t="shared" ca="1" si="469"/>
        <v>0</v>
      </c>
      <c r="DV103" s="64"/>
      <c r="DW103" s="74" t="s">
        <v>1322</v>
      </c>
      <c r="DX103" s="73">
        <f t="shared" ca="1" si="469"/>
        <v>0</v>
      </c>
      <c r="DY103" s="64"/>
      <c r="DZ103" s="74" t="s">
        <v>1322</v>
      </c>
      <c r="EA103" s="73">
        <f t="shared" ca="1" si="469"/>
        <v>0</v>
      </c>
      <c r="EB103" s="64"/>
      <c r="EC103" s="74" t="s">
        <v>1263</v>
      </c>
      <c r="ED103" s="73">
        <f t="shared" ca="1" si="469"/>
        <v>0</v>
      </c>
      <c r="EE103" s="64"/>
      <c r="EF103" s="74" t="s">
        <v>1322</v>
      </c>
      <c r="EG103" s="73">
        <f t="shared" ca="1" si="469"/>
        <v>0</v>
      </c>
      <c r="EH103" s="64"/>
      <c r="EI103" s="74"/>
      <c r="EJ103" s="73">
        <f t="shared" ca="1" si="469"/>
        <v>0</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2"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472">($M104=S104)*$D$11</f>
        <v>0</v>
      </c>
      <c r="U104" s="64"/>
      <c r="V104" s="74" t="s">
        <v>110</v>
      </c>
      <c r="W104" s="73">
        <f t="shared" ref="W104:CH104" ca="1" si="473">($M104=V104)*$D$11</f>
        <v>0</v>
      </c>
      <c r="X104" s="64"/>
      <c r="Y104" s="74" t="s">
        <v>110</v>
      </c>
      <c r="Z104" s="73">
        <f t="shared" ca="1" si="473"/>
        <v>0</v>
      </c>
      <c r="AA104" s="64"/>
      <c r="AB104" s="74" t="s">
        <v>110</v>
      </c>
      <c r="AC104" s="73">
        <f t="shared" ca="1" si="473"/>
        <v>0</v>
      </c>
      <c r="AD104" s="64"/>
      <c r="AE104" s="74" t="s">
        <v>110</v>
      </c>
      <c r="AF104" s="73">
        <f t="shared" ca="1" si="473"/>
        <v>0</v>
      </c>
      <c r="AG104" s="64"/>
      <c r="AH104" s="74" t="s">
        <v>110</v>
      </c>
      <c r="AI104" s="73">
        <f t="shared" ca="1" si="473"/>
        <v>0</v>
      </c>
      <c r="AJ104" s="64"/>
      <c r="AK104" s="74" t="s">
        <v>110</v>
      </c>
      <c r="AL104" s="73">
        <f t="shared" ca="1" si="473"/>
        <v>0</v>
      </c>
      <c r="AM104" s="64"/>
      <c r="AN104" s="74" t="s">
        <v>110</v>
      </c>
      <c r="AO104" s="73">
        <f t="shared" ca="1" si="473"/>
        <v>0</v>
      </c>
      <c r="AP104" s="64"/>
      <c r="AQ104" s="74" t="s">
        <v>110</v>
      </c>
      <c r="AR104" s="73">
        <f t="shared" ca="1" si="473"/>
        <v>0</v>
      </c>
      <c r="AS104" s="64"/>
      <c r="AT104" s="74" t="s">
        <v>110</v>
      </c>
      <c r="AU104" s="73">
        <f t="shared" ca="1" si="473"/>
        <v>0</v>
      </c>
      <c r="AV104" s="64"/>
      <c r="AW104" s="74" t="s">
        <v>110</v>
      </c>
      <c r="AX104" s="73">
        <f t="shared" ca="1" si="473"/>
        <v>0</v>
      </c>
      <c r="AY104" s="64"/>
      <c r="AZ104" s="74" t="s">
        <v>110</v>
      </c>
      <c r="BA104" s="73">
        <f t="shared" ca="1" si="473"/>
        <v>0</v>
      </c>
      <c r="BB104" s="64"/>
      <c r="BC104" s="74" t="s">
        <v>110</v>
      </c>
      <c r="BD104" s="73">
        <f t="shared" ca="1" si="473"/>
        <v>0</v>
      </c>
      <c r="BE104" s="64"/>
      <c r="BF104" s="74" t="s">
        <v>110</v>
      </c>
      <c r="BG104" s="73">
        <f t="shared" ca="1" si="473"/>
        <v>0</v>
      </c>
      <c r="BH104" s="64"/>
      <c r="BI104" s="74" t="s">
        <v>110</v>
      </c>
      <c r="BJ104" s="73">
        <f t="shared" ca="1" si="473"/>
        <v>0</v>
      </c>
      <c r="BK104" s="64"/>
      <c r="BL104" s="74" t="s">
        <v>110</v>
      </c>
      <c r="BM104" s="73">
        <f t="shared" ca="1" si="473"/>
        <v>0</v>
      </c>
      <c r="BN104" s="64"/>
      <c r="BO104" s="74" t="s">
        <v>110</v>
      </c>
      <c r="BP104" s="73">
        <f t="shared" ca="1" si="473"/>
        <v>0</v>
      </c>
      <c r="BQ104" s="64"/>
      <c r="BR104" s="74" t="s">
        <v>110</v>
      </c>
      <c r="BS104" s="73">
        <f t="shared" ca="1" si="473"/>
        <v>0</v>
      </c>
      <c r="BT104" s="64"/>
      <c r="BU104" s="74" t="s">
        <v>110</v>
      </c>
      <c r="BV104" s="73">
        <f t="shared" ca="1" si="473"/>
        <v>0</v>
      </c>
      <c r="BW104" s="64"/>
      <c r="BX104" s="74" t="s">
        <v>1550</v>
      </c>
      <c r="BY104" s="73">
        <f t="shared" ca="1" si="473"/>
        <v>0</v>
      </c>
      <c r="BZ104" s="64"/>
      <c r="CA104" s="74" t="s">
        <v>110</v>
      </c>
      <c r="CB104" s="73">
        <f t="shared" ca="1" si="473"/>
        <v>0</v>
      </c>
      <c r="CC104" s="64"/>
      <c r="CD104" s="74" t="s">
        <v>110</v>
      </c>
      <c r="CE104" s="73">
        <f t="shared" ca="1" si="473"/>
        <v>0</v>
      </c>
      <c r="CF104" s="64"/>
      <c r="CG104" s="74" t="s">
        <v>110</v>
      </c>
      <c r="CH104" s="73">
        <f t="shared" ca="1" si="473"/>
        <v>0</v>
      </c>
      <c r="CI104" s="64"/>
      <c r="CJ104" s="74" t="s">
        <v>110</v>
      </c>
      <c r="CK104" s="73">
        <f t="shared" ref="CK104:EV104" ca="1" si="474">($M104=CJ104)*$D$11</f>
        <v>0</v>
      </c>
      <c r="CL104" s="64"/>
      <c r="CM104" s="74" t="s">
        <v>110</v>
      </c>
      <c r="CN104" s="73">
        <f t="shared" ca="1" si="474"/>
        <v>0</v>
      </c>
      <c r="CO104" s="64"/>
      <c r="CP104" s="74" t="s">
        <v>110</v>
      </c>
      <c r="CQ104" s="73">
        <f t="shared" ca="1" si="474"/>
        <v>0</v>
      </c>
      <c r="CR104" s="64"/>
      <c r="CS104" s="74" t="s">
        <v>110</v>
      </c>
      <c r="CT104" s="73">
        <f t="shared" ca="1" si="474"/>
        <v>0</v>
      </c>
      <c r="CU104" s="64"/>
      <c r="CV104" s="74" t="s">
        <v>110</v>
      </c>
      <c r="CW104" s="73">
        <f t="shared" ca="1" si="474"/>
        <v>0</v>
      </c>
      <c r="CX104" s="64"/>
      <c r="CY104" s="74" t="s">
        <v>110</v>
      </c>
      <c r="CZ104" s="73">
        <f t="shared" ca="1" si="474"/>
        <v>0</v>
      </c>
      <c r="DA104" s="64"/>
      <c r="DB104" s="74" t="s">
        <v>110</v>
      </c>
      <c r="DC104" s="73">
        <f t="shared" ca="1" si="474"/>
        <v>0</v>
      </c>
      <c r="DD104" s="64"/>
      <c r="DE104" s="74" t="s">
        <v>110</v>
      </c>
      <c r="DF104" s="73">
        <f t="shared" ca="1" si="474"/>
        <v>0</v>
      </c>
      <c r="DG104" s="64"/>
      <c r="DH104" s="74" t="s">
        <v>110</v>
      </c>
      <c r="DI104" s="73">
        <f t="shared" ca="1" si="474"/>
        <v>0</v>
      </c>
      <c r="DJ104" s="64"/>
      <c r="DK104" s="74" t="s">
        <v>110</v>
      </c>
      <c r="DL104" s="73">
        <f t="shared" ca="1" si="474"/>
        <v>0</v>
      </c>
      <c r="DM104" s="64"/>
      <c r="DN104" s="795" t="s">
        <v>110</v>
      </c>
      <c r="DO104" s="73">
        <f t="shared" ca="1" si="474"/>
        <v>0</v>
      </c>
      <c r="DP104" s="64"/>
      <c r="DQ104" s="795" t="s">
        <v>1550</v>
      </c>
      <c r="DR104" s="73">
        <f t="shared" ca="1" si="474"/>
        <v>0</v>
      </c>
      <c r="DS104" s="64"/>
      <c r="DT104" s="74" t="s">
        <v>110</v>
      </c>
      <c r="DU104" s="73">
        <f t="shared" ca="1" si="474"/>
        <v>0</v>
      </c>
      <c r="DV104" s="64"/>
      <c r="DW104" s="74" t="s">
        <v>110</v>
      </c>
      <c r="DX104" s="73">
        <f t="shared" ca="1" si="474"/>
        <v>0</v>
      </c>
      <c r="DY104" s="64"/>
      <c r="DZ104" s="74" t="s">
        <v>110</v>
      </c>
      <c r="EA104" s="73">
        <f t="shared" ca="1" si="474"/>
        <v>0</v>
      </c>
      <c r="EB104" s="64"/>
      <c r="EC104" s="74" t="s">
        <v>110</v>
      </c>
      <c r="ED104" s="73">
        <f t="shared" ca="1" si="474"/>
        <v>0</v>
      </c>
      <c r="EE104" s="64"/>
      <c r="EF104" s="74" t="s">
        <v>110</v>
      </c>
      <c r="EG104" s="73">
        <f t="shared" ca="1" si="474"/>
        <v>0</v>
      </c>
      <c r="EH104" s="64"/>
      <c r="EI104" s="74"/>
      <c r="EJ104" s="73">
        <f t="shared" ca="1" si="474"/>
        <v>0</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2"/>
      <c r="K105" s="56" t="str">
        <f>Idiomas!D175</f>
        <v>2º GRUPO G</v>
      </c>
      <c r="L105" s="53"/>
      <c r="M105" s="55" t="str">
        <f ca="1">IF(OR(SUM(WORLDCUP!$AN$54:$AN$57)=12,WORLDCUP!$AJ$99=144),WORLDCUP!AL55,LEFT(K105,1)&amp;RIGHT(K105,1))</f>
        <v>2G</v>
      </c>
      <c r="N105" s="25"/>
      <c r="O105" s="25"/>
      <c r="P105" s="25"/>
      <c r="Q105" s="25"/>
      <c r="R105" s="110"/>
      <c r="S105" s="74" t="s">
        <v>1550</v>
      </c>
      <c r="T105" s="73">
        <f t="shared" ref="T105" ca="1" si="477">($M105=S105)*$D$12</f>
        <v>0</v>
      </c>
      <c r="U105" s="64"/>
      <c r="V105" s="74" t="s">
        <v>1550</v>
      </c>
      <c r="W105" s="73">
        <f t="shared" ref="W105:CH105" ca="1" si="478">($M105=V105)*$D$12</f>
        <v>0</v>
      </c>
      <c r="X105" s="64"/>
      <c r="Y105" s="74" t="s">
        <v>1550</v>
      </c>
      <c r="Z105" s="73">
        <f t="shared" ca="1" si="478"/>
        <v>0</v>
      </c>
      <c r="AA105" s="64"/>
      <c r="AB105" s="74" t="s">
        <v>1550</v>
      </c>
      <c r="AC105" s="73">
        <f t="shared" ca="1" si="478"/>
        <v>0</v>
      </c>
      <c r="AD105" s="64"/>
      <c r="AE105" s="74" t="s">
        <v>1550</v>
      </c>
      <c r="AF105" s="73">
        <f t="shared" ca="1" si="478"/>
        <v>0</v>
      </c>
      <c r="AG105" s="64"/>
      <c r="AH105" s="74" t="s">
        <v>1550</v>
      </c>
      <c r="AI105" s="73">
        <f t="shared" ca="1" si="478"/>
        <v>0</v>
      </c>
      <c r="AJ105" s="64"/>
      <c r="AK105" s="74" t="s">
        <v>1550</v>
      </c>
      <c r="AL105" s="73">
        <f t="shared" ca="1" si="478"/>
        <v>0</v>
      </c>
      <c r="AM105" s="64"/>
      <c r="AN105" s="74" t="s">
        <v>1550</v>
      </c>
      <c r="AO105" s="73">
        <f t="shared" ca="1" si="478"/>
        <v>0</v>
      </c>
      <c r="AP105" s="64"/>
      <c r="AQ105" s="74" t="s">
        <v>1550</v>
      </c>
      <c r="AR105" s="73">
        <f t="shared" ca="1" si="478"/>
        <v>0</v>
      </c>
      <c r="AS105" s="64"/>
      <c r="AT105" s="74" t="s">
        <v>1550</v>
      </c>
      <c r="AU105" s="73">
        <f t="shared" ca="1" si="478"/>
        <v>0</v>
      </c>
      <c r="AV105" s="64"/>
      <c r="AW105" s="74" t="s">
        <v>1550</v>
      </c>
      <c r="AX105" s="73">
        <f t="shared" ca="1" si="478"/>
        <v>0</v>
      </c>
      <c r="AY105" s="64"/>
      <c r="AZ105" s="74" t="s">
        <v>1550</v>
      </c>
      <c r="BA105" s="73">
        <f t="shared" ca="1" si="478"/>
        <v>0</v>
      </c>
      <c r="BB105" s="64"/>
      <c r="BC105" s="74" t="s">
        <v>1550</v>
      </c>
      <c r="BD105" s="73">
        <f t="shared" ca="1" si="478"/>
        <v>0</v>
      </c>
      <c r="BE105" s="64"/>
      <c r="BF105" s="74" t="s">
        <v>1550</v>
      </c>
      <c r="BG105" s="73">
        <f t="shared" ca="1" si="478"/>
        <v>0</v>
      </c>
      <c r="BH105" s="64"/>
      <c r="BI105" s="74" t="s">
        <v>1550</v>
      </c>
      <c r="BJ105" s="73">
        <f t="shared" ca="1" si="478"/>
        <v>0</v>
      </c>
      <c r="BK105" s="64"/>
      <c r="BL105" s="74" t="s">
        <v>1262</v>
      </c>
      <c r="BM105" s="73">
        <f t="shared" ca="1" si="478"/>
        <v>0</v>
      </c>
      <c r="BN105" s="64"/>
      <c r="BO105" s="74" t="s">
        <v>1262</v>
      </c>
      <c r="BP105" s="73">
        <f t="shared" ca="1" si="478"/>
        <v>0</v>
      </c>
      <c r="BQ105" s="64"/>
      <c r="BR105" s="74" t="s">
        <v>1550</v>
      </c>
      <c r="BS105" s="73">
        <f t="shared" ca="1" si="478"/>
        <v>0</v>
      </c>
      <c r="BT105" s="64"/>
      <c r="BU105" s="74" t="s">
        <v>1550</v>
      </c>
      <c r="BV105" s="73">
        <f t="shared" ca="1" si="478"/>
        <v>0</v>
      </c>
      <c r="BW105" s="64"/>
      <c r="BX105" s="74" t="s">
        <v>110</v>
      </c>
      <c r="BY105" s="73">
        <f t="shared" ca="1" si="478"/>
        <v>0</v>
      </c>
      <c r="BZ105" s="64"/>
      <c r="CA105" s="74" t="s">
        <v>1550</v>
      </c>
      <c r="CB105" s="73">
        <f t="shared" ca="1" si="478"/>
        <v>0</v>
      </c>
      <c r="CC105" s="64"/>
      <c r="CD105" s="74" t="s">
        <v>1266</v>
      </c>
      <c r="CE105" s="73">
        <f t="shared" ca="1" si="478"/>
        <v>0</v>
      </c>
      <c r="CF105" s="64"/>
      <c r="CG105" s="74" t="s">
        <v>1262</v>
      </c>
      <c r="CH105" s="73">
        <f t="shared" ca="1" si="478"/>
        <v>0</v>
      </c>
      <c r="CI105" s="64"/>
      <c r="CJ105" s="74" t="s">
        <v>1550</v>
      </c>
      <c r="CK105" s="73">
        <f t="shared" ref="CK105:EV105" ca="1" si="479">($M105=CJ105)*$D$12</f>
        <v>0</v>
      </c>
      <c r="CL105" s="64"/>
      <c r="CM105" s="74" t="s">
        <v>1550</v>
      </c>
      <c r="CN105" s="73">
        <f t="shared" ca="1" si="479"/>
        <v>0</v>
      </c>
      <c r="CO105" s="64"/>
      <c r="CP105" s="74" t="s">
        <v>1550</v>
      </c>
      <c r="CQ105" s="73">
        <f t="shared" ca="1" si="479"/>
        <v>0</v>
      </c>
      <c r="CR105" s="64"/>
      <c r="CS105" s="74" t="s">
        <v>1550</v>
      </c>
      <c r="CT105" s="73">
        <f t="shared" ca="1" si="479"/>
        <v>0</v>
      </c>
      <c r="CU105" s="64"/>
      <c r="CV105" s="74" t="s">
        <v>1550</v>
      </c>
      <c r="CW105" s="73">
        <f t="shared" ca="1" si="479"/>
        <v>0</v>
      </c>
      <c r="CX105" s="64"/>
      <c r="CY105" s="74" t="s">
        <v>1550</v>
      </c>
      <c r="CZ105" s="73">
        <f t="shared" ca="1" si="479"/>
        <v>0</v>
      </c>
      <c r="DA105" s="64"/>
      <c r="DB105" s="74" t="s">
        <v>1550</v>
      </c>
      <c r="DC105" s="73">
        <f t="shared" ca="1" si="479"/>
        <v>0</v>
      </c>
      <c r="DD105" s="64"/>
      <c r="DE105" s="74" t="s">
        <v>1550</v>
      </c>
      <c r="DF105" s="73">
        <f t="shared" ca="1" si="479"/>
        <v>0</v>
      </c>
      <c r="DG105" s="64"/>
      <c r="DH105" s="74" t="s">
        <v>1550</v>
      </c>
      <c r="DI105" s="73">
        <f t="shared" ca="1" si="479"/>
        <v>0</v>
      </c>
      <c r="DJ105" s="64"/>
      <c r="DK105" s="74" t="s">
        <v>1550</v>
      </c>
      <c r="DL105" s="73">
        <f t="shared" ca="1" si="479"/>
        <v>0</v>
      </c>
      <c r="DM105" s="64"/>
      <c r="DN105" s="795" t="s">
        <v>1550</v>
      </c>
      <c r="DO105" s="73">
        <f t="shared" ca="1" si="479"/>
        <v>0</v>
      </c>
      <c r="DP105" s="64"/>
      <c r="DQ105" s="795" t="s">
        <v>110</v>
      </c>
      <c r="DR105" s="73">
        <f t="shared" ca="1" si="479"/>
        <v>0</v>
      </c>
      <c r="DS105" s="64"/>
      <c r="DT105" s="74" t="s">
        <v>1550</v>
      </c>
      <c r="DU105" s="73">
        <f t="shared" ca="1" si="479"/>
        <v>0</v>
      </c>
      <c r="DV105" s="64"/>
      <c r="DW105" s="74" t="s">
        <v>1550</v>
      </c>
      <c r="DX105" s="73">
        <f t="shared" ca="1" si="479"/>
        <v>0</v>
      </c>
      <c r="DY105" s="64"/>
      <c r="DZ105" s="74" t="s">
        <v>1262</v>
      </c>
      <c r="EA105" s="73">
        <f t="shared" ca="1" si="479"/>
        <v>0</v>
      </c>
      <c r="EB105" s="64"/>
      <c r="EC105" s="74" t="s">
        <v>1550</v>
      </c>
      <c r="ED105" s="73">
        <f t="shared" ca="1" si="479"/>
        <v>0</v>
      </c>
      <c r="EE105" s="64"/>
      <c r="EF105" s="74" t="s">
        <v>1550</v>
      </c>
      <c r="EG105" s="73">
        <f t="shared" ca="1" si="479"/>
        <v>0</v>
      </c>
      <c r="EH105" s="64"/>
      <c r="EI105" s="74"/>
      <c r="EJ105" s="73">
        <f t="shared" ca="1" si="479"/>
        <v>0</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2"/>
      <c r="K106" s="56" t="str">
        <f>Idiomas!D176</f>
        <v>3º GRUPO G</v>
      </c>
      <c r="L106" s="53"/>
      <c r="M106" s="55" t="str">
        <f ca="1">IF(OR(SUM(WORLDCUP!$AN$54:$AN$57)=12,WORLDCUP!$AJ$99=144),WORLDCUP!AL56,LEFT(K106,1)&amp;RIGHT(K106,1))</f>
        <v>3G</v>
      </c>
      <c r="N106" s="25"/>
      <c r="O106" s="25"/>
      <c r="P106" s="25"/>
      <c r="Q106" s="25"/>
      <c r="R106" s="110"/>
      <c r="S106" s="74" t="s">
        <v>1266</v>
      </c>
      <c r="T106" s="73">
        <f t="shared" ref="T106" ca="1" si="482">($M106=S106)*$D$13</f>
        <v>0</v>
      </c>
      <c r="U106" s="64"/>
      <c r="V106" s="74" t="s">
        <v>1262</v>
      </c>
      <c r="W106" s="73">
        <f t="shared" ref="W106:CH106" ca="1" si="483">($M106=V106)*$D$13</f>
        <v>0</v>
      </c>
      <c r="X106" s="64"/>
      <c r="Y106" s="74" t="s">
        <v>1266</v>
      </c>
      <c r="Z106" s="73">
        <f t="shared" ca="1" si="483"/>
        <v>0</v>
      </c>
      <c r="AA106" s="64"/>
      <c r="AB106" s="74" t="s">
        <v>1262</v>
      </c>
      <c r="AC106" s="73">
        <f t="shared" ca="1" si="483"/>
        <v>0</v>
      </c>
      <c r="AD106" s="64"/>
      <c r="AE106" s="74" t="s">
        <v>1262</v>
      </c>
      <c r="AF106" s="73">
        <f t="shared" ca="1" si="483"/>
        <v>0</v>
      </c>
      <c r="AG106" s="64"/>
      <c r="AH106" s="74" t="s">
        <v>1262</v>
      </c>
      <c r="AI106" s="73">
        <f t="shared" ca="1" si="483"/>
        <v>0</v>
      </c>
      <c r="AJ106" s="64"/>
      <c r="AK106" s="74" t="s">
        <v>1262</v>
      </c>
      <c r="AL106" s="73">
        <f t="shared" ca="1" si="483"/>
        <v>0</v>
      </c>
      <c r="AM106" s="64"/>
      <c r="AN106" s="74" t="s">
        <v>1262</v>
      </c>
      <c r="AO106" s="73">
        <f t="shared" ca="1" si="483"/>
        <v>0</v>
      </c>
      <c r="AP106" s="64"/>
      <c r="AQ106" s="74" t="s">
        <v>1262</v>
      </c>
      <c r="AR106" s="73">
        <f t="shared" ca="1" si="483"/>
        <v>0</v>
      </c>
      <c r="AS106" s="64"/>
      <c r="AT106" s="74" t="s">
        <v>1262</v>
      </c>
      <c r="AU106" s="73">
        <f t="shared" ca="1" si="483"/>
        <v>0</v>
      </c>
      <c r="AV106" s="64"/>
      <c r="AW106" s="74" t="s">
        <v>1262</v>
      </c>
      <c r="AX106" s="73">
        <f t="shared" ca="1" si="483"/>
        <v>0</v>
      </c>
      <c r="AY106" s="64"/>
      <c r="AZ106" s="74" t="s">
        <v>1266</v>
      </c>
      <c r="BA106" s="73">
        <f t="shared" ca="1" si="483"/>
        <v>0</v>
      </c>
      <c r="BB106" s="64"/>
      <c r="BC106" s="74" t="s">
        <v>1266</v>
      </c>
      <c r="BD106" s="73">
        <f t="shared" ca="1" si="483"/>
        <v>0</v>
      </c>
      <c r="BE106" s="64"/>
      <c r="BF106" s="74" t="s">
        <v>1262</v>
      </c>
      <c r="BG106" s="73">
        <f t="shared" ca="1" si="483"/>
        <v>0</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0</v>
      </c>
      <c r="BT106" s="64"/>
      <c r="BU106" s="74" t="s">
        <v>1262</v>
      </c>
      <c r="BV106" s="73">
        <f t="shared" ca="1" si="483"/>
        <v>0</v>
      </c>
      <c r="BW106" s="64"/>
      <c r="BX106" s="74" t="s">
        <v>1262</v>
      </c>
      <c r="BY106" s="73">
        <f t="shared" ca="1" si="483"/>
        <v>0</v>
      </c>
      <c r="BZ106" s="64"/>
      <c r="CA106" s="74" t="s">
        <v>1262</v>
      </c>
      <c r="CB106" s="73">
        <f t="shared" ca="1" si="483"/>
        <v>0</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0</v>
      </c>
      <c r="CO106" s="64"/>
      <c r="CP106" s="74" t="s">
        <v>1266</v>
      </c>
      <c r="CQ106" s="73">
        <f t="shared" ca="1" si="484"/>
        <v>0</v>
      </c>
      <c r="CR106" s="64"/>
      <c r="CS106" s="74" t="s">
        <v>1262</v>
      </c>
      <c r="CT106" s="73">
        <f t="shared" ca="1" si="484"/>
        <v>0</v>
      </c>
      <c r="CU106" s="64"/>
      <c r="CV106" s="74" t="s">
        <v>1262</v>
      </c>
      <c r="CW106" s="73">
        <f t="shared" ca="1" si="484"/>
        <v>0</v>
      </c>
      <c r="CX106" s="64"/>
      <c r="CY106" s="74" t="s">
        <v>1262</v>
      </c>
      <c r="CZ106" s="73">
        <f t="shared" ca="1" si="484"/>
        <v>0</v>
      </c>
      <c r="DA106" s="64"/>
      <c r="DB106" s="74" t="s">
        <v>1262</v>
      </c>
      <c r="DC106" s="73">
        <f t="shared" ca="1" si="484"/>
        <v>0</v>
      </c>
      <c r="DD106" s="64"/>
      <c r="DE106" s="74" t="s">
        <v>1262</v>
      </c>
      <c r="DF106" s="73">
        <f t="shared" ca="1" si="484"/>
        <v>0</v>
      </c>
      <c r="DG106" s="64"/>
      <c r="DH106" s="74" t="s">
        <v>1262</v>
      </c>
      <c r="DI106" s="73">
        <f t="shared" ca="1" si="484"/>
        <v>0</v>
      </c>
      <c r="DJ106" s="64"/>
      <c r="DK106" s="74" t="s">
        <v>1262</v>
      </c>
      <c r="DL106" s="73">
        <f t="shared" ca="1" si="484"/>
        <v>0</v>
      </c>
      <c r="DM106" s="64"/>
      <c r="DN106" s="795" t="s">
        <v>1262</v>
      </c>
      <c r="DO106" s="73">
        <f t="shared" ca="1" si="484"/>
        <v>0</v>
      </c>
      <c r="DP106" s="64"/>
      <c r="DQ106" s="795" t="s">
        <v>1266</v>
      </c>
      <c r="DR106" s="73">
        <f t="shared" ca="1" si="484"/>
        <v>0</v>
      </c>
      <c r="DS106" s="64"/>
      <c r="DT106" s="74" t="s">
        <v>1266</v>
      </c>
      <c r="DU106" s="73">
        <f t="shared" ca="1" si="484"/>
        <v>0</v>
      </c>
      <c r="DV106" s="64"/>
      <c r="DW106" s="74" t="s">
        <v>1262</v>
      </c>
      <c r="DX106" s="73">
        <f t="shared" ca="1" si="484"/>
        <v>0</v>
      </c>
      <c r="DY106" s="64"/>
      <c r="DZ106" s="74" t="s">
        <v>1550</v>
      </c>
      <c r="EA106" s="73">
        <f t="shared" ca="1" si="484"/>
        <v>0</v>
      </c>
      <c r="EB106" s="64"/>
      <c r="EC106" s="74" t="s">
        <v>1266</v>
      </c>
      <c r="ED106" s="73">
        <f t="shared" ca="1" si="484"/>
        <v>0</v>
      </c>
      <c r="EE106" s="64"/>
      <c r="EF106" s="74" t="s">
        <v>1262</v>
      </c>
      <c r="EG106" s="73">
        <f t="shared" ca="1" si="484"/>
        <v>0</v>
      </c>
      <c r="EH106" s="64"/>
      <c r="EI106" s="74"/>
      <c r="EJ106" s="73">
        <f t="shared" ca="1" si="484"/>
        <v>0</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2"/>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487">($M107=S107)*$D$14</f>
        <v>0</v>
      </c>
      <c r="U107" s="64"/>
      <c r="V107" s="74" t="s">
        <v>1266</v>
      </c>
      <c r="W107" s="73">
        <f t="shared" ref="W107:CH107" ca="1" si="488">($M107=V107)*$D$14</f>
        <v>0</v>
      </c>
      <c r="X107" s="64"/>
      <c r="Y107" s="74" t="s">
        <v>1262</v>
      </c>
      <c r="Z107" s="73">
        <f t="shared" ca="1" si="488"/>
        <v>0</v>
      </c>
      <c r="AA107" s="64"/>
      <c r="AB107" s="74" t="s">
        <v>1266</v>
      </c>
      <c r="AC107" s="73">
        <f t="shared" ca="1" si="488"/>
        <v>0</v>
      </c>
      <c r="AD107" s="64"/>
      <c r="AE107" s="74" t="s">
        <v>1266</v>
      </c>
      <c r="AF107" s="73">
        <f t="shared" ca="1" si="488"/>
        <v>0</v>
      </c>
      <c r="AG107" s="64"/>
      <c r="AH107" s="74" t="s">
        <v>1266</v>
      </c>
      <c r="AI107" s="73">
        <f t="shared" ca="1" si="488"/>
        <v>0</v>
      </c>
      <c r="AJ107" s="64"/>
      <c r="AK107" s="74" t="s">
        <v>1266</v>
      </c>
      <c r="AL107" s="73">
        <f t="shared" ca="1" si="488"/>
        <v>0</v>
      </c>
      <c r="AM107" s="64"/>
      <c r="AN107" s="74" t="s">
        <v>1266</v>
      </c>
      <c r="AO107" s="73">
        <f t="shared" ca="1" si="488"/>
        <v>0</v>
      </c>
      <c r="AP107" s="64"/>
      <c r="AQ107" s="74" t="s">
        <v>1266</v>
      </c>
      <c r="AR107" s="73">
        <f t="shared" ca="1" si="488"/>
        <v>0</v>
      </c>
      <c r="AS107" s="64"/>
      <c r="AT107" s="74" t="s">
        <v>1266</v>
      </c>
      <c r="AU107" s="73">
        <f t="shared" ca="1" si="488"/>
        <v>0</v>
      </c>
      <c r="AV107" s="64"/>
      <c r="AW107" s="74" t="s">
        <v>1266</v>
      </c>
      <c r="AX107" s="73">
        <f t="shared" ca="1" si="488"/>
        <v>0</v>
      </c>
      <c r="AY107" s="64"/>
      <c r="AZ107" s="74" t="s">
        <v>1262</v>
      </c>
      <c r="BA107" s="73">
        <f t="shared" ca="1" si="488"/>
        <v>0</v>
      </c>
      <c r="BB107" s="64"/>
      <c r="BC107" s="74" t="s">
        <v>1262</v>
      </c>
      <c r="BD107" s="73">
        <f t="shared" ca="1" si="488"/>
        <v>0</v>
      </c>
      <c r="BE107" s="64"/>
      <c r="BF107" s="74" t="s">
        <v>1266</v>
      </c>
      <c r="BG107" s="73">
        <f t="shared" ca="1" si="488"/>
        <v>0</v>
      </c>
      <c r="BH107" s="64"/>
      <c r="BI107" s="74" t="s">
        <v>1262</v>
      </c>
      <c r="BJ107" s="73">
        <f t="shared" ca="1" si="488"/>
        <v>0</v>
      </c>
      <c r="BK107" s="64"/>
      <c r="BL107" s="74" t="s">
        <v>1266</v>
      </c>
      <c r="BM107" s="73">
        <f t="shared" ca="1" si="488"/>
        <v>0</v>
      </c>
      <c r="BN107" s="64"/>
      <c r="BO107" s="74" t="s">
        <v>1266</v>
      </c>
      <c r="BP107" s="73">
        <f t="shared" ca="1" si="488"/>
        <v>0</v>
      </c>
      <c r="BQ107" s="64"/>
      <c r="BR107" s="74" t="s">
        <v>1266</v>
      </c>
      <c r="BS107" s="73">
        <f t="shared" ca="1" si="488"/>
        <v>0</v>
      </c>
      <c r="BT107" s="64"/>
      <c r="BU107" s="74" t="s">
        <v>1266</v>
      </c>
      <c r="BV107" s="73">
        <f t="shared" ca="1" si="488"/>
        <v>0</v>
      </c>
      <c r="BW107" s="64"/>
      <c r="BX107" s="74" t="s">
        <v>1266</v>
      </c>
      <c r="BY107" s="73">
        <f t="shared" ca="1" si="488"/>
        <v>0</v>
      </c>
      <c r="BZ107" s="64"/>
      <c r="CA107" s="74" t="s">
        <v>1266</v>
      </c>
      <c r="CB107" s="73">
        <f t="shared" ca="1" si="488"/>
        <v>0</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0</v>
      </c>
      <c r="CO107" s="64"/>
      <c r="CP107" s="74" t="s">
        <v>1262</v>
      </c>
      <c r="CQ107" s="73">
        <f t="shared" ca="1" si="489"/>
        <v>0</v>
      </c>
      <c r="CR107" s="64"/>
      <c r="CS107" s="74" t="s">
        <v>1266</v>
      </c>
      <c r="CT107" s="73">
        <f t="shared" ca="1" si="489"/>
        <v>0</v>
      </c>
      <c r="CU107" s="64"/>
      <c r="CV107" s="74" t="s">
        <v>1266</v>
      </c>
      <c r="CW107" s="73">
        <f t="shared" ca="1" si="489"/>
        <v>0</v>
      </c>
      <c r="CX107" s="64"/>
      <c r="CY107" s="74" t="s">
        <v>1266</v>
      </c>
      <c r="CZ107" s="73">
        <f t="shared" ca="1" si="489"/>
        <v>0</v>
      </c>
      <c r="DA107" s="64"/>
      <c r="DB107" s="74" t="s">
        <v>1266</v>
      </c>
      <c r="DC107" s="73">
        <f t="shared" ca="1" si="489"/>
        <v>0</v>
      </c>
      <c r="DD107" s="64"/>
      <c r="DE107" s="74" t="s">
        <v>1266</v>
      </c>
      <c r="DF107" s="73">
        <f t="shared" ca="1" si="489"/>
        <v>0</v>
      </c>
      <c r="DG107" s="64"/>
      <c r="DH107" s="74" t="s">
        <v>1266</v>
      </c>
      <c r="DI107" s="73">
        <f t="shared" ca="1" si="489"/>
        <v>0</v>
      </c>
      <c r="DJ107" s="64"/>
      <c r="DK107" s="74" t="s">
        <v>1266</v>
      </c>
      <c r="DL107" s="73">
        <f t="shared" ca="1" si="489"/>
        <v>0</v>
      </c>
      <c r="DM107" s="64"/>
      <c r="DN107" s="795" t="s">
        <v>1266</v>
      </c>
      <c r="DO107" s="73">
        <f t="shared" ca="1" si="489"/>
        <v>0</v>
      </c>
      <c r="DP107" s="64"/>
      <c r="DQ107" s="795" t="s">
        <v>1262</v>
      </c>
      <c r="DR107" s="73">
        <f t="shared" ca="1" si="489"/>
        <v>0</v>
      </c>
      <c r="DS107" s="64"/>
      <c r="DT107" s="74" t="s">
        <v>1262</v>
      </c>
      <c r="DU107" s="73">
        <f t="shared" ca="1" si="489"/>
        <v>0</v>
      </c>
      <c r="DV107" s="64"/>
      <c r="DW107" s="74" t="s">
        <v>1266</v>
      </c>
      <c r="DX107" s="73">
        <f t="shared" ca="1" si="489"/>
        <v>0</v>
      </c>
      <c r="DY107" s="64"/>
      <c r="DZ107" s="74" t="s">
        <v>1266</v>
      </c>
      <c r="EA107" s="73">
        <f t="shared" ca="1" si="489"/>
        <v>0</v>
      </c>
      <c r="EB107" s="64"/>
      <c r="EC107" s="74" t="s">
        <v>1262</v>
      </c>
      <c r="ED107" s="73">
        <f t="shared" ca="1" si="489"/>
        <v>0</v>
      </c>
      <c r="EE107" s="64"/>
      <c r="EF107" s="74" t="s">
        <v>1266</v>
      </c>
      <c r="EG107" s="73">
        <f t="shared" ca="1" si="489"/>
        <v>0</v>
      </c>
      <c r="EH107" s="64"/>
      <c r="EI107" s="74"/>
      <c r="EJ107" s="73">
        <f t="shared" ca="1" si="489"/>
        <v>0</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51"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492">($M108=S108)*$D$11</f>
        <v>0</v>
      </c>
      <c r="U108" s="64"/>
      <c r="V108" s="74" t="s">
        <v>38</v>
      </c>
      <c r="W108" s="73">
        <f t="shared" ref="W108:CH108" ca="1" si="493">($M108=V108)*$D$11</f>
        <v>0</v>
      </c>
      <c r="X108" s="64"/>
      <c r="Y108" s="74" t="s">
        <v>38</v>
      </c>
      <c r="Z108" s="73">
        <f t="shared" ca="1" si="493"/>
        <v>0</v>
      </c>
      <c r="AA108" s="64"/>
      <c r="AB108" s="74" t="s">
        <v>38</v>
      </c>
      <c r="AC108" s="73">
        <f t="shared" ca="1" si="493"/>
        <v>0</v>
      </c>
      <c r="AD108" s="64"/>
      <c r="AE108" s="74" t="s">
        <v>38</v>
      </c>
      <c r="AF108" s="73">
        <f t="shared" ca="1" si="493"/>
        <v>0</v>
      </c>
      <c r="AG108" s="64"/>
      <c r="AH108" s="74" t="s">
        <v>38</v>
      </c>
      <c r="AI108" s="73">
        <f t="shared" ca="1" si="493"/>
        <v>0</v>
      </c>
      <c r="AJ108" s="64"/>
      <c r="AK108" s="74" t="s">
        <v>38</v>
      </c>
      <c r="AL108" s="73">
        <f t="shared" ca="1" si="493"/>
        <v>0</v>
      </c>
      <c r="AM108" s="64"/>
      <c r="AN108" s="74" t="s">
        <v>38</v>
      </c>
      <c r="AO108" s="73">
        <f t="shared" ca="1" si="493"/>
        <v>0</v>
      </c>
      <c r="AP108" s="64"/>
      <c r="AQ108" s="74" t="s">
        <v>38</v>
      </c>
      <c r="AR108" s="73">
        <f t="shared" ca="1" si="493"/>
        <v>0</v>
      </c>
      <c r="AS108" s="64"/>
      <c r="AT108" s="74" t="s">
        <v>38</v>
      </c>
      <c r="AU108" s="73">
        <f t="shared" ca="1" si="493"/>
        <v>0</v>
      </c>
      <c r="AV108" s="64"/>
      <c r="AW108" s="74" t="s">
        <v>38</v>
      </c>
      <c r="AX108" s="73">
        <f t="shared" ca="1" si="493"/>
        <v>0</v>
      </c>
      <c r="AY108" s="64"/>
      <c r="AZ108" s="74" t="s">
        <v>38</v>
      </c>
      <c r="BA108" s="73">
        <f t="shared" ca="1" si="493"/>
        <v>0</v>
      </c>
      <c r="BB108" s="64"/>
      <c r="BC108" s="74" t="s">
        <v>38</v>
      </c>
      <c r="BD108" s="73">
        <f t="shared" ca="1" si="493"/>
        <v>0</v>
      </c>
      <c r="BE108" s="64"/>
      <c r="BF108" s="74" t="s">
        <v>38</v>
      </c>
      <c r="BG108" s="73">
        <f t="shared" ca="1" si="493"/>
        <v>0</v>
      </c>
      <c r="BH108" s="64"/>
      <c r="BI108" s="74" t="s">
        <v>38</v>
      </c>
      <c r="BJ108" s="73">
        <f t="shared" ca="1" si="493"/>
        <v>0</v>
      </c>
      <c r="BK108" s="64"/>
      <c r="BL108" s="74" t="s">
        <v>38</v>
      </c>
      <c r="BM108" s="73">
        <f t="shared" ca="1" si="493"/>
        <v>0</v>
      </c>
      <c r="BN108" s="64"/>
      <c r="BO108" s="74" t="s">
        <v>38</v>
      </c>
      <c r="BP108" s="73">
        <f t="shared" ca="1" si="493"/>
        <v>0</v>
      </c>
      <c r="BQ108" s="64"/>
      <c r="BR108" s="74" t="s">
        <v>38</v>
      </c>
      <c r="BS108" s="73">
        <f t="shared" ca="1" si="493"/>
        <v>0</v>
      </c>
      <c r="BT108" s="64"/>
      <c r="BU108" s="74" t="s">
        <v>38</v>
      </c>
      <c r="BV108" s="73">
        <f t="shared" ca="1" si="493"/>
        <v>0</v>
      </c>
      <c r="BW108" s="64"/>
      <c r="BX108" s="74" t="s">
        <v>38</v>
      </c>
      <c r="BY108" s="73">
        <f t="shared" ca="1" si="493"/>
        <v>0</v>
      </c>
      <c r="BZ108" s="64"/>
      <c r="CA108" s="74" t="s">
        <v>38</v>
      </c>
      <c r="CB108" s="73">
        <f t="shared" ca="1" si="493"/>
        <v>0</v>
      </c>
      <c r="CC108" s="64"/>
      <c r="CD108" s="74" t="s">
        <v>38</v>
      </c>
      <c r="CE108" s="73">
        <f t="shared" ca="1" si="493"/>
        <v>0</v>
      </c>
      <c r="CF108" s="64"/>
      <c r="CG108" s="74" t="s">
        <v>38</v>
      </c>
      <c r="CH108" s="73">
        <f t="shared" ca="1" si="493"/>
        <v>0</v>
      </c>
      <c r="CI108" s="64"/>
      <c r="CJ108" s="74" t="s">
        <v>38</v>
      </c>
      <c r="CK108" s="73">
        <f t="shared" ref="CK108:EV108" ca="1" si="494">($M108=CJ108)*$D$11</f>
        <v>0</v>
      </c>
      <c r="CL108" s="64"/>
      <c r="CM108" s="74" t="s">
        <v>38</v>
      </c>
      <c r="CN108" s="73">
        <f t="shared" ca="1" si="494"/>
        <v>0</v>
      </c>
      <c r="CO108" s="64"/>
      <c r="CP108" s="74" t="s">
        <v>38</v>
      </c>
      <c r="CQ108" s="73">
        <f t="shared" ca="1" si="494"/>
        <v>0</v>
      </c>
      <c r="CR108" s="64"/>
      <c r="CS108" s="74" t="s">
        <v>38</v>
      </c>
      <c r="CT108" s="73">
        <f t="shared" ca="1" si="494"/>
        <v>0</v>
      </c>
      <c r="CU108" s="64"/>
      <c r="CV108" s="74" t="s">
        <v>38</v>
      </c>
      <c r="CW108" s="73">
        <f t="shared" ca="1" si="494"/>
        <v>0</v>
      </c>
      <c r="CX108" s="64"/>
      <c r="CY108" s="74" t="s">
        <v>38</v>
      </c>
      <c r="CZ108" s="73">
        <f t="shared" ca="1" si="494"/>
        <v>0</v>
      </c>
      <c r="DA108" s="64"/>
      <c r="DB108" s="74" t="s">
        <v>38</v>
      </c>
      <c r="DC108" s="73">
        <f t="shared" ca="1" si="494"/>
        <v>0</v>
      </c>
      <c r="DD108" s="64"/>
      <c r="DE108" s="74" t="s">
        <v>38</v>
      </c>
      <c r="DF108" s="73">
        <f t="shared" ca="1" si="494"/>
        <v>0</v>
      </c>
      <c r="DG108" s="64"/>
      <c r="DH108" s="74" t="s">
        <v>38</v>
      </c>
      <c r="DI108" s="73">
        <f t="shared" ca="1" si="494"/>
        <v>0</v>
      </c>
      <c r="DJ108" s="64"/>
      <c r="DK108" s="74" t="s">
        <v>38</v>
      </c>
      <c r="DL108" s="73">
        <f t="shared" ca="1" si="494"/>
        <v>0</v>
      </c>
      <c r="DM108" s="64"/>
      <c r="DN108" s="795" t="s">
        <v>38</v>
      </c>
      <c r="DO108" s="73">
        <f t="shared" ca="1" si="494"/>
        <v>0</v>
      </c>
      <c r="DP108" s="64"/>
      <c r="DQ108" s="795" t="s">
        <v>38</v>
      </c>
      <c r="DR108" s="73">
        <f t="shared" ca="1" si="494"/>
        <v>0</v>
      </c>
      <c r="DS108" s="64"/>
      <c r="DT108" s="74" t="s">
        <v>38</v>
      </c>
      <c r="DU108" s="73">
        <f t="shared" ca="1" si="494"/>
        <v>0</v>
      </c>
      <c r="DV108" s="64"/>
      <c r="DW108" s="74" t="s">
        <v>38</v>
      </c>
      <c r="DX108" s="73">
        <f t="shared" ca="1" si="494"/>
        <v>0</v>
      </c>
      <c r="DY108" s="64"/>
      <c r="DZ108" s="74" t="s">
        <v>38</v>
      </c>
      <c r="EA108" s="73">
        <f t="shared" ca="1" si="494"/>
        <v>0</v>
      </c>
      <c r="EB108" s="64"/>
      <c r="EC108" s="74" t="s">
        <v>38</v>
      </c>
      <c r="ED108" s="73">
        <f t="shared" ca="1" si="494"/>
        <v>0</v>
      </c>
      <c r="EE108" s="64"/>
      <c r="EF108" s="74" t="s">
        <v>38</v>
      </c>
      <c r="EG108" s="73">
        <f t="shared" ca="1" si="494"/>
        <v>0</v>
      </c>
      <c r="EH108" s="64"/>
      <c r="EI108" s="74"/>
      <c r="EJ108" s="73">
        <f t="shared" ca="1" si="494"/>
        <v>0</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51"/>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51"/>
      <c r="K110" s="56" t="str">
        <f>Idiomas!D180</f>
        <v>3º GRUPO H</v>
      </c>
      <c r="L110" s="53"/>
      <c r="M110" s="55" t="str">
        <f ca="1">IF(OR(SUM(WORLDCUP!$AN$62:$AN$65)=12,WORLDCUP!$AJ$99=144),WORLDCUP!AL64,LEFT(K110,1)&amp;RIGHT(K110,1))</f>
        <v>3H</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0</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0</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51"/>
      <c r="K111" s="56" t="str">
        <f>Idiomas!D181</f>
        <v>4º GRUPO H</v>
      </c>
      <c r="L111" s="53"/>
      <c r="M111" s="55" t="str">
        <f ca="1">IF(OR(SUM(WORLDCUP!$AN$62:$AN$65)=12,WORLDCUP!$AJ$99=144),WORLDCUP!AL65,LEFT(K111,1)&amp;RIGHT(K111,1))</f>
        <v>4H</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0</v>
      </c>
      <c r="BE111" s="64"/>
      <c r="BF111" s="74" t="s">
        <v>1552</v>
      </c>
      <c r="BG111" s="73">
        <f t="shared" ca="1" si="508"/>
        <v>0</v>
      </c>
      <c r="BH111" s="64"/>
      <c r="BI111" s="74" t="s">
        <v>1552</v>
      </c>
      <c r="BJ111" s="73">
        <f t="shared" ca="1" si="508"/>
        <v>0</v>
      </c>
      <c r="BK111" s="64"/>
      <c r="BL111" s="74" t="s">
        <v>1632</v>
      </c>
      <c r="BM111" s="73">
        <f t="shared" ca="1" si="508"/>
        <v>0</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0</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2"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512">($M112=S112)*$D$11</f>
        <v>0</v>
      </c>
      <c r="U112" s="64"/>
      <c r="V112" s="74" t="s">
        <v>74</v>
      </c>
      <c r="W112" s="73">
        <f t="shared" ref="W112:CH112" ca="1" si="513">($M112=V112)*$D$11</f>
        <v>0</v>
      </c>
      <c r="X112" s="64"/>
      <c r="Y112" s="74" t="s">
        <v>74</v>
      </c>
      <c r="Z112" s="73">
        <f t="shared" ca="1" si="513"/>
        <v>0</v>
      </c>
      <c r="AA112" s="64"/>
      <c r="AB112" s="74" t="s">
        <v>74</v>
      </c>
      <c r="AC112" s="73">
        <f t="shared" ca="1" si="513"/>
        <v>0</v>
      </c>
      <c r="AD112" s="64"/>
      <c r="AE112" s="74" t="s">
        <v>74</v>
      </c>
      <c r="AF112" s="73">
        <f t="shared" ca="1" si="513"/>
        <v>0</v>
      </c>
      <c r="AG112" s="64"/>
      <c r="AH112" s="74" t="s">
        <v>74</v>
      </c>
      <c r="AI112" s="73">
        <f t="shared" ca="1" si="513"/>
        <v>0</v>
      </c>
      <c r="AJ112" s="64"/>
      <c r="AK112" s="74" t="s">
        <v>74</v>
      </c>
      <c r="AL112" s="73">
        <f t="shared" ca="1" si="513"/>
        <v>0</v>
      </c>
      <c r="AM112" s="64"/>
      <c r="AN112" s="74" t="s">
        <v>74</v>
      </c>
      <c r="AO112" s="73">
        <f t="shared" ca="1" si="513"/>
        <v>0</v>
      </c>
      <c r="AP112" s="64"/>
      <c r="AQ112" s="74" t="s">
        <v>74</v>
      </c>
      <c r="AR112" s="73">
        <f t="shared" ca="1" si="513"/>
        <v>0</v>
      </c>
      <c r="AS112" s="64"/>
      <c r="AT112" s="74" t="s">
        <v>74</v>
      </c>
      <c r="AU112" s="73">
        <f t="shared" ca="1" si="513"/>
        <v>0</v>
      </c>
      <c r="AV112" s="64"/>
      <c r="AW112" s="74" t="s">
        <v>74</v>
      </c>
      <c r="AX112" s="73">
        <f t="shared" ca="1" si="513"/>
        <v>0</v>
      </c>
      <c r="AY112" s="64"/>
      <c r="AZ112" s="74" t="s">
        <v>74</v>
      </c>
      <c r="BA112" s="73">
        <f t="shared" ca="1" si="513"/>
        <v>0</v>
      </c>
      <c r="BB112" s="64"/>
      <c r="BC112" s="74" t="s">
        <v>74</v>
      </c>
      <c r="BD112" s="73">
        <f t="shared" ca="1" si="513"/>
        <v>0</v>
      </c>
      <c r="BE112" s="64"/>
      <c r="BF112" s="74" t="s">
        <v>74</v>
      </c>
      <c r="BG112" s="73">
        <f t="shared" ca="1" si="513"/>
        <v>0</v>
      </c>
      <c r="BH112" s="64"/>
      <c r="BI112" s="74" t="s">
        <v>74</v>
      </c>
      <c r="BJ112" s="73">
        <f t="shared" ca="1" si="513"/>
        <v>0</v>
      </c>
      <c r="BK112" s="64"/>
      <c r="BL112" s="74" t="s">
        <v>74</v>
      </c>
      <c r="BM112" s="73">
        <f t="shared" ca="1" si="513"/>
        <v>0</v>
      </c>
      <c r="BN112" s="64"/>
      <c r="BO112" s="74" t="s">
        <v>74</v>
      </c>
      <c r="BP112" s="73">
        <f t="shared" ca="1" si="513"/>
        <v>0</v>
      </c>
      <c r="BQ112" s="64"/>
      <c r="BR112" s="74" t="s">
        <v>74</v>
      </c>
      <c r="BS112" s="73">
        <f t="shared" ca="1" si="513"/>
        <v>0</v>
      </c>
      <c r="BT112" s="64"/>
      <c r="BU112" s="74" t="s">
        <v>74</v>
      </c>
      <c r="BV112" s="73">
        <f t="shared" ca="1" si="513"/>
        <v>0</v>
      </c>
      <c r="BW112" s="64"/>
      <c r="BX112" s="74" t="s">
        <v>74</v>
      </c>
      <c r="BY112" s="73">
        <f t="shared" ca="1" si="513"/>
        <v>0</v>
      </c>
      <c r="BZ112" s="64"/>
      <c r="CA112" s="74" t="s">
        <v>74</v>
      </c>
      <c r="CB112" s="73">
        <f t="shared" ca="1" si="513"/>
        <v>0</v>
      </c>
      <c r="CC112" s="64"/>
      <c r="CD112" s="74" t="s">
        <v>74</v>
      </c>
      <c r="CE112" s="73">
        <f t="shared" ca="1" si="513"/>
        <v>0</v>
      </c>
      <c r="CF112" s="64"/>
      <c r="CG112" s="74" t="s">
        <v>74</v>
      </c>
      <c r="CH112" s="73">
        <f t="shared" ca="1" si="513"/>
        <v>0</v>
      </c>
      <c r="CI112" s="64"/>
      <c r="CJ112" s="74" t="s">
        <v>74</v>
      </c>
      <c r="CK112" s="73">
        <f t="shared" ref="CK112:EV112" ca="1" si="514">($M112=CJ112)*$D$11</f>
        <v>0</v>
      </c>
      <c r="CL112" s="64"/>
      <c r="CM112" s="74" t="s">
        <v>74</v>
      </c>
      <c r="CN112" s="73">
        <f t="shared" ca="1" si="514"/>
        <v>0</v>
      </c>
      <c r="CO112" s="64"/>
      <c r="CP112" s="74" t="s">
        <v>74</v>
      </c>
      <c r="CQ112" s="73">
        <f t="shared" ca="1" si="514"/>
        <v>0</v>
      </c>
      <c r="CR112" s="64"/>
      <c r="CS112" s="74" t="s">
        <v>74</v>
      </c>
      <c r="CT112" s="73">
        <f t="shared" ca="1" si="514"/>
        <v>0</v>
      </c>
      <c r="CU112" s="64"/>
      <c r="CV112" s="74" t="s">
        <v>74</v>
      </c>
      <c r="CW112" s="73">
        <f t="shared" ca="1" si="514"/>
        <v>0</v>
      </c>
      <c r="CX112" s="64"/>
      <c r="CY112" s="74" t="s">
        <v>74</v>
      </c>
      <c r="CZ112" s="73">
        <f t="shared" ca="1" si="514"/>
        <v>0</v>
      </c>
      <c r="DA112" s="64"/>
      <c r="DB112" s="74" t="s">
        <v>74</v>
      </c>
      <c r="DC112" s="73">
        <f t="shared" ca="1" si="514"/>
        <v>0</v>
      </c>
      <c r="DD112" s="64"/>
      <c r="DE112" s="74" t="s">
        <v>74</v>
      </c>
      <c r="DF112" s="73">
        <f t="shared" ca="1" si="514"/>
        <v>0</v>
      </c>
      <c r="DG112" s="64"/>
      <c r="DH112" s="74" t="s">
        <v>74</v>
      </c>
      <c r="DI112" s="73">
        <f t="shared" ca="1" si="514"/>
        <v>0</v>
      </c>
      <c r="DJ112" s="64"/>
      <c r="DK112" s="74" t="s">
        <v>74</v>
      </c>
      <c r="DL112" s="73">
        <f t="shared" ca="1" si="514"/>
        <v>0</v>
      </c>
      <c r="DM112" s="64"/>
      <c r="DN112" s="795" t="s">
        <v>74</v>
      </c>
      <c r="DO112" s="73">
        <f t="shared" ca="1" si="514"/>
        <v>0</v>
      </c>
      <c r="DP112" s="64"/>
      <c r="DQ112" s="795" t="s">
        <v>74</v>
      </c>
      <c r="DR112" s="73">
        <f t="shared" ca="1" si="514"/>
        <v>0</v>
      </c>
      <c r="DS112" s="64"/>
      <c r="DT112" s="74" t="s">
        <v>74</v>
      </c>
      <c r="DU112" s="73">
        <f t="shared" ca="1" si="514"/>
        <v>0</v>
      </c>
      <c r="DV112" s="64"/>
      <c r="DW112" s="74" t="s">
        <v>74</v>
      </c>
      <c r="DX112" s="73">
        <f t="shared" ca="1" si="514"/>
        <v>0</v>
      </c>
      <c r="DY112" s="64"/>
      <c r="DZ112" s="74" t="s">
        <v>74</v>
      </c>
      <c r="EA112" s="73">
        <f t="shared" ca="1" si="514"/>
        <v>0</v>
      </c>
      <c r="EB112" s="64"/>
      <c r="EC112" s="74" t="s">
        <v>74</v>
      </c>
      <c r="ED112" s="73">
        <f t="shared" ca="1" si="514"/>
        <v>0</v>
      </c>
      <c r="EE112" s="64"/>
      <c r="EF112" s="74" t="s">
        <v>1634</v>
      </c>
      <c r="EG112" s="73">
        <f t="shared" ca="1" si="514"/>
        <v>0</v>
      </c>
      <c r="EH112" s="64"/>
      <c r="EI112" s="74"/>
      <c r="EJ112" s="73">
        <f t="shared" ca="1" si="514"/>
        <v>0</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2"/>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517">($M113=S113)*$D$12</f>
        <v>0</v>
      </c>
      <c r="U113" s="64"/>
      <c r="V113" s="74" t="s">
        <v>1634</v>
      </c>
      <c r="W113" s="73">
        <f t="shared" ref="W113:CH113" ca="1" si="518">($M113=V113)*$D$12</f>
        <v>0</v>
      </c>
      <c r="X113" s="64"/>
      <c r="Y113" s="74" t="s">
        <v>135</v>
      </c>
      <c r="Z113" s="73">
        <f t="shared" ca="1" si="518"/>
        <v>0</v>
      </c>
      <c r="AA113" s="64"/>
      <c r="AB113" s="74" t="s">
        <v>135</v>
      </c>
      <c r="AC113" s="73">
        <f t="shared" ca="1" si="518"/>
        <v>0</v>
      </c>
      <c r="AD113" s="64"/>
      <c r="AE113" s="74" t="s">
        <v>135</v>
      </c>
      <c r="AF113" s="73">
        <f t="shared" ca="1" si="518"/>
        <v>0</v>
      </c>
      <c r="AG113" s="64"/>
      <c r="AH113" s="74" t="s">
        <v>135</v>
      </c>
      <c r="AI113" s="73">
        <f t="shared" ca="1" si="518"/>
        <v>0</v>
      </c>
      <c r="AJ113" s="64"/>
      <c r="AK113" s="74" t="s">
        <v>1634</v>
      </c>
      <c r="AL113" s="73">
        <f t="shared" ca="1" si="518"/>
        <v>0</v>
      </c>
      <c r="AM113" s="64"/>
      <c r="AN113" s="74" t="s">
        <v>135</v>
      </c>
      <c r="AO113" s="73">
        <f t="shared" ca="1" si="518"/>
        <v>0</v>
      </c>
      <c r="AP113" s="64"/>
      <c r="AQ113" s="74" t="s">
        <v>135</v>
      </c>
      <c r="AR113" s="73">
        <f t="shared" ca="1" si="518"/>
        <v>0</v>
      </c>
      <c r="AS113" s="64"/>
      <c r="AT113" s="74" t="s">
        <v>135</v>
      </c>
      <c r="AU113" s="73">
        <f t="shared" ca="1" si="518"/>
        <v>0</v>
      </c>
      <c r="AV113" s="64"/>
      <c r="AW113" s="74" t="s">
        <v>135</v>
      </c>
      <c r="AX113" s="73">
        <f t="shared" ca="1" si="518"/>
        <v>0</v>
      </c>
      <c r="AY113" s="64"/>
      <c r="AZ113" s="74" t="s">
        <v>135</v>
      </c>
      <c r="BA113" s="73">
        <f t="shared" ca="1" si="518"/>
        <v>0</v>
      </c>
      <c r="BB113" s="64"/>
      <c r="BC113" s="74" t="s">
        <v>135</v>
      </c>
      <c r="BD113" s="73">
        <f t="shared" ca="1" si="518"/>
        <v>0</v>
      </c>
      <c r="BE113" s="64"/>
      <c r="BF113" s="74" t="s">
        <v>135</v>
      </c>
      <c r="BG113" s="73">
        <f t="shared" ca="1" si="518"/>
        <v>0</v>
      </c>
      <c r="BH113" s="64"/>
      <c r="BI113" s="74" t="s">
        <v>135</v>
      </c>
      <c r="BJ113" s="73">
        <f t="shared" ca="1" si="518"/>
        <v>0</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0</v>
      </c>
      <c r="CF113" s="64"/>
      <c r="CG113" s="74" t="s">
        <v>1634</v>
      </c>
      <c r="CH113" s="73">
        <f t="shared" ca="1" si="518"/>
        <v>0</v>
      </c>
      <c r="CI113" s="64"/>
      <c r="CJ113" s="74" t="s">
        <v>135</v>
      </c>
      <c r="CK113" s="73">
        <f t="shared" ref="CK113:EV113" ca="1" si="519">($M113=CJ113)*$D$12</f>
        <v>0</v>
      </c>
      <c r="CL113" s="64"/>
      <c r="CM113" s="74" t="s">
        <v>135</v>
      </c>
      <c r="CN113" s="73">
        <f t="shared" ca="1" si="519"/>
        <v>0</v>
      </c>
      <c r="CO113" s="64"/>
      <c r="CP113" s="74" t="s">
        <v>135</v>
      </c>
      <c r="CQ113" s="73">
        <f t="shared" ca="1" si="519"/>
        <v>0</v>
      </c>
      <c r="CR113" s="64"/>
      <c r="CS113" s="74" t="s">
        <v>135</v>
      </c>
      <c r="CT113" s="73">
        <f t="shared" ca="1" si="519"/>
        <v>0</v>
      </c>
      <c r="CU113" s="64"/>
      <c r="CV113" s="74" t="s">
        <v>135</v>
      </c>
      <c r="CW113" s="73">
        <f t="shared" ca="1" si="519"/>
        <v>0</v>
      </c>
      <c r="CX113" s="64"/>
      <c r="CY113" s="74" t="s">
        <v>135</v>
      </c>
      <c r="CZ113" s="73">
        <f t="shared" ca="1" si="519"/>
        <v>0</v>
      </c>
      <c r="DA113" s="64"/>
      <c r="DB113" s="74" t="s">
        <v>135</v>
      </c>
      <c r="DC113" s="73">
        <f t="shared" ca="1" si="519"/>
        <v>0</v>
      </c>
      <c r="DD113" s="64"/>
      <c r="DE113" s="74" t="s">
        <v>1634</v>
      </c>
      <c r="DF113" s="73">
        <f t="shared" ca="1" si="519"/>
        <v>0</v>
      </c>
      <c r="DG113" s="64"/>
      <c r="DH113" s="74" t="s">
        <v>135</v>
      </c>
      <c r="DI113" s="73">
        <f t="shared" ca="1" si="519"/>
        <v>0</v>
      </c>
      <c r="DJ113" s="64"/>
      <c r="DK113" s="74" t="s">
        <v>135</v>
      </c>
      <c r="DL113" s="73">
        <f t="shared" ca="1" si="519"/>
        <v>0</v>
      </c>
      <c r="DM113" s="64"/>
      <c r="DN113" s="795" t="s">
        <v>135</v>
      </c>
      <c r="DO113" s="73">
        <f t="shared" ca="1" si="519"/>
        <v>0</v>
      </c>
      <c r="DP113" s="64"/>
      <c r="DQ113" s="795" t="s">
        <v>1757</v>
      </c>
      <c r="DR113" s="73">
        <f t="shared" ca="1" si="519"/>
        <v>0</v>
      </c>
      <c r="DS113" s="64"/>
      <c r="DT113" s="74" t="s">
        <v>135</v>
      </c>
      <c r="DU113" s="73">
        <f t="shared" ca="1" si="519"/>
        <v>0</v>
      </c>
      <c r="DV113" s="64"/>
      <c r="DW113" s="74" t="s">
        <v>135</v>
      </c>
      <c r="DX113" s="73">
        <f t="shared" ca="1" si="519"/>
        <v>0</v>
      </c>
      <c r="DY113" s="64"/>
      <c r="DZ113" s="74" t="s">
        <v>135</v>
      </c>
      <c r="EA113" s="73">
        <f t="shared" ca="1" si="519"/>
        <v>0</v>
      </c>
      <c r="EB113" s="64"/>
      <c r="EC113" s="74" t="s">
        <v>1634</v>
      </c>
      <c r="ED113" s="73">
        <f t="shared" ca="1" si="519"/>
        <v>0</v>
      </c>
      <c r="EE113" s="64"/>
      <c r="EF113" s="74" t="s">
        <v>74</v>
      </c>
      <c r="EG113" s="73">
        <f t="shared" ca="1" si="519"/>
        <v>0</v>
      </c>
      <c r="EH113" s="64"/>
      <c r="EI113" s="74"/>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2"/>
      <c r="K114" s="56" t="str">
        <f>Idiomas!D184</f>
        <v>3º GRUPO I</v>
      </c>
      <c r="L114" s="53"/>
      <c r="M114" s="55" t="str">
        <f ca="1">IF(OR(SUM(WORLDCUP!$AN$70:$AN$73)=12,WORLDCUP!$AJ$99=144),WORLDCUP!AL72,LEFT(K114,1)&amp;RIGHT(K114,1))</f>
        <v>3I</v>
      </c>
      <c r="N114" s="25"/>
      <c r="O114" s="25"/>
      <c r="P114" s="25"/>
      <c r="Q114" s="25"/>
      <c r="R114" s="110"/>
      <c r="S114" s="74" t="s">
        <v>1634</v>
      </c>
      <c r="T114" s="73">
        <f t="shared" ref="T114" ca="1" si="522">($M114=S114)*$D$13</f>
        <v>0</v>
      </c>
      <c r="U114" s="64"/>
      <c r="V114" s="74" t="s">
        <v>135</v>
      </c>
      <c r="W114" s="73">
        <f t="shared" ref="W114:CH114" ca="1" si="523">($M114=V114)*$D$13</f>
        <v>0</v>
      </c>
      <c r="X114" s="64"/>
      <c r="Y114" s="74" t="s">
        <v>1634</v>
      </c>
      <c r="Z114" s="73">
        <f t="shared" ca="1" si="523"/>
        <v>0</v>
      </c>
      <c r="AA114" s="64"/>
      <c r="AB114" s="74" t="s">
        <v>1634</v>
      </c>
      <c r="AC114" s="73">
        <f t="shared" ca="1" si="523"/>
        <v>0</v>
      </c>
      <c r="AD114" s="64"/>
      <c r="AE114" s="74" t="s">
        <v>1634</v>
      </c>
      <c r="AF114" s="73">
        <f t="shared" ca="1" si="523"/>
        <v>0</v>
      </c>
      <c r="AG114" s="64"/>
      <c r="AH114" s="74" t="s">
        <v>1634</v>
      </c>
      <c r="AI114" s="73">
        <f t="shared" ca="1" si="523"/>
        <v>0</v>
      </c>
      <c r="AJ114" s="64"/>
      <c r="AK114" s="74" t="s">
        <v>135</v>
      </c>
      <c r="AL114" s="73">
        <f t="shared" ca="1" si="523"/>
        <v>0</v>
      </c>
      <c r="AM114" s="64"/>
      <c r="AN114" s="74" t="s">
        <v>1634</v>
      </c>
      <c r="AO114" s="73">
        <f t="shared" ca="1" si="523"/>
        <v>0</v>
      </c>
      <c r="AP114" s="64"/>
      <c r="AQ114" s="74" t="s">
        <v>1634</v>
      </c>
      <c r="AR114" s="73">
        <f t="shared" ca="1" si="523"/>
        <v>0</v>
      </c>
      <c r="AS114" s="64"/>
      <c r="AT114" s="74" t="s">
        <v>1634</v>
      </c>
      <c r="AU114" s="73">
        <f t="shared" ca="1" si="523"/>
        <v>0</v>
      </c>
      <c r="AV114" s="64"/>
      <c r="AW114" s="74" t="s">
        <v>1634</v>
      </c>
      <c r="AX114" s="73">
        <f t="shared" ca="1" si="523"/>
        <v>0</v>
      </c>
      <c r="AY114" s="64"/>
      <c r="AZ114" s="74" t="s">
        <v>1634</v>
      </c>
      <c r="BA114" s="73">
        <f t="shared" ca="1" si="523"/>
        <v>0</v>
      </c>
      <c r="BB114" s="64"/>
      <c r="BC114" s="74" t="s">
        <v>1634</v>
      </c>
      <c r="BD114" s="73">
        <f t="shared" ca="1" si="523"/>
        <v>0</v>
      </c>
      <c r="BE114" s="64"/>
      <c r="BF114" s="74" t="s">
        <v>1634</v>
      </c>
      <c r="BG114" s="73">
        <f t="shared" ca="1" si="523"/>
        <v>0</v>
      </c>
      <c r="BH114" s="64"/>
      <c r="BI114" s="74" t="s">
        <v>1634</v>
      </c>
      <c r="BJ114" s="73">
        <f t="shared" ca="1" si="523"/>
        <v>0</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0</v>
      </c>
      <c r="CF114" s="64"/>
      <c r="CG114" s="74" t="s">
        <v>135</v>
      </c>
      <c r="CH114" s="73">
        <f t="shared" ca="1" si="523"/>
        <v>0</v>
      </c>
      <c r="CI114" s="64"/>
      <c r="CJ114" s="74" t="s">
        <v>1634</v>
      </c>
      <c r="CK114" s="73">
        <f t="shared" ref="CK114:EV114" ca="1" si="524">($M114=CJ114)*$D$13</f>
        <v>0</v>
      </c>
      <c r="CL114" s="64"/>
      <c r="CM114" s="74" t="s">
        <v>1634</v>
      </c>
      <c r="CN114" s="73">
        <f t="shared" ca="1" si="524"/>
        <v>0</v>
      </c>
      <c r="CO114" s="64"/>
      <c r="CP114" s="74" t="s">
        <v>1634</v>
      </c>
      <c r="CQ114" s="73">
        <f t="shared" ca="1" si="524"/>
        <v>0</v>
      </c>
      <c r="CR114" s="64"/>
      <c r="CS114" s="74" t="s">
        <v>1634</v>
      </c>
      <c r="CT114" s="73">
        <f t="shared" ca="1" si="524"/>
        <v>0</v>
      </c>
      <c r="CU114" s="64"/>
      <c r="CV114" s="74" t="s">
        <v>1634</v>
      </c>
      <c r="CW114" s="73">
        <f t="shared" ca="1" si="524"/>
        <v>0</v>
      </c>
      <c r="CX114" s="64"/>
      <c r="CY114" s="74" t="s">
        <v>1634</v>
      </c>
      <c r="CZ114" s="73">
        <f t="shared" ca="1" si="524"/>
        <v>0</v>
      </c>
      <c r="DA114" s="64"/>
      <c r="DB114" s="74" t="s">
        <v>1634</v>
      </c>
      <c r="DC114" s="73">
        <f t="shared" ca="1" si="524"/>
        <v>0</v>
      </c>
      <c r="DD114" s="64"/>
      <c r="DE114" s="74" t="s">
        <v>135</v>
      </c>
      <c r="DF114" s="73">
        <f t="shared" ca="1" si="524"/>
        <v>0</v>
      </c>
      <c r="DG114" s="64"/>
      <c r="DH114" s="74" t="s">
        <v>1634</v>
      </c>
      <c r="DI114" s="73">
        <f t="shared" ca="1" si="524"/>
        <v>0</v>
      </c>
      <c r="DJ114" s="64"/>
      <c r="DK114" s="74" t="s">
        <v>1634</v>
      </c>
      <c r="DL114" s="73">
        <f t="shared" ca="1" si="524"/>
        <v>0</v>
      </c>
      <c r="DM114" s="64"/>
      <c r="DN114" s="795" t="s">
        <v>1634</v>
      </c>
      <c r="DO114" s="73">
        <f t="shared" ca="1" si="524"/>
        <v>0</v>
      </c>
      <c r="DP114" s="64"/>
      <c r="DQ114" s="795" t="s">
        <v>135</v>
      </c>
      <c r="DR114" s="73">
        <f t="shared" ca="1" si="524"/>
        <v>0</v>
      </c>
      <c r="DS114" s="64"/>
      <c r="DT114" s="74" t="s">
        <v>1757</v>
      </c>
      <c r="DU114" s="73">
        <f t="shared" ca="1" si="524"/>
        <v>0</v>
      </c>
      <c r="DV114" s="64"/>
      <c r="DW114" s="74" t="s">
        <v>1634</v>
      </c>
      <c r="DX114" s="73">
        <f t="shared" ca="1" si="524"/>
        <v>0</v>
      </c>
      <c r="DY114" s="64"/>
      <c r="DZ114" s="74" t="s">
        <v>1634</v>
      </c>
      <c r="EA114" s="73">
        <f t="shared" ca="1" si="524"/>
        <v>0</v>
      </c>
      <c r="EB114" s="64"/>
      <c r="EC114" s="74" t="s">
        <v>135</v>
      </c>
      <c r="ED114" s="73">
        <f t="shared" ca="1" si="524"/>
        <v>0</v>
      </c>
      <c r="EE114" s="64"/>
      <c r="EF114" s="74" t="s">
        <v>135</v>
      </c>
      <c r="EG114" s="73">
        <f t="shared" ca="1" si="524"/>
        <v>0</v>
      </c>
      <c r="EH114" s="64"/>
      <c r="EI114" s="74"/>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2"/>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527">($M115=S115)*$D$14</f>
        <v>0</v>
      </c>
      <c r="U115" s="64"/>
      <c r="V115" s="74" t="s">
        <v>1757</v>
      </c>
      <c r="W115" s="73">
        <f t="shared" ref="W115:CH115" ca="1" si="528">($M115=V115)*$D$14</f>
        <v>0</v>
      </c>
      <c r="X115" s="64"/>
      <c r="Y115" s="74" t="s">
        <v>1757</v>
      </c>
      <c r="Z115" s="73">
        <f t="shared" ca="1" si="528"/>
        <v>0</v>
      </c>
      <c r="AA115" s="64"/>
      <c r="AB115" s="74" t="s">
        <v>1757</v>
      </c>
      <c r="AC115" s="73">
        <f t="shared" ca="1" si="528"/>
        <v>0</v>
      </c>
      <c r="AD115" s="64"/>
      <c r="AE115" s="74" t="s">
        <v>1757</v>
      </c>
      <c r="AF115" s="73">
        <f t="shared" ca="1" si="528"/>
        <v>0</v>
      </c>
      <c r="AG115" s="64"/>
      <c r="AH115" s="74" t="s">
        <v>1757</v>
      </c>
      <c r="AI115" s="73">
        <f t="shared" ca="1" si="528"/>
        <v>0</v>
      </c>
      <c r="AJ115" s="64"/>
      <c r="AK115" s="74" t="s">
        <v>1757</v>
      </c>
      <c r="AL115" s="73">
        <f t="shared" ca="1" si="528"/>
        <v>0</v>
      </c>
      <c r="AM115" s="64"/>
      <c r="AN115" s="74" t="s">
        <v>1757</v>
      </c>
      <c r="AO115" s="73">
        <f t="shared" ca="1" si="528"/>
        <v>0</v>
      </c>
      <c r="AP115" s="64"/>
      <c r="AQ115" s="74" t="s">
        <v>1757</v>
      </c>
      <c r="AR115" s="73">
        <f t="shared" ca="1" si="528"/>
        <v>0</v>
      </c>
      <c r="AS115" s="64"/>
      <c r="AT115" s="74" t="s">
        <v>1757</v>
      </c>
      <c r="AU115" s="73">
        <f t="shared" ca="1" si="528"/>
        <v>0</v>
      </c>
      <c r="AV115" s="64"/>
      <c r="AW115" s="74" t="s">
        <v>1757</v>
      </c>
      <c r="AX115" s="73">
        <f t="shared" ca="1" si="528"/>
        <v>0</v>
      </c>
      <c r="AY115" s="64"/>
      <c r="AZ115" s="74" t="s">
        <v>1757</v>
      </c>
      <c r="BA115" s="73">
        <f t="shared" ca="1" si="528"/>
        <v>0</v>
      </c>
      <c r="BB115" s="64"/>
      <c r="BC115" s="74" t="s">
        <v>1757</v>
      </c>
      <c r="BD115" s="73">
        <f t="shared" ca="1" si="528"/>
        <v>0</v>
      </c>
      <c r="BE115" s="64"/>
      <c r="BF115" s="74" t="s">
        <v>1757</v>
      </c>
      <c r="BG115" s="73">
        <f t="shared" ca="1" si="528"/>
        <v>0</v>
      </c>
      <c r="BH115" s="64"/>
      <c r="BI115" s="74" t="s">
        <v>1757</v>
      </c>
      <c r="BJ115" s="73">
        <f t="shared" ca="1" si="528"/>
        <v>0</v>
      </c>
      <c r="BK115" s="64"/>
      <c r="BL115" s="74" t="s">
        <v>1757</v>
      </c>
      <c r="BM115" s="73">
        <f t="shared" ca="1" si="528"/>
        <v>0</v>
      </c>
      <c r="BN115" s="64"/>
      <c r="BO115" s="74" t="s">
        <v>1757</v>
      </c>
      <c r="BP115" s="73">
        <f t="shared" ca="1" si="528"/>
        <v>0</v>
      </c>
      <c r="BQ115" s="64"/>
      <c r="BR115" s="74" t="s">
        <v>1757</v>
      </c>
      <c r="BS115" s="73">
        <f t="shared" ca="1" si="528"/>
        <v>0</v>
      </c>
      <c r="BT115" s="64"/>
      <c r="BU115" s="74" t="s">
        <v>1757</v>
      </c>
      <c r="BV115" s="73">
        <f t="shared" ca="1" si="528"/>
        <v>0</v>
      </c>
      <c r="BW115" s="64"/>
      <c r="BX115" s="74" t="s">
        <v>1757</v>
      </c>
      <c r="BY115" s="73">
        <f t="shared" ca="1" si="528"/>
        <v>0</v>
      </c>
      <c r="BZ115" s="64"/>
      <c r="CA115" s="74" t="s">
        <v>1757</v>
      </c>
      <c r="CB115" s="73">
        <f t="shared" ca="1" si="528"/>
        <v>0</v>
      </c>
      <c r="CC115" s="64"/>
      <c r="CD115" s="74" t="s">
        <v>1757</v>
      </c>
      <c r="CE115" s="73">
        <f t="shared" ca="1" si="528"/>
        <v>0</v>
      </c>
      <c r="CF115" s="64"/>
      <c r="CG115" s="74" t="s">
        <v>1757</v>
      </c>
      <c r="CH115" s="73">
        <f t="shared" ca="1" si="528"/>
        <v>0</v>
      </c>
      <c r="CI115" s="64"/>
      <c r="CJ115" s="74" t="s">
        <v>1757</v>
      </c>
      <c r="CK115" s="73">
        <f t="shared" ref="CK115:EV115" ca="1" si="529">($M115=CJ115)*$D$14</f>
        <v>0</v>
      </c>
      <c r="CL115" s="64"/>
      <c r="CM115" s="74" t="s">
        <v>1757</v>
      </c>
      <c r="CN115" s="73">
        <f t="shared" ca="1" si="529"/>
        <v>0</v>
      </c>
      <c r="CO115" s="64"/>
      <c r="CP115" s="74" t="s">
        <v>1757</v>
      </c>
      <c r="CQ115" s="73">
        <f t="shared" ca="1" si="529"/>
        <v>0</v>
      </c>
      <c r="CR115" s="64"/>
      <c r="CS115" s="74" t="s">
        <v>1757</v>
      </c>
      <c r="CT115" s="73">
        <f t="shared" ca="1" si="529"/>
        <v>0</v>
      </c>
      <c r="CU115" s="64"/>
      <c r="CV115" s="74" t="s">
        <v>1757</v>
      </c>
      <c r="CW115" s="73">
        <f t="shared" ca="1" si="529"/>
        <v>0</v>
      </c>
      <c r="CX115" s="64"/>
      <c r="CY115" s="74" t="s">
        <v>1757</v>
      </c>
      <c r="CZ115" s="73">
        <f t="shared" ca="1" si="529"/>
        <v>0</v>
      </c>
      <c r="DA115" s="64"/>
      <c r="DB115" s="74" t="s">
        <v>1757</v>
      </c>
      <c r="DC115" s="73">
        <f t="shared" ca="1" si="529"/>
        <v>0</v>
      </c>
      <c r="DD115" s="64"/>
      <c r="DE115" s="74" t="s">
        <v>1757</v>
      </c>
      <c r="DF115" s="73">
        <f t="shared" ca="1" si="529"/>
        <v>0</v>
      </c>
      <c r="DG115" s="64"/>
      <c r="DH115" s="74" t="s">
        <v>1757</v>
      </c>
      <c r="DI115" s="73">
        <f t="shared" ca="1" si="529"/>
        <v>0</v>
      </c>
      <c r="DJ115" s="64"/>
      <c r="DK115" s="74" t="s">
        <v>1757</v>
      </c>
      <c r="DL115" s="73">
        <f t="shared" ca="1" si="529"/>
        <v>0</v>
      </c>
      <c r="DM115" s="64"/>
      <c r="DN115" s="795" t="s">
        <v>1757</v>
      </c>
      <c r="DO115" s="73">
        <f t="shared" ca="1" si="529"/>
        <v>0</v>
      </c>
      <c r="DP115" s="64"/>
      <c r="DQ115" s="795" t="s">
        <v>1634</v>
      </c>
      <c r="DR115" s="73">
        <f t="shared" ca="1" si="529"/>
        <v>0</v>
      </c>
      <c r="DS115" s="64"/>
      <c r="DT115" s="74" t="s">
        <v>1634</v>
      </c>
      <c r="DU115" s="73">
        <f t="shared" ca="1" si="529"/>
        <v>0</v>
      </c>
      <c r="DV115" s="64"/>
      <c r="DW115" s="74" t="s">
        <v>1757</v>
      </c>
      <c r="DX115" s="73">
        <f t="shared" ca="1" si="529"/>
        <v>0</v>
      </c>
      <c r="DY115" s="64"/>
      <c r="DZ115" s="74" t="s">
        <v>1757</v>
      </c>
      <c r="EA115" s="73">
        <f t="shared" ca="1" si="529"/>
        <v>0</v>
      </c>
      <c r="EB115" s="64"/>
      <c r="EC115" s="74" t="s">
        <v>1757</v>
      </c>
      <c r="ED115" s="73">
        <f t="shared" ca="1" si="529"/>
        <v>0</v>
      </c>
      <c r="EE115" s="64"/>
      <c r="EF115" s="74" t="s">
        <v>1757</v>
      </c>
      <c r="EG115" s="73">
        <f t="shared" ca="1" si="529"/>
        <v>0</v>
      </c>
      <c r="EH115" s="64"/>
      <c r="EI115" s="74"/>
      <c r="EJ115" s="73">
        <f t="shared" ca="1" si="529"/>
        <v>0</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51"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532">($M116=S116)*$D$11</f>
        <v>0</v>
      </c>
      <c r="U116" s="64"/>
      <c r="V116" s="74" t="s">
        <v>1256</v>
      </c>
      <c r="W116" s="73">
        <f t="shared" ref="W116:CH116" ca="1" si="533">($M116=V116)*$D$11</f>
        <v>0</v>
      </c>
      <c r="X116" s="64"/>
      <c r="Y116" s="74" t="s">
        <v>1256</v>
      </c>
      <c r="Z116" s="73">
        <f t="shared" ca="1" si="533"/>
        <v>0</v>
      </c>
      <c r="AA116" s="64"/>
      <c r="AB116" s="74" t="s">
        <v>1256</v>
      </c>
      <c r="AC116" s="73">
        <f t="shared" ca="1" si="533"/>
        <v>0</v>
      </c>
      <c r="AD116" s="64"/>
      <c r="AE116" s="74" t="s">
        <v>1256</v>
      </c>
      <c r="AF116" s="73">
        <f t="shared" ca="1" si="533"/>
        <v>0</v>
      </c>
      <c r="AG116" s="64"/>
      <c r="AH116" s="74" t="s">
        <v>1256</v>
      </c>
      <c r="AI116" s="73">
        <f t="shared" ca="1" si="533"/>
        <v>0</v>
      </c>
      <c r="AJ116" s="64"/>
      <c r="AK116" s="74" t="s">
        <v>1256</v>
      </c>
      <c r="AL116" s="73">
        <f t="shared" ca="1" si="533"/>
        <v>0</v>
      </c>
      <c r="AM116" s="64"/>
      <c r="AN116" s="74" t="s">
        <v>1256</v>
      </c>
      <c r="AO116" s="73">
        <f t="shared" ca="1" si="533"/>
        <v>0</v>
      </c>
      <c r="AP116" s="64"/>
      <c r="AQ116" s="74" t="s">
        <v>1256</v>
      </c>
      <c r="AR116" s="73">
        <f t="shared" ca="1" si="533"/>
        <v>0</v>
      </c>
      <c r="AS116" s="64"/>
      <c r="AT116" s="74" t="s">
        <v>1256</v>
      </c>
      <c r="AU116" s="73">
        <f t="shared" ca="1" si="533"/>
        <v>0</v>
      </c>
      <c r="AV116" s="64"/>
      <c r="AW116" s="74" t="s">
        <v>1256</v>
      </c>
      <c r="AX116" s="73">
        <f t="shared" ca="1" si="533"/>
        <v>0</v>
      </c>
      <c r="AY116" s="64"/>
      <c r="AZ116" s="74" t="s">
        <v>1256</v>
      </c>
      <c r="BA116" s="73">
        <f t="shared" ca="1" si="533"/>
        <v>0</v>
      </c>
      <c r="BB116" s="64"/>
      <c r="BC116" s="74" t="s">
        <v>1256</v>
      </c>
      <c r="BD116" s="73">
        <f t="shared" ca="1" si="533"/>
        <v>0</v>
      </c>
      <c r="BE116" s="64"/>
      <c r="BF116" s="74" t="s">
        <v>1256</v>
      </c>
      <c r="BG116" s="73">
        <f t="shared" ca="1" si="533"/>
        <v>0</v>
      </c>
      <c r="BH116" s="64"/>
      <c r="BI116" s="74" t="s">
        <v>1256</v>
      </c>
      <c r="BJ116" s="73">
        <f t="shared" ca="1" si="533"/>
        <v>0</v>
      </c>
      <c r="BK116" s="64"/>
      <c r="BL116" s="74" t="s">
        <v>1256</v>
      </c>
      <c r="BM116" s="73">
        <f t="shared" ca="1" si="533"/>
        <v>0</v>
      </c>
      <c r="BN116" s="64"/>
      <c r="BO116" s="74" t="s">
        <v>1256</v>
      </c>
      <c r="BP116" s="73">
        <f t="shared" ca="1" si="533"/>
        <v>0</v>
      </c>
      <c r="BQ116" s="64"/>
      <c r="BR116" s="74" t="s">
        <v>1256</v>
      </c>
      <c r="BS116" s="73">
        <f t="shared" ca="1" si="533"/>
        <v>0</v>
      </c>
      <c r="BT116" s="64"/>
      <c r="BU116" s="74" t="s">
        <v>1256</v>
      </c>
      <c r="BV116" s="73">
        <f t="shared" ca="1" si="533"/>
        <v>0</v>
      </c>
      <c r="BW116" s="64"/>
      <c r="BX116" s="74" t="s">
        <v>1256</v>
      </c>
      <c r="BY116" s="73">
        <f t="shared" ca="1" si="533"/>
        <v>0</v>
      </c>
      <c r="BZ116" s="64"/>
      <c r="CA116" s="74" t="s">
        <v>1256</v>
      </c>
      <c r="CB116" s="73">
        <f t="shared" ca="1" si="533"/>
        <v>0</v>
      </c>
      <c r="CC116" s="64"/>
      <c r="CD116" s="74" t="s">
        <v>1256</v>
      </c>
      <c r="CE116" s="73">
        <f t="shared" ca="1" si="533"/>
        <v>0</v>
      </c>
      <c r="CF116" s="64"/>
      <c r="CG116" s="74" t="s">
        <v>1256</v>
      </c>
      <c r="CH116" s="73">
        <f t="shared" ca="1" si="533"/>
        <v>0</v>
      </c>
      <c r="CI116" s="64"/>
      <c r="CJ116" s="74" t="s">
        <v>1256</v>
      </c>
      <c r="CK116" s="73">
        <f t="shared" ref="CK116:EV116" ca="1" si="534">($M116=CJ116)*$D$11</f>
        <v>0</v>
      </c>
      <c r="CL116" s="64"/>
      <c r="CM116" s="74" t="s">
        <v>1256</v>
      </c>
      <c r="CN116" s="73">
        <f t="shared" ca="1" si="534"/>
        <v>0</v>
      </c>
      <c r="CO116" s="64"/>
      <c r="CP116" s="74" t="s">
        <v>1256</v>
      </c>
      <c r="CQ116" s="73">
        <f t="shared" ca="1" si="534"/>
        <v>0</v>
      </c>
      <c r="CR116" s="64"/>
      <c r="CS116" s="74" t="s">
        <v>1256</v>
      </c>
      <c r="CT116" s="73">
        <f t="shared" ca="1" si="534"/>
        <v>0</v>
      </c>
      <c r="CU116" s="64"/>
      <c r="CV116" s="74" t="s">
        <v>1256</v>
      </c>
      <c r="CW116" s="73">
        <f t="shared" ca="1" si="534"/>
        <v>0</v>
      </c>
      <c r="CX116" s="64"/>
      <c r="CY116" s="74" t="s">
        <v>1256</v>
      </c>
      <c r="CZ116" s="73">
        <f t="shared" ca="1" si="534"/>
        <v>0</v>
      </c>
      <c r="DA116" s="64"/>
      <c r="DB116" s="74" t="s">
        <v>1256</v>
      </c>
      <c r="DC116" s="73">
        <f t="shared" ca="1" si="534"/>
        <v>0</v>
      </c>
      <c r="DD116" s="64"/>
      <c r="DE116" s="74" t="s">
        <v>1256</v>
      </c>
      <c r="DF116" s="73">
        <f t="shared" ca="1" si="534"/>
        <v>0</v>
      </c>
      <c r="DG116" s="64"/>
      <c r="DH116" s="74" t="s">
        <v>1256</v>
      </c>
      <c r="DI116" s="73">
        <f t="shared" ca="1" si="534"/>
        <v>0</v>
      </c>
      <c r="DJ116" s="64"/>
      <c r="DK116" s="74" t="s">
        <v>1256</v>
      </c>
      <c r="DL116" s="73">
        <f t="shared" ca="1" si="534"/>
        <v>0</v>
      </c>
      <c r="DM116" s="64"/>
      <c r="DN116" s="795" t="s">
        <v>1256</v>
      </c>
      <c r="DO116" s="73">
        <f t="shared" ca="1" si="534"/>
        <v>0</v>
      </c>
      <c r="DP116" s="64"/>
      <c r="DQ116" s="795" t="s">
        <v>1256</v>
      </c>
      <c r="DR116" s="73">
        <f t="shared" ca="1" si="534"/>
        <v>0</v>
      </c>
      <c r="DS116" s="64"/>
      <c r="DT116" s="74" t="s">
        <v>1256</v>
      </c>
      <c r="DU116" s="73">
        <f t="shared" ca="1" si="534"/>
        <v>0</v>
      </c>
      <c r="DV116" s="64"/>
      <c r="DW116" s="74" t="s">
        <v>1256</v>
      </c>
      <c r="DX116" s="73">
        <f t="shared" ca="1" si="534"/>
        <v>0</v>
      </c>
      <c r="DY116" s="64"/>
      <c r="DZ116" s="74" t="s">
        <v>1256</v>
      </c>
      <c r="EA116" s="73">
        <f t="shared" ca="1" si="534"/>
        <v>0</v>
      </c>
      <c r="EB116" s="64"/>
      <c r="EC116" s="74" t="s">
        <v>1256</v>
      </c>
      <c r="ED116" s="73">
        <f t="shared" ca="1" si="534"/>
        <v>0</v>
      </c>
      <c r="EE116" s="64"/>
      <c r="EF116" s="74" t="s">
        <v>1256</v>
      </c>
      <c r="EG116" s="73">
        <f t="shared" ca="1" si="534"/>
        <v>0</v>
      </c>
      <c r="EH116" s="64"/>
      <c r="EI116" s="74"/>
      <c r="EJ116" s="73">
        <f t="shared" ca="1" si="534"/>
        <v>0</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51"/>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537">($M117=S117)*$D$12</f>
        <v>0</v>
      </c>
      <c r="U117" s="64"/>
      <c r="V117" s="74" t="s">
        <v>80</v>
      </c>
      <c r="W117" s="73">
        <f t="shared" ref="W117:CH117" ca="1" si="538">($M117=V117)*$D$12</f>
        <v>0</v>
      </c>
      <c r="X117" s="64"/>
      <c r="Y117" s="74" t="s">
        <v>80</v>
      </c>
      <c r="Z117" s="73">
        <f t="shared" ca="1" si="538"/>
        <v>0</v>
      </c>
      <c r="AA117" s="64"/>
      <c r="AB117" s="74" t="s">
        <v>80</v>
      </c>
      <c r="AC117" s="73">
        <f t="shared" ca="1" si="538"/>
        <v>0</v>
      </c>
      <c r="AD117" s="64"/>
      <c r="AE117" s="74" t="s">
        <v>80</v>
      </c>
      <c r="AF117" s="73">
        <f t="shared" ca="1" si="538"/>
        <v>0</v>
      </c>
      <c r="AG117" s="64"/>
      <c r="AH117" s="74" t="s">
        <v>1558</v>
      </c>
      <c r="AI117" s="73">
        <f t="shared" ca="1" si="538"/>
        <v>0</v>
      </c>
      <c r="AJ117" s="64"/>
      <c r="AK117" s="74" t="s">
        <v>80</v>
      </c>
      <c r="AL117" s="73">
        <f t="shared" ca="1" si="538"/>
        <v>0</v>
      </c>
      <c r="AM117" s="64"/>
      <c r="AN117" s="74" t="s">
        <v>1558</v>
      </c>
      <c r="AO117" s="73">
        <f t="shared" ca="1" si="538"/>
        <v>0</v>
      </c>
      <c r="AP117" s="64"/>
      <c r="AQ117" s="74" t="s">
        <v>80</v>
      </c>
      <c r="AR117" s="73">
        <f t="shared" ca="1" si="538"/>
        <v>0</v>
      </c>
      <c r="AS117" s="64"/>
      <c r="AT117" s="74" t="s">
        <v>80</v>
      </c>
      <c r="AU117" s="73">
        <f t="shared" ca="1" si="538"/>
        <v>0</v>
      </c>
      <c r="AV117" s="64"/>
      <c r="AW117" s="74" t="s">
        <v>1558</v>
      </c>
      <c r="AX117" s="73">
        <f t="shared" ca="1" si="538"/>
        <v>0</v>
      </c>
      <c r="AY117" s="64"/>
      <c r="AZ117" s="74" t="s">
        <v>80</v>
      </c>
      <c r="BA117" s="73">
        <f t="shared" ca="1" si="538"/>
        <v>0</v>
      </c>
      <c r="BB117" s="64"/>
      <c r="BC117" s="74" t="s">
        <v>80</v>
      </c>
      <c r="BD117" s="73">
        <f t="shared" ca="1" si="538"/>
        <v>0</v>
      </c>
      <c r="BE117" s="64"/>
      <c r="BF117" s="74" t="s">
        <v>80</v>
      </c>
      <c r="BG117" s="73">
        <f t="shared" ca="1" si="538"/>
        <v>0</v>
      </c>
      <c r="BH117" s="64"/>
      <c r="BI117" s="74" t="s">
        <v>80</v>
      </c>
      <c r="BJ117" s="73">
        <f t="shared" ca="1" si="538"/>
        <v>0</v>
      </c>
      <c r="BK117" s="64"/>
      <c r="BL117" s="74" t="s">
        <v>80</v>
      </c>
      <c r="BM117" s="73">
        <f t="shared" ca="1" si="538"/>
        <v>0</v>
      </c>
      <c r="BN117" s="64"/>
      <c r="BO117" s="74" t="s">
        <v>1558</v>
      </c>
      <c r="BP117" s="73">
        <f t="shared" ca="1" si="538"/>
        <v>0</v>
      </c>
      <c r="BQ117" s="64"/>
      <c r="BR117" s="74" t="s">
        <v>80</v>
      </c>
      <c r="BS117" s="73">
        <f t="shared" ca="1" si="538"/>
        <v>0</v>
      </c>
      <c r="BT117" s="64"/>
      <c r="BU117" s="74" t="s">
        <v>80</v>
      </c>
      <c r="BV117" s="73">
        <f t="shared" ca="1" si="538"/>
        <v>0</v>
      </c>
      <c r="BW117" s="64"/>
      <c r="BX117" s="74" t="s">
        <v>1558</v>
      </c>
      <c r="BY117" s="73">
        <f t="shared" ca="1" si="538"/>
        <v>0</v>
      </c>
      <c r="BZ117" s="64"/>
      <c r="CA117" s="74" t="s">
        <v>80</v>
      </c>
      <c r="CB117" s="73">
        <f t="shared" ca="1" si="538"/>
        <v>0</v>
      </c>
      <c r="CC117" s="64"/>
      <c r="CD117" s="74" t="s">
        <v>80</v>
      </c>
      <c r="CE117" s="73">
        <f t="shared" ca="1" si="538"/>
        <v>0</v>
      </c>
      <c r="CF117" s="64"/>
      <c r="CG117" s="74" t="s">
        <v>80</v>
      </c>
      <c r="CH117" s="73">
        <f t="shared" ca="1" si="538"/>
        <v>0</v>
      </c>
      <c r="CI117" s="64"/>
      <c r="CJ117" s="74" t="s">
        <v>80</v>
      </c>
      <c r="CK117" s="73">
        <f t="shared" ref="CK117:EV117" ca="1" si="539">($M117=CJ117)*$D$12</f>
        <v>0</v>
      </c>
      <c r="CL117" s="64"/>
      <c r="CM117" s="74" t="s">
        <v>80</v>
      </c>
      <c r="CN117" s="73">
        <f t="shared" ca="1" si="539"/>
        <v>0</v>
      </c>
      <c r="CO117" s="64"/>
      <c r="CP117" s="74" t="s">
        <v>1558</v>
      </c>
      <c r="CQ117" s="73">
        <f t="shared" ca="1" si="539"/>
        <v>0</v>
      </c>
      <c r="CR117" s="64"/>
      <c r="CS117" s="74" t="s">
        <v>80</v>
      </c>
      <c r="CT117" s="73">
        <f t="shared" ca="1" si="539"/>
        <v>0</v>
      </c>
      <c r="CU117" s="64"/>
      <c r="CV117" s="74" t="s">
        <v>80</v>
      </c>
      <c r="CW117" s="73">
        <f t="shared" ca="1" si="539"/>
        <v>0</v>
      </c>
      <c r="CX117" s="64"/>
      <c r="CY117" s="74" t="s">
        <v>80</v>
      </c>
      <c r="CZ117" s="73">
        <f t="shared" ca="1" si="539"/>
        <v>0</v>
      </c>
      <c r="DA117" s="64"/>
      <c r="DB117" s="74" t="s">
        <v>80</v>
      </c>
      <c r="DC117" s="73">
        <f t="shared" ca="1" si="539"/>
        <v>0</v>
      </c>
      <c r="DD117" s="64"/>
      <c r="DE117" s="74" t="s">
        <v>80</v>
      </c>
      <c r="DF117" s="73">
        <f t="shared" ca="1" si="539"/>
        <v>0</v>
      </c>
      <c r="DG117" s="64"/>
      <c r="DH117" s="74" t="s">
        <v>80</v>
      </c>
      <c r="DI117" s="73">
        <f t="shared" ca="1" si="539"/>
        <v>0</v>
      </c>
      <c r="DJ117" s="64"/>
      <c r="DK117" s="74" t="s">
        <v>80</v>
      </c>
      <c r="DL117" s="73">
        <f t="shared" ca="1" si="539"/>
        <v>0</v>
      </c>
      <c r="DM117" s="64"/>
      <c r="DN117" s="795" t="s">
        <v>80</v>
      </c>
      <c r="DO117" s="73">
        <f t="shared" ca="1" si="539"/>
        <v>0</v>
      </c>
      <c r="DP117" s="64"/>
      <c r="DQ117" s="795" t="s">
        <v>80</v>
      </c>
      <c r="DR117" s="73">
        <f t="shared" ca="1" si="539"/>
        <v>0</v>
      </c>
      <c r="DS117" s="64"/>
      <c r="DT117" s="74" t="s">
        <v>1558</v>
      </c>
      <c r="DU117" s="73">
        <f t="shared" ca="1" si="539"/>
        <v>0</v>
      </c>
      <c r="DV117" s="64"/>
      <c r="DW117" s="74" t="s">
        <v>80</v>
      </c>
      <c r="DX117" s="73">
        <f t="shared" ca="1" si="539"/>
        <v>0</v>
      </c>
      <c r="DY117" s="64"/>
      <c r="DZ117" s="74" t="s">
        <v>80</v>
      </c>
      <c r="EA117" s="73">
        <f t="shared" ca="1" si="539"/>
        <v>0</v>
      </c>
      <c r="EB117" s="64"/>
      <c r="EC117" s="74" t="s">
        <v>80</v>
      </c>
      <c r="ED117" s="73">
        <f t="shared" ca="1" si="539"/>
        <v>0</v>
      </c>
      <c r="EE117" s="64"/>
      <c r="EF117" s="74" t="s">
        <v>1558</v>
      </c>
      <c r="EG117" s="73">
        <f t="shared" ca="1" si="539"/>
        <v>0</v>
      </c>
      <c r="EH117" s="64"/>
      <c r="EI117" s="74"/>
      <c r="EJ117" s="73">
        <f t="shared" ca="1" si="539"/>
        <v>0</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51"/>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542">($M118=S118)*$D$13</f>
        <v>0</v>
      </c>
      <c r="U118" s="64"/>
      <c r="V118" s="74" t="s">
        <v>1558</v>
      </c>
      <c r="W118" s="73">
        <f t="shared" ref="W118:CH118" ca="1" si="543">($M118=V118)*$D$13</f>
        <v>0</v>
      </c>
      <c r="X118" s="64"/>
      <c r="Y118" s="74" t="s">
        <v>1558</v>
      </c>
      <c r="Z118" s="73">
        <f t="shared" ca="1" si="543"/>
        <v>0</v>
      </c>
      <c r="AA118" s="64"/>
      <c r="AB118" s="74" t="s">
        <v>1558</v>
      </c>
      <c r="AC118" s="73">
        <f t="shared" ca="1" si="543"/>
        <v>0</v>
      </c>
      <c r="AD118" s="64"/>
      <c r="AE118" s="74" t="s">
        <v>1558</v>
      </c>
      <c r="AF118" s="73">
        <f t="shared" ca="1" si="543"/>
        <v>0</v>
      </c>
      <c r="AG118" s="64"/>
      <c r="AH118" s="74" t="s">
        <v>80</v>
      </c>
      <c r="AI118" s="73">
        <f t="shared" ca="1" si="543"/>
        <v>0</v>
      </c>
      <c r="AJ118" s="64"/>
      <c r="AK118" s="74" t="s">
        <v>1558</v>
      </c>
      <c r="AL118" s="73">
        <f t="shared" ca="1" si="543"/>
        <v>0</v>
      </c>
      <c r="AM118" s="64"/>
      <c r="AN118" s="74" t="s">
        <v>80</v>
      </c>
      <c r="AO118" s="73">
        <f t="shared" ca="1" si="543"/>
        <v>0</v>
      </c>
      <c r="AP118" s="64"/>
      <c r="AQ118" s="74" t="s">
        <v>1558</v>
      </c>
      <c r="AR118" s="73">
        <f t="shared" ca="1" si="543"/>
        <v>0</v>
      </c>
      <c r="AS118" s="64"/>
      <c r="AT118" s="74" t="s">
        <v>1558</v>
      </c>
      <c r="AU118" s="73">
        <f t="shared" ca="1" si="543"/>
        <v>0</v>
      </c>
      <c r="AV118" s="64"/>
      <c r="AW118" s="74" t="s">
        <v>80</v>
      </c>
      <c r="AX118" s="73">
        <f t="shared" ca="1" si="543"/>
        <v>0</v>
      </c>
      <c r="AY118" s="64"/>
      <c r="AZ118" s="74" t="s">
        <v>1558</v>
      </c>
      <c r="BA118" s="73">
        <f t="shared" ca="1" si="543"/>
        <v>0</v>
      </c>
      <c r="BB118" s="64"/>
      <c r="BC118" s="74" t="s">
        <v>1558</v>
      </c>
      <c r="BD118" s="73">
        <f t="shared" ca="1" si="543"/>
        <v>0</v>
      </c>
      <c r="BE118" s="64"/>
      <c r="BF118" s="74" t="s">
        <v>1558</v>
      </c>
      <c r="BG118" s="73">
        <f t="shared" ca="1" si="543"/>
        <v>0</v>
      </c>
      <c r="BH118" s="64"/>
      <c r="BI118" s="74" t="s">
        <v>1558</v>
      </c>
      <c r="BJ118" s="73">
        <f t="shared" ca="1" si="543"/>
        <v>0</v>
      </c>
      <c r="BK118" s="64"/>
      <c r="BL118" s="74" t="s">
        <v>1558</v>
      </c>
      <c r="BM118" s="73">
        <f t="shared" ca="1" si="543"/>
        <v>0</v>
      </c>
      <c r="BN118" s="64"/>
      <c r="BO118" s="74" t="s">
        <v>80</v>
      </c>
      <c r="BP118" s="73">
        <f t="shared" ca="1" si="543"/>
        <v>0</v>
      </c>
      <c r="BQ118" s="64"/>
      <c r="BR118" s="74" t="s">
        <v>1558</v>
      </c>
      <c r="BS118" s="73">
        <f t="shared" ca="1" si="543"/>
        <v>0</v>
      </c>
      <c r="BT118" s="64"/>
      <c r="BU118" s="74" t="s">
        <v>1558</v>
      </c>
      <c r="BV118" s="73">
        <f t="shared" ca="1" si="543"/>
        <v>0</v>
      </c>
      <c r="BW118" s="64"/>
      <c r="BX118" s="74" t="s">
        <v>80</v>
      </c>
      <c r="BY118" s="73">
        <f t="shared" ca="1" si="543"/>
        <v>0</v>
      </c>
      <c r="BZ118" s="64"/>
      <c r="CA118" s="74" t="s">
        <v>1558</v>
      </c>
      <c r="CB118" s="73">
        <f t="shared" ca="1" si="543"/>
        <v>0</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0</v>
      </c>
      <c r="CO118" s="64"/>
      <c r="CP118" s="74" t="s">
        <v>80</v>
      </c>
      <c r="CQ118" s="73">
        <f t="shared" ca="1" si="544"/>
        <v>0</v>
      </c>
      <c r="CR118" s="64"/>
      <c r="CS118" s="74" t="s">
        <v>1558</v>
      </c>
      <c r="CT118" s="73">
        <f t="shared" ca="1" si="544"/>
        <v>0</v>
      </c>
      <c r="CU118" s="64"/>
      <c r="CV118" s="74" t="s">
        <v>1558</v>
      </c>
      <c r="CW118" s="73">
        <f t="shared" ca="1" si="544"/>
        <v>0</v>
      </c>
      <c r="CX118" s="64"/>
      <c r="CY118" s="74" t="s">
        <v>1558</v>
      </c>
      <c r="CZ118" s="73">
        <f t="shared" ca="1" si="544"/>
        <v>0</v>
      </c>
      <c r="DA118" s="64"/>
      <c r="DB118" s="74" t="s">
        <v>1558</v>
      </c>
      <c r="DC118" s="73">
        <f t="shared" ca="1" si="544"/>
        <v>0</v>
      </c>
      <c r="DD118" s="64"/>
      <c r="DE118" s="74" t="s">
        <v>1558</v>
      </c>
      <c r="DF118" s="73">
        <f t="shared" ca="1" si="544"/>
        <v>0</v>
      </c>
      <c r="DG118" s="64"/>
      <c r="DH118" s="74" t="s">
        <v>1558</v>
      </c>
      <c r="DI118" s="73">
        <f t="shared" ca="1" si="544"/>
        <v>0</v>
      </c>
      <c r="DJ118" s="64"/>
      <c r="DK118" s="74" t="s">
        <v>1558</v>
      </c>
      <c r="DL118" s="73">
        <f t="shared" ca="1" si="544"/>
        <v>0</v>
      </c>
      <c r="DM118" s="64"/>
      <c r="DN118" s="795" t="s">
        <v>1558</v>
      </c>
      <c r="DO118" s="73">
        <f t="shared" ca="1" si="544"/>
        <v>0</v>
      </c>
      <c r="DP118" s="64"/>
      <c r="DQ118" s="795" t="s">
        <v>1558</v>
      </c>
      <c r="DR118" s="73">
        <f t="shared" ca="1" si="544"/>
        <v>0</v>
      </c>
      <c r="DS118" s="64"/>
      <c r="DT118" s="74" t="s">
        <v>80</v>
      </c>
      <c r="DU118" s="73">
        <f t="shared" ca="1" si="544"/>
        <v>0</v>
      </c>
      <c r="DV118" s="64"/>
      <c r="DW118" s="74" t="s">
        <v>1558</v>
      </c>
      <c r="DX118" s="73">
        <f t="shared" ca="1" si="544"/>
        <v>0</v>
      </c>
      <c r="DY118" s="64"/>
      <c r="DZ118" s="74" t="s">
        <v>1558</v>
      </c>
      <c r="EA118" s="73">
        <f t="shared" ca="1" si="544"/>
        <v>0</v>
      </c>
      <c r="EB118" s="64"/>
      <c r="EC118" s="74" t="s">
        <v>1558</v>
      </c>
      <c r="ED118" s="73">
        <f t="shared" ca="1" si="544"/>
        <v>0</v>
      </c>
      <c r="EE118" s="64"/>
      <c r="EF118" s="74" t="s">
        <v>80</v>
      </c>
      <c r="EG118" s="73">
        <f t="shared" ca="1" si="544"/>
        <v>0</v>
      </c>
      <c r="EH118" s="64"/>
      <c r="EI118" s="74"/>
      <c r="EJ118" s="73">
        <f t="shared" ca="1" si="544"/>
        <v>0</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51"/>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547">($M119=S119)*$D$14</f>
        <v>0</v>
      </c>
      <c r="U119" s="64"/>
      <c r="V119" s="74" t="s">
        <v>1264</v>
      </c>
      <c r="W119" s="73">
        <f t="shared" ref="W119:CH119" ca="1" si="548">($M119=V119)*$D$14</f>
        <v>0</v>
      </c>
      <c r="X119" s="64"/>
      <c r="Y119" s="74" t="s">
        <v>1264</v>
      </c>
      <c r="Z119" s="73">
        <f t="shared" ca="1" si="548"/>
        <v>0</v>
      </c>
      <c r="AA119" s="64"/>
      <c r="AB119" s="74" t="s">
        <v>1264</v>
      </c>
      <c r="AC119" s="73">
        <f t="shared" ca="1" si="548"/>
        <v>0</v>
      </c>
      <c r="AD119" s="64"/>
      <c r="AE119" s="74" t="s">
        <v>1264</v>
      </c>
      <c r="AF119" s="73">
        <f t="shared" ca="1" si="548"/>
        <v>0</v>
      </c>
      <c r="AG119" s="64"/>
      <c r="AH119" s="74" t="s">
        <v>1264</v>
      </c>
      <c r="AI119" s="73">
        <f t="shared" ca="1" si="548"/>
        <v>0</v>
      </c>
      <c r="AJ119" s="64"/>
      <c r="AK119" s="74" t="s">
        <v>1264</v>
      </c>
      <c r="AL119" s="73">
        <f t="shared" ca="1" si="548"/>
        <v>0</v>
      </c>
      <c r="AM119" s="64"/>
      <c r="AN119" s="74" t="s">
        <v>1264</v>
      </c>
      <c r="AO119" s="73">
        <f t="shared" ca="1" si="548"/>
        <v>0</v>
      </c>
      <c r="AP119" s="64"/>
      <c r="AQ119" s="74" t="s">
        <v>1264</v>
      </c>
      <c r="AR119" s="73">
        <f t="shared" ca="1" si="548"/>
        <v>0</v>
      </c>
      <c r="AS119" s="64"/>
      <c r="AT119" s="74" t="s">
        <v>1264</v>
      </c>
      <c r="AU119" s="73">
        <f t="shared" ca="1" si="548"/>
        <v>0</v>
      </c>
      <c r="AV119" s="64"/>
      <c r="AW119" s="74" t="s">
        <v>1264</v>
      </c>
      <c r="AX119" s="73">
        <f t="shared" ca="1" si="548"/>
        <v>0</v>
      </c>
      <c r="AY119" s="64"/>
      <c r="AZ119" s="74" t="s">
        <v>1264</v>
      </c>
      <c r="BA119" s="73">
        <f t="shared" ca="1" si="548"/>
        <v>0</v>
      </c>
      <c r="BB119" s="64"/>
      <c r="BC119" s="74" t="s">
        <v>1264</v>
      </c>
      <c r="BD119" s="73">
        <f t="shared" ca="1" si="548"/>
        <v>0</v>
      </c>
      <c r="BE119" s="64"/>
      <c r="BF119" s="74" t="s">
        <v>1264</v>
      </c>
      <c r="BG119" s="73">
        <f t="shared" ca="1" si="548"/>
        <v>0</v>
      </c>
      <c r="BH119" s="64"/>
      <c r="BI119" s="74" t="s">
        <v>1264</v>
      </c>
      <c r="BJ119" s="73">
        <f t="shared" ca="1" si="548"/>
        <v>0</v>
      </c>
      <c r="BK119" s="64"/>
      <c r="BL119" s="74" t="s">
        <v>1264</v>
      </c>
      <c r="BM119" s="73">
        <f t="shared" ca="1" si="548"/>
        <v>0</v>
      </c>
      <c r="BN119" s="64"/>
      <c r="BO119" s="74" t="s">
        <v>1264</v>
      </c>
      <c r="BP119" s="73">
        <f t="shared" ca="1" si="548"/>
        <v>0</v>
      </c>
      <c r="BQ119" s="64"/>
      <c r="BR119" s="74" t="s">
        <v>1264</v>
      </c>
      <c r="BS119" s="73">
        <f t="shared" ca="1" si="548"/>
        <v>0</v>
      </c>
      <c r="BT119" s="64"/>
      <c r="BU119" s="74" t="s">
        <v>1264</v>
      </c>
      <c r="BV119" s="73">
        <f t="shared" ca="1" si="548"/>
        <v>0</v>
      </c>
      <c r="BW119" s="64"/>
      <c r="BX119" s="74" t="s">
        <v>1264</v>
      </c>
      <c r="BY119" s="73">
        <f t="shared" ca="1" si="548"/>
        <v>0</v>
      </c>
      <c r="BZ119" s="64"/>
      <c r="CA119" s="74" t="s">
        <v>1264</v>
      </c>
      <c r="CB119" s="73">
        <f t="shared" ca="1" si="548"/>
        <v>0</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0</v>
      </c>
      <c r="CO119" s="64"/>
      <c r="CP119" s="74" t="s">
        <v>1264</v>
      </c>
      <c r="CQ119" s="73">
        <f t="shared" ca="1" si="549"/>
        <v>0</v>
      </c>
      <c r="CR119" s="64"/>
      <c r="CS119" s="74" t="s">
        <v>1264</v>
      </c>
      <c r="CT119" s="73">
        <f t="shared" ca="1" si="549"/>
        <v>0</v>
      </c>
      <c r="CU119" s="64"/>
      <c r="CV119" s="74" t="s">
        <v>1264</v>
      </c>
      <c r="CW119" s="73">
        <f t="shared" ca="1" si="549"/>
        <v>0</v>
      </c>
      <c r="CX119" s="64"/>
      <c r="CY119" s="74" t="s">
        <v>1264</v>
      </c>
      <c r="CZ119" s="73">
        <f t="shared" ca="1" si="549"/>
        <v>0</v>
      </c>
      <c r="DA119" s="64"/>
      <c r="DB119" s="74" t="s">
        <v>1264</v>
      </c>
      <c r="DC119" s="73">
        <f t="shared" ca="1" si="549"/>
        <v>0</v>
      </c>
      <c r="DD119" s="64"/>
      <c r="DE119" s="74" t="s">
        <v>1264</v>
      </c>
      <c r="DF119" s="73">
        <f t="shared" ca="1" si="549"/>
        <v>0</v>
      </c>
      <c r="DG119" s="64"/>
      <c r="DH119" s="74" t="s">
        <v>1264</v>
      </c>
      <c r="DI119" s="73">
        <f t="shared" ca="1" si="549"/>
        <v>0</v>
      </c>
      <c r="DJ119" s="64"/>
      <c r="DK119" s="74" t="s">
        <v>1264</v>
      </c>
      <c r="DL119" s="73">
        <f t="shared" ca="1" si="549"/>
        <v>0</v>
      </c>
      <c r="DM119" s="64"/>
      <c r="DN119" s="795" t="s">
        <v>1264</v>
      </c>
      <c r="DO119" s="73">
        <f t="shared" ca="1" si="549"/>
        <v>0</v>
      </c>
      <c r="DP119" s="64"/>
      <c r="DQ119" s="795" t="s">
        <v>1264</v>
      </c>
      <c r="DR119" s="73">
        <f t="shared" ca="1" si="549"/>
        <v>0</v>
      </c>
      <c r="DS119" s="64"/>
      <c r="DT119" s="74" t="s">
        <v>1264</v>
      </c>
      <c r="DU119" s="73">
        <f t="shared" ca="1" si="549"/>
        <v>0</v>
      </c>
      <c r="DV119" s="64"/>
      <c r="DW119" s="74" t="s">
        <v>1264</v>
      </c>
      <c r="DX119" s="73">
        <f t="shared" ca="1" si="549"/>
        <v>0</v>
      </c>
      <c r="DY119" s="64"/>
      <c r="DZ119" s="74" t="s">
        <v>1264</v>
      </c>
      <c r="EA119" s="73">
        <f t="shared" ca="1" si="549"/>
        <v>0</v>
      </c>
      <c r="EB119" s="64"/>
      <c r="EC119" s="74" t="s">
        <v>1264</v>
      </c>
      <c r="ED119" s="73">
        <f t="shared" ca="1" si="549"/>
        <v>0</v>
      </c>
      <c r="EE119" s="64"/>
      <c r="EF119" s="74" t="s">
        <v>1264</v>
      </c>
      <c r="EG119" s="73">
        <f t="shared" ca="1" si="549"/>
        <v>0</v>
      </c>
      <c r="EH119" s="64"/>
      <c r="EI119" s="74"/>
      <c r="EJ119" s="73">
        <f t="shared" ca="1" si="549"/>
        <v>0</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2" t="s">
        <v>439</v>
      </c>
      <c r="K120" s="56" t="str">
        <f>Idiomas!D190</f>
        <v>1º GRUPO K</v>
      </c>
      <c r="L120" s="53"/>
      <c r="M120" s="55" t="str">
        <f ca="1">IF(OR(SUM(WORLDCUP!$AN$86:$AN$89)=12,WORLDCUP!$AJ$99=144),WORLDCUP!AL86,LEFT(K120,1)&amp;RIGHT(K120,1))</f>
        <v>1K</v>
      </c>
      <c r="N120" s="25"/>
      <c r="O120" s="25"/>
      <c r="P120" s="25"/>
      <c r="Q120" s="25"/>
      <c r="R120" s="110"/>
      <c r="S120" s="74" t="s">
        <v>1320</v>
      </c>
      <c r="T120" s="73">
        <f t="shared" ref="T120" ca="1" si="552">($M120=S120)*$D$11</f>
        <v>0</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0</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0</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0</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2"/>
      <c r="K121" s="56" t="str">
        <f>Idiomas!D191</f>
        <v>2º GRUPO K</v>
      </c>
      <c r="L121" s="53"/>
      <c r="M121" s="55" t="str">
        <f ca="1">IF(OR(SUM(WORLDCUP!$AN$86:$AN$89)=12,WORLDCUP!$AJ$99=144),WORLDCUP!AL87,LEFT(K121,1)&amp;RIGHT(K121,1))</f>
        <v>2K</v>
      </c>
      <c r="N121" s="25"/>
      <c r="O121" s="25"/>
      <c r="P121" s="25"/>
      <c r="Q121" s="25"/>
      <c r="R121" s="110"/>
      <c r="S121" s="74" t="s">
        <v>79</v>
      </c>
      <c r="T121" s="73">
        <f t="shared" ref="T121" ca="1" si="557">($M121=S121)*$D$12</f>
        <v>0</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0</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0</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0</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2"/>
      <c r="K122" s="56" t="str">
        <f>Idiomas!D192</f>
        <v>3º GRUPO K</v>
      </c>
      <c r="L122" s="53"/>
      <c r="M122" s="55" t="str">
        <f ca="1">IF(OR(SUM(WORLDCUP!$AN$86:$AN$89)=12,WORLDCUP!$AJ$99=144),WORLDCUP!AL88,LEFT(K122,1)&amp;RIGHT(K122,1))</f>
        <v>3K</v>
      </c>
      <c r="N122" s="25"/>
      <c r="O122" s="25"/>
      <c r="P122" s="25"/>
      <c r="Q122" s="25"/>
      <c r="R122" s="110"/>
      <c r="S122" s="74" t="s">
        <v>1839</v>
      </c>
      <c r="T122" s="73">
        <f t="shared" ref="T122" ca="1" si="562">($M122=S122)*$D$13</f>
        <v>0</v>
      </c>
      <c r="U122" s="64"/>
      <c r="V122" s="74" t="s">
        <v>1839</v>
      </c>
      <c r="W122" s="73">
        <f t="shared" ref="W122:CH122" ca="1" si="563">($M122=V122)*$D$13</f>
        <v>0</v>
      </c>
      <c r="X122" s="64"/>
      <c r="Y122" s="74" t="s">
        <v>1267</v>
      </c>
      <c r="Z122" s="73">
        <f t="shared" ca="1" si="563"/>
        <v>0</v>
      </c>
      <c r="AA122" s="64"/>
      <c r="AB122" s="74" t="s">
        <v>1839</v>
      </c>
      <c r="AC122" s="73">
        <f t="shared" ca="1" si="563"/>
        <v>0</v>
      </c>
      <c r="AD122" s="64"/>
      <c r="AE122" s="74" t="s">
        <v>1267</v>
      </c>
      <c r="AF122" s="73">
        <f t="shared" ca="1" si="563"/>
        <v>0</v>
      </c>
      <c r="AG122" s="64"/>
      <c r="AH122" s="74" t="s">
        <v>1839</v>
      </c>
      <c r="AI122" s="73">
        <f t="shared" ca="1" si="563"/>
        <v>0</v>
      </c>
      <c r="AJ122" s="64"/>
      <c r="AK122" s="74" t="s">
        <v>1839</v>
      </c>
      <c r="AL122" s="73">
        <f t="shared" ca="1" si="563"/>
        <v>0</v>
      </c>
      <c r="AM122" s="64"/>
      <c r="AN122" s="74" t="s">
        <v>1839</v>
      </c>
      <c r="AO122" s="73">
        <f t="shared" ca="1" si="563"/>
        <v>0</v>
      </c>
      <c r="AP122" s="64"/>
      <c r="AQ122" s="74" t="s">
        <v>1839</v>
      </c>
      <c r="AR122" s="73">
        <f t="shared" ca="1" si="563"/>
        <v>0</v>
      </c>
      <c r="AS122" s="64"/>
      <c r="AT122" s="74" t="s">
        <v>1839</v>
      </c>
      <c r="AU122" s="73">
        <f t="shared" ca="1" si="563"/>
        <v>0</v>
      </c>
      <c r="AV122" s="64"/>
      <c r="AW122" s="74" t="s">
        <v>1320</v>
      </c>
      <c r="AX122" s="73">
        <f t="shared" ca="1" si="563"/>
        <v>0</v>
      </c>
      <c r="AY122" s="64"/>
      <c r="AZ122" s="74" t="s">
        <v>1839</v>
      </c>
      <c r="BA122" s="73">
        <f t="shared" ca="1" si="563"/>
        <v>0</v>
      </c>
      <c r="BB122" s="64"/>
      <c r="BC122" s="74" t="s">
        <v>1839</v>
      </c>
      <c r="BD122" s="73">
        <f t="shared" ca="1" si="563"/>
        <v>0</v>
      </c>
      <c r="BE122" s="64"/>
      <c r="BF122" s="74" t="s">
        <v>1839</v>
      </c>
      <c r="BG122" s="73">
        <f t="shared" ca="1" si="563"/>
        <v>0</v>
      </c>
      <c r="BH122" s="64"/>
      <c r="BI122" s="74" t="s">
        <v>1267</v>
      </c>
      <c r="BJ122" s="73">
        <f t="shared" ca="1" si="563"/>
        <v>0</v>
      </c>
      <c r="BK122" s="64"/>
      <c r="BL122" s="74" t="s">
        <v>1839</v>
      </c>
      <c r="BM122" s="73">
        <f t="shared" ca="1" si="563"/>
        <v>0</v>
      </c>
      <c r="BN122" s="64"/>
      <c r="BO122" s="74" t="s">
        <v>1267</v>
      </c>
      <c r="BP122" s="73">
        <f t="shared" ca="1" si="563"/>
        <v>0</v>
      </c>
      <c r="BQ122" s="64"/>
      <c r="BR122" s="74" t="s">
        <v>1839</v>
      </c>
      <c r="BS122" s="73">
        <f t="shared" ca="1" si="563"/>
        <v>0</v>
      </c>
      <c r="BT122" s="64"/>
      <c r="BU122" s="74" t="s">
        <v>1839</v>
      </c>
      <c r="BV122" s="73">
        <f t="shared" ca="1" si="563"/>
        <v>0</v>
      </c>
      <c r="BW122" s="64"/>
      <c r="BX122" s="74" t="s">
        <v>1839</v>
      </c>
      <c r="BY122" s="73">
        <f t="shared" ca="1" si="563"/>
        <v>0</v>
      </c>
      <c r="BZ122" s="64"/>
      <c r="CA122" s="74" t="s">
        <v>1839</v>
      </c>
      <c r="CB122" s="73">
        <f t="shared" ca="1" si="563"/>
        <v>0</v>
      </c>
      <c r="CC122" s="64"/>
      <c r="CD122" s="74" t="s">
        <v>1839</v>
      </c>
      <c r="CE122" s="73">
        <f t="shared" ca="1" si="563"/>
        <v>0</v>
      </c>
      <c r="CF122" s="64"/>
      <c r="CG122" s="74" t="s">
        <v>1839</v>
      </c>
      <c r="CH122" s="73">
        <f t="shared" ca="1" si="563"/>
        <v>0</v>
      </c>
      <c r="CI122" s="64"/>
      <c r="CJ122" s="74" t="s">
        <v>1267</v>
      </c>
      <c r="CK122" s="73">
        <f t="shared" ref="CK122:EV122" ca="1" si="564">($M122=CJ122)*$D$13</f>
        <v>0</v>
      </c>
      <c r="CL122" s="64"/>
      <c r="CM122" s="74" t="s">
        <v>1839</v>
      </c>
      <c r="CN122" s="73">
        <f t="shared" ca="1" si="564"/>
        <v>0</v>
      </c>
      <c r="CO122" s="64"/>
      <c r="CP122" s="74" t="s">
        <v>1839</v>
      </c>
      <c r="CQ122" s="73">
        <f t="shared" ca="1" si="564"/>
        <v>0</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0</v>
      </c>
      <c r="DD122" s="64"/>
      <c r="DE122" s="74" t="s">
        <v>1839</v>
      </c>
      <c r="DF122" s="73">
        <f t="shared" ca="1" si="564"/>
        <v>0</v>
      </c>
      <c r="DG122" s="64"/>
      <c r="DH122" s="74" t="s">
        <v>1267</v>
      </c>
      <c r="DI122" s="73">
        <f t="shared" ca="1" si="564"/>
        <v>0</v>
      </c>
      <c r="DJ122" s="64"/>
      <c r="DK122" s="74" t="s">
        <v>1267</v>
      </c>
      <c r="DL122" s="73">
        <f t="shared" ca="1" si="564"/>
        <v>0</v>
      </c>
      <c r="DM122" s="64"/>
      <c r="DN122" s="795" t="s">
        <v>1839</v>
      </c>
      <c r="DO122" s="73">
        <f t="shared" ca="1" si="564"/>
        <v>0</v>
      </c>
      <c r="DP122" s="64"/>
      <c r="DQ122" s="795" t="s">
        <v>1267</v>
      </c>
      <c r="DR122" s="73">
        <f t="shared" ca="1" si="564"/>
        <v>0</v>
      </c>
      <c r="DS122" s="64"/>
      <c r="DT122" s="74" t="s">
        <v>1267</v>
      </c>
      <c r="DU122" s="73">
        <f t="shared" ca="1" si="564"/>
        <v>0</v>
      </c>
      <c r="DV122" s="64"/>
      <c r="DW122" s="74" t="s">
        <v>1839</v>
      </c>
      <c r="DX122" s="73">
        <f t="shared" ca="1" si="564"/>
        <v>0</v>
      </c>
      <c r="DY122" s="64"/>
      <c r="DZ122" s="74" t="s">
        <v>1839</v>
      </c>
      <c r="EA122" s="73">
        <f t="shared" ca="1" si="564"/>
        <v>0</v>
      </c>
      <c r="EB122" s="64"/>
      <c r="EC122" s="74" t="s">
        <v>1267</v>
      </c>
      <c r="ED122" s="73">
        <f t="shared" ca="1" si="564"/>
        <v>0</v>
      </c>
      <c r="EE122" s="64"/>
      <c r="EF122" s="74" t="s">
        <v>1267</v>
      </c>
      <c r="EG122" s="73">
        <f t="shared" ca="1" si="564"/>
        <v>0</v>
      </c>
      <c r="EH122" s="64"/>
      <c r="EI122" s="74"/>
      <c r="EJ122" s="73">
        <f t="shared" ca="1" si="564"/>
        <v>0</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2"/>
      <c r="K123" s="56" t="str">
        <f>Idiomas!D193</f>
        <v>4º GRUPO K</v>
      </c>
      <c r="L123" s="53"/>
      <c r="M123" s="55" t="str">
        <f ca="1">IF(OR(SUM(WORLDCUP!$AN$86:$AN$89)=12,WORLDCUP!$AJ$99=144),WORLDCUP!AL89,LEFT(K123,1)&amp;RIGHT(K123,1))</f>
        <v>4K</v>
      </c>
      <c r="N123" s="25"/>
      <c r="O123" s="25"/>
      <c r="P123" s="25"/>
      <c r="Q123" s="25"/>
      <c r="R123" s="110"/>
      <c r="S123" s="74" t="s">
        <v>1267</v>
      </c>
      <c r="T123" s="73">
        <f t="shared" ref="T123" ca="1" si="567">($M123=S123)*$D$14</f>
        <v>0</v>
      </c>
      <c r="U123" s="64"/>
      <c r="V123" s="74" t="s">
        <v>1267</v>
      </c>
      <c r="W123" s="73">
        <f t="shared" ref="W123:CH123" ca="1" si="568">($M123=V123)*$D$14</f>
        <v>0</v>
      </c>
      <c r="X123" s="64"/>
      <c r="Y123" s="74" t="s">
        <v>1839</v>
      </c>
      <c r="Z123" s="73">
        <f t="shared" ca="1" si="568"/>
        <v>0</v>
      </c>
      <c r="AA123" s="64"/>
      <c r="AB123" s="74" t="s">
        <v>1267</v>
      </c>
      <c r="AC123" s="73">
        <f t="shared" ca="1" si="568"/>
        <v>0</v>
      </c>
      <c r="AD123" s="64"/>
      <c r="AE123" s="74" t="s">
        <v>1839</v>
      </c>
      <c r="AF123" s="73">
        <f t="shared" ca="1" si="568"/>
        <v>0</v>
      </c>
      <c r="AG123" s="64"/>
      <c r="AH123" s="74" t="s">
        <v>1267</v>
      </c>
      <c r="AI123" s="73">
        <f t="shared" ca="1" si="568"/>
        <v>0</v>
      </c>
      <c r="AJ123" s="64"/>
      <c r="AK123" s="74" t="s">
        <v>1267</v>
      </c>
      <c r="AL123" s="73">
        <f t="shared" ca="1" si="568"/>
        <v>0</v>
      </c>
      <c r="AM123" s="64"/>
      <c r="AN123" s="74" t="s">
        <v>1267</v>
      </c>
      <c r="AO123" s="73">
        <f t="shared" ca="1" si="568"/>
        <v>0</v>
      </c>
      <c r="AP123" s="64"/>
      <c r="AQ123" s="74" t="s">
        <v>1267</v>
      </c>
      <c r="AR123" s="73">
        <f t="shared" ca="1" si="568"/>
        <v>0</v>
      </c>
      <c r="AS123" s="64"/>
      <c r="AT123" s="74" t="s">
        <v>1267</v>
      </c>
      <c r="AU123" s="73">
        <f t="shared" ca="1" si="568"/>
        <v>0</v>
      </c>
      <c r="AV123" s="64"/>
      <c r="AW123" s="74" t="s">
        <v>1267</v>
      </c>
      <c r="AX123" s="73">
        <f t="shared" ca="1" si="568"/>
        <v>0</v>
      </c>
      <c r="AY123" s="64"/>
      <c r="AZ123" s="74" t="s">
        <v>1267</v>
      </c>
      <c r="BA123" s="73">
        <f t="shared" ca="1" si="568"/>
        <v>0</v>
      </c>
      <c r="BB123" s="64"/>
      <c r="BC123" s="74" t="s">
        <v>1267</v>
      </c>
      <c r="BD123" s="73">
        <f t="shared" ca="1" si="568"/>
        <v>0</v>
      </c>
      <c r="BE123" s="64"/>
      <c r="BF123" s="74" t="s">
        <v>1267</v>
      </c>
      <c r="BG123" s="73">
        <f t="shared" ca="1" si="568"/>
        <v>0</v>
      </c>
      <c r="BH123" s="64"/>
      <c r="BI123" s="74" t="s">
        <v>1839</v>
      </c>
      <c r="BJ123" s="73">
        <f t="shared" ca="1" si="568"/>
        <v>0</v>
      </c>
      <c r="BK123" s="64"/>
      <c r="BL123" s="74" t="s">
        <v>1267</v>
      </c>
      <c r="BM123" s="73">
        <f t="shared" ca="1" si="568"/>
        <v>0</v>
      </c>
      <c r="BN123" s="64"/>
      <c r="BO123" s="74" t="s">
        <v>1839</v>
      </c>
      <c r="BP123" s="73">
        <f t="shared" ca="1" si="568"/>
        <v>0</v>
      </c>
      <c r="BQ123" s="64"/>
      <c r="BR123" s="74" t="s">
        <v>1267</v>
      </c>
      <c r="BS123" s="73">
        <f t="shared" ca="1" si="568"/>
        <v>0</v>
      </c>
      <c r="BT123" s="64"/>
      <c r="BU123" s="74" t="s">
        <v>1267</v>
      </c>
      <c r="BV123" s="73">
        <f t="shared" ca="1" si="568"/>
        <v>0</v>
      </c>
      <c r="BW123" s="64"/>
      <c r="BX123" s="74" t="s">
        <v>1267</v>
      </c>
      <c r="BY123" s="73">
        <f t="shared" ca="1" si="568"/>
        <v>0</v>
      </c>
      <c r="BZ123" s="64"/>
      <c r="CA123" s="74" t="s">
        <v>1267</v>
      </c>
      <c r="CB123" s="73">
        <f t="shared" ca="1" si="568"/>
        <v>0</v>
      </c>
      <c r="CC123" s="64"/>
      <c r="CD123" s="74" t="s">
        <v>1267</v>
      </c>
      <c r="CE123" s="73">
        <f t="shared" ca="1" si="568"/>
        <v>0</v>
      </c>
      <c r="CF123" s="64"/>
      <c r="CG123" s="74" t="s">
        <v>1267</v>
      </c>
      <c r="CH123" s="73">
        <f t="shared" ca="1" si="568"/>
        <v>0</v>
      </c>
      <c r="CI123" s="64"/>
      <c r="CJ123" s="74" t="s">
        <v>1839</v>
      </c>
      <c r="CK123" s="73">
        <f t="shared" ref="CK123:EV123" ca="1" si="569">($M123=CJ123)*$D$14</f>
        <v>0</v>
      </c>
      <c r="CL123" s="64"/>
      <c r="CM123" s="74" t="s">
        <v>1267</v>
      </c>
      <c r="CN123" s="73">
        <f t="shared" ca="1" si="569"/>
        <v>0</v>
      </c>
      <c r="CO123" s="64"/>
      <c r="CP123" s="74" t="s">
        <v>1267</v>
      </c>
      <c r="CQ123" s="73">
        <f t="shared" ca="1" si="569"/>
        <v>0</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0</v>
      </c>
      <c r="DD123" s="64"/>
      <c r="DE123" s="74" t="s">
        <v>1267</v>
      </c>
      <c r="DF123" s="73">
        <f t="shared" ca="1" si="569"/>
        <v>0</v>
      </c>
      <c r="DG123" s="64"/>
      <c r="DH123" s="74" t="s">
        <v>1839</v>
      </c>
      <c r="DI123" s="73">
        <f t="shared" ca="1" si="569"/>
        <v>0</v>
      </c>
      <c r="DJ123" s="64"/>
      <c r="DK123" s="74" t="s">
        <v>1839</v>
      </c>
      <c r="DL123" s="73">
        <f t="shared" ca="1" si="569"/>
        <v>0</v>
      </c>
      <c r="DM123" s="64"/>
      <c r="DN123" s="795" t="s">
        <v>1267</v>
      </c>
      <c r="DO123" s="73">
        <f t="shared" ca="1" si="569"/>
        <v>0</v>
      </c>
      <c r="DP123" s="64"/>
      <c r="DQ123" s="795" t="s">
        <v>1839</v>
      </c>
      <c r="DR123" s="73">
        <f t="shared" ca="1" si="569"/>
        <v>0</v>
      </c>
      <c r="DS123" s="64"/>
      <c r="DT123" s="74" t="s">
        <v>1839</v>
      </c>
      <c r="DU123" s="73">
        <f t="shared" ca="1" si="569"/>
        <v>0</v>
      </c>
      <c r="DV123" s="64"/>
      <c r="DW123" s="74" t="s">
        <v>1267</v>
      </c>
      <c r="DX123" s="73">
        <f t="shared" ca="1" si="569"/>
        <v>0</v>
      </c>
      <c r="DY123" s="64"/>
      <c r="DZ123" s="74" t="s">
        <v>1267</v>
      </c>
      <c r="EA123" s="73">
        <f t="shared" ca="1" si="569"/>
        <v>0</v>
      </c>
      <c r="EB123" s="64"/>
      <c r="EC123" s="74" t="s">
        <v>1839</v>
      </c>
      <c r="ED123" s="73">
        <f t="shared" ca="1" si="569"/>
        <v>0</v>
      </c>
      <c r="EE123" s="64"/>
      <c r="EF123" s="74" t="s">
        <v>1839</v>
      </c>
      <c r="EG123" s="73">
        <f t="shared" ca="1" si="569"/>
        <v>0</v>
      </c>
      <c r="EH123" s="64"/>
      <c r="EI123" s="74"/>
      <c r="EJ123" s="73">
        <f t="shared" ca="1" si="569"/>
        <v>0</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51"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572">($M124=S124)*$D$11</f>
        <v>0</v>
      </c>
      <c r="U124" s="64"/>
      <c r="V124" s="74" t="s">
        <v>76</v>
      </c>
      <c r="W124" s="73">
        <f t="shared" ref="W124:CH124" ca="1" si="573">($M124=V124)*$D$11</f>
        <v>0</v>
      </c>
      <c r="X124" s="64"/>
      <c r="Y124" s="74" t="s">
        <v>76</v>
      </c>
      <c r="Z124" s="73">
        <f t="shared" ca="1" si="573"/>
        <v>0</v>
      </c>
      <c r="AA124" s="64"/>
      <c r="AB124" s="74" t="s">
        <v>76</v>
      </c>
      <c r="AC124" s="73">
        <f t="shared" ca="1" si="573"/>
        <v>0</v>
      </c>
      <c r="AD124" s="64"/>
      <c r="AE124" s="74" t="s">
        <v>76</v>
      </c>
      <c r="AF124" s="73">
        <f t="shared" ca="1" si="573"/>
        <v>0</v>
      </c>
      <c r="AG124" s="64"/>
      <c r="AH124" s="74" t="s">
        <v>78</v>
      </c>
      <c r="AI124" s="73">
        <f t="shared" ca="1" si="573"/>
        <v>0</v>
      </c>
      <c r="AJ124" s="64"/>
      <c r="AK124" s="74" t="s">
        <v>76</v>
      </c>
      <c r="AL124" s="73">
        <f t="shared" ca="1" si="573"/>
        <v>0</v>
      </c>
      <c r="AM124" s="64"/>
      <c r="AN124" s="74" t="s">
        <v>76</v>
      </c>
      <c r="AO124" s="73">
        <f t="shared" ca="1" si="573"/>
        <v>0</v>
      </c>
      <c r="AP124" s="64"/>
      <c r="AQ124" s="74" t="s">
        <v>76</v>
      </c>
      <c r="AR124" s="73">
        <f t="shared" ca="1" si="573"/>
        <v>0</v>
      </c>
      <c r="AS124" s="64"/>
      <c r="AT124" s="74" t="s">
        <v>76</v>
      </c>
      <c r="AU124" s="73">
        <f t="shared" ca="1" si="573"/>
        <v>0</v>
      </c>
      <c r="AV124" s="64"/>
      <c r="AW124" s="74" t="s">
        <v>76</v>
      </c>
      <c r="AX124" s="73">
        <f t="shared" ca="1" si="573"/>
        <v>0</v>
      </c>
      <c r="AY124" s="64"/>
      <c r="AZ124" s="74" t="s">
        <v>76</v>
      </c>
      <c r="BA124" s="73">
        <f t="shared" ca="1" si="573"/>
        <v>0</v>
      </c>
      <c r="BB124" s="64"/>
      <c r="BC124" s="74" t="s">
        <v>78</v>
      </c>
      <c r="BD124" s="73">
        <f t="shared" ca="1" si="573"/>
        <v>0</v>
      </c>
      <c r="BE124" s="64"/>
      <c r="BF124" s="74" t="s">
        <v>76</v>
      </c>
      <c r="BG124" s="73">
        <f t="shared" ca="1" si="573"/>
        <v>0</v>
      </c>
      <c r="BH124" s="64"/>
      <c r="BI124" s="74" t="s">
        <v>76</v>
      </c>
      <c r="BJ124" s="73">
        <f t="shared" ca="1" si="573"/>
        <v>0</v>
      </c>
      <c r="BK124" s="64"/>
      <c r="BL124" s="74" t="s">
        <v>76</v>
      </c>
      <c r="BM124" s="73">
        <f t="shared" ca="1" si="573"/>
        <v>0</v>
      </c>
      <c r="BN124" s="64"/>
      <c r="BO124" s="74" t="s">
        <v>76</v>
      </c>
      <c r="BP124" s="73">
        <f t="shared" ca="1" si="573"/>
        <v>0</v>
      </c>
      <c r="BQ124" s="64"/>
      <c r="BR124" s="74" t="s">
        <v>76</v>
      </c>
      <c r="BS124" s="73">
        <f t="shared" ca="1" si="573"/>
        <v>0</v>
      </c>
      <c r="BT124" s="64"/>
      <c r="BU124" s="74" t="s">
        <v>76</v>
      </c>
      <c r="BV124" s="73">
        <f t="shared" ca="1" si="573"/>
        <v>0</v>
      </c>
      <c r="BW124" s="64"/>
      <c r="BX124" s="74" t="s">
        <v>76</v>
      </c>
      <c r="BY124" s="73">
        <f t="shared" ca="1" si="573"/>
        <v>0</v>
      </c>
      <c r="BZ124" s="64"/>
      <c r="CA124" s="74" t="s">
        <v>76</v>
      </c>
      <c r="CB124" s="73">
        <f t="shared" ca="1" si="573"/>
        <v>0</v>
      </c>
      <c r="CC124" s="64"/>
      <c r="CD124" s="74" t="s">
        <v>78</v>
      </c>
      <c r="CE124" s="73">
        <f t="shared" ca="1" si="573"/>
        <v>0</v>
      </c>
      <c r="CF124" s="64"/>
      <c r="CG124" s="74" t="s">
        <v>76</v>
      </c>
      <c r="CH124" s="73">
        <f t="shared" ca="1" si="573"/>
        <v>0</v>
      </c>
      <c r="CI124" s="64"/>
      <c r="CJ124" s="74" t="s">
        <v>76</v>
      </c>
      <c r="CK124" s="73">
        <f t="shared" ref="CK124:EV124" ca="1" si="574">($M124=CJ124)*$D$11</f>
        <v>0</v>
      </c>
      <c r="CL124" s="64"/>
      <c r="CM124" s="74" t="s">
        <v>76</v>
      </c>
      <c r="CN124" s="73">
        <f t="shared" ca="1" si="574"/>
        <v>0</v>
      </c>
      <c r="CO124" s="64"/>
      <c r="CP124" s="74" t="s">
        <v>76</v>
      </c>
      <c r="CQ124" s="73">
        <f t="shared" ca="1" si="574"/>
        <v>0</v>
      </c>
      <c r="CR124" s="64"/>
      <c r="CS124" s="74" t="s">
        <v>76</v>
      </c>
      <c r="CT124" s="73">
        <f t="shared" ca="1" si="574"/>
        <v>0</v>
      </c>
      <c r="CU124" s="64"/>
      <c r="CV124" s="74" t="s">
        <v>76</v>
      </c>
      <c r="CW124" s="73">
        <f t="shared" ca="1" si="574"/>
        <v>0</v>
      </c>
      <c r="CX124" s="64"/>
      <c r="CY124" s="74" t="s">
        <v>76</v>
      </c>
      <c r="CZ124" s="73">
        <f t="shared" ca="1" si="574"/>
        <v>0</v>
      </c>
      <c r="DA124" s="64"/>
      <c r="DB124" s="74" t="s">
        <v>76</v>
      </c>
      <c r="DC124" s="73">
        <f t="shared" ca="1" si="574"/>
        <v>0</v>
      </c>
      <c r="DD124" s="64"/>
      <c r="DE124" s="74" t="s">
        <v>76</v>
      </c>
      <c r="DF124" s="73">
        <f t="shared" ca="1" si="574"/>
        <v>0</v>
      </c>
      <c r="DG124" s="64"/>
      <c r="DH124" s="74" t="s">
        <v>76</v>
      </c>
      <c r="DI124" s="73">
        <f t="shared" ca="1" si="574"/>
        <v>0</v>
      </c>
      <c r="DJ124" s="64"/>
      <c r="DK124" s="74" t="s">
        <v>1551</v>
      </c>
      <c r="DL124" s="73">
        <f t="shared" ca="1" si="574"/>
        <v>0</v>
      </c>
      <c r="DM124" s="64"/>
      <c r="DN124" s="795" t="s">
        <v>76</v>
      </c>
      <c r="DO124" s="73">
        <f t="shared" ca="1" si="574"/>
        <v>0</v>
      </c>
      <c r="DP124" s="64"/>
      <c r="DQ124" s="795" t="s">
        <v>78</v>
      </c>
      <c r="DR124" s="73">
        <f t="shared" ca="1" si="574"/>
        <v>0</v>
      </c>
      <c r="DS124" s="64"/>
      <c r="DT124" s="74" t="s">
        <v>78</v>
      </c>
      <c r="DU124" s="73">
        <f t="shared" ca="1" si="574"/>
        <v>0</v>
      </c>
      <c r="DV124" s="64"/>
      <c r="DW124" s="74" t="s">
        <v>76</v>
      </c>
      <c r="DX124" s="73">
        <f t="shared" ca="1" si="574"/>
        <v>0</v>
      </c>
      <c r="DY124" s="64"/>
      <c r="DZ124" s="74" t="s">
        <v>76</v>
      </c>
      <c r="EA124" s="73">
        <f t="shared" ca="1" si="574"/>
        <v>0</v>
      </c>
      <c r="EB124" s="64"/>
      <c r="EC124" s="74" t="s">
        <v>76</v>
      </c>
      <c r="ED124" s="73">
        <f t="shared" ca="1" si="574"/>
        <v>0</v>
      </c>
      <c r="EE124" s="64"/>
      <c r="EF124" s="74" t="s">
        <v>76</v>
      </c>
      <c r="EG124" s="73">
        <f t="shared" ca="1" si="574"/>
        <v>0</v>
      </c>
      <c r="EH124" s="64"/>
      <c r="EI124" s="74"/>
      <c r="EJ124" s="73">
        <f t="shared" ca="1" si="574"/>
        <v>0</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51"/>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577">($M125=S125)*$D$12</f>
        <v>0</v>
      </c>
      <c r="U125" s="64"/>
      <c r="V125" s="74" t="s">
        <v>78</v>
      </c>
      <c r="W125" s="73">
        <f t="shared" ref="W125:CH125" ca="1" si="578">($M125=V125)*$D$12</f>
        <v>0</v>
      </c>
      <c r="X125" s="64"/>
      <c r="Y125" s="74" t="s">
        <v>78</v>
      </c>
      <c r="Z125" s="73">
        <f t="shared" ca="1" si="578"/>
        <v>0</v>
      </c>
      <c r="AA125" s="64"/>
      <c r="AB125" s="74" t="s">
        <v>78</v>
      </c>
      <c r="AC125" s="73">
        <f t="shared" ca="1" si="578"/>
        <v>0</v>
      </c>
      <c r="AD125" s="64"/>
      <c r="AE125" s="74" t="s">
        <v>78</v>
      </c>
      <c r="AF125" s="73">
        <f t="shared" ca="1" si="578"/>
        <v>0</v>
      </c>
      <c r="AG125" s="64"/>
      <c r="AH125" s="74" t="s">
        <v>76</v>
      </c>
      <c r="AI125" s="73">
        <f t="shared" ca="1" si="578"/>
        <v>0</v>
      </c>
      <c r="AJ125" s="64"/>
      <c r="AK125" s="74" t="s">
        <v>1551</v>
      </c>
      <c r="AL125" s="73">
        <f t="shared" ca="1" si="578"/>
        <v>0</v>
      </c>
      <c r="AM125" s="64"/>
      <c r="AN125" s="74" t="s">
        <v>78</v>
      </c>
      <c r="AO125" s="73">
        <f t="shared" ca="1" si="578"/>
        <v>0</v>
      </c>
      <c r="AP125" s="64"/>
      <c r="AQ125" s="74" t="s">
        <v>1551</v>
      </c>
      <c r="AR125" s="73">
        <f t="shared" ca="1" si="578"/>
        <v>0</v>
      </c>
      <c r="AS125" s="64"/>
      <c r="AT125" s="74" t="s">
        <v>78</v>
      </c>
      <c r="AU125" s="73">
        <f t="shared" ca="1" si="578"/>
        <v>0</v>
      </c>
      <c r="AV125" s="64"/>
      <c r="AW125" s="74" t="s">
        <v>1551</v>
      </c>
      <c r="AX125" s="73">
        <f t="shared" ca="1" si="578"/>
        <v>0</v>
      </c>
      <c r="AY125" s="64"/>
      <c r="AZ125" s="74" t="s">
        <v>78</v>
      </c>
      <c r="BA125" s="73">
        <f t="shared" ca="1" si="578"/>
        <v>0</v>
      </c>
      <c r="BB125" s="64"/>
      <c r="BC125" s="74" t="s">
        <v>76</v>
      </c>
      <c r="BD125" s="73">
        <f t="shared" ca="1" si="578"/>
        <v>0</v>
      </c>
      <c r="BE125" s="64"/>
      <c r="BF125" s="74" t="s">
        <v>78</v>
      </c>
      <c r="BG125" s="73">
        <f t="shared" ca="1" si="578"/>
        <v>0</v>
      </c>
      <c r="BH125" s="64"/>
      <c r="BI125" s="74" t="s">
        <v>78</v>
      </c>
      <c r="BJ125" s="73">
        <f t="shared" ca="1" si="578"/>
        <v>0</v>
      </c>
      <c r="BK125" s="64"/>
      <c r="BL125" s="74" t="s">
        <v>78</v>
      </c>
      <c r="BM125" s="73">
        <f t="shared" ca="1" si="578"/>
        <v>0</v>
      </c>
      <c r="BN125" s="64"/>
      <c r="BO125" s="74" t="s">
        <v>78</v>
      </c>
      <c r="BP125" s="73">
        <f t="shared" ca="1" si="578"/>
        <v>0</v>
      </c>
      <c r="BQ125" s="64"/>
      <c r="BR125" s="74" t="s">
        <v>78</v>
      </c>
      <c r="BS125" s="73">
        <f t="shared" ca="1" si="578"/>
        <v>0</v>
      </c>
      <c r="BT125" s="64"/>
      <c r="BU125" s="74" t="s">
        <v>78</v>
      </c>
      <c r="BV125" s="73">
        <f t="shared" ca="1" si="578"/>
        <v>0</v>
      </c>
      <c r="BW125" s="64"/>
      <c r="BX125" s="74" t="s">
        <v>78</v>
      </c>
      <c r="BY125" s="73">
        <f t="shared" ca="1" si="578"/>
        <v>0</v>
      </c>
      <c r="BZ125" s="64"/>
      <c r="CA125" s="74" t="s">
        <v>78</v>
      </c>
      <c r="CB125" s="73">
        <f t="shared" ca="1" si="578"/>
        <v>0</v>
      </c>
      <c r="CC125" s="64"/>
      <c r="CD125" s="74" t="s">
        <v>76</v>
      </c>
      <c r="CE125" s="73">
        <f t="shared" ca="1" si="578"/>
        <v>0</v>
      </c>
      <c r="CF125" s="64"/>
      <c r="CG125" s="74" t="s">
        <v>78</v>
      </c>
      <c r="CH125" s="73">
        <f t="shared" ca="1" si="578"/>
        <v>0</v>
      </c>
      <c r="CI125" s="64"/>
      <c r="CJ125" s="74" t="s">
        <v>78</v>
      </c>
      <c r="CK125" s="73">
        <f t="shared" ref="CK125:EV125" ca="1" si="579">($M125=CJ125)*$D$12</f>
        <v>0</v>
      </c>
      <c r="CL125" s="64"/>
      <c r="CM125" s="74" t="s">
        <v>78</v>
      </c>
      <c r="CN125" s="73">
        <f t="shared" ca="1" si="579"/>
        <v>0</v>
      </c>
      <c r="CO125" s="64"/>
      <c r="CP125" s="74" t="s">
        <v>78</v>
      </c>
      <c r="CQ125" s="73">
        <f t="shared" ca="1" si="579"/>
        <v>0</v>
      </c>
      <c r="CR125" s="64"/>
      <c r="CS125" s="74" t="s">
        <v>78</v>
      </c>
      <c r="CT125" s="73">
        <f t="shared" ca="1" si="579"/>
        <v>0</v>
      </c>
      <c r="CU125" s="64"/>
      <c r="CV125" s="74" t="s">
        <v>78</v>
      </c>
      <c r="CW125" s="73">
        <f t="shared" ca="1" si="579"/>
        <v>0</v>
      </c>
      <c r="CX125" s="64"/>
      <c r="CY125" s="74" t="s">
        <v>1551</v>
      </c>
      <c r="CZ125" s="73">
        <f t="shared" ca="1" si="579"/>
        <v>0</v>
      </c>
      <c r="DA125" s="64"/>
      <c r="DB125" s="74" t="s">
        <v>78</v>
      </c>
      <c r="DC125" s="73">
        <f t="shared" ca="1" si="579"/>
        <v>0</v>
      </c>
      <c r="DD125" s="64"/>
      <c r="DE125" s="74" t="s">
        <v>78</v>
      </c>
      <c r="DF125" s="73">
        <f t="shared" ca="1" si="579"/>
        <v>0</v>
      </c>
      <c r="DG125" s="64"/>
      <c r="DH125" s="74" t="s">
        <v>78</v>
      </c>
      <c r="DI125" s="73">
        <f t="shared" ca="1" si="579"/>
        <v>0</v>
      </c>
      <c r="DJ125" s="64"/>
      <c r="DK125" s="74" t="s">
        <v>76</v>
      </c>
      <c r="DL125" s="73">
        <f t="shared" ca="1" si="579"/>
        <v>0</v>
      </c>
      <c r="DM125" s="64"/>
      <c r="DN125" s="795" t="s">
        <v>78</v>
      </c>
      <c r="DO125" s="73">
        <f t="shared" ca="1" si="579"/>
        <v>0</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0</v>
      </c>
      <c r="EB125" s="64"/>
      <c r="EC125" s="74" t="s">
        <v>78</v>
      </c>
      <c r="ED125" s="73">
        <f t="shared" ca="1" si="579"/>
        <v>0</v>
      </c>
      <c r="EE125" s="64"/>
      <c r="EF125" s="74" t="s">
        <v>78</v>
      </c>
      <c r="EG125" s="73">
        <f t="shared" ca="1" si="579"/>
        <v>0</v>
      </c>
      <c r="EH125" s="64"/>
      <c r="EI125" s="74"/>
      <c r="EJ125" s="73">
        <f t="shared" ca="1" si="579"/>
        <v>0</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51"/>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582">($M126=S126)*$D$13</f>
        <v>0</v>
      </c>
      <c r="U126" s="64"/>
      <c r="V126" s="74" t="s">
        <v>1551</v>
      </c>
      <c r="W126" s="73">
        <f t="shared" ref="W126:CH126" ca="1" si="583">($M126=V126)*$D$13</f>
        <v>0</v>
      </c>
      <c r="X126" s="64"/>
      <c r="Y126" s="74" t="s">
        <v>1551</v>
      </c>
      <c r="Z126" s="73">
        <f t="shared" ca="1" si="583"/>
        <v>0</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0</v>
      </c>
      <c r="AP126" s="64"/>
      <c r="AQ126" s="74" t="s">
        <v>78</v>
      </c>
      <c r="AR126" s="73">
        <f t="shared" ca="1" si="583"/>
        <v>0</v>
      </c>
      <c r="AS126" s="64"/>
      <c r="AT126" s="74" t="s">
        <v>1551</v>
      </c>
      <c r="AU126" s="73">
        <f t="shared" ca="1" si="583"/>
        <v>0</v>
      </c>
      <c r="AV126" s="64"/>
      <c r="AW126" s="74" t="s">
        <v>78</v>
      </c>
      <c r="AX126" s="73">
        <f t="shared" ca="1" si="583"/>
        <v>0</v>
      </c>
      <c r="AY126" s="64"/>
      <c r="AZ126" s="74" t="s">
        <v>1551</v>
      </c>
      <c r="BA126" s="73">
        <f t="shared" ca="1" si="583"/>
        <v>0</v>
      </c>
      <c r="BB126" s="64"/>
      <c r="BC126" s="74" t="s">
        <v>1551</v>
      </c>
      <c r="BD126" s="73">
        <f t="shared" ca="1" si="583"/>
        <v>0</v>
      </c>
      <c r="BE126" s="64"/>
      <c r="BF126" s="74" t="s">
        <v>1730</v>
      </c>
      <c r="BG126" s="73">
        <f t="shared" ca="1" si="583"/>
        <v>0</v>
      </c>
      <c r="BH126" s="64"/>
      <c r="BI126" s="74" t="s">
        <v>1551</v>
      </c>
      <c r="BJ126" s="73">
        <f t="shared" ca="1" si="583"/>
        <v>0</v>
      </c>
      <c r="BK126" s="64"/>
      <c r="BL126" s="74" t="s">
        <v>1551</v>
      </c>
      <c r="BM126" s="73">
        <f t="shared" ca="1" si="583"/>
        <v>0</v>
      </c>
      <c r="BN126" s="64"/>
      <c r="BO126" s="74" t="s">
        <v>1730</v>
      </c>
      <c r="BP126" s="73">
        <f t="shared" ca="1" si="583"/>
        <v>0</v>
      </c>
      <c r="BQ126" s="64"/>
      <c r="BR126" s="74" t="s">
        <v>1551</v>
      </c>
      <c r="BS126" s="73">
        <f t="shared" ca="1" si="583"/>
        <v>0</v>
      </c>
      <c r="BT126" s="64"/>
      <c r="BU126" s="74" t="s">
        <v>1551</v>
      </c>
      <c r="BV126" s="73">
        <f t="shared" ca="1" si="583"/>
        <v>0</v>
      </c>
      <c r="BW126" s="64"/>
      <c r="BX126" s="74" t="s">
        <v>1551</v>
      </c>
      <c r="BY126" s="73">
        <f t="shared" ca="1" si="583"/>
        <v>0</v>
      </c>
      <c r="BZ126" s="64"/>
      <c r="CA126" s="74" t="s">
        <v>1551</v>
      </c>
      <c r="CB126" s="73">
        <f t="shared" ca="1" si="583"/>
        <v>0</v>
      </c>
      <c r="CC126" s="64"/>
      <c r="CD126" s="74" t="s">
        <v>1551</v>
      </c>
      <c r="CE126" s="73">
        <f t="shared" ca="1" si="583"/>
        <v>0</v>
      </c>
      <c r="CF126" s="64"/>
      <c r="CG126" s="74" t="s">
        <v>1730</v>
      </c>
      <c r="CH126" s="73">
        <f t="shared" ca="1" si="583"/>
        <v>0</v>
      </c>
      <c r="CI126" s="64"/>
      <c r="CJ126" s="74" t="s">
        <v>1551</v>
      </c>
      <c r="CK126" s="73">
        <f t="shared" ref="CK126:EV126" ca="1" si="584">($M126=CJ126)*$D$13</f>
        <v>0</v>
      </c>
      <c r="CL126" s="64"/>
      <c r="CM126" s="74" t="s">
        <v>1730</v>
      </c>
      <c r="CN126" s="73">
        <f t="shared" ca="1" si="584"/>
        <v>0</v>
      </c>
      <c r="CO126" s="64"/>
      <c r="CP126" s="74" t="s">
        <v>1551</v>
      </c>
      <c r="CQ126" s="73">
        <f t="shared" ca="1" si="584"/>
        <v>0</v>
      </c>
      <c r="CR126" s="64"/>
      <c r="CS126" s="74" t="s">
        <v>1551</v>
      </c>
      <c r="CT126" s="73">
        <f t="shared" ca="1" si="584"/>
        <v>0</v>
      </c>
      <c r="CU126" s="64"/>
      <c r="CV126" s="74" t="s">
        <v>1551</v>
      </c>
      <c r="CW126" s="73">
        <f t="shared" ca="1" si="584"/>
        <v>0</v>
      </c>
      <c r="CX126" s="64"/>
      <c r="CY126" s="74" t="s">
        <v>1730</v>
      </c>
      <c r="CZ126" s="73">
        <f t="shared" ca="1" si="584"/>
        <v>0</v>
      </c>
      <c r="DA126" s="64"/>
      <c r="DB126" s="74" t="s">
        <v>1551</v>
      </c>
      <c r="DC126" s="73">
        <f t="shared" ca="1" si="584"/>
        <v>0</v>
      </c>
      <c r="DD126" s="64"/>
      <c r="DE126" s="74" t="s">
        <v>1551</v>
      </c>
      <c r="DF126" s="73">
        <f t="shared" ca="1" si="584"/>
        <v>0</v>
      </c>
      <c r="DG126" s="64"/>
      <c r="DH126" s="74" t="s">
        <v>1730</v>
      </c>
      <c r="DI126" s="73">
        <f t="shared" ca="1" si="584"/>
        <v>0</v>
      </c>
      <c r="DJ126" s="64"/>
      <c r="DK126" s="74" t="s">
        <v>78</v>
      </c>
      <c r="DL126" s="73">
        <f t="shared" ca="1" si="584"/>
        <v>0</v>
      </c>
      <c r="DM126" s="64"/>
      <c r="DN126" s="795" t="s">
        <v>1551</v>
      </c>
      <c r="DO126" s="73">
        <f t="shared" ca="1" si="584"/>
        <v>0</v>
      </c>
      <c r="DP126" s="64"/>
      <c r="DQ126" s="795" t="s">
        <v>1730</v>
      </c>
      <c r="DR126" s="73">
        <f t="shared" ca="1" si="584"/>
        <v>0</v>
      </c>
      <c r="DS126" s="64"/>
      <c r="DT126" s="74" t="s">
        <v>1551</v>
      </c>
      <c r="DU126" s="73">
        <f t="shared" ca="1" si="584"/>
        <v>0</v>
      </c>
      <c r="DV126" s="64"/>
      <c r="DW126" s="74" t="s">
        <v>78</v>
      </c>
      <c r="DX126" s="73">
        <f t="shared" ca="1" si="584"/>
        <v>0</v>
      </c>
      <c r="DY126" s="64"/>
      <c r="DZ126" s="74" t="s">
        <v>1551</v>
      </c>
      <c r="EA126" s="73">
        <f t="shared" ca="1" si="584"/>
        <v>0</v>
      </c>
      <c r="EB126" s="64"/>
      <c r="EC126" s="74" t="s">
        <v>1551</v>
      </c>
      <c r="ED126" s="73">
        <f t="shared" ca="1" si="584"/>
        <v>0</v>
      </c>
      <c r="EE126" s="64"/>
      <c r="EF126" s="74" t="s">
        <v>1551</v>
      </c>
      <c r="EG126" s="73">
        <f t="shared" ca="1" si="584"/>
        <v>0</v>
      </c>
      <c r="EH126" s="64"/>
      <c r="EI126" s="74"/>
      <c r="EJ126" s="73">
        <f t="shared" ca="1" si="584"/>
        <v>0</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51"/>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587">($M127=S127)*$D$14</f>
        <v>0</v>
      </c>
      <c r="U127" s="64"/>
      <c r="V127" s="80" t="s">
        <v>1730</v>
      </c>
      <c r="W127" s="81">
        <f t="shared" ref="W127:CH127" ca="1" si="588">($M127=V127)*$D$14</f>
        <v>0</v>
      </c>
      <c r="X127" s="64"/>
      <c r="Y127" s="80" t="s">
        <v>1730</v>
      </c>
      <c r="Z127" s="81">
        <f t="shared" ca="1" si="588"/>
        <v>0</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0</v>
      </c>
      <c r="AM127" s="64"/>
      <c r="AN127" s="80" t="s">
        <v>1730</v>
      </c>
      <c r="AO127" s="81">
        <f t="shared" ca="1" si="588"/>
        <v>0</v>
      </c>
      <c r="AP127" s="64"/>
      <c r="AQ127" s="80" t="s">
        <v>1730</v>
      </c>
      <c r="AR127" s="81">
        <f t="shared" ca="1" si="588"/>
        <v>0</v>
      </c>
      <c r="AS127" s="64"/>
      <c r="AT127" s="80" t="s">
        <v>1730</v>
      </c>
      <c r="AU127" s="81">
        <f t="shared" ca="1" si="588"/>
        <v>0</v>
      </c>
      <c r="AV127" s="64"/>
      <c r="AW127" s="80" t="s">
        <v>1730</v>
      </c>
      <c r="AX127" s="81">
        <f t="shared" ca="1" si="588"/>
        <v>0</v>
      </c>
      <c r="AY127" s="64"/>
      <c r="AZ127" s="80" t="s">
        <v>1730</v>
      </c>
      <c r="BA127" s="81">
        <f t="shared" ca="1" si="588"/>
        <v>0</v>
      </c>
      <c r="BB127" s="64"/>
      <c r="BC127" s="80" t="s">
        <v>1730</v>
      </c>
      <c r="BD127" s="81">
        <f t="shared" ca="1" si="588"/>
        <v>0</v>
      </c>
      <c r="BE127" s="64"/>
      <c r="BF127" s="80" t="s">
        <v>1551</v>
      </c>
      <c r="BG127" s="81">
        <f t="shared" ca="1" si="588"/>
        <v>0</v>
      </c>
      <c r="BH127" s="64"/>
      <c r="BI127" s="80" t="s">
        <v>1730</v>
      </c>
      <c r="BJ127" s="81">
        <f t="shared" ca="1" si="588"/>
        <v>0</v>
      </c>
      <c r="BK127" s="64"/>
      <c r="BL127" s="80" t="s">
        <v>1730</v>
      </c>
      <c r="BM127" s="81">
        <f t="shared" ca="1" si="588"/>
        <v>0</v>
      </c>
      <c r="BN127" s="64"/>
      <c r="BO127" s="80" t="s">
        <v>1551</v>
      </c>
      <c r="BP127" s="81">
        <f t="shared" ca="1" si="588"/>
        <v>0</v>
      </c>
      <c r="BQ127" s="64"/>
      <c r="BR127" s="80" t="s">
        <v>1730</v>
      </c>
      <c r="BS127" s="81">
        <f t="shared" ca="1" si="588"/>
        <v>0</v>
      </c>
      <c r="BT127" s="64"/>
      <c r="BU127" s="80" t="s">
        <v>1730</v>
      </c>
      <c r="BV127" s="81">
        <f t="shared" ca="1" si="588"/>
        <v>0</v>
      </c>
      <c r="BW127" s="64"/>
      <c r="BX127" s="80" t="s">
        <v>1730</v>
      </c>
      <c r="BY127" s="81">
        <f t="shared" ca="1" si="588"/>
        <v>0</v>
      </c>
      <c r="BZ127" s="64"/>
      <c r="CA127" s="80" t="s">
        <v>1730</v>
      </c>
      <c r="CB127" s="81">
        <f t="shared" ca="1" si="588"/>
        <v>0</v>
      </c>
      <c r="CC127" s="64"/>
      <c r="CD127" s="80" t="s">
        <v>1730</v>
      </c>
      <c r="CE127" s="81">
        <f t="shared" ca="1" si="588"/>
        <v>0</v>
      </c>
      <c r="CF127" s="64"/>
      <c r="CG127" s="80" t="s">
        <v>1551</v>
      </c>
      <c r="CH127" s="81">
        <f t="shared" ca="1" si="588"/>
        <v>0</v>
      </c>
      <c r="CI127" s="64"/>
      <c r="CJ127" s="80" t="s">
        <v>1730</v>
      </c>
      <c r="CK127" s="81">
        <f t="shared" ref="CK127:EV127" ca="1" si="589">($M127=CJ127)*$D$14</f>
        <v>0</v>
      </c>
      <c r="CL127" s="64"/>
      <c r="CM127" s="80" t="s">
        <v>1551</v>
      </c>
      <c r="CN127" s="81">
        <f t="shared" ca="1" si="589"/>
        <v>0</v>
      </c>
      <c r="CO127" s="64"/>
      <c r="CP127" s="80" t="s">
        <v>1730</v>
      </c>
      <c r="CQ127" s="81">
        <f t="shared" ca="1" si="589"/>
        <v>0</v>
      </c>
      <c r="CR127" s="64"/>
      <c r="CS127" s="80" t="s">
        <v>1730</v>
      </c>
      <c r="CT127" s="81">
        <f t="shared" ca="1" si="589"/>
        <v>0</v>
      </c>
      <c r="CU127" s="64"/>
      <c r="CV127" s="80" t="s">
        <v>1730</v>
      </c>
      <c r="CW127" s="81">
        <f t="shared" ca="1" si="589"/>
        <v>0</v>
      </c>
      <c r="CX127" s="64"/>
      <c r="CY127" s="80" t="s">
        <v>78</v>
      </c>
      <c r="CZ127" s="81">
        <f t="shared" ca="1" si="589"/>
        <v>0</v>
      </c>
      <c r="DA127" s="64"/>
      <c r="DB127" s="80" t="s">
        <v>1730</v>
      </c>
      <c r="DC127" s="81">
        <f t="shared" ca="1" si="589"/>
        <v>0</v>
      </c>
      <c r="DD127" s="64"/>
      <c r="DE127" s="80" t="s">
        <v>1730</v>
      </c>
      <c r="DF127" s="81">
        <f t="shared" ca="1" si="589"/>
        <v>0</v>
      </c>
      <c r="DG127" s="64"/>
      <c r="DH127" s="80" t="s">
        <v>1551</v>
      </c>
      <c r="DI127" s="81">
        <f t="shared" ca="1" si="589"/>
        <v>0</v>
      </c>
      <c r="DJ127" s="64"/>
      <c r="DK127" s="80" t="s">
        <v>1730</v>
      </c>
      <c r="DL127" s="81">
        <f t="shared" ca="1" si="589"/>
        <v>0</v>
      </c>
      <c r="DM127" s="64"/>
      <c r="DN127" s="795" t="s">
        <v>1730</v>
      </c>
      <c r="DO127" s="81">
        <f t="shared" ca="1" si="589"/>
        <v>0</v>
      </c>
      <c r="DP127" s="64"/>
      <c r="DQ127" s="795" t="s">
        <v>1551</v>
      </c>
      <c r="DR127" s="81">
        <f t="shared" ca="1" si="589"/>
        <v>0</v>
      </c>
      <c r="DS127" s="64"/>
      <c r="DT127" s="80" t="s">
        <v>1730</v>
      </c>
      <c r="DU127" s="81">
        <f t="shared" ca="1" si="589"/>
        <v>0</v>
      </c>
      <c r="DV127" s="64"/>
      <c r="DW127" s="80" t="s">
        <v>1730</v>
      </c>
      <c r="DX127" s="81">
        <f t="shared" ca="1" si="589"/>
        <v>0</v>
      </c>
      <c r="DY127" s="64"/>
      <c r="DZ127" s="80" t="s">
        <v>1730</v>
      </c>
      <c r="EA127" s="81">
        <f t="shared" ca="1" si="589"/>
        <v>0</v>
      </c>
      <c r="EB127" s="64"/>
      <c r="EC127" s="80" t="s">
        <v>1730</v>
      </c>
      <c r="ED127" s="81">
        <f t="shared" ca="1" si="589"/>
        <v>0</v>
      </c>
      <c r="EE127" s="64"/>
      <c r="EF127" s="80" t="s">
        <v>1730</v>
      </c>
      <c r="EG127" s="81">
        <f t="shared" ca="1" si="589"/>
        <v>0</v>
      </c>
      <c r="EH127" s="64"/>
      <c r="EI127" s="80"/>
      <c r="EJ127" s="81">
        <f t="shared" ca="1" si="589"/>
        <v>0</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0</v>
      </c>
      <c r="U128" s="65"/>
      <c r="V128" s="84"/>
      <c r="W128" s="71">
        <f t="shared" ref="W128" ca="1" si="591">SUM(W80:W127)</f>
        <v>0</v>
      </c>
      <c r="X128" s="65"/>
      <c r="Y128" s="84"/>
      <c r="Z128" s="71">
        <f t="shared" ref="Z128" ca="1" si="592">SUM(Z80:Z127)</f>
        <v>0</v>
      </c>
      <c r="AA128" s="65"/>
      <c r="AB128" s="84"/>
      <c r="AC128" s="71">
        <f t="shared" ref="AC128" ca="1" si="593">SUM(AC80:AC127)</f>
        <v>0</v>
      </c>
      <c r="AD128" s="65"/>
      <c r="AE128" s="84"/>
      <c r="AF128" s="71">
        <f t="shared" ref="AF128" ca="1" si="594">SUM(AF80:AF127)</f>
        <v>0</v>
      </c>
      <c r="AG128" s="65"/>
      <c r="AH128" s="84"/>
      <c r="AI128" s="71">
        <f t="shared" ref="AI128" ca="1" si="595">SUM(AI80:AI127)</f>
        <v>0</v>
      </c>
      <c r="AJ128" s="65"/>
      <c r="AK128" s="84"/>
      <c r="AL128" s="71">
        <f t="shared" ref="AL128" ca="1" si="596">SUM(AL80:AL127)</f>
        <v>0</v>
      </c>
      <c r="AM128" s="65"/>
      <c r="AN128" s="84"/>
      <c r="AO128" s="71">
        <f t="shared" ref="AO128" ca="1" si="597">SUM(AO80:AO127)</f>
        <v>0</v>
      </c>
      <c r="AP128" s="65"/>
      <c r="AQ128" s="84"/>
      <c r="AR128" s="71">
        <f t="shared" ref="AR128" ca="1" si="598">SUM(AR80:AR127)</f>
        <v>0</v>
      </c>
      <c r="AS128" s="65"/>
      <c r="AT128" s="84"/>
      <c r="AU128" s="71">
        <f t="shared" ref="AU128" ca="1" si="599">SUM(AU80:AU127)</f>
        <v>0</v>
      </c>
      <c r="AV128" s="65"/>
      <c r="AW128" s="84"/>
      <c r="AX128" s="71">
        <f t="shared" ref="AX128" ca="1" si="600">SUM(AX80:AX127)</f>
        <v>0</v>
      </c>
      <c r="AY128" s="65"/>
      <c r="AZ128" s="84"/>
      <c r="BA128" s="71">
        <f t="shared" ref="BA128" ca="1" si="601">SUM(BA80:BA127)</f>
        <v>0</v>
      </c>
      <c r="BB128" s="65"/>
      <c r="BC128" s="84"/>
      <c r="BD128" s="71">
        <f t="shared" ref="BD128" ca="1" si="602">SUM(BD80:BD127)</f>
        <v>0</v>
      </c>
      <c r="BE128" s="65"/>
      <c r="BF128" s="84"/>
      <c r="BG128" s="71">
        <f t="shared" ref="BG128" ca="1" si="603">SUM(BG80:BG127)</f>
        <v>0</v>
      </c>
      <c r="BH128" s="65"/>
      <c r="BI128" s="84"/>
      <c r="BJ128" s="71">
        <f t="shared" ref="BJ128" ca="1" si="604">SUM(BJ80:BJ127)</f>
        <v>0</v>
      </c>
      <c r="BK128" s="65"/>
      <c r="BL128" s="84"/>
      <c r="BM128" s="71">
        <f t="shared" ref="BM128" ca="1" si="605">SUM(BM80:BM127)</f>
        <v>0</v>
      </c>
      <c r="BN128" s="65"/>
      <c r="BO128" s="84"/>
      <c r="BP128" s="71">
        <f t="shared" ref="BP128" ca="1" si="606">SUM(BP80:BP127)</f>
        <v>0</v>
      </c>
      <c r="BQ128" s="65"/>
      <c r="BR128" s="84"/>
      <c r="BS128" s="71">
        <f t="shared" ref="BS128" ca="1" si="607">SUM(BS80:BS127)</f>
        <v>0</v>
      </c>
      <c r="BT128" s="65"/>
      <c r="BU128" s="84"/>
      <c r="BV128" s="71">
        <f t="shared" ref="BV128" ca="1" si="608">SUM(BV80:BV127)</f>
        <v>0</v>
      </c>
      <c r="BW128" s="65"/>
      <c r="BX128" s="84"/>
      <c r="BY128" s="71">
        <f t="shared" ref="BY128" ca="1" si="609">SUM(BY80:BY127)</f>
        <v>0</v>
      </c>
      <c r="BZ128" s="65"/>
      <c r="CA128" s="84"/>
      <c r="CB128" s="71">
        <f t="shared" ref="CB128" ca="1" si="610">SUM(CB80:CB127)</f>
        <v>0</v>
      </c>
      <c r="CC128" s="65"/>
      <c r="CD128" s="84"/>
      <c r="CE128" s="71">
        <f t="shared" ref="CE128" ca="1" si="611">SUM(CE80:CE127)</f>
        <v>0</v>
      </c>
      <c r="CF128" s="65"/>
      <c r="CG128" s="84"/>
      <c r="CH128" s="71">
        <f t="shared" ref="CH128" ca="1" si="612">SUM(CH80:CH127)</f>
        <v>0</v>
      </c>
      <c r="CI128" s="65"/>
      <c r="CJ128" s="84"/>
      <c r="CK128" s="71">
        <f t="shared" ref="CK128" ca="1" si="613">SUM(CK80:CK127)</f>
        <v>0</v>
      </c>
      <c r="CL128" s="65"/>
      <c r="CM128" s="84"/>
      <c r="CN128" s="71">
        <f t="shared" ref="CN128" ca="1" si="614">SUM(CN80:CN127)</f>
        <v>0</v>
      </c>
      <c r="CO128" s="65"/>
      <c r="CP128" s="84"/>
      <c r="CQ128" s="71">
        <f t="shared" ref="CQ128" ca="1" si="615">SUM(CQ80:CQ127)</f>
        <v>0</v>
      </c>
      <c r="CR128" s="65"/>
      <c r="CS128" s="84"/>
      <c r="CT128" s="71">
        <f t="shared" ref="CT128" ca="1" si="616">SUM(CT80:CT127)</f>
        <v>0</v>
      </c>
      <c r="CU128" s="65"/>
      <c r="CV128" s="84"/>
      <c r="CW128" s="71">
        <f t="shared" ref="CW128" ca="1" si="617">SUM(CW80:CW127)</f>
        <v>0</v>
      </c>
      <c r="CX128" s="65"/>
      <c r="CY128" s="84"/>
      <c r="CZ128" s="71">
        <f t="shared" ref="CZ128" ca="1" si="618">SUM(CZ80:CZ127)</f>
        <v>0</v>
      </c>
      <c r="DA128" s="65"/>
      <c r="DB128" s="84"/>
      <c r="DC128" s="71">
        <f t="shared" ref="DC128" ca="1" si="619">SUM(DC80:DC127)</f>
        <v>0</v>
      </c>
      <c r="DD128" s="65"/>
      <c r="DE128" s="84"/>
      <c r="DF128" s="71">
        <f t="shared" ref="DF128" ca="1" si="620">SUM(DF80:DF127)</f>
        <v>0</v>
      </c>
      <c r="DG128" s="65"/>
      <c r="DH128" s="84"/>
      <c r="DI128" s="71">
        <f t="shared" ref="DI128" ca="1" si="621">SUM(DI80:DI127)</f>
        <v>0</v>
      </c>
      <c r="DJ128" s="65"/>
      <c r="DK128" s="84"/>
      <c r="DL128" s="71">
        <f t="shared" ref="DL128" ca="1" si="622">SUM(DL80:DL127)</f>
        <v>0</v>
      </c>
      <c r="DM128" s="65"/>
      <c r="DN128" s="796"/>
      <c r="DO128" s="71">
        <f t="shared" ref="DO128" ca="1" si="623">SUM(DO80:DO127)</f>
        <v>0</v>
      </c>
      <c r="DP128" s="65"/>
      <c r="DQ128" s="796"/>
      <c r="DR128" s="71">
        <f t="shared" ref="DR128" ca="1" si="624">SUM(DR80:DR127)</f>
        <v>0</v>
      </c>
      <c r="DS128" s="65"/>
      <c r="DT128" s="84"/>
      <c r="DU128" s="71">
        <f t="shared" ref="DU128" ca="1" si="625">SUM(DU80:DU127)</f>
        <v>0</v>
      </c>
      <c r="DV128" s="65"/>
      <c r="DW128" s="84"/>
      <c r="DX128" s="71">
        <f t="shared" ref="DX128" ca="1" si="626">SUM(DX80:DX127)</f>
        <v>0</v>
      </c>
      <c r="DY128" s="65"/>
      <c r="DZ128" s="84"/>
      <c r="EA128" s="71">
        <f t="shared" ref="EA128" ca="1" si="627">SUM(EA80:EA127)</f>
        <v>0</v>
      </c>
      <c r="EB128" s="65"/>
      <c r="EC128" s="84"/>
      <c r="ED128" s="71">
        <f t="shared" ref="ED128" ca="1" si="628">SUM(ED80:ED127)</f>
        <v>0</v>
      </c>
      <c r="EE128" s="65"/>
      <c r="EF128" s="84"/>
      <c r="EG128" s="71">
        <f t="shared" ref="EG128" ca="1" si="629">SUM(EG80:EG127)</f>
        <v>0</v>
      </c>
      <c r="EH128" s="65"/>
      <c r="EI128" s="84"/>
      <c r="EJ128" s="71">
        <f t="shared" ref="EJ128" ca="1" si="630">SUM(EJ80:EJ127)</f>
        <v>0</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49" t="s">
        <v>483</v>
      </c>
      <c r="K130" s="53" t="str">
        <f>Idiomas!$D$198&amp;"-"&amp;ROWS($L$130:L130)</f>
        <v>Dieciseisavofinalista-1</v>
      </c>
      <c r="L130" s="53"/>
      <c r="M130" s="55" t="str">
        <f ca="1">WORLDCUP!AA101</f>
        <v>2A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0</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0</v>
      </c>
      <c r="BW130" s="64"/>
      <c r="BX130" s="76" t="s">
        <v>1260</v>
      </c>
      <c r="BY130" s="77">
        <f t="shared" ref="BY130:BY161" ca="1" si="659">COUNTIF($M$130:$M$161,BX130)*$D$15</f>
        <v>0</v>
      </c>
      <c r="BZ130" s="64"/>
      <c r="CA130" s="76" t="s">
        <v>1265</v>
      </c>
      <c r="CB130" s="77">
        <f t="shared" ref="CB130:CB161" ca="1" si="660">COUNTIF($M$130:$M$161,CA130)*$D$15</f>
        <v>0</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0</v>
      </c>
      <c r="DJ130" s="64"/>
      <c r="DK130" s="76" t="s">
        <v>1265</v>
      </c>
      <c r="DL130" s="77">
        <f t="shared" ref="DL130:DL161" ca="1" si="672">COUNTIF($M$130:$M$161,DK130)*$D$15</f>
        <v>0</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49"/>
      <c r="K131" s="56" t="str">
        <f>Idiomas!$D$198&amp;"-"&amp;ROWS($L$130:L131)</f>
        <v>Dieciseisavofinalista-2</v>
      </c>
      <c r="L131" s="53"/>
      <c r="M131" s="55" t="str">
        <f ca="1">WORLDCUP!AA102</f>
        <v>1C</v>
      </c>
      <c r="N131" s="25"/>
      <c r="O131" s="25"/>
      <c r="P131" s="25"/>
      <c r="Q131" s="25"/>
      <c r="R131" s="110"/>
      <c r="S131" s="74" t="s">
        <v>1258</v>
      </c>
      <c r="T131" s="73">
        <f t="shared" ca="1" si="640"/>
        <v>0</v>
      </c>
      <c r="U131" s="64"/>
      <c r="V131" s="74" t="s">
        <v>1258</v>
      </c>
      <c r="W131" s="73">
        <f t="shared" ca="1" si="641"/>
        <v>0</v>
      </c>
      <c r="X131" s="64"/>
      <c r="Y131" s="74" t="s">
        <v>1258</v>
      </c>
      <c r="Z131" s="73">
        <f t="shared" ca="1" si="642"/>
        <v>0</v>
      </c>
      <c r="AA131" s="64"/>
      <c r="AB131" s="74" t="s">
        <v>1258</v>
      </c>
      <c r="AC131" s="73">
        <f t="shared" ca="1" si="643"/>
        <v>0</v>
      </c>
      <c r="AD131" s="64"/>
      <c r="AE131" s="74" t="s">
        <v>1258</v>
      </c>
      <c r="AF131" s="73">
        <f t="shared" ca="1" si="644"/>
        <v>0</v>
      </c>
      <c r="AG131" s="64"/>
      <c r="AH131" s="74" t="s">
        <v>1321</v>
      </c>
      <c r="AI131" s="73">
        <f t="shared" ca="1" si="645"/>
        <v>0</v>
      </c>
      <c r="AJ131" s="64"/>
      <c r="AK131" s="74" t="s">
        <v>1258</v>
      </c>
      <c r="AL131" s="73">
        <f t="shared" ca="1" si="646"/>
        <v>0</v>
      </c>
      <c r="AM131" s="64"/>
      <c r="AN131" s="74" t="s">
        <v>1258</v>
      </c>
      <c r="AO131" s="73">
        <f t="shared" ca="1" si="647"/>
        <v>0</v>
      </c>
      <c r="AP131" s="64"/>
      <c r="AQ131" s="74" t="s">
        <v>1258</v>
      </c>
      <c r="AR131" s="73">
        <f t="shared" ca="1" si="648"/>
        <v>0</v>
      </c>
      <c r="AS131" s="64"/>
      <c r="AT131" s="74" t="s">
        <v>1258</v>
      </c>
      <c r="AU131" s="73">
        <f t="shared" ca="1" si="649"/>
        <v>0</v>
      </c>
      <c r="AV131" s="64"/>
      <c r="AW131" s="74" t="s">
        <v>1258</v>
      </c>
      <c r="AX131" s="73">
        <f t="shared" ca="1" si="650"/>
        <v>0</v>
      </c>
      <c r="AY131" s="64"/>
      <c r="AZ131" s="74" t="s">
        <v>1258</v>
      </c>
      <c r="BA131" s="73">
        <f t="shared" ca="1" si="651"/>
        <v>0</v>
      </c>
      <c r="BB131" s="64"/>
      <c r="BC131" s="74" t="s">
        <v>1258</v>
      </c>
      <c r="BD131" s="73">
        <f t="shared" ca="1" si="652"/>
        <v>0</v>
      </c>
      <c r="BE131" s="64"/>
      <c r="BF131" s="74" t="s">
        <v>1258</v>
      </c>
      <c r="BG131" s="73">
        <f t="shared" ca="1" si="653"/>
        <v>0</v>
      </c>
      <c r="BH131" s="64"/>
      <c r="BI131" s="74" t="s">
        <v>1258</v>
      </c>
      <c r="BJ131" s="73">
        <f t="shared" ca="1" si="654"/>
        <v>0</v>
      </c>
      <c r="BK131" s="64"/>
      <c r="BL131" s="74" t="s">
        <v>1258</v>
      </c>
      <c r="BM131" s="73">
        <f t="shared" ca="1" si="655"/>
        <v>0</v>
      </c>
      <c r="BN131" s="64"/>
      <c r="BO131" s="74" t="s">
        <v>1258</v>
      </c>
      <c r="BP131" s="73">
        <f t="shared" ca="1" si="656"/>
        <v>0</v>
      </c>
      <c r="BQ131" s="64"/>
      <c r="BR131" s="74" t="s">
        <v>1258</v>
      </c>
      <c r="BS131" s="73">
        <f t="shared" ca="1" si="657"/>
        <v>0</v>
      </c>
      <c r="BT131" s="64"/>
      <c r="BU131" s="74" t="s">
        <v>1258</v>
      </c>
      <c r="BV131" s="73">
        <f t="shared" ca="1" si="658"/>
        <v>0</v>
      </c>
      <c r="BW131" s="64"/>
      <c r="BX131" s="74" t="s">
        <v>1258</v>
      </c>
      <c r="BY131" s="73">
        <f t="shared" ca="1" si="659"/>
        <v>0</v>
      </c>
      <c r="BZ131" s="64"/>
      <c r="CA131" s="74" t="s">
        <v>134</v>
      </c>
      <c r="CB131" s="73">
        <f t="shared" ca="1" si="660"/>
        <v>0</v>
      </c>
      <c r="CC131" s="64"/>
      <c r="CD131" s="74" t="s">
        <v>1258</v>
      </c>
      <c r="CE131" s="73">
        <f t="shared" ca="1" si="661"/>
        <v>0</v>
      </c>
      <c r="CF131" s="64"/>
      <c r="CG131" s="74" t="s">
        <v>1258</v>
      </c>
      <c r="CH131" s="73">
        <f t="shared" ca="1" si="662"/>
        <v>0</v>
      </c>
      <c r="CI131" s="64"/>
      <c r="CJ131" s="74" t="s">
        <v>1258</v>
      </c>
      <c r="CK131" s="73">
        <f t="shared" ca="1" si="663"/>
        <v>0</v>
      </c>
      <c r="CL131" s="64"/>
      <c r="CM131" s="74" t="s">
        <v>1258</v>
      </c>
      <c r="CN131" s="73">
        <f t="shared" ca="1" si="664"/>
        <v>0</v>
      </c>
      <c r="CO131" s="64"/>
      <c r="CP131" s="74" t="s">
        <v>1258</v>
      </c>
      <c r="CQ131" s="73">
        <f t="shared" ca="1" si="665"/>
        <v>0</v>
      </c>
      <c r="CR131" s="64"/>
      <c r="CS131" s="74" t="s">
        <v>1258</v>
      </c>
      <c r="CT131" s="73">
        <f t="shared" ca="1" si="666"/>
        <v>0</v>
      </c>
      <c r="CU131" s="64"/>
      <c r="CV131" s="74" t="s">
        <v>1258</v>
      </c>
      <c r="CW131" s="73">
        <f t="shared" ca="1" si="667"/>
        <v>0</v>
      </c>
      <c r="CX131" s="64"/>
      <c r="CY131" s="74" t="s">
        <v>1258</v>
      </c>
      <c r="CZ131" s="73">
        <f t="shared" ca="1" si="668"/>
        <v>0</v>
      </c>
      <c r="DA131" s="64"/>
      <c r="DB131" s="74" t="s">
        <v>1258</v>
      </c>
      <c r="DC131" s="73">
        <f t="shared" ca="1" si="669"/>
        <v>0</v>
      </c>
      <c r="DD131" s="64"/>
      <c r="DE131" s="74" t="s">
        <v>1258</v>
      </c>
      <c r="DF131" s="73">
        <f t="shared" ca="1" si="670"/>
        <v>0</v>
      </c>
      <c r="DG131" s="64"/>
      <c r="DH131" s="74" t="s">
        <v>1258</v>
      </c>
      <c r="DI131" s="73">
        <f t="shared" ca="1" si="671"/>
        <v>0</v>
      </c>
      <c r="DJ131" s="64"/>
      <c r="DK131" s="74" t="s">
        <v>1321</v>
      </c>
      <c r="DL131" s="73">
        <f t="shared" ca="1" si="672"/>
        <v>0</v>
      </c>
      <c r="DM131" s="64"/>
      <c r="DN131" s="795" t="s">
        <v>1258</v>
      </c>
      <c r="DO131" s="73">
        <f t="shared" ca="1" si="673"/>
        <v>0</v>
      </c>
      <c r="DP131" s="64"/>
      <c r="DQ131" s="795" t="s">
        <v>1321</v>
      </c>
      <c r="DR131" s="73">
        <f t="shared" ca="1" si="674"/>
        <v>0</v>
      </c>
      <c r="DS131" s="64"/>
      <c r="DT131" s="74" t="s">
        <v>1321</v>
      </c>
      <c r="DU131" s="73">
        <f t="shared" ca="1" si="675"/>
        <v>0</v>
      </c>
      <c r="DV131" s="64"/>
      <c r="DW131" s="74" t="s">
        <v>1258</v>
      </c>
      <c r="DX131" s="73">
        <f t="shared" ca="1" si="676"/>
        <v>0</v>
      </c>
      <c r="DY131" s="64"/>
      <c r="DZ131" s="74" t="s">
        <v>1258</v>
      </c>
      <c r="EA131" s="73">
        <f t="shared" ca="1" si="677"/>
        <v>0</v>
      </c>
      <c r="EB131" s="64"/>
      <c r="EC131" s="74" t="s">
        <v>1258</v>
      </c>
      <c r="ED131" s="73">
        <f t="shared" ca="1" si="678"/>
        <v>0</v>
      </c>
      <c r="EE131" s="64"/>
      <c r="EF131" s="74" t="s">
        <v>1258</v>
      </c>
      <c r="EG131" s="73">
        <f t="shared" ca="1" si="679"/>
        <v>0</v>
      </c>
      <c r="EH131" s="64"/>
      <c r="EI131" s="74"/>
      <c r="EJ131" s="73">
        <f t="shared" ca="1" si="680"/>
        <v>0</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49"/>
      <c r="K132" s="56" t="str">
        <f>Idiomas!$D$198&amp;"-"&amp;ROWS($L$130:L132)</f>
        <v>Dieciseisavofinalista-3</v>
      </c>
      <c r="L132" s="53"/>
      <c r="M132" s="55" t="str">
        <f ca="1">WORLDCUP!AA103</f>
        <v>1E</v>
      </c>
      <c r="N132" s="25"/>
      <c r="O132" s="25"/>
      <c r="P132" s="25"/>
      <c r="Q132" s="25"/>
      <c r="R132" s="110"/>
      <c r="S132" s="74" t="s">
        <v>77</v>
      </c>
      <c r="T132" s="73">
        <f t="shared" ca="1" si="640"/>
        <v>0</v>
      </c>
      <c r="U132" s="64"/>
      <c r="V132" s="74" t="s">
        <v>77</v>
      </c>
      <c r="W132" s="73">
        <f t="shared" ca="1" si="641"/>
        <v>0</v>
      </c>
      <c r="X132" s="64"/>
      <c r="Y132" s="74" t="s">
        <v>77</v>
      </c>
      <c r="Z132" s="73">
        <f t="shared" ca="1" si="642"/>
        <v>0</v>
      </c>
      <c r="AA132" s="64"/>
      <c r="AB132" s="74" t="s">
        <v>77</v>
      </c>
      <c r="AC132" s="73">
        <f t="shared" ca="1" si="643"/>
        <v>0</v>
      </c>
      <c r="AD132" s="64"/>
      <c r="AE132" s="74" t="s">
        <v>77</v>
      </c>
      <c r="AF132" s="73">
        <f t="shared" ca="1" si="644"/>
        <v>0</v>
      </c>
      <c r="AG132" s="64"/>
      <c r="AH132" s="74" t="s">
        <v>77</v>
      </c>
      <c r="AI132" s="73">
        <f t="shared" ca="1" si="645"/>
        <v>0</v>
      </c>
      <c r="AJ132" s="64"/>
      <c r="AK132" s="74" t="s">
        <v>77</v>
      </c>
      <c r="AL132" s="73">
        <f t="shared" ca="1" si="646"/>
        <v>0</v>
      </c>
      <c r="AM132" s="64"/>
      <c r="AN132" s="74" t="s">
        <v>77</v>
      </c>
      <c r="AO132" s="73">
        <f t="shared" ca="1" si="647"/>
        <v>0</v>
      </c>
      <c r="AP132" s="64"/>
      <c r="AQ132" s="74" t="s">
        <v>77</v>
      </c>
      <c r="AR132" s="73">
        <f t="shared" ca="1" si="648"/>
        <v>0</v>
      </c>
      <c r="AS132" s="64"/>
      <c r="AT132" s="74" t="s">
        <v>77</v>
      </c>
      <c r="AU132" s="73">
        <f t="shared" ca="1" si="649"/>
        <v>0</v>
      </c>
      <c r="AV132" s="64"/>
      <c r="AW132" s="74" t="s">
        <v>77</v>
      </c>
      <c r="AX132" s="73">
        <f t="shared" ca="1" si="650"/>
        <v>0</v>
      </c>
      <c r="AY132" s="64"/>
      <c r="AZ132" s="74" t="s">
        <v>77</v>
      </c>
      <c r="BA132" s="73">
        <f t="shared" ca="1" si="651"/>
        <v>0</v>
      </c>
      <c r="BB132" s="64"/>
      <c r="BC132" s="74" t="s">
        <v>77</v>
      </c>
      <c r="BD132" s="73">
        <f t="shared" ca="1" si="652"/>
        <v>0</v>
      </c>
      <c r="BE132" s="64"/>
      <c r="BF132" s="74" t="s">
        <v>77</v>
      </c>
      <c r="BG132" s="73">
        <f t="shared" ca="1" si="653"/>
        <v>0</v>
      </c>
      <c r="BH132" s="64"/>
      <c r="BI132" s="74" t="s">
        <v>77</v>
      </c>
      <c r="BJ132" s="73">
        <f t="shared" ca="1" si="654"/>
        <v>0</v>
      </c>
      <c r="BK132" s="64"/>
      <c r="BL132" s="74" t="s">
        <v>77</v>
      </c>
      <c r="BM132" s="73">
        <f t="shared" ca="1" si="655"/>
        <v>0</v>
      </c>
      <c r="BN132" s="64"/>
      <c r="BO132" s="74" t="s">
        <v>77</v>
      </c>
      <c r="BP132" s="73">
        <f t="shared" ca="1" si="656"/>
        <v>0</v>
      </c>
      <c r="BQ132" s="64"/>
      <c r="BR132" s="74" t="s">
        <v>77</v>
      </c>
      <c r="BS132" s="73">
        <f t="shared" ca="1" si="657"/>
        <v>0</v>
      </c>
      <c r="BT132" s="64"/>
      <c r="BU132" s="74" t="s">
        <v>77</v>
      </c>
      <c r="BV132" s="73">
        <f t="shared" ca="1" si="658"/>
        <v>0</v>
      </c>
      <c r="BW132" s="64"/>
      <c r="BX132" s="74" t="s">
        <v>77</v>
      </c>
      <c r="BY132" s="73">
        <f t="shared" ca="1" si="659"/>
        <v>0</v>
      </c>
      <c r="BZ132" s="64"/>
      <c r="CA132" s="74" t="s">
        <v>77</v>
      </c>
      <c r="CB132" s="73">
        <f t="shared" ca="1" si="660"/>
        <v>0</v>
      </c>
      <c r="CC132" s="64"/>
      <c r="CD132" s="74" t="s">
        <v>77</v>
      </c>
      <c r="CE132" s="73">
        <f t="shared" ca="1" si="661"/>
        <v>0</v>
      </c>
      <c r="CF132" s="64"/>
      <c r="CG132" s="74" t="s">
        <v>77</v>
      </c>
      <c r="CH132" s="73">
        <f t="shared" ca="1" si="662"/>
        <v>0</v>
      </c>
      <c r="CI132" s="64"/>
      <c r="CJ132" s="74" t="s">
        <v>77</v>
      </c>
      <c r="CK132" s="73">
        <f t="shared" ca="1" si="663"/>
        <v>0</v>
      </c>
      <c r="CL132" s="64"/>
      <c r="CM132" s="74" t="s">
        <v>77</v>
      </c>
      <c r="CN132" s="73">
        <f t="shared" ca="1" si="664"/>
        <v>0</v>
      </c>
      <c r="CO132" s="64"/>
      <c r="CP132" s="74" t="s">
        <v>77</v>
      </c>
      <c r="CQ132" s="73">
        <f t="shared" ca="1" si="665"/>
        <v>0</v>
      </c>
      <c r="CR132" s="64"/>
      <c r="CS132" s="74" t="s">
        <v>77</v>
      </c>
      <c r="CT132" s="73">
        <f t="shared" ca="1" si="666"/>
        <v>0</v>
      </c>
      <c r="CU132" s="64"/>
      <c r="CV132" s="74" t="s">
        <v>77</v>
      </c>
      <c r="CW132" s="73">
        <f t="shared" ca="1" si="667"/>
        <v>0</v>
      </c>
      <c r="CX132" s="64"/>
      <c r="CY132" s="74" t="s">
        <v>1261</v>
      </c>
      <c r="CZ132" s="73">
        <f t="shared" ca="1" si="668"/>
        <v>0</v>
      </c>
      <c r="DA132" s="64"/>
      <c r="DB132" s="74" t="s">
        <v>77</v>
      </c>
      <c r="DC132" s="73">
        <f t="shared" ca="1" si="669"/>
        <v>0</v>
      </c>
      <c r="DD132" s="64"/>
      <c r="DE132" s="74" t="s">
        <v>77</v>
      </c>
      <c r="DF132" s="73">
        <f t="shared" ca="1" si="670"/>
        <v>0</v>
      </c>
      <c r="DG132" s="64"/>
      <c r="DH132" s="74" t="s">
        <v>77</v>
      </c>
      <c r="DI132" s="73">
        <f t="shared" ca="1" si="671"/>
        <v>0</v>
      </c>
      <c r="DJ132" s="64"/>
      <c r="DK132" s="74" t="s">
        <v>77</v>
      </c>
      <c r="DL132" s="73">
        <f t="shared" ca="1" si="672"/>
        <v>0</v>
      </c>
      <c r="DM132" s="64"/>
      <c r="DN132" s="795" t="s">
        <v>77</v>
      </c>
      <c r="DO132" s="73">
        <f t="shared" ca="1" si="673"/>
        <v>0</v>
      </c>
      <c r="DP132" s="64"/>
      <c r="DQ132" s="795" t="s">
        <v>77</v>
      </c>
      <c r="DR132" s="73">
        <f t="shared" ca="1" si="674"/>
        <v>0</v>
      </c>
      <c r="DS132" s="64"/>
      <c r="DT132" s="74" t="s">
        <v>77</v>
      </c>
      <c r="DU132" s="73">
        <f t="shared" ca="1" si="675"/>
        <v>0</v>
      </c>
      <c r="DV132" s="64"/>
      <c r="DW132" s="74" t="s">
        <v>77</v>
      </c>
      <c r="DX132" s="73">
        <f t="shared" ca="1" si="676"/>
        <v>0</v>
      </c>
      <c r="DY132" s="64"/>
      <c r="DZ132" s="74" t="s">
        <v>77</v>
      </c>
      <c r="EA132" s="73">
        <f t="shared" ca="1" si="677"/>
        <v>0</v>
      </c>
      <c r="EB132" s="64"/>
      <c r="EC132" s="74" t="s">
        <v>77</v>
      </c>
      <c r="ED132" s="73">
        <f t="shared" ca="1" si="678"/>
        <v>0</v>
      </c>
      <c r="EE132" s="64"/>
      <c r="EF132" s="74" t="s">
        <v>77</v>
      </c>
      <c r="EG132" s="73">
        <f t="shared" ca="1" si="679"/>
        <v>0</v>
      </c>
      <c r="EH132" s="64"/>
      <c r="EI132" s="74"/>
      <c r="EJ132" s="73">
        <f t="shared" ca="1" si="680"/>
        <v>0</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49"/>
      <c r="K133" s="56" t="str">
        <f>Idiomas!$D$198&amp;"-"&amp;ROWS($L$130:L133)</f>
        <v>Dieciseisavofinalista-4</v>
      </c>
      <c r="L133" s="53"/>
      <c r="M133" s="55" t="str">
        <f ca="1">WORLDCUP!AA104</f>
        <v>1F</v>
      </c>
      <c r="N133" s="25"/>
      <c r="O133" s="25"/>
      <c r="P133" s="25"/>
      <c r="Q133" s="25"/>
      <c r="R133" s="110"/>
      <c r="S133" s="74" t="s">
        <v>1263</v>
      </c>
      <c r="T133" s="73">
        <f t="shared" ca="1" si="640"/>
        <v>0</v>
      </c>
      <c r="U133" s="64"/>
      <c r="V133" s="74" t="s">
        <v>111</v>
      </c>
      <c r="W133" s="73">
        <f t="shared" ca="1" si="641"/>
        <v>0</v>
      </c>
      <c r="X133" s="64"/>
      <c r="Y133" s="74" t="s">
        <v>111</v>
      </c>
      <c r="Z133" s="73">
        <f t="shared" ca="1" si="642"/>
        <v>0</v>
      </c>
      <c r="AA133" s="64"/>
      <c r="AB133" s="74" t="s">
        <v>111</v>
      </c>
      <c r="AC133" s="73">
        <f t="shared" ca="1" si="643"/>
        <v>0</v>
      </c>
      <c r="AD133" s="64"/>
      <c r="AE133" s="74" t="s">
        <v>1263</v>
      </c>
      <c r="AF133" s="73">
        <f t="shared" ca="1" si="644"/>
        <v>0</v>
      </c>
      <c r="AG133" s="64"/>
      <c r="AH133" s="74" t="s">
        <v>111</v>
      </c>
      <c r="AI133" s="73">
        <f t="shared" ca="1" si="645"/>
        <v>0</v>
      </c>
      <c r="AJ133" s="64"/>
      <c r="AK133" s="74" t="s">
        <v>111</v>
      </c>
      <c r="AL133" s="73">
        <f t="shared" ca="1" si="646"/>
        <v>0</v>
      </c>
      <c r="AM133" s="64"/>
      <c r="AN133" s="74" t="s">
        <v>111</v>
      </c>
      <c r="AO133" s="73">
        <f t="shared" ca="1" si="647"/>
        <v>0</v>
      </c>
      <c r="AP133" s="64"/>
      <c r="AQ133" s="74" t="s">
        <v>111</v>
      </c>
      <c r="AR133" s="73">
        <f t="shared" ca="1" si="648"/>
        <v>0</v>
      </c>
      <c r="AS133" s="64"/>
      <c r="AT133" s="74" t="s">
        <v>111</v>
      </c>
      <c r="AU133" s="73">
        <f t="shared" ca="1" si="649"/>
        <v>0</v>
      </c>
      <c r="AV133" s="64"/>
      <c r="AW133" s="74" t="s">
        <v>111</v>
      </c>
      <c r="AX133" s="73">
        <f t="shared" ca="1" si="650"/>
        <v>0</v>
      </c>
      <c r="AY133" s="64"/>
      <c r="AZ133" s="74" t="s">
        <v>111</v>
      </c>
      <c r="BA133" s="73">
        <f t="shared" ca="1" si="651"/>
        <v>0</v>
      </c>
      <c r="BB133" s="64"/>
      <c r="BC133" s="74" t="s">
        <v>111</v>
      </c>
      <c r="BD133" s="73">
        <f t="shared" ca="1" si="652"/>
        <v>0</v>
      </c>
      <c r="BE133" s="64"/>
      <c r="BF133" s="74" t="s">
        <v>111</v>
      </c>
      <c r="BG133" s="73">
        <f t="shared" ca="1" si="653"/>
        <v>0</v>
      </c>
      <c r="BH133" s="64"/>
      <c r="BI133" s="74" t="s">
        <v>111</v>
      </c>
      <c r="BJ133" s="73">
        <f t="shared" ca="1" si="654"/>
        <v>0</v>
      </c>
      <c r="BK133" s="64"/>
      <c r="BL133" s="74" t="s">
        <v>111</v>
      </c>
      <c r="BM133" s="73">
        <f t="shared" ca="1" si="655"/>
        <v>0</v>
      </c>
      <c r="BN133" s="64"/>
      <c r="BO133" s="74" t="s">
        <v>111</v>
      </c>
      <c r="BP133" s="73">
        <f t="shared" ca="1" si="656"/>
        <v>0</v>
      </c>
      <c r="BQ133" s="64"/>
      <c r="BR133" s="74" t="s">
        <v>111</v>
      </c>
      <c r="BS133" s="73">
        <f t="shared" ca="1" si="657"/>
        <v>0</v>
      </c>
      <c r="BT133" s="64"/>
      <c r="BU133" s="74" t="s">
        <v>1263</v>
      </c>
      <c r="BV133" s="73">
        <f t="shared" ca="1" si="658"/>
        <v>0</v>
      </c>
      <c r="BW133" s="64"/>
      <c r="BX133" s="74" t="s">
        <v>111</v>
      </c>
      <c r="BY133" s="73">
        <f t="shared" ca="1" si="659"/>
        <v>0</v>
      </c>
      <c r="BZ133" s="64"/>
      <c r="CA133" s="74" t="s">
        <v>111</v>
      </c>
      <c r="CB133" s="73">
        <f t="shared" ca="1" si="660"/>
        <v>0</v>
      </c>
      <c r="CC133" s="64"/>
      <c r="CD133" s="74" t="s">
        <v>1263</v>
      </c>
      <c r="CE133" s="73">
        <f t="shared" ca="1" si="661"/>
        <v>0</v>
      </c>
      <c r="CF133" s="64"/>
      <c r="CG133" s="74" t="s">
        <v>111</v>
      </c>
      <c r="CH133" s="73">
        <f t="shared" ca="1" si="662"/>
        <v>0</v>
      </c>
      <c r="CI133" s="64"/>
      <c r="CJ133" s="74" t="s">
        <v>111</v>
      </c>
      <c r="CK133" s="73">
        <f t="shared" ca="1" si="663"/>
        <v>0</v>
      </c>
      <c r="CL133" s="64"/>
      <c r="CM133" s="74" t="s">
        <v>1263</v>
      </c>
      <c r="CN133" s="73">
        <f t="shared" ca="1" si="664"/>
        <v>0</v>
      </c>
      <c r="CO133" s="64"/>
      <c r="CP133" s="74" t="s">
        <v>1263</v>
      </c>
      <c r="CQ133" s="73">
        <f t="shared" ca="1" si="665"/>
        <v>0</v>
      </c>
      <c r="CR133" s="64"/>
      <c r="CS133" s="74" t="s">
        <v>111</v>
      </c>
      <c r="CT133" s="73">
        <f t="shared" ca="1" si="666"/>
        <v>0</v>
      </c>
      <c r="CU133" s="64"/>
      <c r="CV133" s="74" t="s">
        <v>111</v>
      </c>
      <c r="CW133" s="73">
        <f t="shared" ca="1" si="667"/>
        <v>0</v>
      </c>
      <c r="CX133" s="64"/>
      <c r="CY133" s="74" t="s">
        <v>1833</v>
      </c>
      <c r="CZ133" s="73">
        <f t="shared" ca="1" si="668"/>
        <v>0</v>
      </c>
      <c r="DA133" s="64"/>
      <c r="DB133" s="74" t="s">
        <v>111</v>
      </c>
      <c r="DC133" s="73">
        <f t="shared" ca="1" si="669"/>
        <v>0</v>
      </c>
      <c r="DD133" s="64"/>
      <c r="DE133" s="74" t="s">
        <v>111</v>
      </c>
      <c r="DF133" s="73">
        <f t="shared" ca="1" si="670"/>
        <v>0</v>
      </c>
      <c r="DG133" s="64"/>
      <c r="DH133" s="74" t="s">
        <v>111</v>
      </c>
      <c r="DI133" s="73">
        <f t="shared" ca="1" si="671"/>
        <v>0</v>
      </c>
      <c r="DJ133" s="64"/>
      <c r="DK133" s="74" t="s">
        <v>111</v>
      </c>
      <c r="DL133" s="73">
        <f t="shared" ca="1" si="672"/>
        <v>0</v>
      </c>
      <c r="DM133" s="64"/>
      <c r="DN133" s="795" t="s">
        <v>111</v>
      </c>
      <c r="DO133" s="73">
        <f t="shared" ca="1" si="673"/>
        <v>0</v>
      </c>
      <c r="DP133" s="64"/>
      <c r="DQ133" s="795" t="s">
        <v>1263</v>
      </c>
      <c r="DR133" s="73">
        <f t="shared" ca="1" si="674"/>
        <v>0</v>
      </c>
      <c r="DS133" s="64"/>
      <c r="DT133" s="74" t="s">
        <v>1833</v>
      </c>
      <c r="DU133" s="73">
        <f t="shared" ca="1" si="675"/>
        <v>0</v>
      </c>
      <c r="DV133" s="64"/>
      <c r="DW133" s="74" t="s">
        <v>111</v>
      </c>
      <c r="DX133" s="73">
        <f t="shared" ca="1" si="676"/>
        <v>0</v>
      </c>
      <c r="DY133" s="64"/>
      <c r="DZ133" s="74" t="s">
        <v>111</v>
      </c>
      <c r="EA133" s="73">
        <f t="shared" ca="1" si="677"/>
        <v>0</v>
      </c>
      <c r="EB133" s="64"/>
      <c r="EC133" s="74" t="s">
        <v>111</v>
      </c>
      <c r="ED133" s="73">
        <f t="shared" ca="1" si="678"/>
        <v>0</v>
      </c>
      <c r="EE133" s="64"/>
      <c r="EF133" s="74" t="s">
        <v>111</v>
      </c>
      <c r="EG133" s="73">
        <f t="shared" ca="1" si="679"/>
        <v>0</v>
      </c>
      <c r="EH133" s="64"/>
      <c r="EI133" s="74"/>
      <c r="EJ133" s="73">
        <f t="shared" ca="1" si="680"/>
        <v>0</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49"/>
      <c r="K134" s="56" t="str">
        <f>Idiomas!$D$198&amp;"-"&amp;ROWS($L$130:L134)</f>
        <v>Dieciseisavofinalista-5</v>
      </c>
      <c r="L134" s="53"/>
      <c r="M134" s="55" t="str">
        <f ca="1">WORLDCUP!AA105</f>
        <v>2E</v>
      </c>
      <c r="N134" s="25"/>
      <c r="O134" s="25"/>
      <c r="P134" s="25"/>
      <c r="Q134" s="25"/>
      <c r="R134" s="110"/>
      <c r="S134" s="74" t="s">
        <v>1633</v>
      </c>
      <c r="T134" s="73">
        <f t="shared" ca="1" si="640"/>
        <v>0</v>
      </c>
      <c r="U134" s="64"/>
      <c r="V134" s="74" t="s">
        <v>1261</v>
      </c>
      <c r="W134" s="73">
        <f t="shared" ca="1" si="641"/>
        <v>0</v>
      </c>
      <c r="X134" s="64"/>
      <c r="Y134" s="74" t="s">
        <v>1633</v>
      </c>
      <c r="Z134" s="73">
        <f t="shared" ca="1" si="642"/>
        <v>0</v>
      </c>
      <c r="AA134" s="64"/>
      <c r="AB134" s="74" t="s">
        <v>1261</v>
      </c>
      <c r="AC134" s="73">
        <f t="shared" ca="1" si="643"/>
        <v>0</v>
      </c>
      <c r="AD134" s="64"/>
      <c r="AE134" s="74" t="s">
        <v>1261</v>
      </c>
      <c r="AF134" s="73">
        <f t="shared" ca="1" si="644"/>
        <v>0</v>
      </c>
      <c r="AG134" s="64"/>
      <c r="AH134" s="74" t="s">
        <v>1261</v>
      </c>
      <c r="AI134" s="73">
        <f t="shared" ca="1" si="645"/>
        <v>0</v>
      </c>
      <c r="AJ134" s="64"/>
      <c r="AK134" s="74" t="s">
        <v>1261</v>
      </c>
      <c r="AL134" s="73">
        <f t="shared" ca="1" si="646"/>
        <v>0</v>
      </c>
      <c r="AM134" s="64"/>
      <c r="AN134" s="74" t="s">
        <v>1633</v>
      </c>
      <c r="AO134" s="73">
        <f t="shared" ca="1" si="647"/>
        <v>0</v>
      </c>
      <c r="AP134" s="64"/>
      <c r="AQ134" s="74" t="s">
        <v>1261</v>
      </c>
      <c r="AR134" s="73">
        <f t="shared" ca="1" si="648"/>
        <v>0</v>
      </c>
      <c r="AS134" s="64"/>
      <c r="AT134" s="74" t="s">
        <v>1261</v>
      </c>
      <c r="AU134" s="73">
        <f t="shared" ca="1" si="649"/>
        <v>0</v>
      </c>
      <c r="AV134" s="64"/>
      <c r="AW134" s="74" t="s">
        <v>1633</v>
      </c>
      <c r="AX134" s="73">
        <f t="shared" ca="1" si="650"/>
        <v>0</v>
      </c>
      <c r="AY134" s="64"/>
      <c r="AZ134" s="74" t="s">
        <v>1261</v>
      </c>
      <c r="BA134" s="73">
        <f t="shared" ca="1" si="651"/>
        <v>0</v>
      </c>
      <c r="BB134" s="64"/>
      <c r="BC134" s="74" t="s">
        <v>1261</v>
      </c>
      <c r="BD134" s="73">
        <f t="shared" ca="1" si="652"/>
        <v>0</v>
      </c>
      <c r="BE134" s="64"/>
      <c r="BF134" s="74" t="s">
        <v>1261</v>
      </c>
      <c r="BG134" s="73">
        <f t="shared" ca="1" si="653"/>
        <v>0</v>
      </c>
      <c r="BH134" s="64"/>
      <c r="BI134" s="74" t="s">
        <v>1633</v>
      </c>
      <c r="BJ134" s="73">
        <f t="shared" ca="1" si="654"/>
        <v>0</v>
      </c>
      <c r="BK134" s="64"/>
      <c r="BL134" s="74" t="s">
        <v>1261</v>
      </c>
      <c r="BM134" s="73">
        <f t="shared" ca="1" si="655"/>
        <v>0</v>
      </c>
      <c r="BN134" s="64"/>
      <c r="BO134" s="74" t="s">
        <v>1633</v>
      </c>
      <c r="BP134" s="73">
        <f t="shared" ca="1" si="656"/>
        <v>0</v>
      </c>
      <c r="BQ134" s="64"/>
      <c r="BR134" s="74" t="s">
        <v>1261</v>
      </c>
      <c r="BS134" s="73">
        <f t="shared" ca="1" si="657"/>
        <v>0</v>
      </c>
      <c r="BT134" s="64"/>
      <c r="BU134" s="74" t="s">
        <v>1633</v>
      </c>
      <c r="BV134" s="73">
        <f t="shared" ca="1" si="658"/>
        <v>0</v>
      </c>
      <c r="BW134" s="64"/>
      <c r="BX134" s="74" t="s">
        <v>1261</v>
      </c>
      <c r="BY134" s="73">
        <f t="shared" ca="1" si="659"/>
        <v>0</v>
      </c>
      <c r="BZ134" s="64"/>
      <c r="CA134" s="74" t="s">
        <v>1261</v>
      </c>
      <c r="CB134" s="73">
        <f t="shared" ca="1" si="660"/>
        <v>0</v>
      </c>
      <c r="CC134" s="64"/>
      <c r="CD134" s="74" t="s">
        <v>1261</v>
      </c>
      <c r="CE134" s="73">
        <f t="shared" ca="1" si="661"/>
        <v>0</v>
      </c>
      <c r="CF134" s="64"/>
      <c r="CG134" s="74" t="s">
        <v>1633</v>
      </c>
      <c r="CH134" s="73">
        <f t="shared" ca="1" si="662"/>
        <v>0</v>
      </c>
      <c r="CI134" s="64"/>
      <c r="CJ134" s="74" t="s">
        <v>1261</v>
      </c>
      <c r="CK134" s="73">
        <f t="shared" ca="1" si="663"/>
        <v>0</v>
      </c>
      <c r="CL134" s="64"/>
      <c r="CM134" s="74" t="s">
        <v>1261</v>
      </c>
      <c r="CN134" s="73">
        <f t="shared" ca="1" si="664"/>
        <v>0</v>
      </c>
      <c r="CO134" s="64"/>
      <c r="CP134" s="74" t="s">
        <v>1261</v>
      </c>
      <c r="CQ134" s="73">
        <f t="shared" ca="1" si="665"/>
        <v>0</v>
      </c>
      <c r="CR134" s="64"/>
      <c r="CS134" s="74" t="s">
        <v>1633</v>
      </c>
      <c r="CT134" s="73">
        <f t="shared" ca="1" si="666"/>
        <v>0</v>
      </c>
      <c r="CU134" s="64"/>
      <c r="CV134" s="74" t="s">
        <v>1261</v>
      </c>
      <c r="CW134" s="73">
        <f t="shared" ca="1" si="667"/>
        <v>0</v>
      </c>
      <c r="CX134" s="64"/>
      <c r="CY134" s="74" t="s">
        <v>1633</v>
      </c>
      <c r="CZ134" s="73">
        <f t="shared" ca="1" si="668"/>
        <v>0</v>
      </c>
      <c r="DA134" s="64"/>
      <c r="DB134" s="74" t="s">
        <v>1261</v>
      </c>
      <c r="DC134" s="73">
        <f t="shared" ca="1" si="669"/>
        <v>0</v>
      </c>
      <c r="DD134" s="64"/>
      <c r="DE134" s="74" t="s">
        <v>1261</v>
      </c>
      <c r="DF134" s="73">
        <f t="shared" ca="1" si="670"/>
        <v>0</v>
      </c>
      <c r="DG134" s="64"/>
      <c r="DH134" s="74" t="s">
        <v>1261</v>
      </c>
      <c r="DI134" s="73">
        <f t="shared" ca="1" si="671"/>
        <v>0</v>
      </c>
      <c r="DJ134" s="64"/>
      <c r="DK134" s="74" t="s">
        <v>1261</v>
      </c>
      <c r="DL134" s="73">
        <f t="shared" ca="1" si="672"/>
        <v>0</v>
      </c>
      <c r="DM134" s="64"/>
      <c r="DN134" s="795" t="s">
        <v>1261</v>
      </c>
      <c r="DO134" s="73">
        <f t="shared" ca="1" si="673"/>
        <v>0</v>
      </c>
      <c r="DP134" s="64"/>
      <c r="DQ134" s="795" t="s">
        <v>1261</v>
      </c>
      <c r="DR134" s="73">
        <f t="shared" ca="1" si="674"/>
        <v>0</v>
      </c>
      <c r="DS134" s="64"/>
      <c r="DT134" s="74" t="s">
        <v>1261</v>
      </c>
      <c r="DU134" s="73">
        <f t="shared" ca="1" si="675"/>
        <v>0</v>
      </c>
      <c r="DV134" s="64"/>
      <c r="DW134" s="74" t="s">
        <v>1261</v>
      </c>
      <c r="DX134" s="73">
        <f t="shared" ca="1" si="676"/>
        <v>0</v>
      </c>
      <c r="DY134" s="64"/>
      <c r="DZ134" s="74" t="s">
        <v>1261</v>
      </c>
      <c r="EA134" s="73">
        <f t="shared" ca="1" si="677"/>
        <v>0</v>
      </c>
      <c r="EB134" s="64"/>
      <c r="EC134" s="74" t="s">
        <v>1261</v>
      </c>
      <c r="ED134" s="73">
        <f t="shared" ca="1" si="678"/>
        <v>0</v>
      </c>
      <c r="EE134" s="64"/>
      <c r="EF134" s="74" t="s">
        <v>1261</v>
      </c>
      <c r="EG134" s="73">
        <f t="shared" ca="1" si="679"/>
        <v>0</v>
      </c>
      <c r="EH134" s="64"/>
      <c r="EI134" s="74"/>
      <c r="EJ134" s="73">
        <f t="shared" ca="1" si="680"/>
        <v>0</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49"/>
      <c r="K135" s="56" t="str">
        <f>Idiomas!$D$198&amp;"-"&amp;ROWS($L$130:L135)</f>
        <v>Dieciseisavofinalista-6</v>
      </c>
      <c r="L135" s="53"/>
      <c r="M135" s="55" t="str">
        <f ca="1">WORLDCUP!AA106</f>
        <v>1I</v>
      </c>
      <c r="N135" s="25"/>
      <c r="O135" s="25"/>
      <c r="P135" s="25"/>
      <c r="Q135" s="25"/>
      <c r="R135" s="110"/>
      <c r="S135" s="74" t="s">
        <v>74</v>
      </c>
      <c r="T135" s="73">
        <f t="shared" ca="1" si="640"/>
        <v>0</v>
      </c>
      <c r="U135" s="64"/>
      <c r="V135" s="74" t="s">
        <v>74</v>
      </c>
      <c r="W135" s="73">
        <f t="shared" ca="1" si="641"/>
        <v>0</v>
      </c>
      <c r="X135" s="64"/>
      <c r="Y135" s="74" t="s">
        <v>74</v>
      </c>
      <c r="Z135" s="73">
        <f t="shared" ca="1" si="642"/>
        <v>0</v>
      </c>
      <c r="AA135" s="64"/>
      <c r="AB135" s="74" t="s">
        <v>74</v>
      </c>
      <c r="AC135" s="73">
        <f t="shared" ca="1" si="643"/>
        <v>0</v>
      </c>
      <c r="AD135" s="64"/>
      <c r="AE135" s="74" t="s">
        <v>74</v>
      </c>
      <c r="AF135" s="73">
        <f t="shared" ca="1" si="644"/>
        <v>0</v>
      </c>
      <c r="AG135" s="64"/>
      <c r="AH135" s="74" t="s">
        <v>74</v>
      </c>
      <c r="AI135" s="73">
        <f t="shared" ca="1" si="645"/>
        <v>0</v>
      </c>
      <c r="AJ135" s="64"/>
      <c r="AK135" s="74" t="s">
        <v>74</v>
      </c>
      <c r="AL135" s="73">
        <f t="shared" ca="1" si="646"/>
        <v>0</v>
      </c>
      <c r="AM135" s="64"/>
      <c r="AN135" s="74" t="s">
        <v>74</v>
      </c>
      <c r="AO135" s="73">
        <f t="shared" ca="1" si="647"/>
        <v>0</v>
      </c>
      <c r="AP135" s="64"/>
      <c r="AQ135" s="74" t="s">
        <v>74</v>
      </c>
      <c r="AR135" s="73">
        <f t="shared" ca="1" si="648"/>
        <v>0</v>
      </c>
      <c r="AS135" s="64"/>
      <c r="AT135" s="74" t="s">
        <v>74</v>
      </c>
      <c r="AU135" s="73">
        <f t="shared" ca="1" si="649"/>
        <v>0</v>
      </c>
      <c r="AV135" s="64"/>
      <c r="AW135" s="74" t="s">
        <v>74</v>
      </c>
      <c r="AX135" s="73">
        <f t="shared" ca="1" si="650"/>
        <v>0</v>
      </c>
      <c r="AY135" s="64"/>
      <c r="AZ135" s="74" t="s">
        <v>74</v>
      </c>
      <c r="BA135" s="73">
        <f t="shared" ca="1" si="651"/>
        <v>0</v>
      </c>
      <c r="BB135" s="64"/>
      <c r="BC135" s="74" t="s">
        <v>74</v>
      </c>
      <c r="BD135" s="73">
        <f t="shared" ca="1" si="652"/>
        <v>0</v>
      </c>
      <c r="BE135" s="64"/>
      <c r="BF135" s="74" t="s">
        <v>74</v>
      </c>
      <c r="BG135" s="73">
        <f t="shared" ca="1" si="653"/>
        <v>0</v>
      </c>
      <c r="BH135" s="64"/>
      <c r="BI135" s="74" t="s">
        <v>74</v>
      </c>
      <c r="BJ135" s="73">
        <f t="shared" ca="1" si="654"/>
        <v>0</v>
      </c>
      <c r="BK135" s="64"/>
      <c r="BL135" s="74" t="s">
        <v>74</v>
      </c>
      <c r="BM135" s="73">
        <f t="shared" ca="1" si="655"/>
        <v>0</v>
      </c>
      <c r="BN135" s="64"/>
      <c r="BO135" s="74" t="s">
        <v>74</v>
      </c>
      <c r="BP135" s="73">
        <f t="shared" ca="1" si="656"/>
        <v>0</v>
      </c>
      <c r="BQ135" s="64"/>
      <c r="BR135" s="74" t="s">
        <v>74</v>
      </c>
      <c r="BS135" s="73">
        <f t="shared" ca="1" si="657"/>
        <v>0</v>
      </c>
      <c r="BT135" s="64"/>
      <c r="BU135" s="74" t="s">
        <v>74</v>
      </c>
      <c r="BV135" s="73">
        <f t="shared" ca="1" si="658"/>
        <v>0</v>
      </c>
      <c r="BW135" s="64"/>
      <c r="BX135" s="74" t="s">
        <v>74</v>
      </c>
      <c r="BY135" s="73">
        <f t="shared" ca="1" si="659"/>
        <v>0</v>
      </c>
      <c r="BZ135" s="64"/>
      <c r="CA135" s="74" t="s">
        <v>74</v>
      </c>
      <c r="CB135" s="73">
        <f t="shared" ca="1" si="660"/>
        <v>0</v>
      </c>
      <c r="CC135" s="64"/>
      <c r="CD135" s="74" t="s">
        <v>74</v>
      </c>
      <c r="CE135" s="73">
        <f t="shared" ca="1" si="661"/>
        <v>0</v>
      </c>
      <c r="CF135" s="64"/>
      <c r="CG135" s="74" t="s">
        <v>74</v>
      </c>
      <c r="CH135" s="73">
        <f t="shared" ca="1" si="662"/>
        <v>0</v>
      </c>
      <c r="CI135" s="64"/>
      <c r="CJ135" s="74" t="s">
        <v>74</v>
      </c>
      <c r="CK135" s="73">
        <f t="shared" ca="1" si="663"/>
        <v>0</v>
      </c>
      <c r="CL135" s="64"/>
      <c r="CM135" s="74" t="s">
        <v>74</v>
      </c>
      <c r="CN135" s="73">
        <f t="shared" ca="1" si="664"/>
        <v>0</v>
      </c>
      <c r="CO135" s="64"/>
      <c r="CP135" s="74" t="s">
        <v>74</v>
      </c>
      <c r="CQ135" s="73">
        <f t="shared" ca="1" si="665"/>
        <v>0</v>
      </c>
      <c r="CR135" s="64"/>
      <c r="CS135" s="74" t="s">
        <v>74</v>
      </c>
      <c r="CT135" s="73">
        <f t="shared" ca="1" si="666"/>
        <v>0</v>
      </c>
      <c r="CU135" s="64"/>
      <c r="CV135" s="74" t="s">
        <v>74</v>
      </c>
      <c r="CW135" s="73">
        <f t="shared" ca="1" si="667"/>
        <v>0</v>
      </c>
      <c r="CX135" s="64"/>
      <c r="CY135" s="74" t="s">
        <v>74</v>
      </c>
      <c r="CZ135" s="73">
        <f t="shared" ca="1" si="668"/>
        <v>0</v>
      </c>
      <c r="DA135" s="64"/>
      <c r="DB135" s="74" t="s">
        <v>74</v>
      </c>
      <c r="DC135" s="73">
        <f t="shared" ca="1" si="669"/>
        <v>0</v>
      </c>
      <c r="DD135" s="64"/>
      <c r="DE135" s="74" t="s">
        <v>74</v>
      </c>
      <c r="DF135" s="73">
        <f t="shared" ca="1" si="670"/>
        <v>0</v>
      </c>
      <c r="DG135" s="64"/>
      <c r="DH135" s="74" t="s">
        <v>74</v>
      </c>
      <c r="DI135" s="73">
        <f t="shared" ca="1" si="671"/>
        <v>0</v>
      </c>
      <c r="DJ135" s="64"/>
      <c r="DK135" s="74" t="s">
        <v>74</v>
      </c>
      <c r="DL135" s="73">
        <f t="shared" ca="1" si="672"/>
        <v>0</v>
      </c>
      <c r="DM135" s="64"/>
      <c r="DN135" s="795" t="s">
        <v>74</v>
      </c>
      <c r="DO135" s="73">
        <f t="shared" ca="1" si="673"/>
        <v>0</v>
      </c>
      <c r="DP135" s="64"/>
      <c r="DQ135" s="795" t="s">
        <v>74</v>
      </c>
      <c r="DR135" s="73">
        <f t="shared" ca="1" si="674"/>
        <v>0</v>
      </c>
      <c r="DS135" s="64"/>
      <c r="DT135" s="74" t="s">
        <v>74</v>
      </c>
      <c r="DU135" s="73">
        <f t="shared" ca="1" si="675"/>
        <v>0</v>
      </c>
      <c r="DV135" s="64"/>
      <c r="DW135" s="74" t="s">
        <v>74</v>
      </c>
      <c r="DX135" s="73">
        <f t="shared" ca="1" si="676"/>
        <v>0</v>
      </c>
      <c r="DY135" s="64"/>
      <c r="DZ135" s="74" t="s">
        <v>74</v>
      </c>
      <c r="EA135" s="73">
        <f t="shared" ca="1" si="677"/>
        <v>0</v>
      </c>
      <c r="EB135" s="64"/>
      <c r="EC135" s="74" t="s">
        <v>74</v>
      </c>
      <c r="ED135" s="73">
        <f t="shared" ca="1" si="678"/>
        <v>0</v>
      </c>
      <c r="EE135" s="64"/>
      <c r="EF135" s="74" t="s">
        <v>1634</v>
      </c>
      <c r="EG135" s="73">
        <f t="shared" ca="1" si="679"/>
        <v>0</v>
      </c>
      <c r="EH135" s="64"/>
      <c r="EI135" s="74"/>
      <c r="EJ135" s="73">
        <f t="shared" ca="1" si="680"/>
        <v>0</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49"/>
      <c r="K136" s="56" t="str">
        <f>Idiomas!$D$198&amp;"-"&amp;ROWS($L$130:L136)</f>
        <v>Dieciseisavofinalista-7</v>
      </c>
      <c r="L136" s="53"/>
      <c r="M136" s="55" t="str">
        <f ca="1">WORLDCUP!AA107</f>
        <v>1A</v>
      </c>
      <c r="N136" s="25"/>
      <c r="O136" s="25"/>
      <c r="P136" s="25"/>
      <c r="Q136" s="25"/>
      <c r="R136" s="110"/>
      <c r="S136" s="74" t="s">
        <v>1265</v>
      </c>
      <c r="T136" s="73">
        <f t="shared" ca="1" si="640"/>
        <v>0</v>
      </c>
      <c r="U136" s="64"/>
      <c r="V136" s="74" t="s">
        <v>1265</v>
      </c>
      <c r="W136" s="73">
        <f t="shared" ca="1" si="641"/>
        <v>0</v>
      </c>
      <c r="X136" s="64"/>
      <c r="Y136" s="74" t="s">
        <v>1265</v>
      </c>
      <c r="Z136" s="73">
        <f t="shared" ca="1" si="642"/>
        <v>0</v>
      </c>
      <c r="AA136" s="64"/>
      <c r="AB136" s="74" t="s">
        <v>1265</v>
      </c>
      <c r="AC136" s="73">
        <f t="shared" ca="1" si="643"/>
        <v>0</v>
      </c>
      <c r="AD136" s="64"/>
      <c r="AE136" s="74" t="s">
        <v>1265</v>
      </c>
      <c r="AF136" s="73">
        <f t="shared" ca="1" si="644"/>
        <v>0</v>
      </c>
      <c r="AG136" s="64"/>
      <c r="AH136" s="74" t="s">
        <v>1265</v>
      </c>
      <c r="AI136" s="73">
        <f t="shared" ca="1" si="645"/>
        <v>0</v>
      </c>
      <c r="AJ136" s="64"/>
      <c r="AK136" s="74" t="s">
        <v>1265</v>
      </c>
      <c r="AL136" s="73">
        <f t="shared" ca="1" si="646"/>
        <v>0</v>
      </c>
      <c r="AM136" s="64"/>
      <c r="AN136" s="74" t="s">
        <v>1265</v>
      </c>
      <c r="AO136" s="73">
        <f t="shared" ca="1" si="647"/>
        <v>0</v>
      </c>
      <c r="AP136" s="64"/>
      <c r="AQ136" s="74" t="s">
        <v>1265</v>
      </c>
      <c r="AR136" s="73">
        <f t="shared" ca="1" si="648"/>
        <v>0</v>
      </c>
      <c r="AS136" s="64"/>
      <c r="AT136" s="74" t="s">
        <v>1265</v>
      </c>
      <c r="AU136" s="73">
        <f t="shared" ca="1" si="649"/>
        <v>0</v>
      </c>
      <c r="AV136" s="64"/>
      <c r="AW136" s="74" t="s">
        <v>1265</v>
      </c>
      <c r="AX136" s="73">
        <f t="shared" ca="1" si="650"/>
        <v>0</v>
      </c>
      <c r="AY136" s="64"/>
      <c r="AZ136" s="74" t="s">
        <v>1265</v>
      </c>
      <c r="BA136" s="73">
        <f t="shared" ca="1" si="651"/>
        <v>0</v>
      </c>
      <c r="BB136" s="64"/>
      <c r="BC136" s="74" t="s">
        <v>1260</v>
      </c>
      <c r="BD136" s="73">
        <f t="shared" ca="1" si="652"/>
        <v>0</v>
      </c>
      <c r="BE136" s="64"/>
      <c r="BF136" s="74" t="s">
        <v>1265</v>
      </c>
      <c r="BG136" s="73">
        <f t="shared" ca="1" si="653"/>
        <v>0</v>
      </c>
      <c r="BH136" s="64"/>
      <c r="BI136" s="74" t="s">
        <v>1265</v>
      </c>
      <c r="BJ136" s="73">
        <f t="shared" ca="1" si="654"/>
        <v>0</v>
      </c>
      <c r="BK136" s="64"/>
      <c r="BL136" s="74" t="s">
        <v>1265</v>
      </c>
      <c r="BM136" s="73">
        <f t="shared" ca="1" si="655"/>
        <v>0</v>
      </c>
      <c r="BN136" s="64"/>
      <c r="BO136" s="74" t="s">
        <v>1265</v>
      </c>
      <c r="BP136" s="73">
        <f t="shared" ca="1" si="656"/>
        <v>0</v>
      </c>
      <c r="BQ136" s="64"/>
      <c r="BR136" s="74" t="s">
        <v>1265</v>
      </c>
      <c r="BS136" s="73">
        <f t="shared" ca="1" si="657"/>
        <v>0</v>
      </c>
      <c r="BT136" s="64"/>
      <c r="BU136" s="74" t="s">
        <v>1260</v>
      </c>
      <c r="BV136" s="73">
        <f t="shared" ca="1" si="658"/>
        <v>0</v>
      </c>
      <c r="BW136" s="64"/>
      <c r="BX136" s="74" t="s">
        <v>1265</v>
      </c>
      <c r="BY136" s="73">
        <f t="shared" ca="1" si="659"/>
        <v>0</v>
      </c>
      <c r="BZ136" s="64"/>
      <c r="CA136" s="74" t="s">
        <v>1260</v>
      </c>
      <c r="CB136" s="73">
        <f t="shared" ca="1" si="660"/>
        <v>0</v>
      </c>
      <c r="CC136" s="64"/>
      <c r="CD136" s="74" t="s">
        <v>1265</v>
      </c>
      <c r="CE136" s="73">
        <f t="shared" ca="1" si="661"/>
        <v>0</v>
      </c>
      <c r="CF136" s="64"/>
      <c r="CG136" s="74" t="s">
        <v>1265</v>
      </c>
      <c r="CH136" s="73">
        <f t="shared" ca="1" si="662"/>
        <v>0</v>
      </c>
      <c r="CI136" s="64"/>
      <c r="CJ136" s="74" t="s">
        <v>1265</v>
      </c>
      <c r="CK136" s="73">
        <f t="shared" ca="1" si="663"/>
        <v>0</v>
      </c>
      <c r="CL136" s="64"/>
      <c r="CM136" s="74" t="s">
        <v>1265</v>
      </c>
      <c r="CN136" s="73">
        <f t="shared" ca="1" si="664"/>
        <v>0</v>
      </c>
      <c r="CO136" s="64"/>
      <c r="CP136" s="74" t="s">
        <v>1265</v>
      </c>
      <c r="CQ136" s="73">
        <f t="shared" ca="1" si="665"/>
        <v>0</v>
      </c>
      <c r="CR136" s="64"/>
      <c r="CS136" s="74" t="s">
        <v>1265</v>
      </c>
      <c r="CT136" s="73">
        <f t="shared" ca="1" si="666"/>
        <v>0</v>
      </c>
      <c r="CU136" s="64"/>
      <c r="CV136" s="74" t="s">
        <v>1265</v>
      </c>
      <c r="CW136" s="73">
        <f t="shared" ca="1" si="667"/>
        <v>0</v>
      </c>
      <c r="CX136" s="64"/>
      <c r="CY136" s="74" t="s">
        <v>1265</v>
      </c>
      <c r="CZ136" s="73">
        <f t="shared" ca="1" si="668"/>
        <v>0</v>
      </c>
      <c r="DA136" s="64"/>
      <c r="DB136" s="74" t="s">
        <v>1265</v>
      </c>
      <c r="DC136" s="73">
        <f t="shared" ca="1" si="669"/>
        <v>0</v>
      </c>
      <c r="DD136" s="64"/>
      <c r="DE136" s="74" t="s">
        <v>1265</v>
      </c>
      <c r="DF136" s="73">
        <f t="shared" ca="1" si="670"/>
        <v>0</v>
      </c>
      <c r="DG136" s="64"/>
      <c r="DH136" s="74" t="s">
        <v>1260</v>
      </c>
      <c r="DI136" s="73">
        <f t="shared" ca="1" si="671"/>
        <v>0</v>
      </c>
      <c r="DJ136" s="64"/>
      <c r="DK136" s="74" t="s">
        <v>1843</v>
      </c>
      <c r="DL136" s="73">
        <f t="shared" ca="1" si="672"/>
        <v>0</v>
      </c>
      <c r="DM136" s="64"/>
      <c r="DN136" s="795" t="s">
        <v>1265</v>
      </c>
      <c r="DO136" s="73">
        <f t="shared" ca="1" si="673"/>
        <v>0</v>
      </c>
      <c r="DP136" s="64"/>
      <c r="DQ136" s="795" t="s">
        <v>1265</v>
      </c>
      <c r="DR136" s="73">
        <f t="shared" ca="1" si="674"/>
        <v>0</v>
      </c>
      <c r="DS136" s="64"/>
      <c r="DT136" s="74" t="s">
        <v>1265</v>
      </c>
      <c r="DU136" s="73">
        <f t="shared" ca="1" si="675"/>
        <v>0</v>
      </c>
      <c r="DV136" s="64"/>
      <c r="DW136" s="74" t="s">
        <v>1265</v>
      </c>
      <c r="DX136" s="73">
        <f t="shared" ca="1" si="676"/>
        <v>0</v>
      </c>
      <c r="DY136" s="64"/>
      <c r="DZ136" s="74" t="s">
        <v>1265</v>
      </c>
      <c r="EA136" s="73">
        <f t="shared" ca="1" si="677"/>
        <v>0</v>
      </c>
      <c r="EB136" s="64"/>
      <c r="EC136" s="74" t="s">
        <v>1265</v>
      </c>
      <c r="ED136" s="73">
        <f t="shared" ca="1" si="678"/>
        <v>0</v>
      </c>
      <c r="EE136" s="64"/>
      <c r="EF136" s="74" t="s">
        <v>1265</v>
      </c>
      <c r="EG136" s="73">
        <f t="shared" ca="1" si="679"/>
        <v>0</v>
      </c>
      <c r="EH136" s="64"/>
      <c r="EI136" s="74"/>
      <c r="EJ136" s="73">
        <f t="shared" ca="1" si="680"/>
        <v>0</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49"/>
      <c r="K137" s="56" t="str">
        <f>Idiomas!$D$198&amp;"-"&amp;ROWS($L$130:L137)</f>
        <v>Dieciseisavofinalista-8</v>
      </c>
      <c r="L137" s="53"/>
      <c r="M137" s="55" t="str">
        <f ca="1">WORLDCUP!AA108</f>
        <v>1L</v>
      </c>
      <c r="N137" s="25"/>
      <c r="O137" s="25"/>
      <c r="P137" s="25"/>
      <c r="Q137" s="25"/>
      <c r="R137" s="110"/>
      <c r="S137" s="74" t="s">
        <v>76</v>
      </c>
      <c r="T137" s="73">
        <f t="shared" ca="1" si="640"/>
        <v>0</v>
      </c>
      <c r="U137" s="64"/>
      <c r="V137" s="74" t="s">
        <v>76</v>
      </c>
      <c r="W137" s="73">
        <f t="shared" ca="1" si="641"/>
        <v>0</v>
      </c>
      <c r="X137" s="64"/>
      <c r="Y137" s="74" t="s">
        <v>76</v>
      </c>
      <c r="Z137" s="73">
        <f t="shared" ca="1" si="642"/>
        <v>0</v>
      </c>
      <c r="AA137" s="64"/>
      <c r="AB137" s="74" t="s">
        <v>76</v>
      </c>
      <c r="AC137" s="73">
        <f t="shared" ca="1" si="643"/>
        <v>0</v>
      </c>
      <c r="AD137" s="64"/>
      <c r="AE137" s="74" t="s">
        <v>76</v>
      </c>
      <c r="AF137" s="73">
        <f t="shared" ca="1" si="644"/>
        <v>0</v>
      </c>
      <c r="AG137" s="64"/>
      <c r="AH137" s="74" t="s">
        <v>78</v>
      </c>
      <c r="AI137" s="73">
        <f t="shared" ca="1" si="645"/>
        <v>0</v>
      </c>
      <c r="AJ137" s="64"/>
      <c r="AK137" s="74" t="s">
        <v>76</v>
      </c>
      <c r="AL137" s="73">
        <f t="shared" ca="1" si="646"/>
        <v>0</v>
      </c>
      <c r="AM137" s="64"/>
      <c r="AN137" s="74" t="s">
        <v>76</v>
      </c>
      <c r="AO137" s="73">
        <f t="shared" ca="1" si="647"/>
        <v>0</v>
      </c>
      <c r="AP137" s="64"/>
      <c r="AQ137" s="74" t="s">
        <v>76</v>
      </c>
      <c r="AR137" s="73">
        <f t="shared" ca="1" si="648"/>
        <v>0</v>
      </c>
      <c r="AS137" s="64"/>
      <c r="AT137" s="74" t="s">
        <v>76</v>
      </c>
      <c r="AU137" s="73">
        <f t="shared" ca="1" si="649"/>
        <v>0</v>
      </c>
      <c r="AV137" s="64"/>
      <c r="AW137" s="74" t="s">
        <v>76</v>
      </c>
      <c r="AX137" s="73">
        <f t="shared" ca="1" si="650"/>
        <v>0</v>
      </c>
      <c r="AY137" s="64"/>
      <c r="AZ137" s="74" t="s">
        <v>76</v>
      </c>
      <c r="BA137" s="73">
        <f t="shared" ca="1" si="651"/>
        <v>0</v>
      </c>
      <c r="BB137" s="64"/>
      <c r="BC137" s="74" t="s">
        <v>78</v>
      </c>
      <c r="BD137" s="73">
        <f t="shared" ca="1" si="652"/>
        <v>0</v>
      </c>
      <c r="BE137" s="64"/>
      <c r="BF137" s="74" t="s">
        <v>76</v>
      </c>
      <c r="BG137" s="73">
        <f t="shared" ca="1" si="653"/>
        <v>0</v>
      </c>
      <c r="BH137" s="64"/>
      <c r="BI137" s="74" t="s">
        <v>76</v>
      </c>
      <c r="BJ137" s="73">
        <f t="shared" ca="1" si="654"/>
        <v>0</v>
      </c>
      <c r="BK137" s="64"/>
      <c r="BL137" s="74" t="s">
        <v>76</v>
      </c>
      <c r="BM137" s="73">
        <f t="shared" ca="1" si="655"/>
        <v>0</v>
      </c>
      <c r="BN137" s="64"/>
      <c r="BO137" s="74" t="s">
        <v>76</v>
      </c>
      <c r="BP137" s="73">
        <f t="shared" ca="1" si="656"/>
        <v>0</v>
      </c>
      <c r="BQ137" s="64"/>
      <c r="BR137" s="74" t="s">
        <v>76</v>
      </c>
      <c r="BS137" s="73">
        <f t="shared" ca="1" si="657"/>
        <v>0</v>
      </c>
      <c r="BT137" s="64"/>
      <c r="BU137" s="74" t="s">
        <v>76</v>
      </c>
      <c r="BV137" s="73">
        <f t="shared" ca="1" si="658"/>
        <v>0</v>
      </c>
      <c r="BW137" s="64"/>
      <c r="BX137" s="74" t="s">
        <v>76</v>
      </c>
      <c r="BY137" s="73">
        <f t="shared" ca="1" si="659"/>
        <v>0</v>
      </c>
      <c r="BZ137" s="64"/>
      <c r="CA137" s="74" t="s">
        <v>76</v>
      </c>
      <c r="CB137" s="73">
        <f t="shared" ca="1" si="660"/>
        <v>0</v>
      </c>
      <c r="CC137" s="64"/>
      <c r="CD137" s="74" t="s">
        <v>78</v>
      </c>
      <c r="CE137" s="73">
        <f t="shared" ca="1" si="661"/>
        <v>0</v>
      </c>
      <c r="CF137" s="64"/>
      <c r="CG137" s="74" t="s">
        <v>76</v>
      </c>
      <c r="CH137" s="73">
        <f t="shared" ca="1" si="662"/>
        <v>0</v>
      </c>
      <c r="CI137" s="64"/>
      <c r="CJ137" s="74" t="s">
        <v>76</v>
      </c>
      <c r="CK137" s="73">
        <f t="shared" ca="1" si="663"/>
        <v>0</v>
      </c>
      <c r="CL137" s="64"/>
      <c r="CM137" s="74" t="s">
        <v>76</v>
      </c>
      <c r="CN137" s="73">
        <f t="shared" ca="1" si="664"/>
        <v>0</v>
      </c>
      <c r="CO137" s="64"/>
      <c r="CP137" s="74" t="s">
        <v>76</v>
      </c>
      <c r="CQ137" s="73">
        <f t="shared" ca="1" si="665"/>
        <v>0</v>
      </c>
      <c r="CR137" s="64"/>
      <c r="CS137" s="74" t="s">
        <v>76</v>
      </c>
      <c r="CT137" s="73">
        <f t="shared" ca="1" si="666"/>
        <v>0</v>
      </c>
      <c r="CU137" s="64"/>
      <c r="CV137" s="74" t="s">
        <v>76</v>
      </c>
      <c r="CW137" s="73">
        <f t="shared" ca="1" si="667"/>
        <v>0</v>
      </c>
      <c r="CX137" s="64"/>
      <c r="CY137" s="74" t="s">
        <v>76</v>
      </c>
      <c r="CZ137" s="73">
        <f t="shared" ca="1" si="668"/>
        <v>0</v>
      </c>
      <c r="DA137" s="64"/>
      <c r="DB137" s="74" t="s">
        <v>76</v>
      </c>
      <c r="DC137" s="73">
        <f t="shared" ca="1" si="669"/>
        <v>0</v>
      </c>
      <c r="DD137" s="64"/>
      <c r="DE137" s="74" t="s">
        <v>76</v>
      </c>
      <c r="DF137" s="73">
        <f t="shared" ca="1" si="670"/>
        <v>0</v>
      </c>
      <c r="DG137" s="64"/>
      <c r="DH137" s="74" t="s">
        <v>76</v>
      </c>
      <c r="DI137" s="73">
        <f t="shared" ca="1" si="671"/>
        <v>0</v>
      </c>
      <c r="DJ137" s="64"/>
      <c r="DK137" s="74" t="s">
        <v>1551</v>
      </c>
      <c r="DL137" s="73">
        <f t="shared" ca="1" si="672"/>
        <v>0</v>
      </c>
      <c r="DM137" s="64"/>
      <c r="DN137" s="795" t="s">
        <v>76</v>
      </c>
      <c r="DO137" s="73">
        <f t="shared" ca="1" si="673"/>
        <v>0</v>
      </c>
      <c r="DP137" s="64"/>
      <c r="DQ137" s="795" t="s">
        <v>78</v>
      </c>
      <c r="DR137" s="73">
        <f t="shared" ca="1" si="674"/>
        <v>0</v>
      </c>
      <c r="DS137" s="64"/>
      <c r="DT137" s="74" t="s">
        <v>78</v>
      </c>
      <c r="DU137" s="73">
        <f t="shared" ca="1" si="675"/>
        <v>0</v>
      </c>
      <c r="DV137" s="64"/>
      <c r="DW137" s="74" t="s">
        <v>76</v>
      </c>
      <c r="DX137" s="73">
        <f t="shared" ca="1" si="676"/>
        <v>0</v>
      </c>
      <c r="DY137" s="64"/>
      <c r="DZ137" s="74" t="s">
        <v>76</v>
      </c>
      <c r="EA137" s="73">
        <f t="shared" ca="1" si="677"/>
        <v>0</v>
      </c>
      <c r="EB137" s="64"/>
      <c r="EC137" s="74" t="s">
        <v>76</v>
      </c>
      <c r="ED137" s="73">
        <f t="shared" ca="1" si="678"/>
        <v>0</v>
      </c>
      <c r="EE137" s="64"/>
      <c r="EF137" s="74" t="s">
        <v>76</v>
      </c>
      <c r="EG137" s="73">
        <f t="shared" ca="1" si="679"/>
        <v>0</v>
      </c>
      <c r="EH137" s="64"/>
      <c r="EI137" s="74"/>
      <c r="EJ137" s="73">
        <f t="shared" ca="1" si="680"/>
        <v>0</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49"/>
      <c r="K138" s="56" t="str">
        <f>Idiomas!$D$198&amp;"-"&amp;ROWS($L$130:L138)</f>
        <v>Dieciseisavofinalista-9</v>
      </c>
      <c r="L138" s="53"/>
      <c r="M138" s="55" t="str">
        <f ca="1">WORLDCUP!AA109</f>
        <v>1G</v>
      </c>
      <c r="N138" s="25"/>
      <c r="O138" s="25"/>
      <c r="P138" s="25"/>
      <c r="Q138" s="25"/>
      <c r="R138" s="110"/>
      <c r="S138" s="74" t="s">
        <v>110</v>
      </c>
      <c r="T138" s="73">
        <f t="shared" ca="1" si="640"/>
        <v>0</v>
      </c>
      <c r="U138" s="64"/>
      <c r="V138" s="74" t="s">
        <v>110</v>
      </c>
      <c r="W138" s="73">
        <f t="shared" ca="1" si="641"/>
        <v>0</v>
      </c>
      <c r="X138" s="64"/>
      <c r="Y138" s="74" t="s">
        <v>110</v>
      </c>
      <c r="Z138" s="73">
        <f t="shared" ca="1" si="642"/>
        <v>0</v>
      </c>
      <c r="AA138" s="64"/>
      <c r="AB138" s="74" t="s">
        <v>110</v>
      </c>
      <c r="AC138" s="73">
        <f t="shared" ca="1" si="643"/>
        <v>0</v>
      </c>
      <c r="AD138" s="64"/>
      <c r="AE138" s="74" t="s">
        <v>110</v>
      </c>
      <c r="AF138" s="73">
        <f t="shared" ca="1" si="644"/>
        <v>0</v>
      </c>
      <c r="AG138" s="64"/>
      <c r="AH138" s="74" t="s">
        <v>110</v>
      </c>
      <c r="AI138" s="73">
        <f t="shared" ca="1" si="645"/>
        <v>0</v>
      </c>
      <c r="AJ138" s="64"/>
      <c r="AK138" s="74" t="s">
        <v>110</v>
      </c>
      <c r="AL138" s="73">
        <f t="shared" ca="1" si="646"/>
        <v>0</v>
      </c>
      <c r="AM138" s="64"/>
      <c r="AN138" s="74" t="s">
        <v>110</v>
      </c>
      <c r="AO138" s="73">
        <f t="shared" ca="1" si="647"/>
        <v>0</v>
      </c>
      <c r="AP138" s="64"/>
      <c r="AQ138" s="74" t="s">
        <v>110</v>
      </c>
      <c r="AR138" s="73">
        <f t="shared" ca="1" si="648"/>
        <v>0</v>
      </c>
      <c r="AS138" s="64"/>
      <c r="AT138" s="74" t="s">
        <v>110</v>
      </c>
      <c r="AU138" s="73">
        <f t="shared" ca="1" si="649"/>
        <v>0</v>
      </c>
      <c r="AV138" s="64"/>
      <c r="AW138" s="74" t="s">
        <v>110</v>
      </c>
      <c r="AX138" s="73">
        <f t="shared" ca="1" si="650"/>
        <v>0</v>
      </c>
      <c r="AY138" s="64"/>
      <c r="AZ138" s="74" t="s">
        <v>110</v>
      </c>
      <c r="BA138" s="73">
        <f t="shared" ca="1" si="651"/>
        <v>0</v>
      </c>
      <c r="BB138" s="64"/>
      <c r="BC138" s="74" t="s">
        <v>110</v>
      </c>
      <c r="BD138" s="73">
        <f t="shared" ca="1" si="652"/>
        <v>0</v>
      </c>
      <c r="BE138" s="64"/>
      <c r="BF138" s="74" t="s">
        <v>110</v>
      </c>
      <c r="BG138" s="73">
        <f t="shared" ca="1" si="653"/>
        <v>0</v>
      </c>
      <c r="BH138" s="64"/>
      <c r="BI138" s="74" t="s">
        <v>110</v>
      </c>
      <c r="BJ138" s="73">
        <f t="shared" ca="1" si="654"/>
        <v>0</v>
      </c>
      <c r="BK138" s="64"/>
      <c r="BL138" s="74" t="s">
        <v>110</v>
      </c>
      <c r="BM138" s="73">
        <f t="shared" ca="1" si="655"/>
        <v>0</v>
      </c>
      <c r="BN138" s="64"/>
      <c r="BO138" s="74" t="s">
        <v>110</v>
      </c>
      <c r="BP138" s="73">
        <f t="shared" ca="1" si="656"/>
        <v>0</v>
      </c>
      <c r="BQ138" s="64"/>
      <c r="BR138" s="74" t="s">
        <v>110</v>
      </c>
      <c r="BS138" s="73">
        <f t="shared" ca="1" si="657"/>
        <v>0</v>
      </c>
      <c r="BT138" s="64"/>
      <c r="BU138" s="74" t="s">
        <v>110</v>
      </c>
      <c r="BV138" s="73">
        <f t="shared" ca="1" si="658"/>
        <v>0</v>
      </c>
      <c r="BW138" s="64"/>
      <c r="BX138" s="74" t="s">
        <v>1550</v>
      </c>
      <c r="BY138" s="73">
        <f t="shared" ca="1" si="659"/>
        <v>0</v>
      </c>
      <c r="BZ138" s="64"/>
      <c r="CA138" s="74" t="s">
        <v>110</v>
      </c>
      <c r="CB138" s="73">
        <f t="shared" ca="1" si="660"/>
        <v>0</v>
      </c>
      <c r="CC138" s="64"/>
      <c r="CD138" s="74" t="s">
        <v>110</v>
      </c>
      <c r="CE138" s="73">
        <f t="shared" ca="1" si="661"/>
        <v>0</v>
      </c>
      <c r="CF138" s="64"/>
      <c r="CG138" s="74" t="s">
        <v>110</v>
      </c>
      <c r="CH138" s="73">
        <f t="shared" ca="1" si="662"/>
        <v>0</v>
      </c>
      <c r="CI138" s="64"/>
      <c r="CJ138" s="74" t="s">
        <v>110</v>
      </c>
      <c r="CK138" s="73">
        <f t="shared" ca="1" si="663"/>
        <v>0</v>
      </c>
      <c r="CL138" s="64"/>
      <c r="CM138" s="74" t="s">
        <v>110</v>
      </c>
      <c r="CN138" s="73">
        <f t="shared" ca="1" si="664"/>
        <v>0</v>
      </c>
      <c r="CO138" s="64"/>
      <c r="CP138" s="74" t="s">
        <v>110</v>
      </c>
      <c r="CQ138" s="73">
        <f t="shared" ca="1" si="665"/>
        <v>0</v>
      </c>
      <c r="CR138" s="64"/>
      <c r="CS138" s="74" t="s">
        <v>110</v>
      </c>
      <c r="CT138" s="73">
        <f t="shared" ca="1" si="666"/>
        <v>0</v>
      </c>
      <c r="CU138" s="64"/>
      <c r="CV138" s="74" t="s">
        <v>110</v>
      </c>
      <c r="CW138" s="73">
        <f t="shared" ca="1" si="667"/>
        <v>0</v>
      </c>
      <c r="CX138" s="64"/>
      <c r="CY138" s="74" t="s">
        <v>110</v>
      </c>
      <c r="CZ138" s="73">
        <f t="shared" ca="1" si="668"/>
        <v>0</v>
      </c>
      <c r="DA138" s="64"/>
      <c r="DB138" s="74" t="s">
        <v>110</v>
      </c>
      <c r="DC138" s="73">
        <f t="shared" ca="1" si="669"/>
        <v>0</v>
      </c>
      <c r="DD138" s="64"/>
      <c r="DE138" s="74" t="s">
        <v>110</v>
      </c>
      <c r="DF138" s="73">
        <f t="shared" ca="1" si="670"/>
        <v>0</v>
      </c>
      <c r="DG138" s="64"/>
      <c r="DH138" s="74" t="s">
        <v>110</v>
      </c>
      <c r="DI138" s="73">
        <f t="shared" ca="1" si="671"/>
        <v>0</v>
      </c>
      <c r="DJ138" s="64"/>
      <c r="DK138" s="74" t="s">
        <v>110</v>
      </c>
      <c r="DL138" s="73">
        <f t="shared" ca="1" si="672"/>
        <v>0</v>
      </c>
      <c r="DM138" s="64"/>
      <c r="DN138" s="795" t="s">
        <v>110</v>
      </c>
      <c r="DO138" s="73">
        <f t="shared" ca="1" si="673"/>
        <v>0</v>
      </c>
      <c r="DP138" s="64"/>
      <c r="DQ138" s="795" t="s">
        <v>1550</v>
      </c>
      <c r="DR138" s="73">
        <f t="shared" ca="1" si="674"/>
        <v>0</v>
      </c>
      <c r="DS138" s="64"/>
      <c r="DT138" s="74" t="s">
        <v>110</v>
      </c>
      <c r="DU138" s="73">
        <f t="shared" ca="1" si="675"/>
        <v>0</v>
      </c>
      <c r="DV138" s="64"/>
      <c r="DW138" s="74" t="s">
        <v>110</v>
      </c>
      <c r="DX138" s="73">
        <f t="shared" ca="1" si="676"/>
        <v>0</v>
      </c>
      <c r="DY138" s="64"/>
      <c r="DZ138" s="74" t="s">
        <v>110</v>
      </c>
      <c r="EA138" s="73">
        <f t="shared" ca="1" si="677"/>
        <v>0</v>
      </c>
      <c r="EB138" s="64"/>
      <c r="EC138" s="74" t="s">
        <v>110</v>
      </c>
      <c r="ED138" s="73">
        <f t="shared" ca="1" si="678"/>
        <v>0</v>
      </c>
      <c r="EE138" s="64"/>
      <c r="EF138" s="74" t="s">
        <v>110</v>
      </c>
      <c r="EG138" s="73">
        <f t="shared" ca="1" si="679"/>
        <v>0</v>
      </c>
      <c r="EH138" s="64"/>
      <c r="EI138" s="74"/>
      <c r="EJ138" s="73">
        <f t="shared" ca="1" si="680"/>
        <v>0</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49"/>
      <c r="K139" s="56" t="str">
        <f>Idiomas!$D$198&amp;"-"&amp;ROWS($L$130:L139)</f>
        <v>Dieciseisavofinalista-10</v>
      </c>
      <c r="L139" s="53"/>
      <c r="M139" s="55" t="str">
        <f ca="1">WORLDCUP!AA110</f>
        <v>1D</v>
      </c>
      <c r="N139" s="25"/>
      <c r="O139" s="25"/>
      <c r="P139" s="25"/>
      <c r="Q139" s="25"/>
      <c r="R139" s="110"/>
      <c r="S139" s="74" t="s">
        <v>497</v>
      </c>
      <c r="T139" s="73">
        <f t="shared" ca="1" si="640"/>
        <v>0</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0</v>
      </c>
      <c r="AG139" s="64"/>
      <c r="AH139" s="74" t="s">
        <v>497</v>
      </c>
      <c r="AI139" s="73">
        <f t="shared" ca="1" si="645"/>
        <v>0</v>
      </c>
      <c r="AJ139" s="64"/>
      <c r="AK139" s="74" t="s">
        <v>1835</v>
      </c>
      <c r="AL139" s="73">
        <f t="shared" ca="1" si="646"/>
        <v>0</v>
      </c>
      <c r="AM139" s="64"/>
      <c r="AN139" s="74" t="s">
        <v>1835</v>
      </c>
      <c r="AO139" s="73">
        <f t="shared" ca="1" si="647"/>
        <v>0</v>
      </c>
      <c r="AP139" s="64"/>
      <c r="AQ139" s="74" t="s">
        <v>497</v>
      </c>
      <c r="AR139" s="73">
        <f t="shared" ca="1" si="648"/>
        <v>0</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0</v>
      </c>
      <c r="BH139" s="64"/>
      <c r="BI139" s="74" t="s">
        <v>1835</v>
      </c>
      <c r="BJ139" s="73">
        <f t="shared" ca="1" si="654"/>
        <v>0</v>
      </c>
      <c r="BK139" s="64"/>
      <c r="BL139" s="74" t="s">
        <v>497</v>
      </c>
      <c r="BM139" s="73">
        <f t="shared" ca="1" si="655"/>
        <v>0</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0</v>
      </c>
      <c r="CI139" s="64"/>
      <c r="CJ139" s="74" t="s">
        <v>497</v>
      </c>
      <c r="CK139" s="73">
        <f t="shared" ca="1" si="663"/>
        <v>0</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0</v>
      </c>
      <c r="DS139" s="64"/>
      <c r="DT139" s="74" t="s">
        <v>497</v>
      </c>
      <c r="DU139" s="73">
        <f t="shared" ca="1" si="675"/>
        <v>0</v>
      </c>
      <c r="DV139" s="64"/>
      <c r="DW139" s="74" t="s">
        <v>1835</v>
      </c>
      <c r="DX139" s="73">
        <f t="shared" ca="1" si="676"/>
        <v>0</v>
      </c>
      <c r="DY139" s="64"/>
      <c r="DZ139" s="74" t="s">
        <v>497</v>
      </c>
      <c r="EA139" s="73">
        <f t="shared" ca="1" si="677"/>
        <v>0</v>
      </c>
      <c r="EB139" s="64"/>
      <c r="EC139" s="74" t="s">
        <v>1835</v>
      </c>
      <c r="ED139" s="73">
        <f t="shared" ca="1" si="678"/>
        <v>0</v>
      </c>
      <c r="EE139" s="64"/>
      <c r="EF139" s="74" t="s">
        <v>497</v>
      </c>
      <c r="EG139" s="73">
        <f t="shared" ca="1" si="679"/>
        <v>0</v>
      </c>
      <c r="EH139" s="64"/>
      <c r="EI139" s="74"/>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49"/>
      <c r="K140" s="56" t="str">
        <f>Idiomas!$D$198&amp;"-"&amp;ROWS($L$130:L140)</f>
        <v>Dieciseisavofinalista-11</v>
      </c>
      <c r="L140" s="53"/>
      <c r="M140" s="55" t="str">
        <f ca="1">WORLDCUP!AA111</f>
        <v>1H</v>
      </c>
      <c r="N140" s="25"/>
      <c r="O140" s="25"/>
      <c r="P140" s="25"/>
      <c r="Q140" s="25"/>
      <c r="R140" s="110"/>
      <c r="S140" s="74" t="s">
        <v>38</v>
      </c>
      <c r="T140" s="73">
        <f t="shared" ca="1" si="640"/>
        <v>0</v>
      </c>
      <c r="U140" s="64"/>
      <c r="V140" s="74" t="s">
        <v>38</v>
      </c>
      <c r="W140" s="73">
        <f t="shared" ca="1" si="641"/>
        <v>0</v>
      </c>
      <c r="X140" s="64"/>
      <c r="Y140" s="74" t="s">
        <v>38</v>
      </c>
      <c r="Z140" s="73">
        <f t="shared" ca="1" si="642"/>
        <v>0</v>
      </c>
      <c r="AA140" s="64"/>
      <c r="AB140" s="74" t="s">
        <v>38</v>
      </c>
      <c r="AC140" s="73">
        <f t="shared" ca="1" si="643"/>
        <v>0</v>
      </c>
      <c r="AD140" s="64"/>
      <c r="AE140" s="74" t="s">
        <v>38</v>
      </c>
      <c r="AF140" s="73">
        <f t="shared" ca="1" si="644"/>
        <v>0</v>
      </c>
      <c r="AG140" s="64"/>
      <c r="AH140" s="74" t="s">
        <v>38</v>
      </c>
      <c r="AI140" s="73">
        <f t="shared" ca="1" si="645"/>
        <v>0</v>
      </c>
      <c r="AJ140" s="64"/>
      <c r="AK140" s="74" t="s">
        <v>38</v>
      </c>
      <c r="AL140" s="73">
        <f t="shared" ca="1" si="646"/>
        <v>0</v>
      </c>
      <c r="AM140" s="64"/>
      <c r="AN140" s="74" t="s">
        <v>38</v>
      </c>
      <c r="AO140" s="73">
        <f t="shared" ca="1" si="647"/>
        <v>0</v>
      </c>
      <c r="AP140" s="64"/>
      <c r="AQ140" s="74" t="s">
        <v>38</v>
      </c>
      <c r="AR140" s="73">
        <f t="shared" ca="1" si="648"/>
        <v>0</v>
      </c>
      <c r="AS140" s="64"/>
      <c r="AT140" s="74" t="s">
        <v>38</v>
      </c>
      <c r="AU140" s="73">
        <f t="shared" ca="1" si="649"/>
        <v>0</v>
      </c>
      <c r="AV140" s="64"/>
      <c r="AW140" s="74" t="s">
        <v>38</v>
      </c>
      <c r="AX140" s="73">
        <f t="shared" ca="1" si="650"/>
        <v>0</v>
      </c>
      <c r="AY140" s="64"/>
      <c r="AZ140" s="74" t="s">
        <v>38</v>
      </c>
      <c r="BA140" s="73">
        <f t="shared" ca="1" si="651"/>
        <v>0</v>
      </c>
      <c r="BB140" s="64"/>
      <c r="BC140" s="74" t="s">
        <v>38</v>
      </c>
      <c r="BD140" s="73">
        <f t="shared" ca="1" si="652"/>
        <v>0</v>
      </c>
      <c r="BE140" s="64"/>
      <c r="BF140" s="74" t="s">
        <v>38</v>
      </c>
      <c r="BG140" s="73">
        <f t="shared" ca="1" si="653"/>
        <v>0</v>
      </c>
      <c r="BH140" s="64"/>
      <c r="BI140" s="74" t="s">
        <v>38</v>
      </c>
      <c r="BJ140" s="73">
        <f t="shared" ca="1" si="654"/>
        <v>0</v>
      </c>
      <c r="BK140" s="64"/>
      <c r="BL140" s="74" t="s">
        <v>38</v>
      </c>
      <c r="BM140" s="73">
        <f t="shared" ca="1" si="655"/>
        <v>0</v>
      </c>
      <c r="BN140" s="64"/>
      <c r="BO140" s="74" t="s">
        <v>38</v>
      </c>
      <c r="BP140" s="73">
        <f t="shared" ca="1" si="656"/>
        <v>0</v>
      </c>
      <c r="BQ140" s="64"/>
      <c r="BR140" s="74" t="s">
        <v>38</v>
      </c>
      <c r="BS140" s="73">
        <f t="shared" ca="1" si="657"/>
        <v>0</v>
      </c>
      <c r="BT140" s="64"/>
      <c r="BU140" s="74" t="s">
        <v>38</v>
      </c>
      <c r="BV140" s="73">
        <f t="shared" ca="1" si="658"/>
        <v>0</v>
      </c>
      <c r="BW140" s="64"/>
      <c r="BX140" s="74" t="s">
        <v>38</v>
      </c>
      <c r="BY140" s="73">
        <f t="shared" ca="1" si="659"/>
        <v>0</v>
      </c>
      <c r="BZ140" s="64"/>
      <c r="CA140" s="74" t="s">
        <v>38</v>
      </c>
      <c r="CB140" s="73">
        <f t="shared" ca="1" si="660"/>
        <v>0</v>
      </c>
      <c r="CC140" s="64"/>
      <c r="CD140" s="74" t="s">
        <v>38</v>
      </c>
      <c r="CE140" s="73">
        <f t="shared" ca="1" si="661"/>
        <v>0</v>
      </c>
      <c r="CF140" s="64"/>
      <c r="CG140" s="74" t="s">
        <v>38</v>
      </c>
      <c r="CH140" s="73">
        <f t="shared" ca="1" si="662"/>
        <v>0</v>
      </c>
      <c r="CI140" s="64"/>
      <c r="CJ140" s="74" t="s">
        <v>38</v>
      </c>
      <c r="CK140" s="73">
        <f t="shared" ca="1" si="663"/>
        <v>0</v>
      </c>
      <c r="CL140" s="64"/>
      <c r="CM140" s="74" t="s">
        <v>38</v>
      </c>
      <c r="CN140" s="73">
        <f t="shared" ca="1" si="664"/>
        <v>0</v>
      </c>
      <c r="CO140" s="64"/>
      <c r="CP140" s="74" t="s">
        <v>38</v>
      </c>
      <c r="CQ140" s="73">
        <f t="shared" ca="1" si="665"/>
        <v>0</v>
      </c>
      <c r="CR140" s="64"/>
      <c r="CS140" s="74" t="s">
        <v>38</v>
      </c>
      <c r="CT140" s="73">
        <f t="shared" ca="1" si="666"/>
        <v>0</v>
      </c>
      <c r="CU140" s="64"/>
      <c r="CV140" s="74" t="s">
        <v>38</v>
      </c>
      <c r="CW140" s="73">
        <f t="shared" ca="1" si="667"/>
        <v>0</v>
      </c>
      <c r="CX140" s="64"/>
      <c r="CY140" s="74" t="s">
        <v>38</v>
      </c>
      <c r="CZ140" s="73">
        <f t="shared" ca="1" si="668"/>
        <v>0</v>
      </c>
      <c r="DA140" s="64"/>
      <c r="DB140" s="74" t="s">
        <v>38</v>
      </c>
      <c r="DC140" s="73">
        <f t="shared" ca="1" si="669"/>
        <v>0</v>
      </c>
      <c r="DD140" s="64"/>
      <c r="DE140" s="74" t="s">
        <v>38</v>
      </c>
      <c r="DF140" s="73">
        <f t="shared" ca="1" si="670"/>
        <v>0</v>
      </c>
      <c r="DG140" s="64"/>
      <c r="DH140" s="74" t="s">
        <v>38</v>
      </c>
      <c r="DI140" s="73">
        <f t="shared" ca="1" si="671"/>
        <v>0</v>
      </c>
      <c r="DJ140" s="64"/>
      <c r="DK140" s="74" t="s">
        <v>38</v>
      </c>
      <c r="DL140" s="73">
        <f t="shared" ca="1" si="672"/>
        <v>0</v>
      </c>
      <c r="DM140" s="64"/>
      <c r="DN140" s="795" t="s">
        <v>38</v>
      </c>
      <c r="DO140" s="73">
        <f t="shared" ca="1" si="673"/>
        <v>0</v>
      </c>
      <c r="DP140" s="64"/>
      <c r="DQ140" s="795" t="s">
        <v>38</v>
      </c>
      <c r="DR140" s="73">
        <f t="shared" ca="1" si="674"/>
        <v>0</v>
      </c>
      <c r="DS140" s="64"/>
      <c r="DT140" s="74" t="s">
        <v>38</v>
      </c>
      <c r="DU140" s="73">
        <f t="shared" ca="1" si="675"/>
        <v>0</v>
      </c>
      <c r="DV140" s="64"/>
      <c r="DW140" s="74" t="s">
        <v>38</v>
      </c>
      <c r="DX140" s="73">
        <f t="shared" ca="1" si="676"/>
        <v>0</v>
      </c>
      <c r="DY140" s="64"/>
      <c r="DZ140" s="74" t="s">
        <v>38</v>
      </c>
      <c r="EA140" s="73">
        <f t="shared" ca="1" si="677"/>
        <v>0</v>
      </c>
      <c r="EB140" s="64"/>
      <c r="EC140" s="74" t="s">
        <v>38</v>
      </c>
      <c r="ED140" s="73">
        <f t="shared" ca="1" si="678"/>
        <v>0</v>
      </c>
      <c r="EE140" s="64"/>
      <c r="EF140" s="74" t="s">
        <v>38</v>
      </c>
      <c r="EG140" s="73">
        <f t="shared" ca="1" si="679"/>
        <v>0</v>
      </c>
      <c r="EH140" s="64"/>
      <c r="EI140" s="74"/>
      <c r="EJ140" s="73">
        <f t="shared" ca="1" si="680"/>
        <v>0</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49"/>
      <c r="K141" s="56" t="str">
        <f>Idiomas!$D$198&amp;"-"&amp;ROWS($L$130:L141)</f>
        <v>Dieciseisavofinalista-12</v>
      </c>
      <c r="L141" s="53"/>
      <c r="M141" s="55" t="str">
        <f ca="1">WORLDCUP!AA112</f>
        <v>2K</v>
      </c>
      <c r="N141" s="25"/>
      <c r="O141" s="25"/>
      <c r="P141" s="25"/>
      <c r="Q141" s="25"/>
      <c r="R141" s="110"/>
      <c r="S141" s="74" t="s">
        <v>79</v>
      </c>
      <c r="T141" s="73">
        <f t="shared" ca="1" si="640"/>
        <v>0</v>
      </c>
      <c r="U141" s="64"/>
      <c r="V141" s="74" t="s">
        <v>1320</v>
      </c>
      <c r="W141" s="73">
        <f t="shared" ca="1" si="641"/>
        <v>0</v>
      </c>
      <c r="X141" s="64"/>
      <c r="Y141" s="74" t="s">
        <v>1320</v>
      </c>
      <c r="Z141" s="73">
        <f t="shared" ca="1" si="642"/>
        <v>0</v>
      </c>
      <c r="AA141" s="64"/>
      <c r="AB141" s="74" t="s">
        <v>1320</v>
      </c>
      <c r="AC141" s="73">
        <f t="shared" ca="1" si="643"/>
        <v>0</v>
      </c>
      <c r="AD141" s="64"/>
      <c r="AE141" s="74" t="s">
        <v>79</v>
      </c>
      <c r="AF141" s="73">
        <f t="shared" ca="1" si="644"/>
        <v>0</v>
      </c>
      <c r="AG141" s="64"/>
      <c r="AH141" s="74" t="s">
        <v>1320</v>
      </c>
      <c r="AI141" s="73">
        <f t="shared" ca="1" si="645"/>
        <v>0</v>
      </c>
      <c r="AJ141" s="64"/>
      <c r="AK141" s="74" t="s">
        <v>1320</v>
      </c>
      <c r="AL141" s="73">
        <f t="shared" ca="1" si="646"/>
        <v>0</v>
      </c>
      <c r="AM141" s="64"/>
      <c r="AN141" s="74" t="s">
        <v>1320</v>
      </c>
      <c r="AO141" s="73">
        <f t="shared" ca="1" si="647"/>
        <v>0</v>
      </c>
      <c r="AP141" s="64"/>
      <c r="AQ141" s="74" t="s">
        <v>1320</v>
      </c>
      <c r="AR141" s="73">
        <f t="shared" ca="1" si="648"/>
        <v>0</v>
      </c>
      <c r="AS141" s="64"/>
      <c r="AT141" s="74" t="s">
        <v>1320</v>
      </c>
      <c r="AU141" s="73">
        <f t="shared" ca="1" si="649"/>
        <v>0</v>
      </c>
      <c r="AV141" s="64"/>
      <c r="AW141" s="74" t="s">
        <v>1839</v>
      </c>
      <c r="AX141" s="73">
        <f t="shared" ca="1" si="650"/>
        <v>0</v>
      </c>
      <c r="AY141" s="64"/>
      <c r="AZ141" s="74" t="s">
        <v>1320</v>
      </c>
      <c r="BA141" s="73">
        <f t="shared" ca="1" si="651"/>
        <v>0</v>
      </c>
      <c r="BB141" s="64"/>
      <c r="BC141" s="74" t="s">
        <v>1320</v>
      </c>
      <c r="BD141" s="73">
        <f t="shared" ca="1" si="652"/>
        <v>0</v>
      </c>
      <c r="BE141" s="64"/>
      <c r="BF141" s="74" t="s">
        <v>1320</v>
      </c>
      <c r="BG141" s="73">
        <f t="shared" ca="1" si="653"/>
        <v>0</v>
      </c>
      <c r="BH141" s="64"/>
      <c r="BI141" s="74" t="s">
        <v>1320</v>
      </c>
      <c r="BJ141" s="73">
        <f t="shared" ca="1" si="654"/>
        <v>0</v>
      </c>
      <c r="BK141" s="64"/>
      <c r="BL141" s="74" t="s">
        <v>1320</v>
      </c>
      <c r="BM141" s="73">
        <f t="shared" ca="1" si="655"/>
        <v>0</v>
      </c>
      <c r="BN141" s="64"/>
      <c r="BO141" s="74" t="s">
        <v>1320</v>
      </c>
      <c r="BP141" s="73">
        <f t="shared" ca="1" si="656"/>
        <v>0</v>
      </c>
      <c r="BQ141" s="64"/>
      <c r="BR141" s="74" t="s">
        <v>1320</v>
      </c>
      <c r="BS141" s="73">
        <f t="shared" ca="1" si="657"/>
        <v>0</v>
      </c>
      <c r="BT141" s="64"/>
      <c r="BU141" s="74" t="s">
        <v>1320</v>
      </c>
      <c r="BV141" s="73">
        <f t="shared" ca="1" si="658"/>
        <v>0</v>
      </c>
      <c r="BW141" s="64"/>
      <c r="BX141" s="74" t="s">
        <v>79</v>
      </c>
      <c r="BY141" s="73">
        <f t="shared" ca="1" si="659"/>
        <v>0</v>
      </c>
      <c r="BZ141" s="64"/>
      <c r="CA141" s="74" t="s">
        <v>1320</v>
      </c>
      <c r="CB141" s="73">
        <f t="shared" ca="1" si="660"/>
        <v>0</v>
      </c>
      <c r="CC141" s="64"/>
      <c r="CD141" s="74" t="s">
        <v>1320</v>
      </c>
      <c r="CE141" s="73">
        <f t="shared" ca="1" si="661"/>
        <v>0</v>
      </c>
      <c r="CF141" s="64"/>
      <c r="CG141" s="74" t="s">
        <v>1320</v>
      </c>
      <c r="CH141" s="73">
        <f t="shared" ca="1" si="662"/>
        <v>0</v>
      </c>
      <c r="CI141" s="64"/>
      <c r="CJ141" s="74" t="s">
        <v>1320</v>
      </c>
      <c r="CK141" s="73">
        <f t="shared" ca="1" si="663"/>
        <v>0</v>
      </c>
      <c r="CL141" s="64"/>
      <c r="CM141" s="74" t="s">
        <v>1320</v>
      </c>
      <c r="CN141" s="73">
        <f t="shared" ca="1" si="664"/>
        <v>0</v>
      </c>
      <c r="CO141" s="64"/>
      <c r="CP141" s="74" t="s">
        <v>1320</v>
      </c>
      <c r="CQ141" s="73">
        <f t="shared" ca="1" si="665"/>
        <v>0</v>
      </c>
      <c r="CR141" s="64"/>
      <c r="CS141" s="74" t="s">
        <v>1320</v>
      </c>
      <c r="CT141" s="73">
        <f t="shared" ca="1" si="666"/>
        <v>0</v>
      </c>
      <c r="CU141" s="64"/>
      <c r="CV141" s="74" t="s">
        <v>1320</v>
      </c>
      <c r="CW141" s="73">
        <f t="shared" ca="1" si="667"/>
        <v>0</v>
      </c>
      <c r="CX141" s="64"/>
      <c r="CY141" s="74" t="s">
        <v>1320</v>
      </c>
      <c r="CZ141" s="73">
        <f t="shared" ca="1" si="668"/>
        <v>0</v>
      </c>
      <c r="DA141" s="64"/>
      <c r="DB141" s="74" t="s">
        <v>1320</v>
      </c>
      <c r="DC141" s="73">
        <f t="shared" ca="1" si="669"/>
        <v>0</v>
      </c>
      <c r="DD141" s="64"/>
      <c r="DE141" s="74" t="s">
        <v>1320</v>
      </c>
      <c r="DF141" s="73">
        <f t="shared" ca="1" si="670"/>
        <v>0</v>
      </c>
      <c r="DG141" s="64"/>
      <c r="DH141" s="74" t="s">
        <v>1320</v>
      </c>
      <c r="DI141" s="73">
        <f t="shared" ca="1" si="671"/>
        <v>0</v>
      </c>
      <c r="DJ141" s="64"/>
      <c r="DK141" s="74" t="s">
        <v>1320</v>
      </c>
      <c r="DL141" s="73">
        <f t="shared" ca="1" si="672"/>
        <v>0</v>
      </c>
      <c r="DM141" s="64"/>
      <c r="DN141" s="795" t="s">
        <v>1320</v>
      </c>
      <c r="DO141" s="73">
        <f t="shared" ca="1" si="673"/>
        <v>0</v>
      </c>
      <c r="DP141" s="64"/>
      <c r="DQ141" s="795" t="s">
        <v>1320</v>
      </c>
      <c r="DR141" s="73">
        <f t="shared" ca="1" si="674"/>
        <v>0</v>
      </c>
      <c r="DS141" s="64"/>
      <c r="DT141" s="74" t="s">
        <v>79</v>
      </c>
      <c r="DU141" s="73">
        <f t="shared" ca="1" si="675"/>
        <v>0</v>
      </c>
      <c r="DV141" s="64"/>
      <c r="DW141" s="74" t="s">
        <v>1320</v>
      </c>
      <c r="DX141" s="73">
        <f t="shared" ca="1" si="676"/>
        <v>0</v>
      </c>
      <c r="DY141" s="64"/>
      <c r="DZ141" s="74" t="s">
        <v>1320</v>
      </c>
      <c r="EA141" s="73">
        <f t="shared" ca="1" si="677"/>
        <v>0</v>
      </c>
      <c r="EB141" s="64"/>
      <c r="EC141" s="74" t="s">
        <v>1320</v>
      </c>
      <c r="ED141" s="73">
        <f t="shared" ca="1" si="678"/>
        <v>0</v>
      </c>
      <c r="EE141" s="64"/>
      <c r="EF141" s="74" t="s">
        <v>1320</v>
      </c>
      <c r="EG141" s="73">
        <f t="shared" ca="1" si="679"/>
        <v>0</v>
      </c>
      <c r="EH141" s="64"/>
      <c r="EI141" s="74"/>
      <c r="EJ141" s="73">
        <f t="shared" ca="1" si="680"/>
        <v>0</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49"/>
      <c r="K142" s="56" t="str">
        <f>Idiomas!$D$198&amp;"-"&amp;ROWS($L$130:L142)</f>
        <v>Dieciseisavofinalista-13</v>
      </c>
      <c r="L142" s="53"/>
      <c r="M142" s="55" t="str">
        <f ca="1">WORLDCUP!AA113</f>
        <v>1B</v>
      </c>
      <c r="N142" s="25"/>
      <c r="O142" s="25"/>
      <c r="P142" s="25"/>
      <c r="Q142" s="25"/>
      <c r="R142" s="110"/>
      <c r="S142" s="74" t="s">
        <v>1259</v>
      </c>
      <c r="T142" s="73">
        <f t="shared" ca="1" si="640"/>
        <v>0</v>
      </c>
      <c r="U142" s="64"/>
      <c r="V142" s="74" t="s">
        <v>75</v>
      </c>
      <c r="W142" s="73">
        <f t="shared" ca="1" si="641"/>
        <v>0</v>
      </c>
      <c r="X142" s="64"/>
      <c r="Y142" s="74" t="s">
        <v>75</v>
      </c>
      <c r="Z142" s="73">
        <f t="shared" ca="1" si="642"/>
        <v>0</v>
      </c>
      <c r="AA142" s="64"/>
      <c r="AB142" s="74" t="s">
        <v>75</v>
      </c>
      <c r="AC142" s="73">
        <f t="shared" ca="1" si="643"/>
        <v>0</v>
      </c>
      <c r="AD142" s="64"/>
      <c r="AE142" s="74" t="s">
        <v>75</v>
      </c>
      <c r="AF142" s="73">
        <f t="shared" ca="1" si="644"/>
        <v>0</v>
      </c>
      <c r="AG142" s="64"/>
      <c r="AH142" s="74" t="s">
        <v>75</v>
      </c>
      <c r="AI142" s="73">
        <f t="shared" ca="1" si="645"/>
        <v>0</v>
      </c>
      <c r="AJ142" s="64"/>
      <c r="AK142" s="74" t="s">
        <v>75</v>
      </c>
      <c r="AL142" s="73">
        <f t="shared" ca="1" si="646"/>
        <v>0</v>
      </c>
      <c r="AM142" s="64"/>
      <c r="AN142" s="74" t="s">
        <v>75</v>
      </c>
      <c r="AO142" s="73">
        <f t="shared" ca="1" si="647"/>
        <v>0</v>
      </c>
      <c r="AP142" s="64"/>
      <c r="AQ142" s="74" t="s">
        <v>75</v>
      </c>
      <c r="AR142" s="73">
        <f t="shared" ca="1" si="648"/>
        <v>0</v>
      </c>
      <c r="AS142" s="64"/>
      <c r="AT142" s="74" t="s">
        <v>75</v>
      </c>
      <c r="AU142" s="73">
        <f t="shared" ca="1" si="649"/>
        <v>0</v>
      </c>
      <c r="AV142" s="64"/>
      <c r="AW142" s="74" t="s">
        <v>1841</v>
      </c>
      <c r="AX142" s="73">
        <f t="shared" ca="1" si="650"/>
        <v>0</v>
      </c>
      <c r="AY142" s="64"/>
      <c r="AZ142" s="74" t="s">
        <v>75</v>
      </c>
      <c r="BA142" s="73">
        <f t="shared" ca="1" si="651"/>
        <v>0</v>
      </c>
      <c r="BB142" s="64"/>
      <c r="BC142" s="74" t="s">
        <v>75</v>
      </c>
      <c r="BD142" s="73">
        <f t="shared" ca="1" si="652"/>
        <v>0</v>
      </c>
      <c r="BE142" s="64"/>
      <c r="BF142" s="74" t="s">
        <v>75</v>
      </c>
      <c r="BG142" s="73">
        <f t="shared" ca="1" si="653"/>
        <v>0</v>
      </c>
      <c r="BH142" s="64"/>
      <c r="BI142" s="74" t="s">
        <v>75</v>
      </c>
      <c r="BJ142" s="73">
        <f t="shared" ca="1" si="654"/>
        <v>0</v>
      </c>
      <c r="BK142" s="64"/>
      <c r="BL142" s="74" t="s">
        <v>75</v>
      </c>
      <c r="BM142" s="73">
        <f t="shared" ca="1" si="655"/>
        <v>0</v>
      </c>
      <c r="BN142" s="64"/>
      <c r="BO142" s="74" t="s">
        <v>75</v>
      </c>
      <c r="BP142" s="73">
        <f t="shared" ca="1" si="656"/>
        <v>0</v>
      </c>
      <c r="BQ142" s="64"/>
      <c r="BR142" s="74" t="s">
        <v>75</v>
      </c>
      <c r="BS142" s="73">
        <f t="shared" ca="1" si="657"/>
        <v>0</v>
      </c>
      <c r="BT142" s="64"/>
      <c r="BU142" s="74" t="s">
        <v>75</v>
      </c>
      <c r="BV142" s="73">
        <f t="shared" ca="1" si="658"/>
        <v>0</v>
      </c>
      <c r="BW142" s="64"/>
      <c r="BX142" s="74" t="s">
        <v>75</v>
      </c>
      <c r="BY142" s="73">
        <f t="shared" ca="1" si="659"/>
        <v>0</v>
      </c>
      <c r="BZ142" s="64"/>
      <c r="CA142" s="74" t="s">
        <v>75</v>
      </c>
      <c r="CB142" s="73">
        <f t="shared" ca="1" si="660"/>
        <v>0</v>
      </c>
      <c r="CC142" s="64"/>
      <c r="CD142" s="74" t="s">
        <v>75</v>
      </c>
      <c r="CE142" s="73">
        <f t="shared" ca="1" si="661"/>
        <v>0</v>
      </c>
      <c r="CF142" s="64"/>
      <c r="CG142" s="74" t="s">
        <v>1259</v>
      </c>
      <c r="CH142" s="73">
        <f t="shared" ca="1" si="662"/>
        <v>0</v>
      </c>
      <c r="CI142" s="64"/>
      <c r="CJ142" s="74" t="s">
        <v>75</v>
      </c>
      <c r="CK142" s="73">
        <f t="shared" ca="1" si="663"/>
        <v>0</v>
      </c>
      <c r="CL142" s="64"/>
      <c r="CM142" s="74" t="s">
        <v>75</v>
      </c>
      <c r="CN142" s="73">
        <f t="shared" ca="1" si="664"/>
        <v>0</v>
      </c>
      <c r="CO142" s="64"/>
      <c r="CP142" s="74" t="s">
        <v>75</v>
      </c>
      <c r="CQ142" s="73">
        <f t="shared" ca="1" si="665"/>
        <v>0</v>
      </c>
      <c r="CR142" s="64"/>
      <c r="CS142" s="74" t="s">
        <v>75</v>
      </c>
      <c r="CT142" s="73">
        <f t="shared" ca="1" si="666"/>
        <v>0</v>
      </c>
      <c r="CU142" s="64"/>
      <c r="CV142" s="74" t="s">
        <v>75</v>
      </c>
      <c r="CW142" s="73">
        <f t="shared" ca="1" si="667"/>
        <v>0</v>
      </c>
      <c r="CX142" s="64"/>
      <c r="CY142" s="74" t="s">
        <v>75</v>
      </c>
      <c r="CZ142" s="73">
        <f t="shared" ca="1" si="668"/>
        <v>0</v>
      </c>
      <c r="DA142" s="64"/>
      <c r="DB142" s="74" t="s">
        <v>75</v>
      </c>
      <c r="DC142" s="73">
        <f t="shared" ca="1" si="669"/>
        <v>0</v>
      </c>
      <c r="DD142" s="64"/>
      <c r="DE142" s="74" t="s">
        <v>75</v>
      </c>
      <c r="DF142" s="73">
        <f t="shared" ca="1" si="670"/>
        <v>0</v>
      </c>
      <c r="DG142" s="64"/>
      <c r="DH142" s="74" t="s">
        <v>75</v>
      </c>
      <c r="DI142" s="73">
        <f t="shared" ca="1" si="671"/>
        <v>0</v>
      </c>
      <c r="DJ142" s="64"/>
      <c r="DK142" s="74" t="s">
        <v>75</v>
      </c>
      <c r="DL142" s="73">
        <f t="shared" ca="1" si="672"/>
        <v>0</v>
      </c>
      <c r="DM142" s="64"/>
      <c r="DN142" s="795" t="s">
        <v>75</v>
      </c>
      <c r="DO142" s="73">
        <f t="shared" ca="1" si="673"/>
        <v>0</v>
      </c>
      <c r="DP142" s="64"/>
      <c r="DQ142" s="795" t="s">
        <v>75</v>
      </c>
      <c r="DR142" s="73">
        <f t="shared" ca="1" si="674"/>
        <v>0</v>
      </c>
      <c r="DS142" s="64"/>
      <c r="DT142" s="74" t="s">
        <v>75</v>
      </c>
      <c r="DU142" s="73">
        <f t="shared" ca="1" si="675"/>
        <v>0</v>
      </c>
      <c r="DV142" s="64"/>
      <c r="DW142" s="74" t="s">
        <v>75</v>
      </c>
      <c r="DX142" s="73">
        <f t="shared" ca="1" si="676"/>
        <v>0</v>
      </c>
      <c r="DY142" s="64"/>
      <c r="DZ142" s="74" t="s">
        <v>1259</v>
      </c>
      <c r="EA142" s="73">
        <f t="shared" ca="1" si="677"/>
        <v>0</v>
      </c>
      <c r="EB142" s="64"/>
      <c r="EC142" s="74" t="s">
        <v>75</v>
      </c>
      <c r="ED142" s="73">
        <f t="shared" ca="1" si="678"/>
        <v>0</v>
      </c>
      <c r="EE142" s="64"/>
      <c r="EF142" s="74" t="s">
        <v>75</v>
      </c>
      <c r="EG142" s="73">
        <f t="shared" ca="1" si="679"/>
        <v>0</v>
      </c>
      <c r="EH142" s="64"/>
      <c r="EI142" s="74"/>
      <c r="EJ142" s="73">
        <f t="shared" ca="1" si="680"/>
        <v>0</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49"/>
      <c r="K143" s="56" t="str">
        <f>Idiomas!$D$198&amp;"-"&amp;ROWS($L$130:L143)</f>
        <v>Dieciseisavofinalista-14</v>
      </c>
      <c r="L143" s="53"/>
      <c r="M143" s="55" t="str">
        <f ca="1">WORLDCUP!AA114</f>
        <v>2D</v>
      </c>
      <c r="N143" s="25"/>
      <c r="O143" s="25"/>
      <c r="P143" s="25"/>
      <c r="Q143" s="25"/>
      <c r="R143" s="110"/>
      <c r="S143" s="74" t="s">
        <v>1835</v>
      </c>
      <c r="T143" s="73">
        <f t="shared" ca="1" si="640"/>
        <v>0</v>
      </c>
      <c r="U143" s="64"/>
      <c r="V143" s="74" t="s">
        <v>497</v>
      </c>
      <c r="W143" s="73">
        <f t="shared" ca="1" si="641"/>
        <v>0</v>
      </c>
      <c r="X143" s="64"/>
      <c r="Y143" s="74" t="s">
        <v>497</v>
      </c>
      <c r="Z143" s="73">
        <f t="shared" ca="1" si="642"/>
        <v>0</v>
      </c>
      <c r="AA143" s="64"/>
      <c r="AB143" s="74" t="s">
        <v>497</v>
      </c>
      <c r="AC143" s="73">
        <f t="shared" ca="1" si="643"/>
        <v>0</v>
      </c>
      <c r="AD143" s="64"/>
      <c r="AE143" s="74" t="s">
        <v>1835</v>
      </c>
      <c r="AF143" s="73">
        <f t="shared" ca="1" si="644"/>
        <v>0</v>
      </c>
      <c r="AG143" s="64"/>
      <c r="AH143" s="74" t="s">
        <v>1835</v>
      </c>
      <c r="AI143" s="73">
        <f t="shared" ca="1" si="645"/>
        <v>0</v>
      </c>
      <c r="AJ143" s="64"/>
      <c r="AK143" s="74" t="s">
        <v>1319</v>
      </c>
      <c r="AL143" s="73">
        <f t="shared" ca="1" si="646"/>
        <v>0</v>
      </c>
      <c r="AM143" s="64"/>
      <c r="AN143" s="74" t="s">
        <v>497</v>
      </c>
      <c r="AO143" s="73">
        <f t="shared" ca="1" si="647"/>
        <v>0</v>
      </c>
      <c r="AP143" s="64"/>
      <c r="AQ143" s="74" t="s">
        <v>1319</v>
      </c>
      <c r="AR143" s="73">
        <f t="shared" ca="1" si="648"/>
        <v>0</v>
      </c>
      <c r="AS143" s="64"/>
      <c r="AT143" s="74" t="s">
        <v>497</v>
      </c>
      <c r="AU143" s="73">
        <f t="shared" ca="1" si="649"/>
        <v>0</v>
      </c>
      <c r="AV143" s="64"/>
      <c r="AW143" s="74" t="s">
        <v>1319</v>
      </c>
      <c r="AX143" s="73">
        <f t="shared" ca="1" si="650"/>
        <v>0</v>
      </c>
      <c r="AY143" s="64"/>
      <c r="AZ143" s="74" t="s">
        <v>497</v>
      </c>
      <c r="BA143" s="73">
        <f t="shared" ca="1" si="651"/>
        <v>0</v>
      </c>
      <c r="BB143" s="64"/>
      <c r="BC143" s="74" t="s">
        <v>497</v>
      </c>
      <c r="BD143" s="73">
        <f t="shared" ca="1" si="652"/>
        <v>0</v>
      </c>
      <c r="BE143" s="64"/>
      <c r="BF143" s="74" t="s">
        <v>1835</v>
      </c>
      <c r="BG143" s="73">
        <f t="shared" ca="1" si="653"/>
        <v>0</v>
      </c>
      <c r="BH143" s="64"/>
      <c r="BI143" s="74" t="s">
        <v>1319</v>
      </c>
      <c r="BJ143" s="73">
        <f t="shared" ca="1" si="654"/>
        <v>0</v>
      </c>
      <c r="BK143" s="64"/>
      <c r="BL143" s="74" t="s">
        <v>1835</v>
      </c>
      <c r="BM143" s="73">
        <f t="shared" ca="1" si="655"/>
        <v>0</v>
      </c>
      <c r="BN143" s="64"/>
      <c r="BO143" s="74" t="s">
        <v>497</v>
      </c>
      <c r="BP143" s="73">
        <f t="shared" ca="1" si="656"/>
        <v>0</v>
      </c>
      <c r="BQ143" s="64"/>
      <c r="BR143" s="74" t="s">
        <v>1319</v>
      </c>
      <c r="BS143" s="73">
        <f t="shared" ca="1" si="657"/>
        <v>0</v>
      </c>
      <c r="BT143" s="64"/>
      <c r="BU143" s="74" t="s">
        <v>497</v>
      </c>
      <c r="BV143" s="73">
        <f t="shared" ca="1" si="658"/>
        <v>0</v>
      </c>
      <c r="BW143" s="64"/>
      <c r="BX143" s="74" t="s">
        <v>497</v>
      </c>
      <c r="BY143" s="73">
        <f t="shared" ca="1" si="659"/>
        <v>0</v>
      </c>
      <c r="BZ143" s="64"/>
      <c r="CA143" s="74" t="s">
        <v>497</v>
      </c>
      <c r="CB143" s="73">
        <f t="shared" ca="1" si="660"/>
        <v>0</v>
      </c>
      <c r="CC143" s="64"/>
      <c r="CD143" s="74" t="s">
        <v>497</v>
      </c>
      <c r="CE143" s="73">
        <f t="shared" ca="1" si="661"/>
        <v>0</v>
      </c>
      <c r="CF143" s="64"/>
      <c r="CG143" s="74" t="s">
        <v>1835</v>
      </c>
      <c r="CH143" s="73">
        <f t="shared" ca="1" si="662"/>
        <v>0</v>
      </c>
      <c r="CI143" s="64"/>
      <c r="CJ143" s="74" t="s">
        <v>1835</v>
      </c>
      <c r="CK143" s="73">
        <f t="shared" ca="1" si="663"/>
        <v>0</v>
      </c>
      <c r="CL143" s="64"/>
      <c r="CM143" s="74" t="s">
        <v>497</v>
      </c>
      <c r="CN143" s="73">
        <f t="shared" ca="1" si="664"/>
        <v>0</v>
      </c>
      <c r="CO143" s="64"/>
      <c r="CP143" s="74" t="s">
        <v>497</v>
      </c>
      <c r="CQ143" s="73">
        <f t="shared" ca="1" si="665"/>
        <v>0</v>
      </c>
      <c r="CR143" s="64"/>
      <c r="CS143" s="74" t="s">
        <v>497</v>
      </c>
      <c r="CT143" s="73">
        <f t="shared" ca="1" si="666"/>
        <v>0</v>
      </c>
      <c r="CU143" s="64"/>
      <c r="CV143" s="74" t="s">
        <v>497</v>
      </c>
      <c r="CW143" s="73">
        <f t="shared" ca="1" si="667"/>
        <v>0</v>
      </c>
      <c r="CX143" s="64"/>
      <c r="CY143" s="74" t="s">
        <v>497</v>
      </c>
      <c r="CZ143" s="73">
        <f t="shared" ca="1" si="668"/>
        <v>0</v>
      </c>
      <c r="DA143" s="64"/>
      <c r="DB143" s="74" t="s">
        <v>497</v>
      </c>
      <c r="DC143" s="73">
        <f t="shared" ca="1" si="669"/>
        <v>0</v>
      </c>
      <c r="DD143" s="64"/>
      <c r="DE143" s="74" t="s">
        <v>497</v>
      </c>
      <c r="DF143" s="73">
        <f t="shared" ca="1" si="670"/>
        <v>0</v>
      </c>
      <c r="DG143" s="64"/>
      <c r="DH143" s="74" t="s">
        <v>497</v>
      </c>
      <c r="DI143" s="73">
        <f t="shared" ca="1" si="671"/>
        <v>0</v>
      </c>
      <c r="DJ143" s="64"/>
      <c r="DK143" s="74" t="s">
        <v>497</v>
      </c>
      <c r="DL143" s="73">
        <f t="shared" ca="1" si="672"/>
        <v>0</v>
      </c>
      <c r="DM143" s="64"/>
      <c r="DN143" s="795" t="s">
        <v>1319</v>
      </c>
      <c r="DO143" s="73">
        <f t="shared" ca="1" si="673"/>
        <v>0</v>
      </c>
      <c r="DP143" s="64"/>
      <c r="DQ143" s="795" t="s">
        <v>1835</v>
      </c>
      <c r="DR143" s="73">
        <f t="shared" ca="1" si="674"/>
        <v>0</v>
      </c>
      <c r="DS143" s="64"/>
      <c r="DT143" s="74" t="s">
        <v>1835</v>
      </c>
      <c r="DU143" s="73">
        <f t="shared" ca="1" si="675"/>
        <v>0</v>
      </c>
      <c r="DV143" s="64"/>
      <c r="DW143" s="74" t="s">
        <v>497</v>
      </c>
      <c r="DX143" s="73">
        <f t="shared" ca="1" si="676"/>
        <v>0</v>
      </c>
      <c r="DY143" s="64"/>
      <c r="DZ143" s="74" t="s">
        <v>1835</v>
      </c>
      <c r="EA143" s="73">
        <f t="shared" ca="1" si="677"/>
        <v>0</v>
      </c>
      <c r="EB143" s="64"/>
      <c r="EC143" s="74" t="s">
        <v>1319</v>
      </c>
      <c r="ED143" s="73">
        <f t="shared" ca="1" si="678"/>
        <v>0</v>
      </c>
      <c r="EE143" s="64"/>
      <c r="EF143" s="74" t="s">
        <v>1835</v>
      </c>
      <c r="EG143" s="73">
        <f t="shared" ca="1" si="679"/>
        <v>0</v>
      </c>
      <c r="EH143" s="64"/>
      <c r="EI143" s="74"/>
      <c r="EJ143" s="73">
        <f t="shared" ca="1" si="680"/>
        <v>0</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49"/>
      <c r="K144" s="56" t="str">
        <f>Idiomas!$D$198&amp;"-"&amp;ROWS($L$130:L144)</f>
        <v>Dieciseisavofinalista-15</v>
      </c>
      <c r="L144" s="53"/>
      <c r="M144" s="55" t="str">
        <f ca="1">WORLDCUP!AA115</f>
        <v>1J</v>
      </c>
      <c r="N144" s="25"/>
      <c r="O144" s="25"/>
      <c r="P144" s="25"/>
      <c r="Q144" s="25"/>
      <c r="R144" s="110"/>
      <c r="S144" s="74" t="s">
        <v>1256</v>
      </c>
      <c r="T144" s="73">
        <f t="shared" ca="1" si="640"/>
        <v>0</v>
      </c>
      <c r="U144" s="64"/>
      <c r="V144" s="74" t="s">
        <v>1256</v>
      </c>
      <c r="W144" s="73">
        <f t="shared" ca="1" si="641"/>
        <v>0</v>
      </c>
      <c r="X144" s="64"/>
      <c r="Y144" s="74" t="s">
        <v>1256</v>
      </c>
      <c r="Z144" s="73">
        <f t="shared" ca="1" si="642"/>
        <v>0</v>
      </c>
      <c r="AA144" s="64"/>
      <c r="AB144" s="74" t="s">
        <v>1256</v>
      </c>
      <c r="AC144" s="73">
        <f t="shared" ca="1" si="643"/>
        <v>0</v>
      </c>
      <c r="AD144" s="64"/>
      <c r="AE144" s="74" t="s">
        <v>1256</v>
      </c>
      <c r="AF144" s="73">
        <f t="shared" ca="1" si="644"/>
        <v>0</v>
      </c>
      <c r="AG144" s="64"/>
      <c r="AH144" s="74" t="s">
        <v>1256</v>
      </c>
      <c r="AI144" s="73">
        <f t="shared" ca="1" si="645"/>
        <v>0</v>
      </c>
      <c r="AJ144" s="64"/>
      <c r="AK144" s="74" t="s">
        <v>1256</v>
      </c>
      <c r="AL144" s="73">
        <f t="shared" ca="1" si="646"/>
        <v>0</v>
      </c>
      <c r="AM144" s="64"/>
      <c r="AN144" s="74" t="s">
        <v>1256</v>
      </c>
      <c r="AO144" s="73">
        <f t="shared" ca="1" si="647"/>
        <v>0</v>
      </c>
      <c r="AP144" s="64"/>
      <c r="AQ144" s="74" t="s">
        <v>1256</v>
      </c>
      <c r="AR144" s="73">
        <f t="shared" ca="1" si="648"/>
        <v>0</v>
      </c>
      <c r="AS144" s="64"/>
      <c r="AT144" s="74" t="s">
        <v>1256</v>
      </c>
      <c r="AU144" s="73">
        <f t="shared" ca="1" si="649"/>
        <v>0</v>
      </c>
      <c r="AV144" s="64"/>
      <c r="AW144" s="74" t="s">
        <v>1256</v>
      </c>
      <c r="AX144" s="73">
        <f t="shared" ca="1" si="650"/>
        <v>0</v>
      </c>
      <c r="AY144" s="64"/>
      <c r="AZ144" s="74" t="s">
        <v>1256</v>
      </c>
      <c r="BA144" s="73">
        <f t="shared" ca="1" si="651"/>
        <v>0</v>
      </c>
      <c r="BB144" s="64"/>
      <c r="BC144" s="74" t="s">
        <v>1256</v>
      </c>
      <c r="BD144" s="73">
        <f t="shared" ca="1" si="652"/>
        <v>0</v>
      </c>
      <c r="BE144" s="64"/>
      <c r="BF144" s="74" t="s">
        <v>1256</v>
      </c>
      <c r="BG144" s="73">
        <f t="shared" ca="1" si="653"/>
        <v>0</v>
      </c>
      <c r="BH144" s="64"/>
      <c r="BI144" s="74" t="s">
        <v>1256</v>
      </c>
      <c r="BJ144" s="73">
        <f t="shared" ca="1" si="654"/>
        <v>0</v>
      </c>
      <c r="BK144" s="64"/>
      <c r="BL144" s="74" t="s">
        <v>1256</v>
      </c>
      <c r="BM144" s="73">
        <f t="shared" ca="1" si="655"/>
        <v>0</v>
      </c>
      <c r="BN144" s="64"/>
      <c r="BO144" s="74" t="s">
        <v>1256</v>
      </c>
      <c r="BP144" s="73">
        <f t="shared" ca="1" si="656"/>
        <v>0</v>
      </c>
      <c r="BQ144" s="64"/>
      <c r="BR144" s="74" t="s">
        <v>1256</v>
      </c>
      <c r="BS144" s="73">
        <f t="shared" ca="1" si="657"/>
        <v>0</v>
      </c>
      <c r="BT144" s="64"/>
      <c r="BU144" s="74" t="s">
        <v>1256</v>
      </c>
      <c r="BV144" s="73">
        <f t="shared" ca="1" si="658"/>
        <v>0</v>
      </c>
      <c r="BW144" s="64"/>
      <c r="BX144" s="74" t="s">
        <v>1256</v>
      </c>
      <c r="BY144" s="73">
        <f t="shared" ca="1" si="659"/>
        <v>0</v>
      </c>
      <c r="BZ144" s="64"/>
      <c r="CA144" s="74" t="s">
        <v>1256</v>
      </c>
      <c r="CB144" s="73">
        <f t="shared" ca="1" si="660"/>
        <v>0</v>
      </c>
      <c r="CC144" s="64"/>
      <c r="CD144" s="74" t="s">
        <v>1256</v>
      </c>
      <c r="CE144" s="73">
        <f t="shared" ca="1" si="661"/>
        <v>0</v>
      </c>
      <c r="CF144" s="64"/>
      <c r="CG144" s="74" t="s">
        <v>1256</v>
      </c>
      <c r="CH144" s="73">
        <f t="shared" ca="1" si="662"/>
        <v>0</v>
      </c>
      <c r="CI144" s="64"/>
      <c r="CJ144" s="74" t="s">
        <v>1256</v>
      </c>
      <c r="CK144" s="73">
        <f t="shared" ca="1" si="663"/>
        <v>0</v>
      </c>
      <c r="CL144" s="64"/>
      <c r="CM144" s="74" t="s">
        <v>1256</v>
      </c>
      <c r="CN144" s="73">
        <f t="shared" ca="1" si="664"/>
        <v>0</v>
      </c>
      <c r="CO144" s="64"/>
      <c r="CP144" s="74" t="s">
        <v>1256</v>
      </c>
      <c r="CQ144" s="73">
        <f t="shared" ca="1" si="665"/>
        <v>0</v>
      </c>
      <c r="CR144" s="64"/>
      <c r="CS144" s="74" t="s">
        <v>1256</v>
      </c>
      <c r="CT144" s="73">
        <f t="shared" ca="1" si="666"/>
        <v>0</v>
      </c>
      <c r="CU144" s="64"/>
      <c r="CV144" s="74" t="s">
        <v>1256</v>
      </c>
      <c r="CW144" s="73">
        <f t="shared" ca="1" si="667"/>
        <v>0</v>
      </c>
      <c r="CX144" s="64"/>
      <c r="CY144" s="74" t="s">
        <v>1256</v>
      </c>
      <c r="CZ144" s="73">
        <f t="shared" ca="1" si="668"/>
        <v>0</v>
      </c>
      <c r="DA144" s="64"/>
      <c r="DB144" s="74" t="s">
        <v>1256</v>
      </c>
      <c r="DC144" s="73">
        <f t="shared" ca="1" si="669"/>
        <v>0</v>
      </c>
      <c r="DD144" s="64"/>
      <c r="DE144" s="74" t="s">
        <v>1256</v>
      </c>
      <c r="DF144" s="73">
        <f t="shared" ca="1" si="670"/>
        <v>0</v>
      </c>
      <c r="DG144" s="64"/>
      <c r="DH144" s="74" t="s">
        <v>1256</v>
      </c>
      <c r="DI144" s="73">
        <f t="shared" ca="1" si="671"/>
        <v>0</v>
      </c>
      <c r="DJ144" s="64"/>
      <c r="DK144" s="74" t="s">
        <v>1256</v>
      </c>
      <c r="DL144" s="73">
        <f t="shared" ca="1" si="672"/>
        <v>0</v>
      </c>
      <c r="DM144" s="64"/>
      <c r="DN144" s="795" t="s">
        <v>1256</v>
      </c>
      <c r="DO144" s="73">
        <f t="shared" ca="1" si="673"/>
        <v>0</v>
      </c>
      <c r="DP144" s="64"/>
      <c r="DQ144" s="795" t="s">
        <v>1256</v>
      </c>
      <c r="DR144" s="73">
        <f t="shared" ca="1" si="674"/>
        <v>0</v>
      </c>
      <c r="DS144" s="64"/>
      <c r="DT144" s="74" t="s">
        <v>1256</v>
      </c>
      <c r="DU144" s="73">
        <f t="shared" ca="1" si="675"/>
        <v>0</v>
      </c>
      <c r="DV144" s="64"/>
      <c r="DW144" s="74" t="s">
        <v>1256</v>
      </c>
      <c r="DX144" s="73">
        <f t="shared" ca="1" si="676"/>
        <v>0</v>
      </c>
      <c r="DY144" s="64"/>
      <c r="DZ144" s="74" t="s">
        <v>1256</v>
      </c>
      <c r="EA144" s="73">
        <f t="shared" ca="1" si="677"/>
        <v>0</v>
      </c>
      <c r="EB144" s="64"/>
      <c r="EC144" s="74" t="s">
        <v>1256</v>
      </c>
      <c r="ED144" s="73">
        <f t="shared" ca="1" si="678"/>
        <v>0</v>
      </c>
      <c r="EE144" s="64"/>
      <c r="EF144" s="74" t="s">
        <v>1256</v>
      </c>
      <c r="EG144" s="73">
        <f t="shared" ca="1" si="679"/>
        <v>0</v>
      </c>
      <c r="EH144" s="64"/>
      <c r="EI144" s="74"/>
      <c r="EJ144" s="73">
        <f t="shared" ca="1" si="680"/>
        <v>0</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49"/>
      <c r="K145" s="56" t="str">
        <f>Idiomas!$D$198&amp;"-"&amp;ROWS($L$130:L145)</f>
        <v>Dieciseisavofinalista-16</v>
      </c>
      <c r="L145" s="53"/>
      <c r="M145" s="55" t="str">
        <f ca="1">WORLDCUP!AA116</f>
        <v>1K</v>
      </c>
      <c r="N145" s="25"/>
      <c r="O145" s="25"/>
      <c r="P145" s="25"/>
      <c r="Q145" s="25"/>
      <c r="R145" s="110"/>
      <c r="S145" s="74" t="s">
        <v>1320</v>
      </c>
      <c r="T145" s="73">
        <f t="shared" ca="1" si="640"/>
        <v>0</v>
      </c>
      <c r="U145" s="64"/>
      <c r="V145" s="74" t="s">
        <v>79</v>
      </c>
      <c r="W145" s="73">
        <f t="shared" ca="1" si="641"/>
        <v>0</v>
      </c>
      <c r="X145" s="64"/>
      <c r="Y145" s="74" t="s">
        <v>79</v>
      </c>
      <c r="Z145" s="73">
        <f t="shared" ca="1" si="642"/>
        <v>0</v>
      </c>
      <c r="AA145" s="64"/>
      <c r="AB145" s="74" t="s">
        <v>79</v>
      </c>
      <c r="AC145" s="73">
        <f t="shared" ca="1" si="643"/>
        <v>0</v>
      </c>
      <c r="AD145" s="64"/>
      <c r="AE145" s="74" t="s">
        <v>1320</v>
      </c>
      <c r="AF145" s="73">
        <f t="shared" ca="1" si="644"/>
        <v>0</v>
      </c>
      <c r="AG145" s="64"/>
      <c r="AH145" s="74" t="s">
        <v>79</v>
      </c>
      <c r="AI145" s="73">
        <f t="shared" ca="1" si="645"/>
        <v>0</v>
      </c>
      <c r="AJ145" s="64"/>
      <c r="AK145" s="74" t="s">
        <v>79</v>
      </c>
      <c r="AL145" s="73">
        <f t="shared" ca="1" si="646"/>
        <v>0</v>
      </c>
      <c r="AM145" s="64"/>
      <c r="AN145" s="74" t="s">
        <v>79</v>
      </c>
      <c r="AO145" s="73">
        <f t="shared" ca="1" si="647"/>
        <v>0</v>
      </c>
      <c r="AP145" s="64"/>
      <c r="AQ145" s="74" t="s">
        <v>79</v>
      </c>
      <c r="AR145" s="73">
        <f t="shared" ca="1" si="648"/>
        <v>0</v>
      </c>
      <c r="AS145" s="64"/>
      <c r="AT145" s="74" t="s">
        <v>79</v>
      </c>
      <c r="AU145" s="73">
        <f t="shared" ca="1" si="649"/>
        <v>0</v>
      </c>
      <c r="AV145" s="64"/>
      <c r="AW145" s="74" t="s">
        <v>79</v>
      </c>
      <c r="AX145" s="73">
        <f t="shared" ca="1" si="650"/>
        <v>0</v>
      </c>
      <c r="AY145" s="64"/>
      <c r="AZ145" s="74" t="s">
        <v>79</v>
      </c>
      <c r="BA145" s="73">
        <f t="shared" ca="1" si="651"/>
        <v>0</v>
      </c>
      <c r="BB145" s="64"/>
      <c r="BC145" s="74" t="s">
        <v>79</v>
      </c>
      <c r="BD145" s="73">
        <f t="shared" ca="1" si="652"/>
        <v>0</v>
      </c>
      <c r="BE145" s="64"/>
      <c r="BF145" s="74" t="s">
        <v>79</v>
      </c>
      <c r="BG145" s="73">
        <f t="shared" ca="1" si="653"/>
        <v>0</v>
      </c>
      <c r="BH145" s="64"/>
      <c r="BI145" s="74" t="s">
        <v>79</v>
      </c>
      <c r="BJ145" s="73">
        <f t="shared" ca="1" si="654"/>
        <v>0</v>
      </c>
      <c r="BK145" s="64"/>
      <c r="BL145" s="74" t="s">
        <v>79</v>
      </c>
      <c r="BM145" s="73">
        <f t="shared" ca="1" si="655"/>
        <v>0</v>
      </c>
      <c r="BN145" s="64"/>
      <c r="BO145" s="74" t="s">
        <v>79</v>
      </c>
      <c r="BP145" s="73">
        <f t="shared" ca="1" si="656"/>
        <v>0</v>
      </c>
      <c r="BQ145" s="64"/>
      <c r="BR145" s="74" t="s">
        <v>79</v>
      </c>
      <c r="BS145" s="73">
        <f t="shared" ca="1" si="657"/>
        <v>0</v>
      </c>
      <c r="BT145" s="64"/>
      <c r="BU145" s="74" t="s">
        <v>79</v>
      </c>
      <c r="BV145" s="73">
        <f t="shared" ca="1" si="658"/>
        <v>0</v>
      </c>
      <c r="BW145" s="64"/>
      <c r="BX145" s="74" t="s">
        <v>1320</v>
      </c>
      <c r="BY145" s="73">
        <f t="shared" ca="1" si="659"/>
        <v>0</v>
      </c>
      <c r="BZ145" s="64"/>
      <c r="CA145" s="74" t="s">
        <v>79</v>
      </c>
      <c r="CB145" s="73">
        <f t="shared" ca="1" si="660"/>
        <v>0</v>
      </c>
      <c r="CC145" s="64"/>
      <c r="CD145" s="74" t="s">
        <v>79</v>
      </c>
      <c r="CE145" s="73">
        <f t="shared" ca="1" si="661"/>
        <v>0</v>
      </c>
      <c r="CF145" s="64"/>
      <c r="CG145" s="74" t="s">
        <v>79</v>
      </c>
      <c r="CH145" s="73">
        <f t="shared" ca="1" si="662"/>
        <v>0</v>
      </c>
      <c r="CI145" s="64"/>
      <c r="CJ145" s="74" t="s">
        <v>79</v>
      </c>
      <c r="CK145" s="73">
        <f t="shared" ca="1" si="663"/>
        <v>0</v>
      </c>
      <c r="CL145" s="64"/>
      <c r="CM145" s="74" t="s">
        <v>79</v>
      </c>
      <c r="CN145" s="73">
        <f t="shared" ca="1" si="664"/>
        <v>0</v>
      </c>
      <c r="CO145" s="64"/>
      <c r="CP145" s="74" t="s">
        <v>79</v>
      </c>
      <c r="CQ145" s="73">
        <f t="shared" ca="1" si="665"/>
        <v>0</v>
      </c>
      <c r="CR145" s="64"/>
      <c r="CS145" s="74" t="s">
        <v>79</v>
      </c>
      <c r="CT145" s="73">
        <f t="shared" ca="1" si="666"/>
        <v>0</v>
      </c>
      <c r="CU145" s="64"/>
      <c r="CV145" s="74" t="s">
        <v>79</v>
      </c>
      <c r="CW145" s="73">
        <f t="shared" ca="1" si="667"/>
        <v>0</v>
      </c>
      <c r="CX145" s="64"/>
      <c r="CY145" s="74" t="s">
        <v>79</v>
      </c>
      <c r="CZ145" s="73">
        <f t="shared" ca="1" si="668"/>
        <v>0</v>
      </c>
      <c r="DA145" s="64"/>
      <c r="DB145" s="74" t="s">
        <v>79</v>
      </c>
      <c r="DC145" s="73">
        <f t="shared" ca="1" si="669"/>
        <v>0</v>
      </c>
      <c r="DD145" s="64"/>
      <c r="DE145" s="74" t="s">
        <v>79</v>
      </c>
      <c r="DF145" s="73">
        <f t="shared" ca="1" si="670"/>
        <v>0</v>
      </c>
      <c r="DG145" s="64"/>
      <c r="DH145" s="74" t="s">
        <v>79</v>
      </c>
      <c r="DI145" s="73">
        <f t="shared" ca="1" si="671"/>
        <v>0</v>
      </c>
      <c r="DJ145" s="64"/>
      <c r="DK145" s="74" t="s">
        <v>79</v>
      </c>
      <c r="DL145" s="73">
        <f t="shared" ca="1" si="672"/>
        <v>0</v>
      </c>
      <c r="DM145" s="64"/>
      <c r="DN145" s="795" t="s">
        <v>79</v>
      </c>
      <c r="DO145" s="73">
        <f t="shared" ca="1" si="673"/>
        <v>0</v>
      </c>
      <c r="DP145" s="64"/>
      <c r="DQ145" s="795" t="s">
        <v>79</v>
      </c>
      <c r="DR145" s="73">
        <f t="shared" ca="1" si="674"/>
        <v>0</v>
      </c>
      <c r="DS145" s="64"/>
      <c r="DT145" s="74" t="s">
        <v>1320</v>
      </c>
      <c r="DU145" s="73">
        <f t="shared" ca="1" si="675"/>
        <v>0</v>
      </c>
      <c r="DV145" s="64"/>
      <c r="DW145" s="74" t="s">
        <v>79</v>
      </c>
      <c r="DX145" s="73">
        <f t="shared" ca="1" si="676"/>
        <v>0</v>
      </c>
      <c r="DY145" s="64"/>
      <c r="DZ145" s="74" t="s">
        <v>79</v>
      </c>
      <c r="EA145" s="73">
        <f t="shared" ca="1" si="677"/>
        <v>0</v>
      </c>
      <c r="EB145" s="64"/>
      <c r="EC145" s="74" t="s">
        <v>79</v>
      </c>
      <c r="ED145" s="73">
        <f t="shared" ca="1" si="678"/>
        <v>0</v>
      </c>
      <c r="EE145" s="64"/>
      <c r="EF145" s="74" t="s">
        <v>79</v>
      </c>
      <c r="EG145" s="73">
        <f t="shared" ca="1" si="679"/>
        <v>0</v>
      </c>
      <c r="EH145" s="64"/>
      <c r="EI145" s="74"/>
      <c r="EJ145" s="73">
        <f t="shared" ca="1" si="680"/>
        <v>0</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49"/>
      <c r="K146" s="56" t="str">
        <f>Idiomas!$D$198&amp;"-"&amp;ROWS($L$130:L146)</f>
        <v>Dieciseisavofinalista-17</v>
      </c>
      <c r="L146" s="53"/>
      <c r="M146" s="55" t="str">
        <f ca="1">WORLDCUP!AF101</f>
        <v>2B</v>
      </c>
      <c r="N146" s="25"/>
      <c r="O146" s="25"/>
      <c r="P146" s="25"/>
      <c r="Q146" s="25"/>
      <c r="R146" s="110"/>
      <c r="S146" s="74" t="s">
        <v>75</v>
      </c>
      <c r="T146" s="73">
        <f t="shared" ca="1" si="640"/>
        <v>0</v>
      </c>
      <c r="U146" s="64"/>
      <c r="V146" s="74" t="s">
        <v>1841</v>
      </c>
      <c r="W146" s="73">
        <f t="shared" ca="1" si="641"/>
        <v>0</v>
      </c>
      <c r="X146" s="64"/>
      <c r="Y146" s="74" t="s">
        <v>1841</v>
      </c>
      <c r="Z146" s="73">
        <f t="shared" ca="1" si="642"/>
        <v>0</v>
      </c>
      <c r="AA146" s="64"/>
      <c r="AB146" s="74" t="s">
        <v>1841</v>
      </c>
      <c r="AC146" s="73">
        <f t="shared" ca="1" si="643"/>
        <v>0</v>
      </c>
      <c r="AD146" s="64"/>
      <c r="AE146" s="74" t="s">
        <v>1259</v>
      </c>
      <c r="AF146" s="73">
        <f t="shared" ca="1" si="644"/>
        <v>0</v>
      </c>
      <c r="AG146" s="64"/>
      <c r="AH146" s="74" t="s">
        <v>1259</v>
      </c>
      <c r="AI146" s="73">
        <f t="shared" ca="1" si="645"/>
        <v>0</v>
      </c>
      <c r="AJ146" s="64"/>
      <c r="AK146" s="74" t="s">
        <v>1841</v>
      </c>
      <c r="AL146" s="73">
        <f t="shared" ca="1" si="646"/>
        <v>0</v>
      </c>
      <c r="AM146" s="64"/>
      <c r="AN146" s="74" t="s">
        <v>1259</v>
      </c>
      <c r="AO146" s="73">
        <f t="shared" ca="1" si="647"/>
        <v>0</v>
      </c>
      <c r="AP146" s="64"/>
      <c r="AQ146" s="74" t="s">
        <v>1259</v>
      </c>
      <c r="AR146" s="73">
        <f t="shared" ca="1" si="648"/>
        <v>0</v>
      </c>
      <c r="AS146" s="64"/>
      <c r="AT146" s="74" t="s">
        <v>1841</v>
      </c>
      <c r="AU146" s="73">
        <f t="shared" ca="1" si="649"/>
        <v>0</v>
      </c>
      <c r="AV146" s="64"/>
      <c r="AW146" s="74" t="s">
        <v>75</v>
      </c>
      <c r="AX146" s="73">
        <f t="shared" ca="1" si="650"/>
        <v>0</v>
      </c>
      <c r="AY146" s="64"/>
      <c r="AZ146" s="74" t="s">
        <v>1259</v>
      </c>
      <c r="BA146" s="73">
        <f t="shared" ca="1" si="651"/>
        <v>0</v>
      </c>
      <c r="BB146" s="64"/>
      <c r="BC146" s="74" t="s">
        <v>1259</v>
      </c>
      <c r="BD146" s="73">
        <f t="shared" ca="1" si="652"/>
        <v>0</v>
      </c>
      <c r="BE146" s="64"/>
      <c r="BF146" s="74" t="s">
        <v>1259</v>
      </c>
      <c r="BG146" s="73">
        <f t="shared" ca="1" si="653"/>
        <v>0</v>
      </c>
      <c r="BH146" s="64"/>
      <c r="BI146" s="74" t="s">
        <v>1841</v>
      </c>
      <c r="BJ146" s="73">
        <f t="shared" ca="1" si="654"/>
        <v>0</v>
      </c>
      <c r="BK146" s="64"/>
      <c r="BL146" s="74" t="s">
        <v>1259</v>
      </c>
      <c r="BM146" s="73">
        <f t="shared" ca="1" si="655"/>
        <v>0</v>
      </c>
      <c r="BN146" s="64"/>
      <c r="BO146" s="74" t="s">
        <v>1259</v>
      </c>
      <c r="BP146" s="73">
        <f t="shared" ca="1" si="656"/>
        <v>0</v>
      </c>
      <c r="BQ146" s="64"/>
      <c r="BR146" s="74" t="s">
        <v>1841</v>
      </c>
      <c r="BS146" s="73">
        <f t="shared" ca="1" si="657"/>
        <v>0</v>
      </c>
      <c r="BT146" s="64"/>
      <c r="BU146" s="74" t="s">
        <v>1841</v>
      </c>
      <c r="BV146" s="73">
        <f t="shared" ca="1" si="658"/>
        <v>0</v>
      </c>
      <c r="BW146" s="64"/>
      <c r="BX146" s="74" t="s">
        <v>1259</v>
      </c>
      <c r="BY146" s="73">
        <f t="shared" ca="1" si="659"/>
        <v>0</v>
      </c>
      <c r="BZ146" s="64"/>
      <c r="CA146" s="74" t="s">
        <v>1259</v>
      </c>
      <c r="CB146" s="73">
        <f t="shared" ca="1" si="660"/>
        <v>0</v>
      </c>
      <c r="CC146" s="64"/>
      <c r="CD146" s="74" t="s">
        <v>1259</v>
      </c>
      <c r="CE146" s="73">
        <f t="shared" ca="1" si="661"/>
        <v>0</v>
      </c>
      <c r="CF146" s="64"/>
      <c r="CG146" s="74" t="s">
        <v>75</v>
      </c>
      <c r="CH146" s="73">
        <f t="shared" ca="1" si="662"/>
        <v>0</v>
      </c>
      <c r="CI146" s="64"/>
      <c r="CJ146" s="74" t="s">
        <v>1259</v>
      </c>
      <c r="CK146" s="73">
        <f t="shared" ca="1" si="663"/>
        <v>0</v>
      </c>
      <c r="CL146" s="64"/>
      <c r="CM146" s="74" t="s">
        <v>1259</v>
      </c>
      <c r="CN146" s="73">
        <f t="shared" ca="1" si="664"/>
        <v>0</v>
      </c>
      <c r="CO146" s="64"/>
      <c r="CP146" s="74" t="s">
        <v>1259</v>
      </c>
      <c r="CQ146" s="73">
        <f t="shared" ca="1" si="665"/>
        <v>0</v>
      </c>
      <c r="CR146" s="64"/>
      <c r="CS146" s="74" t="s">
        <v>1259</v>
      </c>
      <c r="CT146" s="73">
        <f t="shared" ca="1" si="666"/>
        <v>0</v>
      </c>
      <c r="CU146" s="64"/>
      <c r="CV146" s="74" t="s">
        <v>1841</v>
      </c>
      <c r="CW146" s="73">
        <f t="shared" ca="1" si="667"/>
        <v>0</v>
      </c>
      <c r="CX146" s="64"/>
      <c r="CY146" s="74" t="s">
        <v>1841</v>
      </c>
      <c r="CZ146" s="73">
        <f t="shared" ca="1" si="668"/>
        <v>0</v>
      </c>
      <c r="DA146" s="64"/>
      <c r="DB146" s="74" t="s">
        <v>1259</v>
      </c>
      <c r="DC146" s="73">
        <f t="shared" ca="1" si="669"/>
        <v>0</v>
      </c>
      <c r="DD146" s="64"/>
      <c r="DE146" s="74" t="s">
        <v>1259</v>
      </c>
      <c r="DF146" s="73">
        <f t="shared" ca="1" si="670"/>
        <v>0</v>
      </c>
      <c r="DG146" s="64"/>
      <c r="DH146" s="74" t="s">
        <v>1259</v>
      </c>
      <c r="DI146" s="73">
        <f t="shared" ca="1" si="671"/>
        <v>0</v>
      </c>
      <c r="DJ146" s="64"/>
      <c r="DK146" s="74" t="s">
        <v>1841</v>
      </c>
      <c r="DL146" s="73">
        <f t="shared" ca="1" si="672"/>
        <v>0</v>
      </c>
      <c r="DM146" s="64"/>
      <c r="DN146" s="795" t="s">
        <v>1841</v>
      </c>
      <c r="DO146" s="73">
        <f t="shared" ca="1" si="673"/>
        <v>0</v>
      </c>
      <c r="DP146" s="64"/>
      <c r="DQ146" s="795" t="s">
        <v>1841</v>
      </c>
      <c r="DR146" s="73">
        <f t="shared" ca="1" si="674"/>
        <v>0</v>
      </c>
      <c r="DS146" s="64"/>
      <c r="DT146" s="74" t="s">
        <v>1259</v>
      </c>
      <c r="DU146" s="73">
        <f t="shared" ca="1" si="675"/>
        <v>0</v>
      </c>
      <c r="DV146" s="64"/>
      <c r="DW146" s="74" t="s">
        <v>1259</v>
      </c>
      <c r="DX146" s="73">
        <f t="shared" ca="1" si="676"/>
        <v>0</v>
      </c>
      <c r="DY146" s="64"/>
      <c r="DZ146" s="74" t="s">
        <v>75</v>
      </c>
      <c r="EA146" s="73">
        <f t="shared" ca="1" si="677"/>
        <v>0</v>
      </c>
      <c r="EB146" s="64"/>
      <c r="EC146" s="74" t="s">
        <v>1841</v>
      </c>
      <c r="ED146" s="73">
        <f t="shared" ca="1" si="678"/>
        <v>0</v>
      </c>
      <c r="EE146" s="64"/>
      <c r="EF146" s="74" t="s">
        <v>1259</v>
      </c>
      <c r="EG146" s="73">
        <f t="shared" ca="1" si="679"/>
        <v>0</v>
      </c>
      <c r="EH146" s="64"/>
      <c r="EI146" s="74"/>
      <c r="EJ146" s="73">
        <f t="shared" ca="1" si="680"/>
        <v>0</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49"/>
      <c r="K147" s="56" t="str">
        <f>Idiomas!$D$198&amp;"-"&amp;ROWS($L$130:L147)</f>
        <v>Dieciseisavofinalista-18</v>
      </c>
      <c r="L147" s="53"/>
      <c r="M147" s="55" t="str">
        <f ca="1">WORLDCUP!AF102</f>
        <v>2F</v>
      </c>
      <c r="N147" s="25"/>
      <c r="O147" s="25"/>
      <c r="P147" s="25"/>
      <c r="Q147" s="25"/>
      <c r="R147" s="110"/>
      <c r="S147" s="74" t="s">
        <v>111</v>
      </c>
      <c r="T147" s="73">
        <f t="shared" ca="1" si="640"/>
        <v>0</v>
      </c>
      <c r="U147" s="64"/>
      <c r="V147" s="74" t="s">
        <v>1263</v>
      </c>
      <c r="W147" s="73">
        <f t="shared" ca="1" si="641"/>
        <v>0</v>
      </c>
      <c r="X147" s="64"/>
      <c r="Y147" s="74" t="s">
        <v>1263</v>
      </c>
      <c r="Z147" s="73">
        <f t="shared" ca="1" si="642"/>
        <v>0</v>
      </c>
      <c r="AA147" s="64"/>
      <c r="AB147" s="74" t="s">
        <v>1263</v>
      </c>
      <c r="AC147" s="73">
        <f t="shared" ca="1" si="643"/>
        <v>0</v>
      </c>
      <c r="AD147" s="64"/>
      <c r="AE147" s="74" t="s">
        <v>111</v>
      </c>
      <c r="AF147" s="73">
        <f t="shared" ca="1" si="644"/>
        <v>0</v>
      </c>
      <c r="AG147" s="64"/>
      <c r="AH147" s="74" t="s">
        <v>1833</v>
      </c>
      <c r="AI147" s="73">
        <f t="shared" ca="1" si="645"/>
        <v>0</v>
      </c>
      <c r="AJ147" s="64"/>
      <c r="AK147" s="74" t="s">
        <v>1263</v>
      </c>
      <c r="AL147" s="73">
        <f t="shared" ca="1" si="646"/>
        <v>0</v>
      </c>
      <c r="AM147" s="64"/>
      <c r="AN147" s="74" t="s">
        <v>1263</v>
      </c>
      <c r="AO147" s="73">
        <f t="shared" ca="1" si="647"/>
        <v>0</v>
      </c>
      <c r="AP147" s="64"/>
      <c r="AQ147" s="74" t="s">
        <v>1833</v>
      </c>
      <c r="AR147" s="73">
        <f t="shared" ca="1" si="648"/>
        <v>0</v>
      </c>
      <c r="AS147" s="64"/>
      <c r="AT147" s="74" t="s">
        <v>1263</v>
      </c>
      <c r="AU147" s="73">
        <f t="shared" ca="1" si="649"/>
        <v>0</v>
      </c>
      <c r="AV147" s="64"/>
      <c r="AW147" s="74" t="s">
        <v>1263</v>
      </c>
      <c r="AX147" s="73">
        <f t="shared" ca="1" si="650"/>
        <v>0</v>
      </c>
      <c r="AY147" s="64"/>
      <c r="AZ147" s="74" t="s">
        <v>1263</v>
      </c>
      <c r="BA147" s="73">
        <f t="shared" ca="1" si="651"/>
        <v>0</v>
      </c>
      <c r="BB147" s="64"/>
      <c r="BC147" s="74" t="s">
        <v>1833</v>
      </c>
      <c r="BD147" s="73">
        <f t="shared" ca="1" si="652"/>
        <v>0</v>
      </c>
      <c r="BE147" s="64"/>
      <c r="BF147" s="74" t="s">
        <v>1263</v>
      </c>
      <c r="BG147" s="73">
        <f t="shared" ca="1" si="653"/>
        <v>0</v>
      </c>
      <c r="BH147" s="64"/>
      <c r="BI147" s="74" t="s">
        <v>1263</v>
      </c>
      <c r="BJ147" s="73">
        <f t="shared" ca="1" si="654"/>
        <v>0</v>
      </c>
      <c r="BK147" s="64"/>
      <c r="BL147" s="74" t="s">
        <v>1263</v>
      </c>
      <c r="BM147" s="73">
        <f t="shared" ca="1" si="655"/>
        <v>0</v>
      </c>
      <c r="BN147" s="64"/>
      <c r="BO147" s="74" t="s">
        <v>1263</v>
      </c>
      <c r="BP147" s="73">
        <f t="shared" ca="1" si="656"/>
        <v>0</v>
      </c>
      <c r="BQ147" s="64"/>
      <c r="BR147" s="74" t="s">
        <v>1263</v>
      </c>
      <c r="BS147" s="73">
        <f t="shared" ca="1" si="657"/>
        <v>0</v>
      </c>
      <c r="BT147" s="64"/>
      <c r="BU147" s="74" t="s">
        <v>111</v>
      </c>
      <c r="BV147" s="73">
        <f t="shared" ca="1" si="658"/>
        <v>0</v>
      </c>
      <c r="BW147" s="64"/>
      <c r="BX147" s="74" t="s">
        <v>1263</v>
      </c>
      <c r="BY147" s="73">
        <f t="shared" ca="1" si="659"/>
        <v>0</v>
      </c>
      <c r="BZ147" s="64"/>
      <c r="CA147" s="74" t="s">
        <v>1833</v>
      </c>
      <c r="CB147" s="73">
        <f t="shared" ca="1" si="660"/>
        <v>0</v>
      </c>
      <c r="CC147" s="64"/>
      <c r="CD147" s="74" t="s">
        <v>111</v>
      </c>
      <c r="CE147" s="73">
        <f t="shared" ca="1" si="661"/>
        <v>0</v>
      </c>
      <c r="CF147" s="64"/>
      <c r="CG147" s="74" t="s">
        <v>1263</v>
      </c>
      <c r="CH147" s="73">
        <f t="shared" ca="1" si="662"/>
        <v>0</v>
      </c>
      <c r="CI147" s="64"/>
      <c r="CJ147" s="74" t="s">
        <v>1263</v>
      </c>
      <c r="CK147" s="73">
        <f t="shared" ca="1" si="663"/>
        <v>0</v>
      </c>
      <c r="CL147" s="64"/>
      <c r="CM147" s="74" t="s">
        <v>111</v>
      </c>
      <c r="CN147" s="73">
        <f t="shared" ca="1" si="664"/>
        <v>0</v>
      </c>
      <c r="CO147" s="64"/>
      <c r="CP147" s="74" t="s">
        <v>111</v>
      </c>
      <c r="CQ147" s="73">
        <f t="shared" ca="1" si="665"/>
        <v>0</v>
      </c>
      <c r="CR147" s="64"/>
      <c r="CS147" s="74" t="s">
        <v>1263</v>
      </c>
      <c r="CT147" s="73">
        <f t="shared" ca="1" si="666"/>
        <v>0</v>
      </c>
      <c r="CU147" s="64"/>
      <c r="CV147" s="74" t="s">
        <v>1263</v>
      </c>
      <c r="CW147" s="73">
        <f t="shared" ca="1" si="667"/>
        <v>0</v>
      </c>
      <c r="CX147" s="64"/>
      <c r="CY147" s="74" t="s">
        <v>111</v>
      </c>
      <c r="CZ147" s="73">
        <f t="shared" ca="1" si="668"/>
        <v>0</v>
      </c>
      <c r="DA147" s="64"/>
      <c r="DB147" s="74" t="s">
        <v>1263</v>
      </c>
      <c r="DC147" s="73">
        <f t="shared" ca="1" si="669"/>
        <v>0</v>
      </c>
      <c r="DD147" s="64"/>
      <c r="DE147" s="74" t="s">
        <v>1263</v>
      </c>
      <c r="DF147" s="73">
        <f t="shared" ca="1" si="670"/>
        <v>0</v>
      </c>
      <c r="DG147" s="64"/>
      <c r="DH147" s="74" t="s">
        <v>1263</v>
      </c>
      <c r="DI147" s="73">
        <f t="shared" ca="1" si="671"/>
        <v>0</v>
      </c>
      <c r="DJ147" s="64"/>
      <c r="DK147" s="74" t="s">
        <v>1833</v>
      </c>
      <c r="DL147" s="73">
        <f t="shared" ca="1" si="672"/>
        <v>0</v>
      </c>
      <c r="DM147" s="64"/>
      <c r="DN147" s="795" t="s">
        <v>1263</v>
      </c>
      <c r="DO147" s="73">
        <f t="shared" ca="1" si="673"/>
        <v>0</v>
      </c>
      <c r="DP147" s="64"/>
      <c r="DQ147" s="795" t="s">
        <v>111</v>
      </c>
      <c r="DR147" s="73">
        <f t="shared" ca="1" si="674"/>
        <v>0</v>
      </c>
      <c r="DS147" s="64"/>
      <c r="DT147" s="74" t="s">
        <v>111</v>
      </c>
      <c r="DU147" s="73">
        <f t="shared" ca="1" si="675"/>
        <v>0</v>
      </c>
      <c r="DV147" s="64"/>
      <c r="DW147" s="74" t="s">
        <v>1263</v>
      </c>
      <c r="DX147" s="73">
        <f t="shared" ca="1" si="676"/>
        <v>0</v>
      </c>
      <c r="DY147" s="64"/>
      <c r="DZ147" s="74" t="s">
        <v>1263</v>
      </c>
      <c r="EA147" s="73">
        <f t="shared" ca="1" si="677"/>
        <v>0</v>
      </c>
      <c r="EB147" s="64"/>
      <c r="EC147" s="74" t="s">
        <v>1322</v>
      </c>
      <c r="ED147" s="73">
        <f t="shared" ca="1" si="678"/>
        <v>0</v>
      </c>
      <c r="EE147" s="64"/>
      <c r="EF147" s="74" t="s">
        <v>1263</v>
      </c>
      <c r="EG147" s="73">
        <f t="shared" ca="1" si="679"/>
        <v>0</v>
      </c>
      <c r="EH147" s="64"/>
      <c r="EI147" s="74"/>
      <c r="EJ147" s="73">
        <f t="shared" ca="1" si="680"/>
        <v>0</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49"/>
      <c r="K148" s="56" t="str">
        <f>Idiomas!$D$198&amp;"-"&amp;ROWS($L$130:L148)</f>
        <v>Dieciseisavofinalista-19</v>
      </c>
      <c r="L148" s="53"/>
      <c r="M148" s="55" t="str">
        <f ca="1">WORLDCUP!AF103</f>
        <v>3ABCDF</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0</v>
      </c>
      <c r="AD148" s="64"/>
      <c r="AE148" s="74" t="s">
        <v>1319</v>
      </c>
      <c r="AF148" s="73">
        <f t="shared" ca="1" si="644"/>
        <v>0</v>
      </c>
      <c r="AG148" s="64"/>
      <c r="AH148" s="74" t="s">
        <v>1319</v>
      </c>
      <c r="AI148" s="73">
        <f t="shared" ca="1" si="645"/>
        <v>0</v>
      </c>
      <c r="AJ148" s="64"/>
      <c r="AK148" s="74" t="s">
        <v>497</v>
      </c>
      <c r="AL148" s="73">
        <f t="shared" ca="1" si="646"/>
        <v>0</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0</v>
      </c>
      <c r="BB148" s="64"/>
      <c r="BC148" s="74" t="s">
        <v>1319</v>
      </c>
      <c r="BD148" s="73">
        <f t="shared" ca="1" si="652"/>
        <v>0</v>
      </c>
      <c r="BE148" s="64"/>
      <c r="BF148" s="74" t="s">
        <v>134</v>
      </c>
      <c r="BG148" s="73">
        <f t="shared" ca="1" si="653"/>
        <v>0</v>
      </c>
      <c r="BH148" s="64"/>
      <c r="BI148" s="74" t="s">
        <v>134</v>
      </c>
      <c r="BJ148" s="73">
        <f t="shared" ca="1" si="654"/>
        <v>0</v>
      </c>
      <c r="BK148" s="64"/>
      <c r="BL148" s="74" t="s">
        <v>1319</v>
      </c>
      <c r="BM148" s="73">
        <f t="shared" ca="1" si="655"/>
        <v>0</v>
      </c>
      <c r="BN148" s="64"/>
      <c r="BO148" s="74" t="s">
        <v>134</v>
      </c>
      <c r="BP148" s="73">
        <f t="shared" ca="1" si="656"/>
        <v>0</v>
      </c>
      <c r="BQ148" s="64"/>
      <c r="BR148" s="74" t="s">
        <v>134</v>
      </c>
      <c r="BS148" s="73">
        <f t="shared" ca="1" si="657"/>
        <v>0</v>
      </c>
      <c r="BT148" s="64"/>
      <c r="BU148" s="74" t="s">
        <v>1321</v>
      </c>
      <c r="BV148" s="73">
        <f t="shared" ca="1" si="658"/>
        <v>0</v>
      </c>
      <c r="BW148" s="64"/>
      <c r="BX148" s="74" t="s">
        <v>134</v>
      </c>
      <c r="BY148" s="73">
        <f t="shared" ca="1" si="659"/>
        <v>0</v>
      </c>
      <c r="BZ148" s="64"/>
      <c r="CA148" s="74" t="s">
        <v>1319</v>
      </c>
      <c r="CB148" s="73">
        <f t="shared" ca="1" si="660"/>
        <v>0</v>
      </c>
      <c r="CC148" s="64"/>
      <c r="CD148" s="74" t="s">
        <v>1257</v>
      </c>
      <c r="CE148" s="73">
        <f t="shared" ca="1" si="661"/>
        <v>0</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0</v>
      </c>
      <c r="CU148" s="64"/>
      <c r="CV148" s="74" t="s">
        <v>134</v>
      </c>
      <c r="CW148" s="73">
        <f t="shared" ca="1" si="667"/>
        <v>0</v>
      </c>
      <c r="CX148" s="64"/>
      <c r="CY148" s="74" t="s">
        <v>134</v>
      </c>
      <c r="CZ148" s="73">
        <f t="shared" ca="1" si="668"/>
        <v>0</v>
      </c>
      <c r="DA148" s="64"/>
      <c r="DB148" s="74" t="s">
        <v>1319</v>
      </c>
      <c r="DC148" s="73">
        <f t="shared" ca="1" si="669"/>
        <v>0</v>
      </c>
      <c r="DD148" s="64"/>
      <c r="DE148" s="74" t="s">
        <v>134</v>
      </c>
      <c r="DF148" s="73">
        <f t="shared" ca="1" si="670"/>
        <v>0</v>
      </c>
      <c r="DG148" s="64"/>
      <c r="DH148" s="74" t="s">
        <v>1319</v>
      </c>
      <c r="DI148" s="73">
        <f t="shared" ca="1" si="671"/>
        <v>0</v>
      </c>
      <c r="DJ148" s="64"/>
      <c r="DK148" s="74" t="s">
        <v>134</v>
      </c>
      <c r="DL148" s="73">
        <f t="shared" ca="1" si="672"/>
        <v>0</v>
      </c>
      <c r="DM148" s="64"/>
      <c r="DN148" s="795" t="s">
        <v>134</v>
      </c>
      <c r="DO148" s="73">
        <f t="shared" ca="1" si="673"/>
        <v>0</v>
      </c>
      <c r="DP148" s="64"/>
      <c r="DQ148" s="795" t="s">
        <v>1833</v>
      </c>
      <c r="DR148" s="73">
        <f t="shared" ca="1" si="674"/>
        <v>0</v>
      </c>
      <c r="DS148" s="64"/>
      <c r="DT148" s="74" t="s">
        <v>1319</v>
      </c>
      <c r="DU148" s="73">
        <f t="shared" ca="1" si="675"/>
        <v>0</v>
      </c>
      <c r="DV148" s="64"/>
      <c r="DW148" s="74" t="s">
        <v>1319</v>
      </c>
      <c r="DX148" s="73">
        <f t="shared" ca="1" si="676"/>
        <v>0</v>
      </c>
      <c r="DY148" s="64"/>
      <c r="DZ148" s="74" t="s">
        <v>1843</v>
      </c>
      <c r="EA148" s="73">
        <f t="shared" ca="1" si="677"/>
        <v>0</v>
      </c>
      <c r="EB148" s="64"/>
      <c r="EC148" s="74" t="s">
        <v>497</v>
      </c>
      <c r="ED148" s="73">
        <f t="shared" ca="1" si="678"/>
        <v>0</v>
      </c>
      <c r="EE148" s="64"/>
      <c r="EF148" s="74" t="s">
        <v>134</v>
      </c>
      <c r="EG148" s="73">
        <f t="shared" ca="1" si="679"/>
        <v>0</v>
      </c>
      <c r="EH148" s="64"/>
      <c r="EI148" s="74"/>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49"/>
      <c r="K149" s="56" t="str">
        <f>Idiomas!$D$198&amp;"-"&amp;ROWS($L$130:L149)</f>
        <v>Dieciseisavofinalista-20</v>
      </c>
      <c r="L149" s="53"/>
      <c r="M149" s="55" t="str">
        <f ca="1">WORLDCUP!AF104</f>
        <v>2C</v>
      </c>
      <c r="N149" s="25"/>
      <c r="O149" s="25"/>
      <c r="P149" s="25"/>
      <c r="Q149" s="25"/>
      <c r="R149" s="110"/>
      <c r="S149" s="74" t="s">
        <v>1321</v>
      </c>
      <c r="T149" s="73">
        <f t="shared" ca="1" si="640"/>
        <v>0</v>
      </c>
      <c r="U149" s="64"/>
      <c r="V149" s="74" t="s">
        <v>1321</v>
      </c>
      <c r="W149" s="73">
        <f t="shared" ca="1" si="641"/>
        <v>0</v>
      </c>
      <c r="X149" s="64"/>
      <c r="Y149" s="74" t="s">
        <v>1321</v>
      </c>
      <c r="Z149" s="73">
        <f t="shared" ca="1" si="642"/>
        <v>0</v>
      </c>
      <c r="AA149" s="64"/>
      <c r="AB149" s="74" t="s">
        <v>1321</v>
      </c>
      <c r="AC149" s="73">
        <f t="shared" ca="1" si="643"/>
        <v>0</v>
      </c>
      <c r="AD149" s="64"/>
      <c r="AE149" s="74" t="s">
        <v>1321</v>
      </c>
      <c r="AF149" s="73">
        <f t="shared" ca="1" si="644"/>
        <v>0</v>
      </c>
      <c r="AG149" s="64"/>
      <c r="AH149" s="74" t="s">
        <v>1258</v>
      </c>
      <c r="AI149" s="73">
        <f t="shared" ca="1" si="645"/>
        <v>0</v>
      </c>
      <c r="AJ149" s="64"/>
      <c r="AK149" s="74" t="s">
        <v>1321</v>
      </c>
      <c r="AL149" s="73">
        <f t="shared" ca="1" si="646"/>
        <v>0</v>
      </c>
      <c r="AM149" s="64"/>
      <c r="AN149" s="74" t="s">
        <v>1321</v>
      </c>
      <c r="AO149" s="73">
        <f t="shared" ca="1" si="647"/>
        <v>0</v>
      </c>
      <c r="AP149" s="64"/>
      <c r="AQ149" s="74" t="s">
        <v>1321</v>
      </c>
      <c r="AR149" s="73">
        <f t="shared" ca="1" si="648"/>
        <v>0</v>
      </c>
      <c r="AS149" s="64"/>
      <c r="AT149" s="74" t="s">
        <v>1321</v>
      </c>
      <c r="AU149" s="73">
        <f t="shared" ca="1" si="649"/>
        <v>0</v>
      </c>
      <c r="AV149" s="64"/>
      <c r="AW149" s="74" t="s">
        <v>1321</v>
      </c>
      <c r="AX149" s="73">
        <f t="shared" ca="1" si="650"/>
        <v>0</v>
      </c>
      <c r="AY149" s="64"/>
      <c r="AZ149" s="74" t="s">
        <v>1321</v>
      </c>
      <c r="BA149" s="73">
        <f t="shared" ca="1" si="651"/>
        <v>0</v>
      </c>
      <c r="BB149" s="64"/>
      <c r="BC149" s="74" t="s">
        <v>1321</v>
      </c>
      <c r="BD149" s="73">
        <f t="shared" ca="1" si="652"/>
        <v>0</v>
      </c>
      <c r="BE149" s="64"/>
      <c r="BF149" s="74" t="s">
        <v>1321</v>
      </c>
      <c r="BG149" s="73">
        <f t="shared" ca="1" si="653"/>
        <v>0</v>
      </c>
      <c r="BH149" s="64"/>
      <c r="BI149" s="74" t="s">
        <v>1321</v>
      </c>
      <c r="BJ149" s="73">
        <f t="shared" ca="1" si="654"/>
        <v>0</v>
      </c>
      <c r="BK149" s="64"/>
      <c r="BL149" s="74" t="s">
        <v>1321</v>
      </c>
      <c r="BM149" s="73">
        <f t="shared" ca="1" si="655"/>
        <v>0</v>
      </c>
      <c r="BN149" s="64"/>
      <c r="BO149" s="74" t="s">
        <v>1321</v>
      </c>
      <c r="BP149" s="73">
        <f t="shared" ca="1" si="656"/>
        <v>0</v>
      </c>
      <c r="BQ149" s="64"/>
      <c r="BR149" s="74" t="s">
        <v>1321</v>
      </c>
      <c r="BS149" s="73">
        <f t="shared" ca="1" si="657"/>
        <v>0</v>
      </c>
      <c r="BT149" s="64"/>
      <c r="BU149" s="74" t="s">
        <v>134</v>
      </c>
      <c r="BV149" s="73">
        <f t="shared" ca="1" si="658"/>
        <v>0</v>
      </c>
      <c r="BW149" s="64"/>
      <c r="BX149" s="74" t="s">
        <v>1321</v>
      </c>
      <c r="BY149" s="73">
        <f t="shared" ca="1" si="659"/>
        <v>0</v>
      </c>
      <c r="BZ149" s="64"/>
      <c r="CA149" s="74" t="s">
        <v>1258</v>
      </c>
      <c r="CB149" s="73">
        <f t="shared" ca="1" si="660"/>
        <v>0</v>
      </c>
      <c r="CC149" s="64"/>
      <c r="CD149" s="74" t="s">
        <v>1321</v>
      </c>
      <c r="CE149" s="73">
        <f t="shared" ca="1" si="661"/>
        <v>0</v>
      </c>
      <c r="CF149" s="64"/>
      <c r="CG149" s="74" t="s">
        <v>1321</v>
      </c>
      <c r="CH149" s="73">
        <f t="shared" ca="1" si="662"/>
        <v>0</v>
      </c>
      <c r="CI149" s="64"/>
      <c r="CJ149" s="74" t="s">
        <v>1321</v>
      </c>
      <c r="CK149" s="73">
        <f t="shared" ca="1" si="663"/>
        <v>0</v>
      </c>
      <c r="CL149" s="64"/>
      <c r="CM149" s="74" t="s">
        <v>1321</v>
      </c>
      <c r="CN149" s="73">
        <f t="shared" ca="1" si="664"/>
        <v>0</v>
      </c>
      <c r="CO149" s="64"/>
      <c r="CP149" s="74" t="s">
        <v>1321</v>
      </c>
      <c r="CQ149" s="73">
        <f t="shared" ca="1" si="665"/>
        <v>0</v>
      </c>
      <c r="CR149" s="64"/>
      <c r="CS149" s="74" t="s">
        <v>1321</v>
      </c>
      <c r="CT149" s="73">
        <f t="shared" ca="1" si="666"/>
        <v>0</v>
      </c>
      <c r="CU149" s="64"/>
      <c r="CV149" s="74" t="s">
        <v>1321</v>
      </c>
      <c r="CW149" s="73">
        <f t="shared" ca="1" si="667"/>
        <v>0</v>
      </c>
      <c r="CX149" s="64"/>
      <c r="CY149" s="74" t="s">
        <v>1321</v>
      </c>
      <c r="CZ149" s="73">
        <f t="shared" ca="1" si="668"/>
        <v>0</v>
      </c>
      <c r="DA149" s="64"/>
      <c r="DB149" s="74" t="s">
        <v>1321</v>
      </c>
      <c r="DC149" s="73">
        <f t="shared" ca="1" si="669"/>
        <v>0</v>
      </c>
      <c r="DD149" s="64"/>
      <c r="DE149" s="74" t="s">
        <v>1321</v>
      </c>
      <c r="DF149" s="73">
        <f t="shared" ca="1" si="670"/>
        <v>0</v>
      </c>
      <c r="DG149" s="64"/>
      <c r="DH149" s="74" t="s">
        <v>1321</v>
      </c>
      <c r="DI149" s="73">
        <f t="shared" ca="1" si="671"/>
        <v>0</v>
      </c>
      <c r="DJ149" s="64"/>
      <c r="DK149" s="74" t="s">
        <v>1258</v>
      </c>
      <c r="DL149" s="73">
        <f t="shared" ca="1" si="672"/>
        <v>0</v>
      </c>
      <c r="DM149" s="64"/>
      <c r="DN149" s="795" t="s">
        <v>1321</v>
      </c>
      <c r="DO149" s="73">
        <f t="shared" ca="1" si="673"/>
        <v>0</v>
      </c>
      <c r="DP149" s="64"/>
      <c r="DQ149" s="795" t="s">
        <v>1258</v>
      </c>
      <c r="DR149" s="73">
        <f t="shared" ca="1" si="674"/>
        <v>0</v>
      </c>
      <c r="DS149" s="64"/>
      <c r="DT149" s="74" t="s">
        <v>134</v>
      </c>
      <c r="DU149" s="73">
        <f t="shared" ca="1" si="675"/>
        <v>0</v>
      </c>
      <c r="DV149" s="64"/>
      <c r="DW149" s="74" t="s">
        <v>1321</v>
      </c>
      <c r="DX149" s="73">
        <f t="shared" ca="1" si="676"/>
        <v>0</v>
      </c>
      <c r="DY149" s="64"/>
      <c r="DZ149" s="74" t="s">
        <v>134</v>
      </c>
      <c r="EA149" s="73">
        <f t="shared" ca="1" si="677"/>
        <v>0</v>
      </c>
      <c r="EB149" s="64"/>
      <c r="EC149" s="74" t="s">
        <v>1321</v>
      </c>
      <c r="ED149" s="73">
        <f t="shared" ca="1" si="678"/>
        <v>0</v>
      </c>
      <c r="EE149" s="64"/>
      <c r="EF149" s="74" t="s">
        <v>1321</v>
      </c>
      <c r="EG149" s="73">
        <f t="shared" ca="1" si="679"/>
        <v>0</v>
      </c>
      <c r="EH149" s="64"/>
      <c r="EI149" s="74"/>
      <c r="EJ149" s="73">
        <f t="shared" ca="1" si="680"/>
        <v>0</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49"/>
      <c r="K150" s="56" t="str">
        <f>Idiomas!$D$198&amp;"-"&amp;ROWS($L$130:L150)</f>
        <v>Dieciseisavofinalista-21</v>
      </c>
      <c r="L150" s="53"/>
      <c r="M150" s="55" t="str">
        <f ca="1">WORLDCUP!AF105</f>
        <v>2I</v>
      </c>
      <c r="N150" s="25"/>
      <c r="O150" s="25"/>
      <c r="P150" s="25"/>
      <c r="Q150" s="25"/>
      <c r="R150" s="110"/>
      <c r="S150" s="74" t="s">
        <v>135</v>
      </c>
      <c r="T150" s="73">
        <f t="shared" ca="1" si="640"/>
        <v>0</v>
      </c>
      <c r="U150" s="64"/>
      <c r="V150" s="74" t="s">
        <v>1634</v>
      </c>
      <c r="W150" s="73">
        <f t="shared" ca="1" si="641"/>
        <v>0</v>
      </c>
      <c r="X150" s="64"/>
      <c r="Y150" s="74" t="s">
        <v>135</v>
      </c>
      <c r="Z150" s="73">
        <f t="shared" ca="1" si="642"/>
        <v>0</v>
      </c>
      <c r="AA150" s="64"/>
      <c r="AB150" s="74" t="s">
        <v>135</v>
      </c>
      <c r="AC150" s="73">
        <f t="shared" ca="1" si="643"/>
        <v>0</v>
      </c>
      <c r="AD150" s="64"/>
      <c r="AE150" s="74" t="s">
        <v>135</v>
      </c>
      <c r="AF150" s="73">
        <f t="shared" ca="1" si="644"/>
        <v>0</v>
      </c>
      <c r="AG150" s="64"/>
      <c r="AH150" s="74" t="s">
        <v>135</v>
      </c>
      <c r="AI150" s="73">
        <f t="shared" ca="1" si="645"/>
        <v>0</v>
      </c>
      <c r="AJ150" s="64"/>
      <c r="AK150" s="74" t="s">
        <v>1634</v>
      </c>
      <c r="AL150" s="73">
        <f t="shared" ca="1" si="646"/>
        <v>0</v>
      </c>
      <c r="AM150" s="64"/>
      <c r="AN150" s="74" t="s">
        <v>135</v>
      </c>
      <c r="AO150" s="73">
        <f t="shared" ca="1" si="647"/>
        <v>0</v>
      </c>
      <c r="AP150" s="64"/>
      <c r="AQ150" s="74" t="s">
        <v>135</v>
      </c>
      <c r="AR150" s="73">
        <f t="shared" ca="1" si="648"/>
        <v>0</v>
      </c>
      <c r="AS150" s="64"/>
      <c r="AT150" s="74" t="s">
        <v>135</v>
      </c>
      <c r="AU150" s="73">
        <f t="shared" ca="1" si="649"/>
        <v>0</v>
      </c>
      <c r="AV150" s="64"/>
      <c r="AW150" s="74" t="s">
        <v>135</v>
      </c>
      <c r="AX150" s="73">
        <f t="shared" ca="1" si="650"/>
        <v>0</v>
      </c>
      <c r="AY150" s="64"/>
      <c r="AZ150" s="74" t="s">
        <v>135</v>
      </c>
      <c r="BA150" s="73">
        <f t="shared" ca="1" si="651"/>
        <v>0</v>
      </c>
      <c r="BB150" s="64"/>
      <c r="BC150" s="74" t="s">
        <v>135</v>
      </c>
      <c r="BD150" s="73">
        <f t="shared" ca="1" si="652"/>
        <v>0</v>
      </c>
      <c r="BE150" s="64"/>
      <c r="BF150" s="74" t="s">
        <v>135</v>
      </c>
      <c r="BG150" s="73">
        <f t="shared" ca="1" si="653"/>
        <v>0</v>
      </c>
      <c r="BH150" s="64"/>
      <c r="BI150" s="74" t="s">
        <v>135</v>
      </c>
      <c r="BJ150" s="73">
        <f t="shared" ca="1" si="654"/>
        <v>0</v>
      </c>
      <c r="BK150" s="64"/>
      <c r="BL150" s="74" t="s">
        <v>1634</v>
      </c>
      <c r="BM150" s="73">
        <f t="shared" ca="1" si="655"/>
        <v>0</v>
      </c>
      <c r="BN150" s="64"/>
      <c r="BO150" s="74" t="s">
        <v>1634</v>
      </c>
      <c r="BP150" s="73">
        <f t="shared" ca="1" si="656"/>
        <v>0</v>
      </c>
      <c r="BQ150" s="64"/>
      <c r="BR150" s="74" t="s">
        <v>1634</v>
      </c>
      <c r="BS150" s="73">
        <f t="shared" ca="1" si="657"/>
        <v>0</v>
      </c>
      <c r="BT150" s="64"/>
      <c r="BU150" s="74" t="s">
        <v>1634</v>
      </c>
      <c r="BV150" s="73">
        <f t="shared" ca="1" si="658"/>
        <v>0</v>
      </c>
      <c r="BW150" s="64"/>
      <c r="BX150" s="74" t="s">
        <v>1634</v>
      </c>
      <c r="BY150" s="73">
        <f t="shared" ca="1" si="659"/>
        <v>0</v>
      </c>
      <c r="BZ150" s="64"/>
      <c r="CA150" s="74" t="s">
        <v>1634</v>
      </c>
      <c r="CB150" s="73">
        <f t="shared" ca="1" si="660"/>
        <v>0</v>
      </c>
      <c r="CC150" s="64"/>
      <c r="CD150" s="74" t="s">
        <v>135</v>
      </c>
      <c r="CE150" s="73">
        <f t="shared" ca="1" si="661"/>
        <v>0</v>
      </c>
      <c r="CF150" s="64"/>
      <c r="CG150" s="74" t="s">
        <v>1634</v>
      </c>
      <c r="CH150" s="73">
        <f t="shared" ca="1" si="662"/>
        <v>0</v>
      </c>
      <c r="CI150" s="64"/>
      <c r="CJ150" s="74" t="s">
        <v>135</v>
      </c>
      <c r="CK150" s="73">
        <f t="shared" ca="1" si="663"/>
        <v>0</v>
      </c>
      <c r="CL150" s="64"/>
      <c r="CM150" s="74" t="s">
        <v>135</v>
      </c>
      <c r="CN150" s="73">
        <f t="shared" ca="1" si="664"/>
        <v>0</v>
      </c>
      <c r="CO150" s="64"/>
      <c r="CP150" s="74" t="s">
        <v>135</v>
      </c>
      <c r="CQ150" s="73">
        <f t="shared" ca="1" si="665"/>
        <v>0</v>
      </c>
      <c r="CR150" s="64"/>
      <c r="CS150" s="74" t="s">
        <v>135</v>
      </c>
      <c r="CT150" s="73">
        <f t="shared" ca="1" si="666"/>
        <v>0</v>
      </c>
      <c r="CU150" s="64"/>
      <c r="CV150" s="74" t="s">
        <v>135</v>
      </c>
      <c r="CW150" s="73">
        <f t="shared" ca="1" si="667"/>
        <v>0</v>
      </c>
      <c r="CX150" s="64"/>
      <c r="CY150" s="74" t="s">
        <v>135</v>
      </c>
      <c r="CZ150" s="73">
        <f t="shared" ca="1" si="668"/>
        <v>0</v>
      </c>
      <c r="DA150" s="64"/>
      <c r="DB150" s="74" t="s">
        <v>135</v>
      </c>
      <c r="DC150" s="73">
        <f t="shared" ca="1" si="669"/>
        <v>0</v>
      </c>
      <c r="DD150" s="64"/>
      <c r="DE150" s="74" t="s">
        <v>1634</v>
      </c>
      <c r="DF150" s="73">
        <f t="shared" ca="1" si="670"/>
        <v>0</v>
      </c>
      <c r="DG150" s="64"/>
      <c r="DH150" s="74" t="s">
        <v>135</v>
      </c>
      <c r="DI150" s="73">
        <f t="shared" ca="1" si="671"/>
        <v>0</v>
      </c>
      <c r="DJ150" s="64"/>
      <c r="DK150" s="74" t="s">
        <v>135</v>
      </c>
      <c r="DL150" s="73">
        <f t="shared" ca="1" si="672"/>
        <v>0</v>
      </c>
      <c r="DM150" s="64"/>
      <c r="DN150" s="795" t="s">
        <v>135</v>
      </c>
      <c r="DO150" s="73">
        <f t="shared" ca="1" si="673"/>
        <v>0</v>
      </c>
      <c r="DP150" s="64"/>
      <c r="DQ150" s="795" t="s">
        <v>1757</v>
      </c>
      <c r="DR150" s="73">
        <f t="shared" ca="1" si="674"/>
        <v>0</v>
      </c>
      <c r="DS150" s="64"/>
      <c r="DT150" s="74" t="s">
        <v>135</v>
      </c>
      <c r="DU150" s="73">
        <f t="shared" ca="1" si="675"/>
        <v>0</v>
      </c>
      <c r="DV150" s="64"/>
      <c r="DW150" s="74" t="s">
        <v>135</v>
      </c>
      <c r="DX150" s="73">
        <f t="shared" ca="1" si="676"/>
        <v>0</v>
      </c>
      <c r="DY150" s="64"/>
      <c r="DZ150" s="74" t="s">
        <v>135</v>
      </c>
      <c r="EA150" s="73">
        <f t="shared" ca="1" si="677"/>
        <v>0</v>
      </c>
      <c r="EB150" s="64"/>
      <c r="EC150" s="74" t="s">
        <v>1634</v>
      </c>
      <c r="ED150" s="73">
        <f t="shared" ca="1" si="678"/>
        <v>0</v>
      </c>
      <c r="EE150" s="64"/>
      <c r="EF150" s="74" t="s">
        <v>74</v>
      </c>
      <c r="EG150" s="73">
        <f t="shared" ca="1" si="679"/>
        <v>0</v>
      </c>
      <c r="EH150" s="64"/>
      <c r="EI150" s="74"/>
      <c r="EJ150" s="73">
        <f t="shared" ca="1" si="680"/>
        <v>0</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49"/>
      <c r="K151" s="56" t="str">
        <f>Idiomas!$D$198&amp;"-"&amp;ROWS($L$130:L151)</f>
        <v>Dieciseisavofinalista-22</v>
      </c>
      <c r="L151" s="53"/>
      <c r="M151" s="55" t="str">
        <f ca="1">WORLDCUP!AF106</f>
        <v>3CDFGH</v>
      </c>
      <c r="N151" s="25"/>
      <c r="O151" s="25"/>
      <c r="P151" s="25"/>
      <c r="Q151" s="25"/>
      <c r="R151" s="110"/>
      <c r="S151" s="74" t="s">
        <v>1322</v>
      </c>
      <c r="T151" s="73">
        <f t="shared" ca="1" si="640"/>
        <v>0</v>
      </c>
      <c r="U151" s="64"/>
      <c r="V151" s="74" t="s">
        <v>1833</v>
      </c>
      <c r="W151" s="73">
        <f t="shared" ca="1" si="641"/>
        <v>0</v>
      </c>
      <c r="X151" s="64"/>
      <c r="Y151" s="74" t="s">
        <v>1833</v>
      </c>
      <c r="Z151" s="73">
        <f t="shared" ca="1" si="642"/>
        <v>0</v>
      </c>
      <c r="AA151" s="64"/>
      <c r="AB151" s="74" t="s">
        <v>1833</v>
      </c>
      <c r="AC151" s="73">
        <f t="shared" ca="1" si="643"/>
        <v>0</v>
      </c>
      <c r="AD151" s="64"/>
      <c r="AE151" s="74" t="s">
        <v>1833</v>
      </c>
      <c r="AF151" s="73">
        <f t="shared" ca="1" si="644"/>
        <v>0</v>
      </c>
      <c r="AG151" s="64"/>
      <c r="AH151" s="74" t="s">
        <v>1263</v>
      </c>
      <c r="AI151" s="73">
        <f t="shared" ca="1" si="645"/>
        <v>0</v>
      </c>
      <c r="AJ151" s="64"/>
      <c r="AK151" s="74" t="s">
        <v>1833</v>
      </c>
      <c r="AL151" s="73">
        <f t="shared" ca="1" si="646"/>
        <v>0</v>
      </c>
      <c r="AM151" s="64"/>
      <c r="AN151" s="74" t="s">
        <v>1262</v>
      </c>
      <c r="AO151" s="73">
        <f t="shared" ca="1" si="647"/>
        <v>0</v>
      </c>
      <c r="AP151" s="64"/>
      <c r="AQ151" s="74" t="s">
        <v>1263</v>
      </c>
      <c r="AR151" s="73">
        <f t="shared" ca="1" si="648"/>
        <v>0</v>
      </c>
      <c r="AS151" s="64"/>
      <c r="AT151" s="74" t="s">
        <v>134</v>
      </c>
      <c r="AU151" s="73">
        <f t="shared" ca="1" si="649"/>
        <v>0</v>
      </c>
      <c r="AV151" s="64"/>
      <c r="AW151" s="74" t="s">
        <v>497</v>
      </c>
      <c r="AX151" s="73">
        <f t="shared" ca="1" si="650"/>
        <v>0</v>
      </c>
      <c r="AY151" s="64"/>
      <c r="AZ151" s="74" t="s">
        <v>1632</v>
      </c>
      <c r="BA151" s="73">
        <f t="shared" ca="1" si="651"/>
        <v>0</v>
      </c>
      <c r="BB151" s="64"/>
      <c r="BC151" s="74" t="s">
        <v>1263</v>
      </c>
      <c r="BD151" s="73">
        <f t="shared" ca="1" si="652"/>
        <v>0</v>
      </c>
      <c r="BE151" s="64"/>
      <c r="BF151" s="74" t="s">
        <v>1319</v>
      </c>
      <c r="BG151" s="73">
        <f t="shared" ca="1" si="653"/>
        <v>0</v>
      </c>
      <c r="BH151" s="64"/>
      <c r="BI151" s="74" t="s">
        <v>497</v>
      </c>
      <c r="BJ151" s="73">
        <f t="shared" ca="1" si="654"/>
        <v>0</v>
      </c>
      <c r="BK151" s="64"/>
      <c r="BL151" s="74" t="s">
        <v>1833</v>
      </c>
      <c r="BM151" s="73">
        <f t="shared" ca="1" si="655"/>
        <v>0</v>
      </c>
      <c r="BN151" s="64"/>
      <c r="BO151" s="74" t="s">
        <v>1833</v>
      </c>
      <c r="BP151" s="73">
        <f t="shared" ca="1" si="656"/>
        <v>0</v>
      </c>
      <c r="BQ151" s="64"/>
      <c r="BR151" s="74" t="s">
        <v>497</v>
      </c>
      <c r="BS151" s="73">
        <f t="shared" ca="1" si="657"/>
        <v>0</v>
      </c>
      <c r="BT151" s="64"/>
      <c r="BU151" s="74" t="s">
        <v>1833</v>
      </c>
      <c r="BV151" s="73">
        <f t="shared" ca="1" si="658"/>
        <v>0</v>
      </c>
      <c r="BW151" s="64"/>
      <c r="BX151" s="74" t="s">
        <v>1319</v>
      </c>
      <c r="BY151" s="73">
        <f t="shared" ca="1" si="659"/>
        <v>0</v>
      </c>
      <c r="BZ151" s="64"/>
      <c r="CA151" s="74" t="s">
        <v>1263</v>
      </c>
      <c r="CB151" s="73">
        <f t="shared" ca="1" si="660"/>
        <v>0</v>
      </c>
      <c r="CC151" s="64"/>
      <c r="CD151" s="74" t="s">
        <v>1833</v>
      </c>
      <c r="CE151" s="73">
        <f t="shared" ca="1" si="661"/>
        <v>0</v>
      </c>
      <c r="CF151" s="64"/>
      <c r="CG151" s="74" t="s">
        <v>1833</v>
      </c>
      <c r="CH151" s="73">
        <f t="shared" ca="1" si="662"/>
        <v>0</v>
      </c>
      <c r="CI151" s="64"/>
      <c r="CJ151" s="74" t="s">
        <v>1632</v>
      </c>
      <c r="CK151" s="73">
        <f t="shared" ca="1" si="663"/>
        <v>0</v>
      </c>
      <c r="CL151" s="64"/>
      <c r="CM151" s="74" t="s">
        <v>1319</v>
      </c>
      <c r="CN151" s="73">
        <f t="shared" ca="1" si="664"/>
        <v>0</v>
      </c>
      <c r="CO151" s="64"/>
      <c r="CP151" s="74" t="s">
        <v>1833</v>
      </c>
      <c r="CQ151" s="73">
        <f t="shared" ca="1" si="665"/>
        <v>0</v>
      </c>
      <c r="CR151" s="64"/>
      <c r="CS151" s="74" t="s">
        <v>1262</v>
      </c>
      <c r="CT151" s="73">
        <f t="shared" ca="1" si="666"/>
        <v>0</v>
      </c>
      <c r="CU151" s="64"/>
      <c r="CV151" s="74" t="s">
        <v>1833</v>
      </c>
      <c r="CW151" s="73">
        <f t="shared" ca="1" si="667"/>
        <v>0</v>
      </c>
      <c r="CX151" s="64"/>
      <c r="CY151" s="74" t="s">
        <v>1319</v>
      </c>
      <c r="CZ151" s="73">
        <f t="shared" ca="1" si="668"/>
        <v>0</v>
      </c>
      <c r="DA151" s="64"/>
      <c r="DB151" s="74" t="s">
        <v>1833</v>
      </c>
      <c r="DC151" s="73">
        <f t="shared" ca="1" si="669"/>
        <v>0</v>
      </c>
      <c r="DD151" s="64"/>
      <c r="DE151" s="74" t="s">
        <v>1632</v>
      </c>
      <c r="DF151" s="73">
        <f t="shared" ca="1" si="670"/>
        <v>0</v>
      </c>
      <c r="DG151" s="64"/>
      <c r="DH151" s="74" t="s">
        <v>1833</v>
      </c>
      <c r="DI151" s="73">
        <f t="shared" ca="1" si="671"/>
        <v>0</v>
      </c>
      <c r="DJ151" s="64"/>
      <c r="DK151" s="74" t="s">
        <v>1632</v>
      </c>
      <c r="DL151" s="73">
        <f t="shared" ca="1" si="672"/>
        <v>0</v>
      </c>
      <c r="DM151" s="64"/>
      <c r="DN151" s="795" t="s">
        <v>497</v>
      </c>
      <c r="DO151" s="73">
        <f t="shared" ca="1" si="673"/>
        <v>0</v>
      </c>
      <c r="DP151" s="64"/>
      <c r="DQ151" s="795" t="s">
        <v>1318</v>
      </c>
      <c r="DR151" s="73">
        <f t="shared" ca="1" si="674"/>
        <v>0</v>
      </c>
      <c r="DS151" s="64"/>
      <c r="DT151" s="74" t="s">
        <v>1263</v>
      </c>
      <c r="DU151" s="73">
        <f t="shared" ca="1" si="675"/>
        <v>0</v>
      </c>
      <c r="DV151" s="64"/>
      <c r="DW151" s="74" t="s">
        <v>1833</v>
      </c>
      <c r="DX151" s="73">
        <f t="shared" ca="1" si="676"/>
        <v>0</v>
      </c>
      <c r="DY151" s="64"/>
      <c r="DZ151" s="74" t="s">
        <v>1321</v>
      </c>
      <c r="EA151" s="73">
        <f t="shared" ca="1" si="677"/>
        <v>0</v>
      </c>
      <c r="EB151" s="64"/>
      <c r="EC151" s="74" t="s">
        <v>1833</v>
      </c>
      <c r="ED151" s="73">
        <f t="shared" ca="1" si="678"/>
        <v>0</v>
      </c>
      <c r="EE151" s="64"/>
      <c r="EF151" s="74" t="s">
        <v>1257</v>
      </c>
      <c r="EG151" s="73">
        <f t="shared" ca="1" si="679"/>
        <v>0</v>
      </c>
      <c r="EH151" s="64"/>
      <c r="EI151" s="74"/>
      <c r="EJ151" s="73">
        <f t="shared" ca="1" si="680"/>
        <v>0</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49"/>
      <c r="K152" s="56" t="str">
        <f>Idiomas!$D$198&amp;"-"&amp;ROWS($L$130:L152)</f>
        <v>Dieciseisavofinalista-23</v>
      </c>
      <c r="L152" s="53"/>
      <c r="M152" s="55" t="str">
        <f ca="1">WORLDCUP!AF107</f>
        <v>3CEFHI</v>
      </c>
      <c r="N152" s="25"/>
      <c r="O152" s="25"/>
      <c r="P152" s="25"/>
      <c r="Q152" s="25"/>
      <c r="R152" s="110"/>
      <c r="S152" s="74" t="s">
        <v>1261</v>
      </c>
      <c r="T152" s="73">
        <f t="shared" ca="1" si="640"/>
        <v>0</v>
      </c>
      <c r="U152" s="64"/>
      <c r="V152" s="74" t="s">
        <v>1633</v>
      </c>
      <c r="W152" s="73">
        <f t="shared" ca="1" si="641"/>
        <v>0</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0</v>
      </c>
      <c r="AP152" s="64"/>
      <c r="AQ152" s="74" t="s">
        <v>134</v>
      </c>
      <c r="AR152" s="73">
        <f t="shared" ca="1" si="648"/>
        <v>0</v>
      </c>
      <c r="AS152" s="64"/>
      <c r="AT152" s="74" t="s">
        <v>1633</v>
      </c>
      <c r="AU152" s="73">
        <f t="shared" ca="1" si="649"/>
        <v>0</v>
      </c>
      <c r="AV152" s="64"/>
      <c r="AW152" s="74" t="s">
        <v>1261</v>
      </c>
      <c r="AX152" s="73">
        <f t="shared" ca="1" si="650"/>
        <v>0</v>
      </c>
      <c r="AY152" s="64"/>
      <c r="AZ152" s="74" t="s">
        <v>1633</v>
      </c>
      <c r="BA152" s="73">
        <f t="shared" ca="1" si="651"/>
        <v>0</v>
      </c>
      <c r="BB152" s="64"/>
      <c r="BC152" s="74" t="s">
        <v>134</v>
      </c>
      <c r="BD152" s="73">
        <f t="shared" ca="1" si="652"/>
        <v>0</v>
      </c>
      <c r="BE152" s="64"/>
      <c r="BF152" s="74" t="s">
        <v>1632</v>
      </c>
      <c r="BG152" s="73">
        <f t="shared" ca="1" si="653"/>
        <v>0</v>
      </c>
      <c r="BH152" s="64"/>
      <c r="BI152" s="74" t="s">
        <v>1261</v>
      </c>
      <c r="BJ152" s="73">
        <f t="shared" ca="1" si="654"/>
        <v>0</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0</v>
      </c>
      <c r="BW152" s="64"/>
      <c r="BX152" s="74" t="s">
        <v>1632</v>
      </c>
      <c r="BY152" s="73">
        <f t="shared" ca="1" si="659"/>
        <v>0</v>
      </c>
      <c r="BZ152" s="64"/>
      <c r="CA152" s="74" t="s">
        <v>1321</v>
      </c>
      <c r="CB152" s="73">
        <f t="shared" ca="1" si="660"/>
        <v>0</v>
      </c>
      <c r="CC152" s="64"/>
      <c r="CD152" s="74" t="s">
        <v>134</v>
      </c>
      <c r="CE152" s="73">
        <f t="shared" ca="1" si="661"/>
        <v>0</v>
      </c>
      <c r="CF152" s="64"/>
      <c r="CG152" s="74" t="s">
        <v>1261</v>
      </c>
      <c r="CH152" s="73">
        <f t="shared" ca="1" si="662"/>
        <v>0</v>
      </c>
      <c r="CI152" s="64"/>
      <c r="CJ152" s="74" t="s">
        <v>1633</v>
      </c>
      <c r="CK152" s="73">
        <f t="shared" ca="1" si="663"/>
        <v>0</v>
      </c>
      <c r="CL152" s="64"/>
      <c r="CM152" s="74" t="s">
        <v>1632</v>
      </c>
      <c r="CN152" s="73">
        <f t="shared" ca="1" si="664"/>
        <v>0</v>
      </c>
      <c r="CO152" s="64"/>
      <c r="CP152" s="74" t="s">
        <v>1633</v>
      </c>
      <c r="CQ152" s="73">
        <f t="shared" ca="1" si="665"/>
        <v>0</v>
      </c>
      <c r="CR152" s="64"/>
      <c r="CS152" s="74" t="s">
        <v>1261</v>
      </c>
      <c r="CT152" s="73">
        <f t="shared" ca="1" si="666"/>
        <v>0</v>
      </c>
      <c r="CU152" s="64"/>
      <c r="CV152" s="74" t="s">
        <v>1632</v>
      </c>
      <c r="CW152" s="73">
        <f t="shared" ca="1" si="667"/>
        <v>0</v>
      </c>
      <c r="CX152" s="64"/>
      <c r="CY152" s="74" t="s">
        <v>1318</v>
      </c>
      <c r="CZ152" s="73">
        <f t="shared" ca="1" si="668"/>
        <v>0</v>
      </c>
      <c r="DA152" s="64"/>
      <c r="DB152" s="74" t="s">
        <v>1633</v>
      </c>
      <c r="DC152" s="73">
        <f t="shared" ca="1" si="669"/>
        <v>0</v>
      </c>
      <c r="DD152" s="64"/>
      <c r="DE152" s="74" t="s">
        <v>1633</v>
      </c>
      <c r="DF152" s="73">
        <f t="shared" ca="1" si="670"/>
        <v>0</v>
      </c>
      <c r="DG152" s="64"/>
      <c r="DH152" s="74" t="s">
        <v>134</v>
      </c>
      <c r="DI152" s="73">
        <f t="shared" ca="1" si="671"/>
        <v>0</v>
      </c>
      <c r="DJ152" s="64"/>
      <c r="DK152" s="74" t="s">
        <v>1633</v>
      </c>
      <c r="DL152" s="73">
        <f t="shared" ca="1" si="672"/>
        <v>0</v>
      </c>
      <c r="DM152" s="64"/>
      <c r="DN152" s="795" t="s">
        <v>1632</v>
      </c>
      <c r="DO152" s="73">
        <f t="shared" ca="1" si="673"/>
        <v>0</v>
      </c>
      <c r="DP152" s="64"/>
      <c r="DQ152" s="795" t="s">
        <v>1633</v>
      </c>
      <c r="DR152" s="73">
        <f t="shared" ca="1" si="674"/>
        <v>0</v>
      </c>
      <c r="DS152" s="64"/>
      <c r="DT152" s="74" t="s">
        <v>1258</v>
      </c>
      <c r="DU152" s="73">
        <f t="shared" ca="1" si="675"/>
        <v>0</v>
      </c>
      <c r="DV152" s="64"/>
      <c r="DW152" s="74" t="s">
        <v>134</v>
      </c>
      <c r="DX152" s="73">
        <f t="shared" ca="1" si="676"/>
        <v>0</v>
      </c>
      <c r="DY152" s="64"/>
      <c r="DZ152" s="74" t="s">
        <v>1633</v>
      </c>
      <c r="EA152" s="73">
        <f t="shared" ca="1" si="677"/>
        <v>0</v>
      </c>
      <c r="EB152" s="64"/>
      <c r="EC152" s="74" t="s">
        <v>134</v>
      </c>
      <c r="ED152" s="73">
        <f t="shared" ca="1" si="678"/>
        <v>0</v>
      </c>
      <c r="EE152" s="64"/>
      <c r="EF152" s="74" t="s">
        <v>1633</v>
      </c>
      <c r="EG152" s="73">
        <f t="shared" ca="1" si="679"/>
        <v>0</v>
      </c>
      <c r="EH152" s="64"/>
      <c r="EI152" s="74"/>
      <c r="EJ152" s="73">
        <f t="shared" ca="1" si="680"/>
        <v>0</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49"/>
      <c r="K153" s="56" t="str">
        <f>Idiomas!$D$198&amp;"-"&amp;ROWS($L$130:L153)</f>
        <v>Dieciseisavofinalista-24</v>
      </c>
      <c r="L153" s="53"/>
      <c r="M153" s="55" t="str">
        <f ca="1">WORLDCUP!AF108</f>
        <v>3EHIJK</v>
      </c>
      <c r="N153" s="25"/>
      <c r="O153" s="25"/>
      <c r="P153" s="25"/>
      <c r="Q153" s="25"/>
      <c r="R153" s="110"/>
      <c r="S153" s="74" t="s">
        <v>1839</v>
      </c>
      <c r="T153" s="73">
        <f t="shared" ca="1" si="640"/>
        <v>0</v>
      </c>
      <c r="U153" s="64"/>
      <c r="V153" s="74" t="s">
        <v>1839</v>
      </c>
      <c r="W153" s="73">
        <f t="shared" ca="1" si="641"/>
        <v>0</v>
      </c>
      <c r="X153" s="64"/>
      <c r="Y153" s="74" t="s">
        <v>1634</v>
      </c>
      <c r="Z153" s="73">
        <f t="shared" ca="1" si="642"/>
        <v>0</v>
      </c>
      <c r="AA153" s="64"/>
      <c r="AB153" s="74" t="s">
        <v>1634</v>
      </c>
      <c r="AC153" s="73">
        <f t="shared" ca="1" si="643"/>
        <v>0</v>
      </c>
      <c r="AD153" s="64"/>
      <c r="AE153" s="74" t="s">
        <v>1267</v>
      </c>
      <c r="AF153" s="73">
        <f t="shared" ca="1" si="644"/>
        <v>0</v>
      </c>
      <c r="AG153" s="64"/>
      <c r="AH153" s="74" t="s">
        <v>1634</v>
      </c>
      <c r="AI153" s="73">
        <f t="shared" ca="1" si="645"/>
        <v>0</v>
      </c>
      <c r="AJ153" s="64"/>
      <c r="AK153" s="74" t="s">
        <v>135</v>
      </c>
      <c r="AL153" s="73">
        <f t="shared" ca="1" si="646"/>
        <v>0</v>
      </c>
      <c r="AM153" s="64"/>
      <c r="AN153" s="74" t="s">
        <v>1839</v>
      </c>
      <c r="AO153" s="73">
        <f t="shared" ca="1" si="647"/>
        <v>0</v>
      </c>
      <c r="AP153" s="64"/>
      <c r="AQ153" s="74" t="s">
        <v>1634</v>
      </c>
      <c r="AR153" s="73">
        <f t="shared" ca="1" si="648"/>
        <v>0</v>
      </c>
      <c r="AS153" s="64"/>
      <c r="AT153" s="74" t="s">
        <v>1839</v>
      </c>
      <c r="AU153" s="73">
        <f t="shared" ca="1" si="649"/>
        <v>0</v>
      </c>
      <c r="AV153" s="64"/>
      <c r="AW153" s="74" t="s">
        <v>1320</v>
      </c>
      <c r="AX153" s="73">
        <f t="shared" ca="1" si="650"/>
        <v>0</v>
      </c>
      <c r="AY153" s="64"/>
      <c r="AZ153" s="74" t="s">
        <v>1634</v>
      </c>
      <c r="BA153" s="73">
        <f t="shared" ca="1" si="651"/>
        <v>0</v>
      </c>
      <c r="BB153" s="64"/>
      <c r="BC153" s="74" t="s">
        <v>1839</v>
      </c>
      <c r="BD153" s="73">
        <f t="shared" ca="1" si="652"/>
        <v>0</v>
      </c>
      <c r="BE153" s="64"/>
      <c r="BF153" s="74" t="s">
        <v>1634</v>
      </c>
      <c r="BG153" s="73">
        <f t="shared" ca="1" si="653"/>
        <v>0</v>
      </c>
      <c r="BH153" s="64"/>
      <c r="BI153" s="74" t="s">
        <v>1634</v>
      </c>
      <c r="BJ153" s="73">
        <f t="shared" ca="1" si="654"/>
        <v>0</v>
      </c>
      <c r="BK153" s="64"/>
      <c r="BL153" s="74" t="s">
        <v>135</v>
      </c>
      <c r="BM153" s="73">
        <f t="shared" ca="1" si="655"/>
        <v>0</v>
      </c>
      <c r="BN153" s="64"/>
      <c r="BO153" s="74" t="s">
        <v>135</v>
      </c>
      <c r="BP153" s="73">
        <f t="shared" ca="1" si="656"/>
        <v>0</v>
      </c>
      <c r="BQ153" s="64"/>
      <c r="BR153" s="74" t="s">
        <v>135</v>
      </c>
      <c r="BS153" s="73">
        <f t="shared" ca="1" si="657"/>
        <v>0</v>
      </c>
      <c r="BT153" s="64"/>
      <c r="BU153" s="74" t="s">
        <v>1839</v>
      </c>
      <c r="BV153" s="73">
        <f t="shared" ca="1" si="658"/>
        <v>0</v>
      </c>
      <c r="BW153" s="64"/>
      <c r="BX153" s="74" t="s">
        <v>1839</v>
      </c>
      <c r="BY153" s="73">
        <f t="shared" ca="1" si="659"/>
        <v>0</v>
      </c>
      <c r="BZ153" s="64"/>
      <c r="CA153" s="74" t="s">
        <v>135</v>
      </c>
      <c r="CB153" s="73">
        <f t="shared" ca="1" si="660"/>
        <v>0</v>
      </c>
      <c r="CC153" s="64"/>
      <c r="CD153" s="74" t="s">
        <v>1634</v>
      </c>
      <c r="CE153" s="73">
        <f t="shared" ca="1" si="661"/>
        <v>0</v>
      </c>
      <c r="CF153" s="64"/>
      <c r="CG153" s="74" t="s">
        <v>1839</v>
      </c>
      <c r="CH153" s="73">
        <f t="shared" ca="1" si="662"/>
        <v>0</v>
      </c>
      <c r="CI153" s="64"/>
      <c r="CJ153" s="74" t="s">
        <v>1634</v>
      </c>
      <c r="CK153" s="73">
        <f t="shared" ca="1" si="663"/>
        <v>0</v>
      </c>
      <c r="CL153" s="64"/>
      <c r="CM153" s="74" t="s">
        <v>1634</v>
      </c>
      <c r="CN153" s="73">
        <f t="shared" ca="1" si="664"/>
        <v>0</v>
      </c>
      <c r="CO153" s="64"/>
      <c r="CP153" s="74" t="s">
        <v>1634</v>
      </c>
      <c r="CQ153" s="73">
        <f t="shared" ca="1" si="665"/>
        <v>0</v>
      </c>
      <c r="CR153" s="64"/>
      <c r="CS153" s="74" t="s">
        <v>1267</v>
      </c>
      <c r="CT153" s="73">
        <f t="shared" ca="1" si="666"/>
        <v>0</v>
      </c>
      <c r="CU153" s="64"/>
      <c r="CV153" s="74" t="s">
        <v>1634</v>
      </c>
      <c r="CW153" s="73">
        <f t="shared" ca="1" si="667"/>
        <v>0</v>
      </c>
      <c r="CX153" s="64"/>
      <c r="CY153" s="74" t="s">
        <v>1267</v>
      </c>
      <c r="CZ153" s="73">
        <f t="shared" ca="1" si="668"/>
        <v>0</v>
      </c>
      <c r="DA153" s="64"/>
      <c r="DB153" s="74" t="s">
        <v>1558</v>
      </c>
      <c r="DC153" s="73">
        <f t="shared" ca="1" si="669"/>
        <v>0</v>
      </c>
      <c r="DD153" s="64"/>
      <c r="DE153" s="74" t="s">
        <v>135</v>
      </c>
      <c r="DF153" s="73">
        <f t="shared" ca="1" si="670"/>
        <v>0</v>
      </c>
      <c r="DG153" s="64"/>
      <c r="DH153" s="74" t="s">
        <v>1634</v>
      </c>
      <c r="DI153" s="73">
        <f t="shared" ca="1" si="671"/>
        <v>0</v>
      </c>
      <c r="DJ153" s="64"/>
      <c r="DK153" s="74" t="s">
        <v>1634</v>
      </c>
      <c r="DL153" s="73">
        <f t="shared" ca="1" si="672"/>
        <v>0</v>
      </c>
      <c r="DM153" s="64"/>
      <c r="DN153" s="795" t="s">
        <v>1839</v>
      </c>
      <c r="DO153" s="73">
        <f t="shared" ca="1" si="673"/>
        <v>0</v>
      </c>
      <c r="DP153" s="64"/>
      <c r="DQ153" s="795" t="s">
        <v>1267</v>
      </c>
      <c r="DR153" s="73">
        <f t="shared" ca="1" si="674"/>
        <v>0</v>
      </c>
      <c r="DS153" s="64"/>
      <c r="DT153" s="74" t="s">
        <v>1633</v>
      </c>
      <c r="DU153" s="73">
        <f t="shared" ca="1" si="675"/>
        <v>0</v>
      </c>
      <c r="DV153" s="64"/>
      <c r="DW153" s="74" t="s">
        <v>1634</v>
      </c>
      <c r="DX153" s="73">
        <f t="shared" ca="1" si="676"/>
        <v>0</v>
      </c>
      <c r="DY153" s="64"/>
      <c r="DZ153" s="74" t="s">
        <v>1839</v>
      </c>
      <c r="EA153" s="73">
        <f t="shared" ca="1" si="677"/>
        <v>0</v>
      </c>
      <c r="EB153" s="64"/>
      <c r="EC153" s="74" t="s">
        <v>135</v>
      </c>
      <c r="ED153" s="73">
        <f t="shared" ca="1" si="678"/>
        <v>0</v>
      </c>
      <c r="EE153" s="64"/>
      <c r="EF153" s="74" t="s">
        <v>135</v>
      </c>
      <c r="EG153" s="73">
        <f t="shared" ca="1" si="679"/>
        <v>0</v>
      </c>
      <c r="EH153" s="64"/>
      <c r="EI153" s="74"/>
      <c r="EJ153" s="73">
        <f t="shared" ca="1" si="680"/>
        <v>0</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49"/>
      <c r="K154" s="56" t="str">
        <f>Idiomas!$D$198&amp;"-"&amp;ROWS($L$130:L154)</f>
        <v>Dieciseisavofinalista-25</v>
      </c>
      <c r="L154" s="53"/>
      <c r="M154" s="55" t="str">
        <f ca="1">WORLDCUP!AF109</f>
        <v>3AEHIJ</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0</v>
      </c>
      <c r="AV154" s="64"/>
      <c r="AW154" s="74" t="s">
        <v>1634</v>
      </c>
      <c r="AX154" s="73">
        <f t="shared" ca="1" si="650"/>
        <v>0</v>
      </c>
      <c r="AY154" s="64"/>
      <c r="AZ154" s="74" t="s">
        <v>1843</v>
      </c>
      <c r="BA154" s="73">
        <f t="shared" ca="1" si="651"/>
        <v>0</v>
      </c>
      <c r="BB154" s="64"/>
      <c r="BC154" s="74" t="s">
        <v>1630</v>
      </c>
      <c r="BD154" s="73">
        <f t="shared" ca="1" si="652"/>
        <v>0</v>
      </c>
      <c r="BE154" s="64"/>
      <c r="BF154" s="74" t="s">
        <v>1260</v>
      </c>
      <c r="BG154" s="73">
        <f t="shared" ca="1" si="653"/>
        <v>0</v>
      </c>
      <c r="BH154" s="64"/>
      <c r="BI154" s="74" t="s">
        <v>1260</v>
      </c>
      <c r="BJ154" s="73">
        <f t="shared" ca="1" si="654"/>
        <v>0</v>
      </c>
      <c r="BK154" s="64"/>
      <c r="BL154" s="74" t="s">
        <v>1558</v>
      </c>
      <c r="BM154" s="73">
        <f t="shared" ca="1" si="655"/>
        <v>0</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0</v>
      </c>
      <c r="BZ154" s="64"/>
      <c r="CA154" s="74" t="s">
        <v>1630</v>
      </c>
      <c r="CB154" s="73">
        <f t="shared" ca="1" si="660"/>
        <v>0</v>
      </c>
      <c r="CC154" s="64"/>
      <c r="CD154" s="74" t="s">
        <v>1632</v>
      </c>
      <c r="CE154" s="73">
        <f t="shared" ca="1" si="661"/>
        <v>0</v>
      </c>
      <c r="CF154" s="64"/>
      <c r="CG154" s="74" t="s">
        <v>135</v>
      </c>
      <c r="CH154" s="73">
        <f t="shared" ca="1" si="662"/>
        <v>0</v>
      </c>
      <c r="CI154" s="64"/>
      <c r="CJ154" s="74" t="s">
        <v>1843</v>
      </c>
      <c r="CK154" s="73">
        <f t="shared" ca="1" si="663"/>
        <v>0</v>
      </c>
      <c r="CL154" s="64"/>
      <c r="CM154" s="74" t="s">
        <v>1843</v>
      </c>
      <c r="CN154" s="73">
        <f t="shared" ca="1" si="664"/>
        <v>0</v>
      </c>
      <c r="CO154" s="64"/>
      <c r="CP154" s="74" t="s">
        <v>1630</v>
      </c>
      <c r="CQ154" s="73">
        <f t="shared" ca="1" si="665"/>
        <v>0</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0</v>
      </c>
      <c r="DS154" s="64"/>
      <c r="DT154" s="74" t="s">
        <v>1630</v>
      </c>
      <c r="DU154" s="73">
        <f t="shared" ca="1" si="675"/>
        <v>0</v>
      </c>
      <c r="DV154" s="64"/>
      <c r="DW154" s="74" t="s">
        <v>1558</v>
      </c>
      <c r="DX154" s="73">
        <f t="shared" ca="1" si="676"/>
        <v>0</v>
      </c>
      <c r="DY154" s="64"/>
      <c r="DZ154" s="74" t="s">
        <v>1634</v>
      </c>
      <c r="EA154" s="73">
        <f t="shared" ca="1" si="677"/>
        <v>0</v>
      </c>
      <c r="EB154" s="64"/>
      <c r="EC154" s="74" t="s">
        <v>1632</v>
      </c>
      <c r="ED154" s="73">
        <f t="shared" ca="1" si="678"/>
        <v>0</v>
      </c>
      <c r="EE154" s="64"/>
      <c r="EF154" s="74" t="s">
        <v>1843</v>
      </c>
      <c r="EG154" s="73">
        <f t="shared" ca="1" si="679"/>
        <v>0</v>
      </c>
      <c r="EH154" s="64"/>
      <c r="EI154" s="74"/>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49"/>
      <c r="K155" s="56" t="str">
        <f>Idiomas!$D$198&amp;"-"&amp;ROWS($L$130:L155)</f>
        <v>Dieciseisavofinalista-26</v>
      </c>
      <c r="L155" s="53"/>
      <c r="M155" s="55" t="str">
        <f ca="1">WORLDCUP!AF110</f>
        <v>3BEFIJ</v>
      </c>
      <c r="N155" s="25"/>
      <c r="O155" s="25"/>
      <c r="P155" s="25"/>
      <c r="Q155" s="25"/>
      <c r="R155" s="110"/>
      <c r="S155" s="74" t="s">
        <v>1841</v>
      </c>
      <c r="T155" s="73">
        <f t="shared" ca="1" si="640"/>
        <v>0</v>
      </c>
      <c r="U155" s="64"/>
      <c r="V155" s="74" t="s">
        <v>135</v>
      </c>
      <c r="W155" s="73">
        <f t="shared" ca="1" si="641"/>
        <v>0</v>
      </c>
      <c r="X155" s="64"/>
      <c r="Y155" s="74" t="s">
        <v>1259</v>
      </c>
      <c r="Z155" s="73">
        <f t="shared" ca="1" si="642"/>
        <v>0</v>
      </c>
      <c r="AA155" s="64"/>
      <c r="AB155" s="74" t="s">
        <v>1633</v>
      </c>
      <c r="AC155" s="73">
        <f t="shared" ca="1" si="643"/>
        <v>0</v>
      </c>
      <c r="AD155" s="64"/>
      <c r="AE155" s="74" t="s">
        <v>1633</v>
      </c>
      <c r="AF155" s="73">
        <f t="shared" ca="1" si="644"/>
        <v>0</v>
      </c>
      <c r="AG155" s="64"/>
      <c r="AH155" s="74" t="s">
        <v>80</v>
      </c>
      <c r="AI155" s="73">
        <f t="shared" ca="1" si="645"/>
        <v>0</v>
      </c>
      <c r="AJ155" s="64"/>
      <c r="AK155" s="74" t="s">
        <v>1633</v>
      </c>
      <c r="AL155" s="73">
        <f t="shared" ca="1" si="646"/>
        <v>0</v>
      </c>
      <c r="AM155" s="64"/>
      <c r="AN155" s="74" t="s">
        <v>1634</v>
      </c>
      <c r="AO155" s="73">
        <f t="shared" ca="1" si="647"/>
        <v>0</v>
      </c>
      <c r="AP155" s="64"/>
      <c r="AQ155" s="74" t="s">
        <v>1841</v>
      </c>
      <c r="AR155" s="73">
        <f t="shared" ca="1" si="648"/>
        <v>0</v>
      </c>
      <c r="AS155" s="64"/>
      <c r="AT155" s="74" t="s">
        <v>1259</v>
      </c>
      <c r="AU155" s="73">
        <f t="shared" ca="1" si="649"/>
        <v>0</v>
      </c>
      <c r="AV155" s="64"/>
      <c r="AW155" s="74" t="s">
        <v>1259</v>
      </c>
      <c r="AX155" s="73">
        <f t="shared" ca="1" si="650"/>
        <v>0</v>
      </c>
      <c r="AY155" s="64"/>
      <c r="AZ155" s="74" t="s">
        <v>1841</v>
      </c>
      <c r="BA155" s="73">
        <f t="shared" ca="1" si="651"/>
        <v>0</v>
      </c>
      <c r="BB155" s="64"/>
      <c r="BC155" s="74" t="s">
        <v>1631</v>
      </c>
      <c r="BD155" s="73">
        <f t="shared" ca="1" si="652"/>
        <v>0</v>
      </c>
      <c r="BE155" s="64"/>
      <c r="BF155" s="74" t="s">
        <v>1631</v>
      </c>
      <c r="BG155" s="73">
        <f t="shared" ca="1" si="653"/>
        <v>0</v>
      </c>
      <c r="BH155" s="64"/>
      <c r="BI155" s="74" t="s">
        <v>1259</v>
      </c>
      <c r="BJ155" s="73">
        <f t="shared" ca="1" si="654"/>
        <v>0</v>
      </c>
      <c r="BK155" s="64"/>
      <c r="BL155" s="74" t="s">
        <v>1633</v>
      </c>
      <c r="BM155" s="73">
        <f t="shared" ca="1" si="655"/>
        <v>0</v>
      </c>
      <c r="BN155" s="64"/>
      <c r="BO155" s="74" t="s">
        <v>80</v>
      </c>
      <c r="BP155" s="73">
        <f t="shared" ca="1" si="656"/>
        <v>0</v>
      </c>
      <c r="BQ155" s="64"/>
      <c r="BR155" s="74" t="s">
        <v>1259</v>
      </c>
      <c r="BS155" s="73">
        <f t="shared" ca="1" si="657"/>
        <v>0</v>
      </c>
      <c r="BT155" s="64"/>
      <c r="BU155" s="74" t="s">
        <v>1259</v>
      </c>
      <c r="BV155" s="73">
        <f t="shared" ca="1" si="658"/>
        <v>0</v>
      </c>
      <c r="BW155" s="64"/>
      <c r="BX155" s="74" t="s">
        <v>1841</v>
      </c>
      <c r="BY155" s="73">
        <f t="shared" ca="1" si="659"/>
        <v>0</v>
      </c>
      <c r="BZ155" s="64"/>
      <c r="CA155" s="74" t="s">
        <v>1841</v>
      </c>
      <c r="CB155" s="73">
        <f t="shared" ca="1" si="660"/>
        <v>0</v>
      </c>
      <c r="CC155" s="64"/>
      <c r="CD155" s="74" t="s">
        <v>1841</v>
      </c>
      <c r="CE155" s="73">
        <f t="shared" ca="1" si="661"/>
        <v>0</v>
      </c>
      <c r="CF155" s="64"/>
      <c r="CG155" s="74" t="s">
        <v>1841</v>
      </c>
      <c r="CH155" s="73">
        <f t="shared" ca="1" si="662"/>
        <v>0</v>
      </c>
      <c r="CI155" s="64"/>
      <c r="CJ155" s="74" t="s">
        <v>1631</v>
      </c>
      <c r="CK155" s="73">
        <f t="shared" ca="1" si="663"/>
        <v>0</v>
      </c>
      <c r="CL155" s="64"/>
      <c r="CM155" s="74" t="s">
        <v>1841</v>
      </c>
      <c r="CN155" s="73">
        <f t="shared" ca="1" si="664"/>
        <v>0</v>
      </c>
      <c r="CO155" s="64"/>
      <c r="CP155" s="74" t="s">
        <v>1841</v>
      </c>
      <c r="CQ155" s="73">
        <f t="shared" ca="1" si="665"/>
        <v>0</v>
      </c>
      <c r="CR155" s="64"/>
      <c r="CS155" s="74" t="s">
        <v>1841</v>
      </c>
      <c r="CT155" s="73">
        <f t="shared" ca="1" si="666"/>
        <v>0</v>
      </c>
      <c r="CU155" s="64"/>
      <c r="CV155" s="74" t="s">
        <v>1259</v>
      </c>
      <c r="CW155" s="73">
        <f t="shared" ca="1" si="667"/>
        <v>0</v>
      </c>
      <c r="CX155" s="64"/>
      <c r="CY155" s="74" t="s">
        <v>1558</v>
      </c>
      <c r="CZ155" s="73">
        <f t="shared" ca="1" si="668"/>
        <v>0</v>
      </c>
      <c r="DA155" s="64"/>
      <c r="DB155" s="74" t="s">
        <v>1841</v>
      </c>
      <c r="DC155" s="73">
        <f t="shared" ca="1" si="669"/>
        <v>0</v>
      </c>
      <c r="DD155" s="64"/>
      <c r="DE155" s="74" t="s">
        <v>1841</v>
      </c>
      <c r="DF155" s="73">
        <f t="shared" ca="1" si="670"/>
        <v>0</v>
      </c>
      <c r="DG155" s="64"/>
      <c r="DH155" s="74" t="s">
        <v>1631</v>
      </c>
      <c r="DI155" s="73">
        <f t="shared" ca="1" si="671"/>
        <v>0</v>
      </c>
      <c r="DJ155" s="64"/>
      <c r="DK155" s="74" t="s">
        <v>1259</v>
      </c>
      <c r="DL155" s="73">
        <f t="shared" ca="1" si="672"/>
        <v>0</v>
      </c>
      <c r="DM155" s="64"/>
      <c r="DN155" s="795" t="s">
        <v>1633</v>
      </c>
      <c r="DO155" s="73">
        <f t="shared" ca="1" si="673"/>
        <v>0</v>
      </c>
      <c r="DP155" s="64"/>
      <c r="DQ155" s="795" t="s">
        <v>1631</v>
      </c>
      <c r="DR155" s="73">
        <f t="shared" ca="1" si="674"/>
        <v>0</v>
      </c>
      <c r="DS155" s="64"/>
      <c r="DT155" s="74" t="s">
        <v>1841</v>
      </c>
      <c r="DU155" s="73">
        <f t="shared" ca="1" si="675"/>
        <v>0</v>
      </c>
      <c r="DV155" s="64"/>
      <c r="DW155" s="74" t="s">
        <v>1633</v>
      </c>
      <c r="DX155" s="73">
        <f t="shared" ca="1" si="676"/>
        <v>0</v>
      </c>
      <c r="DY155" s="64"/>
      <c r="DZ155" s="74" t="s">
        <v>1841</v>
      </c>
      <c r="EA155" s="73">
        <f t="shared" ca="1" si="677"/>
        <v>0</v>
      </c>
      <c r="EB155" s="64"/>
      <c r="EC155" s="74" t="s">
        <v>1633</v>
      </c>
      <c r="ED155" s="73">
        <f t="shared" ca="1" si="678"/>
        <v>0</v>
      </c>
      <c r="EE155" s="64"/>
      <c r="EF155" s="74" t="s">
        <v>80</v>
      </c>
      <c r="EG155" s="73">
        <f t="shared" ca="1" si="679"/>
        <v>0</v>
      </c>
      <c r="EH155" s="64"/>
      <c r="EI155" s="74"/>
      <c r="EJ155" s="73">
        <f t="shared" ca="1" si="680"/>
        <v>0</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49"/>
      <c r="K156" s="56" t="str">
        <f>Idiomas!$D$198&amp;"-"&amp;ROWS($L$130:L156)</f>
        <v>Dieciseisavofinalista-27</v>
      </c>
      <c r="L156" s="53"/>
      <c r="M156" s="55" t="str">
        <f ca="1">WORLDCUP!AF111</f>
        <v>2J</v>
      </c>
      <c r="N156" s="25"/>
      <c r="O156" s="25"/>
      <c r="P156" s="25"/>
      <c r="Q156" s="25"/>
      <c r="R156" s="110"/>
      <c r="S156" s="74" t="s">
        <v>80</v>
      </c>
      <c r="T156" s="73">
        <f t="shared" ca="1" si="640"/>
        <v>0</v>
      </c>
      <c r="U156" s="64"/>
      <c r="V156" s="74" t="s">
        <v>80</v>
      </c>
      <c r="W156" s="73">
        <f t="shared" ca="1" si="641"/>
        <v>0</v>
      </c>
      <c r="X156" s="64"/>
      <c r="Y156" s="74" t="s">
        <v>80</v>
      </c>
      <c r="Z156" s="73">
        <f t="shared" ca="1" si="642"/>
        <v>0</v>
      </c>
      <c r="AA156" s="64"/>
      <c r="AB156" s="74" t="s">
        <v>80</v>
      </c>
      <c r="AC156" s="73">
        <f t="shared" ca="1" si="643"/>
        <v>0</v>
      </c>
      <c r="AD156" s="64"/>
      <c r="AE156" s="74" t="s">
        <v>80</v>
      </c>
      <c r="AF156" s="73">
        <f t="shared" ca="1" si="644"/>
        <v>0</v>
      </c>
      <c r="AG156" s="64"/>
      <c r="AH156" s="74" t="s">
        <v>1558</v>
      </c>
      <c r="AI156" s="73">
        <f t="shared" ca="1" si="645"/>
        <v>0</v>
      </c>
      <c r="AJ156" s="64"/>
      <c r="AK156" s="74" t="s">
        <v>80</v>
      </c>
      <c r="AL156" s="73">
        <f t="shared" ca="1" si="646"/>
        <v>0</v>
      </c>
      <c r="AM156" s="64"/>
      <c r="AN156" s="74" t="s">
        <v>1558</v>
      </c>
      <c r="AO156" s="73">
        <f t="shared" ca="1" si="647"/>
        <v>0</v>
      </c>
      <c r="AP156" s="64"/>
      <c r="AQ156" s="74" t="s">
        <v>80</v>
      </c>
      <c r="AR156" s="73">
        <f t="shared" ca="1" si="648"/>
        <v>0</v>
      </c>
      <c r="AS156" s="64"/>
      <c r="AT156" s="74" t="s">
        <v>80</v>
      </c>
      <c r="AU156" s="73">
        <f t="shared" ca="1" si="649"/>
        <v>0</v>
      </c>
      <c r="AV156" s="64"/>
      <c r="AW156" s="74" t="s">
        <v>1558</v>
      </c>
      <c r="AX156" s="73">
        <f t="shared" ca="1" si="650"/>
        <v>0</v>
      </c>
      <c r="AY156" s="64"/>
      <c r="AZ156" s="74" t="s">
        <v>80</v>
      </c>
      <c r="BA156" s="73">
        <f t="shared" ca="1" si="651"/>
        <v>0</v>
      </c>
      <c r="BB156" s="64"/>
      <c r="BC156" s="74" t="s">
        <v>80</v>
      </c>
      <c r="BD156" s="73">
        <f t="shared" ca="1" si="652"/>
        <v>0</v>
      </c>
      <c r="BE156" s="64"/>
      <c r="BF156" s="74" t="s">
        <v>80</v>
      </c>
      <c r="BG156" s="73">
        <f t="shared" ca="1" si="653"/>
        <v>0</v>
      </c>
      <c r="BH156" s="64"/>
      <c r="BI156" s="74" t="s">
        <v>80</v>
      </c>
      <c r="BJ156" s="73">
        <f t="shared" ca="1" si="654"/>
        <v>0</v>
      </c>
      <c r="BK156" s="64"/>
      <c r="BL156" s="74" t="s">
        <v>80</v>
      </c>
      <c r="BM156" s="73">
        <f t="shared" ca="1" si="655"/>
        <v>0</v>
      </c>
      <c r="BN156" s="64"/>
      <c r="BO156" s="74" t="s">
        <v>1558</v>
      </c>
      <c r="BP156" s="73">
        <f t="shared" ca="1" si="656"/>
        <v>0</v>
      </c>
      <c r="BQ156" s="64"/>
      <c r="BR156" s="74" t="s">
        <v>80</v>
      </c>
      <c r="BS156" s="73">
        <f t="shared" ca="1" si="657"/>
        <v>0</v>
      </c>
      <c r="BT156" s="64"/>
      <c r="BU156" s="74" t="s">
        <v>80</v>
      </c>
      <c r="BV156" s="73">
        <f t="shared" ca="1" si="658"/>
        <v>0</v>
      </c>
      <c r="BW156" s="64"/>
      <c r="BX156" s="74" t="s">
        <v>1558</v>
      </c>
      <c r="BY156" s="73">
        <f t="shared" ca="1" si="659"/>
        <v>0</v>
      </c>
      <c r="BZ156" s="64"/>
      <c r="CA156" s="74" t="s">
        <v>80</v>
      </c>
      <c r="CB156" s="73">
        <f t="shared" ca="1" si="660"/>
        <v>0</v>
      </c>
      <c r="CC156" s="64"/>
      <c r="CD156" s="74" t="s">
        <v>80</v>
      </c>
      <c r="CE156" s="73">
        <f t="shared" ca="1" si="661"/>
        <v>0</v>
      </c>
      <c r="CF156" s="64"/>
      <c r="CG156" s="74" t="s">
        <v>80</v>
      </c>
      <c r="CH156" s="73">
        <f t="shared" ca="1" si="662"/>
        <v>0</v>
      </c>
      <c r="CI156" s="64"/>
      <c r="CJ156" s="74" t="s">
        <v>80</v>
      </c>
      <c r="CK156" s="73">
        <f t="shared" ca="1" si="663"/>
        <v>0</v>
      </c>
      <c r="CL156" s="64"/>
      <c r="CM156" s="74" t="s">
        <v>80</v>
      </c>
      <c r="CN156" s="73">
        <f t="shared" ca="1" si="664"/>
        <v>0</v>
      </c>
      <c r="CO156" s="64"/>
      <c r="CP156" s="74" t="s">
        <v>1558</v>
      </c>
      <c r="CQ156" s="73">
        <f t="shared" ca="1" si="665"/>
        <v>0</v>
      </c>
      <c r="CR156" s="64"/>
      <c r="CS156" s="74" t="s">
        <v>80</v>
      </c>
      <c r="CT156" s="73">
        <f t="shared" ca="1" si="666"/>
        <v>0</v>
      </c>
      <c r="CU156" s="64"/>
      <c r="CV156" s="74" t="s">
        <v>80</v>
      </c>
      <c r="CW156" s="73">
        <f t="shared" ca="1" si="667"/>
        <v>0</v>
      </c>
      <c r="CX156" s="64"/>
      <c r="CY156" s="74" t="s">
        <v>80</v>
      </c>
      <c r="CZ156" s="73">
        <f t="shared" ca="1" si="668"/>
        <v>0</v>
      </c>
      <c r="DA156" s="64"/>
      <c r="DB156" s="74" t="s">
        <v>80</v>
      </c>
      <c r="DC156" s="73">
        <f t="shared" ca="1" si="669"/>
        <v>0</v>
      </c>
      <c r="DD156" s="64"/>
      <c r="DE156" s="74" t="s">
        <v>80</v>
      </c>
      <c r="DF156" s="73">
        <f t="shared" ca="1" si="670"/>
        <v>0</v>
      </c>
      <c r="DG156" s="64"/>
      <c r="DH156" s="74" t="s">
        <v>80</v>
      </c>
      <c r="DI156" s="73">
        <f t="shared" ca="1" si="671"/>
        <v>0</v>
      </c>
      <c r="DJ156" s="64"/>
      <c r="DK156" s="74" t="s">
        <v>80</v>
      </c>
      <c r="DL156" s="73">
        <f t="shared" ca="1" si="672"/>
        <v>0</v>
      </c>
      <c r="DM156" s="64"/>
      <c r="DN156" s="795" t="s">
        <v>80</v>
      </c>
      <c r="DO156" s="73">
        <f t="shared" ca="1" si="673"/>
        <v>0</v>
      </c>
      <c r="DP156" s="64"/>
      <c r="DQ156" s="795" t="s">
        <v>80</v>
      </c>
      <c r="DR156" s="73">
        <f t="shared" ca="1" si="674"/>
        <v>0</v>
      </c>
      <c r="DS156" s="64"/>
      <c r="DT156" s="74" t="s">
        <v>1558</v>
      </c>
      <c r="DU156" s="73">
        <f t="shared" ca="1" si="675"/>
        <v>0</v>
      </c>
      <c r="DV156" s="64"/>
      <c r="DW156" s="74" t="s">
        <v>80</v>
      </c>
      <c r="DX156" s="73">
        <f t="shared" ca="1" si="676"/>
        <v>0</v>
      </c>
      <c r="DY156" s="64"/>
      <c r="DZ156" s="74" t="s">
        <v>80</v>
      </c>
      <c r="EA156" s="73">
        <f t="shared" ca="1" si="677"/>
        <v>0</v>
      </c>
      <c r="EB156" s="64"/>
      <c r="EC156" s="74" t="s">
        <v>80</v>
      </c>
      <c r="ED156" s="73">
        <f t="shared" ca="1" si="678"/>
        <v>0</v>
      </c>
      <c r="EE156" s="64"/>
      <c r="EF156" s="74" t="s">
        <v>1558</v>
      </c>
      <c r="EG156" s="73">
        <f t="shared" ca="1" si="679"/>
        <v>0</v>
      </c>
      <c r="EH156" s="64"/>
      <c r="EI156" s="74"/>
      <c r="EJ156" s="73">
        <f t="shared" ca="1" si="680"/>
        <v>0</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49"/>
      <c r="K157" s="56" t="str">
        <f>Idiomas!$D$198&amp;"-"&amp;ROWS($L$130:L157)</f>
        <v>Dieciseisavofinalista-28</v>
      </c>
      <c r="L157" s="53"/>
      <c r="M157" s="55" t="str">
        <f ca="1">WORLDCUP!AF112</f>
        <v>2L</v>
      </c>
      <c r="N157" s="25"/>
      <c r="O157" s="25"/>
      <c r="P157" s="25"/>
      <c r="Q157" s="25"/>
      <c r="R157" s="110"/>
      <c r="S157" s="74" t="s">
        <v>78</v>
      </c>
      <c r="T157" s="73">
        <f t="shared" ca="1" si="640"/>
        <v>0</v>
      </c>
      <c r="U157" s="64"/>
      <c r="V157" s="74" t="s">
        <v>78</v>
      </c>
      <c r="W157" s="73">
        <f t="shared" ca="1" si="641"/>
        <v>0</v>
      </c>
      <c r="X157" s="64"/>
      <c r="Y157" s="74" t="s">
        <v>78</v>
      </c>
      <c r="Z157" s="73">
        <f t="shared" ca="1" si="642"/>
        <v>0</v>
      </c>
      <c r="AA157" s="64"/>
      <c r="AB157" s="74" t="s">
        <v>78</v>
      </c>
      <c r="AC157" s="73">
        <f t="shared" ca="1" si="643"/>
        <v>0</v>
      </c>
      <c r="AD157" s="64"/>
      <c r="AE157" s="74" t="s">
        <v>78</v>
      </c>
      <c r="AF157" s="73">
        <f t="shared" ca="1" si="644"/>
        <v>0</v>
      </c>
      <c r="AG157" s="64"/>
      <c r="AH157" s="74" t="s">
        <v>76</v>
      </c>
      <c r="AI157" s="73">
        <f t="shared" ca="1" si="645"/>
        <v>0</v>
      </c>
      <c r="AJ157" s="64"/>
      <c r="AK157" s="74" t="s">
        <v>1551</v>
      </c>
      <c r="AL157" s="73">
        <f t="shared" ca="1" si="646"/>
        <v>0</v>
      </c>
      <c r="AM157" s="64"/>
      <c r="AN157" s="74" t="s">
        <v>78</v>
      </c>
      <c r="AO157" s="73">
        <f t="shared" ca="1" si="647"/>
        <v>0</v>
      </c>
      <c r="AP157" s="64"/>
      <c r="AQ157" s="74" t="s">
        <v>1551</v>
      </c>
      <c r="AR157" s="73">
        <f t="shared" ca="1" si="648"/>
        <v>0</v>
      </c>
      <c r="AS157" s="64"/>
      <c r="AT157" s="74" t="s">
        <v>78</v>
      </c>
      <c r="AU157" s="73">
        <f t="shared" ca="1" si="649"/>
        <v>0</v>
      </c>
      <c r="AV157" s="64"/>
      <c r="AW157" s="74" t="s">
        <v>1551</v>
      </c>
      <c r="AX157" s="73">
        <f t="shared" ca="1" si="650"/>
        <v>0</v>
      </c>
      <c r="AY157" s="64"/>
      <c r="AZ157" s="74" t="s">
        <v>78</v>
      </c>
      <c r="BA157" s="73">
        <f t="shared" ca="1" si="651"/>
        <v>0</v>
      </c>
      <c r="BB157" s="64"/>
      <c r="BC157" s="74" t="s">
        <v>76</v>
      </c>
      <c r="BD157" s="73">
        <f t="shared" ca="1" si="652"/>
        <v>0</v>
      </c>
      <c r="BE157" s="64"/>
      <c r="BF157" s="74" t="s">
        <v>78</v>
      </c>
      <c r="BG157" s="73">
        <f t="shared" ca="1" si="653"/>
        <v>0</v>
      </c>
      <c r="BH157" s="64"/>
      <c r="BI157" s="74" t="s">
        <v>78</v>
      </c>
      <c r="BJ157" s="73">
        <f t="shared" ca="1" si="654"/>
        <v>0</v>
      </c>
      <c r="BK157" s="64"/>
      <c r="BL157" s="74" t="s">
        <v>78</v>
      </c>
      <c r="BM157" s="73">
        <f t="shared" ca="1" si="655"/>
        <v>0</v>
      </c>
      <c r="BN157" s="64"/>
      <c r="BO157" s="74" t="s">
        <v>78</v>
      </c>
      <c r="BP157" s="73">
        <f t="shared" ca="1" si="656"/>
        <v>0</v>
      </c>
      <c r="BQ157" s="64"/>
      <c r="BR157" s="74" t="s">
        <v>78</v>
      </c>
      <c r="BS157" s="73">
        <f t="shared" ca="1" si="657"/>
        <v>0</v>
      </c>
      <c r="BT157" s="64"/>
      <c r="BU157" s="74" t="s">
        <v>78</v>
      </c>
      <c r="BV157" s="73">
        <f t="shared" ca="1" si="658"/>
        <v>0</v>
      </c>
      <c r="BW157" s="64"/>
      <c r="BX157" s="74" t="s">
        <v>78</v>
      </c>
      <c r="BY157" s="73">
        <f t="shared" ca="1" si="659"/>
        <v>0</v>
      </c>
      <c r="BZ157" s="64"/>
      <c r="CA157" s="74" t="s">
        <v>78</v>
      </c>
      <c r="CB157" s="73">
        <f t="shared" ca="1" si="660"/>
        <v>0</v>
      </c>
      <c r="CC157" s="64"/>
      <c r="CD157" s="74" t="s">
        <v>76</v>
      </c>
      <c r="CE157" s="73">
        <f t="shared" ca="1" si="661"/>
        <v>0</v>
      </c>
      <c r="CF157" s="64"/>
      <c r="CG157" s="74" t="s">
        <v>78</v>
      </c>
      <c r="CH157" s="73">
        <f t="shared" ca="1" si="662"/>
        <v>0</v>
      </c>
      <c r="CI157" s="64"/>
      <c r="CJ157" s="74" t="s">
        <v>78</v>
      </c>
      <c r="CK157" s="73">
        <f t="shared" ca="1" si="663"/>
        <v>0</v>
      </c>
      <c r="CL157" s="64"/>
      <c r="CM157" s="74" t="s">
        <v>78</v>
      </c>
      <c r="CN157" s="73">
        <f t="shared" ca="1" si="664"/>
        <v>0</v>
      </c>
      <c r="CO157" s="64"/>
      <c r="CP157" s="74" t="s">
        <v>78</v>
      </c>
      <c r="CQ157" s="73">
        <f t="shared" ca="1" si="665"/>
        <v>0</v>
      </c>
      <c r="CR157" s="64"/>
      <c r="CS157" s="74" t="s">
        <v>78</v>
      </c>
      <c r="CT157" s="73">
        <f t="shared" ca="1" si="666"/>
        <v>0</v>
      </c>
      <c r="CU157" s="64"/>
      <c r="CV157" s="74" t="s">
        <v>78</v>
      </c>
      <c r="CW157" s="73">
        <f t="shared" ca="1" si="667"/>
        <v>0</v>
      </c>
      <c r="CX157" s="64"/>
      <c r="CY157" s="74" t="s">
        <v>1551</v>
      </c>
      <c r="CZ157" s="73">
        <f t="shared" ca="1" si="668"/>
        <v>0</v>
      </c>
      <c r="DA157" s="64"/>
      <c r="DB157" s="74" t="s">
        <v>78</v>
      </c>
      <c r="DC157" s="73">
        <f t="shared" ca="1" si="669"/>
        <v>0</v>
      </c>
      <c r="DD157" s="64"/>
      <c r="DE157" s="74" t="s">
        <v>78</v>
      </c>
      <c r="DF157" s="73">
        <f t="shared" ca="1" si="670"/>
        <v>0</v>
      </c>
      <c r="DG157" s="64"/>
      <c r="DH157" s="74" t="s">
        <v>78</v>
      </c>
      <c r="DI157" s="73">
        <f t="shared" ca="1" si="671"/>
        <v>0</v>
      </c>
      <c r="DJ157" s="64"/>
      <c r="DK157" s="74" t="s">
        <v>76</v>
      </c>
      <c r="DL157" s="73">
        <f t="shared" ca="1" si="672"/>
        <v>0</v>
      </c>
      <c r="DM157" s="64"/>
      <c r="DN157" s="795" t="s">
        <v>78</v>
      </c>
      <c r="DO157" s="73">
        <f t="shared" ca="1" si="673"/>
        <v>0</v>
      </c>
      <c r="DP157" s="64"/>
      <c r="DQ157" s="795" t="s">
        <v>76</v>
      </c>
      <c r="DR157" s="73">
        <f t="shared" ca="1" si="674"/>
        <v>0</v>
      </c>
      <c r="DS157" s="64"/>
      <c r="DT157" s="74" t="s">
        <v>76</v>
      </c>
      <c r="DU157" s="73">
        <f t="shared" ca="1" si="675"/>
        <v>0</v>
      </c>
      <c r="DV157" s="64"/>
      <c r="DW157" s="74" t="s">
        <v>1551</v>
      </c>
      <c r="DX157" s="73">
        <f t="shared" ca="1" si="676"/>
        <v>0</v>
      </c>
      <c r="DY157" s="64"/>
      <c r="DZ157" s="74" t="s">
        <v>78</v>
      </c>
      <c r="EA157" s="73">
        <f t="shared" ca="1" si="677"/>
        <v>0</v>
      </c>
      <c r="EB157" s="64"/>
      <c r="EC157" s="74" t="s">
        <v>78</v>
      </c>
      <c r="ED157" s="73">
        <f t="shared" ca="1" si="678"/>
        <v>0</v>
      </c>
      <c r="EE157" s="64"/>
      <c r="EF157" s="74" t="s">
        <v>78</v>
      </c>
      <c r="EG157" s="73">
        <f t="shared" ca="1" si="679"/>
        <v>0</v>
      </c>
      <c r="EH157" s="64"/>
      <c r="EI157" s="74"/>
      <c r="EJ157" s="73">
        <f t="shared" ca="1" si="680"/>
        <v>0</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49"/>
      <c r="K158" s="56" t="str">
        <f>Idiomas!$D$198&amp;"-"&amp;ROWS($L$130:L158)</f>
        <v>Dieciseisavofinalista-29</v>
      </c>
      <c r="L158" s="53"/>
      <c r="M158" s="55" t="str">
        <f ca="1">WORLDCUP!AF113</f>
        <v>3EFGIJ</v>
      </c>
      <c r="N158" s="25"/>
      <c r="O158" s="25"/>
      <c r="P158" s="25"/>
      <c r="Q158" s="25"/>
      <c r="R158" s="110"/>
      <c r="S158" s="74" t="s">
        <v>1558</v>
      </c>
      <c r="T158" s="73">
        <f t="shared" ca="1" si="640"/>
        <v>0</v>
      </c>
      <c r="U158" s="64"/>
      <c r="V158" s="74" t="s">
        <v>1558</v>
      </c>
      <c r="W158" s="73">
        <f t="shared" ca="1" si="641"/>
        <v>0</v>
      </c>
      <c r="X158" s="64"/>
      <c r="Y158" s="74" t="s">
        <v>1261</v>
      </c>
      <c r="Z158" s="73">
        <f t="shared" ca="1" si="642"/>
        <v>0</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0</v>
      </c>
      <c r="AM158" s="64"/>
      <c r="AN158" s="74" t="s">
        <v>80</v>
      </c>
      <c r="AO158" s="73">
        <f t="shared" ca="1" si="647"/>
        <v>0</v>
      </c>
      <c r="AP158" s="64"/>
      <c r="AQ158" s="74" t="s">
        <v>1558</v>
      </c>
      <c r="AR158" s="73">
        <f t="shared" ca="1" si="648"/>
        <v>0</v>
      </c>
      <c r="AS158" s="64"/>
      <c r="AT158" s="74" t="s">
        <v>1558</v>
      </c>
      <c r="AU158" s="73">
        <f t="shared" ca="1" si="649"/>
        <v>0</v>
      </c>
      <c r="AV158" s="64"/>
      <c r="AW158" s="74" t="s">
        <v>80</v>
      </c>
      <c r="AX158" s="73">
        <f t="shared" ca="1" si="650"/>
        <v>0</v>
      </c>
      <c r="AY158" s="64"/>
      <c r="AZ158" s="74" t="s">
        <v>1266</v>
      </c>
      <c r="BA158" s="73">
        <f t="shared" ca="1" si="651"/>
        <v>0</v>
      </c>
      <c r="BB158" s="64"/>
      <c r="BC158" s="74" t="s">
        <v>1633</v>
      </c>
      <c r="BD158" s="73">
        <f t="shared" ca="1" si="652"/>
        <v>0</v>
      </c>
      <c r="BE158" s="64"/>
      <c r="BF158" s="74" t="s">
        <v>1262</v>
      </c>
      <c r="BG158" s="73">
        <f t="shared" ca="1" si="653"/>
        <v>0</v>
      </c>
      <c r="BH158" s="64"/>
      <c r="BI158" s="74" t="s">
        <v>1266</v>
      </c>
      <c r="BJ158" s="73">
        <f t="shared" ca="1" si="654"/>
        <v>0</v>
      </c>
      <c r="BK158" s="64"/>
      <c r="BL158" s="74" t="s">
        <v>1550</v>
      </c>
      <c r="BM158" s="73">
        <f t="shared" ca="1" si="655"/>
        <v>0</v>
      </c>
      <c r="BN158" s="64"/>
      <c r="BO158" s="74" t="s">
        <v>1550</v>
      </c>
      <c r="BP158" s="73">
        <f t="shared" ca="1" si="656"/>
        <v>0</v>
      </c>
      <c r="BQ158" s="64"/>
      <c r="BR158" s="74" t="s">
        <v>1262</v>
      </c>
      <c r="BS158" s="73">
        <f t="shared" ca="1" si="657"/>
        <v>0</v>
      </c>
      <c r="BT158" s="64"/>
      <c r="BU158" s="74" t="s">
        <v>1262</v>
      </c>
      <c r="BV158" s="73">
        <f t="shared" ca="1" si="658"/>
        <v>0</v>
      </c>
      <c r="BW158" s="64"/>
      <c r="BX158" s="74" t="s">
        <v>80</v>
      </c>
      <c r="BY158" s="73">
        <f t="shared" ca="1" si="659"/>
        <v>0</v>
      </c>
      <c r="BZ158" s="64"/>
      <c r="CA158" s="74" t="s">
        <v>1262</v>
      </c>
      <c r="CB158" s="73">
        <f t="shared" ca="1" si="660"/>
        <v>0</v>
      </c>
      <c r="CC158" s="64"/>
      <c r="CD158" s="74" t="s">
        <v>1550</v>
      </c>
      <c r="CE158" s="73">
        <f t="shared" ca="1" si="661"/>
        <v>0</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0</v>
      </c>
      <c r="CR158" s="64"/>
      <c r="CS158" s="74" t="s">
        <v>1558</v>
      </c>
      <c r="CT158" s="73">
        <f t="shared" ca="1" si="666"/>
        <v>0</v>
      </c>
      <c r="CU158" s="64"/>
      <c r="CV158" s="74" t="s">
        <v>1633</v>
      </c>
      <c r="CW158" s="73">
        <f t="shared" ca="1" si="667"/>
        <v>0</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0</v>
      </c>
      <c r="DJ158" s="64"/>
      <c r="DK158" s="74" t="s">
        <v>1262</v>
      </c>
      <c r="DL158" s="73">
        <f t="shared" ca="1" si="672"/>
        <v>0</v>
      </c>
      <c r="DM158" s="64"/>
      <c r="DN158" s="795" t="s">
        <v>1558</v>
      </c>
      <c r="DO158" s="73">
        <f t="shared" ca="1" si="673"/>
        <v>0</v>
      </c>
      <c r="DP158" s="64"/>
      <c r="DQ158" s="795" t="s">
        <v>1558</v>
      </c>
      <c r="DR158" s="73">
        <f t="shared" ca="1" si="674"/>
        <v>0</v>
      </c>
      <c r="DS158" s="64"/>
      <c r="DT158" s="74" t="s">
        <v>80</v>
      </c>
      <c r="DU158" s="73">
        <f t="shared" ca="1" si="675"/>
        <v>0</v>
      </c>
      <c r="DV158" s="64"/>
      <c r="DW158" s="74" t="s">
        <v>1262</v>
      </c>
      <c r="DX158" s="73">
        <f t="shared" ca="1" si="676"/>
        <v>0</v>
      </c>
      <c r="DY158" s="64"/>
      <c r="DZ158" s="74" t="s">
        <v>1558</v>
      </c>
      <c r="EA158" s="73">
        <f t="shared" ca="1" si="677"/>
        <v>0</v>
      </c>
      <c r="EB158" s="64"/>
      <c r="EC158" s="74" t="s">
        <v>1558</v>
      </c>
      <c r="ED158" s="73">
        <f t="shared" ca="1" si="678"/>
        <v>0</v>
      </c>
      <c r="EE158" s="64"/>
      <c r="EF158" s="74" t="s">
        <v>1262</v>
      </c>
      <c r="EG158" s="73">
        <f t="shared" ca="1" si="679"/>
        <v>0</v>
      </c>
      <c r="EH158" s="64"/>
      <c r="EI158" s="74"/>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49"/>
      <c r="K159" s="56" t="str">
        <f>Idiomas!$D$198&amp;"-"&amp;ROWS($L$130:L159)</f>
        <v>Dieciseisavofinalista-30</v>
      </c>
      <c r="L159" s="53"/>
      <c r="M159" s="55" t="str">
        <f ca="1">WORLDCUP!AF114</f>
        <v>2G</v>
      </c>
      <c r="N159" s="25"/>
      <c r="O159" s="25"/>
      <c r="P159" s="25"/>
      <c r="Q159" s="25"/>
      <c r="R159" s="110"/>
      <c r="S159" s="74" t="s">
        <v>1550</v>
      </c>
      <c r="T159" s="73">
        <f t="shared" ca="1" si="640"/>
        <v>0</v>
      </c>
      <c r="U159" s="64"/>
      <c r="V159" s="74" t="s">
        <v>1550</v>
      </c>
      <c r="W159" s="73">
        <f t="shared" ca="1" si="641"/>
        <v>0</v>
      </c>
      <c r="X159" s="64"/>
      <c r="Y159" s="74" t="s">
        <v>1550</v>
      </c>
      <c r="Z159" s="73">
        <f t="shared" ca="1" si="642"/>
        <v>0</v>
      </c>
      <c r="AA159" s="64"/>
      <c r="AB159" s="74" t="s">
        <v>1550</v>
      </c>
      <c r="AC159" s="73">
        <f t="shared" ca="1" si="643"/>
        <v>0</v>
      </c>
      <c r="AD159" s="64"/>
      <c r="AE159" s="74" t="s">
        <v>1550</v>
      </c>
      <c r="AF159" s="73">
        <f t="shared" ca="1" si="644"/>
        <v>0</v>
      </c>
      <c r="AG159" s="64"/>
      <c r="AH159" s="74" t="s">
        <v>1550</v>
      </c>
      <c r="AI159" s="73">
        <f t="shared" ca="1" si="645"/>
        <v>0</v>
      </c>
      <c r="AJ159" s="64"/>
      <c r="AK159" s="74" t="s">
        <v>1550</v>
      </c>
      <c r="AL159" s="73">
        <f t="shared" ca="1" si="646"/>
        <v>0</v>
      </c>
      <c r="AM159" s="64"/>
      <c r="AN159" s="74" t="s">
        <v>1550</v>
      </c>
      <c r="AO159" s="73">
        <f t="shared" ca="1" si="647"/>
        <v>0</v>
      </c>
      <c r="AP159" s="64"/>
      <c r="AQ159" s="74" t="s">
        <v>1550</v>
      </c>
      <c r="AR159" s="73">
        <f t="shared" ca="1" si="648"/>
        <v>0</v>
      </c>
      <c r="AS159" s="64"/>
      <c r="AT159" s="74" t="s">
        <v>1550</v>
      </c>
      <c r="AU159" s="73">
        <f t="shared" ca="1" si="649"/>
        <v>0</v>
      </c>
      <c r="AV159" s="64"/>
      <c r="AW159" s="74" t="s">
        <v>1550</v>
      </c>
      <c r="AX159" s="73">
        <f t="shared" ca="1" si="650"/>
        <v>0</v>
      </c>
      <c r="AY159" s="64"/>
      <c r="AZ159" s="74" t="s">
        <v>1550</v>
      </c>
      <c r="BA159" s="73">
        <f t="shared" ca="1" si="651"/>
        <v>0</v>
      </c>
      <c r="BB159" s="64"/>
      <c r="BC159" s="74" t="s">
        <v>1550</v>
      </c>
      <c r="BD159" s="73">
        <f t="shared" ca="1" si="652"/>
        <v>0</v>
      </c>
      <c r="BE159" s="64"/>
      <c r="BF159" s="74" t="s">
        <v>1550</v>
      </c>
      <c r="BG159" s="73">
        <f t="shared" ca="1" si="653"/>
        <v>0</v>
      </c>
      <c r="BH159" s="64"/>
      <c r="BI159" s="74" t="s">
        <v>1550</v>
      </c>
      <c r="BJ159" s="73">
        <f t="shared" ca="1" si="654"/>
        <v>0</v>
      </c>
      <c r="BK159" s="64"/>
      <c r="BL159" s="74" t="s">
        <v>1262</v>
      </c>
      <c r="BM159" s="73">
        <f t="shared" ca="1" si="655"/>
        <v>0</v>
      </c>
      <c r="BN159" s="64"/>
      <c r="BO159" s="74" t="s">
        <v>1262</v>
      </c>
      <c r="BP159" s="73">
        <f t="shared" ca="1" si="656"/>
        <v>0</v>
      </c>
      <c r="BQ159" s="64"/>
      <c r="BR159" s="74" t="s">
        <v>1550</v>
      </c>
      <c r="BS159" s="73">
        <f t="shared" ca="1" si="657"/>
        <v>0</v>
      </c>
      <c r="BT159" s="64"/>
      <c r="BU159" s="74" t="s">
        <v>1550</v>
      </c>
      <c r="BV159" s="73">
        <f t="shared" ca="1" si="658"/>
        <v>0</v>
      </c>
      <c r="BW159" s="64"/>
      <c r="BX159" s="74" t="s">
        <v>110</v>
      </c>
      <c r="BY159" s="73">
        <f t="shared" ca="1" si="659"/>
        <v>0</v>
      </c>
      <c r="BZ159" s="64"/>
      <c r="CA159" s="74" t="s">
        <v>1550</v>
      </c>
      <c r="CB159" s="73">
        <f t="shared" ca="1" si="660"/>
        <v>0</v>
      </c>
      <c r="CC159" s="64"/>
      <c r="CD159" s="74" t="s">
        <v>1266</v>
      </c>
      <c r="CE159" s="73">
        <f t="shared" ca="1" si="661"/>
        <v>0</v>
      </c>
      <c r="CF159" s="64"/>
      <c r="CG159" s="74" t="s">
        <v>1262</v>
      </c>
      <c r="CH159" s="73">
        <f t="shared" ca="1" si="662"/>
        <v>0</v>
      </c>
      <c r="CI159" s="64"/>
      <c r="CJ159" s="74" t="s">
        <v>1550</v>
      </c>
      <c r="CK159" s="73">
        <f t="shared" ca="1" si="663"/>
        <v>0</v>
      </c>
      <c r="CL159" s="64"/>
      <c r="CM159" s="74" t="s">
        <v>1550</v>
      </c>
      <c r="CN159" s="73">
        <f t="shared" ca="1" si="664"/>
        <v>0</v>
      </c>
      <c r="CO159" s="64"/>
      <c r="CP159" s="74" t="s">
        <v>1550</v>
      </c>
      <c r="CQ159" s="73">
        <f t="shared" ca="1" si="665"/>
        <v>0</v>
      </c>
      <c r="CR159" s="64"/>
      <c r="CS159" s="74" t="s">
        <v>1550</v>
      </c>
      <c r="CT159" s="73">
        <f t="shared" ca="1" si="666"/>
        <v>0</v>
      </c>
      <c r="CU159" s="64"/>
      <c r="CV159" s="74" t="s">
        <v>1550</v>
      </c>
      <c r="CW159" s="73">
        <f t="shared" ca="1" si="667"/>
        <v>0</v>
      </c>
      <c r="CX159" s="64"/>
      <c r="CY159" s="74" t="s">
        <v>1550</v>
      </c>
      <c r="CZ159" s="73">
        <f t="shared" ca="1" si="668"/>
        <v>0</v>
      </c>
      <c r="DA159" s="64"/>
      <c r="DB159" s="74" t="s">
        <v>1550</v>
      </c>
      <c r="DC159" s="73">
        <f t="shared" ca="1" si="669"/>
        <v>0</v>
      </c>
      <c r="DD159" s="64"/>
      <c r="DE159" s="74" t="s">
        <v>1550</v>
      </c>
      <c r="DF159" s="73">
        <f t="shared" ca="1" si="670"/>
        <v>0</v>
      </c>
      <c r="DG159" s="64"/>
      <c r="DH159" s="74" t="s">
        <v>1550</v>
      </c>
      <c r="DI159" s="73">
        <f t="shared" ca="1" si="671"/>
        <v>0</v>
      </c>
      <c r="DJ159" s="64"/>
      <c r="DK159" s="74" t="s">
        <v>1550</v>
      </c>
      <c r="DL159" s="73">
        <f t="shared" ca="1" si="672"/>
        <v>0</v>
      </c>
      <c r="DM159" s="64"/>
      <c r="DN159" s="795" t="s">
        <v>1550</v>
      </c>
      <c r="DO159" s="73">
        <f t="shared" ca="1" si="673"/>
        <v>0</v>
      </c>
      <c r="DP159" s="64"/>
      <c r="DQ159" s="795" t="s">
        <v>110</v>
      </c>
      <c r="DR159" s="73">
        <f t="shared" ca="1" si="674"/>
        <v>0</v>
      </c>
      <c r="DS159" s="64"/>
      <c r="DT159" s="74" t="s">
        <v>1550</v>
      </c>
      <c r="DU159" s="73">
        <f t="shared" ca="1" si="675"/>
        <v>0</v>
      </c>
      <c r="DV159" s="64"/>
      <c r="DW159" s="74" t="s">
        <v>1550</v>
      </c>
      <c r="DX159" s="73">
        <f t="shared" ca="1" si="676"/>
        <v>0</v>
      </c>
      <c r="DY159" s="64"/>
      <c r="DZ159" s="74" t="s">
        <v>1262</v>
      </c>
      <c r="EA159" s="73">
        <f t="shared" ca="1" si="677"/>
        <v>0</v>
      </c>
      <c r="EB159" s="64"/>
      <c r="EC159" s="74" t="s">
        <v>1550</v>
      </c>
      <c r="ED159" s="73">
        <f t="shared" ca="1" si="678"/>
        <v>0</v>
      </c>
      <c r="EE159" s="64"/>
      <c r="EF159" s="74" t="s">
        <v>1550</v>
      </c>
      <c r="EG159" s="73">
        <f t="shared" ca="1" si="679"/>
        <v>0</v>
      </c>
      <c r="EH159" s="64"/>
      <c r="EI159" s="74"/>
      <c r="EJ159" s="73">
        <f t="shared" ca="1" si="680"/>
        <v>0</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49"/>
      <c r="K160" s="56" t="str">
        <f>Idiomas!$D$198&amp;"-"&amp;ROWS($L$130:L160)</f>
        <v>Dieciseisavofinalista-31</v>
      </c>
      <c r="L160" s="53"/>
      <c r="M160" s="55" t="str">
        <f ca="1">WORLDCUP!AF115</f>
        <v>2H</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49"/>
      <c r="K161" s="115" t="str">
        <f>Idiomas!$D$198&amp;"-"&amp;ROWS($L$130:L161)</f>
        <v>Dieciseisavofinalista-32</v>
      </c>
      <c r="L161" s="115"/>
      <c r="M161" s="116" t="str">
        <f ca="1">WORLDCUP!AF116</f>
        <v>3DEIJL</v>
      </c>
      <c r="N161" s="25"/>
      <c r="O161" s="25"/>
      <c r="P161" s="25"/>
      <c r="Q161" s="25"/>
      <c r="R161" s="110"/>
      <c r="S161" s="80" t="s">
        <v>1634</v>
      </c>
      <c r="T161" s="81">
        <f t="shared" ca="1" si="640"/>
        <v>0</v>
      </c>
      <c r="U161" s="64"/>
      <c r="V161" s="80" t="s">
        <v>1551</v>
      </c>
      <c r="W161" s="81">
        <f t="shared" ca="1" si="641"/>
        <v>0</v>
      </c>
      <c r="X161" s="64"/>
      <c r="Y161" s="80" t="s">
        <v>1551</v>
      </c>
      <c r="Z161" s="81">
        <f t="shared" ca="1" si="642"/>
        <v>0</v>
      </c>
      <c r="AA161" s="64"/>
      <c r="AB161" s="80" t="s">
        <v>1730</v>
      </c>
      <c r="AC161" s="81">
        <f t="shared" ca="1" si="643"/>
        <v>0</v>
      </c>
      <c r="AD161" s="64"/>
      <c r="AE161" s="80" t="s">
        <v>1634</v>
      </c>
      <c r="AF161" s="81">
        <f t="shared" ca="1" si="644"/>
        <v>0</v>
      </c>
      <c r="AG161" s="64"/>
      <c r="AH161" s="80" t="s">
        <v>1730</v>
      </c>
      <c r="AI161" s="81">
        <f t="shared" ca="1" si="645"/>
        <v>0</v>
      </c>
      <c r="AJ161" s="64"/>
      <c r="AK161" s="80" t="s">
        <v>78</v>
      </c>
      <c r="AL161" s="81">
        <f t="shared" ca="1" si="646"/>
        <v>0</v>
      </c>
      <c r="AM161" s="64"/>
      <c r="AN161" s="80" t="s">
        <v>1551</v>
      </c>
      <c r="AO161" s="81">
        <f t="shared" ca="1" si="647"/>
        <v>0</v>
      </c>
      <c r="AP161" s="64"/>
      <c r="AQ161" s="80" t="s">
        <v>78</v>
      </c>
      <c r="AR161" s="81">
        <f t="shared" ca="1" si="648"/>
        <v>0</v>
      </c>
      <c r="AS161" s="64"/>
      <c r="AT161" s="80" t="s">
        <v>1551</v>
      </c>
      <c r="AU161" s="81">
        <f t="shared" ca="1" si="649"/>
        <v>0</v>
      </c>
      <c r="AV161" s="64"/>
      <c r="AW161" s="80" t="s">
        <v>78</v>
      </c>
      <c r="AX161" s="81">
        <f t="shared" ca="1" si="650"/>
        <v>0</v>
      </c>
      <c r="AY161" s="64"/>
      <c r="AZ161" s="80" t="s">
        <v>1551</v>
      </c>
      <c r="BA161" s="81">
        <f t="shared" ca="1" si="651"/>
        <v>0</v>
      </c>
      <c r="BB161" s="64"/>
      <c r="BC161" s="80" t="s">
        <v>1551</v>
      </c>
      <c r="BD161" s="81">
        <f t="shared" ca="1" si="652"/>
        <v>0</v>
      </c>
      <c r="BE161" s="64"/>
      <c r="BF161" s="80" t="s">
        <v>1633</v>
      </c>
      <c r="BG161" s="81">
        <f t="shared" ca="1" si="653"/>
        <v>0</v>
      </c>
      <c r="BH161" s="64"/>
      <c r="BI161" s="80" t="s">
        <v>1551</v>
      </c>
      <c r="BJ161" s="81">
        <f t="shared" ca="1" si="654"/>
        <v>0</v>
      </c>
      <c r="BK161" s="64"/>
      <c r="BL161" s="80" t="s">
        <v>1551</v>
      </c>
      <c r="BM161" s="81">
        <f t="shared" ca="1" si="655"/>
        <v>0</v>
      </c>
      <c r="BN161" s="64"/>
      <c r="BO161" s="80" t="s">
        <v>1261</v>
      </c>
      <c r="BP161" s="81">
        <f t="shared" ca="1" si="656"/>
        <v>0</v>
      </c>
      <c r="BQ161" s="64"/>
      <c r="BR161" s="80" t="s">
        <v>1551</v>
      </c>
      <c r="BS161" s="81">
        <f t="shared" ca="1" si="657"/>
        <v>0</v>
      </c>
      <c r="BT161" s="64"/>
      <c r="BU161" s="80" t="s">
        <v>1551</v>
      </c>
      <c r="BV161" s="81">
        <f t="shared" ca="1" si="658"/>
        <v>0</v>
      </c>
      <c r="BW161" s="64"/>
      <c r="BX161" s="80" t="s">
        <v>1551</v>
      </c>
      <c r="BY161" s="81">
        <f t="shared" ca="1" si="659"/>
        <v>0</v>
      </c>
      <c r="BZ161" s="64"/>
      <c r="CA161" s="80" t="s">
        <v>1633</v>
      </c>
      <c r="CB161" s="81">
        <f t="shared" ca="1" si="660"/>
        <v>0</v>
      </c>
      <c r="CC161" s="64"/>
      <c r="CD161" s="80" t="s">
        <v>1633</v>
      </c>
      <c r="CE161" s="81">
        <f t="shared" ca="1" si="661"/>
        <v>0</v>
      </c>
      <c r="CF161" s="64"/>
      <c r="CG161" s="80" t="s">
        <v>1730</v>
      </c>
      <c r="CH161" s="81">
        <f t="shared" ca="1" si="662"/>
        <v>0</v>
      </c>
      <c r="CI161" s="64"/>
      <c r="CJ161" s="80" t="s">
        <v>1551</v>
      </c>
      <c r="CK161" s="81">
        <f t="shared" ca="1" si="663"/>
        <v>0</v>
      </c>
      <c r="CL161" s="64"/>
      <c r="CM161" s="80" t="s">
        <v>1633</v>
      </c>
      <c r="CN161" s="81">
        <f t="shared" ca="1" si="664"/>
        <v>0</v>
      </c>
      <c r="CO161" s="64"/>
      <c r="CP161" s="80" t="s">
        <v>1551</v>
      </c>
      <c r="CQ161" s="81">
        <f t="shared" ca="1" si="665"/>
        <v>0</v>
      </c>
      <c r="CR161" s="64"/>
      <c r="CS161" s="80" t="s">
        <v>1634</v>
      </c>
      <c r="CT161" s="81">
        <f t="shared" ca="1" si="666"/>
        <v>0</v>
      </c>
      <c r="CU161" s="64"/>
      <c r="CV161" s="80" t="s">
        <v>1319</v>
      </c>
      <c r="CW161" s="81">
        <f t="shared" ca="1" si="667"/>
        <v>0</v>
      </c>
      <c r="CX161" s="64"/>
      <c r="CY161" s="80" t="s">
        <v>77</v>
      </c>
      <c r="CZ161" s="81">
        <f t="shared" ca="1" si="668"/>
        <v>0</v>
      </c>
      <c r="DA161" s="64"/>
      <c r="DB161" s="80" t="s">
        <v>1634</v>
      </c>
      <c r="DC161" s="81">
        <f t="shared" ca="1" si="669"/>
        <v>0</v>
      </c>
      <c r="DD161" s="64"/>
      <c r="DE161" s="80" t="s">
        <v>1551</v>
      </c>
      <c r="DF161" s="81">
        <f t="shared" ca="1" si="670"/>
        <v>0</v>
      </c>
      <c r="DG161" s="64"/>
      <c r="DH161" s="80" t="s">
        <v>1633</v>
      </c>
      <c r="DI161" s="81">
        <f t="shared" ca="1" si="671"/>
        <v>0</v>
      </c>
      <c r="DJ161" s="64"/>
      <c r="DK161" s="80" t="s">
        <v>78</v>
      </c>
      <c r="DL161" s="81">
        <f t="shared" ca="1" si="672"/>
        <v>0</v>
      </c>
      <c r="DM161" s="64"/>
      <c r="DN161" s="795" t="s">
        <v>1634</v>
      </c>
      <c r="DO161" s="81">
        <f t="shared" ca="1" si="673"/>
        <v>0</v>
      </c>
      <c r="DP161" s="64"/>
      <c r="DQ161" s="795" t="s">
        <v>1730</v>
      </c>
      <c r="DR161" s="81">
        <f t="shared" ca="1" si="674"/>
        <v>0</v>
      </c>
      <c r="DS161" s="64"/>
      <c r="DT161" s="80" t="s">
        <v>1551</v>
      </c>
      <c r="DU161" s="81">
        <f t="shared" ca="1" si="675"/>
        <v>0</v>
      </c>
      <c r="DV161" s="64"/>
      <c r="DW161" s="80" t="s">
        <v>78</v>
      </c>
      <c r="DX161" s="81">
        <f t="shared" ca="1" si="676"/>
        <v>0</v>
      </c>
      <c r="DY161" s="64"/>
      <c r="DZ161" s="80" t="s">
        <v>1551</v>
      </c>
      <c r="EA161" s="81">
        <f t="shared" ca="1" si="677"/>
        <v>0</v>
      </c>
      <c r="EB161" s="64"/>
      <c r="EC161" s="80" t="s">
        <v>1551</v>
      </c>
      <c r="ED161" s="81">
        <f t="shared" ca="1" si="678"/>
        <v>0</v>
      </c>
      <c r="EE161" s="64"/>
      <c r="EF161" s="80" t="s">
        <v>1551</v>
      </c>
      <c r="EG161" s="81">
        <f t="shared" ca="1" si="679"/>
        <v>0</v>
      </c>
      <c r="EH161" s="64"/>
      <c r="EI161" s="80"/>
      <c r="EJ161" s="81">
        <f t="shared" ca="1" si="680"/>
        <v>0</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691">SUM(W130:W161)</f>
        <v>0</v>
      </c>
      <c r="X162" s="65"/>
      <c r="Y162" s="84"/>
      <c r="Z162" s="71">
        <f t="shared" ref="Z162" ca="1" si="692">SUM(Z130:Z161)</f>
        <v>0</v>
      </c>
      <c r="AA162" s="65"/>
      <c r="AB162" s="84"/>
      <c r="AC162" s="71">
        <f t="shared" ref="AC162" ca="1" si="693">SUM(AC130:AC161)</f>
        <v>0</v>
      </c>
      <c r="AD162" s="65"/>
      <c r="AE162" s="84"/>
      <c r="AF162" s="71">
        <f t="shared" ref="AF162" ca="1" si="694">SUM(AF130:AF161)</f>
        <v>0</v>
      </c>
      <c r="AG162" s="65"/>
      <c r="AH162" s="84"/>
      <c r="AI162" s="71">
        <f t="shared" ref="AI162" ca="1" si="695">SUM(AI130:AI161)</f>
        <v>0</v>
      </c>
      <c r="AJ162" s="65"/>
      <c r="AK162" s="84"/>
      <c r="AL162" s="71">
        <f t="shared" ref="AL162" ca="1" si="696">SUM(AL130:AL161)</f>
        <v>0</v>
      </c>
      <c r="AM162" s="65"/>
      <c r="AN162" s="84"/>
      <c r="AO162" s="71">
        <f t="shared" ref="AO162" ca="1" si="697">SUM(AO130:AO161)</f>
        <v>0</v>
      </c>
      <c r="AP162" s="65"/>
      <c r="AQ162" s="84"/>
      <c r="AR162" s="71">
        <f t="shared" ref="AR162" ca="1" si="698">SUM(AR130:AR161)</f>
        <v>0</v>
      </c>
      <c r="AS162" s="65"/>
      <c r="AT162" s="84"/>
      <c r="AU162" s="71">
        <f t="shared" ref="AU162" ca="1" si="699">SUM(AU130:AU161)</f>
        <v>0</v>
      </c>
      <c r="AV162" s="65"/>
      <c r="AW162" s="84"/>
      <c r="AX162" s="71">
        <f t="shared" ref="AX162" ca="1" si="700">SUM(AX130:AX161)</f>
        <v>0</v>
      </c>
      <c r="AY162" s="65"/>
      <c r="AZ162" s="84"/>
      <c r="BA162" s="71">
        <f t="shared" ref="BA162" ca="1" si="701">SUM(BA130:BA161)</f>
        <v>0</v>
      </c>
      <c r="BB162" s="65"/>
      <c r="BC162" s="84"/>
      <c r="BD162" s="71">
        <f t="shared" ref="BD162" ca="1" si="702">SUM(BD130:BD161)</f>
        <v>0</v>
      </c>
      <c r="BE162" s="65"/>
      <c r="BF162" s="84"/>
      <c r="BG162" s="71">
        <f t="shared" ref="BG162" ca="1" si="703">SUM(BG130:BG161)</f>
        <v>0</v>
      </c>
      <c r="BH162" s="65"/>
      <c r="BI162" s="84"/>
      <c r="BJ162" s="71">
        <f t="shared" ref="BJ162" ca="1" si="704">SUM(BJ130:BJ161)</f>
        <v>0</v>
      </c>
      <c r="BK162" s="65"/>
      <c r="BL162" s="84"/>
      <c r="BM162" s="71">
        <f t="shared" ref="BM162" ca="1" si="705">SUM(BM130:BM161)</f>
        <v>0</v>
      </c>
      <c r="BN162" s="65"/>
      <c r="BO162" s="84"/>
      <c r="BP162" s="71">
        <f t="shared" ref="BP162" ca="1" si="706">SUM(BP130:BP161)</f>
        <v>0</v>
      </c>
      <c r="BQ162" s="65"/>
      <c r="BR162" s="84"/>
      <c r="BS162" s="71">
        <f t="shared" ref="BS162" ca="1" si="707">SUM(BS130:BS161)</f>
        <v>0</v>
      </c>
      <c r="BT162" s="65"/>
      <c r="BU162" s="84"/>
      <c r="BV162" s="71">
        <f t="shared" ref="BV162" ca="1" si="708">SUM(BV130:BV161)</f>
        <v>0</v>
      </c>
      <c r="BW162" s="65"/>
      <c r="BX162" s="84"/>
      <c r="BY162" s="71">
        <f t="shared" ref="BY162" ca="1" si="709">SUM(BY130:BY161)</f>
        <v>0</v>
      </c>
      <c r="BZ162" s="65"/>
      <c r="CA162" s="84"/>
      <c r="CB162" s="71">
        <f t="shared" ref="CB162" ca="1" si="710">SUM(CB130:CB161)</f>
        <v>0</v>
      </c>
      <c r="CC162" s="65"/>
      <c r="CD162" s="84"/>
      <c r="CE162" s="71">
        <f t="shared" ref="CE162" ca="1" si="711">SUM(CE130:CE161)</f>
        <v>0</v>
      </c>
      <c r="CF162" s="65"/>
      <c r="CG162" s="84"/>
      <c r="CH162" s="71">
        <f t="shared" ref="CH162" ca="1" si="712">SUM(CH130:CH161)</f>
        <v>0</v>
      </c>
      <c r="CI162" s="65"/>
      <c r="CJ162" s="84"/>
      <c r="CK162" s="71">
        <f t="shared" ref="CK162" ca="1" si="713">SUM(CK130:CK161)</f>
        <v>0</v>
      </c>
      <c r="CL162" s="65"/>
      <c r="CM162" s="84"/>
      <c r="CN162" s="71">
        <f t="shared" ref="CN162" ca="1" si="714">SUM(CN130:CN161)</f>
        <v>0</v>
      </c>
      <c r="CO162" s="65"/>
      <c r="CP162" s="84"/>
      <c r="CQ162" s="71">
        <f t="shared" ref="CQ162" ca="1" si="715">SUM(CQ130:CQ161)</f>
        <v>0</v>
      </c>
      <c r="CR162" s="65"/>
      <c r="CS162" s="84"/>
      <c r="CT162" s="71">
        <f t="shared" ref="CT162" ca="1" si="716">SUM(CT130:CT161)</f>
        <v>0</v>
      </c>
      <c r="CU162" s="65"/>
      <c r="CV162" s="84"/>
      <c r="CW162" s="71">
        <f t="shared" ref="CW162" ca="1" si="717">SUM(CW130:CW161)</f>
        <v>0</v>
      </c>
      <c r="CX162" s="65"/>
      <c r="CY162" s="84"/>
      <c r="CZ162" s="71">
        <f t="shared" ref="CZ162" ca="1" si="718">SUM(CZ130:CZ161)</f>
        <v>0</v>
      </c>
      <c r="DA162" s="65"/>
      <c r="DB162" s="84"/>
      <c r="DC162" s="71">
        <f t="shared" ref="DC162" ca="1" si="719">SUM(DC130:DC161)</f>
        <v>0</v>
      </c>
      <c r="DD162" s="65"/>
      <c r="DE162" s="84"/>
      <c r="DF162" s="71">
        <f t="shared" ref="DF162" ca="1" si="720">SUM(DF130:DF161)</f>
        <v>0</v>
      </c>
      <c r="DG162" s="65"/>
      <c r="DH162" s="84"/>
      <c r="DI162" s="71">
        <f t="shared" ref="DI162" ca="1" si="721">SUM(DI130:DI161)</f>
        <v>0</v>
      </c>
      <c r="DJ162" s="65"/>
      <c r="DK162" s="84"/>
      <c r="DL162" s="71">
        <f t="shared" ref="DL162" ca="1" si="722">SUM(DL130:DL161)</f>
        <v>0</v>
      </c>
      <c r="DM162" s="65"/>
      <c r="DN162" s="796"/>
      <c r="DO162" s="71">
        <f t="shared" ref="DO162" ca="1" si="723">SUM(DO130:DO161)</f>
        <v>0</v>
      </c>
      <c r="DP162" s="65"/>
      <c r="DQ162" s="796"/>
      <c r="DR162" s="71">
        <f t="shared" ref="DR162" ca="1" si="724">SUM(DR130:DR161)</f>
        <v>0</v>
      </c>
      <c r="DS162" s="65"/>
      <c r="DT162" s="84"/>
      <c r="DU162" s="71">
        <f t="shared" ref="DU162" ca="1" si="725">SUM(DU130:DU161)</f>
        <v>0</v>
      </c>
      <c r="DV162" s="65"/>
      <c r="DW162" s="84"/>
      <c r="DX162" s="71">
        <f t="shared" ref="DX162" ca="1" si="726">SUM(DX130:DX161)</f>
        <v>0</v>
      </c>
      <c r="DY162" s="65"/>
      <c r="DZ162" s="84"/>
      <c r="EA162" s="71">
        <f t="shared" ref="EA162" ca="1" si="727">SUM(EA130:EA161)</f>
        <v>0</v>
      </c>
      <c r="EB162" s="65"/>
      <c r="EC162" s="84"/>
      <c r="ED162" s="71">
        <f t="shared" ref="ED162" ca="1" si="728">SUM(ED130:ED161)</f>
        <v>0</v>
      </c>
      <c r="EE162" s="65"/>
      <c r="EF162" s="84"/>
      <c r="EG162" s="71">
        <f t="shared" ref="EG162" ca="1" si="729">SUM(EG130:EG161)</f>
        <v>0</v>
      </c>
      <c r="EH162" s="65"/>
      <c r="EI162" s="84"/>
      <c r="EJ162" s="71">
        <f t="shared" ref="EJ162" ca="1" si="730">SUM(EJ130:EJ161)</f>
        <v>0</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4</v>
      </c>
      <c r="G164" s="407">
        <f ca="1">VLOOKUP(H164,Equipos!$Q$1:$R$25,2,0)</f>
        <v>20</v>
      </c>
      <c r="H164" s="446" t="str">
        <f>Idiomas!$D$260</f>
        <v>Dieciseisavos de final</v>
      </c>
      <c r="I164" s="43">
        <v>1</v>
      </c>
      <c r="J164" s="849"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tr">
        <f>Idiomas!$D$367</f>
        <v>Pegar Valores Dieciseisavos</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849"/>
      <c r="K165" s="56" t="str">
        <f ca="1">CONCATENATE(WORLDCUP!AA102,"-",WORLDCUP!AF102)</f>
        <v>1C-2F</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795" t="s">
        <v>2681</v>
      </c>
      <c r="DR165" s="77">
        <f t="shared" ca="1" si="762"/>
        <v>0</v>
      </c>
      <c r="DS165" s="110"/>
      <c r="DT165" s="74" t="s">
        <v>2711</v>
      </c>
      <c r="DU165" s="77">
        <f t="shared" ca="1" si="762"/>
        <v>0</v>
      </c>
      <c r="DV165" s="110"/>
      <c r="DW165" s="74" t="s">
        <v>2004</v>
      </c>
      <c r="DX165" s="77">
        <f t="shared" ca="1" si="762"/>
        <v>0</v>
      </c>
      <c r="DY165" s="110"/>
      <c r="DZ165" s="74" t="s">
        <v>2753</v>
      </c>
      <c r="EA165" s="77">
        <f t="shared" ca="1" si="762"/>
        <v>0</v>
      </c>
      <c r="EB165" s="110"/>
      <c r="EC165" s="74" t="s">
        <v>2769</v>
      </c>
      <c r="ED165" s="77">
        <f t="shared" ca="1" si="762"/>
        <v>0</v>
      </c>
      <c r="EE165" s="110"/>
      <c r="EF165" s="74" t="s">
        <v>2778</v>
      </c>
      <c r="EG165" s="77">
        <f t="shared" ca="1" si="762"/>
        <v>0</v>
      </c>
      <c r="EH165" s="110"/>
      <c r="EI165" s="74"/>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849"/>
      <c r="K166" s="56" t="str">
        <f ca="1">CONCATENATE(WORLDCUP!AA103,"-",WORLDCUP!AF103)</f>
        <v>1E-3ABCDF</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849"/>
      <c r="K167" s="56" t="str">
        <f ca="1">CONCATENATE(WORLDCUP!AA104,"-",WORLDCUP!AF104)</f>
        <v>1F-2C</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0</v>
      </c>
      <c r="DY167" s="110"/>
      <c r="DZ167" s="74" t="s">
        <v>2754</v>
      </c>
      <c r="EA167" s="77">
        <f t="shared" ca="1" si="762"/>
        <v>0</v>
      </c>
      <c r="EB167" s="110"/>
      <c r="EC167" s="74" t="s">
        <v>2156</v>
      </c>
      <c r="ED167" s="77">
        <f t="shared" ca="1" si="762"/>
        <v>0</v>
      </c>
      <c r="EE167" s="110"/>
      <c r="EF167" s="74" t="s">
        <v>2735</v>
      </c>
      <c r="EG167" s="77">
        <f t="shared" ca="1" si="762"/>
        <v>0</v>
      </c>
      <c r="EH167" s="110"/>
      <c r="EI167" s="74"/>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49"/>
      <c r="K168" s="56" t="str">
        <f ca="1">CONCATENATE(WORLDCUP!AA105,"-",WORLDCUP!AF105)</f>
        <v>2E-2I</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49"/>
      <c r="K169" s="56" t="str">
        <f ca="1">CONCATENATE(WORLDCUP!AA106,"-",WORLDCUP!AF106)</f>
        <v>1I-3CDFGH</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0</v>
      </c>
      <c r="DY169" s="110"/>
      <c r="DZ169" s="74" t="s">
        <v>2755</v>
      </c>
      <c r="EA169" s="77">
        <f t="shared" ca="1" si="762"/>
        <v>0</v>
      </c>
      <c r="EB169" s="110"/>
      <c r="EC169" s="74" t="s">
        <v>2158</v>
      </c>
      <c r="ED169" s="77">
        <f t="shared" ca="1" si="762"/>
        <v>0</v>
      </c>
      <c r="EE169" s="110"/>
      <c r="EF169" s="74" t="s">
        <v>2780</v>
      </c>
      <c r="EG169" s="77">
        <f t="shared" ca="1" si="762"/>
        <v>0</v>
      </c>
      <c r="EH169" s="110"/>
      <c r="EI169" s="74"/>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49"/>
      <c r="K170" s="56" t="str">
        <f ca="1">CONCATENATE(WORLDCUP!AA107,"-",WORLDCUP!AF107)</f>
        <v>1A-3CEFHI</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49"/>
      <c r="K171" s="56" t="str">
        <f ca="1">CONCATENATE(WORLDCUP!AA108,"-",WORLDCUP!AF108)</f>
        <v>1L-3EHIJK</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t="s">
        <v>2160</v>
      </c>
      <c r="EG171" s="77">
        <f t="shared" ca="1" si="762"/>
        <v>0</v>
      </c>
      <c r="EH171" s="110"/>
      <c r="EI171" s="74"/>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49"/>
      <c r="K172" s="56" t="str">
        <f ca="1">CONCATENATE(WORLDCUP!AA109,"-",WORLDCUP!AF109)</f>
        <v>1G-3AEHIJ</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t="s">
        <v>2193</v>
      </c>
      <c r="EG172" s="77">
        <f t="shared" ca="1" si="762"/>
        <v>0</v>
      </c>
      <c r="EH172" s="110"/>
      <c r="EI172" s="74"/>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49"/>
      <c r="K173" s="56" t="str">
        <f ca="1">CONCATENATE(WORLDCUP!AA110,"-",WORLDCUP!AF110)</f>
        <v>1D-3BEFIJ</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t="s">
        <v>2781</v>
      </c>
      <c r="EG173" s="77">
        <f t="shared" ca="1" si="762"/>
        <v>0</v>
      </c>
      <c r="EH173" s="110"/>
      <c r="EI173" s="74"/>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49"/>
      <c r="K174" s="56" t="str">
        <f ca="1">CONCATENATE(WORLDCUP!AA111,"-",WORLDCUP!AF111)</f>
        <v>1H-2J</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49"/>
      <c r="K175" s="56" t="str">
        <f ca="1">CONCATENATE(WORLDCUP!AA112,"-",WORLDCUP!AF112)</f>
        <v>2K-2L</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49"/>
      <c r="K176" s="56" t="str">
        <f ca="1">CONCATENATE(WORLDCUP!AA113,"-",WORLDCUP!AF113)</f>
        <v>1B-3EFGIJ</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49"/>
      <c r="K177" s="56" t="str">
        <f ca="1">CONCATENATE(WORLDCUP!AA114,"-",WORLDCUP!AF114)</f>
        <v>2D-2G</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49"/>
      <c r="K178" s="56" t="str">
        <f ca="1">CONCATENATE(WORLDCUP!AA115,"-",WORLDCUP!AF115)</f>
        <v>1J-2H</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49"/>
      <c r="K179" s="115" t="str">
        <f ca="1">CONCATENATE(WORLDCUP!AA116,"-",WORLDCUP!AF116)</f>
        <v>1K-3DEIJL</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796"/>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49" t="s">
        <v>88</v>
      </c>
      <c r="K182" s="53" t="str">
        <f>Idiomas!$D$199&amp;"-"&amp;ROWS($L$182:L182)</f>
        <v>Octavofinalista-1</v>
      </c>
      <c r="L182" s="53"/>
      <c r="M182" s="55" t="str">
        <f>WORLDCUP!AA120</f>
        <v>W73</v>
      </c>
      <c r="N182" s="25"/>
      <c r="O182" s="25"/>
      <c r="P182" s="25"/>
      <c r="Q182" s="25"/>
      <c r="R182" s="110"/>
      <c r="S182" s="76" t="s">
        <v>1260</v>
      </c>
      <c r="T182" s="77">
        <f t="shared" ref="T182:T197" si="847">COUNTIF($M$182:$M$197,S182)*$D$19</f>
        <v>0</v>
      </c>
      <c r="U182" s="64"/>
      <c r="V182" s="76" t="s">
        <v>1843</v>
      </c>
      <c r="W182" s="77">
        <f t="shared" ref="W182:W197" si="848">COUNTIF($M$182:$M$197,V182)*$D$19</f>
        <v>0</v>
      </c>
      <c r="X182" s="64"/>
      <c r="Y182" s="76" t="s">
        <v>1843</v>
      </c>
      <c r="Z182" s="77">
        <f t="shared" ref="Z182:Z197" si="849">COUNTIF($M$182:$M$197,Y182)*$D$19</f>
        <v>0</v>
      </c>
      <c r="AA182" s="64"/>
      <c r="AB182" s="76" t="s">
        <v>1260</v>
      </c>
      <c r="AC182" s="77">
        <f t="shared" ref="AC182:AC197" si="850">COUNTIF($M$182:$M$197,AB182)*$D$19</f>
        <v>0</v>
      </c>
      <c r="AD182" s="64"/>
      <c r="AE182" s="76" t="s">
        <v>1259</v>
      </c>
      <c r="AF182" s="77">
        <f t="shared" ref="AF182:AF197" si="851">COUNTIF($M$182:$M$197,AE182)*$D$19</f>
        <v>0</v>
      </c>
      <c r="AG182" s="64"/>
      <c r="AH182" s="76" t="s">
        <v>1259</v>
      </c>
      <c r="AI182" s="77">
        <f t="shared" ref="AI182:AI197" si="852">COUNTIF($M$182:$M$197,AH182)*$D$19</f>
        <v>0</v>
      </c>
      <c r="AJ182" s="64"/>
      <c r="AK182" s="76" t="s">
        <v>1843</v>
      </c>
      <c r="AL182" s="77">
        <f t="shared" ref="AL182:AL197" si="853">COUNTIF($M$182:$M$197,AK182)*$D$19</f>
        <v>0</v>
      </c>
      <c r="AM182" s="64"/>
      <c r="AN182" s="76" t="s">
        <v>1259</v>
      </c>
      <c r="AO182" s="77">
        <f t="shared" ref="AO182:AO197" si="854">COUNTIF($M$182:$M$197,AN182)*$D$19</f>
        <v>0</v>
      </c>
      <c r="AP182" s="64"/>
      <c r="AQ182" s="76" t="s">
        <v>1260</v>
      </c>
      <c r="AR182" s="77">
        <f t="shared" ref="AR182:AR197" si="855">COUNTIF($M$182:$M$197,AQ182)*$D$19</f>
        <v>0</v>
      </c>
      <c r="AS182" s="64"/>
      <c r="AT182" s="76" t="s">
        <v>1841</v>
      </c>
      <c r="AU182" s="77">
        <f t="shared" ref="AU182:AU197" si="856">COUNTIF($M$182:$M$197,AT182)*$D$19</f>
        <v>0</v>
      </c>
      <c r="AV182" s="64"/>
      <c r="AW182" s="76" t="s">
        <v>1260</v>
      </c>
      <c r="AX182" s="77">
        <f t="shared" ref="AX182:AX197" si="857">COUNTIF($M$182:$M$197,AW182)*$D$19</f>
        <v>0</v>
      </c>
      <c r="AY182" s="64"/>
      <c r="AZ182" s="76" t="s">
        <v>1260</v>
      </c>
      <c r="BA182" s="77">
        <f t="shared" ref="BA182:BA197" si="858">COUNTIF($M$182:$M$197,AZ182)*$D$19</f>
        <v>0</v>
      </c>
      <c r="BB182" s="64"/>
      <c r="BC182" s="76" t="s">
        <v>1265</v>
      </c>
      <c r="BD182" s="77">
        <f t="shared" ref="BD182:BD197" si="859">COUNTIF($M$182:$M$197,BC182)*$D$19</f>
        <v>0</v>
      </c>
      <c r="BE182" s="64"/>
      <c r="BF182" s="76" t="s">
        <v>1259</v>
      </c>
      <c r="BG182" s="77">
        <f t="shared" ref="BG182:BG197" si="860">COUNTIF($M$182:$M$197,BF182)*$D$19</f>
        <v>0</v>
      </c>
      <c r="BH182" s="64"/>
      <c r="BI182" s="76" t="s">
        <v>1843</v>
      </c>
      <c r="BJ182" s="77">
        <f t="shared" ref="BJ182:BJ197" si="861">COUNTIF($M$182:$M$197,BI182)*$D$19</f>
        <v>0</v>
      </c>
      <c r="BK182" s="64"/>
      <c r="BL182" s="76" t="s">
        <v>1259</v>
      </c>
      <c r="BM182" s="77">
        <f t="shared" ref="BM182:BM197" si="862">COUNTIF($M$182:$M$197,BL182)*$D$19</f>
        <v>0</v>
      </c>
      <c r="BN182" s="64"/>
      <c r="BO182" s="76" t="s">
        <v>1260</v>
      </c>
      <c r="BP182" s="77">
        <f t="shared" ref="BP182:BP197" si="863">COUNTIF($M$182:$M$197,BO182)*$D$19</f>
        <v>0</v>
      </c>
      <c r="BQ182" s="64"/>
      <c r="BR182" s="76" t="s">
        <v>1841</v>
      </c>
      <c r="BS182" s="77">
        <f t="shared" ref="BS182:BS197" si="864">COUNTIF($M$182:$M$197,BR182)*$D$19</f>
        <v>0</v>
      </c>
      <c r="BT182" s="64"/>
      <c r="BU182" s="76" t="s">
        <v>1265</v>
      </c>
      <c r="BV182" s="77">
        <f t="shared" ref="BV182:BV197" si="865">COUNTIF($M$182:$M$197,BU182)*$D$19</f>
        <v>0</v>
      </c>
      <c r="BW182" s="64"/>
      <c r="BX182" s="76" t="s">
        <v>1260</v>
      </c>
      <c r="BY182" s="77">
        <f t="shared" ref="BY182:BY197" si="866">COUNTIF($M$182:$M$197,BX182)*$D$19</f>
        <v>0</v>
      </c>
      <c r="BZ182" s="64"/>
      <c r="CA182" s="76" t="s">
        <v>1259</v>
      </c>
      <c r="CB182" s="77">
        <f t="shared" ref="CB182:CB197" si="867">COUNTIF($M$182:$M$197,CA182)*$D$19</f>
        <v>0</v>
      </c>
      <c r="CC182" s="64"/>
      <c r="CD182" s="76" t="s">
        <v>1260</v>
      </c>
      <c r="CE182" s="77">
        <f t="shared" ref="CE182:CE197" si="868">COUNTIF($M$182:$M$197,CD182)*$D$19</f>
        <v>0</v>
      </c>
      <c r="CF182" s="64"/>
      <c r="CG182" s="76" t="s">
        <v>75</v>
      </c>
      <c r="CH182" s="77">
        <f t="shared" ref="CH182:CH197" si="869">COUNTIF($M$182:$M$197,CG182)*$D$19</f>
        <v>0</v>
      </c>
      <c r="CI182" s="64"/>
      <c r="CJ182" s="76" t="s">
        <v>1260</v>
      </c>
      <c r="CK182" s="77">
        <f t="shared" ref="CK182:CK197" si="870">COUNTIF($M$182:$M$197,CJ182)*$D$19</f>
        <v>0</v>
      </c>
      <c r="CL182" s="64"/>
      <c r="CM182" s="76" t="s">
        <v>1260</v>
      </c>
      <c r="CN182" s="77">
        <f t="shared" ref="CN182:CN197" si="871">COUNTIF($M$182:$M$197,CM182)*$D$19</f>
        <v>0</v>
      </c>
      <c r="CO182" s="64"/>
      <c r="CP182" s="76" t="s">
        <v>1259</v>
      </c>
      <c r="CQ182" s="77">
        <f t="shared" ref="CQ182:CQ197" si="872">COUNTIF($M$182:$M$197,CP182)*$D$19</f>
        <v>0</v>
      </c>
      <c r="CR182" s="64"/>
      <c r="CS182" s="76" t="s">
        <v>1259</v>
      </c>
      <c r="CT182" s="77">
        <f t="shared" ref="CT182:CT197" si="873">COUNTIF($M$182:$M$197,CS182)*$D$19</f>
        <v>0</v>
      </c>
      <c r="CU182" s="64"/>
      <c r="CV182" s="76" t="s">
        <v>1260</v>
      </c>
      <c r="CW182" s="77">
        <f t="shared" ref="CW182:CW197" si="874">COUNTIF($M$182:$M$197,CV182)*$D$19</f>
        <v>0</v>
      </c>
      <c r="CX182" s="64"/>
      <c r="CY182" s="76" t="s">
        <v>1841</v>
      </c>
      <c r="CZ182" s="77">
        <f t="shared" ref="CZ182:CZ197" si="875">COUNTIF($M$182:$M$197,CY182)*$D$19</f>
        <v>0</v>
      </c>
      <c r="DA182" s="64"/>
      <c r="DB182" s="76" t="s">
        <v>1843</v>
      </c>
      <c r="DC182" s="77">
        <f t="shared" ref="DC182:DC197" si="876">COUNTIF($M$182:$M$197,DB182)*$D$19</f>
        <v>0</v>
      </c>
      <c r="DD182" s="64"/>
      <c r="DE182" s="76" t="s">
        <v>1259</v>
      </c>
      <c r="DF182" s="77">
        <f t="shared" ref="DF182:DF197" si="877">COUNTIF($M$182:$M$197,DE182)*$D$19</f>
        <v>0</v>
      </c>
      <c r="DG182" s="64"/>
      <c r="DH182" s="76" t="s">
        <v>1259</v>
      </c>
      <c r="DI182" s="77">
        <f t="shared" ref="DI182:DI197" si="878">COUNTIF($M$182:$M$197,DH182)*$D$19</f>
        <v>0</v>
      </c>
      <c r="DJ182" s="64"/>
      <c r="DK182" s="76" t="s">
        <v>1265</v>
      </c>
      <c r="DL182" s="77">
        <f t="shared" ref="DL182:DL197" si="879">COUNTIF($M$182:$M$197,DK182)*$D$19</f>
        <v>0</v>
      </c>
      <c r="DM182" s="64"/>
      <c r="DN182" s="795" t="s">
        <v>1841</v>
      </c>
      <c r="DO182" s="77">
        <f t="shared" ref="DO182:DO197" si="880">COUNTIF($M$182:$M$197,DN182)*$D$19</f>
        <v>0</v>
      </c>
      <c r="DP182" s="64"/>
      <c r="DQ182" s="795" t="s">
        <v>1843</v>
      </c>
      <c r="DR182" s="77">
        <f t="shared" ref="DR182:DR197" si="881">COUNTIF($M$182:$M$197,DQ182)*$D$19</f>
        <v>0</v>
      </c>
      <c r="DS182" s="64"/>
      <c r="DT182" s="76" t="s">
        <v>1259</v>
      </c>
      <c r="DU182" s="77">
        <f t="shared" ref="DU182:DU197" si="882">COUNTIF($M$182:$M$197,DT182)*$D$19</f>
        <v>0</v>
      </c>
      <c r="DV182" s="64"/>
      <c r="DW182" s="76" t="s">
        <v>1260</v>
      </c>
      <c r="DX182" s="77">
        <f t="shared" ref="DX182:DX197" si="883">COUNTIF($M$182:$M$197,DW182)*$D$19</f>
        <v>0</v>
      </c>
      <c r="DY182" s="64"/>
      <c r="DZ182" s="76" t="s">
        <v>75</v>
      </c>
      <c r="EA182" s="77">
        <f t="shared" ref="EA182:EA197" si="884">COUNTIF($M$182:$M$197,DZ182)*$D$19</f>
        <v>0</v>
      </c>
      <c r="EB182" s="64"/>
      <c r="EC182" s="76" t="s">
        <v>1843</v>
      </c>
      <c r="ED182" s="77">
        <f t="shared" ref="ED182:ED197" si="885">COUNTIF($M$182:$M$197,EC182)*$D$19</f>
        <v>0</v>
      </c>
      <c r="EE182" s="64"/>
      <c r="EF182" s="76" t="s">
        <v>1260</v>
      </c>
      <c r="EG182" s="77">
        <f t="shared" ref="EG182:EG197" si="886">COUNTIF($M$182:$M$197,EF182)*$D$19</f>
        <v>0</v>
      </c>
      <c r="EH182" s="64"/>
      <c r="EI182" s="76"/>
      <c r="EJ182" s="77">
        <f t="shared" ref="EJ182:EJ197" si="887">COUNTIF($M$182:$M$197,EI182)*$D$19</f>
        <v>0</v>
      </c>
      <c r="EK182" s="64"/>
      <c r="EL182" s="76"/>
      <c r="EM182" s="77">
        <f t="shared" ref="EM182:EM197" si="888">COUNTIF($M$182:$M$197,EL182)*$D$19</f>
        <v>0</v>
      </c>
      <c r="EN182" s="64"/>
      <c r="EO182" s="76"/>
      <c r="EP182" s="77">
        <f t="shared" ref="EP182:EP197" si="889">COUNTIF($M$182:$M$197,EO182)*$D$19</f>
        <v>0</v>
      </c>
      <c r="EQ182" s="64"/>
      <c r="ER182" s="76"/>
      <c r="ES182" s="77">
        <f t="shared" ref="ES182:ES197" si="890">COUNTIF($M$182:$M$197,ER182)*$D$19</f>
        <v>0</v>
      </c>
      <c r="ET182" s="64"/>
      <c r="EU182" s="76"/>
      <c r="EV182" s="77">
        <f t="shared" ref="EV182:EV197" si="891">COUNTIF($M$182:$M$197,EU182)*$D$19</f>
        <v>0</v>
      </c>
      <c r="EW182" s="64"/>
      <c r="EX182" s="76"/>
      <c r="EY182" s="77">
        <f t="shared" ref="EY182:EY197" si="892">COUNTIF($M$182:$M$197,EX182)*$D$19</f>
        <v>0</v>
      </c>
      <c r="EZ182" s="64"/>
      <c r="FA182" s="76"/>
      <c r="FB182" s="77">
        <f t="shared" ref="FB182:FB197" si="893">COUNTIF($M$182:$M$197,FA182)*$D$19</f>
        <v>0</v>
      </c>
      <c r="FC182" s="64"/>
      <c r="FD182" s="76"/>
      <c r="FE182" s="77">
        <f t="shared" ref="FE182:FE197" si="894">COUNTIF($M$182:$M$197,FD182)*$D$19</f>
        <v>0</v>
      </c>
      <c r="FF182" s="64"/>
      <c r="FG182" s="76"/>
      <c r="FH182" s="77">
        <f t="shared" ref="FH182:FH197" si="895">COUNTIF($M$182:$M$197,FG182)*$D$19</f>
        <v>0</v>
      </c>
      <c r="FI182" s="64"/>
      <c r="FJ182" s="76"/>
      <c r="FK182" s="77">
        <f t="shared" ref="FK182:FK197"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49"/>
      <c r="K183" s="56" t="str">
        <f>Idiomas!$D$199&amp;"-"&amp;ROWS($L$182:L183)</f>
        <v>Octavofinalista-2</v>
      </c>
      <c r="L183" s="53"/>
      <c r="M183" s="55" t="str">
        <f>WORLDCUP!AA121</f>
        <v>W74</v>
      </c>
      <c r="N183" s="25"/>
      <c r="O183" s="25"/>
      <c r="P183" s="25"/>
      <c r="Q183" s="25"/>
      <c r="R183" s="110"/>
      <c r="S183" s="74" t="s">
        <v>77</v>
      </c>
      <c r="T183" s="73">
        <f t="shared" si="847"/>
        <v>0</v>
      </c>
      <c r="U183" s="64"/>
      <c r="V183" s="74" t="s">
        <v>77</v>
      </c>
      <c r="W183" s="73">
        <f t="shared" si="848"/>
        <v>0</v>
      </c>
      <c r="X183" s="64"/>
      <c r="Y183" s="74" t="s">
        <v>77</v>
      </c>
      <c r="Z183" s="73">
        <f t="shared" si="849"/>
        <v>0</v>
      </c>
      <c r="AA183" s="64"/>
      <c r="AB183" s="74" t="s">
        <v>77</v>
      </c>
      <c r="AC183" s="73">
        <f t="shared" si="850"/>
        <v>0</v>
      </c>
      <c r="AD183" s="64"/>
      <c r="AE183" s="74" t="s">
        <v>1319</v>
      </c>
      <c r="AF183" s="73">
        <f t="shared" si="851"/>
        <v>0</v>
      </c>
      <c r="AG183" s="64"/>
      <c r="AH183" s="74" t="s">
        <v>77</v>
      </c>
      <c r="AI183" s="73">
        <f t="shared" si="852"/>
        <v>0</v>
      </c>
      <c r="AJ183" s="64"/>
      <c r="AK183" s="74" t="s">
        <v>77</v>
      </c>
      <c r="AL183" s="73">
        <f t="shared" si="853"/>
        <v>0</v>
      </c>
      <c r="AM183" s="64"/>
      <c r="AN183" s="74" t="s">
        <v>77</v>
      </c>
      <c r="AO183" s="73">
        <f t="shared" si="854"/>
        <v>0</v>
      </c>
      <c r="AP183" s="64"/>
      <c r="AQ183" s="74" t="s">
        <v>77</v>
      </c>
      <c r="AR183" s="73">
        <f t="shared" si="855"/>
        <v>0</v>
      </c>
      <c r="AS183" s="64"/>
      <c r="AT183" s="74" t="s">
        <v>77</v>
      </c>
      <c r="AU183" s="73">
        <f t="shared" si="856"/>
        <v>0</v>
      </c>
      <c r="AV183" s="64"/>
      <c r="AW183" s="74" t="s">
        <v>77</v>
      </c>
      <c r="AX183" s="73">
        <f t="shared" si="857"/>
        <v>0</v>
      </c>
      <c r="AY183" s="64"/>
      <c r="AZ183" s="74" t="s">
        <v>77</v>
      </c>
      <c r="BA183" s="73">
        <f t="shared" si="858"/>
        <v>0</v>
      </c>
      <c r="BB183" s="64"/>
      <c r="BC183" s="74" t="s">
        <v>77</v>
      </c>
      <c r="BD183" s="73">
        <f t="shared" si="859"/>
        <v>0</v>
      </c>
      <c r="BE183" s="64"/>
      <c r="BF183" s="74" t="s">
        <v>77</v>
      </c>
      <c r="BG183" s="73">
        <f t="shared" si="860"/>
        <v>0</v>
      </c>
      <c r="BH183" s="64"/>
      <c r="BI183" s="74" t="s">
        <v>77</v>
      </c>
      <c r="BJ183" s="73">
        <f t="shared" si="861"/>
        <v>0</v>
      </c>
      <c r="BK183" s="64"/>
      <c r="BL183" s="74" t="s">
        <v>77</v>
      </c>
      <c r="BM183" s="73">
        <f t="shared" si="862"/>
        <v>0</v>
      </c>
      <c r="BN183" s="64"/>
      <c r="BO183" s="74" t="s">
        <v>77</v>
      </c>
      <c r="BP183" s="73">
        <f t="shared" si="863"/>
        <v>0</v>
      </c>
      <c r="BQ183" s="64"/>
      <c r="BR183" s="74" t="s">
        <v>77</v>
      </c>
      <c r="BS183" s="73">
        <f t="shared" si="864"/>
        <v>0</v>
      </c>
      <c r="BT183" s="64"/>
      <c r="BU183" s="74" t="s">
        <v>77</v>
      </c>
      <c r="BV183" s="73">
        <f t="shared" si="865"/>
        <v>0</v>
      </c>
      <c r="BW183" s="64"/>
      <c r="BX183" s="74" t="s">
        <v>77</v>
      </c>
      <c r="BY183" s="73">
        <f t="shared" si="866"/>
        <v>0</v>
      </c>
      <c r="BZ183" s="64"/>
      <c r="CA183" s="74" t="s">
        <v>77</v>
      </c>
      <c r="CB183" s="73">
        <f t="shared" si="867"/>
        <v>0</v>
      </c>
      <c r="CC183" s="64"/>
      <c r="CD183" s="74" t="s">
        <v>77</v>
      </c>
      <c r="CE183" s="73">
        <f t="shared" si="868"/>
        <v>0</v>
      </c>
      <c r="CF183" s="64"/>
      <c r="CG183" s="74" t="s">
        <v>77</v>
      </c>
      <c r="CH183" s="73">
        <f t="shared" si="869"/>
        <v>0</v>
      </c>
      <c r="CI183" s="64"/>
      <c r="CJ183" s="74" t="s">
        <v>77</v>
      </c>
      <c r="CK183" s="73">
        <f t="shared" si="870"/>
        <v>0</v>
      </c>
      <c r="CL183" s="64"/>
      <c r="CM183" s="74" t="s">
        <v>77</v>
      </c>
      <c r="CN183" s="73">
        <f t="shared" si="871"/>
        <v>0</v>
      </c>
      <c r="CO183" s="64"/>
      <c r="CP183" s="74" t="s">
        <v>77</v>
      </c>
      <c r="CQ183" s="73">
        <f t="shared" si="872"/>
        <v>0</v>
      </c>
      <c r="CR183" s="64"/>
      <c r="CS183" s="74" t="s">
        <v>77</v>
      </c>
      <c r="CT183" s="73">
        <f t="shared" si="873"/>
        <v>0</v>
      </c>
      <c r="CU183" s="64"/>
      <c r="CV183" s="74" t="s">
        <v>77</v>
      </c>
      <c r="CW183" s="73">
        <f t="shared" si="874"/>
        <v>0</v>
      </c>
      <c r="CX183" s="64"/>
      <c r="CY183" s="74" t="s">
        <v>1261</v>
      </c>
      <c r="CZ183" s="73">
        <f t="shared" si="875"/>
        <v>0</v>
      </c>
      <c r="DA183" s="64"/>
      <c r="DB183" s="74" t="s">
        <v>77</v>
      </c>
      <c r="DC183" s="73">
        <f t="shared" si="876"/>
        <v>0</v>
      </c>
      <c r="DD183" s="64"/>
      <c r="DE183" s="74" t="s">
        <v>77</v>
      </c>
      <c r="DF183" s="73">
        <f t="shared" si="877"/>
        <v>0</v>
      </c>
      <c r="DG183" s="64"/>
      <c r="DH183" s="74" t="s">
        <v>77</v>
      </c>
      <c r="DI183" s="73">
        <f t="shared" si="878"/>
        <v>0</v>
      </c>
      <c r="DJ183" s="64"/>
      <c r="DK183" s="74" t="s">
        <v>77</v>
      </c>
      <c r="DL183" s="73">
        <f t="shared" si="879"/>
        <v>0</v>
      </c>
      <c r="DM183" s="64"/>
      <c r="DN183" s="795" t="s">
        <v>77</v>
      </c>
      <c r="DO183" s="73">
        <f t="shared" si="880"/>
        <v>0</v>
      </c>
      <c r="DP183" s="64"/>
      <c r="DQ183" s="795" t="s">
        <v>77</v>
      </c>
      <c r="DR183" s="73">
        <f t="shared" si="881"/>
        <v>0</v>
      </c>
      <c r="DS183" s="64"/>
      <c r="DT183" s="74" t="s">
        <v>77</v>
      </c>
      <c r="DU183" s="73">
        <f t="shared" si="882"/>
        <v>0</v>
      </c>
      <c r="DV183" s="64"/>
      <c r="DW183" s="74" t="s">
        <v>77</v>
      </c>
      <c r="DX183" s="73">
        <f t="shared" si="883"/>
        <v>0</v>
      </c>
      <c r="DY183" s="64"/>
      <c r="DZ183" s="74" t="s">
        <v>77</v>
      </c>
      <c r="EA183" s="73">
        <f t="shared" si="884"/>
        <v>0</v>
      </c>
      <c r="EB183" s="64"/>
      <c r="EC183" s="74" t="s">
        <v>77</v>
      </c>
      <c r="ED183" s="73">
        <f t="shared" si="885"/>
        <v>0</v>
      </c>
      <c r="EE183" s="64"/>
      <c r="EF183" s="74" t="s">
        <v>77</v>
      </c>
      <c r="EG183" s="73">
        <f t="shared" si="886"/>
        <v>0</v>
      </c>
      <c r="EH183" s="64"/>
      <c r="EI183" s="74"/>
      <c r="EJ183" s="73">
        <f t="shared" si="887"/>
        <v>0</v>
      </c>
      <c r="EK183" s="64"/>
      <c r="EL183" s="74"/>
      <c r="EM183" s="73">
        <f t="shared" si="888"/>
        <v>0</v>
      </c>
      <c r="EN183" s="64"/>
      <c r="EO183" s="74"/>
      <c r="EP183" s="73">
        <f t="shared" si="889"/>
        <v>0</v>
      </c>
      <c r="EQ183" s="64"/>
      <c r="ER183" s="74"/>
      <c r="ES183" s="73">
        <f t="shared" si="890"/>
        <v>0</v>
      </c>
      <c r="ET183" s="64"/>
      <c r="EU183" s="74"/>
      <c r="EV183" s="73">
        <f t="shared" si="891"/>
        <v>0</v>
      </c>
      <c r="EW183" s="64"/>
      <c r="EX183" s="74"/>
      <c r="EY183" s="73">
        <f t="shared" si="892"/>
        <v>0</v>
      </c>
      <c r="EZ183" s="64"/>
      <c r="FA183" s="74"/>
      <c r="FB183" s="73">
        <f t="shared" si="893"/>
        <v>0</v>
      </c>
      <c r="FC183" s="64"/>
      <c r="FD183" s="74"/>
      <c r="FE183" s="73">
        <f t="shared" si="894"/>
        <v>0</v>
      </c>
      <c r="FF183" s="64"/>
      <c r="FG183" s="74"/>
      <c r="FH183" s="73">
        <f t="shared" si="895"/>
        <v>0</v>
      </c>
      <c r="FI183" s="64"/>
      <c r="FJ183" s="74"/>
      <c r="FK183" s="73">
        <f t="shared"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49"/>
      <c r="K184" s="56" t="str">
        <f>Idiomas!$D$199&amp;"-"&amp;ROWS($L$182:L184)</f>
        <v>Octavofinalista-3</v>
      </c>
      <c r="L184" s="53"/>
      <c r="M184" s="55" t="str">
        <f>WORLDCUP!AA122</f>
        <v>W76</v>
      </c>
      <c r="N184" s="25"/>
      <c r="O184" s="25"/>
      <c r="P184" s="25"/>
      <c r="Q184" s="25"/>
      <c r="R184" s="110"/>
      <c r="S184" s="74" t="s">
        <v>1258</v>
      </c>
      <c r="T184" s="73">
        <f t="shared" si="847"/>
        <v>0</v>
      </c>
      <c r="U184" s="64"/>
      <c r="V184" s="74" t="s">
        <v>1258</v>
      </c>
      <c r="W184" s="73">
        <f t="shared" si="848"/>
        <v>0</v>
      </c>
      <c r="X184" s="64"/>
      <c r="Y184" s="74" t="s">
        <v>1258</v>
      </c>
      <c r="Z184" s="73">
        <f t="shared" si="849"/>
        <v>0</v>
      </c>
      <c r="AA184" s="64"/>
      <c r="AB184" s="74" t="s">
        <v>1258</v>
      </c>
      <c r="AC184" s="73">
        <f t="shared" si="850"/>
        <v>0</v>
      </c>
      <c r="AD184" s="64"/>
      <c r="AE184" s="74" t="s">
        <v>1258</v>
      </c>
      <c r="AF184" s="73">
        <f t="shared" si="851"/>
        <v>0</v>
      </c>
      <c r="AG184" s="64"/>
      <c r="AH184" s="74" t="s">
        <v>1321</v>
      </c>
      <c r="AI184" s="73">
        <f t="shared" si="852"/>
        <v>0</v>
      </c>
      <c r="AJ184" s="64"/>
      <c r="AK184" s="74" t="s">
        <v>1258</v>
      </c>
      <c r="AL184" s="73">
        <f t="shared" si="853"/>
        <v>0</v>
      </c>
      <c r="AM184" s="64"/>
      <c r="AN184" s="74" t="s">
        <v>1258</v>
      </c>
      <c r="AO184" s="73">
        <f t="shared" si="854"/>
        <v>0</v>
      </c>
      <c r="AP184" s="64"/>
      <c r="AQ184" s="74" t="s">
        <v>1258</v>
      </c>
      <c r="AR184" s="73">
        <f t="shared" si="855"/>
        <v>0</v>
      </c>
      <c r="AS184" s="64"/>
      <c r="AT184" s="74" t="s">
        <v>1258</v>
      </c>
      <c r="AU184" s="73">
        <f t="shared" si="856"/>
        <v>0</v>
      </c>
      <c r="AV184" s="64"/>
      <c r="AW184" s="74" t="s">
        <v>1258</v>
      </c>
      <c r="AX184" s="73">
        <f t="shared" si="857"/>
        <v>0</v>
      </c>
      <c r="AY184" s="64"/>
      <c r="AZ184" s="74" t="s">
        <v>1258</v>
      </c>
      <c r="BA184" s="73">
        <f t="shared" si="858"/>
        <v>0</v>
      </c>
      <c r="BB184" s="64"/>
      <c r="BC184" s="74" t="s">
        <v>1258</v>
      </c>
      <c r="BD184" s="73">
        <f t="shared" si="859"/>
        <v>0</v>
      </c>
      <c r="BE184" s="64"/>
      <c r="BF184" s="74" t="s">
        <v>1258</v>
      </c>
      <c r="BG184" s="73">
        <f t="shared" si="860"/>
        <v>0</v>
      </c>
      <c r="BH184" s="64"/>
      <c r="BI184" s="74" t="s">
        <v>1258</v>
      </c>
      <c r="BJ184" s="73">
        <f t="shared" si="861"/>
        <v>0</v>
      </c>
      <c r="BK184" s="64"/>
      <c r="BL184" s="74" t="s">
        <v>1258</v>
      </c>
      <c r="BM184" s="73">
        <f t="shared" si="862"/>
        <v>0</v>
      </c>
      <c r="BN184" s="64"/>
      <c r="BO184" s="74" t="s">
        <v>1258</v>
      </c>
      <c r="BP184" s="73">
        <f t="shared" si="863"/>
        <v>0</v>
      </c>
      <c r="BQ184" s="64"/>
      <c r="BR184" s="74" t="s">
        <v>1258</v>
      </c>
      <c r="BS184" s="73">
        <f t="shared" si="864"/>
        <v>0</v>
      </c>
      <c r="BT184" s="64"/>
      <c r="BU184" s="74" t="s">
        <v>1258</v>
      </c>
      <c r="BV184" s="73">
        <f t="shared" si="865"/>
        <v>0</v>
      </c>
      <c r="BW184" s="64"/>
      <c r="BX184" s="74" t="s">
        <v>1258</v>
      </c>
      <c r="BY184" s="73">
        <f t="shared" si="866"/>
        <v>0</v>
      </c>
      <c r="BZ184" s="64"/>
      <c r="CA184" s="74" t="s">
        <v>134</v>
      </c>
      <c r="CB184" s="73">
        <f t="shared" si="867"/>
        <v>0</v>
      </c>
      <c r="CC184" s="64"/>
      <c r="CD184" s="74" t="s">
        <v>1258</v>
      </c>
      <c r="CE184" s="73">
        <f t="shared" si="868"/>
        <v>0</v>
      </c>
      <c r="CF184" s="64"/>
      <c r="CG184" s="74" t="s">
        <v>1258</v>
      </c>
      <c r="CH184" s="73">
        <f t="shared" si="869"/>
        <v>0</v>
      </c>
      <c r="CI184" s="64"/>
      <c r="CJ184" s="74" t="s">
        <v>1258</v>
      </c>
      <c r="CK184" s="73">
        <f t="shared" si="870"/>
        <v>0</v>
      </c>
      <c r="CL184" s="64"/>
      <c r="CM184" s="74" t="s">
        <v>1258</v>
      </c>
      <c r="CN184" s="73">
        <f t="shared" si="871"/>
        <v>0</v>
      </c>
      <c r="CO184" s="64"/>
      <c r="CP184" s="74" t="s">
        <v>1258</v>
      </c>
      <c r="CQ184" s="73">
        <f t="shared" si="872"/>
        <v>0</v>
      </c>
      <c r="CR184" s="64"/>
      <c r="CS184" s="74" t="s">
        <v>1258</v>
      </c>
      <c r="CT184" s="73">
        <f t="shared" si="873"/>
        <v>0</v>
      </c>
      <c r="CU184" s="64"/>
      <c r="CV184" s="74" t="s">
        <v>1258</v>
      </c>
      <c r="CW184" s="73">
        <f t="shared" si="874"/>
        <v>0</v>
      </c>
      <c r="CX184" s="64"/>
      <c r="CY184" s="74" t="s">
        <v>1258</v>
      </c>
      <c r="CZ184" s="73">
        <f t="shared" si="875"/>
        <v>0</v>
      </c>
      <c r="DA184" s="64"/>
      <c r="DB184" s="74" t="s">
        <v>1258</v>
      </c>
      <c r="DC184" s="73">
        <f t="shared" si="876"/>
        <v>0</v>
      </c>
      <c r="DD184" s="64"/>
      <c r="DE184" s="74" t="s">
        <v>1258</v>
      </c>
      <c r="DF184" s="73">
        <f t="shared" si="877"/>
        <v>0</v>
      </c>
      <c r="DG184" s="64"/>
      <c r="DH184" s="74" t="s">
        <v>1258</v>
      </c>
      <c r="DI184" s="73">
        <f t="shared" si="878"/>
        <v>0</v>
      </c>
      <c r="DJ184" s="64"/>
      <c r="DK184" s="74" t="s">
        <v>1321</v>
      </c>
      <c r="DL184" s="73">
        <f t="shared" si="879"/>
        <v>0</v>
      </c>
      <c r="DM184" s="64"/>
      <c r="DN184" s="795" t="s">
        <v>1258</v>
      </c>
      <c r="DO184" s="73">
        <f t="shared" si="880"/>
        <v>0</v>
      </c>
      <c r="DP184" s="64"/>
      <c r="DQ184" s="795" t="s">
        <v>111</v>
      </c>
      <c r="DR184" s="73">
        <f t="shared" si="881"/>
        <v>0</v>
      </c>
      <c r="DS184" s="64"/>
      <c r="DT184" s="74" t="s">
        <v>1321</v>
      </c>
      <c r="DU184" s="73">
        <f t="shared" si="882"/>
        <v>0</v>
      </c>
      <c r="DV184" s="64"/>
      <c r="DW184" s="74" t="s">
        <v>1258</v>
      </c>
      <c r="DX184" s="73">
        <f t="shared" si="883"/>
        <v>0</v>
      </c>
      <c r="DY184" s="64"/>
      <c r="DZ184" s="74" t="s">
        <v>1258</v>
      </c>
      <c r="EA184" s="73">
        <f t="shared" si="884"/>
        <v>0</v>
      </c>
      <c r="EB184" s="64"/>
      <c r="EC184" s="74" t="s">
        <v>1258</v>
      </c>
      <c r="ED184" s="73">
        <f t="shared" si="885"/>
        <v>0</v>
      </c>
      <c r="EE184" s="64"/>
      <c r="EF184" s="74" t="s">
        <v>1258</v>
      </c>
      <c r="EG184" s="73">
        <f t="shared" si="886"/>
        <v>0</v>
      </c>
      <c r="EH184" s="64"/>
      <c r="EI184" s="74"/>
      <c r="EJ184" s="73">
        <f t="shared" si="887"/>
        <v>0</v>
      </c>
      <c r="EK184" s="64"/>
      <c r="EL184" s="74"/>
      <c r="EM184" s="73">
        <f t="shared" si="888"/>
        <v>0</v>
      </c>
      <c r="EN184" s="64"/>
      <c r="EO184" s="74"/>
      <c r="EP184" s="73">
        <f t="shared" si="889"/>
        <v>0</v>
      </c>
      <c r="EQ184" s="64"/>
      <c r="ER184" s="74"/>
      <c r="ES184" s="73">
        <f t="shared" si="890"/>
        <v>0</v>
      </c>
      <c r="ET184" s="64"/>
      <c r="EU184" s="74"/>
      <c r="EV184" s="73">
        <f t="shared" si="891"/>
        <v>0</v>
      </c>
      <c r="EW184" s="64"/>
      <c r="EX184" s="74"/>
      <c r="EY184" s="73">
        <f t="shared" si="892"/>
        <v>0</v>
      </c>
      <c r="EZ184" s="64"/>
      <c r="FA184" s="74"/>
      <c r="FB184" s="73">
        <f t="shared" si="893"/>
        <v>0</v>
      </c>
      <c r="FC184" s="64"/>
      <c r="FD184" s="74"/>
      <c r="FE184" s="73">
        <f t="shared" si="894"/>
        <v>0</v>
      </c>
      <c r="FF184" s="64"/>
      <c r="FG184" s="74"/>
      <c r="FH184" s="73">
        <f t="shared" si="895"/>
        <v>0</v>
      </c>
      <c r="FI184" s="64"/>
      <c r="FJ184" s="74"/>
      <c r="FK184" s="73">
        <f t="shared"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49"/>
      <c r="K185" s="56" t="str">
        <f>Idiomas!$D$199&amp;"-"&amp;ROWS($L$182:L185)</f>
        <v>Octavofinalista-4</v>
      </c>
      <c r="L185" s="53"/>
      <c r="M185" s="55" t="str">
        <f>WORLDCUP!AA123</f>
        <v>W79</v>
      </c>
      <c r="N185" s="25"/>
      <c r="O185" s="25"/>
      <c r="P185" s="25"/>
      <c r="Q185" s="25"/>
      <c r="R185" s="110"/>
      <c r="S185" s="74" t="s">
        <v>1265</v>
      </c>
      <c r="T185" s="73">
        <f t="shared" si="847"/>
        <v>0</v>
      </c>
      <c r="U185" s="64"/>
      <c r="V185" s="74" t="s">
        <v>1633</v>
      </c>
      <c r="W185" s="73">
        <f t="shared" si="848"/>
        <v>0</v>
      </c>
      <c r="X185" s="64"/>
      <c r="Y185" s="74" t="s">
        <v>1265</v>
      </c>
      <c r="Z185" s="73">
        <f t="shared" si="849"/>
        <v>0</v>
      </c>
      <c r="AA185" s="64"/>
      <c r="AB185" s="74" t="s">
        <v>1265</v>
      </c>
      <c r="AC185" s="73">
        <f t="shared" si="850"/>
        <v>0</v>
      </c>
      <c r="AD185" s="64"/>
      <c r="AE185" s="74" t="s">
        <v>1265</v>
      </c>
      <c r="AF185" s="73">
        <f t="shared" si="851"/>
        <v>0</v>
      </c>
      <c r="AG185" s="64"/>
      <c r="AH185" s="74" t="s">
        <v>1265</v>
      </c>
      <c r="AI185" s="73">
        <f t="shared" si="852"/>
        <v>0</v>
      </c>
      <c r="AJ185" s="64"/>
      <c r="AK185" s="74" t="s">
        <v>134</v>
      </c>
      <c r="AL185" s="73">
        <f t="shared" si="853"/>
        <v>0</v>
      </c>
      <c r="AM185" s="64"/>
      <c r="AN185" s="74" t="s">
        <v>1261</v>
      </c>
      <c r="AO185" s="73">
        <f t="shared" si="854"/>
        <v>0</v>
      </c>
      <c r="AP185" s="64"/>
      <c r="AQ185" s="74" t="s">
        <v>1265</v>
      </c>
      <c r="AR185" s="73">
        <f t="shared" si="855"/>
        <v>0</v>
      </c>
      <c r="AS185" s="64"/>
      <c r="AT185" s="74" t="s">
        <v>1265</v>
      </c>
      <c r="AU185" s="73">
        <f t="shared" si="856"/>
        <v>0</v>
      </c>
      <c r="AV185" s="64"/>
      <c r="AW185" s="74" t="s">
        <v>1261</v>
      </c>
      <c r="AX185" s="73">
        <f t="shared" si="857"/>
        <v>0</v>
      </c>
      <c r="AY185" s="64"/>
      <c r="AZ185" s="74" t="s">
        <v>1633</v>
      </c>
      <c r="BA185" s="73">
        <f t="shared" si="858"/>
        <v>0</v>
      </c>
      <c r="BB185" s="64"/>
      <c r="BC185" s="74" t="s">
        <v>134</v>
      </c>
      <c r="BD185" s="73">
        <f t="shared" si="859"/>
        <v>0</v>
      </c>
      <c r="BE185" s="64"/>
      <c r="BF185" s="74" t="s">
        <v>1265</v>
      </c>
      <c r="BG185" s="73">
        <f t="shared" si="860"/>
        <v>0</v>
      </c>
      <c r="BH185" s="64"/>
      <c r="BI185" s="74" t="s">
        <v>1265</v>
      </c>
      <c r="BJ185" s="73">
        <f t="shared" si="861"/>
        <v>0</v>
      </c>
      <c r="BK185" s="64"/>
      <c r="BL185" s="74" t="s">
        <v>1265</v>
      </c>
      <c r="BM185" s="73">
        <f t="shared" si="862"/>
        <v>0</v>
      </c>
      <c r="BN185" s="64"/>
      <c r="BO185" s="74" t="s">
        <v>1265</v>
      </c>
      <c r="BP185" s="73">
        <f t="shared" si="863"/>
        <v>0</v>
      </c>
      <c r="BQ185" s="64"/>
      <c r="BR185" s="74" t="s">
        <v>1265</v>
      </c>
      <c r="BS185" s="73">
        <f t="shared" si="864"/>
        <v>0</v>
      </c>
      <c r="BT185" s="64"/>
      <c r="BU185" s="74" t="s">
        <v>1260</v>
      </c>
      <c r="BV185" s="73">
        <f t="shared" si="865"/>
        <v>0</v>
      </c>
      <c r="BW185" s="64"/>
      <c r="BX185" s="74" t="s">
        <v>1265</v>
      </c>
      <c r="BY185" s="73">
        <f t="shared" si="866"/>
        <v>0</v>
      </c>
      <c r="BZ185" s="64"/>
      <c r="CA185" s="74" t="s">
        <v>1260</v>
      </c>
      <c r="CB185" s="73">
        <f t="shared" si="867"/>
        <v>0</v>
      </c>
      <c r="CC185" s="64"/>
      <c r="CD185" s="74" t="s">
        <v>1265</v>
      </c>
      <c r="CE185" s="73">
        <f t="shared" si="868"/>
        <v>0</v>
      </c>
      <c r="CF185" s="64"/>
      <c r="CG185" s="74" t="s">
        <v>1265</v>
      </c>
      <c r="CH185" s="73">
        <f t="shared" si="869"/>
        <v>0</v>
      </c>
      <c r="CI185" s="64"/>
      <c r="CJ185" s="74" t="s">
        <v>1265</v>
      </c>
      <c r="CK185" s="73">
        <f t="shared" si="870"/>
        <v>0</v>
      </c>
      <c r="CL185" s="64"/>
      <c r="CM185" s="74" t="s">
        <v>1265</v>
      </c>
      <c r="CN185" s="73">
        <f t="shared" si="871"/>
        <v>0</v>
      </c>
      <c r="CO185" s="64"/>
      <c r="CP185" s="74" t="s">
        <v>1265</v>
      </c>
      <c r="CQ185" s="73">
        <f t="shared" si="872"/>
        <v>0</v>
      </c>
      <c r="CR185" s="64"/>
      <c r="CS185" s="74" t="s">
        <v>1265</v>
      </c>
      <c r="CT185" s="73">
        <f t="shared" si="873"/>
        <v>0</v>
      </c>
      <c r="CU185" s="64"/>
      <c r="CV185" s="74" t="s">
        <v>1265</v>
      </c>
      <c r="CW185" s="73">
        <f t="shared" si="874"/>
        <v>0</v>
      </c>
      <c r="CX185" s="64"/>
      <c r="CY185" s="74" t="s">
        <v>1265</v>
      </c>
      <c r="CZ185" s="73">
        <f t="shared" si="875"/>
        <v>0</v>
      </c>
      <c r="DA185" s="64"/>
      <c r="DB185" s="74" t="s">
        <v>1265</v>
      </c>
      <c r="DC185" s="73">
        <f t="shared" si="876"/>
        <v>0</v>
      </c>
      <c r="DD185" s="64"/>
      <c r="DE185" s="74" t="s">
        <v>1265</v>
      </c>
      <c r="DF185" s="73">
        <f t="shared" si="877"/>
        <v>0</v>
      </c>
      <c r="DG185" s="64"/>
      <c r="DH185" s="74" t="s">
        <v>1260</v>
      </c>
      <c r="DI185" s="73">
        <f t="shared" si="878"/>
        <v>0</v>
      </c>
      <c r="DJ185" s="64"/>
      <c r="DK185" s="74" t="s">
        <v>1633</v>
      </c>
      <c r="DL185" s="73">
        <f t="shared" si="879"/>
        <v>0</v>
      </c>
      <c r="DM185" s="64"/>
      <c r="DN185" s="795" t="s">
        <v>1265</v>
      </c>
      <c r="DO185" s="73">
        <f t="shared" si="880"/>
        <v>0</v>
      </c>
      <c r="DP185" s="64"/>
      <c r="DQ185" s="795" t="s">
        <v>1633</v>
      </c>
      <c r="DR185" s="73">
        <f t="shared" si="881"/>
        <v>0</v>
      </c>
      <c r="DS185" s="64"/>
      <c r="DT185" s="74" t="s">
        <v>1258</v>
      </c>
      <c r="DU185" s="73">
        <f t="shared" si="882"/>
        <v>0</v>
      </c>
      <c r="DV185" s="64"/>
      <c r="DW185" s="74" t="s">
        <v>1265</v>
      </c>
      <c r="DX185" s="73">
        <f t="shared" si="883"/>
        <v>0</v>
      </c>
      <c r="DY185" s="64"/>
      <c r="DZ185" s="74" t="s">
        <v>1265</v>
      </c>
      <c r="EA185" s="73">
        <f t="shared" si="884"/>
        <v>0</v>
      </c>
      <c r="EB185" s="64"/>
      <c r="EC185" s="74" t="s">
        <v>1265</v>
      </c>
      <c r="ED185" s="73">
        <f t="shared" si="885"/>
        <v>0</v>
      </c>
      <c r="EE185" s="64"/>
      <c r="EF185" s="74" t="s">
        <v>1265</v>
      </c>
      <c r="EG185" s="73">
        <f t="shared" si="886"/>
        <v>0</v>
      </c>
      <c r="EH185" s="64"/>
      <c r="EI185" s="74"/>
      <c r="EJ185" s="73">
        <f t="shared" si="887"/>
        <v>0</v>
      </c>
      <c r="EK185" s="64"/>
      <c r="EL185" s="74"/>
      <c r="EM185" s="73">
        <f t="shared" si="888"/>
        <v>0</v>
      </c>
      <c r="EN185" s="64"/>
      <c r="EO185" s="74"/>
      <c r="EP185" s="73">
        <f t="shared" si="889"/>
        <v>0</v>
      </c>
      <c r="EQ185" s="64"/>
      <c r="ER185" s="74"/>
      <c r="ES185" s="73">
        <f t="shared" si="890"/>
        <v>0</v>
      </c>
      <c r="ET185" s="64"/>
      <c r="EU185" s="74"/>
      <c r="EV185" s="73">
        <f t="shared" si="891"/>
        <v>0</v>
      </c>
      <c r="EW185" s="64"/>
      <c r="EX185" s="74"/>
      <c r="EY185" s="73">
        <f t="shared" si="892"/>
        <v>0</v>
      </c>
      <c r="EZ185" s="64"/>
      <c r="FA185" s="74"/>
      <c r="FB185" s="73">
        <f t="shared" si="893"/>
        <v>0</v>
      </c>
      <c r="FC185" s="64"/>
      <c r="FD185" s="74"/>
      <c r="FE185" s="73">
        <f t="shared" si="894"/>
        <v>0</v>
      </c>
      <c r="FF185" s="64"/>
      <c r="FG185" s="74"/>
      <c r="FH185" s="73">
        <f t="shared" si="895"/>
        <v>0</v>
      </c>
      <c r="FI185" s="64"/>
      <c r="FJ185" s="74"/>
      <c r="FK185" s="73">
        <f t="shared"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49"/>
      <c r="K186" s="56" t="str">
        <f>Idiomas!$D$199&amp;"-"&amp;ROWS($L$182:L186)</f>
        <v>Octavofinalista-5</v>
      </c>
      <c r="L186" s="53"/>
      <c r="M186" s="55" t="str">
        <f>WORLDCUP!AA124</f>
        <v>W83</v>
      </c>
      <c r="N186" s="25"/>
      <c r="O186" s="25"/>
      <c r="P186" s="25"/>
      <c r="Q186" s="25"/>
      <c r="R186" s="110"/>
      <c r="S186" s="74" t="s">
        <v>79</v>
      </c>
      <c r="T186" s="73">
        <f t="shared" si="847"/>
        <v>0</v>
      </c>
      <c r="U186" s="64"/>
      <c r="V186" s="74" t="s">
        <v>78</v>
      </c>
      <c r="W186" s="73">
        <f t="shared" si="848"/>
        <v>0</v>
      </c>
      <c r="X186" s="64"/>
      <c r="Y186" s="74" t="s">
        <v>1320</v>
      </c>
      <c r="Z186" s="73">
        <f t="shared" si="849"/>
        <v>0</v>
      </c>
      <c r="AA186" s="64"/>
      <c r="AB186" s="74" t="s">
        <v>1320</v>
      </c>
      <c r="AC186" s="73">
        <f t="shared" si="850"/>
        <v>0</v>
      </c>
      <c r="AD186" s="64"/>
      <c r="AE186" s="74" t="s">
        <v>78</v>
      </c>
      <c r="AF186" s="73">
        <f t="shared" si="851"/>
        <v>0</v>
      </c>
      <c r="AG186" s="64"/>
      <c r="AH186" s="74" t="s">
        <v>76</v>
      </c>
      <c r="AI186" s="73">
        <f t="shared" si="852"/>
        <v>0</v>
      </c>
      <c r="AJ186" s="64"/>
      <c r="AK186" s="74" t="s">
        <v>1320</v>
      </c>
      <c r="AL186" s="73">
        <f t="shared" si="853"/>
        <v>0</v>
      </c>
      <c r="AM186" s="64"/>
      <c r="AN186" s="74" t="s">
        <v>1320</v>
      </c>
      <c r="AO186" s="73">
        <f t="shared" si="854"/>
        <v>0</v>
      </c>
      <c r="AP186" s="64"/>
      <c r="AQ186" s="74" t="s">
        <v>1320</v>
      </c>
      <c r="AR186" s="73">
        <f t="shared" si="855"/>
        <v>0</v>
      </c>
      <c r="AS186" s="64"/>
      <c r="AT186" s="74" t="s">
        <v>1320</v>
      </c>
      <c r="AU186" s="73">
        <f t="shared" si="856"/>
        <v>0</v>
      </c>
      <c r="AV186" s="64"/>
      <c r="AW186" s="74" t="s">
        <v>1551</v>
      </c>
      <c r="AX186" s="73">
        <f t="shared" si="857"/>
        <v>0</v>
      </c>
      <c r="AY186" s="64"/>
      <c r="AZ186" s="74" t="s">
        <v>78</v>
      </c>
      <c r="BA186" s="73">
        <f t="shared" si="858"/>
        <v>0</v>
      </c>
      <c r="BB186" s="64"/>
      <c r="BC186" s="74" t="s">
        <v>76</v>
      </c>
      <c r="BD186" s="73">
        <f t="shared" si="859"/>
        <v>0</v>
      </c>
      <c r="BE186" s="64"/>
      <c r="BF186" s="74" t="s">
        <v>1320</v>
      </c>
      <c r="BG186" s="73">
        <f t="shared" si="860"/>
        <v>0</v>
      </c>
      <c r="BH186" s="64"/>
      <c r="BI186" s="74" t="s">
        <v>1320</v>
      </c>
      <c r="BJ186" s="73">
        <f t="shared" si="861"/>
        <v>0</v>
      </c>
      <c r="BK186" s="64"/>
      <c r="BL186" s="74" t="s">
        <v>1320</v>
      </c>
      <c r="BM186" s="73">
        <f t="shared" si="862"/>
        <v>0</v>
      </c>
      <c r="BN186" s="64"/>
      <c r="BO186" s="74" t="s">
        <v>78</v>
      </c>
      <c r="BP186" s="73">
        <f t="shared" si="863"/>
        <v>0</v>
      </c>
      <c r="BQ186" s="64"/>
      <c r="BR186" s="74" t="s">
        <v>1320</v>
      </c>
      <c r="BS186" s="73">
        <f t="shared" si="864"/>
        <v>0</v>
      </c>
      <c r="BT186" s="64"/>
      <c r="BU186" s="74" t="s">
        <v>1320</v>
      </c>
      <c r="BV186" s="73">
        <f t="shared" si="865"/>
        <v>0</v>
      </c>
      <c r="BW186" s="64"/>
      <c r="BX186" s="74" t="s">
        <v>79</v>
      </c>
      <c r="BY186" s="73">
        <f t="shared" si="866"/>
        <v>0</v>
      </c>
      <c r="BZ186" s="64"/>
      <c r="CA186" s="74" t="s">
        <v>78</v>
      </c>
      <c r="CB186" s="73">
        <f t="shared" si="867"/>
        <v>0</v>
      </c>
      <c r="CC186" s="64"/>
      <c r="CD186" s="74" t="s">
        <v>76</v>
      </c>
      <c r="CE186" s="73">
        <f t="shared" si="868"/>
        <v>0</v>
      </c>
      <c r="CF186" s="64"/>
      <c r="CG186" s="74" t="s">
        <v>78</v>
      </c>
      <c r="CH186" s="73">
        <f t="shared" si="869"/>
        <v>0</v>
      </c>
      <c r="CI186" s="64"/>
      <c r="CJ186" s="74" t="s">
        <v>78</v>
      </c>
      <c r="CK186" s="73">
        <f t="shared" si="870"/>
        <v>0</v>
      </c>
      <c r="CL186" s="64"/>
      <c r="CM186" s="74" t="s">
        <v>1320</v>
      </c>
      <c r="CN186" s="73">
        <f t="shared" si="871"/>
        <v>0</v>
      </c>
      <c r="CO186" s="64"/>
      <c r="CP186" s="74" t="s">
        <v>1320</v>
      </c>
      <c r="CQ186" s="73">
        <f t="shared" si="872"/>
        <v>0</v>
      </c>
      <c r="CR186" s="64"/>
      <c r="CS186" s="74" t="s">
        <v>78</v>
      </c>
      <c r="CT186" s="73">
        <f t="shared" si="873"/>
        <v>0</v>
      </c>
      <c r="CU186" s="64"/>
      <c r="CV186" s="74" t="s">
        <v>1320</v>
      </c>
      <c r="CW186" s="73">
        <f t="shared" si="874"/>
        <v>0</v>
      </c>
      <c r="CX186" s="64"/>
      <c r="CY186" s="74" t="s">
        <v>1320</v>
      </c>
      <c r="CZ186" s="73">
        <f t="shared" si="875"/>
        <v>0</v>
      </c>
      <c r="DA186" s="64"/>
      <c r="DB186" s="74" t="s">
        <v>1320</v>
      </c>
      <c r="DC186" s="73">
        <f t="shared" si="876"/>
        <v>0</v>
      </c>
      <c r="DD186" s="64"/>
      <c r="DE186" s="74" t="s">
        <v>78</v>
      </c>
      <c r="DF186" s="73">
        <f t="shared" si="877"/>
        <v>0</v>
      </c>
      <c r="DG186" s="64"/>
      <c r="DH186" s="74" t="s">
        <v>1320</v>
      </c>
      <c r="DI186" s="73">
        <f t="shared" si="878"/>
        <v>0</v>
      </c>
      <c r="DJ186" s="64"/>
      <c r="DK186" s="74" t="s">
        <v>76</v>
      </c>
      <c r="DL186" s="73">
        <f t="shared" si="879"/>
        <v>0</v>
      </c>
      <c r="DM186" s="64"/>
      <c r="DN186" s="795" t="s">
        <v>1320</v>
      </c>
      <c r="DO186" s="73">
        <f t="shared" si="880"/>
        <v>0</v>
      </c>
      <c r="DP186" s="64"/>
      <c r="DQ186" s="795" t="s">
        <v>76</v>
      </c>
      <c r="DR186" s="73">
        <f t="shared" si="881"/>
        <v>0</v>
      </c>
      <c r="DS186" s="64"/>
      <c r="DT186" s="74" t="s">
        <v>79</v>
      </c>
      <c r="DU186" s="73">
        <f t="shared" si="882"/>
        <v>0</v>
      </c>
      <c r="DV186" s="64"/>
      <c r="DW186" s="74" t="s">
        <v>1320</v>
      </c>
      <c r="DX186" s="73">
        <f t="shared" si="883"/>
        <v>0</v>
      </c>
      <c r="DY186" s="64"/>
      <c r="DZ186" s="74" t="s">
        <v>78</v>
      </c>
      <c r="EA186" s="73">
        <f t="shared" si="884"/>
        <v>0</v>
      </c>
      <c r="EB186" s="64"/>
      <c r="EC186" s="74" t="s">
        <v>78</v>
      </c>
      <c r="ED186" s="73">
        <f t="shared" si="885"/>
        <v>0</v>
      </c>
      <c r="EE186" s="64"/>
      <c r="EF186" s="74" t="s">
        <v>1320</v>
      </c>
      <c r="EG186" s="73">
        <f t="shared" si="886"/>
        <v>0</v>
      </c>
      <c r="EH186" s="64"/>
      <c r="EI186" s="74"/>
      <c r="EJ186" s="73">
        <f t="shared" si="887"/>
        <v>0</v>
      </c>
      <c r="EK186" s="64"/>
      <c r="EL186" s="74"/>
      <c r="EM186" s="73">
        <f t="shared" si="888"/>
        <v>0</v>
      </c>
      <c r="EN186" s="64"/>
      <c r="EO186" s="74"/>
      <c r="EP186" s="73">
        <f t="shared" si="889"/>
        <v>0</v>
      </c>
      <c r="EQ186" s="64"/>
      <c r="ER186" s="74"/>
      <c r="ES186" s="73">
        <f t="shared" si="890"/>
        <v>0</v>
      </c>
      <c r="ET186" s="64"/>
      <c r="EU186" s="74"/>
      <c r="EV186" s="73">
        <f t="shared" si="891"/>
        <v>0</v>
      </c>
      <c r="EW186" s="64"/>
      <c r="EX186" s="74"/>
      <c r="EY186" s="73">
        <f t="shared" si="892"/>
        <v>0</v>
      </c>
      <c r="EZ186" s="64"/>
      <c r="FA186" s="74"/>
      <c r="FB186" s="73">
        <f t="shared" si="893"/>
        <v>0</v>
      </c>
      <c r="FC186" s="64"/>
      <c r="FD186" s="74"/>
      <c r="FE186" s="73">
        <f t="shared" si="894"/>
        <v>0</v>
      </c>
      <c r="FF186" s="64"/>
      <c r="FG186" s="74"/>
      <c r="FH186" s="73">
        <f t="shared" si="895"/>
        <v>0</v>
      </c>
      <c r="FI186" s="64"/>
      <c r="FJ186" s="74"/>
      <c r="FK186" s="73">
        <f t="shared"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49"/>
      <c r="K187" s="56" t="str">
        <f>Idiomas!$D$199&amp;"-"&amp;ROWS($L$182:L187)</f>
        <v>Octavofinalista-6</v>
      </c>
      <c r="L187" s="53"/>
      <c r="M187" s="55" t="str">
        <f>WORLDCUP!AA125</f>
        <v>W81</v>
      </c>
      <c r="N187" s="25"/>
      <c r="O187" s="25"/>
      <c r="P187" s="25"/>
      <c r="Q187" s="25"/>
      <c r="R187" s="110"/>
      <c r="S187" s="74" t="s">
        <v>497</v>
      </c>
      <c r="T187" s="73">
        <f t="shared" si="847"/>
        <v>0</v>
      </c>
      <c r="U187" s="64"/>
      <c r="V187" s="74" t="s">
        <v>135</v>
      </c>
      <c r="W187" s="73">
        <f t="shared" si="848"/>
        <v>0</v>
      </c>
      <c r="X187" s="64"/>
      <c r="Y187" s="74" t="s">
        <v>1835</v>
      </c>
      <c r="Z187" s="73">
        <f t="shared" si="849"/>
        <v>0</v>
      </c>
      <c r="AA187" s="64"/>
      <c r="AB187" s="76" t="s">
        <v>1835</v>
      </c>
      <c r="AC187" s="73">
        <f t="shared" si="850"/>
        <v>0</v>
      </c>
      <c r="AD187" s="64"/>
      <c r="AE187" s="74" t="s">
        <v>497</v>
      </c>
      <c r="AF187" s="73">
        <f t="shared" si="851"/>
        <v>0</v>
      </c>
      <c r="AG187" s="64"/>
      <c r="AH187" s="74" t="s">
        <v>497</v>
      </c>
      <c r="AI187" s="73">
        <f t="shared" si="852"/>
        <v>0</v>
      </c>
      <c r="AJ187" s="64"/>
      <c r="AK187" s="74" t="s">
        <v>1835</v>
      </c>
      <c r="AL187" s="73">
        <f t="shared" si="853"/>
        <v>0</v>
      </c>
      <c r="AM187" s="64"/>
      <c r="AN187" s="74" t="s">
        <v>1835</v>
      </c>
      <c r="AO187" s="73">
        <f t="shared" si="854"/>
        <v>0</v>
      </c>
      <c r="AP187" s="64"/>
      <c r="AQ187" s="74" t="s">
        <v>497</v>
      </c>
      <c r="AR187" s="73">
        <f t="shared" si="855"/>
        <v>0</v>
      </c>
      <c r="AS187" s="64"/>
      <c r="AT187" s="74" t="s">
        <v>1835</v>
      </c>
      <c r="AU187" s="73">
        <f t="shared" si="856"/>
        <v>0</v>
      </c>
      <c r="AV187" s="64"/>
      <c r="AW187" s="74" t="s">
        <v>1835</v>
      </c>
      <c r="AX187" s="73">
        <f t="shared" si="857"/>
        <v>0</v>
      </c>
      <c r="AY187" s="64"/>
      <c r="AZ187" s="74" t="s">
        <v>1835</v>
      </c>
      <c r="BA187" s="73">
        <f t="shared" si="858"/>
        <v>0</v>
      </c>
      <c r="BB187" s="64"/>
      <c r="BC187" s="74" t="s">
        <v>1835</v>
      </c>
      <c r="BD187" s="73">
        <f t="shared" si="859"/>
        <v>0</v>
      </c>
      <c r="BE187" s="64"/>
      <c r="BF187" s="74" t="s">
        <v>497</v>
      </c>
      <c r="BG187" s="73">
        <f t="shared" si="860"/>
        <v>0</v>
      </c>
      <c r="BH187" s="64"/>
      <c r="BI187" s="74" t="s">
        <v>1835</v>
      </c>
      <c r="BJ187" s="73">
        <f t="shared" si="861"/>
        <v>0</v>
      </c>
      <c r="BK187" s="64"/>
      <c r="BL187" s="74" t="s">
        <v>497</v>
      </c>
      <c r="BM187" s="73">
        <f t="shared" si="862"/>
        <v>0</v>
      </c>
      <c r="BN187" s="64"/>
      <c r="BO187" s="74" t="s">
        <v>1835</v>
      </c>
      <c r="BP187" s="73">
        <f t="shared" si="863"/>
        <v>0</v>
      </c>
      <c r="BQ187" s="64"/>
      <c r="BR187" s="74" t="s">
        <v>1835</v>
      </c>
      <c r="BS187" s="73">
        <f t="shared" si="864"/>
        <v>0</v>
      </c>
      <c r="BT187" s="64"/>
      <c r="BU187" s="74" t="s">
        <v>1835</v>
      </c>
      <c r="BV187" s="73">
        <f t="shared" si="865"/>
        <v>0</v>
      </c>
      <c r="BW187" s="64"/>
      <c r="BX187" s="74" t="s">
        <v>1835</v>
      </c>
      <c r="BY187" s="73">
        <f t="shared" si="866"/>
        <v>0</v>
      </c>
      <c r="BZ187" s="64"/>
      <c r="CA187" s="74" t="s">
        <v>1835</v>
      </c>
      <c r="CB187" s="73">
        <f t="shared" si="867"/>
        <v>0</v>
      </c>
      <c r="CC187" s="64"/>
      <c r="CD187" s="74" t="s">
        <v>1835</v>
      </c>
      <c r="CE187" s="73">
        <f t="shared" si="868"/>
        <v>0</v>
      </c>
      <c r="CF187" s="64"/>
      <c r="CG187" s="74" t="s">
        <v>497</v>
      </c>
      <c r="CH187" s="73">
        <f t="shared" si="869"/>
        <v>0</v>
      </c>
      <c r="CI187" s="64"/>
      <c r="CJ187" s="74" t="s">
        <v>497</v>
      </c>
      <c r="CK187" s="73">
        <f t="shared" si="870"/>
        <v>0</v>
      </c>
      <c r="CL187" s="64"/>
      <c r="CM187" s="74" t="s">
        <v>1835</v>
      </c>
      <c r="CN187" s="73">
        <f t="shared" si="871"/>
        <v>0</v>
      </c>
      <c r="CO187" s="64"/>
      <c r="CP187" s="74" t="s">
        <v>1835</v>
      </c>
      <c r="CQ187" s="73">
        <f t="shared" si="872"/>
        <v>0</v>
      </c>
      <c r="CR187" s="64"/>
      <c r="CS187" s="74" t="s">
        <v>1835</v>
      </c>
      <c r="CT187" s="73">
        <f t="shared" si="873"/>
        <v>0</v>
      </c>
      <c r="CU187" s="64"/>
      <c r="CV187" s="74" t="s">
        <v>1835</v>
      </c>
      <c r="CW187" s="73">
        <f t="shared" si="874"/>
        <v>0</v>
      </c>
      <c r="CX187" s="64"/>
      <c r="CY187" s="74" t="s">
        <v>1835</v>
      </c>
      <c r="CZ187" s="73">
        <f t="shared" si="875"/>
        <v>0</v>
      </c>
      <c r="DA187" s="64"/>
      <c r="DB187" s="74" t="s">
        <v>1835</v>
      </c>
      <c r="DC187" s="73">
        <f t="shared" si="876"/>
        <v>0</v>
      </c>
      <c r="DD187" s="64"/>
      <c r="DE187" s="74" t="s">
        <v>1835</v>
      </c>
      <c r="DF187" s="73">
        <f t="shared" si="877"/>
        <v>0</v>
      </c>
      <c r="DG187" s="64"/>
      <c r="DH187" s="74" t="s">
        <v>1835</v>
      </c>
      <c r="DI187" s="73">
        <f t="shared" si="878"/>
        <v>0</v>
      </c>
      <c r="DJ187" s="64"/>
      <c r="DK187" s="74" t="s">
        <v>1835</v>
      </c>
      <c r="DL187" s="73">
        <f t="shared" si="879"/>
        <v>0</v>
      </c>
      <c r="DM187" s="64"/>
      <c r="DN187" s="795" t="s">
        <v>1835</v>
      </c>
      <c r="DO187" s="73">
        <f t="shared" si="880"/>
        <v>0</v>
      </c>
      <c r="DP187" s="64"/>
      <c r="DQ187" s="795" t="s">
        <v>497</v>
      </c>
      <c r="DR187" s="73">
        <f t="shared" si="881"/>
        <v>0</v>
      </c>
      <c r="DS187" s="64"/>
      <c r="DT187" s="74" t="s">
        <v>497</v>
      </c>
      <c r="DU187" s="73">
        <f t="shared" si="882"/>
        <v>0</v>
      </c>
      <c r="DV187" s="64"/>
      <c r="DW187" s="74" t="s">
        <v>1633</v>
      </c>
      <c r="DX187" s="73">
        <f t="shared" si="883"/>
        <v>0</v>
      </c>
      <c r="DY187" s="64"/>
      <c r="DZ187" s="74" t="s">
        <v>497</v>
      </c>
      <c r="EA187" s="73">
        <f t="shared" si="884"/>
        <v>0</v>
      </c>
      <c r="EB187" s="64"/>
      <c r="EC187" s="74" t="s">
        <v>1835</v>
      </c>
      <c r="ED187" s="73">
        <f t="shared" si="885"/>
        <v>0</v>
      </c>
      <c r="EE187" s="64"/>
      <c r="EF187" s="74" t="s">
        <v>497</v>
      </c>
      <c r="EG187" s="73">
        <f t="shared" si="886"/>
        <v>0</v>
      </c>
      <c r="EH187" s="64"/>
      <c r="EI187" s="74"/>
      <c r="EJ187" s="73">
        <f t="shared" si="887"/>
        <v>0</v>
      </c>
      <c r="EK187" s="64"/>
      <c r="EL187" s="74"/>
      <c r="EM187" s="73">
        <f t="shared" si="888"/>
        <v>0</v>
      </c>
      <c r="EN187" s="64"/>
      <c r="EO187" s="74"/>
      <c r="EP187" s="73">
        <f t="shared" si="889"/>
        <v>0</v>
      </c>
      <c r="EQ187" s="64"/>
      <c r="ER187" s="74"/>
      <c r="ES187" s="73">
        <f t="shared" si="890"/>
        <v>0</v>
      </c>
      <c r="ET187" s="64"/>
      <c r="EU187" s="74"/>
      <c r="EV187" s="73">
        <f t="shared" si="891"/>
        <v>0</v>
      </c>
      <c r="EW187" s="64"/>
      <c r="EX187" s="74"/>
      <c r="EY187" s="73">
        <f t="shared" si="892"/>
        <v>0</v>
      </c>
      <c r="EZ187" s="64"/>
      <c r="FA187" s="74"/>
      <c r="FB187" s="73">
        <f t="shared" si="893"/>
        <v>0</v>
      </c>
      <c r="FC187" s="64"/>
      <c r="FD187" s="74"/>
      <c r="FE187" s="73">
        <f t="shared" si="894"/>
        <v>0</v>
      </c>
      <c r="FF187" s="64"/>
      <c r="FG187" s="74"/>
      <c r="FH187" s="73">
        <f t="shared" si="895"/>
        <v>0</v>
      </c>
      <c r="FI187" s="64"/>
      <c r="FJ187" s="74"/>
      <c r="FK187" s="73">
        <f t="shared"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49"/>
      <c r="K188" s="56" t="str">
        <f>Idiomas!$D$199&amp;"-"&amp;ROWS($L$182:L188)</f>
        <v>Octavofinalista-7</v>
      </c>
      <c r="L188" s="53"/>
      <c r="M188" s="55" t="str">
        <f>WORLDCUP!AA126</f>
        <v>W86</v>
      </c>
      <c r="N188" s="25"/>
      <c r="O188" s="25"/>
      <c r="P188" s="25"/>
      <c r="Q188" s="25"/>
      <c r="R188" s="110"/>
      <c r="S188" s="74" t="s">
        <v>1256</v>
      </c>
      <c r="T188" s="73">
        <f t="shared" si="847"/>
        <v>0</v>
      </c>
      <c r="U188" s="64"/>
      <c r="V188" s="74" t="s">
        <v>1256</v>
      </c>
      <c r="W188" s="73">
        <f t="shared" si="848"/>
        <v>0</v>
      </c>
      <c r="X188" s="64"/>
      <c r="Y188" s="74" t="s">
        <v>1256</v>
      </c>
      <c r="Z188" s="73">
        <f t="shared" si="849"/>
        <v>0</v>
      </c>
      <c r="AA188" s="64"/>
      <c r="AB188" s="74" t="s">
        <v>1256</v>
      </c>
      <c r="AC188" s="73">
        <f t="shared" si="850"/>
        <v>0</v>
      </c>
      <c r="AD188" s="64"/>
      <c r="AE188" s="74" t="s">
        <v>1256</v>
      </c>
      <c r="AF188" s="73">
        <f t="shared" si="851"/>
        <v>0</v>
      </c>
      <c r="AG188" s="64"/>
      <c r="AH188" s="74" t="s">
        <v>1256</v>
      </c>
      <c r="AI188" s="73">
        <f t="shared" si="852"/>
        <v>0</v>
      </c>
      <c r="AJ188" s="64"/>
      <c r="AK188" s="74" t="s">
        <v>1256</v>
      </c>
      <c r="AL188" s="73">
        <f t="shared" si="853"/>
        <v>0</v>
      </c>
      <c r="AM188" s="64"/>
      <c r="AN188" s="74" t="s">
        <v>1318</v>
      </c>
      <c r="AO188" s="73">
        <f t="shared" si="854"/>
        <v>0</v>
      </c>
      <c r="AP188" s="64"/>
      <c r="AQ188" s="74" t="s">
        <v>1256</v>
      </c>
      <c r="AR188" s="73">
        <f t="shared" si="855"/>
        <v>0</v>
      </c>
      <c r="AS188" s="64"/>
      <c r="AT188" s="74" t="s">
        <v>1318</v>
      </c>
      <c r="AU188" s="73">
        <f t="shared" si="856"/>
        <v>0</v>
      </c>
      <c r="AV188" s="64"/>
      <c r="AW188" s="74" t="s">
        <v>1256</v>
      </c>
      <c r="AX188" s="73">
        <f t="shared" si="857"/>
        <v>0</v>
      </c>
      <c r="AY188" s="64"/>
      <c r="AZ188" s="74" t="s">
        <v>1256</v>
      </c>
      <c r="BA188" s="73">
        <f t="shared" si="858"/>
        <v>0</v>
      </c>
      <c r="BB188" s="64"/>
      <c r="BC188" s="74" t="s">
        <v>1256</v>
      </c>
      <c r="BD188" s="73">
        <f t="shared" si="859"/>
        <v>0</v>
      </c>
      <c r="BE188" s="64"/>
      <c r="BF188" s="74" t="s">
        <v>1256</v>
      </c>
      <c r="BG188" s="73">
        <f t="shared" si="860"/>
        <v>0</v>
      </c>
      <c r="BH188" s="64"/>
      <c r="BI188" s="74" t="s">
        <v>1256</v>
      </c>
      <c r="BJ188" s="73">
        <f t="shared" si="861"/>
        <v>0</v>
      </c>
      <c r="BK188" s="64"/>
      <c r="BL188" s="74" t="s">
        <v>1256</v>
      </c>
      <c r="BM188" s="73">
        <f t="shared" si="862"/>
        <v>0</v>
      </c>
      <c r="BN188" s="64"/>
      <c r="BO188" s="74" t="s">
        <v>1256</v>
      </c>
      <c r="BP188" s="73">
        <f t="shared" si="863"/>
        <v>0</v>
      </c>
      <c r="BQ188" s="64"/>
      <c r="BR188" s="74" t="s">
        <v>1256</v>
      </c>
      <c r="BS188" s="73">
        <f t="shared" si="864"/>
        <v>0</v>
      </c>
      <c r="BT188" s="64"/>
      <c r="BU188" s="74" t="s">
        <v>1256</v>
      </c>
      <c r="BV188" s="73">
        <f t="shared" si="865"/>
        <v>0</v>
      </c>
      <c r="BW188" s="64"/>
      <c r="BX188" s="74" t="s">
        <v>1256</v>
      </c>
      <c r="BY188" s="73">
        <f t="shared" si="866"/>
        <v>0</v>
      </c>
      <c r="BZ188" s="64"/>
      <c r="CA188" s="74" t="s">
        <v>1256</v>
      </c>
      <c r="CB188" s="73">
        <f t="shared" si="867"/>
        <v>0</v>
      </c>
      <c r="CC188" s="64"/>
      <c r="CD188" s="74" t="s">
        <v>1256</v>
      </c>
      <c r="CE188" s="73">
        <f t="shared" si="868"/>
        <v>0</v>
      </c>
      <c r="CF188" s="64"/>
      <c r="CG188" s="74" t="s">
        <v>1256</v>
      </c>
      <c r="CH188" s="73">
        <f t="shared" si="869"/>
        <v>0</v>
      </c>
      <c r="CI188" s="64"/>
      <c r="CJ188" s="74" t="s">
        <v>1256</v>
      </c>
      <c r="CK188" s="73">
        <f t="shared" si="870"/>
        <v>0</v>
      </c>
      <c r="CL188" s="64"/>
      <c r="CM188" s="74" t="s">
        <v>1256</v>
      </c>
      <c r="CN188" s="73">
        <f t="shared" si="871"/>
        <v>0</v>
      </c>
      <c r="CO188" s="64"/>
      <c r="CP188" s="74" t="s">
        <v>1256</v>
      </c>
      <c r="CQ188" s="73">
        <f t="shared" si="872"/>
        <v>0</v>
      </c>
      <c r="CR188" s="64"/>
      <c r="CS188" s="74" t="s">
        <v>1256</v>
      </c>
      <c r="CT188" s="73">
        <f t="shared" si="873"/>
        <v>0</v>
      </c>
      <c r="CU188" s="64"/>
      <c r="CV188" s="74" t="s">
        <v>1256</v>
      </c>
      <c r="CW188" s="73">
        <f t="shared" si="874"/>
        <v>0</v>
      </c>
      <c r="CX188" s="64"/>
      <c r="CY188" s="74" t="s">
        <v>1256</v>
      </c>
      <c r="CZ188" s="73">
        <f t="shared" si="875"/>
        <v>0</v>
      </c>
      <c r="DA188" s="64"/>
      <c r="DB188" s="74" t="s">
        <v>1256</v>
      </c>
      <c r="DC188" s="73">
        <f t="shared" si="876"/>
        <v>0</v>
      </c>
      <c r="DD188" s="64"/>
      <c r="DE188" s="74" t="s">
        <v>1256</v>
      </c>
      <c r="DF188" s="73">
        <f t="shared" si="877"/>
        <v>0</v>
      </c>
      <c r="DG188" s="64"/>
      <c r="DH188" s="74" t="s">
        <v>1256</v>
      </c>
      <c r="DI188" s="73">
        <f t="shared" si="878"/>
        <v>0</v>
      </c>
      <c r="DJ188" s="64"/>
      <c r="DK188" s="74" t="s">
        <v>1256</v>
      </c>
      <c r="DL188" s="73">
        <f t="shared" si="879"/>
        <v>0</v>
      </c>
      <c r="DM188" s="64"/>
      <c r="DN188" s="795" t="s">
        <v>1256</v>
      </c>
      <c r="DO188" s="73">
        <f t="shared" si="880"/>
        <v>0</v>
      </c>
      <c r="DP188" s="64"/>
      <c r="DQ188" s="795" t="s">
        <v>1256</v>
      </c>
      <c r="DR188" s="73">
        <f t="shared" si="881"/>
        <v>0</v>
      </c>
      <c r="DS188" s="64"/>
      <c r="DT188" s="74" t="s">
        <v>1318</v>
      </c>
      <c r="DU188" s="73">
        <f t="shared" si="882"/>
        <v>0</v>
      </c>
      <c r="DV188" s="64"/>
      <c r="DW188" s="74" t="s">
        <v>1256</v>
      </c>
      <c r="DX188" s="73">
        <f t="shared" si="883"/>
        <v>0</v>
      </c>
      <c r="DY188" s="64"/>
      <c r="DZ188" s="74" t="s">
        <v>1256</v>
      </c>
      <c r="EA188" s="73">
        <f t="shared" si="884"/>
        <v>0</v>
      </c>
      <c r="EB188" s="64"/>
      <c r="EC188" s="74" t="s">
        <v>1256</v>
      </c>
      <c r="ED188" s="73">
        <f t="shared" si="885"/>
        <v>0</v>
      </c>
      <c r="EE188" s="64"/>
      <c r="EF188" s="74" t="s">
        <v>1318</v>
      </c>
      <c r="EG188" s="73">
        <f t="shared" si="886"/>
        <v>0</v>
      </c>
      <c r="EH188" s="64"/>
      <c r="EI188" s="74"/>
      <c r="EJ188" s="73">
        <f t="shared" si="887"/>
        <v>0</v>
      </c>
      <c r="EK188" s="64"/>
      <c r="EL188" s="74"/>
      <c r="EM188" s="73">
        <f t="shared" si="888"/>
        <v>0</v>
      </c>
      <c r="EN188" s="64"/>
      <c r="EO188" s="74"/>
      <c r="EP188" s="73">
        <f t="shared" si="889"/>
        <v>0</v>
      </c>
      <c r="EQ188" s="64"/>
      <c r="ER188" s="74"/>
      <c r="ES188" s="73">
        <f t="shared" si="890"/>
        <v>0</v>
      </c>
      <c r="ET188" s="64"/>
      <c r="EU188" s="74"/>
      <c r="EV188" s="73">
        <f t="shared" si="891"/>
        <v>0</v>
      </c>
      <c r="EW188" s="64"/>
      <c r="EX188" s="74"/>
      <c r="EY188" s="73">
        <f t="shared" si="892"/>
        <v>0</v>
      </c>
      <c r="EZ188" s="64"/>
      <c r="FA188" s="74"/>
      <c r="FB188" s="73">
        <f t="shared" si="893"/>
        <v>0</v>
      </c>
      <c r="FC188" s="64"/>
      <c r="FD188" s="74"/>
      <c r="FE188" s="73">
        <f t="shared" si="894"/>
        <v>0</v>
      </c>
      <c r="FF188" s="64"/>
      <c r="FG188" s="74"/>
      <c r="FH188" s="73">
        <f t="shared" si="895"/>
        <v>0</v>
      </c>
      <c r="FI188" s="64"/>
      <c r="FJ188" s="74"/>
      <c r="FK188" s="73">
        <f t="shared"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49"/>
      <c r="K189" s="56" t="str">
        <f>Idiomas!$D$199&amp;"-"&amp;ROWS($L$182:L189)</f>
        <v>Octavofinalista-8</v>
      </c>
      <c r="L189" s="53"/>
      <c r="M189" s="55" t="str">
        <f>WORLDCUP!AA127</f>
        <v>W85</v>
      </c>
      <c r="N189" s="25"/>
      <c r="O189" s="25"/>
      <c r="P189" s="25"/>
      <c r="Q189" s="25"/>
      <c r="R189" s="110"/>
      <c r="S189" s="74" t="s">
        <v>1558</v>
      </c>
      <c r="T189" s="73">
        <f t="shared" si="847"/>
        <v>0</v>
      </c>
      <c r="U189" s="64"/>
      <c r="V189" s="74" t="s">
        <v>75</v>
      </c>
      <c r="W189" s="73">
        <f t="shared" si="848"/>
        <v>0</v>
      </c>
      <c r="X189" s="64"/>
      <c r="Y189" s="74" t="s">
        <v>1261</v>
      </c>
      <c r="Z189" s="73">
        <f t="shared" si="849"/>
        <v>0</v>
      </c>
      <c r="AA189" s="64"/>
      <c r="AB189" s="74" t="s">
        <v>75</v>
      </c>
      <c r="AC189" s="73">
        <f t="shared" si="850"/>
        <v>0</v>
      </c>
      <c r="AD189" s="64"/>
      <c r="AE189" s="74" t="s">
        <v>75</v>
      </c>
      <c r="AF189" s="73">
        <f t="shared" si="851"/>
        <v>0</v>
      </c>
      <c r="AG189" s="64"/>
      <c r="AH189" s="74" t="s">
        <v>75</v>
      </c>
      <c r="AI189" s="73">
        <f t="shared" si="852"/>
        <v>0</v>
      </c>
      <c r="AJ189" s="64"/>
      <c r="AK189" s="74" t="s">
        <v>75</v>
      </c>
      <c r="AL189" s="73">
        <f t="shared" si="853"/>
        <v>0</v>
      </c>
      <c r="AM189" s="64"/>
      <c r="AN189" s="74" t="s">
        <v>80</v>
      </c>
      <c r="AO189" s="73">
        <f t="shared" si="854"/>
        <v>0</v>
      </c>
      <c r="AP189" s="64"/>
      <c r="AQ189" s="74" t="s">
        <v>75</v>
      </c>
      <c r="AR189" s="73">
        <f t="shared" si="855"/>
        <v>0</v>
      </c>
      <c r="AS189" s="64"/>
      <c r="AT189" s="74" t="s">
        <v>75</v>
      </c>
      <c r="AU189" s="73">
        <f t="shared" si="856"/>
        <v>0</v>
      </c>
      <c r="AV189" s="64"/>
      <c r="AW189" s="74" t="s">
        <v>80</v>
      </c>
      <c r="AX189" s="73">
        <f t="shared" si="857"/>
        <v>0</v>
      </c>
      <c r="AY189" s="64"/>
      <c r="AZ189" s="74" t="s">
        <v>1266</v>
      </c>
      <c r="BA189" s="73">
        <f t="shared" si="858"/>
        <v>0</v>
      </c>
      <c r="BB189" s="64"/>
      <c r="BC189" s="74" t="s">
        <v>75</v>
      </c>
      <c r="BD189" s="73">
        <f t="shared" si="859"/>
        <v>0</v>
      </c>
      <c r="BE189" s="64"/>
      <c r="BF189" s="74" t="s">
        <v>75</v>
      </c>
      <c r="BG189" s="73">
        <f t="shared" si="860"/>
        <v>0</v>
      </c>
      <c r="BH189" s="64"/>
      <c r="BI189" s="74" t="s">
        <v>75</v>
      </c>
      <c r="BJ189" s="73">
        <f t="shared" si="861"/>
        <v>0</v>
      </c>
      <c r="BK189" s="64"/>
      <c r="BL189" s="74" t="s">
        <v>75</v>
      </c>
      <c r="BM189" s="73">
        <f t="shared" si="862"/>
        <v>0</v>
      </c>
      <c r="BN189" s="64"/>
      <c r="BO189" s="74" t="s">
        <v>75</v>
      </c>
      <c r="BP189" s="73">
        <f t="shared" si="863"/>
        <v>0</v>
      </c>
      <c r="BQ189" s="64"/>
      <c r="BR189" s="74" t="s">
        <v>75</v>
      </c>
      <c r="BS189" s="73">
        <f t="shared" si="864"/>
        <v>0</v>
      </c>
      <c r="BT189" s="64"/>
      <c r="BU189" s="74" t="s">
        <v>75</v>
      </c>
      <c r="BV189" s="73">
        <f t="shared" si="865"/>
        <v>0</v>
      </c>
      <c r="BW189" s="64"/>
      <c r="BX189" s="74" t="s">
        <v>75</v>
      </c>
      <c r="BY189" s="73">
        <f t="shared" si="866"/>
        <v>0</v>
      </c>
      <c r="BZ189" s="64"/>
      <c r="CA189" s="74" t="s">
        <v>75</v>
      </c>
      <c r="CB189" s="73">
        <f t="shared" si="867"/>
        <v>0</v>
      </c>
      <c r="CC189" s="64"/>
      <c r="CD189" s="74" t="s">
        <v>75</v>
      </c>
      <c r="CE189" s="73">
        <f t="shared" si="868"/>
        <v>0</v>
      </c>
      <c r="CF189" s="64"/>
      <c r="CG189" s="74" t="s">
        <v>1259</v>
      </c>
      <c r="CH189" s="73">
        <f t="shared" si="869"/>
        <v>0</v>
      </c>
      <c r="CI189" s="64"/>
      <c r="CJ189" s="74" t="s">
        <v>75</v>
      </c>
      <c r="CK189" s="73">
        <f t="shared" si="870"/>
        <v>0</v>
      </c>
      <c r="CL189" s="64"/>
      <c r="CM189" s="74" t="s">
        <v>75</v>
      </c>
      <c r="CN189" s="73">
        <f t="shared" si="871"/>
        <v>0</v>
      </c>
      <c r="CO189" s="64"/>
      <c r="CP189" s="74" t="s">
        <v>75</v>
      </c>
      <c r="CQ189" s="73">
        <f t="shared" si="872"/>
        <v>0</v>
      </c>
      <c r="CR189" s="64"/>
      <c r="CS189" s="74" t="s">
        <v>75</v>
      </c>
      <c r="CT189" s="73">
        <f t="shared" si="873"/>
        <v>0</v>
      </c>
      <c r="CU189" s="64"/>
      <c r="CV189" s="74" t="s">
        <v>75</v>
      </c>
      <c r="CW189" s="73">
        <f t="shared" si="874"/>
        <v>0</v>
      </c>
      <c r="CX189" s="64"/>
      <c r="CY189" s="74" t="s">
        <v>75</v>
      </c>
      <c r="CZ189" s="73">
        <f t="shared" si="875"/>
        <v>0</v>
      </c>
      <c r="DA189" s="64"/>
      <c r="DB189" s="74" t="s">
        <v>75</v>
      </c>
      <c r="DC189" s="73">
        <f t="shared" si="876"/>
        <v>0</v>
      </c>
      <c r="DD189" s="64"/>
      <c r="DE189" s="74" t="s">
        <v>75</v>
      </c>
      <c r="DF189" s="73">
        <f t="shared" si="877"/>
        <v>0</v>
      </c>
      <c r="DG189" s="64"/>
      <c r="DH189" s="74" t="s">
        <v>75</v>
      </c>
      <c r="DI189" s="73">
        <f t="shared" si="878"/>
        <v>0</v>
      </c>
      <c r="DJ189" s="64"/>
      <c r="DK189" s="74" t="s">
        <v>75</v>
      </c>
      <c r="DL189" s="73">
        <f t="shared" si="879"/>
        <v>0</v>
      </c>
      <c r="DM189" s="64"/>
      <c r="DN189" s="795" t="s">
        <v>75</v>
      </c>
      <c r="DO189" s="73">
        <f t="shared" si="880"/>
        <v>0</v>
      </c>
      <c r="DP189" s="64"/>
      <c r="DQ189" s="795" t="s">
        <v>75</v>
      </c>
      <c r="DR189" s="73">
        <f t="shared" si="881"/>
        <v>0</v>
      </c>
      <c r="DS189" s="64"/>
      <c r="DT189" s="74" t="s">
        <v>75</v>
      </c>
      <c r="DU189" s="73">
        <f t="shared" si="882"/>
        <v>0</v>
      </c>
      <c r="DV189" s="64"/>
      <c r="DW189" s="74" t="s">
        <v>75</v>
      </c>
      <c r="DX189" s="73">
        <f t="shared" si="883"/>
        <v>0</v>
      </c>
      <c r="DY189" s="64"/>
      <c r="DZ189" s="74" t="s">
        <v>1259</v>
      </c>
      <c r="EA189" s="73">
        <f t="shared" si="884"/>
        <v>0</v>
      </c>
      <c r="EB189" s="64"/>
      <c r="EC189" s="74" t="s">
        <v>75</v>
      </c>
      <c r="ED189" s="73">
        <f t="shared" si="885"/>
        <v>0</v>
      </c>
      <c r="EE189" s="64"/>
      <c r="EF189" s="74" t="s">
        <v>75</v>
      </c>
      <c r="EG189" s="73">
        <f t="shared" si="886"/>
        <v>0</v>
      </c>
      <c r="EH189" s="64"/>
      <c r="EI189" s="74"/>
      <c r="EJ189" s="73">
        <f t="shared" si="887"/>
        <v>0</v>
      </c>
      <c r="EK189" s="64"/>
      <c r="EL189" s="74"/>
      <c r="EM189" s="73">
        <f t="shared" si="888"/>
        <v>0</v>
      </c>
      <c r="EN189" s="64"/>
      <c r="EO189" s="74"/>
      <c r="EP189" s="73">
        <f t="shared" si="889"/>
        <v>0</v>
      </c>
      <c r="EQ189" s="64"/>
      <c r="ER189" s="74"/>
      <c r="ES189" s="73">
        <f t="shared" si="890"/>
        <v>0</v>
      </c>
      <c r="ET189" s="64"/>
      <c r="EU189" s="74"/>
      <c r="EV189" s="73">
        <f t="shared" si="891"/>
        <v>0</v>
      </c>
      <c r="EW189" s="64"/>
      <c r="EX189" s="74"/>
      <c r="EY189" s="73">
        <f t="shared" si="892"/>
        <v>0</v>
      </c>
      <c r="EZ189" s="64"/>
      <c r="FA189" s="74"/>
      <c r="FB189" s="73">
        <f t="shared" si="893"/>
        <v>0</v>
      </c>
      <c r="FC189" s="64"/>
      <c r="FD189" s="74"/>
      <c r="FE189" s="73">
        <f t="shared" si="894"/>
        <v>0</v>
      </c>
      <c r="FF189" s="64"/>
      <c r="FG189" s="74"/>
      <c r="FH189" s="73">
        <f t="shared" si="895"/>
        <v>0</v>
      </c>
      <c r="FI189" s="64"/>
      <c r="FJ189" s="74"/>
      <c r="FK189" s="73">
        <f t="shared"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49"/>
      <c r="K190" s="56" t="str">
        <f>Idiomas!$D$199&amp;"-"&amp;ROWS($L$182:L190)</f>
        <v>Octavofinalista-9</v>
      </c>
      <c r="L190" s="53"/>
      <c r="M190" s="55" t="str">
        <f>WORLDCUP!AF120</f>
        <v>W75</v>
      </c>
      <c r="N190" s="25"/>
      <c r="O190" s="25"/>
      <c r="P190" s="25"/>
      <c r="Q190" s="25"/>
      <c r="R190" s="110"/>
      <c r="S190" s="74" t="s">
        <v>1321</v>
      </c>
      <c r="T190" s="73">
        <f t="shared" si="847"/>
        <v>0</v>
      </c>
      <c r="U190" s="64"/>
      <c r="V190" s="74" t="s">
        <v>111</v>
      </c>
      <c r="W190" s="73">
        <f t="shared" si="848"/>
        <v>0</v>
      </c>
      <c r="X190" s="64"/>
      <c r="Y190" s="74" t="s">
        <v>111</v>
      </c>
      <c r="Z190" s="73">
        <f t="shared" si="849"/>
        <v>0</v>
      </c>
      <c r="AA190" s="64"/>
      <c r="AB190" s="74" t="s">
        <v>111</v>
      </c>
      <c r="AC190" s="73">
        <f t="shared" si="850"/>
        <v>0</v>
      </c>
      <c r="AD190" s="64"/>
      <c r="AE190" s="74" t="s">
        <v>1321</v>
      </c>
      <c r="AF190" s="73">
        <f t="shared" si="851"/>
        <v>0</v>
      </c>
      <c r="AG190" s="64"/>
      <c r="AH190" s="74" t="s">
        <v>1258</v>
      </c>
      <c r="AI190" s="73">
        <f t="shared" si="852"/>
        <v>0</v>
      </c>
      <c r="AJ190" s="64"/>
      <c r="AK190" s="74" t="s">
        <v>111</v>
      </c>
      <c r="AL190" s="73">
        <f t="shared" si="853"/>
        <v>0</v>
      </c>
      <c r="AM190" s="64"/>
      <c r="AN190" s="74" t="s">
        <v>111</v>
      </c>
      <c r="AO190" s="73">
        <f t="shared" si="854"/>
        <v>0</v>
      </c>
      <c r="AP190" s="64"/>
      <c r="AQ190" s="74" t="s">
        <v>1321</v>
      </c>
      <c r="AR190" s="73">
        <f t="shared" si="855"/>
        <v>0</v>
      </c>
      <c r="AS190" s="64"/>
      <c r="AT190" s="74" t="s">
        <v>111</v>
      </c>
      <c r="AU190" s="73">
        <f t="shared" si="856"/>
        <v>0</v>
      </c>
      <c r="AV190" s="64"/>
      <c r="AW190" s="74" t="s">
        <v>111</v>
      </c>
      <c r="AX190" s="73">
        <f t="shared" si="857"/>
        <v>0</v>
      </c>
      <c r="AY190" s="64"/>
      <c r="AZ190" s="74" t="s">
        <v>1321</v>
      </c>
      <c r="BA190" s="73">
        <f t="shared" si="858"/>
        <v>0</v>
      </c>
      <c r="BB190" s="64"/>
      <c r="BC190" s="74" t="s">
        <v>1321</v>
      </c>
      <c r="BD190" s="73">
        <f t="shared" si="859"/>
        <v>0</v>
      </c>
      <c r="BE190" s="64"/>
      <c r="BF190" s="74" t="s">
        <v>111</v>
      </c>
      <c r="BG190" s="73">
        <f t="shared" si="860"/>
        <v>0</v>
      </c>
      <c r="BH190" s="64"/>
      <c r="BI190" s="74" t="s">
        <v>111</v>
      </c>
      <c r="BJ190" s="73">
        <f t="shared" si="861"/>
        <v>0</v>
      </c>
      <c r="BK190" s="64"/>
      <c r="BL190" s="74" t="s">
        <v>1321</v>
      </c>
      <c r="BM190" s="73">
        <f t="shared" si="862"/>
        <v>0</v>
      </c>
      <c r="BN190" s="64"/>
      <c r="BO190" s="74" t="s">
        <v>1321</v>
      </c>
      <c r="BP190" s="73">
        <f t="shared" si="863"/>
        <v>0</v>
      </c>
      <c r="BQ190" s="64"/>
      <c r="BR190" s="74" t="s">
        <v>1321</v>
      </c>
      <c r="BS190" s="73">
        <f t="shared" si="864"/>
        <v>0</v>
      </c>
      <c r="BT190" s="64"/>
      <c r="BU190" s="74" t="s">
        <v>1263</v>
      </c>
      <c r="BV190" s="73">
        <f t="shared" si="865"/>
        <v>0</v>
      </c>
      <c r="BW190" s="64"/>
      <c r="BX190" s="74" t="s">
        <v>1321</v>
      </c>
      <c r="BY190" s="73">
        <f t="shared" si="866"/>
        <v>0</v>
      </c>
      <c r="BZ190" s="64"/>
      <c r="CA190" s="74" t="s">
        <v>1258</v>
      </c>
      <c r="CB190" s="73">
        <f t="shared" si="867"/>
        <v>0</v>
      </c>
      <c r="CC190" s="64"/>
      <c r="CD190" s="74" t="s">
        <v>1321</v>
      </c>
      <c r="CE190" s="73">
        <f t="shared" si="868"/>
        <v>0</v>
      </c>
      <c r="CF190" s="64"/>
      <c r="CG190" s="74" t="s">
        <v>111</v>
      </c>
      <c r="CH190" s="73">
        <f t="shared" si="869"/>
        <v>0</v>
      </c>
      <c r="CI190" s="64"/>
      <c r="CJ190" s="74" t="s">
        <v>111</v>
      </c>
      <c r="CK190" s="73">
        <f t="shared" si="870"/>
        <v>0</v>
      </c>
      <c r="CL190" s="64"/>
      <c r="CM190" s="74" t="s">
        <v>1263</v>
      </c>
      <c r="CN190" s="73">
        <f t="shared" si="871"/>
        <v>0</v>
      </c>
      <c r="CO190" s="64"/>
      <c r="CP190" s="74" t="s">
        <v>1321</v>
      </c>
      <c r="CQ190" s="73">
        <f t="shared" si="872"/>
        <v>0</v>
      </c>
      <c r="CR190" s="64"/>
      <c r="CS190" s="74" t="s">
        <v>1321</v>
      </c>
      <c r="CT190" s="73">
        <f t="shared" si="873"/>
        <v>0</v>
      </c>
      <c r="CU190" s="64"/>
      <c r="CV190" s="74" t="s">
        <v>1321</v>
      </c>
      <c r="CW190" s="73">
        <f t="shared" si="874"/>
        <v>0</v>
      </c>
      <c r="CX190" s="64"/>
      <c r="CY190" s="74" t="s">
        <v>1833</v>
      </c>
      <c r="CZ190" s="73">
        <f t="shared" si="875"/>
        <v>0</v>
      </c>
      <c r="DA190" s="64"/>
      <c r="DB190" s="74" t="s">
        <v>1321</v>
      </c>
      <c r="DC190" s="73">
        <f t="shared" si="876"/>
        <v>0</v>
      </c>
      <c r="DD190" s="64"/>
      <c r="DE190" s="74" t="s">
        <v>111</v>
      </c>
      <c r="DF190" s="73">
        <f t="shared" si="877"/>
        <v>0</v>
      </c>
      <c r="DG190" s="64"/>
      <c r="DH190" s="74" t="s">
        <v>111</v>
      </c>
      <c r="DI190" s="73">
        <f t="shared" si="878"/>
        <v>0</v>
      </c>
      <c r="DJ190" s="64"/>
      <c r="DK190" s="74" t="s">
        <v>1258</v>
      </c>
      <c r="DL190" s="73">
        <f t="shared" si="879"/>
        <v>0</v>
      </c>
      <c r="DM190" s="64"/>
      <c r="DN190" s="795" t="s">
        <v>111</v>
      </c>
      <c r="DO190" s="73">
        <f t="shared" si="880"/>
        <v>0</v>
      </c>
      <c r="DP190" s="64"/>
      <c r="DQ190" s="795" t="s">
        <v>1258</v>
      </c>
      <c r="DR190" s="73">
        <f t="shared" si="881"/>
        <v>0</v>
      </c>
      <c r="DS190" s="64"/>
      <c r="DT190" s="74" t="s">
        <v>134</v>
      </c>
      <c r="DU190" s="73">
        <f t="shared" si="882"/>
        <v>0</v>
      </c>
      <c r="DV190" s="64"/>
      <c r="DW190" s="74" t="s">
        <v>111</v>
      </c>
      <c r="DX190" s="73">
        <f t="shared" si="883"/>
        <v>0</v>
      </c>
      <c r="DY190" s="64"/>
      <c r="DZ190" s="74" t="s">
        <v>111</v>
      </c>
      <c r="EA190" s="73">
        <f t="shared" si="884"/>
        <v>0</v>
      </c>
      <c r="EB190" s="64"/>
      <c r="EC190" s="74" t="s">
        <v>111</v>
      </c>
      <c r="ED190" s="73">
        <f t="shared" si="885"/>
        <v>0</v>
      </c>
      <c r="EE190" s="64"/>
      <c r="EF190" s="74" t="s">
        <v>111</v>
      </c>
      <c r="EG190" s="73">
        <f t="shared" si="886"/>
        <v>0</v>
      </c>
      <c r="EH190" s="64"/>
      <c r="EI190" s="74"/>
      <c r="EJ190" s="73">
        <f t="shared" si="887"/>
        <v>0</v>
      </c>
      <c r="EK190" s="64"/>
      <c r="EL190" s="74"/>
      <c r="EM190" s="73">
        <f t="shared" si="888"/>
        <v>0</v>
      </c>
      <c r="EN190" s="64"/>
      <c r="EO190" s="74"/>
      <c r="EP190" s="73">
        <f t="shared" si="889"/>
        <v>0</v>
      </c>
      <c r="EQ190" s="64"/>
      <c r="ER190" s="74"/>
      <c r="ES190" s="73">
        <f t="shared" si="890"/>
        <v>0</v>
      </c>
      <c r="ET190" s="64"/>
      <c r="EU190" s="74"/>
      <c r="EV190" s="73">
        <f t="shared" si="891"/>
        <v>0</v>
      </c>
      <c r="EW190" s="64"/>
      <c r="EX190" s="74"/>
      <c r="EY190" s="73">
        <f t="shared" si="892"/>
        <v>0</v>
      </c>
      <c r="EZ190" s="64"/>
      <c r="FA190" s="74"/>
      <c r="FB190" s="73">
        <f t="shared" si="893"/>
        <v>0</v>
      </c>
      <c r="FC190" s="64"/>
      <c r="FD190" s="74"/>
      <c r="FE190" s="73">
        <f t="shared" si="894"/>
        <v>0</v>
      </c>
      <c r="FF190" s="64"/>
      <c r="FG190" s="74"/>
      <c r="FH190" s="73">
        <f t="shared" si="895"/>
        <v>0</v>
      </c>
      <c r="FI190" s="64"/>
      <c r="FJ190" s="74"/>
      <c r="FK190" s="73">
        <f t="shared"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49"/>
      <c r="K191" s="56" t="str">
        <f>Idiomas!$D$199&amp;"-"&amp;ROWS($L$182:L191)</f>
        <v>Octavofinalista-10</v>
      </c>
      <c r="L191" s="53"/>
      <c r="M191" s="55" t="str">
        <f>WORLDCUP!AF121</f>
        <v>W77</v>
      </c>
      <c r="N191" s="25"/>
      <c r="O191" s="25"/>
      <c r="P191" s="25"/>
      <c r="Q191" s="25"/>
      <c r="R191" s="110"/>
      <c r="S191" s="74" t="s">
        <v>74</v>
      </c>
      <c r="T191" s="73">
        <f t="shared" si="847"/>
        <v>0</v>
      </c>
      <c r="U191" s="64"/>
      <c r="V191" s="74" t="s">
        <v>74</v>
      </c>
      <c r="W191" s="73">
        <f t="shared" si="848"/>
        <v>0</v>
      </c>
      <c r="X191" s="64"/>
      <c r="Y191" s="74" t="s">
        <v>74</v>
      </c>
      <c r="Z191" s="73">
        <f t="shared" si="849"/>
        <v>0</v>
      </c>
      <c r="AA191" s="64"/>
      <c r="AB191" s="74" t="s">
        <v>74</v>
      </c>
      <c r="AC191" s="73">
        <f t="shared" si="850"/>
        <v>0</v>
      </c>
      <c r="AD191" s="64"/>
      <c r="AE191" s="74" t="s">
        <v>74</v>
      </c>
      <c r="AF191" s="73">
        <f t="shared" si="851"/>
        <v>0</v>
      </c>
      <c r="AG191" s="64"/>
      <c r="AH191" s="74" t="s">
        <v>74</v>
      </c>
      <c r="AI191" s="73">
        <f t="shared" si="852"/>
        <v>0</v>
      </c>
      <c r="AJ191" s="64"/>
      <c r="AK191" s="74" t="s">
        <v>74</v>
      </c>
      <c r="AL191" s="73">
        <f t="shared" si="853"/>
        <v>0</v>
      </c>
      <c r="AM191" s="64"/>
      <c r="AN191" s="74" t="s">
        <v>74</v>
      </c>
      <c r="AO191" s="73">
        <f t="shared" si="854"/>
        <v>0</v>
      </c>
      <c r="AP191" s="64"/>
      <c r="AQ191" s="74" t="s">
        <v>74</v>
      </c>
      <c r="AR191" s="73">
        <f t="shared" si="855"/>
        <v>0</v>
      </c>
      <c r="AS191" s="64"/>
      <c r="AT191" s="74" t="s">
        <v>74</v>
      </c>
      <c r="AU191" s="73">
        <f t="shared" si="856"/>
        <v>0</v>
      </c>
      <c r="AV191" s="64"/>
      <c r="AW191" s="74" t="s">
        <v>74</v>
      </c>
      <c r="AX191" s="73">
        <f t="shared" si="857"/>
        <v>0</v>
      </c>
      <c r="AY191" s="64"/>
      <c r="AZ191" s="74" t="s">
        <v>74</v>
      </c>
      <c r="BA191" s="73">
        <f t="shared" si="858"/>
        <v>0</v>
      </c>
      <c r="BB191" s="64"/>
      <c r="BC191" s="74" t="s">
        <v>74</v>
      </c>
      <c r="BD191" s="73">
        <f t="shared" si="859"/>
        <v>0</v>
      </c>
      <c r="BE191" s="64"/>
      <c r="BF191" s="74" t="s">
        <v>74</v>
      </c>
      <c r="BG191" s="73">
        <f t="shared" si="860"/>
        <v>0</v>
      </c>
      <c r="BH191" s="64"/>
      <c r="BI191" s="74" t="s">
        <v>74</v>
      </c>
      <c r="BJ191" s="73">
        <f t="shared" si="861"/>
        <v>0</v>
      </c>
      <c r="BK191" s="64"/>
      <c r="BL191" s="74" t="s">
        <v>74</v>
      </c>
      <c r="BM191" s="73">
        <f t="shared" si="862"/>
        <v>0</v>
      </c>
      <c r="BN191" s="64"/>
      <c r="BO191" s="74" t="s">
        <v>74</v>
      </c>
      <c r="BP191" s="73">
        <f t="shared" si="863"/>
        <v>0</v>
      </c>
      <c r="BQ191" s="64"/>
      <c r="BR191" s="74" t="s">
        <v>74</v>
      </c>
      <c r="BS191" s="73">
        <f t="shared" si="864"/>
        <v>0</v>
      </c>
      <c r="BT191" s="64"/>
      <c r="BU191" s="74" t="s">
        <v>74</v>
      </c>
      <c r="BV191" s="73">
        <f t="shared" si="865"/>
        <v>0</v>
      </c>
      <c r="BW191" s="64"/>
      <c r="BX191" s="74" t="s">
        <v>74</v>
      </c>
      <c r="BY191" s="73">
        <f t="shared" si="866"/>
        <v>0</v>
      </c>
      <c r="BZ191" s="64"/>
      <c r="CA191" s="74" t="s">
        <v>74</v>
      </c>
      <c r="CB191" s="73">
        <f t="shared" si="867"/>
        <v>0</v>
      </c>
      <c r="CC191" s="64"/>
      <c r="CD191" s="74" t="s">
        <v>74</v>
      </c>
      <c r="CE191" s="73">
        <f t="shared" si="868"/>
        <v>0</v>
      </c>
      <c r="CF191" s="64"/>
      <c r="CG191" s="74" t="s">
        <v>74</v>
      </c>
      <c r="CH191" s="73">
        <f t="shared" si="869"/>
        <v>0</v>
      </c>
      <c r="CI191" s="64"/>
      <c r="CJ191" s="74" t="s">
        <v>74</v>
      </c>
      <c r="CK191" s="73">
        <f t="shared" si="870"/>
        <v>0</v>
      </c>
      <c r="CL191" s="64"/>
      <c r="CM191" s="74" t="s">
        <v>74</v>
      </c>
      <c r="CN191" s="73">
        <f t="shared" si="871"/>
        <v>0</v>
      </c>
      <c r="CO191" s="64"/>
      <c r="CP191" s="74" t="s">
        <v>74</v>
      </c>
      <c r="CQ191" s="73">
        <f t="shared" si="872"/>
        <v>0</v>
      </c>
      <c r="CR191" s="64"/>
      <c r="CS191" s="74" t="s">
        <v>74</v>
      </c>
      <c r="CT191" s="73">
        <f t="shared" si="873"/>
        <v>0</v>
      </c>
      <c r="CU191" s="64"/>
      <c r="CV191" s="74" t="s">
        <v>74</v>
      </c>
      <c r="CW191" s="73">
        <f t="shared" si="874"/>
        <v>0</v>
      </c>
      <c r="CX191" s="64"/>
      <c r="CY191" s="74" t="s">
        <v>74</v>
      </c>
      <c r="CZ191" s="73">
        <f t="shared" si="875"/>
        <v>0</v>
      </c>
      <c r="DA191" s="64"/>
      <c r="DB191" s="74" t="s">
        <v>74</v>
      </c>
      <c r="DC191" s="73">
        <f t="shared" si="876"/>
        <v>0</v>
      </c>
      <c r="DD191" s="64"/>
      <c r="DE191" s="74" t="s">
        <v>74</v>
      </c>
      <c r="DF191" s="73">
        <f t="shared" si="877"/>
        <v>0</v>
      </c>
      <c r="DG191" s="64"/>
      <c r="DH191" s="74" t="s">
        <v>74</v>
      </c>
      <c r="DI191" s="73">
        <f t="shared" si="878"/>
        <v>0</v>
      </c>
      <c r="DJ191" s="64"/>
      <c r="DK191" s="74" t="s">
        <v>74</v>
      </c>
      <c r="DL191" s="73">
        <f t="shared" si="879"/>
        <v>0</v>
      </c>
      <c r="DM191" s="64"/>
      <c r="DN191" s="795" t="s">
        <v>74</v>
      </c>
      <c r="DO191" s="73">
        <f t="shared" si="880"/>
        <v>0</v>
      </c>
      <c r="DP191" s="64"/>
      <c r="DQ191" s="795" t="s">
        <v>1318</v>
      </c>
      <c r="DR191" s="73">
        <f t="shared" si="881"/>
        <v>0</v>
      </c>
      <c r="DS191" s="64"/>
      <c r="DT191" s="74" t="s">
        <v>74</v>
      </c>
      <c r="DU191" s="73">
        <f t="shared" si="882"/>
        <v>0</v>
      </c>
      <c r="DV191" s="64"/>
      <c r="DW191" s="74" t="s">
        <v>74</v>
      </c>
      <c r="DX191" s="73">
        <f t="shared" si="883"/>
        <v>0</v>
      </c>
      <c r="DY191" s="64"/>
      <c r="DZ191" s="74" t="s">
        <v>74</v>
      </c>
      <c r="EA191" s="73">
        <f t="shared" si="884"/>
        <v>0</v>
      </c>
      <c r="EB191" s="64"/>
      <c r="EC191" s="74" t="s">
        <v>74</v>
      </c>
      <c r="ED191" s="73">
        <f t="shared" si="885"/>
        <v>0</v>
      </c>
      <c r="EE191" s="64"/>
      <c r="EF191" s="74" t="s">
        <v>1634</v>
      </c>
      <c r="EG191" s="73">
        <f t="shared" si="886"/>
        <v>0</v>
      </c>
      <c r="EH191" s="64"/>
      <c r="EI191" s="74"/>
      <c r="EJ191" s="73">
        <f t="shared" si="887"/>
        <v>0</v>
      </c>
      <c r="EK191" s="64"/>
      <c r="EL191" s="74"/>
      <c r="EM191" s="73">
        <f t="shared" si="888"/>
        <v>0</v>
      </c>
      <c r="EN191" s="64"/>
      <c r="EO191" s="74"/>
      <c r="EP191" s="73">
        <f t="shared" si="889"/>
        <v>0</v>
      </c>
      <c r="EQ191" s="64"/>
      <c r="ER191" s="74"/>
      <c r="ES191" s="73">
        <f t="shared" si="890"/>
        <v>0</v>
      </c>
      <c r="ET191" s="64"/>
      <c r="EU191" s="74"/>
      <c r="EV191" s="73">
        <f t="shared" si="891"/>
        <v>0</v>
      </c>
      <c r="EW191" s="64"/>
      <c r="EX191" s="74"/>
      <c r="EY191" s="73">
        <f t="shared" si="892"/>
        <v>0</v>
      </c>
      <c r="EZ191" s="64"/>
      <c r="FA191" s="74"/>
      <c r="FB191" s="73">
        <f t="shared" si="893"/>
        <v>0</v>
      </c>
      <c r="FC191" s="64"/>
      <c r="FD191" s="74"/>
      <c r="FE191" s="73">
        <f t="shared" si="894"/>
        <v>0</v>
      </c>
      <c r="FF191" s="64"/>
      <c r="FG191" s="74"/>
      <c r="FH191" s="73">
        <f t="shared" si="895"/>
        <v>0</v>
      </c>
      <c r="FI191" s="64"/>
      <c r="FJ191" s="74"/>
      <c r="FK191" s="73">
        <f t="shared"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49"/>
      <c r="K192" s="56" t="str">
        <f>Idiomas!$D$199&amp;"-"&amp;ROWS($L$182:L192)</f>
        <v>Octavofinalista-11</v>
      </c>
      <c r="L192" s="53"/>
      <c r="M192" s="55" t="str">
        <f>WORLDCUP!AF122</f>
        <v>W78</v>
      </c>
      <c r="N192" s="25"/>
      <c r="O192" s="25"/>
      <c r="P192" s="25"/>
      <c r="Q192" s="25"/>
      <c r="R192" s="110"/>
      <c r="S192" s="74" t="s">
        <v>135</v>
      </c>
      <c r="T192" s="73">
        <f t="shared" si="847"/>
        <v>0</v>
      </c>
      <c r="U192" s="64"/>
      <c r="V192" s="74" t="s">
        <v>1634</v>
      </c>
      <c r="W192" s="73">
        <f t="shared" si="848"/>
        <v>0</v>
      </c>
      <c r="X192" s="64"/>
      <c r="Y192" s="74" t="s">
        <v>135</v>
      </c>
      <c r="Z192" s="73">
        <f t="shared" si="849"/>
        <v>0</v>
      </c>
      <c r="AA192" s="64"/>
      <c r="AB192" s="74" t="s">
        <v>135</v>
      </c>
      <c r="AC192" s="73">
        <f t="shared" si="850"/>
        <v>0</v>
      </c>
      <c r="AD192" s="64"/>
      <c r="AE192" s="74" t="s">
        <v>135</v>
      </c>
      <c r="AF192" s="73">
        <f t="shared" si="851"/>
        <v>0</v>
      </c>
      <c r="AG192" s="64"/>
      <c r="AH192" s="74" t="s">
        <v>135</v>
      </c>
      <c r="AI192" s="73">
        <f t="shared" si="852"/>
        <v>0</v>
      </c>
      <c r="AJ192" s="64"/>
      <c r="AK192" s="74" t="s">
        <v>1261</v>
      </c>
      <c r="AL192" s="73">
        <f t="shared" si="853"/>
        <v>0</v>
      </c>
      <c r="AM192" s="64"/>
      <c r="AN192" s="74" t="s">
        <v>135</v>
      </c>
      <c r="AO192" s="73">
        <f t="shared" si="854"/>
        <v>0</v>
      </c>
      <c r="AP192" s="64"/>
      <c r="AQ192" s="74" t="s">
        <v>135</v>
      </c>
      <c r="AR192" s="73">
        <f t="shared" si="855"/>
        <v>0</v>
      </c>
      <c r="AS192" s="64"/>
      <c r="AT192" s="74" t="s">
        <v>1261</v>
      </c>
      <c r="AU192" s="73">
        <f t="shared" si="856"/>
        <v>0</v>
      </c>
      <c r="AV192" s="64"/>
      <c r="AW192" s="74" t="s">
        <v>1633</v>
      </c>
      <c r="AX192" s="73">
        <f t="shared" si="857"/>
        <v>0</v>
      </c>
      <c r="AY192" s="64"/>
      <c r="AZ192" s="74" t="s">
        <v>135</v>
      </c>
      <c r="BA192" s="73">
        <f t="shared" si="858"/>
        <v>0</v>
      </c>
      <c r="BB192" s="64"/>
      <c r="BC192" s="74" t="s">
        <v>1261</v>
      </c>
      <c r="BD192" s="73">
        <f t="shared" si="859"/>
        <v>0</v>
      </c>
      <c r="BE192" s="64"/>
      <c r="BF192" s="74" t="s">
        <v>135</v>
      </c>
      <c r="BG192" s="73">
        <f t="shared" si="860"/>
        <v>0</v>
      </c>
      <c r="BH192" s="64"/>
      <c r="BI192" s="74" t="s">
        <v>135</v>
      </c>
      <c r="BJ192" s="73">
        <f t="shared" si="861"/>
        <v>0</v>
      </c>
      <c r="BK192" s="64"/>
      <c r="BL192" s="74" t="s">
        <v>1634</v>
      </c>
      <c r="BM192" s="73">
        <f t="shared" si="862"/>
        <v>0</v>
      </c>
      <c r="BN192" s="64"/>
      <c r="BO192" s="74" t="s">
        <v>1633</v>
      </c>
      <c r="BP192" s="73">
        <f t="shared" si="863"/>
        <v>0</v>
      </c>
      <c r="BQ192" s="64"/>
      <c r="BR192" s="74" t="s">
        <v>1261</v>
      </c>
      <c r="BS192" s="73">
        <f t="shared" si="864"/>
        <v>0</v>
      </c>
      <c r="BT192" s="64"/>
      <c r="BU192" s="74" t="s">
        <v>1633</v>
      </c>
      <c r="BV192" s="73">
        <f t="shared" si="865"/>
        <v>0</v>
      </c>
      <c r="BW192" s="64"/>
      <c r="BX192" s="74" t="s">
        <v>1634</v>
      </c>
      <c r="BY192" s="73">
        <f t="shared" si="866"/>
        <v>0</v>
      </c>
      <c r="BZ192" s="64"/>
      <c r="CA192" s="74" t="s">
        <v>1634</v>
      </c>
      <c r="CB192" s="73">
        <f t="shared" si="867"/>
        <v>0</v>
      </c>
      <c r="CC192" s="64"/>
      <c r="CD192" s="74" t="s">
        <v>135</v>
      </c>
      <c r="CE192" s="73">
        <f t="shared" si="868"/>
        <v>0</v>
      </c>
      <c r="CF192" s="64"/>
      <c r="CG192" s="74" t="s">
        <v>1633</v>
      </c>
      <c r="CH192" s="73">
        <f t="shared" si="869"/>
        <v>0</v>
      </c>
      <c r="CI192" s="64"/>
      <c r="CJ192" s="74" t="s">
        <v>135</v>
      </c>
      <c r="CK192" s="73">
        <f t="shared" si="870"/>
        <v>0</v>
      </c>
      <c r="CL192" s="64"/>
      <c r="CM192" s="74" t="s">
        <v>135</v>
      </c>
      <c r="CN192" s="73">
        <f t="shared" si="871"/>
        <v>0</v>
      </c>
      <c r="CO192" s="64"/>
      <c r="CP192" s="74" t="s">
        <v>135</v>
      </c>
      <c r="CQ192" s="73">
        <f t="shared" si="872"/>
        <v>0</v>
      </c>
      <c r="CR192" s="64"/>
      <c r="CS192" s="74" t="s">
        <v>1633</v>
      </c>
      <c r="CT192" s="73">
        <f t="shared" si="873"/>
        <v>0</v>
      </c>
      <c r="CU192" s="64"/>
      <c r="CV192" s="74" t="s">
        <v>135</v>
      </c>
      <c r="CW192" s="73">
        <f t="shared" si="874"/>
        <v>0</v>
      </c>
      <c r="CX192" s="64"/>
      <c r="CY192" s="74" t="s">
        <v>135</v>
      </c>
      <c r="CZ192" s="73">
        <f t="shared" si="875"/>
        <v>0</v>
      </c>
      <c r="DA192" s="64"/>
      <c r="DB192" s="74" t="s">
        <v>135</v>
      </c>
      <c r="DC192" s="73">
        <f t="shared" si="876"/>
        <v>0</v>
      </c>
      <c r="DD192" s="64"/>
      <c r="DE192" s="74" t="s">
        <v>1261</v>
      </c>
      <c r="DF192" s="73">
        <f t="shared" si="877"/>
        <v>0</v>
      </c>
      <c r="DG192" s="64"/>
      <c r="DH192" s="74" t="s">
        <v>1261</v>
      </c>
      <c r="DI192" s="73">
        <f t="shared" si="878"/>
        <v>0</v>
      </c>
      <c r="DJ192" s="64"/>
      <c r="DK192" s="74" t="s">
        <v>1261</v>
      </c>
      <c r="DL192" s="73">
        <f t="shared" si="879"/>
        <v>0</v>
      </c>
      <c r="DM192" s="64"/>
      <c r="DN192" s="795" t="s">
        <v>135</v>
      </c>
      <c r="DO192" s="73">
        <f t="shared" si="880"/>
        <v>0</v>
      </c>
      <c r="DP192" s="64"/>
      <c r="DQ192" s="795" t="s">
        <v>1261</v>
      </c>
      <c r="DR192" s="73">
        <f t="shared" si="881"/>
        <v>0</v>
      </c>
      <c r="DS192" s="64"/>
      <c r="DT192" s="74" t="s">
        <v>135</v>
      </c>
      <c r="DU192" s="73">
        <f t="shared" si="882"/>
        <v>0</v>
      </c>
      <c r="DV192" s="64"/>
      <c r="DW192" s="74" t="s">
        <v>135</v>
      </c>
      <c r="DX192" s="73">
        <f t="shared" si="883"/>
        <v>0</v>
      </c>
      <c r="DY192" s="64"/>
      <c r="DZ192" s="74" t="s">
        <v>135</v>
      </c>
      <c r="EA192" s="73">
        <f t="shared" si="884"/>
        <v>0</v>
      </c>
      <c r="EB192" s="64"/>
      <c r="EC192" s="74" t="s">
        <v>1261</v>
      </c>
      <c r="ED192" s="73">
        <f t="shared" si="885"/>
        <v>0</v>
      </c>
      <c r="EE192" s="64"/>
      <c r="EF192" s="74" t="s">
        <v>74</v>
      </c>
      <c r="EG192" s="73">
        <f t="shared" si="886"/>
        <v>0</v>
      </c>
      <c r="EH192" s="64"/>
      <c r="EI192" s="74"/>
      <c r="EJ192" s="73">
        <f t="shared" si="887"/>
        <v>0</v>
      </c>
      <c r="EK192" s="64"/>
      <c r="EL192" s="74"/>
      <c r="EM192" s="73">
        <f t="shared" si="888"/>
        <v>0</v>
      </c>
      <c r="EN192" s="64"/>
      <c r="EO192" s="74"/>
      <c r="EP192" s="73">
        <f t="shared" si="889"/>
        <v>0</v>
      </c>
      <c r="EQ192" s="64"/>
      <c r="ER192" s="74"/>
      <c r="ES192" s="73">
        <f t="shared" si="890"/>
        <v>0</v>
      </c>
      <c r="ET192" s="64"/>
      <c r="EU192" s="74"/>
      <c r="EV192" s="73">
        <f t="shared" si="891"/>
        <v>0</v>
      </c>
      <c r="EW192" s="64"/>
      <c r="EX192" s="74"/>
      <c r="EY192" s="73">
        <f t="shared" si="892"/>
        <v>0</v>
      </c>
      <c r="EZ192" s="64"/>
      <c r="FA192" s="74"/>
      <c r="FB192" s="73">
        <f t="shared" si="893"/>
        <v>0</v>
      </c>
      <c r="FC192" s="64"/>
      <c r="FD192" s="74"/>
      <c r="FE192" s="73">
        <f t="shared" si="894"/>
        <v>0</v>
      </c>
      <c r="FF192" s="64"/>
      <c r="FG192" s="74"/>
      <c r="FH192" s="73">
        <f t="shared" si="895"/>
        <v>0</v>
      </c>
      <c r="FI192" s="64"/>
      <c r="FJ192" s="74"/>
      <c r="FK192" s="73">
        <f t="shared"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49"/>
      <c r="K193" s="56" t="str">
        <f>Idiomas!$D$199&amp;"-"&amp;ROWS($L$182:L193)</f>
        <v>Octavofinalista-12</v>
      </c>
      <c r="L193" s="53"/>
      <c r="M193" s="55" t="str">
        <f>WORLDCUP!AF123</f>
        <v>W80</v>
      </c>
      <c r="N193" s="25"/>
      <c r="O193" s="25"/>
      <c r="P193" s="25"/>
      <c r="Q193" s="25"/>
      <c r="R193" s="110"/>
      <c r="S193" s="74" t="s">
        <v>76</v>
      </c>
      <c r="T193" s="73">
        <f t="shared" si="847"/>
        <v>0</v>
      </c>
      <c r="U193" s="64"/>
      <c r="V193" s="74" t="s">
        <v>76</v>
      </c>
      <c r="W193" s="73">
        <f t="shared" si="848"/>
        <v>0</v>
      </c>
      <c r="X193" s="64"/>
      <c r="Y193" s="74" t="s">
        <v>76</v>
      </c>
      <c r="Z193" s="73">
        <f t="shared" si="849"/>
        <v>0</v>
      </c>
      <c r="AA193" s="64"/>
      <c r="AB193" s="74" t="s">
        <v>76</v>
      </c>
      <c r="AC193" s="73">
        <f t="shared" si="850"/>
        <v>0</v>
      </c>
      <c r="AD193" s="64"/>
      <c r="AE193" s="74" t="s">
        <v>76</v>
      </c>
      <c r="AF193" s="73">
        <f t="shared" si="851"/>
        <v>0</v>
      </c>
      <c r="AG193" s="64"/>
      <c r="AH193" s="74" t="s">
        <v>78</v>
      </c>
      <c r="AI193" s="73">
        <f t="shared" si="852"/>
        <v>0</v>
      </c>
      <c r="AJ193" s="64"/>
      <c r="AK193" s="74" t="s">
        <v>76</v>
      </c>
      <c r="AL193" s="73">
        <f t="shared" si="853"/>
        <v>0</v>
      </c>
      <c r="AM193" s="64"/>
      <c r="AN193" s="74" t="s">
        <v>76</v>
      </c>
      <c r="AO193" s="73">
        <f t="shared" si="854"/>
        <v>0</v>
      </c>
      <c r="AP193" s="64"/>
      <c r="AQ193" s="74" t="s">
        <v>76</v>
      </c>
      <c r="AR193" s="73">
        <f t="shared" si="855"/>
        <v>0</v>
      </c>
      <c r="AS193" s="64"/>
      <c r="AT193" s="74" t="s">
        <v>76</v>
      </c>
      <c r="AU193" s="73">
        <f t="shared" si="856"/>
        <v>0</v>
      </c>
      <c r="AV193" s="64"/>
      <c r="AW193" s="74" t="s">
        <v>76</v>
      </c>
      <c r="AX193" s="73">
        <f t="shared" si="857"/>
        <v>0</v>
      </c>
      <c r="AY193" s="64"/>
      <c r="AZ193" s="74" t="s">
        <v>76</v>
      </c>
      <c r="BA193" s="73">
        <f t="shared" si="858"/>
        <v>0</v>
      </c>
      <c r="BB193" s="64"/>
      <c r="BC193" s="74" t="s">
        <v>78</v>
      </c>
      <c r="BD193" s="73">
        <f t="shared" si="859"/>
        <v>0</v>
      </c>
      <c r="BE193" s="64"/>
      <c r="BF193" s="74" t="s">
        <v>76</v>
      </c>
      <c r="BG193" s="73">
        <f t="shared" si="860"/>
        <v>0</v>
      </c>
      <c r="BH193" s="64"/>
      <c r="BI193" s="74" t="s">
        <v>76</v>
      </c>
      <c r="BJ193" s="73">
        <f t="shared" si="861"/>
        <v>0</v>
      </c>
      <c r="BK193" s="64"/>
      <c r="BL193" s="74" t="s">
        <v>76</v>
      </c>
      <c r="BM193" s="73">
        <f t="shared" si="862"/>
        <v>0</v>
      </c>
      <c r="BN193" s="64"/>
      <c r="BO193" s="74" t="s">
        <v>76</v>
      </c>
      <c r="BP193" s="73">
        <f t="shared" si="863"/>
        <v>0</v>
      </c>
      <c r="BQ193" s="64"/>
      <c r="BR193" s="74" t="s">
        <v>76</v>
      </c>
      <c r="BS193" s="73">
        <f t="shared" si="864"/>
        <v>0</v>
      </c>
      <c r="BT193" s="64"/>
      <c r="BU193" s="74" t="s">
        <v>76</v>
      </c>
      <c r="BV193" s="73">
        <f t="shared" si="865"/>
        <v>0</v>
      </c>
      <c r="BW193" s="64"/>
      <c r="BX193" s="74" t="s">
        <v>76</v>
      </c>
      <c r="BY193" s="73">
        <f t="shared" si="866"/>
        <v>0</v>
      </c>
      <c r="BZ193" s="64"/>
      <c r="CA193" s="74" t="s">
        <v>76</v>
      </c>
      <c r="CB193" s="73">
        <f t="shared" si="867"/>
        <v>0</v>
      </c>
      <c r="CC193" s="64"/>
      <c r="CD193" s="74" t="s">
        <v>78</v>
      </c>
      <c r="CE193" s="73">
        <f t="shared" si="868"/>
        <v>0</v>
      </c>
      <c r="CF193" s="64"/>
      <c r="CG193" s="74" t="s">
        <v>76</v>
      </c>
      <c r="CH193" s="73">
        <f t="shared" si="869"/>
        <v>0</v>
      </c>
      <c r="CI193" s="64"/>
      <c r="CJ193" s="74" t="s">
        <v>76</v>
      </c>
      <c r="CK193" s="73">
        <f t="shared" si="870"/>
        <v>0</v>
      </c>
      <c r="CL193" s="64"/>
      <c r="CM193" s="74" t="s">
        <v>76</v>
      </c>
      <c r="CN193" s="73">
        <f t="shared" si="871"/>
        <v>0</v>
      </c>
      <c r="CO193" s="64"/>
      <c r="CP193" s="74" t="s">
        <v>76</v>
      </c>
      <c r="CQ193" s="73">
        <f t="shared" si="872"/>
        <v>0</v>
      </c>
      <c r="CR193" s="64"/>
      <c r="CS193" s="74" t="s">
        <v>76</v>
      </c>
      <c r="CT193" s="73">
        <f t="shared" si="873"/>
        <v>0</v>
      </c>
      <c r="CU193" s="64"/>
      <c r="CV193" s="74" t="s">
        <v>76</v>
      </c>
      <c r="CW193" s="73">
        <f t="shared" si="874"/>
        <v>0</v>
      </c>
      <c r="CX193" s="64"/>
      <c r="CY193" s="74" t="s">
        <v>76</v>
      </c>
      <c r="CZ193" s="73">
        <f t="shared" si="875"/>
        <v>0</v>
      </c>
      <c r="DA193" s="64"/>
      <c r="DB193" s="74" t="s">
        <v>76</v>
      </c>
      <c r="DC193" s="73">
        <f t="shared" si="876"/>
        <v>0</v>
      </c>
      <c r="DD193" s="64"/>
      <c r="DE193" s="74" t="s">
        <v>135</v>
      </c>
      <c r="DF193" s="73">
        <f t="shared" si="877"/>
        <v>0</v>
      </c>
      <c r="DG193" s="64"/>
      <c r="DH193" s="74" t="s">
        <v>76</v>
      </c>
      <c r="DI193" s="73">
        <f t="shared" si="878"/>
        <v>0</v>
      </c>
      <c r="DJ193" s="64"/>
      <c r="DK193" s="74" t="s">
        <v>1634</v>
      </c>
      <c r="DL193" s="73">
        <f t="shared" si="879"/>
        <v>0</v>
      </c>
      <c r="DM193" s="64"/>
      <c r="DN193" s="795" t="s">
        <v>76</v>
      </c>
      <c r="DO193" s="73">
        <f t="shared" si="880"/>
        <v>0</v>
      </c>
      <c r="DP193" s="64"/>
      <c r="DQ193" s="795" t="s">
        <v>78</v>
      </c>
      <c r="DR193" s="73">
        <f t="shared" si="881"/>
        <v>0</v>
      </c>
      <c r="DS193" s="64"/>
      <c r="DT193" s="74" t="s">
        <v>78</v>
      </c>
      <c r="DU193" s="73">
        <f t="shared" si="882"/>
        <v>0</v>
      </c>
      <c r="DV193" s="64"/>
      <c r="DW193" s="74" t="s">
        <v>76</v>
      </c>
      <c r="DX193" s="73">
        <f t="shared" si="883"/>
        <v>0</v>
      </c>
      <c r="DY193" s="64"/>
      <c r="DZ193" s="74" t="s">
        <v>76</v>
      </c>
      <c r="EA193" s="73">
        <f t="shared" si="884"/>
        <v>0</v>
      </c>
      <c r="EB193" s="64"/>
      <c r="EC193" s="74" t="s">
        <v>76</v>
      </c>
      <c r="ED193" s="73">
        <f t="shared" si="885"/>
        <v>0</v>
      </c>
      <c r="EE193" s="64"/>
      <c r="EF193" s="74" t="s">
        <v>76</v>
      </c>
      <c r="EG193" s="73">
        <f t="shared" si="886"/>
        <v>0</v>
      </c>
      <c r="EH193" s="64"/>
      <c r="EI193" s="74"/>
      <c r="EJ193" s="73">
        <f t="shared" si="887"/>
        <v>0</v>
      </c>
      <c r="EK193" s="64"/>
      <c r="EL193" s="74"/>
      <c r="EM193" s="73">
        <f t="shared" si="888"/>
        <v>0</v>
      </c>
      <c r="EN193" s="64"/>
      <c r="EO193" s="74"/>
      <c r="EP193" s="73">
        <f t="shared" si="889"/>
        <v>0</v>
      </c>
      <c r="EQ193" s="64"/>
      <c r="ER193" s="74"/>
      <c r="ES193" s="73">
        <f t="shared" si="890"/>
        <v>0</v>
      </c>
      <c r="ET193" s="64"/>
      <c r="EU193" s="74"/>
      <c r="EV193" s="73">
        <f t="shared" si="891"/>
        <v>0</v>
      </c>
      <c r="EW193" s="64"/>
      <c r="EX193" s="74"/>
      <c r="EY193" s="73">
        <f t="shared" si="892"/>
        <v>0</v>
      </c>
      <c r="EZ193" s="64"/>
      <c r="FA193" s="74"/>
      <c r="FB193" s="73">
        <f t="shared" si="893"/>
        <v>0</v>
      </c>
      <c r="FC193" s="64"/>
      <c r="FD193" s="74"/>
      <c r="FE193" s="73">
        <f t="shared" si="894"/>
        <v>0</v>
      </c>
      <c r="FF193" s="64"/>
      <c r="FG193" s="74"/>
      <c r="FH193" s="73">
        <f t="shared" si="895"/>
        <v>0</v>
      </c>
      <c r="FI193" s="64"/>
      <c r="FJ193" s="74"/>
      <c r="FK193" s="73">
        <f t="shared"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49"/>
      <c r="K194" s="56" t="str">
        <f>Idiomas!$D$199&amp;"-"&amp;ROWS($L$182:L194)</f>
        <v>Octavofinalista-13</v>
      </c>
      <c r="L194" s="53"/>
      <c r="M194" s="55" t="str">
        <f>WORLDCUP!AF124</f>
        <v>W84</v>
      </c>
      <c r="N194" s="25"/>
      <c r="O194" s="25"/>
      <c r="P194" s="25"/>
      <c r="Q194" s="25"/>
      <c r="R194" s="110"/>
      <c r="S194" s="74" t="s">
        <v>38</v>
      </c>
      <c r="T194" s="73">
        <f t="shared" si="847"/>
        <v>0</v>
      </c>
      <c r="U194" s="64"/>
      <c r="V194" s="74" t="s">
        <v>38</v>
      </c>
      <c r="W194" s="73">
        <f t="shared" si="848"/>
        <v>0</v>
      </c>
      <c r="X194" s="64"/>
      <c r="Y194" s="74" t="s">
        <v>38</v>
      </c>
      <c r="Z194" s="73">
        <f t="shared" si="849"/>
        <v>0</v>
      </c>
      <c r="AA194" s="64"/>
      <c r="AB194" s="74" t="s">
        <v>38</v>
      </c>
      <c r="AC194" s="73">
        <f t="shared" si="850"/>
        <v>0</v>
      </c>
      <c r="AD194" s="64"/>
      <c r="AE194" s="74" t="s">
        <v>38</v>
      </c>
      <c r="AF194" s="73">
        <f t="shared" si="851"/>
        <v>0</v>
      </c>
      <c r="AG194" s="64"/>
      <c r="AH194" s="74" t="s">
        <v>38</v>
      </c>
      <c r="AI194" s="73">
        <f t="shared" si="852"/>
        <v>0</v>
      </c>
      <c r="AJ194" s="64"/>
      <c r="AK194" s="74" t="s">
        <v>38</v>
      </c>
      <c r="AL194" s="73">
        <f t="shared" si="853"/>
        <v>0</v>
      </c>
      <c r="AM194" s="64"/>
      <c r="AN194" s="74" t="s">
        <v>38</v>
      </c>
      <c r="AO194" s="73">
        <f t="shared" si="854"/>
        <v>0</v>
      </c>
      <c r="AP194" s="64"/>
      <c r="AQ194" s="74" t="s">
        <v>38</v>
      </c>
      <c r="AR194" s="73">
        <f t="shared" si="855"/>
        <v>0</v>
      </c>
      <c r="AS194" s="64"/>
      <c r="AT194" s="74" t="s">
        <v>38</v>
      </c>
      <c r="AU194" s="73">
        <f t="shared" si="856"/>
        <v>0</v>
      </c>
      <c r="AV194" s="64"/>
      <c r="AW194" s="74" t="s">
        <v>38</v>
      </c>
      <c r="AX194" s="73">
        <f t="shared" si="857"/>
        <v>0</v>
      </c>
      <c r="AY194" s="64"/>
      <c r="AZ194" s="74" t="s">
        <v>38</v>
      </c>
      <c r="BA194" s="73">
        <f t="shared" si="858"/>
        <v>0</v>
      </c>
      <c r="BB194" s="64"/>
      <c r="BC194" s="74" t="s">
        <v>38</v>
      </c>
      <c r="BD194" s="73">
        <f t="shared" si="859"/>
        <v>0</v>
      </c>
      <c r="BE194" s="64"/>
      <c r="BF194" s="74" t="s">
        <v>38</v>
      </c>
      <c r="BG194" s="73">
        <f t="shared" si="860"/>
        <v>0</v>
      </c>
      <c r="BH194" s="64"/>
      <c r="BI194" s="74" t="s">
        <v>38</v>
      </c>
      <c r="BJ194" s="73">
        <f t="shared" si="861"/>
        <v>0</v>
      </c>
      <c r="BK194" s="64"/>
      <c r="BL194" s="74" t="s">
        <v>38</v>
      </c>
      <c r="BM194" s="73">
        <f t="shared" si="862"/>
        <v>0</v>
      </c>
      <c r="BN194" s="64"/>
      <c r="BO194" s="74" t="s">
        <v>38</v>
      </c>
      <c r="BP194" s="73">
        <f t="shared" si="863"/>
        <v>0</v>
      </c>
      <c r="BQ194" s="64"/>
      <c r="BR194" s="74" t="s">
        <v>38</v>
      </c>
      <c r="BS194" s="73">
        <f t="shared" si="864"/>
        <v>0</v>
      </c>
      <c r="BT194" s="64"/>
      <c r="BU194" s="74" t="s">
        <v>38</v>
      </c>
      <c r="BV194" s="73">
        <f t="shared" si="865"/>
        <v>0</v>
      </c>
      <c r="BW194" s="64"/>
      <c r="BX194" s="74" t="s">
        <v>38</v>
      </c>
      <c r="BY194" s="73">
        <f t="shared" si="866"/>
        <v>0</v>
      </c>
      <c r="BZ194" s="64"/>
      <c r="CA194" s="74" t="s">
        <v>38</v>
      </c>
      <c r="CB194" s="73">
        <f t="shared" si="867"/>
        <v>0</v>
      </c>
      <c r="CC194" s="64"/>
      <c r="CD194" s="74" t="s">
        <v>38</v>
      </c>
      <c r="CE194" s="73">
        <f t="shared" si="868"/>
        <v>0</v>
      </c>
      <c r="CF194" s="64"/>
      <c r="CG194" s="74" t="s">
        <v>38</v>
      </c>
      <c r="CH194" s="73">
        <f t="shared" si="869"/>
        <v>0</v>
      </c>
      <c r="CI194" s="64"/>
      <c r="CJ194" s="74" t="s">
        <v>38</v>
      </c>
      <c r="CK194" s="73">
        <f t="shared" si="870"/>
        <v>0</v>
      </c>
      <c r="CL194" s="64"/>
      <c r="CM194" s="74" t="s">
        <v>38</v>
      </c>
      <c r="CN194" s="73">
        <f t="shared" si="871"/>
        <v>0</v>
      </c>
      <c r="CO194" s="64"/>
      <c r="CP194" s="74" t="s">
        <v>38</v>
      </c>
      <c r="CQ194" s="73">
        <f t="shared" si="872"/>
        <v>0</v>
      </c>
      <c r="CR194" s="64"/>
      <c r="CS194" s="74" t="s">
        <v>38</v>
      </c>
      <c r="CT194" s="73">
        <f t="shared" si="873"/>
        <v>0</v>
      </c>
      <c r="CU194" s="64"/>
      <c r="CV194" s="74" t="s">
        <v>38</v>
      </c>
      <c r="CW194" s="73">
        <f t="shared" si="874"/>
        <v>0</v>
      </c>
      <c r="CX194" s="64"/>
      <c r="CY194" s="74" t="s">
        <v>38</v>
      </c>
      <c r="CZ194" s="73">
        <f t="shared" si="875"/>
        <v>0</v>
      </c>
      <c r="DA194" s="64"/>
      <c r="DB194" s="74" t="s">
        <v>38</v>
      </c>
      <c r="DC194" s="73">
        <f t="shared" si="876"/>
        <v>0</v>
      </c>
      <c r="DD194" s="64"/>
      <c r="DE194" s="74" t="s">
        <v>38</v>
      </c>
      <c r="DF194" s="73">
        <f t="shared" si="877"/>
        <v>0</v>
      </c>
      <c r="DG194" s="64"/>
      <c r="DH194" s="74" t="s">
        <v>38</v>
      </c>
      <c r="DI194" s="73">
        <f t="shared" si="878"/>
        <v>0</v>
      </c>
      <c r="DJ194" s="64"/>
      <c r="DK194" s="74" t="s">
        <v>38</v>
      </c>
      <c r="DL194" s="73">
        <f t="shared" si="879"/>
        <v>0</v>
      </c>
      <c r="DM194" s="64"/>
      <c r="DN194" s="795" t="s">
        <v>38</v>
      </c>
      <c r="DO194" s="73">
        <f t="shared" si="880"/>
        <v>0</v>
      </c>
      <c r="DP194" s="64"/>
      <c r="DQ194" s="795" t="s">
        <v>38</v>
      </c>
      <c r="DR194" s="73">
        <f t="shared" si="881"/>
        <v>0</v>
      </c>
      <c r="DS194" s="64"/>
      <c r="DT194" s="74" t="s">
        <v>38</v>
      </c>
      <c r="DU194" s="73">
        <f t="shared" si="882"/>
        <v>0</v>
      </c>
      <c r="DV194" s="64"/>
      <c r="DW194" s="74" t="s">
        <v>38</v>
      </c>
      <c r="DX194" s="73">
        <f t="shared" si="883"/>
        <v>0</v>
      </c>
      <c r="DY194" s="64"/>
      <c r="DZ194" s="74" t="s">
        <v>38</v>
      </c>
      <c r="EA194" s="73">
        <f t="shared" si="884"/>
        <v>0</v>
      </c>
      <c r="EB194" s="64"/>
      <c r="EC194" s="74" t="s">
        <v>38</v>
      </c>
      <c r="ED194" s="73">
        <f t="shared" si="885"/>
        <v>0</v>
      </c>
      <c r="EE194" s="64"/>
      <c r="EF194" s="74" t="s">
        <v>38</v>
      </c>
      <c r="EG194" s="73">
        <f t="shared" si="886"/>
        <v>0</v>
      </c>
      <c r="EH194" s="64"/>
      <c r="EI194" s="74"/>
      <c r="EJ194" s="73">
        <f t="shared" si="887"/>
        <v>0</v>
      </c>
      <c r="EK194" s="64"/>
      <c r="EL194" s="74"/>
      <c r="EM194" s="73">
        <f t="shared" si="888"/>
        <v>0</v>
      </c>
      <c r="EN194" s="64"/>
      <c r="EO194" s="74"/>
      <c r="EP194" s="73">
        <f t="shared" si="889"/>
        <v>0</v>
      </c>
      <c r="EQ194" s="64"/>
      <c r="ER194" s="74"/>
      <c r="ES194" s="73">
        <f t="shared" si="890"/>
        <v>0</v>
      </c>
      <c r="ET194" s="64"/>
      <c r="EU194" s="74"/>
      <c r="EV194" s="73">
        <f t="shared" si="891"/>
        <v>0</v>
      </c>
      <c r="EW194" s="64"/>
      <c r="EX194" s="74"/>
      <c r="EY194" s="73">
        <f t="shared" si="892"/>
        <v>0</v>
      </c>
      <c r="EZ194" s="64"/>
      <c r="FA194" s="74"/>
      <c r="FB194" s="73">
        <f t="shared" si="893"/>
        <v>0</v>
      </c>
      <c r="FC194" s="64"/>
      <c r="FD194" s="74"/>
      <c r="FE194" s="73">
        <f t="shared" si="894"/>
        <v>0</v>
      </c>
      <c r="FF194" s="64"/>
      <c r="FG194" s="74"/>
      <c r="FH194" s="73">
        <f t="shared" si="895"/>
        <v>0</v>
      </c>
      <c r="FI194" s="64"/>
      <c r="FJ194" s="74"/>
      <c r="FK194" s="73">
        <f t="shared"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49"/>
      <c r="K195" s="56" t="str">
        <f>Idiomas!$D$199&amp;"-"&amp;ROWS($L$182:L195)</f>
        <v>Octavofinalista-14</v>
      </c>
      <c r="L195" s="53"/>
      <c r="M195" s="55" t="str">
        <f>WORLDCUP!AF125</f>
        <v>W82</v>
      </c>
      <c r="N195" s="25"/>
      <c r="O195" s="25"/>
      <c r="P195" s="25"/>
      <c r="Q195" s="25"/>
      <c r="R195" s="110"/>
      <c r="S195" s="74" t="s">
        <v>1843</v>
      </c>
      <c r="T195" s="73">
        <f t="shared" si="847"/>
        <v>0</v>
      </c>
      <c r="U195" s="64"/>
      <c r="V195" s="74" t="s">
        <v>110</v>
      </c>
      <c r="W195" s="73">
        <f t="shared" si="848"/>
        <v>0</v>
      </c>
      <c r="X195" s="64"/>
      <c r="Y195" s="74" t="s">
        <v>110</v>
      </c>
      <c r="Z195" s="73">
        <f t="shared" si="849"/>
        <v>0</v>
      </c>
      <c r="AA195" s="64"/>
      <c r="AB195" s="74" t="s">
        <v>110</v>
      </c>
      <c r="AC195" s="73">
        <f t="shared" si="850"/>
        <v>0</v>
      </c>
      <c r="AD195" s="64"/>
      <c r="AE195" s="74" t="s">
        <v>110</v>
      </c>
      <c r="AF195" s="73">
        <f t="shared" si="851"/>
        <v>0</v>
      </c>
      <c r="AG195" s="64"/>
      <c r="AH195" s="74" t="s">
        <v>110</v>
      </c>
      <c r="AI195" s="73">
        <f t="shared" si="852"/>
        <v>0</v>
      </c>
      <c r="AJ195" s="64"/>
      <c r="AK195" s="74" t="s">
        <v>110</v>
      </c>
      <c r="AL195" s="73">
        <f t="shared" si="853"/>
        <v>0</v>
      </c>
      <c r="AM195" s="64"/>
      <c r="AN195" s="74" t="s">
        <v>110</v>
      </c>
      <c r="AO195" s="73">
        <f t="shared" si="854"/>
        <v>0</v>
      </c>
      <c r="AP195" s="64"/>
      <c r="AQ195" s="74" t="s">
        <v>110</v>
      </c>
      <c r="AR195" s="73">
        <f t="shared" si="855"/>
        <v>0</v>
      </c>
      <c r="AS195" s="64"/>
      <c r="AT195" s="74" t="s">
        <v>1634</v>
      </c>
      <c r="AU195" s="73">
        <f t="shared" si="856"/>
        <v>0</v>
      </c>
      <c r="AV195" s="64"/>
      <c r="AW195" s="74" t="s">
        <v>110</v>
      </c>
      <c r="AX195" s="73">
        <f t="shared" si="857"/>
        <v>0</v>
      </c>
      <c r="AY195" s="64"/>
      <c r="AZ195" s="74" t="s">
        <v>110</v>
      </c>
      <c r="BA195" s="73">
        <f t="shared" si="858"/>
        <v>0</v>
      </c>
      <c r="BB195" s="64"/>
      <c r="BC195" s="74" t="s">
        <v>110</v>
      </c>
      <c r="BD195" s="73">
        <f t="shared" si="859"/>
        <v>0</v>
      </c>
      <c r="BE195" s="64"/>
      <c r="BF195" s="74" t="s">
        <v>110</v>
      </c>
      <c r="BG195" s="73">
        <f t="shared" si="860"/>
        <v>0</v>
      </c>
      <c r="BH195" s="64"/>
      <c r="BI195" s="74" t="s">
        <v>110</v>
      </c>
      <c r="BJ195" s="73">
        <f t="shared" si="861"/>
        <v>0</v>
      </c>
      <c r="BK195" s="64"/>
      <c r="BL195" s="74" t="s">
        <v>110</v>
      </c>
      <c r="BM195" s="73">
        <f t="shared" si="862"/>
        <v>0</v>
      </c>
      <c r="BN195" s="64"/>
      <c r="BO195" s="74" t="s">
        <v>110</v>
      </c>
      <c r="BP195" s="73">
        <f t="shared" si="863"/>
        <v>0</v>
      </c>
      <c r="BQ195" s="64"/>
      <c r="BR195" s="74" t="s">
        <v>110</v>
      </c>
      <c r="BS195" s="73">
        <f t="shared" si="864"/>
        <v>0</v>
      </c>
      <c r="BT195" s="64"/>
      <c r="BU195" s="74" t="s">
        <v>110</v>
      </c>
      <c r="BV195" s="73">
        <f t="shared" si="865"/>
        <v>0</v>
      </c>
      <c r="BW195" s="64"/>
      <c r="BX195" s="74" t="s">
        <v>135</v>
      </c>
      <c r="BY195" s="73">
        <f t="shared" si="866"/>
        <v>0</v>
      </c>
      <c r="BZ195" s="64"/>
      <c r="CA195" s="74" t="s">
        <v>110</v>
      </c>
      <c r="CB195" s="73">
        <f t="shared" si="867"/>
        <v>0</v>
      </c>
      <c r="CC195" s="64"/>
      <c r="CD195" s="74" t="s">
        <v>110</v>
      </c>
      <c r="CE195" s="73">
        <f t="shared" si="868"/>
        <v>0</v>
      </c>
      <c r="CF195" s="64"/>
      <c r="CG195" s="74" t="s">
        <v>135</v>
      </c>
      <c r="CH195" s="73">
        <f t="shared" si="869"/>
        <v>0</v>
      </c>
      <c r="CI195" s="64"/>
      <c r="CJ195" s="74" t="s">
        <v>110</v>
      </c>
      <c r="CK195" s="73">
        <f t="shared" si="870"/>
        <v>0</v>
      </c>
      <c r="CL195" s="64"/>
      <c r="CM195" s="74" t="s">
        <v>1843</v>
      </c>
      <c r="CN195" s="73">
        <f t="shared" si="871"/>
        <v>0</v>
      </c>
      <c r="CO195" s="64"/>
      <c r="CP195" s="74" t="s">
        <v>110</v>
      </c>
      <c r="CQ195" s="73">
        <f t="shared" si="872"/>
        <v>0</v>
      </c>
      <c r="CR195" s="64"/>
      <c r="CS195" s="74" t="s">
        <v>110</v>
      </c>
      <c r="CT195" s="73">
        <f t="shared" si="873"/>
        <v>0</v>
      </c>
      <c r="CU195" s="64"/>
      <c r="CV195" s="74" t="s">
        <v>110</v>
      </c>
      <c r="CW195" s="73">
        <f t="shared" si="874"/>
        <v>0</v>
      </c>
      <c r="CX195" s="64"/>
      <c r="CY195" s="74" t="s">
        <v>110</v>
      </c>
      <c r="CZ195" s="73">
        <f t="shared" si="875"/>
        <v>0</v>
      </c>
      <c r="DA195" s="64"/>
      <c r="DB195" s="74" t="s">
        <v>110</v>
      </c>
      <c r="DC195" s="73">
        <f t="shared" si="876"/>
        <v>0</v>
      </c>
      <c r="DD195" s="64"/>
      <c r="DE195" s="74" t="s">
        <v>110</v>
      </c>
      <c r="DF195" s="73">
        <f t="shared" si="877"/>
        <v>0</v>
      </c>
      <c r="DG195" s="64"/>
      <c r="DH195" s="74" t="s">
        <v>110</v>
      </c>
      <c r="DI195" s="73">
        <f t="shared" si="878"/>
        <v>0</v>
      </c>
      <c r="DJ195" s="64"/>
      <c r="DK195" s="74" t="s">
        <v>110</v>
      </c>
      <c r="DL195" s="73">
        <f t="shared" si="879"/>
        <v>0</v>
      </c>
      <c r="DM195" s="64"/>
      <c r="DN195" s="795" t="s">
        <v>110</v>
      </c>
      <c r="DO195" s="73">
        <f t="shared" si="880"/>
        <v>0</v>
      </c>
      <c r="DP195" s="64"/>
      <c r="DQ195" s="795" t="s">
        <v>135</v>
      </c>
      <c r="DR195" s="73">
        <f t="shared" si="881"/>
        <v>0</v>
      </c>
      <c r="DS195" s="64"/>
      <c r="DT195" s="74" t="s">
        <v>110</v>
      </c>
      <c r="DU195" s="73">
        <f t="shared" si="882"/>
        <v>0</v>
      </c>
      <c r="DV195" s="64"/>
      <c r="DW195" s="74" t="s">
        <v>1558</v>
      </c>
      <c r="DX195" s="73">
        <f t="shared" si="883"/>
        <v>0</v>
      </c>
      <c r="DY195" s="64"/>
      <c r="DZ195" s="74" t="s">
        <v>110</v>
      </c>
      <c r="EA195" s="73">
        <f t="shared" si="884"/>
        <v>0</v>
      </c>
      <c r="EB195" s="64"/>
      <c r="EC195" s="74" t="s">
        <v>110</v>
      </c>
      <c r="ED195" s="73">
        <f t="shared" si="885"/>
        <v>0</v>
      </c>
      <c r="EE195" s="64"/>
      <c r="EF195" s="74" t="s">
        <v>110</v>
      </c>
      <c r="EG195" s="73">
        <f t="shared" si="886"/>
        <v>0</v>
      </c>
      <c r="EH195" s="64"/>
      <c r="EI195" s="74"/>
      <c r="EJ195" s="73">
        <f t="shared" si="887"/>
        <v>0</v>
      </c>
      <c r="EK195" s="64"/>
      <c r="EL195" s="74"/>
      <c r="EM195" s="73">
        <f t="shared" si="888"/>
        <v>0</v>
      </c>
      <c r="EN195" s="64"/>
      <c r="EO195" s="74"/>
      <c r="EP195" s="73">
        <f t="shared" si="889"/>
        <v>0</v>
      </c>
      <c r="EQ195" s="64"/>
      <c r="ER195" s="74"/>
      <c r="ES195" s="73">
        <f t="shared" si="890"/>
        <v>0</v>
      </c>
      <c r="ET195" s="64"/>
      <c r="EU195" s="74"/>
      <c r="EV195" s="73">
        <f t="shared" si="891"/>
        <v>0</v>
      </c>
      <c r="EW195" s="64"/>
      <c r="EX195" s="74"/>
      <c r="EY195" s="73">
        <f t="shared" si="892"/>
        <v>0</v>
      </c>
      <c r="EZ195" s="64"/>
      <c r="FA195" s="74"/>
      <c r="FB195" s="73">
        <f t="shared" si="893"/>
        <v>0</v>
      </c>
      <c r="FC195" s="64"/>
      <c r="FD195" s="74"/>
      <c r="FE195" s="73">
        <f t="shared" si="894"/>
        <v>0</v>
      </c>
      <c r="FF195" s="64"/>
      <c r="FG195" s="74"/>
      <c r="FH195" s="73">
        <f t="shared" si="895"/>
        <v>0</v>
      </c>
      <c r="FI195" s="64"/>
      <c r="FJ195" s="74"/>
      <c r="FK195" s="73">
        <f t="shared"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49"/>
      <c r="K196" s="56" t="str">
        <f>Idiomas!$D$199&amp;"-"&amp;ROWS($L$182:L196)</f>
        <v>Octavofinalista-15</v>
      </c>
      <c r="L196" s="53"/>
      <c r="M196" s="55" t="str">
        <f>WORLDCUP!AF126</f>
        <v>W88</v>
      </c>
      <c r="N196" s="25"/>
      <c r="O196" s="25"/>
      <c r="P196" s="25"/>
      <c r="Q196" s="25"/>
      <c r="R196" s="110"/>
      <c r="S196" s="74" t="s">
        <v>1835</v>
      </c>
      <c r="T196" s="73">
        <f t="shared" si="847"/>
        <v>0</v>
      </c>
      <c r="U196" s="64"/>
      <c r="V196" s="74" t="s">
        <v>497</v>
      </c>
      <c r="W196" s="73">
        <f t="shared" si="848"/>
        <v>0</v>
      </c>
      <c r="X196" s="64"/>
      <c r="Y196" s="74" t="s">
        <v>1550</v>
      </c>
      <c r="Z196" s="73">
        <f t="shared" si="849"/>
        <v>0</v>
      </c>
      <c r="AA196" s="64"/>
      <c r="AB196" s="74" t="s">
        <v>497</v>
      </c>
      <c r="AC196" s="73">
        <f t="shared" si="850"/>
        <v>0</v>
      </c>
      <c r="AD196" s="64"/>
      <c r="AE196" s="74" t="s">
        <v>1835</v>
      </c>
      <c r="AF196" s="73">
        <f t="shared" si="851"/>
        <v>0</v>
      </c>
      <c r="AG196" s="64"/>
      <c r="AH196" s="74" t="s">
        <v>1835</v>
      </c>
      <c r="AI196" s="73">
        <f t="shared" si="852"/>
        <v>0</v>
      </c>
      <c r="AJ196" s="64"/>
      <c r="AK196" s="74" t="s">
        <v>1550</v>
      </c>
      <c r="AL196" s="73">
        <f t="shared" si="853"/>
        <v>0</v>
      </c>
      <c r="AM196" s="64"/>
      <c r="AN196" s="74" t="s">
        <v>497</v>
      </c>
      <c r="AO196" s="73">
        <f t="shared" si="854"/>
        <v>0</v>
      </c>
      <c r="AP196" s="64"/>
      <c r="AQ196" s="74" t="s">
        <v>1319</v>
      </c>
      <c r="AR196" s="73">
        <f t="shared" si="855"/>
        <v>0</v>
      </c>
      <c r="AS196" s="64"/>
      <c r="AT196" s="74" t="s">
        <v>497</v>
      </c>
      <c r="AU196" s="73">
        <f t="shared" si="856"/>
        <v>0</v>
      </c>
      <c r="AV196" s="64"/>
      <c r="AW196" s="74" t="s">
        <v>1319</v>
      </c>
      <c r="AX196" s="73">
        <f t="shared" si="857"/>
        <v>0</v>
      </c>
      <c r="AY196" s="64"/>
      <c r="AZ196" s="74" t="s">
        <v>1550</v>
      </c>
      <c r="BA196" s="73">
        <f t="shared" si="858"/>
        <v>0</v>
      </c>
      <c r="BB196" s="64"/>
      <c r="BC196" s="74" t="s">
        <v>1550</v>
      </c>
      <c r="BD196" s="73">
        <f t="shared" si="859"/>
        <v>0</v>
      </c>
      <c r="BE196" s="64"/>
      <c r="BF196" s="74" t="s">
        <v>1835</v>
      </c>
      <c r="BG196" s="73">
        <f t="shared" si="860"/>
        <v>0</v>
      </c>
      <c r="BH196" s="64"/>
      <c r="BI196" s="74" t="s">
        <v>1319</v>
      </c>
      <c r="BJ196" s="73">
        <f t="shared" si="861"/>
        <v>0</v>
      </c>
      <c r="BK196" s="64"/>
      <c r="BL196" s="74" t="s">
        <v>1835</v>
      </c>
      <c r="BM196" s="73">
        <f t="shared" si="862"/>
        <v>0</v>
      </c>
      <c r="BN196" s="64"/>
      <c r="BO196" s="74" t="s">
        <v>497</v>
      </c>
      <c r="BP196" s="73">
        <f t="shared" si="863"/>
        <v>0</v>
      </c>
      <c r="BQ196" s="64"/>
      <c r="BR196" s="74" t="s">
        <v>1319</v>
      </c>
      <c r="BS196" s="73">
        <f t="shared" si="864"/>
        <v>0</v>
      </c>
      <c r="BT196" s="64"/>
      <c r="BU196" s="74" t="s">
        <v>497</v>
      </c>
      <c r="BV196" s="73">
        <f t="shared" si="865"/>
        <v>0</v>
      </c>
      <c r="BW196" s="64"/>
      <c r="BX196" s="74" t="s">
        <v>110</v>
      </c>
      <c r="BY196" s="73">
        <f t="shared" si="866"/>
        <v>0</v>
      </c>
      <c r="BZ196" s="64"/>
      <c r="CA196" s="74" t="s">
        <v>497</v>
      </c>
      <c r="CB196" s="73">
        <f t="shared" si="867"/>
        <v>0</v>
      </c>
      <c r="CC196" s="64"/>
      <c r="CD196" s="74" t="s">
        <v>497</v>
      </c>
      <c r="CE196" s="73">
        <f t="shared" si="868"/>
        <v>0</v>
      </c>
      <c r="CF196" s="64"/>
      <c r="CG196" s="74" t="s">
        <v>1835</v>
      </c>
      <c r="CH196" s="73">
        <f t="shared" si="869"/>
        <v>0</v>
      </c>
      <c r="CI196" s="64"/>
      <c r="CJ196" s="74" t="s">
        <v>1835</v>
      </c>
      <c r="CK196" s="73">
        <f t="shared" si="870"/>
        <v>0</v>
      </c>
      <c r="CL196" s="64"/>
      <c r="CM196" s="74" t="s">
        <v>497</v>
      </c>
      <c r="CN196" s="73">
        <f t="shared" si="871"/>
        <v>0</v>
      </c>
      <c r="CO196" s="64"/>
      <c r="CP196" s="74" t="s">
        <v>497</v>
      </c>
      <c r="CQ196" s="73">
        <f t="shared" si="872"/>
        <v>0</v>
      </c>
      <c r="CR196" s="64"/>
      <c r="CS196" s="74" t="s">
        <v>497</v>
      </c>
      <c r="CT196" s="73">
        <f t="shared" si="873"/>
        <v>0</v>
      </c>
      <c r="CU196" s="64"/>
      <c r="CV196" s="74" t="s">
        <v>1550</v>
      </c>
      <c r="CW196" s="73">
        <f t="shared" si="874"/>
        <v>0</v>
      </c>
      <c r="CX196" s="64"/>
      <c r="CY196" s="74" t="s">
        <v>497</v>
      </c>
      <c r="CZ196" s="73">
        <f t="shared" si="875"/>
        <v>0</v>
      </c>
      <c r="DA196" s="64"/>
      <c r="DB196" s="74" t="s">
        <v>497</v>
      </c>
      <c r="DC196" s="73">
        <f t="shared" si="876"/>
        <v>0</v>
      </c>
      <c r="DD196" s="64"/>
      <c r="DE196" s="74" t="s">
        <v>497</v>
      </c>
      <c r="DF196" s="73">
        <f t="shared" si="877"/>
        <v>0</v>
      </c>
      <c r="DG196" s="64"/>
      <c r="DH196" s="74" t="s">
        <v>497</v>
      </c>
      <c r="DI196" s="73">
        <f t="shared" si="878"/>
        <v>0</v>
      </c>
      <c r="DJ196" s="64"/>
      <c r="DK196" s="74" t="s">
        <v>497</v>
      </c>
      <c r="DL196" s="73">
        <f t="shared" si="879"/>
        <v>0</v>
      </c>
      <c r="DM196" s="64"/>
      <c r="DN196" s="795" t="s">
        <v>1319</v>
      </c>
      <c r="DO196" s="73">
        <f t="shared" si="880"/>
        <v>0</v>
      </c>
      <c r="DP196" s="64"/>
      <c r="DQ196" s="795" t="s">
        <v>110</v>
      </c>
      <c r="DR196" s="73">
        <f t="shared" si="881"/>
        <v>0</v>
      </c>
      <c r="DS196" s="64"/>
      <c r="DT196" s="74" t="s">
        <v>1835</v>
      </c>
      <c r="DU196" s="73">
        <f t="shared" si="882"/>
        <v>0</v>
      </c>
      <c r="DV196" s="64"/>
      <c r="DW196" s="74" t="s">
        <v>497</v>
      </c>
      <c r="DX196" s="73">
        <f t="shared" si="883"/>
        <v>0</v>
      </c>
      <c r="DY196" s="64"/>
      <c r="DZ196" s="74" t="s">
        <v>1835</v>
      </c>
      <c r="EA196" s="73">
        <f t="shared" si="884"/>
        <v>0</v>
      </c>
      <c r="EB196" s="64"/>
      <c r="EC196" s="74" t="s">
        <v>1319</v>
      </c>
      <c r="ED196" s="73">
        <f t="shared" si="885"/>
        <v>0</v>
      </c>
      <c r="EE196" s="64"/>
      <c r="EF196" s="74" t="s">
        <v>1835</v>
      </c>
      <c r="EG196" s="73">
        <f t="shared" si="886"/>
        <v>0</v>
      </c>
      <c r="EH196" s="64"/>
      <c r="EI196" s="74"/>
      <c r="EJ196" s="73">
        <f t="shared" si="887"/>
        <v>0</v>
      </c>
      <c r="EK196" s="64"/>
      <c r="EL196" s="74"/>
      <c r="EM196" s="73">
        <f t="shared" si="888"/>
        <v>0</v>
      </c>
      <c r="EN196" s="64"/>
      <c r="EO196" s="74"/>
      <c r="EP196" s="73">
        <f t="shared" si="889"/>
        <v>0</v>
      </c>
      <c r="EQ196" s="64"/>
      <c r="ER196" s="74"/>
      <c r="ES196" s="73">
        <f t="shared" si="890"/>
        <v>0</v>
      </c>
      <c r="ET196" s="64"/>
      <c r="EU196" s="74"/>
      <c r="EV196" s="73">
        <f t="shared" si="891"/>
        <v>0</v>
      </c>
      <c r="EW196" s="64"/>
      <c r="EX196" s="74"/>
      <c r="EY196" s="73">
        <f t="shared" si="892"/>
        <v>0</v>
      </c>
      <c r="EZ196" s="64"/>
      <c r="FA196" s="74"/>
      <c r="FB196" s="73">
        <f t="shared" si="893"/>
        <v>0</v>
      </c>
      <c r="FC196" s="64"/>
      <c r="FD196" s="74"/>
      <c r="FE196" s="73">
        <f t="shared" si="894"/>
        <v>0</v>
      </c>
      <c r="FF196" s="64"/>
      <c r="FG196" s="74"/>
      <c r="FH196" s="73">
        <f t="shared" si="895"/>
        <v>0</v>
      </c>
      <c r="FI196" s="64"/>
      <c r="FJ196" s="74"/>
      <c r="FK196" s="73">
        <f t="shared"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49"/>
      <c r="K197" s="115" t="str">
        <f>Idiomas!$D$199&amp;"-"&amp;ROWS($L$182:L197)</f>
        <v>Octavofinalista-16</v>
      </c>
      <c r="L197" s="115"/>
      <c r="M197" s="116" t="str">
        <f>WORLDCUP!AF127</f>
        <v>W87</v>
      </c>
      <c r="N197" s="25"/>
      <c r="O197" s="25"/>
      <c r="P197" s="25"/>
      <c r="Q197" s="25"/>
      <c r="R197" s="110"/>
      <c r="S197" s="80" t="s">
        <v>1320</v>
      </c>
      <c r="T197" s="81">
        <f t="shared" si="847"/>
        <v>0</v>
      </c>
      <c r="U197" s="64"/>
      <c r="V197" s="80" t="s">
        <v>79</v>
      </c>
      <c r="W197" s="81">
        <f t="shared" si="848"/>
        <v>0</v>
      </c>
      <c r="X197" s="64"/>
      <c r="Y197" s="80" t="s">
        <v>79</v>
      </c>
      <c r="Z197" s="81">
        <f t="shared" si="849"/>
        <v>0</v>
      </c>
      <c r="AA197" s="64"/>
      <c r="AB197" s="80" t="s">
        <v>79</v>
      </c>
      <c r="AC197" s="81">
        <f t="shared" si="850"/>
        <v>0</v>
      </c>
      <c r="AD197" s="64"/>
      <c r="AE197" s="80" t="s">
        <v>1320</v>
      </c>
      <c r="AF197" s="81">
        <f t="shared" si="851"/>
        <v>0</v>
      </c>
      <c r="AG197" s="64"/>
      <c r="AH197" s="80" t="s">
        <v>79</v>
      </c>
      <c r="AI197" s="81">
        <f t="shared" si="852"/>
        <v>0</v>
      </c>
      <c r="AJ197" s="64"/>
      <c r="AK197" s="80" t="s">
        <v>79</v>
      </c>
      <c r="AL197" s="81">
        <f t="shared" si="853"/>
        <v>0</v>
      </c>
      <c r="AM197" s="64"/>
      <c r="AN197" s="80" t="s">
        <v>79</v>
      </c>
      <c r="AO197" s="81">
        <f t="shared" si="854"/>
        <v>0</v>
      </c>
      <c r="AP197" s="64"/>
      <c r="AQ197" s="80" t="s">
        <v>79</v>
      </c>
      <c r="AR197" s="81">
        <f t="shared" si="855"/>
        <v>0</v>
      </c>
      <c r="AS197" s="64"/>
      <c r="AT197" s="80" t="s">
        <v>79</v>
      </c>
      <c r="AU197" s="81">
        <f t="shared" si="856"/>
        <v>0</v>
      </c>
      <c r="AV197" s="64"/>
      <c r="AW197" s="80" t="s">
        <v>79</v>
      </c>
      <c r="AX197" s="81">
        <f t="shared" si="857"/>
        <v>0</v>
      </c>
      <c r="AY197" s="64"/>
      <c r="AZ197" s="80" t="s">
        <v>79</v>
      </c>
      <c r="BA197" s="81">
        <f t="shared" si="858"/>
        <v>0</v>
      </c>
      <c r="BB197" s="64"/>
      <c r="BC197" s="80" t="s">
        <v>79</v>
      </c>
      <c r="BD197" s="81">
        <f t="shared" si="859"/>
        <v>0</v>
      </c>
      <c r="BE197" s="64"/>
      <c r="BF197" s="80" t="s">
        <v>79</v>
      </c>
      <c r="BG197" s="81">
        <f t="shared" si="860"/>
        <v>0</v>
      </c>
      <c r="BH197" s="64"/>
      <c r="BI197" s="80" t="s">
        <v>79</v>
      </c>
      <c r="BJ197" s="81">
        <f t="shared" si="861"/>
        <v>0</v>
      </c>
      <c r="BK197" s="64"/>
      <c r="BL197" s="80" t="s">
        <v>79</v>
      </c>
      <c r="BM197" s="81">
        <f t="shared" si="862"/>
        <v>0</v>
      </c>
      <c r="BN197" s="64"/>
      <c r="BO197" s="80" t="s">
        <v>79</v>
      </c>
      <c r="BP197" s="81">
        <f t="shared" si="863"/>
        <v>0</v>
      </c>
      <c r="BQ197" s="64"/>
      <c r="BR197" s="80" t="s">
        <v>79</v>
      </c>
      <c r="BS197" s="81">
        <f t="shared" si="864"/>
        <v>0</v>
      </c>
      <c r="BT197" s="64"/>
      <c r="BU197" s="80" t="s">
        <v>79</v>
      </c>
      <c r="BV197" s="81">
        <f t="shared" si="865"/>
        <v>0</v>
      </c>
      <c r="BW197" s="64"/>
      <c r="BX197" s="80" t="s">
        <v>1320</v>
      </c>
      <c r="BY197" s="81">
        <f t="shared" si="866"/>
        <v>0</v>
      </c>
      <c r="BZ197" s="64"/>
      <c r="CA197" s="80" t="s">
        <v>79</v>
      </c>
      <c r="CB197" s="81">
        <f t="shared" si="867"/>
        <v>0</v>
      </c>
      <c r="CC197" s="64"/>
      <c r="CD197" s="80" t="s">
        <v>79</v>
      </c>
      <c r="CE197" s="81">
        <f t="shared" si="868"/>
        <v>0</v>
      </c>
      <c r="CF197" s="64"/>
      <c r="CG197" s="80" t="s">
        <v>79</v>
      </c>
      <c r="CH197" s="81">
        <f t="shared" si="869"/>
        <v>0</v>
      </c>
      <c r="CI197" s="64"/>
      <c r="CJ197" s="80" t="s">
        <v>79</v>
      </c>
      <c r="CK197" s="81">
        <f t="shared" si="870"/>
        <v>0</v>
      </c>
      <c r="CL197" s="64"/>
      <c r="CM197" s="80" t="s">
        <v>79</v>
      </c>
      <c r="CN197" s="81">
        <f t="shared" si="871"/>
        <v>0</v>
      </c>
      <c r="CO197" s="64"/>
      <c r="CP197" s="80" t="s">
        <v>79</v>
      </c>
      <c r="CQ197" s="81">
        <f t="shared" si="872"/>
        <v>0</v>
      </c>
      <c r="CR197" s="64"/>
      <c r="CS197" s="80" t="s">
        <v>79</v>
      </c>
      <c r="CT197" s="81">
        <f t="shared" si="873"/>
        <v>0</v>
      </c>
      <c r="CU197" s="64"/>
      <c r="CV197" s="80" t="s">
        <v>79</v>
      </c>
      <c r="CW197" s="81">
        <f t="shared" si="874"/>
        <v>0</v>
      </c>
      <c r="CX197" s="64"/>
      <c r="CY197" s="80" t="s">
        <v>79</v>
      </c>
      <c r="CZ197" s="81">
        <f t="shared" si="875"/>
        <v>0</v>
      </c>
      <c r="DA197" s="64"/>
      <c r="DB197" s="80" t="s">
        <v>79</v>
      </c>
      <c r="DC197" s="81">
        <f t="shared" si="876"/>
        <v>0</v>
      </c>
      <c r="DD197" s="64"/>
      <c r="DE197" s="80" t="s">
        <v>79</v>
      </c>
      <c r="DF197" s="81">
        <f t="shared" si="877"/>
        <v>0</v>
      </c>
      <c r="DG197" s="64"/>
      <c r="DH197" s="80" t="s">
        <v>79</v>
      </c>
      <c r="DI197" s="81">
        <f t="shared" si="878"/>
        <v>0</v>
      </c>
      <c r="DJ197" s="64"/>
      <c r="DK197" s="80" t="s">
        <v>79</v>
      </c>
      <c r="DL197" s="81">
        <f t="shared" si="879"/>
        <v>0</v>
      </c>
      <c r="DM197" s="64"/>
      <c r="DN197" s="795" t="s">
        <v>79</v>
      </c>
      <c r="DO197" s="81">
        <f t="shared" si="880"/>
        <v>0</v>
      </c>
      <c r="DP197" s="64"/>
      <c r="DQ197" s="795" t="s">
        <v>79</v>
      </c>
      <c r="DR197" s="81">
        <f t="shared" si="881"/>
        <v>0</v>
      </c>
      <c r="DS197" s="64"/>
      <c r="DT197" s="80" t="s">
        <v>1320</v>
      </c>
      <c r="DU197" s="81">
        <f t="shared" si="882"/>
        <v>0</v>
      </c>
      <c r="DV197" s="64"/>
      <c r="DW197" s="80" t="s">
        <v>79</v>
      </c>
      <c r="DX197" s="81">
        <f t="shared" si="883"/>
        <v>0</v>
      </c>
      <c r="DY197" s="64"/>
      <c r="DZ197" s="80" t="s">
        <v>79</v>
      </c>
      <c r="EA197" s="81">
        <f t="shared" si="884"/>
        <v>0</v>
      </c>
      <c r="EB197" s="64"/>
      <c r="EC197" s="80" t="s">
        <v>79</v>
      </c>
      <c r="ED197" s="81">
        <f t="shared" si="885"/>
        <v>0</v>
      </c>
      <c r="EE197" s="64"/>
      <c r="EF197" s="80" t="s">
        <v>79</v>
      </c>
      <c r="EG197" s="81">
        <f t="shared" si="886"/>
        <v>0</v>
      </c>
      <c r="EH197" s="64"/>
      <c r="EI197" s="80"/>
      <c r="EJ197" s="81">
        <f t="shared" si="887"/>
        <v>0</v>
      </c>
      <c r="EK197" s="64"/>
      <c r="EL197" s="80"/>
      <c r="EM197" s="81">
        <f t="shared" si="888"/>
        <v>0</v>
      </c>
      <c r="EN197" s="64"/>
      <c r="EO197" s="80"/>
      <c r="EP197" s="81">
        <f t="shared" si="889"/>
        <v>0</v>
      </c>
      <c r="EQ197" s="64"/>
      <c r="ER197" s="80"/>
      <c r="ES197" s="81">
        <f t="shared" si="890"/>
        <v>0</v>
      </c>
      <c r="ET197" s="64"/>
      <c r="EU197" s="80"/>
      <c r="EV197" s="81">
        <f t="shared" si="891"/>
        <v>0</v>
      </c>
      <c r="EW197" s="64"/>
      <c r="EX197" s="80"/>
      <c r="EY197" s="81">
        <f t="shared" si="892"/>
        <v>0</v>
      </c>
      <c r="EZ197" s="64"/>
      <c r="FA197" s="80"/>
      <c r="FB197" s="81">
        <f t="shared" si="893"/>
        <v>0</v>
      </c>
      <c r="FC197" s="64"/>
      <c r="FD197" s="80"/>
      <c r="FE197" s="81">
        <f t="shared" si="894"/>
        <v>0</v>
      </c>
      <c r="FF197" s="64"/>
      <c r="FG197" s="80"/>
      <c r="FH197" s="81">
        <f t="shared" si="895"/>
        <v>0</v>
      </c>
      <c r="FI197" s="64"/>
      <c r="FJ197" s="80"/>
      <c r="FK197" s="81">
        <f t="shared" si="896"/>
        <v>0</v>
      </c>
      <c r="FL197" s="64"/>
      <c r="FM197" s="64"/>
    </row>
    <row r="198" spans="1:169">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898">SUM(W182:W197)</f>
        <v>0</v>
      </c>
      <c r="X198" s="65"/>
      <c r="Y198" s="84"/>
      <c r="Z198" s="71">
        <f t="shared" ref="Z198" si="899">SUM(Z182:Z197)</f>
        <v>0</v>
      </c>
      <c r="AA198" s="65"/>
      <c r="AB198" s="84"/>
      <c r="AC198" s="71">
        <f t="shared" ref="AC198" si="900">SUM(AC182:AC197)</f>
        <v>0</v>
      </c>
      <c r="AD198" s="65"/>
      <c r="AE198" s="84"/>
      <c r="AF198" s="71">
        <f t="shared" ref="AF198" si="901">SUM(AF182:AF197)</f>
        <v>0</v>
      </c>
      <c r="AG198" s="65"/>
      <c r="AH198" s="84"/>
      <c r="AI198" s="71">
        <f t="shared" ref="AI198" si="902">SUM(AI182:AI197)</f>
        <v>0</v>
      </c>
      <c r="AJ198" s="65"/>
      <c r="AK198" s="84"/>
      <c r="AL198" s="71">
        <f t="shared" ref="AL198" si="903">SUM(AL182:AL197)</f>
        <v>0</v>
      </c>
      <c r="AM198" s="65"/>
      <c r="AN198" s="84"/>
      <c r="AO198" s="71">
        <f t="shared" ref="AO198" si="904">SUM(AO182:AO197)</f>
        <v>0</v>
      </c>
      <c r="AP198" s="65"/>
      <c r="AQ198" s="84"/>
      <c r="AR198" s="71">
        <f t="shared" ref="AR198" si="905">SUM(AR182:AR197)</f>
        <v>0</v>
      </c>
      <c r="AS198" s="65"/>
      <c r="AT198" s="84"/>
      <c r="AU198" s="71">
        <f t="shared" ref="AU198" si="906">SUM(AU182:AU197)</f>
        <v>0</v>
      </c>
      <c r="AV198" s="65"/>
      <c r="AW198" s="84"/>
      <c r="AX198" s="71">
        <f t="shared" ref="AX198" si="907">SUM(AX182:AX197)</f>
        <v>0</v>
      </c>
      <c r="AY198" s="65"/>
      <c r="AZ198" s="84"/>
      <c r="BA198" s="71">
        <f t="shared" ref="BA198" si="908">SUM(BA182:BA197)</f>
        <v>0</v>
      </c>
      <c r="BB198" s="65"/>
      <c r="BC198" s="84"/>
      <c r="BD198" s="71">
        <f t="shared" ref="BD198" si="909">SUM(BD182:BD197)</f>
        <v>0</v>
      </c>
      <c r="BE198" s="65"/>
      <c r="BF198" s="84"/>
      <c r="BG198" s="71">
        <f t="shared" ref="BG198" si="910">SUM(BG182:BG197)</f>
        <v>0</v>
      </c>
      <c r="BH198" s="65"/>
      <c r="BI198" s="84"/>
      <c r="BJ198" s="71">
        <f t="shared" ref="BJ198" si="911">SUM(BJ182:BJ197)</f>
        <v>0</v>
      </c>
      <c r="BK198" s="65"/>
      <c r="BL198" s="84"/>
      <c r="BM198" s="71">
        <f t="shared" ref="BM198" si="912">SUM(BM182:BM197)</f>
        <v>0</v>
      </c>
      <c r="BN198" s="65"/>
      <c r="BO198" s="84"/>
      <c r="BP198" s="71">
        <f t="shared" ref="BP198" si="913">SUM(BP182:BP197)</f>
        <v>0</v>
      </c>
      <c r="BQ198" s="65"/>
      <c r="BR198" s="84"/>
      <c r="BS198" s="71">
        <f t="shared" ref="BS198" si="914">SUM(BS182:BS197)</f>
        <v>0</v>
      </c>
      <c r="BT198" s="65"/>
      <c r="BU198" s="84"/>
      <c r="BV198" s="71">
        <f t="shared" ref="BV198" si="915">SUM(BV182:BV197)</f>
        <v>0</v>
      </c>
      <c r="BW198" s="65"/>
      <c r="BX198" s="84"/>
      <c r="BY198" s="71">
        <f t="shared" ref="BY198" si="916">SUM(BY182:BY197)</f>
        <v>0</v>
      </c>
      <c r="BZ198" s="65"/>
      <c r="CA198" s="84"/>
      <c r="CB198" s="71">
        <f t="shared" ref="CB198" si="917">SUM(CB182:CB197)</f>
        <v>0</v>
      </c>
      <c r="CC198" s="65"/>
      <c r="CD198" s="84"/>
      <c r="CE198" s="71">
        <f t="shared" ref="CE198" si="918">SUM(CE182:CE197)</f>
        <v>0</v>
      </c>
      <c r="CF198" s="65"/>
      <c r="CG198" s="84"/>
      <c r="CH198" s="71">
        <f t="shared" ref="CH198" si="919">SUM(CH182:CH197)</f>
        <v>0</v>
      </c>
      <c r="CI198" s="65"/>
      <c r="CJ198" s="84"/>
      <c r="CK198" s="71">
        <f t="shared" ref="CK198" si="920">SUM(CK182:CK197)</f>
        <v>0</v>
      </c>
      <c r="CL198" s="65"/>
      <c r="CM198" s="84"/>
      <c r="CN198" s="71">
        <f t="shared" ref="CN198" si="921">SUM(CN182:CN197)</f>
        <v>0</v>
      </c>
      <c r="CO198" s="65"/>
      <c r="CP198" s="84"/>
      <c r="CQ198" s="71">
        <f t="shared" ref="CQ198" si="922">SUM(CQ182:CQ197)</f>
        <v>0</v>
      </c>
      <c r="CR198" s="65"/>
      <c r="CS198" s="84"/>
      <c r="CT198" s="71">
        <f t="shared" ref="CT198" si="923">SUM(CT182:CT197)</f>
        <v>0</v>
      </c>
      <c r="CU198" s="65"/>
      <c r="CV198" s="84"/>
      <c r="CW198" s="71">
        <f t="shared" ref="CW198" si="924">SUM(CW182:CW197)</f>
        <v>0</v>
      </c>
      <c r="CX198" s="65"/>
      <c r="CY198" s="84"/>
      <c r="CZ198" s="71">
        <f t="shared" ref="CZ198" si="925">SUM(CZ182:CZ197)</f>
        <v>0</v>
      </c>
      <c r="DA198" s="65"/>
      <c r="DB198" s="84"/>
      <c r="DC198" s="71">
        <f t="shared" ref="DC198" si="926">SUM(DC182:DC197)</f>
        <v>0</v>
      </c>
      <c r="DD198" s="65"/>
      <c r="DE198" s="84"/>
      <c r="DF198" s="71">
        <f t="shared" ref="DF198" si="927">SUM(DF182:DF197)</f>
        <v>0</v>
      </c>
      <c r="DG198" s="65"/>
      <c r="DH198" s="84"/>
      <c r="DI198" s="71">
        <f t="shared" ref="DI198" si="928">SUM(DI182:DI197)</f>
        <v>0</v>
      </c>
      <c r="DJ198" s="65"/>
      <c r="DK198" s="84"/>
      <c r="DL198" s="71">
        <f t="shared" ref="DL198" si="929">SUM(DL182:DL197)</f>
        <v>0</v>
      </c>
      <c r="DM198" s="65"/>
      <c r="DN198" s="796"/>
      <c r="DO198" s="71">
        <f t="shared" ref="DO198" si="930">SUM(DO182:DO197)</f>
        <v>0</v>
      </c>
      <c r="DP198" s="65"/>
      <c r="DQ198" s="796"/>
      <c r="DR198" s="71">
        <f t="shared" ref="DR198" si="931">SUM(DR182:DR197)</f>
        <v>0</v>
      </c>
      <c r="DS198" s="65"/>
      <c r="DT198" s="84"/>
      <c r="DU198" s="71">
        <f t="shared" ref="DU198" si="932">SUM(DU182:DU197)</f>
        <v>0</v>
      </c>
      <c r="DV198" s="65"/>
      <c r="DW198" s="84"/>
      <c r="DX198" s="71">
        <f t="shared" ref="DX198" si="933">SUM(DX182:DX197)</f>
        <v>0</v>
      </c>
      <c r="DY198" s="65"/>
      <c r="DZ198" s="84"/>
      <c r="EA198" s="71">
        <f t="shared" ref="EA198" si="934">SUM(EA182:EA197)</f>
        <v>0</v>
      </c>
      <c r="EB198" s="65"/>
      <c r="EC198" s="84"/>
      <c r="ED198" s="71">
        <f t="shared" ref="ED198" si="935">SUM(ED182:ED197)</f>
        <v>0</v>
      </c>
      <c r="EE198" s="65"/>
      <c r="EF198" s="84"/>
      <c r="EG198" s="71">
        <f t="shared" ref="EG198" si="936">SUM(EG182:EG197)</f>
        <v>0</v>
      </c>
      <c r="EH198" s="65"/>
      <c r="EI198" s="84"/>
      <c r="EJ198" s="71">
        <f t="shared" ref="EJ198" si="937">SUM(EJ182:EJ197)</f>
        <v>0</v>
      </c>
      <c r="EK198" s="65"/>
      <c r="EL198" s="84"/>
      <c r="EM198" s="71">
        <f t="shared" ref="EM198" si="938">SUM(EM182:EM197)</f>
        <v>0</v>
      </c>
      <c r="EN198" s="65"/>
      <c r="EO198" s="84"/>
      <c r="EP198" s="71">
        <f t="shared" ref="EP198" si="939">SUM(EP182:EP197)</f>
        <v>0</v>
      </c>
      <c r="EQ198" s="65"/>
      <c r="ER198" s="84"/>
      <c r="ES198" s="71">
        <f t="shared" ref="ES198" si="940">SUM(ES182:ES197)</f>
        <v>0</v>
      </c>
      <c r="ET198" s="65"/>
      <c r="EU198" s="84"/>
      <c r="EV198" s="71">
        <f t="shared" ref="EV198" si="941">SUM(EV182:EV197)</f>
        <v>0</v>
      </c>
      <c r="EW198" s="65"/>
      <c r="EX198" s="84"/>
      <c r="EY198" s="71">
        <f t="shared" ref="EY198" si="942">SUM(EY182:EY197)</f>
        <v>0</v>
      </c>
      <c r="EZ198" s="65"/>
      <c r="FA198" s="84"/>
      <c r="FB198" s="71">
        <f t="shared" ref="FB198" si="943">SUM(FB182:FB197)</f>
        <v>0</v>
      </c>
      <c r="FC198" s="65"/>
      <c r="FD198" s="84"/>
      <c r="FE198" s="71">
        <f t="shared" ref="FE198" si="944">SUM(FE182:FE197)</f>
        <v>0</v>
      </c>
      <c r="FF198" s="65"/>
      <c r="FG198" s="84"/>
      <c r="FH198" s="71">
        <f t="shared" ref="FH198" si="945">SUM(FH182:FH197)</f>
        <v>0</v>
      </c>
      <c r="FI198" s="65"/>
      <c r="FJ198" s="84"/>
      <c r="FK198" s="71">
        <f t="shared" ref="FK198"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49" t="s">
        <v>88</v>
      </c>
      <c r="K200" s="53" t="str">
        <f>CONCATENATE(WORLDCUP!AA120,"-",WORLDCUP!AF120)</f>
        <v>W73-W75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tr">
        <f>Idiomas!$D$368</f>
        <v>Pegar Valores Octavos</v>
      </c>
      <c r="EJ200" s="85">
        <f t="shared" ref="EJ200"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49"/>
      <c r="K201" s="56" t="str">
        <f>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si="950"/>
        <v>0</v>
      </c>
      <c r="X201" s="110"/>
      <c r="Y201" s="80" t="s">
        <v>2056</v>
      </c>
      <c r="Z201" s="73">
        <f t="shared" si="950"/>
        <v>0</v>
      </c>
      <c r="AA201" s="110"/>
      <c r="AB201" s="80" t="s">
        <v>2056</v>
      </c>
      <c r="AC201" s="73">
        <f t="shared" si="950"/>
        <v>0</v>
      </c>
      <c r="AD201" s="110"/>
      <c r="AE201" s="80" t="s">
        <v>2111</v>
      </c>
      <c r="AF201" s="73">
        <f t="shared" si="950"/>
        <v>0</v>
      </c>
      <c r="AG201" s="110"/>
      <c r="AH201" s="80" t="s">
        <v>1981</v>
      </c>
      <c r="AI201" s="73">
        <f t="shared" si="950"/>
        <v>0</v>
      </c>
      <c r="AJ201" s="110"/>
      <c r="AK201" s="80" t="s">
        <v>2056</v>
      </c>
      <c r="AL201" s="73">
        <f t="shared" si="950"/>
        <v>0</v>
      </c>
      <c r="AM201" s="110"/>
      <c r="AN201" s="80" t="s">
        <v>2199</v>
      </c>
      <c r="AO201" s="73">
        <f t="shared" si="950"/>
        <v>0</v>
      </c>
      <c r="AP201" s="110"/>
      <c r="AQ201" s="80" t="s">
        <v>1981</v>
      </c>
      <c r="AR201" s="73">
        <f t="shared" si="950"/>
        <v>0</v>
      </c>
      <c r="AS201" s="110"/>
      <c r="AT201" s="80" t="s">
        <v>2199</v>
      </c>
      <c r="AU201" s="73">
        <f t="shared" si="950"/>
        <v>0</v>
      </c>
      <c r="AV201" s="110"/>
      <c r="AW201" s="80" t="s">
        <v>2199</v>
      </c>
      <c r="AX201" s="73">
        <f t="shared" si="950"/>
        <v>0</v>
      </c>
      <c r="AY201" s="110"/>
      <c r="AZ201" s="80" t="s">
        <v>2056</v>
      </c>
      <c r="BA201" s="73">
        <f t="shared" si="950"/>
        <v>0</v>
      </c>
      <c r="BB201" s="110"/>
      <c r="BC201" s="80" t="s">
        <v>2326</v>
      </c>
      <c r="BD201" s="73">
        <f t="shared" si="950"/>
        <v>0</v>
      </c>
      <c r="BE201" s="110"/>
      <c r="BF201" s="80" t="s">
        <v>2056</v>
      </c>
      <c r="BG201" s="73">
        <f t="shared" si="950"/>
        <v>0</v>
      </c>
      <c r="BH201" s="110"/>
      <c r="BI201" s="80" t="s">
        <v>2368</v>
      </c>
      <c r="BJ201" s="73">
        <f t="shared" si="950"/>
        <v>0</v>
      </c>
      <c r="BK201" s="110"/>
      <c r="BL201" s="80" t="s">
        <v>2056</v>
      </c>
      <c r="BM201" s="73">
        <f t="shared" si="950"/>
        <v>0</v>
      </c>
      <c r="BN201" s="110"/>
      <c r="BO201" s="80" t="s">
        <v>2326</v>
      </c>
      <c r="BP201" s="73">
        <f t="shared" si="950"/>
        <v>0</v>
      </c>
      <c r="BQ201" s="110"/>
      <c r="BR201" s="80" t="s">
        <v>2414</v>
      </c>
      <c r="BS201" s="73">
        <f t="shared" si="950"/>
        <v>0</v>
      </c>
      <c r="BT201" s="110"/>
      <c r="BU201" s="80" t="s">
        <v>2056</v>
      </c>
      <c r="BV201" s="73">
        <f t="shared" si="950"/>
        <v>0</v>
      </c>
      <c r="BW201" s="110"/>
      <c r="BX201" s="80" t="s">
        <v>2056</v>
      </c>
      <c r="BY201" s="73">
        <f t="shared" si="950"/>
        <v>0</v>
      </c>
      <c r="BZ201" s="110"/>
      <c r="CA201" s="80" t="s">
        <v>2470</v>
      </c>
      <c r="CB201" s="73">
        <f t="shared" si="950"/>
        <v>0</v>
      </c>
      <c r="CC201" s="110"/>
      <c r="CD201" s="80" t="s">
        <v>2056</v>
      </c>
      <c r="CE201" s="73">
        <f t="shared" si="950"/>
        <v>0</v>
      </c>
      <c r="CF201" s="110"/>
      <c r="CG201" s="80" t="s">
        <v>1981</v>
      </c>
      <c r="CH201" s="73">
        <f t="shared" si="950"/>
        <v>0</v>
      </c>
      <c r="CI201" s="110"/>
      <c r="CJ201" s="80" t="s">
        <v>2056</v>
      </c>
      <c r="CK201" s="73">
        <f t="shared" si="972"/>
        <v>0</v>
      </c>
      <c r="CL201" s="110"/>
      <c r="CM201" s="80" t="s">
        <v>1981</v>
      </c>
      <c r="CN201" s="73">
        <f t="shared" si="972"/>
        <v>0</v>
      </c>
      <c r="CO201" s="110"/>
      <c r="CP201" s="80" t="s">
        <v>2559</v>
      </c>
      <c r="CQ201" s="73">
        <f t="shared" si="972"/>
        <v>0</v>
      </c>
      <c r="CR201" s="110"/>
      <c r="CS201" s="80" t="s">
        <v>2056</v>
      </c>
      <c r="CT201" s="73">
        <f t="shared" si="972"/>
        <v>0</v>
      </c>
      <c r="CU201" s="110"/>
      <c r="CV201" s="80" t="s">
        <v>2056</v>
      </c>
      <c r="CW201" s="73">
        <f t="shared" si="972"/>
        <v>0</v>
      </c>
      <c r="CX201" s="110"/>
      <c r="CY201" s="80" t="s">
        <v>2599</v>
      </c>
      <c r="CZ201" s="73">
        <f t="shared" si="972"/>
        <v>0</v>
      </c>
      <c r="DA201" s="110"/>
      <c r="DB201" s="80" t="s">
        <v>2056</v>
      </c>
      <c r="DC201" s="73">
        <f t="shared" si="972"/>
        <v>0</v>
      </c>
      <c r="DD201" s="110"/>
      <c r="DE201" s="80" t="s">
        <v>2628</v>
      </c>
      <c r="DF201" s="73">
        <f t="shared" si="972"/>
        <v>0</v>
      </c>
      <c r="DG201" s="110"/>
      <c r="DH201" s="80" t="s">
        <v>1981</v>
      </c>
      <c r="DI201" s="73">
        <f t="shared" si="972"/>
        <v>0</v>
      </c>
      <c r="DJ201" s="110"/>
      <c r="DK201" s="80" t="s">
        <v>2199</v>
      </c>
      <c r="DL201" s="73">
        <f t="shared" si="972"/>
        <v>0</v>
      </c>
      <c r="DM201" s="110"/>
      <c r="DN201" s="797" t="s">
        <v>2020</v>
      </c>
      <c r="DO201" s="73">
        <f t="shared" si="972"/>
        <v>0</v>
      </c>
      <c r="DP201" s="110"/>
      <c r="DQ201" s="797" t="s">
        <v>2695</v>
      </c>
      <c r="DR201" s="73">
        <f t="shared" si="972"/>
        <v>0</v>
      </c>
      <c r="DS201" s="110"/>
      <c r="DT201" s="80" t="s">
        <v>2628</v>
      </c>
      <c r="DU201" s="73">
        <f t="shared" si="972"/>
        <v>0</v>
      </c>
      <c r="DV201" s="110"/>
      <c r="DW201" s="80" t="s">
        <v>2199</v>
      </c>
      <c r="DX201" s="73">
        <f t="shared" si="972"/>
        <v>0</v>
      </c>
      <c r="DY201" s="110"/>
      <c r="DZ201" s="80" t="s">
        <v>2628</v>
      </c>
      <c r="EA201" s="73">
        <f t="shared" si="972"/>
        <v>0</v>
      </c>
      <c r="EB201" s="110"/>
      <c r="EC201" s="80" t="s">
        <v>2628</v>
      </c>
      <c r="ED201" s="73">
        <f t="shared" si="972"/>
        <v>0</v>
      </c>
      <c r="EE201" s="110"/>
      <c r="EF201" s="80" t="s">
        <v>2783</v>
      </c>
      <c r="EG201" s="73">
        <f t="shared" si="972"/>
        <v>0</v>
      </c>
      <c r="EH201" s="110"/>
      <c r="EI201" s="80"/>
      <c r="EJ201" s="73">
        <f t="shared" si="972"/>
        <v>0</v>
      </c>
      <c r="EK201" s="110"/>
      <c r="EL201" s="80"/>
      <c r="EM201" s="73">
        <f t="shared" si="972"/>
        <v>0</v>
      </c>
      <c r="EN201" s="110"/>
      <c r="EO201" s="80"/>
      <c r="EP201" s="73">
        <f t="shared" si="972"/>
        <v>0</v>
      </c>
      <c r="EQ201" s="110"/>
      <c r="ER201" s="80"/>
      <c r="ES201" s="73">
        <f t="shared" si="972"/>
        <v>0</v>
      </c>
      <c r="ET201" s="110"/>
      <c r="EU201" s="80"/>
      <c r="EV201" s="73">
        <f t="shared" si="972"/>
        <v>0</v>
      </c>
      <c r="EW201" s="110"/>
      <c r="EX201" s="80"/>
      <c r="EY201" s="73">
        <f t="shared" si="994"/>
        <v>0</v>
      </c>
      <c r="EZ201" s="110"/>
      <c r="FA201" s="80"/>
      <c r="FB201" s="73">
        <f t="shared" si="994"/>
        <v>0</v>
      </c>
      <c r="FC201" s="110"/>
      <c r="FD201" s="80"/>
      <c r="FE201" s="73">
        <f t="shared" si="994"/>
        <v>0</v>
      </c>
      <c r="FF201" s="110"/>
      <c r="FG201" s="80"/>
      <c r="FH201" s="73">
        <f t="shared" si="994"/>
        <v>0</v>
      </c>
      <c r="FI201" s="110"/>
      <c r="FJ201" s="80"/>
      <c r="FK201" s="73">
        <f t="shared" si="994"/>
        <v>0</v>
      </c>
      <c r="FL201" s="110"/>
      <c r="FM201" s="110"/>
    </row>
    <row r="202" spans="1:169">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49"/>
      <c r="K202" s="56" t="str">
        <f>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si="1000"/>
        <v>0</v>
      </c>
      <c r="U202" s="110"/>
      <c r="V202" s="74" t="s">
        <v>2021</v>
      </c>
      <c r="W202" s="73">
        <f t="shared" si="950"/>
        <v>0</v>
      </c>
      <c r="X202" s="110"/>
      <c r="Y202" s="80" t="s">
        <v>2057</v>
      </c>
      <c r="Z202" s="73">
        <f t="shared" si="950"/>
        <v>0</v>
      </c>
      <c r="AA202" s="110"/>
      <c r="AB202" s="80" t="s">
        <v>2057</v>
      </c>
      <c r="AC202" s="73">
        <f t="shared" si="950"/>
        <v>0</v>
      </c>
      <c r="AD202" s="110"/>
      <c r="AE202" s="80" t="s">
        <v>2112</v>
      </c>
      <c r="AF202" s="73">
        <f t="shared" si="950"/>
        <v>0</v>
      </c>
      <c r="AG202" s="110"/>
      <c r="AH202" s="80" t="s">
        <v>2142</v>
      </c>
      <c r="AI202" s="73">
        <f t="shared" si="950"/>
        <v>0</v>
      </c>
      <c r="AJ202" s="110"/>
      <c r="AK202" s="80" t="s">
        <v>2168</v>
      </c>
      <c r="AL202" s="73">
        <f t="shared" si="950"/>
        <v>0</v>
      </c>
      <c r="AM202" s="110"/>
      <c r="AN202" s="80" t="s">
        <v>2200</v>
      </c>
      <c r="AO202" s="73">
        <f t="shared" si="950"/>
        <v>0</v>
      </c>
      <c r="AP202" s="110"/>
      <c r="AQ202" s="80" t="s">
        <v>1982</v>
      </c>
      <c r="AR202" s="73">
        <f t="shared" si="950"/>
        <v>0</v>
      </c>
      <c r="AS202" s="110"/>
      <c r="AT202" s="80" t="s">
        <v>2251</v>
      </c>
      <c r="AU202" s="73">
        <f t="shared" si="950"/>
        <v>0</v>
      </c>
      <c r="AV202" s="110"/>
      <c r="AW202" s="80" t="s">
        <v>2276</v>
      </c>
      <c r="AX202" s="73">
        <f t="shared" si="950"/>
        <v>0</v>
      </c>
      <c r="AY202" s="110"/>
      <c r="AZ202" s="80" t="s">
        <v>1982</v>
      </c>
      <c r="BA202" s="73">
        <f t="shared" si="950"/>
        <v>0</v>
      </c>
      <c r="BB202" s="110"/>
      <c r="BC202" s="80" t="s">
        <v>2327</v>
      </c>
      <c r="BD202" s="73">
        <f t="shared" si="950"/>
        <v>0</v>
      </c>
      <c r="BE202" s="110"/>
      <c r="BF202" s="80" t="s">
        <v>2057</v>
      </c>
      <c r="BG202" s="73">
        <f t="shared" si="950"/>
        <v>0</v>
      </c>
      <c r="BH202" s="110"/>
      <c r="BI202" s="80" t="s">
        <v>2369</v>
      </c>
      <c r="BJ202" s="73">
        <f t="shared" si="950"/>
        <v>0</v>
      </c>
      <c r="BK202" s="110"/>
      <c r="BL202" s="80" t="s">
        <v>2389</v>
      </c>
      <c r="BM202" s="73">
        <f t="shared" si="950"/>
        <v>0</v>
      </c>
      <c r="BN202" s="110"/>
      <c r="BO202" s="80" t="s">
        <v>2403</v>
      </c>
      <c r="BP202" s="73">
        <f t="shared" si="950"/>
        <v>0</v>
      </c>
      <c r="BQ202" s="110"/>
      <c r="BR202" s="80" t="s">
        <v>2251</v>
      </c>
      <c r="BS202" s="73">
        <f t="shared" si="950"/>
        <v>0</v>
      </c>
      <c r="BT202" s="110"/>
      <c r="BU202" s="80" t="s">
        <v>2433</v>
      </c>
      <c r="BV202" s="73">
        <f t="shared" si="950"/>
        <v>0</v>
      </c>
      <c r="BW202" s="110"/>
      <c r="BX202" s="80" t="s">
        <v>2389</v>
      </c>
      <c r="BY202" s="73">
        <f t="shared" si="950"/>
        <v>0</v>
      </c>
      <c r="BZ202" s="110"/>
      <c r="CA202" s="80" t="s">
        <v>2471</v>
      </c>
      <c r="CB202" s="73">
        <f t="shared" si="950"/>
        <v>0</v>
      </c>
      <c r="CC202" s="110"/>
      <c r="CD202" s="80" t="s">
        <v>2200</v>
      </c>
      <c r="CE202" s="73">
        <f t="shared" si="950"/>
        <v>0</v>
      </c>
      <c r="CF202" s="110"/>
      <c r="CG202" s="80" t="s">
        <v>2511</v>
      </c>
      <c r="CH202" s="73">
        <f t="shared" si="950"/>
        <v>0</v>
      </c>
      <c r="CI202" s="110"/>
      <c r="CJ202" s="80" t="s">
        <v>2530</v>
      </c>
      <c r="CK202" s="73">
        <f t="shared" si="972"/>
        <v>0</v>
      </c>
      <c r="CL202" s="110"/>
      <c r="CM202" s="80" t="s">
        <v>2200</v>
      </c>
      <c r="CN202" s="73">
        <f t="shared" si="972"/>
        <v>0</v>
      </c>
      <c r="CO202" s="110"/>
      <c r="CP202" s="80" t="s">
        <v>2112</v>
      </c>
      <c r="CQ202" s="73">
        <f t="shared" si="972"/>
        <v>0</v>
      </c>
      <c r="CR202" s="110"/>
      <c r="CS202" s="80" t="s">
        <v>2403</v>
      </c>
      <c r="CT202" s="73">
        <f t="shared" si="972"/>
        <v>0</v>
      </c>
      <c r="CU202" s="110"/>
      <c r="CV202" s="80" t="s">
        <v>2112</v>
      </c>
      <c r="CW202" s="73">
        <f t="shared" si="972"/>
        <v>0</v>
      </c>
      <c r="CX202" s="110"/>
      <c r="CY202" s="80" t="s">
        <v>2600</v>
      </c>
      <c r="CZ202" s="73">
        <f t="shared" si="972"/>
        <v>0</v>
      </c>
      <c r="DA202" s="110"/>
      <c r="DB202" s="80" t="s">
        <v>2615</v>
      </c>
      <c r="DC202" s="73">
        <f t="shared" si="972"/>
        <v>0</v>
      </c>
      <c r="DD202" s="110"/>
      <c r="DE202" s="80" t="s">
        <v>2251</v>
      </c>
      <c r="DF202" s="73">
        <f t="shared" si="972"/>
        <v>0</v>
      </c>
      <c r="DG202" s="110"/>
      <c r="DH202" s="80" t="s">
        <v>2646</v>
      </c>
      <c r="DI202" s="73">
        <f t="shared" si="972"/>
        <v>0</v>
      </c>
      <c r="DJ202" s="110"/>
      <c r="DK202" s="80" t="s">
        <v>2663</v>
      </c>
      <c r="DL202" s="73">
        <f t="shared" si="972"/>
        <v>0</v>
      </c>
      <c r="DM202" s="110"/>
      <c r="DN202" s="797" t="s">
        <v>2530</v>
      </c>
      <c r="DO202" s="73">
        <f t="shared" si="972"/>
        <v>0</v>
      </c>
      <c r="DP202" s="110"/>
      <c r="DQ202" s="797" t="s">
        <v>2696</v>
      </c>
      <c r="DR202" s="73">
        <f t="shared" si="972"/>
        <v>0</v>
      </c>
      <c r="DS202" s="110"/>
      <c r="DT202" s="80" t="s">
        <v>2722</v>
      </c>
      <c r="DU202" s="73">
        <f t="shared" si="972"/>
        <v>0</v>
      </c>
      <c r="DV202" s="110"/>
      <c r="DW202" s="80" t="s">
        <v>2740</v>
      </c>
      <c r="DX202" s="73">
        <f t="shared" si="972"/>
        <v>0</v>
      </c>
      <c r="DY202" s="110"/>
      <c r="DZ202" s="80" t="s">
        <v>2530</v>
      </c>
      <c r="EA202" s="73">
        <f t="shared" si="972"/>
        <v>0</v>
      </c>
      <c r="EB202" s="110"/>
      <c r="EC202" s="80" t="s">
        <v>2168</v>
      </c>
      <c r="ED202" s="73">
        <f t="shared" si="972"/>
        <v>0</v>
      </c>
      <c r="EE202" s="110"/>
      <c r="EF202" s="80" t="s">
        <v>2784</v>
      </c>
      <c r="EG202" s="73">
        <f t="shared" si="972"/>
        <v>0</v>
      </c>
      <c r="EH202" s="110"/>
      <c r="EI202" s="80"/>
      <c r="EJ202" s="73">
        <f t="shared" si="972"/>
        <v>0</v>
      </c>
      <c r="EK202" s="110"/>
      <c r="EL202" s="80"/>
      <c r="EM202" s="73">
        <f t="shared" si="972"/>
        <v>0</v>
      </c>
      <c r="EN202" s="110"/>
      <c r="EO202" s="80"/>
      <c r="EP202" s="73">
        <f t="shared" si="972"/>
        <v>0</v>
      </c>
      <c r="EQ202" s="110"/>
      <c r="ER202" s="80"/>
      <c r="ES202" s="73">
        <f t="shared" si="972"/>
        <v>0</v>
      </c>
      <c r="ET202" s="110"/>
      <c r="EU202" s="80"/>
      <c r="EV202" s="73">
        <f t="shared" si="972"/>
        <v>0</v>
      </c>
      <c r="EW202" s="110"/>
      <c r="EX202" s="80"/>
      <c r="EY202" s="73">
        <f t="shared" si="994"/>
        <v>0</v>
      </c>
      <c r="EZ202" s="110"/>
      <c r="FA202" s="80"/>
      <c r="FB202" s="73">
        <f t="shared" si="994"/>
        <v>0</v>
      </c>
      <c r="FC202" s="110"/>
      <c r="FD202" s="80"/>
      <c r="FE202" s="73">
        <f t="shared" si="994"/>
        <v>0</v>
      </c>
      <c r="FF202" s="110"/>
      <c r="FG202" s="80"/>
      <c r="FH202" s="73">
        <f t="shared" si="994"/>
        <v>0</v>
      </c>
      <c r="FI202" s="110"/>
      <c r="FJ202" s="80"/>
      <c r="FK202" s="73">
        <f t="shared" si="994"/>
        <v>0</v>
      </c>
      <c r="FL202" s="110"/>
      <c r="FM202" s="110"/>
    </row>
    <row r="203" spans="1:169">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49"/>
      <c r="K203" s="56" t="str">
        <f>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si="1000"/>
        <v>0</v>
      </c>
      <c r="U203" s="110"/>
      <c r="V203" s="74" t="s">
        <v>2022</v>
      </c>
      <c r="W203" s="73">
        <f t="shared" si="950"/>
        <v>0</v>
      </c>
      <c r="X203" s="110"/>
      <c r="Y203" s="80" t="s">
        <v>2058</v>
      </c>
      <c r="Z203" s="73">
        <f t="shared" si="950"/>
        <v>0</v>
      </c>
      <c r="AA203" s="110"/>
      <c r="AB203" s="80" t="s">
        <v>2084</v>
      </c>
      <c r="AC203" s="73">
        <f t="shared" si="950"/>
        <v>0</v>
      </c>
      <c r="AD203" s="110"/>
      <c r="AE203" s="80" t="s">
        <v>2058</v>
      </c>
      <c r="AF203" s="73">
        <f t="shared" si="950"/>
        <v>0</v>
      </c>
      <c r="AG203" s="110"/>
      <c r="AH203" s="80" t="s">
        <v>2143</v>
      </c>
      <c r="AI203" s="73">
        <f t="shared" si="950"/>
        <v>0</v>
      </c>
      <c r="AJ203" s="110"/>
      <c r="AK203" s="80" t="s">
        <v>2169</v>
      </c>
      <c r="AL203" s="73">
        <f t="shared" si="950"/>
        <v>0</v>
      </c>
      <c r="AM203" s="110"/>
      <c r="AN203" s="80" t="s">
        <v>2201</v>
      </c>
      <c r="AO203" s="73">
        <f t="shared" si="950"/>
        <v>0</v>
      </c>
      <c r="AP203" s="110"/>
      <c r="AQ203" s="80" t="s">
        <v>2231</v>
      </c>
      <c r="AR203" s="73">
        <f t="shared" si="950"/>
        <v>0</v>
      </c>
      <c r="AS203" s="110"/>
      <c r="AT203" s="80" t="s">
        <v>2252</v>
      </c>
      <c r="AU203" s="73">
        <f t="shared" si="950"/>
        <v>0</v>
      </c>
      <c r="AV203" s="110"/>
      <c r="AW203" s="80" t="s">
        <v>2277</v>
      </c>
      <c r="AX203" s="73">
        <f t="shared" si="950"/>
        <v>0</v>
      </c>
      <c r="AY203" s="110"/>
      <c r="AZ203" s="80" t="s">
        <v>2022</v>
      </c>
      <c r="BA203" s="73">
        <f t="shared" si="950"/>
        <v>0</v>
      </c>
      <c r="BB203" s="110"/>
      <c r="BC203" s="80" t="s">
        <v>2328</v>
      </c>
      <c r="BD203" s="73">
        <f t="shared" si="950"/>
        <v>0</v>
      </c>
      <c r="BE203" s="110"/>
      <c r="BF203" s="80" t="s">
        <v>2084</v>
      </c>
      <c r="BG203" s="73">
        <f t="shared" si="950"/>
        <v>0</v>
      </c>
      <c r="BH203" s="110"/>
      <c r="BI203" s="80" t="s">
        <v>2084</v>
      </c>
      <c r="BJ203" s="73">
        <f t="shared" si="950"/>
        <v>0</v>
      </c>
      <c r="BK203" s="110"/>
      <c r="BL203" s="80" t="s">
        <v>2390</v>
      </c>
      <c r="BM203" s="73">
        <f t="shared" si="950"/>
        <v>0</v>
      </c>
      <c r="BN203" s="110"/>
      <c r="BO203" s="80" t="s">
        <v>2390</v>
      </c>
      <c r="BP203" s="73">
        <f t="shared" si="950"/>
        <v>0</v>
      </c>
      <c r="BQ203" s="110"/>
      <c r="BR203" s="80" t="s">
        <v>2390</v>
      </c>
      <c r="BS203" s="73">
        <f t="shared" si="950"/>
        <v>0</v>
      </c>
      <c r="BT203" s="110"/>
      <c r="BU203" s="80" t="s">
        <v>2434</v>
      </c>
      <c r="BV203" s="73">
        <f t="shared" si="950"/>
        <v>0</v>
      </c>
      <c r="BW203" s="110"/>
      <c r="BX203" s="80" t="s">
        <v>2058</v>
      </c>
      <c r="BY203" s="73">
        <f t="shared" si="950"/>
        <v>0</v>
      </c>
      <c r="BZ203" s="110"/>
      <c r="CA203" s="80" t="s">
        <v>2472</v>
      </c>
      <c r="CB203" s="73">
        <f t="shared" si="950"/>
        <v>0</v>
      </c>
      <c r="CC203" s="110"/>
      <c r="CD203" s="80" t="s">
        <v>2494</v>
      </c>
      <c r="CE203" s="73">
        <f t="shared" si="950"/>
        <v>0</v>
      </c>
      <c r="CF203" s="110"/>
      <c r="CG203" s="80" t="s">
        <v>2512</v>
      </c>
      <c r="CH203" s="73">
        <f t="shared" si="950"/>
        <v>0</v>
      </c>
      <c r="CI203" s="110"/>
      <c r="CJ203" s="80" t="s">
        <v>2058</v>
      </c>
      <c r="CK203" s="73">
        <f t="shared" si="972"/>
        <v>0</v>
      </c>
      <c r="CL203" s="110"/>
      <c r="CM203" s="80" t="s">
        <v>2084</v>
      </c>
      <c r="CN203" s="73">
        <f t="shared" si="972"/>
        <v>0</v>
      </c>
      <c r="CO203" s="110"/>
      <c r="CP203" s="80" t="s">
        <v>2058</v>
      </c>
      <c r="CQ203" s="73">
        <f t="shared" si="972"/>
        <v>0</v>
      </c>
      <c r="CR203" s="110"/>
      <c r="CS203" s="80" t="s">
        <v>2390</v>
      </c>
      <c r="CT203" s="73">
        <f t="shared" si="972"/>
        <v>0</v>
      </c>
      <c r="CU203" s="110"/>
      <c r="CV203" s="80" t="s">
        <v>2084</v>
      </c>
      <c r="CW203" s="73">
        <f t="shared" si="972"/>
        <v>0</v>
      </c>
      <c r="CX203" s="110"/>
      <c r="CY203" s="80" t="s">
        <v>2390</v>
      </c>
      <c r="CZ203" s="73">
        <f t="shared" si="972"/>
        <v>0</v>
      </c>
      <c r="DA203" s="110"/>
      <c r="DB203" s="80" t="s">
        <v>2084</v>
      </c>
      <c r="DC203" s="73">
        <f t="shared" si="972"/>
        <v>0</v>
      </c>
      <c r="DD203" s="110"/>
      <c r="DE203" s="80" t="s">
        <v>2629</v>
      </c>
      <c r="DF203" s="73">
        <f t="shared" si="972"/>
        <v>0</v>
      </c>
      <c r="DG203" s="110"/>
      <c r="DH203" s="80" t="s">
        <v>2647</v>
      </c>
      <c r="DI203" s="73">
        <f t="shared" si="972"/>
        <v>0</v>
      </c>
      <c r="DJ203" s="110"/>
      <c r="DK203" s="80" t="s">
        <v>2664</v>
      </c>
      <c r="DL203" s="73">
        <f t="shared" si="972"/>
        <v>0</v>
      </c>
      <c r="DM203" s="110"/>
      <c r="DN203" s="797" t="s">
        <v>2675</v>
      </c>
      <c r="DO203" s="73">
        <f t="shared" si="972"/>
        <v>0</v>
      </c>
      <c r="DP203" s="110"/>
      <c r="DQ203" s="797" t="s">
        <v>2697</v>
      </c>
      <c r="DR203" s="73">
        <f t="shared" si="972"/>
        <v>0</v>
      </c>
      <c r="DS203" s="110"/>
      <c r="DT203" s="80" t="s">
        <v>2723</v>
      </c>
      <c r="DU203" s="73">
        <f t="shared" si="972"/>
        <v>0</v>
      </c>
      <c r="DV203" s="110"/>
      <c r="DW203" s="80" t="s">
        <v>2252</v>
      </c>
      <c r="DX203" s="73">
        <f t="shared" si="972"/>
        <v>0</v>
      </c>
      <c r="DY203" s="110"/>
      <c r="DZ203" s="80" t="s">
        <v>2252</v>
      </c>
      <c r="EA203" s="73">
        <f t="shared" si="972"/>
        <v>0</v>
      </c>
      <c r="EB203" s="110"/>
      <c r="EC203" s="80" t="s">
        <v>2084</v>
      </c>
      <c r="ED203" s="73">
        <f t="shared" si="972"/>
        <v>0</v>
      </c>
      <c r="EE203" s="110"/>
      <c r="EF203" s="80" t="s">
        <v>2058</v>
      </c>
      <c r="EG203" s="73">
        <f t="shared" si="972"/>
        <v>0</v>
      </c>
      <c r="EH203" s="110"/>
      <c r="EI203" s="80"/>
      <c r="EJ203" s="73">
        <f t="shared" si="972"/>
        <v>0</v>
      </c>
      <c r="EK203" s="110"/>
      <c r="EL203" s="80"/>
      <c r="EM203" s="73">
        <f t="shared" si="972"/>
        <v>0</v>
      </c>
      <c r="EN203" s="110"/>
      <c r="EO203" s="80"/>
      <c r="EP203" s="73">
        <f t="shared" si="972"/>
        <v>0</v>
      </c>
      <c r="EQ203" s="110"/>
      <c r="ER203" s="80"/>
      <c r="ES203" s="73">
        <f t="shared" si="972"/>
        <v>0</v>
      </c>
      <c r="ET203" s="110"/>
      <c r="EU203" s="80"/>
      <c r="EV203" s="73">
        <f t="shared" si="972"/>
        <v>0</v>
      </c>
      <c r="EW203" s="110"/>
      <c r="EX203" s="80"/>
      <c r="EY203" s="73">
        <f t="shared" si="994"/>
        <v>0</v>
      </c>
      <c r="EZ203" s="110"/>
      <c r="FA203" s="80"/>
      <c r="FB203" s="73">
        <f t="shared" si="994"/>
        <v>0</v>
      </c>
      <c r="FC203" s="110"/>
      <c r="FD203" s="80"/>
      <c r="FE203" s="73">
        <f t="shared" si="994"/>
        <v>0</v>
      </c>
      <c r="FF203" s="110"/>
      <c r="FG203" s="80"/>
      <c r="FH203" s="73">
        <f t="shared" si="994"/>
        <v>0</v>
      </c>
      <c r="FI203" s="110"/>
      <c r="FJ203" s="80"/>
      <c r="FK203" s="73">
        <f t="shared" si="994"/>
        <v>0</v>
      </c>
      <c r="FL203" s="110"/>
      <c r="FM203" s="110"/>
    </row>
    <row r="204" spans="1:169">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49"/>
      <c r="K204" s="56" t="str">
        <f>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si="1000"/>
        <v>0</v>
      </c>
      <c r="U204" s="110"/>
      <c r="V204" s="74" t="s">
        <v>2023</v>
      </c>
      <c r="W204" s="73">
        <f t="shared" si="950"/>
        <v>0</v>
      </c>
      <c r="X204" s="110"/>
      <c r="Y204" s="80" t="s">
        <v>2059</v>
      </c>
      <c r="Z204" s="73">
        <f t="shared" si="950"/>
        <v>0</v>
      </c>
      <c r="AA204" s="110"/>
      <c r="AB204" s="80" t="s">
        <v>2059</v>
      </c>
      <c r="AC204" s="73">
        <f t="shared" si="950"/>
        <v>0</v>
      </c>
      <c r="AD204" s="110"/>
      <c r="AE204" s="80" t="s">
        <v>2113</v>
      </c>
      <c r="AF204" s="73">
        <f t="shared" si="950"/>
        <v>0</v>
      </c>
      <c r="AG204" s="110"/>
      <c r="AH204" s="80" t="s">
        <v>2144</v>
      </c>
      <c r="AI204" s="73">
        <f t="shared" si="950"/>
        <v>0</v>
      </c>
      <c r="AJ204" s="110"/>
      <c r="AK204" s="80" t="s">
        <v>2170</v>
      </c>
      <c r="AL204" s="73">
        <f t="shared" si="950"/>
        <v>0</v>
      </c>
      <c r="AM204" s="110"/>
      <c r="AN204" s="80" t="s">
        <v>2202</v>
      </c>
      <c r="AO204" s="73">
        <f t="shared" si="950"/>
        <v>0</v>
      </c>
      <c r="AP204" s="110"/>
      <c r="AQ204" s="80" t="s">
        <v>2059</v>
      </c>
      <c r="AR204" s="73">
        <f t="shared" si="950"/>
        <v>0</v>
      </c>
      <c r="AS204" s="110"/>
      <c r="AT204" s="80" t="s">
        <v>2170</v>
      </c>
      <c r="AU204" s="73">
        <f t="shared" si="950"/>
        <v>0</v>
      </c>
      <c r="AV204" s="110"/>
      <c r="AW204" s="80" t="s">
        <v>2278</v>
      </c>
      <c r="AX204" s="73">
        <f t="shared" si="950"/>
        <v>0</v>
      </c>
      <c r="AY204" s="110"/>
      <c r="AZ204" s="80" t="s">
        <v>2303</v>
      </c>
      <c r="BA204" s="73">
        <f t="shared" si="950"/>
        <v>0</v>
      </c>
      <c r="BB204" s="110"/>
      <c r="BC204" s="80" t="s">
        <v>2329</v>
      </c>
      <c r="BD204" s="73">
        <f t="shared" si="950"/>
        <v>0</v>
      </c>
      <c r="BE204" s="110"/>
      <c r="BF204" s="80" t="s">
        <v>2353</v>
      </c>
      <c r="BG204" s="73">
        <f t="shared" si="950"/>
        <v>0</v>
      </c>
      <c r="BH204" s="110"/>
      <c r="BI204" s="80" t="s">
        <v>2059</v>
      </c>
      <c r="BJ204" s="73">
        <f t="shared" si="950"/>
        <v>0</v>
      </c>
      <c r="BK204" s="110"/>
      <c r="BL204" s="80" t="s">
        <v>2353</v>
      </c>
      <c r="BM204" s="73">
        <f t="shared" si="950"/>
        <v>0</v>
      </c>
      <c r="BN204" s="110"/>
      <c r="BO204" s="80" t="s">
        <v>2023</v>
      </c>
      <c r="BP204" s="73">
        <f t="shared" si="950"/>
        <v>0</v>
      </c>
      <c r="BQ204" s="110"/>
      <c r="BR204" s="80" t="s">
        <v>2170</v>
      </c>
      <c r="BS204" s="73">
        <f t="shared" si="950"/>
        <v>0</v>
      </c>
      <c r="BT204" s="110"/>
      <c r="BU204" s="80" t="s">
        <v>2170</v>
      </c>
      <c r="BV204" s="73">
        <f t="shared" si="950"/>
        <v>0</v>
      </c>
      <c r="BW204" s="110"/>
      <c r="BX204" s="80" t="s">
        <v>2451</v>
      </c>
      <c r="BY204" s="73">
        <f t="shared" si="950"/>
        <v>0</v>
      </c>
      <c r="BZ204" s="110"/>
      <c r="CA204" s="80" t="s">
        <v>2473</v>
      </c>
      <c r="CB204" s="73">
        <f t="shared" si="950"/>
        <v>0</v>
      </c>
      <c r="CC204" s="110"/>
      <c r="CD204" s="80" t="s">
        <v>2495</v>
      </c>
      <c r="CE204" s="73">
        <f t="shared" si="950"/>
        <v>0</v>
      </c>
      <c r="CF204" s="110"/>
      <c r="CG204" s="80" t="s">
        <v>2513</v>
      </c>
      <c r="CH204" s="73">
        <f t="shared" si="950"/>
        <v>0</v>
      </c>
      <c r="CI204" s="110"/>
      <c r="CJ204" s="80" t="s">
        <v>2513</v>
      </c>
      <c r="CK204" s="73">
        <f t="shared" si="972"/>
        <v>0</v>
      </c>
      <c r="CL204" s="110"/>
      <c r="CM204" s="80" t="s">
        <v>2170</v>
      </c>
      <c r="CN204" s="73">
        <f t="shared" si="972"/>
        <v>0</v>
      </c>
      <c r="CO204" s="110"/>
      <c r="CP204" s="80" t="s">
        <v>2170</v>
      </c>
      <c r="CQ204" s="73">
        <f t="shared" si="972"/>
        <v>0</v>
      </c>
      <c r="CR204" s="110"/>
      <c r="CS204" s="80" t="s">
        <v>2513</v>
      </c>
      <c r="CT204" s="73">
        <f t="shared" si="972"/>
        <v>0</v>
      </c>
      <c r="CU204" s="110"/>
      <c r="CV204" s="80" t="s">
        <v>2575</v>
      </c>
      <c r="CW204" s="73">
        <f t="shared" si="972"/>
        <v>0</v>
      </c>
      <c r="CX204" s="110"/>
      <c r="CY204" s="80" t="s">
        <v>2170</v>
      </c>
      <c r="CZ204" s="73">
        <f t="shared" si="972"/>
        <v>0</v>
      </c>
      <c r="DA204" s="110"/>
      <c r="DB204" s="80" t="s">
        <v>2170</v>
      </c>
      <c r="DC204" s="73">
        <f t="shared" si="972"/>
        <v>0</v>
      </c>
      <c r="DD204" s="110"/>
      <c r="DE204" s="80" t="s">
        <v>2113</v>
      </c>
      <c r="DF204" s="73">
        <f t="shared" si="972"/>
        <v>0</v>
      </c>
      <c r="DG204" s="110"/>
      <c r="DH204" s="80" t="s">
        <v>2170</v>
      </c>
      <c r="DI204" s="73">
        <f t="shared" si="972"/>
        <v>0</v>
      </c>
      <c r="DJ204" s="110"/>
      <c r="DK204" s="80" t="s">
        <v>2665</v>
      </c>
      <c r="DL204" s="73">
        <f t="shared" si="972"/>
        <v>0</v>
      </c>
      <c r="DM204" s="110"/>
      <c r="DN204" s="797" t="s">
        <v>2676</v>
      </c>
      <c r="DO204" s="73">
        <f t="shared" si="972"/>
        <v>0</v>
      </c>
      <c r="DP204" s="110"/>
      <c r="DQ204" s="797" t="s">
        <v>2698</v>
      </c>
      <c r="DR204" s="73">
        <f t="shared" si="972"/>
        <v>0</v>
      </c>
      <c r="DS204" s="110"/>
      <c r="DT204" s="80" t="s">
        <v>2724</v>
      </c>
      <c r="DU204" s="73">
        <f t="shared" si="972"/>
        <v>0</v>
      </c>
      <c r="DV204" s="110"/>
      <c r="DW204" s="80" t="s">
        <v>2741</v>
      </c>
      <c r="DX204" s="73">
        <f t="shared" si="972"/>
        <v>0</v>
      </c>
      <c r="DY204" s="110"/>
      <c r="DZ204" s="80" t="s">
        <v>2303</v>
      </c>
      <c r="EA204" s="73">
        <f t="shared" si="972"/>
        <v>0</v>
      </c>
      <c r="EB204" s="110"/>
      <c r="EC204" s="80" t="s">
        <v>2023</v>
      </c>
      <c r="ED204" s="73">
        <f t="shared" si="972"/>
        <v>0</v>
      </c>
      <c r="EE204" s="110"/>
      <c r="EF204" s="80" t="s">
        <v>2059</v>
      </c>
      <c r="EG204" s="73">
        <f t="shared" si="972"/>
        <v>0</v>
      </c>
      <c r="EH204" s="110"/>
      <c r="EI204" s="80"/>
      <c r="EJ204" s="73">
        <f t="shared" si="972"/>
        <v>0</v>
      </c>
      <c r="EK204" s="110"/>
      <c r="EL204" s="80"/>
      <c r="EM204" s="73">
        <f t="shared" si="972"/>
        <v>0</v>
      </c>
      <c r="EN204" s="110"/>
      <c r="EO204" s="80"/>
      <c r="EP204" s="73">
        <f t="shared" si="972"/>
        <v>0</v>
      </c>
      <c r="EQ204" s="110"/>
      <c r="ER204" s="80"/>
      <c r="ES204" s="73">
        <f t="shared" si="972"/>
        <v>0</v>
      </c>
      <c r="ET204" s="110"/>
      <c r="EU204" s="80"/>
      <c r="EV204" s="73">
        <f t="shared" si="972"/>
        <v>0</v>
      </c>
      <c r="EW204" s="110"/>
      <c r="EX204" s="80"/>
      <c r="EY204" s="73">
        <f t="shared" si="994"/>
        <v>0</v>
      </c>
      <c r="EZ204" s="110"/>
      <c r="FA204" s="80"/>
      <c r="FB204" s="73">
        <f t="shared" si="994"/>
        <v>0</v>
      </c>
      <c r="FC204" s="110"/>
      <c r="FD204" s="80"/>
      <c r="FE204" s="73">
        <f t="shared" si="994"/>
        <v>0</v>
      </c>
      <c r="FF204" s="110"/>
      <c r="FG204" s="80"/>
      <c r="FH204" s="73">
        <f t="shared" si="994"/>
        <v>0</v>
      </c>
      <c r="FI204" s="110"/>
      <c r="FJ204" s="80"/>
      <c r="FK204" s="73">
        <f t="shared" si="994"/>
        <v>0</v>
      </c>
      <c r="FL204" s="110"/>
      <c r="FM204" s="110"/>
    </row>
    <row r="205" spans="1:169">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49"/>
      <c r="K205" s="56" t="str">
        <f>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si="1000"/>
        <v>0</v>
      </c>
      <c r="U205" s="110"/>
      <c r="V205" s="74" t="s">
        <v>2024</v>
      </c>
      <c r="W205" s="73">
        <f t="shared" si="950"/>
        <v>0</v>
      </c>
      <c r="X205" s="110"/>
      <c r="Y205" s="80" t="s">
        <v>2060</v>
      </c>
      <c r="Z205" s="73">
        <f t="shared" si="950"/>
        <v>0</v>
      </c>
      <c r="AA205" s="110"/>
      <c r="AB205" s="80" t="s">
        <v>2085</v>
      </c>
      <c r="AC205" s="73">
        <f t="shared" si="950"/>
        <v>0</v>
      </c>
      <c r="AD205" s="110"/>
      <c r="AE205" s="80" t="s">
        <v>2114</v>
      </c>
      <c r="AF205" s="73">
        <f t="shared" si="950"/>
        <v>0</v>
      </c>
      <c r="AG205" s="110"/>
      <c r="AH205" s="80" t="s">
        <v>2145</v>
      </c>
      <c r="AI205" s="73">
        <f t="shared" si="950"/>
        <v>0</v>
      </c>
      <c r="AJ205" s="110"/>
      <c r="AK205" s="80" t="s">
        <v>2171</v>
      </c>
      <c r="AL205" s="73">
        <f t="shared" si="950"/>
        <v>0</v>
      </c>
      <c r="AM205" s="110"/>
      <c r="AN205" s="80" t="s">
        <v>2203</v>
      </c>
      <c r="AO205" s="73">
        <f t="shared" si="950"/>
        <v>0</v>
      </c>
      <c r="AP205" s="110"/>
      <c r="AQ205" s="80" t="s">
        <v>2114</v>
      </c>
      <c r="AR205" s="73">
        <f t="shared" si="950"/>
        <v>0</v>
      </c>
      <c r="AS205" s="110"/>
      <c r="AT205" s="80" t="s">
        <v>2253</v>
      </c>
      <c r="AU205" s="73">
        <f t="shared" si="950"/>
        <v>0</v>
      </c>
      <c r="AV205" s="110"/>
      <c r="AW205" s="80" t="s">
        <v>2203</v>
      </c>
      <c r="AX205" s="73">
        <f t="shared" si="950"/>
        <v>0</v>
      </c>
      <c r="AY205" s="110"/>
      <c r="AZ205" s="80" t="s">
        <v>2304</v>
      </c>
      <c r="BA205" s="73">
        <f t="shared" si="950"/>
        <v>0</v>
      </c>
      <c r="BB205" s="110"/>
      <c r="BC205" s="80" t="s">
        <v>2330</v>
      </c>
      <c r="BD205" s="73">
        <f t="shared" si="950"/>
        <v>0</v>
      </c>
      <c r="BE205" s="110"/>
      <c r="BF205" s="80" t="s">
        <v>2354</v>
      </c>
      <c r="BG205" s="73">
        <f t="shared" si="950"/>
        <v>0</v>
      </c>
      <c r="BH205" s="110"/>
      <c r="BI205" s="80" t="s">
        <v>2370</v>
      </c>
      <c r="BJ205" s="73">
        <f t="shared" si="950"/>
        <v>0</v>
      </c>
      <c r="BK205" s="110"/>
      <c r="BL205" s="80" t="s">
        <v>2391</v>
      </c>
      <c r="BM205" s="73">
        <f t="shared" si="950"/>
        <v>0</v>
      </c>
      <c r="BN205" s="110"/>
      <c r="BO205" s="80" t="s">
        <v>2085</v>
      </c>
      <c r="BP205" s="73">
        <f t="shared" si="950"/>
        <v>0</v>
      </c>
      <c r="BQ205" s="110"/>
      <c r="BR205" s="80" t="s">
        <v>2304</v>
      </c>
      <c r="BS205" s="73">
        <f t="shared" si="950"/>
        <v>0</v>
      </c>
      <c r="BT205" s="110"/>
      <c r="BU205" s="80" t="s">
        <v>2435</v>
      </c>
      <c r="BV205" s="73">
        <f t="shared" si="950"/>
        <v>0</v>
      </c>
      <c r="BW205" s="110"/>
      <c r="BX205" s="80" t="s">
        <v>2452</v>
      </c>
      <c r="BY205" s="73">
        <f t="shared" si="950"/>
        <v>0</v>
      </c>
      <c r="BZ205" s="110"/>
      <c r="CA205" s="80" t="s">
        <v>2435</v>
      </c>
      <c r="CB205" s="73">
        <f t="shared" si="950"/>
        <v>0</v>
      </c>
      <c r="CC205" s="110"/>
      <c r="CD205" s="80" t="s">
        <v>2085</v>
      </c>
      <c r="CE205" s="73">
        <f t="shared" si="950"/>
        <v>0</v>
      </c>
      <c r="CF205" s="110"/>
      <c r="CG205" s="80" t="s">
        <v>2514</v>
      </c>
      <c r="CH205" s="73">
        <f t="shared" si="950"/>
        <v>0</v>
      </c>
      <c r="CI205" s="110"/>
      <c r="CJ205" s="80" t="s">
        <v>2114</v>
      </c>
      <c r="CK205" s="73">
        <f t="shared" si="972"/>
        <v>0</v>
      </c>
      <c r="CL205" s="110"/>
      <c r="CM205" s="80" t="s">
        <v>2542</v>
      </c>
      <c r="CN205" s="73">
        <f t="shared" si="972"/>
        <v>0</v>
      </c>
      <c r="CO205" s="110"/>
      <c r="CP205" s="80" t="s">
        <v>2304</v>
      </c>
      <c r="CQ205" s="73">
        <f t="shared" si="972"/>
        <v>0</v>
      </c>
      <c r="CR205" s="110"/>
      <c r="CS205" s="80" t="s">
        <v>2330</v>
      </c>
      <c r="CT205" s="73">
        <f t="shared" si="972"/>
        <v>0</v>
      </c>
      <c r="CU205" s="110"/>
      <c r="CV205" s="80" t="s">
        <v>2435</v>
      </c>
      <c r="CW205" s="73">
        <f t="shared" si="972"/>
        <v>0</v>
      </c>
      <c r="CX205" s="110"/>
      <c r="CY205" s="80" t="s">
        <v>2601</v>
      </c>
      <c r="CZ205" s="73">
        <f t="shared" si="972"/>
        <v>0</v>
      </c>
      <c r="DA205" s="110"/>
      <c r="DB205" s="80" t="s">
        <v>2435</v>
      </c>
      <c r="DC205" s="73">
        <f t="shared" si="972"/>
        <v>0</v>
      </c>
      <c r="DD205" s="110"/>
      <c r="DE205" s="80" t="s">
        <v>2171</v>
      </c>
      <c r="DF205" s="73">
        <f t="shared" si="972"/>
        <v>0</v>
      </c>
      <c r="DG205" s="110"/>
      <c r="DH205" s="80" t="s">
        <v>2648</v>
      </c>
      <c r="DI205" s="73">
        <f t="shared" si="972"/>
        <v>0</v>
      </c>
      <c r="DJ205" s="110"/>
      <c r="DK205" s="80" t="s">
        <v>2304</v>
      </c>
      <c r="DL205" s="73">
        <f t="shared" si="972"/>
        <v>0</v>
      </c>
      <c r="DM205" s="110"/>
      <c r="DN205" s="797" t="s">
        <v>2648</v>
      </c>
      <c r="DO205" s="73">
        <f t="shared" si="972"/>
        <v>0</v>
      </c>
      <c r="DP205" s="110"/>
      <c r="DQ205" s="797" t="s">
        <v>2699</v>
      </c>
      <c r="DR205" s="73">
        <f t="shared" si="972"/>
        <v>0</v>
      </c>
      <c r="DS205" s="110"/>
      <c r="DT205" s="80" t="s">
        <v>2354</v>
      </c>
      <c r="DU205" s="73">
        <f t="shared" si="972"/>
        <v>0</v>
      </c>
      <c r="DV205" s="110"/>
      <c r="DW205" s="80" t="s">
        <v>2742</v>
      </c>
      <c r="DX205" s="73">
        <f t="shared" si="972"/>
        <v>0</v>
      </c>
      <c r="DY205" s="110"/>
      <c r="DZ205" s="80" t="s">
        <v>2759</v>
      </c>
      <c r="EA205" s="73">
        <f t="shared" si="972"/>
        <v>0</v>
      </c>
      <c r="EB205" s="110"/>
      <c r="EC205" s="80" t="s">
        <v>2370</v>
      </c>
      <c r="ED205" s="73">
        <f t="shared" si="972"/>
        <v>0</v>
      </c>
      <c r="EE205" s="110"/>
      <c r="EF205" s="80" t="s">
        <v>2391</v>
      </c>
      <c r="EG205" s="73">
        <f t="shared" si="972"/>
        <v>0</v>
      </c>
      <c r="EH205" s="110"/>
      <c r="EI205" s="80"/>
      <c r="EJ205" s="73">
        <f t="shared" si="972"/>
        <v>0</v>
      </c>
      <c r="EK205" s="110"/>
      <c r="EL205" s="80"/>
      <c r="EM205" s="73">
        <f t="shared" si="972"/>
        <v>0</v>
      </c>
      <c r="EN205" s="110"/>
      <c r="EO205" s="80"/>
      <c r="EP205" s="73">
        <f t="shared" si="972"/>
        <v>0</v>
      </c>
      <c r="EQ205" s="110"/>
      <c r="ER205" s="80"/>
      <c r="ES205" s="73">
        <f t="shared" si="972"/>
        <v>0</v>
      </c>
      <c r="ET205" s="110"/>
      <c r="EU205" s="80"/>
      <c r="EV205" s="73">
        <f t="shared" si="972"/>
        <v>0</v>
      </c>
      <c r="EW205" s="110"/>
      <c r="EX205" s="80"/>
      <c r="EY205" s="73">
        <f t="shared" si="994"/>
        <v>0</v>
      </c>
      <c r="EZ205" s="110"/>
      <c r="FA205" s="80"/>
      <c r="FB205" s="73">
        <f t="shared" si="994"/>
        <v>0</v>
      </c>
      <c r="FC205" s="110"/>
      <c r="FD205" s="80"/>
      <c r="FE205" s="73">
        <f t="shared" si="994"/>
        <v>0</v>
      </c>
      <c r="FF205" s="110"/>
      <c r="FG205" s="80"/>
      <c r="FH205" s="73">
        <f t="shared" si="994"/>
        <v>0</v>
      </c>
      <c r="FI205" s="110"/>
      <c r="FJ205" s="80"/>
      <c r="FK205" s="73">
        <f t="shared"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49"/>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si="1000"/>
        <v>0</v>
      </c>
      <c r="U206" s="110"/>
      <c r="V206" s="74" t="s">
        <v>2025</v>
      </c>
      <c r="W206" s="73">
        <f t="shared" si="950"/>
        <v>0</v>
      </c>
      <c r="X206" s="110"/>
      <c r="Y206" s="80" t="s">
        <v>2061</v>
      </c>
      <c r="Z206" s="73">
        <f t="shared" si="950"/>
        <v>0</v>
      </c>
      <c r="AA206" s="110"/>
      <c r="AB206" s="80" t="s">
        <v>2086</v>
      </c>
      <c r="AC206" s="73">
        <f t="shared" si="950"/>
        <v>0</v>
      </c>
      <c r="AD206" s="110"/>
      <c r="AE206" s="80" t="s">
        <v>2115</v>
      </c>
      <c r="AF206" s="73">
        <f t="shared" si="950"/>
        <v>0</v>
      </c>
      <c r="AG206" s="110"/>
      <c r="AH206" s="80" t="s">
        <v>2146</v>
      </c>
      <c r="AI206" s="73">
        <f t="shared" si="950"/>
        <v>0</v>
      </c>
      <c r="AJ206" s="110"/>
      <c r="AK206" s="80" t="s">
        <v>2061</v>
      </c>
      <c r="AL206" s="73">
        <f t="shared" si="950"/>
        <v>0</v>
      </c>
      <c r="AM206" s="110"/>
      <c r="AN206" s="80" t="s">
        <v>2204</v>
      </c>
      <c r="AO206" s="73">
        <f t="shared" si="950"/>
        <v>0</v>
      </c>
      <c r="AP206" s="110"/>
      <c r="AQ206" s="80" t="s">
        <v>2232</v>
      </c>
      <c r="AR206" s="73">
        <f t="shared" si="950"/>
        <v>0</v>
      </c>
      <c r="AS206" s="110"/>
      <c r="AT206" s="80" t="s">
        <v>2204</v>
      </c>
      <c r="AU206" s="73">
        <f t="shared" si="950"/>
        <v>0</v>
      </c>
      <c r="AV206" s="110"/>
      <c r="AW206" s="80" t="s">
        <v>2279</v>
      </c>
      <c r="AX206" s="73">
        <f t="shared" si="950"/>
        <v>0</v>
      </c>
      <c r="AY206" s="110"/>
      <c r="AZ206" s="80" t="s">
        <v>2061</v>
      </c>
      <c r="BA206" s="73">
        <f t="shared" si="950"/>
        <v>0</v>
      </c>
      <c r="BB206" s="110"/>
      <c r="BC206" s="80" t="s">
        <v>2331</v>
      </c>
      <c r="BD206" s="73">
        <f t="shared" si="950"/>
        <v>0</v>
      </c>
      <c r="BE206" s="110"/>
      <c r="BF206" s="80" t="s">
        <v>2115</v>
      </c>
      <c r="BG206" s="73">
        <f t="shared" si="950"/>
        <v>0</v>
      </c>
      <c r="BH206" s="110"/>
      <c r="BI206" s="80" t="s">
        <v>2371</v>
      </c>
      <c r="BJ206" s="73">
        <f t="shared" si="950"/>
        <v>0</v>
      </c>
      <c r="BK206" s="110"/>
      <c r="BL206" s="80" t="s">
        <v>2146</v>
      </c>
      <c r="BM206" s="73">
        <f t="shared" si="950"/>
        <v>0</v>
      </c>
      <c r="BN206" s="110"/>
      <c r="BO206" s="80" t="s">
        <v>2086</v>
      </c>
      <c r="BP206" s="73">
        <f t="shared" si="950"/>
        <v>0</v>
      </c>
      <c r="BQ206" s="110"/>
      <c r="BR206" s="80" t="s">
        <v>2371</v>
      </c>
      <c r="BS206" s="73">
        <f t="shared" si="950"/>
        <v>0</v>
      </c>
      <c r="BT206" s="110"/>
      <c r="BU206" s="80" t="s">
        <v>2436</v>
      </c>
      <c r="BV206" s="73">
        <f t="shared" si="950"/>
        <v>0</v>
      </c>
      <c r="BW206" s="110"/>
      <c r="BX206" s="80" t="s">
        <v>2453</v>
      </c>
      <c r="BY206" s="73">
        <f t="shared" si="950"/>
        <v>0</v>
      </c>
      <c r="BZ206" s="110"/>
      <c r="CA206" s="80" t="s">
        <v>2025</v>
      </c>
      <c r="CB206" s="73">
        <f t="shared" si="950"/>
        <v>0</v>
      </c>
      <c r="CC206" s="110"/>
      <c r="CD206" s="80" t="s">
        <v>2025</v>
      </c>
      <c r="CE206" s="73">
        <f t="shared" si="950"/>
        <v>0</v>
      </c>
      <c r="CF206" s="110"/>
      <c r="CG206" s="80" t="s">
        <v>2146</v>
      </c>
      <c r="CH206" s="73">
        <f t="shared" si="950"/>
        <v>0</v>
      </c>
      <c r="CI206" s="110"/>
      <c r="CJ206" s="80" t="s">
        <v>2531</v>
      </c>
      <c r="CK206" s="73">
        <f t="shared" si="972"/>
        <v>0</v>
      </c>
      <c r="CL206" s="110"/>
      <c r="CM206" s="80" t="s">
        <v>2086</v>
      </c>
      <c r="CN206" s="73">
        <f t="shared" si="972"/>
        <v>0</v>
      </c>
      <c r="CO206" s="110"/>
      <c r="CP206" s="80" t="s">
        <v>2560</v>
      </c>
      <c r="CQ206" s="73">
        <f t="shared" si="972"/>
        <v>0</v>
      </c>
      <c r="CR206" s="110"/>
      <c r="CS206" s="80" t="s">
        <v>2436</v>
      </c>
      <c r="CT206" s="73">
        <f t="shared" si="972"/>
        <v>0</v>
      </c>
      <c r="CU206" s="110"/>
      <c r="CV206" s="80" t="s">
        <v>2576</v>
      </c>
      <c r="CW206" s="73">
        <f t="shared" si="972"/>
        <v>0</v>
      </c>
      <c r="CX206" s="110"/>
      <c r="CY206" s="80" t="s">
        <v>2602</v>
      </c>
      <c r="CZ206" s="73">
        <f t="shared" si="972"/>
        <v>0</v>
      </c>
      <c r="DA206" s="110"/>
      <c r="DB206" s="80" t="s">
        <v>2086</v>
      </c>
      <c r="DC206" s="73">
        <f t="shared" si="972"/>
        <v>0</v>
      </c>
      <c r="DD206" s="110"/>
      <c r="DE206" s="80" t="s">
        <v>2630</v>
      </c>
      <c r="DF206" s="73">
        <f t="shared" si="972"/>
        <v>0</v>
      </c>
      <c r="DG206" s="110"/>
      <c r="DH206" s="80" t="s">
        <v>2025</v>
      </c>
      <c r="DI206" s="73">
        <f t="shared" si="972"/>
        <v>0</v>
      </c>
      <c r="DJ206" s="110"/>
      <c r="DK206" s="80" t="s">
        <v>2086</v>
      </c>
      <c r="DL206" s="73">
        <f t="shared" si="972"/>
        <v>0</v>
      </c>
      <c r="DM206" s="110"/>
      <c r="DN206" s="797" t="s">
        <v>2677</v>
      </c>
      <c r="DO206" s="73">
        <f t="shared" si="972"/>
        <v>0</v>
      </c>
      <c r="DP206" s="110"/>
      <c r="DQ206" s="797" t="s">
        <v>2700</v>
      </c>
      <c r="DR206" s="73">
        <f t="shared" si="972"/>
        <v>0</v>
      </c>
      <c r="DS206" s="110"/>
      <c r="DT206" s="80" t="s">
        <v>2725</v>
      </c>
      <c r="DU206" s="73">
        <f t="shared" si="972"/>
        <v>0</v>
      </c>
      <c r="DV206" s="110"/>
      <c r="DW206" s="80" t="s">
        <v>2025</v>
      </c>
      <c r="DX206" s="73">
        <f t="shared" si="972"/>
        <v>0</v>
      </c>
      <c r="DY206" s="110"/>
      <c r="DZ206" s="80" t="s">
        <v>2115</v>
      </c>
      <c r="EA206" s="73">
        <f t="shared" si="972"/>
        <v>0</v>
      </c>
      <c r="EB206" s="110"/>
      <c r="EC206" s="80" t="s">
        <v>2773</v>
      </c>
      <c r="ED206" s="73">
        <f t="shared" si="972"/>
        <v>0</v>
      </c>
      <c r="EE206" s="110"/>
      <c r="EF206" s="80" t="s">
        <v>2785</v>
      </c>
      <c r="EG206" s="73">
        <f t="shared" si="972"/>
        <v>0</v>
      </c>
      <c r="EH206" s="110"/>
      <c r="EI206" s="80"/>
      <c r="EJ206" s="73">
        <f t="shared" si="972"/>
        <v>0</v>
      </c>
      <c r="EK206" s="110"/>
      <c r="EL206" s="80"/>
      <c r="EM206" s="73">
        <f t="shared" si="972"/>
        <v>0</v>
      </c>
      <c r="EN206" s="110"/>
      <c r="EO206" s="80"/>
      <c r="EP206" s="73">
        <f t="shared" si="972"/>
        <v>0</v>
      </c>
      <c r="EQ206" s="110"/>
      <c r="ER206" s="80"/>
      <c r="ES206" s="73">
        <f t="shared" si="972"/>
        <v>0</v>
      </c>
      <c r="ET206" s="110"/>
      <c r="EU206" s="80"/>
      <c r="EV206" s="73">
        <f t="shared" si="972"/>
        <v>0</v>
      </c>
      <c r="EW206" s="110"/>
      <c r="EX206" s="80"/>
      <c r="EY206" s="73">
        <f t="shared" si="994"/>
        <v>0</v>
      </c>
      <c r="EZ206" s="110"/>
      <c r="FA206" s="80"/>
      <c r="FB206" s="73">
        <f t="shared" si="994"/>
        <v>0</v>
      </c>
      <c r="FC206" s="110"/>
      <c r="FD206" s="80"/>
      <c r="FE206" s="73">
        <f t="shared" si="994"/>
        <v>0</v>
      </c>
      <c r="FF206" s="110"/>
      <c r="FG206" s="80"/>
      <c r="FH206" s="73">
        <f t="shared" si="994"/>
        <v>0</v>
      </c>
      <c r="FI206" s="110"/>
      <c r="FJ206" s="80"/>
      <c r="FK206" s="73">
        <f t="shared" si="994"/>
        <v>0</v>
      </c>
      <c r="FL206" s="110"/>
      <c r="FM206" s="110"/>
    </row>
    <row r="207" spans="1:169">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49"/>
      <c r="K207" s="115" t="str">
        <f>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si="1000"/>
        <v>0</v>
      </c>
      <c r="U207" s="110"/>
      <c r="V207" s="74" t="s">
        <v>2026</v>
      </c>
      <c r="W207" s="85">
        <f t="shared" si="950"/>
        <v>0</v>
      </c>
      <c r="X207" s="110"/>
      <c r="Y207" s="80" t="s">
        <v>2062</v>
      </c>
      <c r="Z207" s="85">
        <f t="shared" si="950"/>
        <v>0</v>
      </c>
      <c r="AA207" s="110"/>
      <c r="AB207" s="80" t="s">
        <v>2087</v>
      </c>
      <c r="AC207" s="85">
        <f t="shared" si="950"/>
        <v>0</v>
      </c>
      <c r="AD207" s="110"/>
      <c r="AE207" s="80" t="s">
        <v>2116</v>
      </c>
      <c r="AF207" s="85">
        <f t="shared" si="950"/>
        <v>0</v>
      </c>
      <c r="AG207" s="110"/>
      <c r="AH207" s="80" t="s">
        <v>2087</v>
      </c>
      <c r="AI207" s="85">
        <f t="shared" si="950"/>
        <v>0</v>
      </c>
      <c r="AJ207" s="110"/>
      <c r="AK207" s="80" t="s">
        <v>2172</v>
      </c>
      <c r="AL207" s="85">
        <f t="shared" si="950"/>
        <v>0</v>
      </c>
      <c r="AM207" s="110"/>
      <c r="AN207" s="80" t="s">
        <v>2205</v>
      </c>
      <c r="AO207" s="85">
        <f t="shared" si="950"/>
        <v>0</v>
      </c>
      <c r="AP207" s="110"/>
      <c r="AQ207" s="80" t="s">
        <v>2233</v>
      </c>
      <c r="AR207" s="85">
        <f t="shared" si="950"/>
        <v>0</v>
      </c>
      <c r="AS207" s="110"/>
      <c r="AT207" s="80" t="s">
        <v>2254</v>
      </c>
      <c r="AU207" s="85">
        <f t="shared" si="950"/>
        <v>0</v>
      </c>
      <c r="AV207" s="110"/>
      <c r="AW207" s="80" t="s">
        <v>2280</v>
      </c>
      <c r="AX207" s="85">
        <f t="shared" si="950"/>
        <v>0</v>
      </c>
      <c r="AY207" s="110"/>
      <c r="AZ207" s="80" t="s">
        <v>2305</v>
      </c>
      <c r="BA207" s="85">
        <f t="shared" si="950"/>
        <v>0</v>
      </c>
      <c r="BB207" s="110"/>
      <c r="BC207" s="80" t="s">
        <v>2233</v>
      </c>
      <c r="BD207" s="85">
        <f t="shared" si="950"/>
        <v>0</v>
      </c>
      <c r="BE207" s="110"/>
      <c r="BF207" s="80" t="s">
        <v>2026</v>
      </c>
      <c r="BG207" s="85">
        <f t="shared" si="950"/>
        <v>0</v>
      </c>
      <c r="BH207" s="110"/>
      <c r="BI207" s="80" t="s">
        <v>2172</v>
      </c>
      <c r="BJ207" s="85">
        <f t="shared" si="950"/>
        <v>0</v>
      </c>
      <c r="BK207" s="110"/>
      <c r="BL207" s="80" t="s">
        <v>2172</v>
      </c>
      <c r="BM207" s="85">
        <f t="shared" si="950"/>
        <v>0</v>
      </c>
      <c r="BN207" s="110"/>
      <c r="BO207" s="80" t="s">
        <v>2172</v>
      </c>
      <c r="BP207" s="85">
        <f t="shared" si="950"/>
        <v>0</v>
      </c>
      <c r="BQ207" s="110"/>
      <c r="BR207" s="80" t="s">
        <v>2415</v>
      </c>
      <c r="BS207" s="85">
        <f t="shared" si="950"/>
        <v>0</v>
      </c>
      <c r="BT207" s="110"/>
      <c r="BU207" s="80" t="s">
        <v>2415</v>
      </c>
      <c r="BV207" s="85">
        <f t="shared" si="950"/>
        <v>0</v>
      </c>
      <c r="BW207" s="110"/>
      <c r="BX207" s="80" t="s">
        <v>2454</v>
      </c>
      <c r="BY207" s="85">
        <f t="shared" si="950"/>
        <v>0</v>
      </c>
      <c r="BZ207" s="110"/>
      <c r="CA207" s="80" t="s">
        <v>2474</v>
      </c>
      <c r="CB207" s="85">
        <f t="shared" si="950"/>
        <v>0</v>
      </c>
      <c r="CC207" s="110"/>
      <c r="CD207" s="80" t="s">
        <v>2254</v>
      </c>
      <c r="CE207" s="85">
        <f t="shared" si="950"/>
        <v>0</v>
      </c>
      <c r="CF207" s="110"/>
      <c r="CG207" s="80" t="s">
        <v>2515</v>
      </c>
      <c r="CH207" s="85">
        <f t="shared" si="950"/>
        <v>0</v>
      </c>
      <c r="CI207" s="110"/>
      <c r="CJ207" s="80" t="s">
        <v>2026</v>
      </c>
      <c r="CK207" s="85">
        <f t="shared" si="972"/>
        <v>0</v>
      </c>
      <c r="CL207" s="110"/>
      <c r="CM207" s="80" t="s">
        <v>2172</v>
      </c>
      <c r="CN207" s="85">
        <f t="shared" si="972"/>
        <v>0</v>
      </c>
      <c r="CO207" s="110"/>
      <c r="CP207" s="80" t="s">
        <v>2172</v>
      </c>
      <c r="CQ207" s="85">
        <f t="shared" si="972"/>
        <v>0</v>
      </c>
      <c r="CR207" s="110"/>
      <c r="CS207" s="80" t="s">
        <v>2026</v>
      </c>
      <c r="CT207" s="85">
        <f t="shared" si="972"/>
        <v>0</v>
      </c>
      <c r="CU207" s="110"/>
      <c r="CV207" s="80" t="s">
        <v>2087</v>
      </c>
      <c r="CW207" s="85">
        <f t="shared" si="972"/>
        <v>0</v>
      </c>
      <c r="CX207" s="110"/>
      <c r="CY207" s="80" t="s">
        <v>2603</v>
      </c>
      <c r="CZ207" s="85">
        <f t="shared" si="972"/>
        <v>0</v>
      </c>
      <c r="DA207" s="110"/>
      <c r="DB207" s="80" t="s">
        <v>2172</v>
      </c>
      <c r="DC207" s="85">
        <f t="shared" si="972"/>
        <v>0</v>
      </c>
      <c r="DD207" s="110"/>
      <c r="DE207" s="80" t="s">
        <v>2172</v>
      </c>
      <c r="DF207" s="85">
        <f t="shared" si="972"/>
        <v>0</v>
      </c>
      <c r="DG207" s="110"/>
      <c r="DH207" s="80" t="s">
        <v>2172</v>
      </c>
      <c r="DI207" s="85">
        <f t="shared" si="972"/>
        <v>0</v>
      </c>
      <c r="DJ207" s="110"/>
      <c r="DK207" s="80" t="s">
        <v>2415</v>
      </c>
      <c r="DL207" s="85">
        <f t="shared" si="972"/>
        <v>0</v>
      </c>
      <c r="DM207" s="110"/>
      <c r="DN207" s="797" t="s">
        <v>2415</v>
      </c>
      <c r="DO207" s="85">
        <f t="shared" si="972"/>
        <v>0</v>
      </c>
      <c r="DP207" s="110"/>
      <c r="DQ207" s="797" t="s">
        <v>2172</v>
      </c>
      <c r="DR207" s="85">
        <f t="shared" si="972"/>
        <v>0</v>
      </c>
      <c r="DS207" s="110"/>
      <c r="DT207" s="80" t="s">
        <v>2726</v>
      </c>
      <c r="DU207" s="85">
        <f t="shared" si="972"/>
        <v>0</v>
      </c>
      <c r="DV207" s="110"/>
      <c r="DW207" s="80" t="s">
        <v>2233</v>
      </c>
      <c r="DX207" s="85">
        <f t="shared" si="972"/>
        <v>0</v>
      </c>
      <c r="DY207" s="110"/>
      <c r="DZ207" s="80" t="s">
        <v>2515</v>
      </c>
      <c r="EA207" s="85">
        <f t="shared" si="972"/>
        <v>0</v>
      </c>
      <c r="EB207" s="110"/>
      <c r="EC207" s="80" t="s">
        <v>2172</v>
      </c>
      <c r="ED207" s="85">
        <f t="shared" si="972"/>
        <v>0</v>
      </c>
      <c r="EE207" s="110"/>
      <c r="EF207" s="80" t="s">
        <v>2172</v>
      </c>
      <c r="EG207" s="85">
        <f t="shared" si="972"/>
        <v>0</v>
      </c>
      <c r="EH207" s="110"/>
      <c r="EI207" s="80"/>
      <c r="EJ207" s="85">
        <f t="shared" si="972"/>
        <v>0</v>
      </c>
      <c r="EK207" s="110"/>
      <c r="EL207" s="80"/>
      <c r="EM207" s="85">
        <f t="shared" si="972"/>
        <v>0</v>
      </c>
      <c r="EN207" s="110"/>
      <c r="EO207" s="80"/>
      <c r="EP207" s="85">
        <f t="shared" si="972"/>
        <v>0</v>
      </c>
      <c r="EQ207" s="110"/>
      <c r="ER207" s="80"/>
      <c r="ES207" s="85">
        <f t="shared" si="972"/>
        <v>0</v>
      </c>
      <c r="ET207" s="110"/>
      <c r="EU207" s="80"/>
      <c r="EV207" s="85">
        <f t="shared" si="972"/>
        <v>0</v>
      </c>
      <c r="EW207" s="110"/>
      <c r="EX207" s="80"/>
      <c r="EY207" s="85">
        <f t="shared" si="994"/>
        <v>0</v>
      </c>
      <c r="EZ207" s="110"/>
      <c r="FA207" s="80"/>
      <c r="FB207" s="85">
        <f t="shared" si="994"/>
        <v>0</v>
      </c>
      <c r="FC207" s="110"/>
      <c r="FD207" s="80"/>
      <c r="FE207" s="85">
        <f t="shared" si="994"/>
        <v>0</v>
      </c>
      <c r="FF207" s="110"/>
      <c r="FG207" s="80"/>
      <c r="FH207" s="85">
        <f t="shared" si="994"/>
        <v>0</v>
      </c>
      <c r="FI207" s="110"/>
      <c r="FJ207" s="80"/>
      <c r="FK207" s="85">
        <f t="shared"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SUM(T200:T207)</f>
        <v>0</v>
      </c>
      <c r="U208" s="49"/>
      <c r="V208" s="84"/>
      <c r="W208" s="71">
        <f t="shared" ref="W208" si="1001">SUM(W200:W207)</f>
        <v>0</v>
      </c>
      <c r="X208" s="49"/>
      <c r="Y208" s="84"/>
      <c r="Z208" s="71">
        <f t="shared" ref="Z208" si="1002">SUM(Z200:Z207)</f>
        <v>0</v>
      </c>
      <c r="AA208" s="49"/>
      <c r="AB208" s="84"/>
      <c r="AC208" s="71">
        <f t="shared" ref="AC208" si="1003">SUM(AC200:AC207)</f>
        <v>0</v>
      </c>
      <c r="AD208" s="49"/>
      <c r="AE208" s="84"/>
      <c r="AF208" s="71">
        <f t="shared" ref="AF208" si="1004">SUM(AF200:AF207)</f>
        <v>0</v>
      </c>
      <c r="AG208" s="49"/>
      <c r="AH208" s="84"/>
      <c r="AI208" s="71">
        <f t="shared" ref="AI208" si="1005">SUM(AI200:AI207)</f>
        <v>0</v>
      </c>
      <c r="AJ208" s="49"/>
      <c r="AK208" s="84"/>
      <c r="AL208" s="71">
        <f t="shared" ref="AL208" si="1006">SUM(AL200:AL207)</f>
        <v>0</v>
      </c>
      <c r="AM208" s="49"/>
      <c r="AN208" s="84"/>
      <c r="AO208" s="71">
        <f t="shared" ref="AO208" si="1007">SUM(AO200:AO207)</f>
        <v>0</v>
      </c>
      <c r="AP208" s="49"/>
      <c r="AQ208" s="84"/>
      <c r="AR208" s="71">
        <f t="shared" ref="AR208" si="1008">SUM(AR200:AR207)</f>
        <v>0</v>
      </c>
      <c r="AS208" s="49"/>
      <c r="AT208" s="84"/>
      <c r="AU208" s="71">
        <f t="shared" ref="AU208" si="1009">SUM(AU200:AU207)</f>
        <v>0</v>
      </c>
      <c r="AV208" s="49"/>
      <c r="AW208" s="84"/>
      <c r="AX208" s="71">
        <f t="shared" ref="AX208" si="1010">SUM(AX200:AX207)</f>
        <v>0</v>
      </c>
      <c r="AY208" s="49"/>
      <c r="AZ208" s="84"/>
      <c r="BA208" s="71">
        <f t="shared" ref="BA208" si="1011">SUM(BA200:BA207)</f>
        <v>0</v>
      </c>
      <c r="BB208" s="49"/>
      <c r="BC208" s="84"/>
      <c r="BD208" s="71">
        <f t="shared" ref="BD208" si="1012">SUM(BD200:BD207)</f>
        <v>0</v>
      </c>
      <c r="BE208" s="49"/>
      <c r="BF208" s="84"/>
      <c r="BG208" s="71">
        <f t="shared" ref="BG208" si="1013">SUM(BG200:BG207)</f>
        <v>0</v>
      </c>
      <c r="BH208" s="49"/>
      <c r="BI208" s="84"/>
      <c r="BJ208" s="71">
        <f t="shared" ref="BJ208" si="1014">SUM(BJ200:BJ207)</f>
        <v>0</v>
      </c>
      <c r="BK208" s="49"/>
      <c r="BL208" s="84"/>
      <c r="BM208" s="71">
        <f t="shared" ref="BM208" si="1015">SUM(BM200:BM207)</f>
        <v>0</v>
      </c>
      <c r="BN208" s="49"/>
      <c r="BO208" s="84"/>
      <c r="BP208" s="71">
        <f t="shared" ref="BP208" si="1016">SUM(BP200:BP207)</f>
        <v>0</v>
      </c>
      <c r="BQ208" s="49"/>
      <c r="BR208" s="84"/>
      <c r="BS208" s="71">
        <f t="shared" ref="BS208" si="1017">SUM(BS200:BS207)</f>
        <v>0</v>
      </c>
      <c r="BT208" s="49"/>
      <c r="BU208" s="84"/>
      <c r="BV208" s="71">
        <f t="shared" ref="BV208" si="1018">SUM(BV200:BV207)</f>
        <v>0</v>
      </c>
      <c r="BW208" s="49"/>
      <c r="BX208" s="84"/>
      <c r="BY208" s="71">
        <f t="shared" ref="BY208" si="1019">SUM(BY200:BY207)</f>
        <v>0</v>
      </c>
      <c r="BZ208" s="49"/>
      <c r="CA208" s="84"/>
      <c r="CB208" s="71">
        <f t="shared" ref="CB208" si="1020">SUM(CB200:CB207)</f>
        <v>0</v>
      </c>
      <c r="CC208" s="49"/>
      <c r="CD208" s="84"/>
      <c r="CE208" s="71">
        <f t="shared" ref="CE208" si="1021">SUM(CE200:CE207)</f>
        <v>0</v>
      </c>
      <c r="CF208" s="49"/>
      <c r="CG208" s="84"/>
      <c r="CH208" s="71">
        <f t="shared" ref="CH208" si="1022">SUM(CH200:CH207)</f>
        <v>0</v>
      </c>
      <c r="CI208" s="49"/>
      <c r="CJ208" s="84"/>
      <c r="CK208" s="71">
        <f t="shared" ref="CK208" si="1023">SUM(CK200:CK207)</f>
        <v>0</v>
      </c>
      <c r="CL208" s="49"/>
      <c r="CM208" s="84"/>
      <c r="CN208" s="71">
        <f t="shared" ref="CN208" si="1024">SUM(CN200:CN207)</f>
        <v>0</v>
      </c>
      <c r="CO208" s="49"/>
      <c r="CP208" s="84"/>
      <c r="CQ208" s="71">
        <f t="shared" ref="CQ208" si="1025">SUM(CQ200:CQ207)</f>
        <v>0</v>
      </c>
      <c r="CR208" s="49"/>
      <c r="CS208" s="84"/>
      <c r="CT208" s="71">
        <f t="shared" ref="CT208" si="1026">SUM(CT200:CT207)</f>
        <v>0</v>
      </c>
      <c r="CU208" s="49"/>
      <c r="CV208" s="84"/>
      <c r="CW208" s="71">
        <f t="shared" ref="CW208" si="1027">SUM(CW200:CW207)</f>
        <v>0</v>
      </c>
      <c r="CX208" s="49"/>
      <c r="CY208" s="84"/>
      <c r="CZ208" s="71">
        <f t="shared" ref="CZ208" si="1028">SUM(CZ200:CZ207)</f>
        <v>0</v>
      </c>
      <c r="DA208" s="49"/>
      <c r="DB208" s="84"/>
      <c r="DC208" s="71">
        <f t="shared" ref="DC208" si="1029">SUM(DC200:DC207)</f>
        <v>0</v>
      </c>
      <c r="DD208" s="49"/>
      <c r="DE208" s="84"/>
      <c r="DF208" s="71">
        <f t="shared" ref="DF208" si="1030">SUM(DF200:DF207)</f>
        <v>0</v>
      </c>
      <c r="DG208" s="49"/>
      <c r="DH208" s="84"/>
      <c r="DI208" s="71">
        <f t="shared" ref="DI208" si="1031">SUM(DI200:DI207)</f>
        <v>0</v>
      </c>
      <c r="DJ208" s="49"/>
      <c r="DK208" s="84"/>
      <c r="DL208" s="71">
        <f t="shared" ref="DL208" si="1032">SUM(DL200:DL207)</f>
        <v>0</v>
      </c>
      <c r="DM208" s="49"/>
      <c r="DN208" s="796"/>
      <c r="DO208" s="71">
        <f t="shared" ref="DO208" si="1033">SUM(DO200:DO207)</f>
        <v>0</v>
      </c>
      <c r="DP208" s="49"/>
      <c r="DQ208" s="796"/>
      <c r="DR208" s="71">
        <f t="shared" ref="DR208" si="1034">SUM(DR200:DR207)</f>
        <v>0</v>
      </c>
      <c r="DS208" s="49"/>
      <c r="DT208" s="84"/>
      <c r="DU208" s="71">
        <f t="shared" ref="DU208" si="1035">SUM(DU200:DU207)</f>
        <v>0</v>
      </c>
      <c r="DV208" s="49"/>
      <c r="DW208" s="84"/>
      <c r="DX208" s="71">
        <f t="shared" ref="DX208" si="1036">SUM(DX200:DX207)</f>
        <v>0</v>
      </c>
      <c r="DY208" s="49"/>
      <c r="DZ208" s="84"/>
      <c r="EA208" s="71">
        <f t="shared" ref="EA208" si="1037">SUM(EA200:EA207)</f>
        <v>0</v>
      </c>
      <c r="EB208" s="49"/>
      <c r="EC208" s="84"/>
      <c r="ED208" s="71">
        <f t="shared" ref="ED208" si="1038">SUM(ED200:ED207)</f>
        <v>0</v>
      </c>
      <c r="EE208" s="49"/>
      <c r="EF208" s="84"/>
      <c r="EG208" s="71">
        <f t="shared" ref="EG208" si="1039">SUM(EG200:EG207)</f>
        <v>0</v>
      </c>
      <c r="EH208" s="49"/>
      <c r="EI208" s="84"/>
      <c r="EJ208" s="71">
        <f t="shared" ref="EJ208" si="1040">SUM(EJ200:EJ207)</f>
        <v>0</v>
      </c>
      <c r="EK208" s="49"/>
      <c r="EL208" s="84"/>
      <c r="EM208" s="71">
        <f t="shared" ref="EM208" si="1041">SUM(EM200:EM207)</f>
        <v>0</v>
      </c>
      <c r="EN208" s="49"/>
      <c r="EO208" s="84"/>
      <c r="EP208" s="71">
        <f t="shared" ref="EP208" si="1042">SUM(EP200:EP207)</f>
        <v>0</v>
      </c>
      <c r="EQ208" s="49"/>
      <c r="ER208" s="84"/>
      <c r="ES208" s="71">
        <f t="shared" ref="ES208" si="1043">SUM(ES200:ES207)</f>
        <v>0</v>
      </c>
      <c r="ET208" s="49"/>
      <c r="EU208" s="84"/>
      <c r="EV208" s="71">
        <f t="shared" ref="EV208" si="1044">SUM(EV200:EV207)</f>
        <v>0</v>
      </c>
      <c r="EW208" s="49"/>
      <c r="EX208" s="84"/>
      <c r="EY208" s="71">
        <f t="shared" ref="EY208" si="1045">SUM(EY200:EY207)</f>
        <v>0</v>
      </c>
      <c r="EZ208" s="49"/>
      <c r="FA208" s="84"/>
      <c r="FB208" s="71">
        <f t="shared" ref="FB208" si="1046">SUM(FB200:FB207)</f>
        <v>0</v>
      </c>
      <c r="FC208" s="49"/>
      <c r="FD208" s="84"/>
      <c r="FE208" s="71">
        <f t="shared" ref="FE208" si="1047">SUM(FE200:FE207)</f>
        <v>0</v>
      </c>
      <c r="FF208" s="49"/>
      <c r="FG208" s="84"/>
      <c r="FH208" s="71">
        <f t="shared" ref="FH208" si="1048">SUM(FH200:FH207)</f>
        <v>0</v>
      </c>
      <c r="FI208" s="49"/>
      <c r="FJ208" s="84"/>
      <c r="FK208" s="71">
        <f t="shared" ref="FK208"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49"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95"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t="s">
        <v>77</v>
      </c>
      <c r="EA210" s="77">
        <f t="shared" ref="EA210:EA217" si="1087">COUNTIF($M$210:$M$217,DZ210)*$D$23</f>
        <v>0</v>
      </c>
      <c r="EB210" s="110"/>
      <c r="EC210" s="76" t="s">
        <v>77</v>
      </c>
      <c r="ED210" s="77">
        <f t="shared" ref="ED210:ED217" si="1088">COUNTIF($M$210:$M$217,EC210)*$D$23</f>
        <v>0</v>
      </c>
      <c r="EE210" s="110"/>
      <c r="EF210" s="76" t="s">
        <v>77</v>
      </c>
      <c r="EG210" s="77">
        <f t="shared" ref="EG210:EG217" si="1089">COUNTIF($M$210:$M$217,EF210)*$D$23</f>
        <v>0</v>
      </c>
      <c r="EH210" s="110"/>
      <c r="EI210" s="76"/>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49"/>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95" t="s">
        <v>76</v>
      </c>
      <c r="DR211" s="73">
        <f t="shared" si="1084"/>
        <v>0</v>
      </c>
      <c r="DS211" s="110"/>
      <c r="DT211" s="74" t="s">
        <v>38</v>
      </c>
      <c r="DU211" s="73">
        <f t="shared" si="1085"/>
        <v>0</v>
      </c>
      <c r="DV211" s="110"/>
      <c r="DW211" s="74" t="s">
        <v>38</v>
      </c>
      <c r="DX211" s="73">
        <f t="shared" si="1086"/>
        <v>0</v>
      </c>
      <c r="DY211" s="110"/>
      <c r="DZ211" s="74" t="s">
        <v>38</v>
      </c>
      <c r="EA211" s="73">
        <f t="shared" si="1087"/>
        <v>0</v>
      </c>
      <c r="EB211" s="110"/>
      <c r="EC211" s="74" t="s">
        <v>38</v>
      </c>
      <c r="ED211" s="73">
        <f t="shared" si="1088"/>
        <v>0</v>
      </c>
      <c r="EE211" s="110"/>
      <c r="EF211" s="74" t="s">
        <v>38</v>
      </c>
      <c r="EG211" s="73">
        <f t="shared" si="1089"/>
        <v>0</v>
      </c>
      <c r="EH211" s="110"/>
      <c r="EI211" s="74"/>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49"/>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95" t="s">
        <v>111</v>
      </c>
      <c r="DR212" s="73">
        <f t="shared" si="1084"/>
        <v>0</v>
      </c>
      <c r="DS212" s="110"/>
      <c r="DT212" s="74" t="s">
        <v>1321</v>
      </c>
      <c r="DU212" s="73">
        <f t="shared" si="1085"/>
        <v>0</v>
      </c>
      <c r="DV212" s="110"/>
      <c r="DW212" s="74" t="s">
        <v>135</v>
      </c>
      <c r="DX212" s="73">
        <f t="shared" si="1086"/>
        <v>0</v>
      </c>
      <c r="DY212" s="110"/>
      <c r="DZ212" s="74" t="s">
        <v>1258</v>
      </c>
      <c r="EA212" s="73">
        <f t="shared" si="1087"/>
        <v>0</v>
      </c>
      <c r="EB212" s="110"/>
      <c r="EC212" s="74" t="s">
        <v>1258</v>
      </c>
      <c r="ED212" s="73">
        <f t="shared" si="1088"/>
        <v>0</v>
      </c>
      <c r="EE212" s="110"/>
      <c r="EF212" s="74" t="s">
        <v>1258</v>
      </c>
      <c r="EG212" s="73">
        <f t="shared" si="1089"/>
        <v>0</v>
      </c>
      <c r="EH212" s="110"/>
      <c r="EI212" s="74"/>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49"/>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95" t="s">
        <v>1256</v>
      </c>
      <c r="DR213" s="73">
        <f t="shared" si="1084"/>
        <v>0</v>
      </c>
      <c r="DS213" s="110"/>
      <c r="DT213" s="74" t="s">
        <v>1835</v>
      </c>
      <c r="DU213" s="73">
        <f t="shared" si="1085"/>
        <v>0</v>
      </c>
      <c r="DV213" s="110"/>
      <c r="DW213" s="74" t="s">
        <v>1256</v>
      </c>
      <c r="DX213" s="73">
        <f t="shared" si="1086"/>
        <v>0</v>
      </c>
      <c r="DY213" s="110"/>
      <c r="DZ213" s="74" t="s">
        <v>1256</v>
      </c>
      <c r="EA213" s="73">
        <f t="shared" si="1087"/>
        <v>0</v>
      </c>
      <c r="EB213" s="110"/>
      <c r="EC213" s="74" t="s">
        <v>1256</v>
      </c>
      <c r="ED213" s="73">
        <f t="shared" si="1088"/>
        <v>0</v>
      </c>
      <c r="EE213" s="110"/>
      <c r="EF213" s="74" t="s">
        <v>1318</v>
      </c>
      <c r="EG213" s="73">
        <f t="shared" si="1089"/>
        <v>0</v>
      </c>
      <c r="EH213" s="110"/>
      <c r="EI213" s="74"/>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49"/>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95" t="s">
        <v>1258</v>
      </c>
      <c r="DR214" s="73">
        <f t="shared" si="1084"/>
        <v>0</v>
      </c>
      <c r="DS214" s="110"/>
      <c r="DT214" s="74" t="s">
        <v>134</v>
      </c>
      <c r="DU214" s="73">
        <f t="shared" si="1085"/>
        <v>0</v>
      </c>
      <c r="DV214" s="110"/>
      <c r="DW214" s="74" t="s">
        <v>111</v>
      </c>
      <c r="DX214" s="73">
        <f t="shared" si="1086"/>
        <v>0</v>
      </c>
      <c r="DY214" s="110"/>
      <c r="DZ214" s="74" t="s">
        <v>111</v>
      </c>
      <c r="EA214" s="73">
        <f t="shared" si="1087"/>
        <v>0</v>
      </c>
      <c r="EB214" s="110"/>
      <c r="EC214" s="74" t="s">
        <v>111</v>
      </c>
      <c r="ED214" s="73">
        <f t="shared" si="1088"/>
        <v>0</v>
      </c>
      <c r="EE214" s="110"/>
      <c r="EF214" s="74" t="s">
        <v>111</v>
      </c>
      <c r="EG214" s="73">
        <f t="shared" si="1089"/>
        <v>0</v>
      </c>
      <c r="EH214" s="110"/>
      <c r="EI214" s="74"/>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49"/>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95" t="s">
        <v>135</v>
      </c>
      <c r="DR215" s="73">
        <f t="shared" si="1084"/>
        <v>0</v>
      </c>
      <c r="DS215" s="110"/>
      <c r="DT215" s="74" t="s">
        <v>110</v>
      </c>
      <c r="DU215" s="73">
        <f t="shared" si="1085"/>
        <v>0</v>
      </c>
      <c r="DV215" s="110"/>
      <c r="DW215" s="74" t="s">
        <v>1633</v>
      </c>
      <c r="DX215" s="73">
        <f t="shared" si="1086"/>
        <v>0</v>
      </c>
      <c r="DY215" s="110"/>
      <c r="DZ215" s="74" t="s">
        <v>497</v>
      </c>
      <c r="EA215" s="73">
        <f t="shared" si="1087"/>
        <v>0</v>
      </c>
      <c r="EB215" s="110"/>
      <c r="EC215" s="74" t="s">
        <v>1835</v>
      </c>
      <c r="ED215" s="73">
        <f t="shared" si="1088"/>
        <v>0</v>
      </c>
      <c r="EE215" s="110"/>
      <c r="EF215" s="74" t="s">
        <v>497</v>
      </c>
      <c r="EG215" s="73">
        <f t="shared" si="1089"/>
        <v>0</v>
      </c>
      <c r="EH215" s="110"/>
      <c r="EI215" s="74"/>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49"/>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95" t="s">
        <v>78</v>
      </c>
      <c r="DR216" s="73">
        <f t="shared" si="1084"/>
        <v>0</v>
      </c>
      <c r="DS216" s="110"/>
      <c r="DT216" s="74" t="s">
        <v>1258</v>
      </c>
      <c r="DU216" s="73">
        <f t="shared" si="1085"/>
        <v>0</v>
      </c>
      <c r="DV216" s="110"/>
      <c r="DW216" s="74" t="s">
        <v>76</v>
      </c>
      <c r="DX216" s="73">
        <f t="shared" si="1086"/>
        <v>0</v>
      </c>
      <c r="DY216" s="110"/>
      <c r="DZ216" s="74" t="s">
        <v>1265</v>
      </c>
      <c r="EA216" s="73">
        <f t="shared" si="1087"/>
        <v>0</v>
      </c>
      <c r="EB216" s="110"/>
      <c r="EC216" s="74" t="s">
        <v>76</v>
      </c>
      <c r="ED216" s="73">
        <f t="shared" si="1088"/>
        <v>0</v>
      </c>
      <c r="EE216" s="110"/>
      <c r="EF216" s="74" t="s">
        <v>76</v>
      </c>
      <c r="EG216" s="73">
        <f t="shared" si="1089"/>
        <v>0</v>
      </c>
      <c r="EH216" s="110"/>
      <c r="EI216" s="74"/>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49"/>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795" t="s">
        <v>79</v>
      </c>
      <c r="DR217" s="81">
        <f t="shared" si="1084"/>
        <v>0</v>
      </c>
      <c r="DS217" s="110"/>
      <c r="DT217" s="80" t="s">
        <v>1320</v>
      </c>
      <c r="DU217" s="81">
        <f t="shared" si="1085"/>
        <v>0</v>
      </c>
      <c r="DV217" s="110"/>
      <c r="DW217" s="80" t="s">
        <v>79</v>
      </c>
      <c r="DX217" s="81">
        <f t="shared" si="1086"/>
        <v>0</v>
      </c>
      <c r="DY217" s="110"/>
      <c r="DZ217" s="80" t="s">
        <v>79</v>
      </c>
      <c r="EA217" s="81">
        <f t="shared" si="1087"/>
        <v>0</v>
      </c>
      <c r="EB217" s="110"/>
      <c r="EC217" s="80" t="s">
        <v>79</v>
      </c>
      <c r="ED217" s="81">
        <f t="shared" si="1088"/>
        <v>0</v>
      </c>
      <c r="EE217" s="110"/>
      <c r="EF217" s="80" t="s">
        <v>79</v>
      </c>
      <c r="EG217" s="81">
        <f t="shared" si="1089"/>
        <v>0</v>
      </c>
      <c r="EH217" s="110"/>
      <c r="EI217" s="80"/>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796"/>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49"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tr">
        <f>Idiomas!$D$369</f>
        <v>Pegar valores Cuartos</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49"/>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95" t="s">
        <v>2702</v>
      </c>
      <c r="DR221" s="77">
        <f t="shared" si="1174"/>
        <v>0</v>
      </c>
      <c r="DS221" s="110"/>
      <c r="DT221" s="74" t="s">
        <v>2064</v>
      </c>
      <c r="DU221" s="77">
        <f t="shared" si="1174"/>
        <v>0</v>
      </c>
      <c r="DV221" s="110"/>
      <c r="DW221" s="74" t="s">
        <v>2743</v>
      </c>
      <c r="DX221" s="77">
        <f t="shared" si="1174"/>
        <v>0</v>
      </c>
      <c r="DY221" s="110"/>
      <c r="DZ221" s="74" t="s">
        <v>2760</v>
      </c>
      <c r="EA221" s="77">
        <f t="shared" si="1174"/>
        <v>0</v>
      </c>
      <c r="EB221" s="110"/>
      <c r="EC221" s="74" t="s">
        <v>2404</v>
      </c>
      <c r="ED221" s="77">
        <f t="shared" si="1174"/>
        <v>0</v>
      </c>
      <c r="EE221" s="110"/>
      <c r="EF221" s="74" t="s">
        <v>2787</v>
      </c>
      <c r="EG221" s="77">
        <f t="shared" si="1174"/>
        <v>0</v>
      </c>
      <c r="EH221" s="110"/>
      <c r="EI221" s="74"/>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49"/>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95" t="s">
        <v>2703</v>
      </c>
      <c r="DR222" s="77">
        <f t="shared" si="1174"/>
        <v>0</v>
      </c>
      <c r="DS222" s="110"/>
      <c r="DT222" s="74" t="s">
        <v>2727</v>
      </c>
      <c r="DU222" s="77">
        <f t="shared" si="1174"/>
        <v>0</v>
      </c>
      <c r="DV222" s="110"/>
      <c r="DW222" s="74" t="s">
        <v>2744</v>
      </c>
      <c r="DX222" s="77">
        <f t="shared" si="1174"/>
        <v>0</v>
      </c>
      <c r="DY222" s="110"/>
      <c r="DZ222" s="74" t="s">
        <v>2761</v>
      </c>
      <c r="EA222" s="77">
        <f t="shared" si="1174"/>
        <v>0</v>
      </c>
      <c r="EB222" s="110"/>
      <c r="EC222" s="74" t="s">
        <v>2649</v>
      </c>
      <c r="ED222" s="77">
        <f t="shared" si="1174"/>
        <v>0</v>
      </c>
      <c r="EE222" s="110"/>
      <c r="EF222" s="74" t="s">
        <v>2029</v>
      </c>
      <c r="EG222" s="77">
        <f t="shared" si="1174"/>
        <v>0</v>
      </c>
      <c r="EH222" s="110"/>
      <c r="EI222" s="74"/>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49"/>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795" t="s">
        <v>2439</v>
      </c>
      <c r="DR223" s="81">
        <f t="shared" si="1174"/>
        <v>0</v>
      </c>
      <c r="DS223" s="110"/>
      <c r="DT223" s="80" t="s">
        <v>2728</v>
      </c>
      <c r="DU223" s="81">
        <f t="shared" si="1174"/>
        <v>0</v>
      </c>
      <c r="DV223" s="110"/>
      <c r="DW223" s="80" t="s">
        <v>2745</v>
      </c>
      <c r="DX223" s="81">
        <f t="shared" si="1174"/>
        <v>0</v>
      </c>
      <c r="DY223" s="110"/>
      <c r="DZ223" s="80" t="s">
        <v>2417</v>
      </c>
      <c r="EA223" s="81">
        <f t="shared" si="1174"/>
        <v>0</v>
      </c>
      <c r="EB223" s="110"/>
      <c r="EC223" s="80" t="s">
        <v>2091</v>
      </c>
      <c r="ED223" s="81">
        <f t="shared" si="1174"/>
        <v>0</v>
      </c>
      <c r="EE223" s="110"/>
      <c r="EF223" s="80" t="s">
        <v>2788</v>
      </c>
      <c r="EG223" s="81">
        <f t="shared" si="1174"/>
        <v>0</v>
      </c>
      <c r="EH223" s="110"/>
      <c r="EI223" s="80"/>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796"/>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49"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49"/>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49"/>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49"/>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0"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tr">
        <f>Idiomas!$D$370</f>
        <v>Pegar valores Semifinales</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0"/>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0"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0"/>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0"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0"/>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tr">
        <f>Idiomas!$D$371</f>
        <v>Pegar valores 3º-4º puesto y Final</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05"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05"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05"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05"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tr">
        <f>Idiomas!$D$373</f>
        <v>Pegar Valores Cuadro de Honor</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05"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05"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05"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05"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05"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24</v>
      </c>
      <c r="T263" s="25"/>
      <c r="U263" s="25"/>
      <c r="V263" s="25">
        <f ca="1">RANK(V264,OFFSET($S$264,0,0,1,$D$5*3),0)</f>
        <v>25</v>
      </c>
      <c r="W263" s="25"/>
      <c r="X263" s="25"/>
      <c r="Y263" s="25">
        <f ca="1">RANK(Y264,OFFSET($S$264,0,0,1,$D$5*3),0)</f>
        <v>1</v>
      </c>
      <c r="Z263" s="25"/>
      <c r="AA263" s="25"/>
      <c r="AB263" s="25">
        <f ca="1">RANK(AB264,OFFSET($S$264,0,0,1,$D$5*3),0)</f>
        <v>2</v>
      </c>
      <c r="AC263" s="25"/>
      <c r="AD263" s="25"/>
      <c r="AE263" s="25">
        <f ca="1">RANK(AE264,OFFSET($S$264,0,0,1,$D$5*3),0)</f>
        <v>3</v>
      </c>
      <c r="AF263" s="25"/>
      <c r="AG263" s="25"/>
      <c r="AH263" s="25">
        <f ca="1">RANK(AH264,OFFSET($S$264,0,0,1,$D$5*3),0)</f>
        <v>4</v>
      </c>
      <c r="AI263" s="25"/>
      <c r="AJ263" s="25"/>
      <c r="AK263" s="25">
        <f ca="1">RANK(AK264,OFFSET($S$264,0,0,1,$D$5*3),0)</f>
        <v>26</v>
      </c>
      <c r="AL263" s="25"/>
      <c r="AM263" s="25"/>
      <c r="AN263" s="25">
        <f ca="1">RANK(AN264,OFFSET($S$264,0,0,1,$D$5*3),0)</f>
        <v>5</v>
      </c>
      <c r="AO263" s="25"/>
      <c r="AP263" s="25"/>
      <c r="AQ263" s="25">
        <f ca="1">RANK(AQ264,OFFSET($S$264,0,0,1,$D$5*3),0)</f>
        <v>6</v>
      </c>
      <c r="AR263" s="25"/>
      <c r="AS263" s="25"/>
      <c r="AT263" s="25">
        <f ca="1">RANK(AT264,OFFSET($S$264,0,0,1,$D$5*3),0)</f>
        <v>27</v>
      </c>
      <c r="AU263" s="25"/>
      <c r="AV263" s="25"/>
      <c r="AW263" s="25">
        <f ca="1">RANK(AW264,OFFSET($S$264,0,0,1,$D$5*3),0)</f>
        <v>7</v>
      </c>
      <c r="AX263" s="25"/>
      <c r="AY263" s="25"/>
      <c r="AZ263" s="25">
        <f ca="1">RANK(AZ264,OFFSET($S$264,0,0,1,$D$5*3),0)</f>
        <v>28</v>
      </c>
      <c r="BA263" s="25"/>
      <c r="BB263" s="25"/>
      <c r="BC263" s="25">
        <f ca="1">RANK(BC264,OFFSET($S$264,0,0,1,$D$5*3),0)</f>
        <v>29</v>
      </c>
      <c r="BD263" s="25"/>
      <c r="BE263" s="25"/>
      <c r="BF263" s="25">
        <f ca="1">RANK(BF264,OFFSET($S$264,0,0,1,$D$5*3),0)</f>
        <v>8</v>
      </c>
      <c r="BG263" s="25"/>
      <c r="BH263" s="25"/>
      <c r="BI263" s="25">
        <f ca="1">RANK(BI264,OFFSET($S$264,0,0,1,$D$5*3),0)</f>
        <v>9</v>
      </c>
      <c r="BJ263" s="25"/>
      <c r="BK263" s="25"/>
      <c r="BL263" s="25">
        <f ca="1">RANK(BL264,OFFSET($S$264,0,0,1,$D$5*3),0)</f>
        <v>39</v>
      </c>
      <c r="BM263" s="25"/>
      <c r="BN263" s="25"/>
      <c r="BO263" s="25">
        <f ca="1">RANK(BO264,OFFSET($S$264,0,0,1,$D$5*3),0)</f>
        <v>10</v>
      </c>
      <c r="BP263" s="25"/>
      <c r="BQ263" s="25"/>
      <c r="BR263" s="25">
        <f ca="1">RANK(BR264,OFFSET($S$264,0,0,1,$D$5*3),0)</f>
        <v>11</v>
      </c>
      <c r="BS263" s="25"/>
      <c r="BT263" s="25"/>
      <c r="BU263" s="25">
        <f ca="1">RANK(BU264,OFFSET($S$264,0,0,1,$D$5*3),0)</f>
        <v>30</v>
      </c>
      <c r="BV263" s="25"/>
      <c r="BW263" s="25"/>
      <c r="BX263" s="25">
        <f ca="1">RANK(BX264,OFFSET($S$264,0,0,1,$D$5*3),0)</f>
        <v>12</v>
      </c>
      <c r="BY263" s="25"/>
      <c r="BZ263" s="25"/>
      <c r="CA263" s="25">
        <f ca="1">RANK(CA264,OFFSET($S$264,0,0,1,$D$5*3),0)</f>
        <v>40</v>
      </c>
      <c r="CB263" s="25"/>
      <c r="CC263" s="25"/>
      <c r="CD263" s="25">
        <f ca="1">RANK(CD264,OFFSET($S$264,0,0,1,$D$5*3),0)</f>
        <v>31</v>
      </c>
      <c r="CE263" s="25"/>
      <c r="CF263" s="25"/>
      <c r="CG263" s="25">
        <f ca="1">RANK(CG264,OFFSET($S$264,0,0,1,$D$5*3),0)</f>
        <v>13</v>
      </c>
      <c r="CH263" s="25"/>
      <c r="CI263" s="25"/>
      <c r="CJ263" s="25">
        <f ca="1">RANK(CJ264,OFFSET($S$264,0,0,1,$D$5*3),0)</f>
        <v>14</v>
      </c>
      <c r="CK263" s="25"/>
      <c r="CL263" s="25"/>
      <c r="CM263" s="25">
        <f ca="1">RANK(CM264,OFFSET($S$264,0,0,1,$D$5*3),0)</f>
        <v>15</v>
      </c>
      <c r="CN263" s="25"/>
      <c r="CO263" s="25"/>
      <c r="CP263" s="25">
        <f ca="1">RANK(CP264,OFFSET($S$264,0,0,1,$D$5*3),0)</f>
        <v>32</v>
      </c>
      <c r="CQ263" s="25"/>
      <c r="CR263" s="25"/>
      <c r="CS263" s="25">
        <f ca="1">RANK(CS264,OFFSET($S$264,0,0,1,$D$5*3),0)</f>
        <v>21</v>
      </c>
      <c r="CT263" s="25"/>
      <c r="CU263" s="25"/>
      <c r="CV263" s="25">
        <f ca="1">RANK(CV264,OFFSET($S$264,0,0,1,$D$5*3),0)</f>
        <v>33</v>
      </c>
      <c r="CW263" s="25"/>
      <c r="CX263" s="25"/>
      <c r="CY263" s="25">
        <f ca="1">RANK(CY264,OFFSET($S$264,0,0,1,$D$5*3),0)</f>
        <v>34</v>
      </c>
      <c r="CZ263" s="25"/>
      <c r="DA263" s="25"/>
      <c r="DB263" s="25">
        <f ca="1">RANK(DB264,OFFSET($S$264,0,0,1,$D$5*3),0)</f>
        <v>16</v>
      </c>
      <c r="DC263" s="25"/>
      <c r="DD263" s="25"/>
      <c r="DE263" s="25">
        <f ca="1">RANK(DE264,OFFSET($S$264,0,0,1,$D$5*3),0)</f>
        <v>35</v>
      </c>
      <c r="DF263" s="25"/>
      <c r="DG263" s="25"/>
      <c r="DH263" s="25">
        <f ca="1">RANK(DH264,OFFSET($S$264,0,0,1,$D$5*3),0)</f>
        <v>36</v>
      </c>
      <c r="DI263" s="25"/>
      <c r="DJ263" s="25"/>
      <c r="DK263" s="25">
        <f ca="1">RANK(DK264,OFFSET($S$264,0,0,1,$D$5*3),0)</f>
        <v>17</v>
      </c>
      <c r="DL263" s="25"/>
      <c r="DM263" s="25"/>
      <c r="DN263" s="25">
        <f ca="1">RANK(DN264,OFFSET($S$264,0,0,1,$D$5*3),0)</f>
        <v>22</v>
      </c>
      <c r="DO263" s="25"/>
      <c r="DP263" s="25"/>
      <c r="DQ263" s="25">
        <f ca="1">RANK(DQ264,OFFSET($S$264,0,0,1,$D$5*3),0)</f>
        <v>37</v>
      </c>
      <c r="DR263" s="25"/>
      <c r="DS263" s="25"/>
      <c r="DT263" s="25">
        <f ca="1">RANK(DT264,OFFSET($S$264,0,0,1,$D$5*3),0)</f>
        <v>23</v>
      </c>
      <c r="DU263" s="25"/>
      <c r="DV263" s="25"/>
      <c r="DW263" s="25">
        <f ca="1">RANK(DW264,OFFSET($S$264,0,0,1,$D$5*3),0)</f>
        <v>18</v>
      </c>
      <c r="DX263" s="25"/>
      <c r="DY263" s="25"/>
      <c r="DZ263" s="25">
        <f ca="1">RANK(DZ264,OFFSET($S$264,0,0,1,$D$5*3),0)</f>
        <v>19</v>
      </c>
      <c r="EA263" s="25"/>
      <c r="EB263" s="25"/>
      <c r="EC263" s="25">
        <f ca="1">RANK(EC264,OFFSET($S$264,0,0,1,$D$5*3),0)</f>
        <v>20</v>
      </c>
      <c r="ED263" s="25"/>
      <c r="EE263" s="25"/>
      <c r="EF263" s="25">
        <f ca="1">RANK(EF264,OFFSET($S$264,0,0,1,$D$5*3),0)</f>
        <v>38</v>
      </c>
      <c r="EG263" s="25"/>
      <c r="EH263" s="25"/>
      <c r="EI263" s="25">
        <f ca="1">RANK(EI264,OFFSET($S$264,0,0,1,$D$5*3),0)</f>
        <v>41</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0.99809999999999999</v>
      </c>
      <c r="T264" s="25"/>
      <c r="U264" s="25"/>
      <c r="V264" s="25">
        <f t="shared" ref="V264" ca="1" si="2626">V266-(COLUMN()/10000)</f>
        <v>0.99780000000000002</v>
      </c>
      <c r="W264" s="25"/>
      <c r="X264" s="25"/>
      <c r="Y264" s="25">
        <f t="shared" ref="Y264" ca="1" si="2627">Y266-(COLUMN()/10000)</f>
        <v>3.9975000000000001</v>
      </c>
      <c r="Z264" s="25"/>
      <c r="AA264" s="25"/>
      <c r="AB264" s="25">
        <f t="shared" ref="AB264" ca="1" si="2628">AB266-(COLUMN()/10000)</f>
        <v>3.9971999999999999</v>
      </c>
      <c r="AC264" s="25"/>
      <c r="AD264" s="25"/>
      <c r="AE264" s="25">
        <f t="shared" ref="AE264" ca="1" si="2629">AE266-(COLUMN()/10000)</f>
        <v>3.9969000000000001</v>
      </c>
      <c r="AF264" s="25"/>
      <c r="AG264" s="25"/>
      <c r="AH264" s="25">
        <f t="shared" ref="AH264" ca="1" si="2630">AH266-(COLUMN()/10000)</f>
        <v>3.9965999999999999</v>
      </c>
      <c r="AI264" s="25"/>
      <c r="AJ264" s="25"/>
      <c r="AK264" s="25">
        <f t="shared" ref="AK264" ca="1" si="2631">AK266-(COLUMN()/10000)</f>
        <v>0.99629999999999996</v>
      </c>
      <c r="AL264" s="25"/>
      <c r="AM264" s="25"/>
      <c r="AN264" s="25">
        <f t="shared" ref="AN264" ca="1" si="2632">AN266-(COLUMN()/10000)</f>
        <v>3.996</v>
      </c>
      <c r="AO264" s="25"/>
      <c r="AP264" s="25"/>
      <c r="AQ264" s="25">
        <f t="shared" ref="AQ264" ca="1" si="2633">AQ266-(COLUMN()/10000)</f>
        <v>3.9956999999999998</v>
      </c>
      <c r="AR264" s="25"/>
      <c r="AS264" s="25"/>
      <c r="AT264" s="25">
        <f t="shared" ref="AT264" ca="1" si="2634">AT266-(COLUMN()/10000)</f>
        <v>0.99539999999999995</v>
      </c>
      <c r="AU264" s="25"/>
      <c r="AV264" s="25"/>
      <c r="AW264" s="25">
        <f t="shared" ref="AW264" ca="1" si="2635">AW266-(COLUMN()/10000)</f>
        <v>3.9950999999999999</v>
      </c>
      <c r="AX264" s="25"/>
      <c r="AY264" s="25"/>
      <c r="AZ264" s="25">
        <f t="shared" ref="AZ264" ca="1" si="2636">AZ266-(COLUMN()/10000)</f>
        <v>0.99480000000000002</v>
      </c>
      <c r="BA264" s="25"/>
      <c r="BB264" s="25"/>
      <c r="BC264" s="25">
        <f t="shared" ref="BC264" ca="1" si="2637">BC266-(COLUMN()/10000)</f>
        <v>0.99450000000000005</v>
      </c>
      <c r="BD264" s="25"/>
      <c r="BE264" s="25"/>
      <c r="BF264" s="25">
        <f t="shared" ref="BF264" ca="1" si="2638">BF266-(COLUMN()/10000)</f>
        <v>3.9942000000000002</v>
      </c>
      <c r="BG264" s="25"/>
      <c r="BH264" s="25"/>
      <c r="BI264" s="25">
        <f t="shared" ref="BI264" ca="1" si="2639">BI266-(COLUMN()/10000)</f>
        <v>3.9939</v>
      </c>
      <c r="BJ264" s="25"/>
      <c r="BK264" s="25"/>
      <c r="BL264" s="25">
        <f t="shared" ref="BL264" ca="1" si="2640">BL266-(COLUMN()/10000)</f>
        <v>-6.4000000000000003E-3</v>
      </c>
      <c r="BM264" s="25"/>
      <c r="BN264" s="25"/>
      <c r="BO264" s="25">
        <f t="shared" ref="BO264" ca="1" si="2641">BO266-(COLUMN()/10000)</f>
        <v>3.9933000000000001</v>
      </c>
      <c r="BP264" s="25"/>
      <c r="BQ264" s="25"/>
      <c r="BR264" s="25">
        <f t="shared" ref="BR264" ca="1" si="2642">BR266-(COLUMN()/10000)</f>
        <v>3.9929999999999999</v>
      </c>
      <c r="BS264" s="25"/>
      <c r="BT264" s="25"/>
      <c r="BU264" s="25">
        <f t="shared" ref="BU264" ca="1" si="2643">BU266-(COLUMN()/10000)</f>
        <v>0.99270000000000003</v>
      </c>
      <c r="BV264" s="25"/>
      <c r="BW264" s="25"/>
      <c r="BX264" s="25">
        <f t="shared" ref="BX264" ca="1" si="2644">BX266-(COLUMN()/10000)</f>
        <v>3.9923999999999999</v>
      </c>
      <c r="BY264" s="25"/>
      <c r="BZ264" s="25"/>
      <c r="CA264" s="25">
        <f t="shared" ref="CA264" ca="1" si="2645">CA266-(COLUMN()/10000)</f>
        <v>-7.9000000000000008E-3</v>
      </c>
      <c r="CB264" s="25"/>
      <c r="CC264" s="25"/>
      <c r="CD264" s="25">
        <f t="shared" ref="CD264" ca="1" si="2646">CD266-(COLUMN()/10000)</f>
        <v>0.99180000000000001</v>
      </c>
      <c r="CE264" s="25"/>
      <c r="CF264" s="25"/>
      <c r="CG264" s="25">
        <f t="shared" ref="CG264" ca="1" si="2647">CG266-(COLUMN()/10000)</f>
        <v>3.9914999999999998</v>
      </c>
      <c r="CH264" s="25"/>
      <c r="CI264" s="25"/>
      <c r="CJ264" s="25">
        <f t="shared" ref="CJ264" ca="1" si="2648">CJ266-(COLUMN()/10000)</f>
        <v>3.9912000000000001</v>
      </c>
      <c r="CK264" s="25"/>
      <c r="CL264" s="25"/>
      <c r="CM264" s="25">
        <f t="shared" ref="CM264" ca="1" si="2649">CM266-(COLUMN()/10000)</f>
        <v>3.9908999999999999</v>
      </c>
      <c r="CN264" s="25"/>
      <c r="CO264" s="25"/>
      <c r="CP264" s="25">
        <f t="shared" ref="CP264" ca="1" si="2650">CP266-(COLUMN()/10000)</f>
        <v>0.99060000000000004</v>
      </c>
      <c r="CQ264" s="25"/>
      <c r="CR264" s="25"/>
      <c r="CS264" s="25">
        <f t="shared" ref="CS264" ca="1" si="2651">CS266-(COLUMN()/10000)</f>
        <v>1.9903</v>
      </c>
      <c r="CT264" s="25"/>
      <c r="CU264" s="25"/>
      <c r="CV264" s="25">
        <f t="shared" ref="CV264" ca="1" si="2652">CV266-(COLUMN()/10000)</f>
        <v>0.99</v>
      </c>
      <c r="CW264" s="25"/>
      <c r="CX264" s="25"/>
      <c r="CY264" s="25">
        <f t="shared" ref="CY264" ca="1" si="2653">CY266-(COLUMN()/10000)</f>
        <v>0.98970000000000002</v>
      </c>
      <c r="CZ264" s="25"/>
      <c r="DA264" s="25"/>
      <c r="DB264" s="25">
        <f t="shared" ref="DB264" ca="1" si="2654">DB266-(COLUMN()/10000)</f>
        <v>3.9893999999999998</v>
      </c>
      <c r="DC264" s="25"/>
      <c r="DD264" s="25"/>
      <c r="DE264" s="25">
        <f t="shared" ref="DE264" ca="1" si="2655">DE266-(COLUMN()/10000)</f>
        <v>0.98909999999999998</v>
      </c>
      <c r="DF264" s="25"/>
      <c r="DG264" s="25"/>
      <c r="DH264" s="25">
        <f t="shared" ref="DH264" ca="1" si="2656">DH266-(COLUMN()/10000)</f>
        <v>0.98880000000000001</v>
      </c>
      <c r="DI264" s="25"/>
      <c r="DJ264" s="25"/>
      <c r="DK264" s="25">
        <f t="shared" ref="DK264" ca="1" si="2657">DK266-(COLUMN()/10000)</f>
        <v>3.9885000000000002</v>
      </c>
      <c r="DL264" s="25"/>
      <c r="DM264" s="25"/>
      <c r="DN264" s="25">
        <f t="shared" ref="DN264" ca="1" si="2658">DN266-(COLUMN()/10000)</f>
        <v>1.9882</v>
      </c>
      <c r="DO264" s="25"/>
      <c r="DP264" s="25"/>
      <c r="DQ264" s="25">
        <f t="shared" ref="DQ264" ca="1" si="2659">DQ266-(COLUMN()/10000)</f>
        <v>0.9879</v>
      </c>
      <c r="DR264" s="25"/>
      <c r="DS264" s="25"/>
      <c r="DT264" s="25">
        <f t="shared" ref="DT264" ca="1" si="2660">DT266-(COLUMN()/10000)</f>
        <v>1.9876</v>
      </c>
      <c r="DU264" s="25"/>
      <c r="DV264" s="25"/>
      <c r="DW264" s="25">
        <f t="shared" ref="DW264" ca="1" si="2661">DW266-(COLUMN()/10000)</f>
        <v>3.9872999999999998</v>
      </c>
      <c r="DX264" s="25"/>
      <c r="DY264" s="25"/>
      <c r="DZ264" s="25">
        <f t="shared" ref="DZ264" ca="1" si="2662">DZ266-(COLUMN()/10000)</f>
        <v>3.9870000000000001</v>
      </c>
      <c r="EA264" s="25"/>
      <c r="EB264" s="25"/>
      <c r="EC264" s="25">
        <f t="shared" ref="EC264" ca="1" si="2663">EC266-(COLUMN()/10000)</f>
        <v>3.9866999999999999</v>
      </c>
      <c r="ED264" s="25"/>
      <c r="EE264" s="25"/>
      <c r="EF264" s="25">
        <f t="shared" ref="EF264" ca="1" si="2664">EF266-(COLUMN()/10000)</f>
        <v>0.98640000000000005</v>
      </c>
      <c r="EG264" s="25"/>
      <c r="EH264" s="25"/>
      <c r="EI264" s="25">
        <f t="shared" ref="EI264" ca="1" si="2665">EI266-(COLUMN()/10000)</f>
        <v>-1.3899999999999999E-2</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24</v>
      </c>
      <c r="T265" s="25"/>
      <c r="U265" s="25"/>
      <c r="V265" s="25">
        <f ca="1">RANK(V266,OFFSET($S$266,0,0,1,$D$5*3),0)</f>
        <v>24</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24</v>
      </c>
      <c r="AL265" s="25"/>
      <c r="AM265" s="25"/>
      <c r="AN265" s="25">
        <f ca="1">RANK(AN266,OFFSET($S$266,0,0,1,$D$5*3),0)</f>
        <v>1</v>
      </c>
      <c r="AO265" s="25"/>
      <c r="AP265" s="25"/>
      <c r="AQ265" s="25">
        <f ca="1">RANK(AQ266,OFFSET($S$266,0,0,1,$D$5*3),0)</f>
        <v>1</v>
      </c>
      <c r="AR265" s="25"/>
      <c r="AS265" s="25"/>
      <c r="AT265" s="25">
        <f ca="1">RANK(AT266,OFFSET($S$266,0,0,1,$D$5*3),0)</f>
        <v>24</v>
      </c>
      <c r="AU265" s="25"/>
      <c r="AV265" s="25"/>
      <c r="AW265" s="25">
        <f ca="1">RANK(AW266,OFFSET($S$266,0,0,1,$D$5*3),0)</f>
        <v>1</v>
      </c>
      <c r="AX265" s="25"/>
      <c r="AY265" s="25"/>
      <c r="AZ265" s="25">
        <f ca="1">RANK(AZ266,OFFSET($S$266,0,0,1,$D$5*3),0)</f>
        <v>24</v>
      </c>
      <c r="BA265" s="25"/>
      <c r="BB265" s="25"/>
      <c r="BC265" s="25">
        <f ca="1">RANK(BC266,OFFSET($S$266,0,0,1,$D$5*3),0)</f>
        <v>24</v>
      </c>
      <c r="BD265" s="25"/>
      <c r="BE265" s="25"/>
      <c r="BF265" s="25">
        <f ca="1">RANK(BF266,OFFSET($S$266,0,0,1,$D$5*3),0)</f>
        <v>1</v>
      </c>
      <c r="BG265" s="25"/>
      <c r="BH265" s="25"/>
      <c r="BI265" s="25">
        <f ca="1">RANK(BI266,OFFSET($S$266,0,0,1,$D$5*3),0)</f>
        <v>1</v>
      </c>
      <c r="BJ265" s="25"/>
      <c r="BK265" s="25"/>
      <c r="BL265" s="25">
        <f ca="1">RANK(BL266,OFFSET($S$266,0,0,1,$D$5*3),0)</f>
        <v>39</v>
      </c>
      <c r="BM265" s="25"/>
      <c r="BN265" s="25"/>
      <c r="BO265" s="25">
        <f ca="1">RANK(BO266,OFFSET($S$266,0,0,1,$D$5*3),0)</f>
        <v>1</v>
      </c>
      <c r="BP265" s="25"/>
      <c r="BQ265" s="25"/>
      <c r="BR265" s="25">
        <f ca="1">RANK(BR266,OFFSET($S$266,0,0,1,$D$5*3),0)</f>
        <v>1</v>
      </c>
      <c r="BS265" s="25"/>
      <c r="BT265" s="25"/>
      <c r="BU265" s="25">
        <f ca="1">RANK(BU266,OFFSET($S$266,0,0,1,$D$5*3),0)</f>
        <v>24</v>
      </c>
      <c r="BV265" s="25"/>
      <c r="BW265" s="25"/>
      <c r="BX265" s="25">
        <f ca="1">RANK(BX266,OFFSET($S$266,0,0,1,$D$5*3),0)</f>
        <v>1</v>
      </c>
      <c r="BY265" s="25"/>
      <c r="BZ265" s="25"/>
      <c r="CA265" s="25">
        <f ca="1">RANK(CA266,OFFSET($S$266,0,0,1,$D$5*3),0)</f>
        <v>39</v>
      </c>
      <c r="CB265" s="25"/>
      <c r="CC265" s="25"/>
      <c r="CD265" s="25">
        <f ca="1">RANK(CD266,OFFSET($S$266,0,0,1,$D$5*3),0)</f>
        <v>24</v>
      </c>
      <c r="CE265" s="25"/>
      <c r="CF265" s="25"/>
      <c r="CG265" s="25">
        <f ca="1">RANK(CG266,OFFSET($S$266,0,0,1,$D$5*3),0)</f>
        <v>1</v>
      </c>
      <c r="CH265" s="25"/>
      <c r="CI265" s="25"/>
      <c r="CJ265" s="25">
        <f ca="1">RANK(CJ266,OFFSET($S$266,0,0,1,$D$5*3),0)</f>
        <v>1</v>
      </c>
      <c r="CK265" s="25"/>
      <c r="CL265" s="25"/>
      <c r="CM265" s="25">
        <f ca="1">RANK(CM266,OFFSET($S$266,0,0,1,$D$5*3),0)</f>
        <v>1</v>
      </c>
      <c r="CN265" s="25"/>
      <c r="CO265" s="25"/>
      <c r="CP265" s="25">
        <f ca="1">RANK(CP266,OFFSET($S$266,0,0,1,$D$5*3),0)</f>
        <v>24</v>
      </c>
      <c r="CQ265" s="25"/>
      <c r="CR265" s="25"/>
      <c r="CS265" s="25">
        <f ca="1">RANK(CS266,OFFSET($S$266,0,0,1,$D$5*3),0)</f>
        <v>21</v>
      </c>
      <c r="CT265" s="25"/>
      <c r="CU265" s="25"/>
      <c r="CV265" s="25">
        <f ca="1">RANK(CV266,OFFSET($S$266,0,0,1,$D$5*3),0)</f>
        <v>24</v>
      </c>
      <c r="CW265" s="25"/>
      <c r="CX265" s="25"/>
      <c r="CY265" s="25">
        <f ca="1">RANK(CY266,OFFSET($S$266,0,0,1,$D$5*3),0)</f>
        <v>24</v>
      </c>
      <c r="CZ265" s="25"/>
      <c r="DA265" s="25"/>
      <c r="DB265" s="25">
        <f ca="1">RANK(DB266,OFFSET($S$266,0,0,1,$D$5*3),0)</f>
        <v>1</v>
      </c>
      <c r="DC265" s="25"/>
      <c r="DD265" s="25"/>
      <c r="DE265" s="25">
        <f ca="1">RANK(DE266,OFFSET($S$266,0,0,1,$D$5*3),0)</f>
        <v>24</v>
      </c>
      <c r="DF265" s="25"/>
      <c r="DG265" s="25"/>
      <c r="DH265" s="25">
        <f ca="1">RANK(DH266,OFFSET($S$266,0,0,1,$D$5*3),0)</f>
        <v>24</v>
      </c>
      <c r="DI265" s="25"/>
      <c r="DJ265" s="25"/>
      <c r="DK265" s="25">
        <f ca="1">RANK(DK266,OFFSET($S$266,0,0,1,$D$5*3),0)</f>
        <v>1</v>
      </c>
      <c r="DL265" s="25"/>
      <c r="DM265" s="25"/>
      <c r="DN265" s="25">
        <f ca="1">RANK(DN266,OFFSET($S$266,0,0,1,$D$5*3),0)</f>
        <v>21</v>
      </c>
      <c r="DO265" s="25"/>
      <c r="DP265" s="25"/>
      <c r="DQ265" s="25">
        <f ca="1">RANK(DQ266,OFFSET($S$266,0,0,1,$D$5*3),0)</f>
        <v>24</v>
      </c>
      <c r="DR265" s="25"/>
      <c r="DS265" s="25"/>
      <c r="DT265" s="25">
        <f ca="1">RANK(DT266,OFFSET($S$266,0,0,1,$D$5*3),0)</f>
        <v>21</v>
      </c>
      <c r="DU265" s="25"/>
      <c r="DV265" s="25"/>
      <c r="DW265" s="25">
        <f ca="1">RANK(DW266,OFFSET($S$266,0,0,1,$D$5*3),0)</f>
        <v>1</v>
      </c>
      <c r="DX265" s="25"/>
      <c r="DY265" s="25"/>
      <c r="DZ265" s="25">
        <f ca="1">RANK(DZ266,OFFSET($S$266,0,0,1,$D$5*3),0)</f>
        <v>1</v>
      </c>
      <c r="EA265" s="25"/>
      <c r="EB265" s="25"/>
      <c r="EC265" s="25">
        <f ca="1">RANK(EC266,OFFSET($S$266,0,0,1,$D$5*3),0)</f>
        <v>1</v>
      </c>
      <c r="ED265" s="25"/>
      <c r="EE265" s="25"/>
      <c r="EF265" s="25">
        <f ca="1">RANK(EF266,OFFSET($S$266,0,0,1,$D$5*3),0)</f>
        <v>24</v>
      </c>
      <c r="EG265" s="25"/>
      <c r="EH265" s="25"/>
      <c r="EI265" s="25">
        <f ca="1">RANK(EI266,OFFSET($S$266,0,0,1,$D$5*3),0)</f>
        <v>39</v>
      </c>
      <c r="EJ265" s="25"/>
      <c r="EK265" s="25"/>
      <c r="EL265" s="25">
        <f ca="1">RANK(EL266,OFFSET($S$266,0,0,1,$D$5*3),0)</f>
        <v>39</v>
      </c>
      <c r="EM265" s="25"/>
      <c r="EN265" s="25"/>
      <c r="EO265" s="25">
        <f ca="1">RANK(EO266,OFFSET($S$266,0,0,1,$D$5*3),0)</f>
        <v>39</v>
      </c>
      <c r="EP265" s="25"/>
      <c r="EQ265" s="25"/>
      <c r="ER265" s="25">
        <f ca="1">RANK(ER266,OFFSET($S$266,0,0,1,$D$5*3),0)</f>
        <v>39</v>
      </c>
      <c r="ES265" s="25"/>
      <c r="ET265" s="25"/>
      <c r="EU265" s="25">
        <f ca="1">RANK(EU266,OFFSET($S$266,0,0,1,$D$5*3),0)</f>
        <v>39</v>
      </c>
      <c r="EV265" s="25"/>
      <c r="EW265" s="25"/>
      <c r="EX265" s="25">
        <f ca="1">RANK(EX266,OFFSET($S$266,0,0,1,$D$5*3),0)</f>
        <v>39</v>
      </c>
      <c r="EY265" s="25"/>
      <c r="EZ265" s="25"/>
      <c r="FA265" s="25">
        <f ca="1">RANK(FA266,OFFSET($S$266,0,0,1,$D$5*3),0)</f>
        <v>39</v>
      </c>
      <c r="FB265" s="25"/>
      <c r="FC265" s="25"/>
      <c r="FD265" s="25">
        <f ca="1">RANK(FD266,OFFSET($S$266,0,0,1,$D$5*3),0)</f>
        <v>39</v>
      </c>
      <c r="FE265" s="25"/>
      <c r="FF265" s="25"/>
      <c r="FG265" s="25">
        <f ca="1">RANK(FG266,OFFSET($S$266,0,0,1,$D$5*3),0)</f>
        <v>39</v>
      </c>
      <c r="FH265" s="25"/>
      <c r="FI265" s="25"/>
      <c r="FJ265" s="25">
        <f ca="1">RANK(FJ266,OFFSET($S$266,0,0,1,$D$5*3),0)</f>
        <v>39</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1</v>
      </c>
      <c r="T266" s="25"/>
      <c r="U266" s="25"/>
      <c r="V266" s="25">
        <f ca="1">SUMIFS((W6:W259),$H$6:$H$259,$M$262)</f>
        <v>1</v>
      </c>
      <c r="W266" s="25"/>
      <c r="X266" s="25"/>
      <c r="Y266" s="25">
        <f ca="1">SUMIFS((Z6:Z259),$H$6:$H$259,$M$262)</f>
        <v>4</v>
      </c>
      <c r="Z266" s="25"/>
      <c r="AA266" s="25"/>
      <c r="AB266" s="25">
        <f ca="1">SUMIFS((AC6:AC259),$H$6:$H$259,$M$262)</f>
        <v>4</v>
      </c>
      <c r="AC266" s="25"/>
      <c r="AD266" s="25"/>
      <c r="AE266" s="25">
        <f ca="1">SUMIFS((AF6:AF259),$H$6:$H$259,$M$262)</f>
        <v>4</v>
      </c>
      <c r="AF266" s="25"/>
      <c r="AG266" s="25"/>
      <c r="AH266" s="25">
        <f ca="1">SUMIFS((AI6:AI259),$H$6:$H$259,$M$262)</f>
        <v>4</v>
      </c>
      <c r="AI266" s="25"/>
      <c r="AJ266" s="25"/>
      <c r="AK266" s="25">
        <f ca="1">SUMIFS((AL6:AL259),$H$6:$H$259,$M$262)</f>
        <v>1</v>
      </c>
      <c r="AL266" s="25"/>
      <c r="AM266" s="25"/>
      <c r="AN266" s="25">
        <f ca="1">SUMIFS((AO6:AO259),$H$6:$H$259,$M$262)</f>
        <v>4</v>
      </c>
      <c r="AO266" s="25"/>
      <c r="AP266" s="25"/>
      <c r="AQ266" s="25">
        <f ca="1">SUMIFS((AR6:AR259),$H$6:$H$259,$M$262)</f>
        <v>4</v>
      </c>
      <c r="AR266" s="25"/>
      <c r="AS266" s="25"/>
      <c r="AT266" s="25">
        <f ca="1">SUMIFS((AU6:AU259),$H$6:$H$259,$M$262)</f>
        <v>1</v>
      </c>
      <c r="AU266" s="25"/>
      <c r="AV266" s="25"/>
      <c r="AW266" s="25">
        <f ca="1">SUMIFS((AX6:AX259),$H$6:$H$259,$M$262)</f>
        <v>4</v>
      </c>
      <c r="AX266" s="25"/>
      <c r="AY266" s="25"/>
      <c r="AZ266" s="25">
        <f ca="1">SUMIFS((BA6:BA259),$H$6:$H$259,$M$262)</f>
        <v>1</v>
      </c>
      <c r="BA266" s="25"/>
      <c r="BB266" s="25"/>
      <c r="BC266" s="25">
        <f ca="1">SUMIFS((BD6:BD259),$H$6:$H$259,$M$262)</f>
        <v>1</v>
      </c>
      <c r="BD266" s="25"/>
      <c r="BE266" s="25"/>
      <c r="BF266" s="25">
        <f ca="1">SUMIFS((BG6:BG259),$H$6:$H$259,$M$262)</f>
        <v>4</v>
      </c>
      <c r="BG266" s="25"/>
      <c r="BH266" s="25"/>
      <c r="BI266" s="25">
        <f ca="1">SUMIFS((BJ6:BJ259),$H$6:$H$259,$M$262)</f>
        <v>4</v>
      </c>
      <c r="BJ266" s="25"/>
      <c r="BK266" s="25"/>
      <c r="BL266" s="25">
        <f ca="1">SUMIFS((BM6:BM259),$H$6:$H$259,$M$262)</f>
        <v>0</v>
      </c>
      <c r="BM266" s="25"/>
      <c r="BN266" s="25"/>
      <c r="BO266" s="25">
        <f ca="1">SUMIFS((BP6:BP259),$H$6:$H$259,$M$262)</f>
        <v>4</v>
      </c>
      <c r="BP266" s="25"/>
      <c r="BQ266" s="25"/>
      <c r="BR266" s="25">
        <f ca="1">SUMIFS((BS6:BS259),$H$6:$H$259,$M$262)</f>
        <v>4</v>
      </c>
      <c r="BS266" s="25"/>
      <c r="BT266" s="25"/>
      <c r="BU266" s="25">
        <f ca="1">SUMIFS((BV6:BV259),$H$6:$H$259,$M$262)</f>
        <v>1</v>
      </c>
      <c r="BV266" s="25"/>
      <c r="BW266" s="25"/>
      <c r="BX266" s="25">
        <f ca="1">SUMIFS((BY6:BY259),$H$6:$H$259,$M$262)</f>
        <v>4</v>
      </c>
      <c r="BY266" s="25"/>
      <c r="BZ266" s="25"/>
      <c r="CA266" s="25">
        <f ca="1">SUMIFS((CB6:CB259),$H$6:$H$259,$M$262)</f>
        <v>0</v>
      </c>
      <c r="CB266" s="25"/>
      <c r="CC266" s="25"/>
      <c r="CD266" s="25">
        <f ca="1">SUMIFS((CE6:CE259),$H$6:$H$259,$M$262)</f>
        <v>1</v>
      </c>
      <c r="CE266" s="25"/>
      <c r="CF266" s="25"/>
      <c r="CG266" s="25">
        <f ca="1">SUMIFS((CH6:CH259),$H$6:$H$259,$M$262)</f>
        <v>4</v>
      </c>
      <c r="CH266" s="25"/>
      <c r="CI266" s="25"/>
      <c r="CJ266" s="25">
        <f ca="1">SUMIFS((CK6:CK259),$H$6:$H$259,$M$262)</f>
        <v>4</v>
      </c>
      <c r="CK266" s="25"/>
      <c r="CL266" s="25"/>
      <c r="CM266" s="25">
        <f ca="1">SUMIFS((CN6:CN259),$H$6:$H$259,$M$262)</f>
        <v>4</v>
      </c>
      <c r="CN266" s="25"/>
      <c r="CO266" s="25"/>
      <c r="CP266" s="25">
        <f ca="1">SUMIFS((CQ6:CQ259),$H$6:$H$259,$M$262)</f>
        <v>1</v>
      </c>
      <c r="CQ266" s="25"/>
      <c r="CR266" s="25"/>
      <c r="CS266" s="25">
        <f ca="1">SUMIFS((CT6:CT259),$H$6:$H$259,$M$262)</f>
        <v>2</v>
      </c>
      <c r="CT266" s="25"/>
      <c r="CU266" s="25"/>
      <c r="CV266" s="25">
        <f ca="1">SUMIFS((CW6:CW259),$H$6:$H$259,$M$262)</f>
        <v>1</v>
      </c>
      <c r="CW266" s="25"/>
      <c r="CX266" s="25"/>
      <c r="CY266" s="25">
        <f ca="1">SUMIFS((CZ6:CZ259),$H$6:$H$259,$M$262)</f>
        <v>1</v>
      </c>
      <c r="CZ266" s="25"/>
      <c r="DA266" s="25"/>
      <c r="DB266" s="25">
        <f ca="1">SUMIFS((DC6:DC259),$H$6:$H$259,$M$262)</f>
        <v>4</v>
      </c>
      <c r="DC266" s="25"/>
      <c r="DD266" s="25"/>
      <c r="DE266" s="25">
        <f ca="1">SUMIFS((DF6:DF259),$H$6:$H$259,$M$262)</f>
        <v>1</v>
      </c>
      <c r="DF266" s="25"/>
      <c r="DG266" s="25"/>
      <c r="DH266" s="25">
        <f ca="1">SUMIFS((DI6:DI259),$H$6:$H$259,$M$262)</f>
        <v>1</v>
      </c>
      <c r="DI266" s="25"/>
      <c r="DJ266" s="25"/>
      <c r="DK266" s="25">
        <f ca="1">SUMIFS((DL6:DL259),$H$6:$H$259,$M$262)</f>
        <v>4</v>
      </c>
      <c r="DL266" s="25"/>
      <c r="DM266" s="25"/>
      <c r="DN266" s="25">
        <f ca="1">SUMIFS((DO6:DO259),$H$6:$H$259,$M$262)</f>
        <v>2</v>
      </c>
      <c r="DO266" s="25"/>
      <c r="DP266" s="25"/>
      <c r="DQ266" s="25">
        <f ca="1">SUMIFS((DR6:DR259),$H$6:$H$259,$M$262)</f>
        <v>1</v>
      </c>
      <c r="DR266" s="25"/>
      <c r="DS266" s="25"/>
      <c r="DT266" s="25">
        <f ca="1">SUMIFS((DU6:DU259),$H$6:$H$259,$M$262)</f>
        <v>2</v>
      </c>
      <c r="DU266" s="25"/>
      <c r="DV266" s="25"/>
      <c r="DW266" s="25">
        <f ca="1">SUMIFS((DX6:DX259),$H$6:$H$259,$M$262)</f>
        <v>4</v>
      </c>
      <c r="DX266" s="25"/>
      <c r="DY266" s="25"/>
      <c r="DZ266" s="25">
        <f ca="1">SUMIFS((EA6:EA259),$H$6:$H$259,$M$262)</f>
        <v>4</v>
      </c>
      <c r="EA266" s="25"/>
      <c r="EB266" s="25"/>
      <c r="EC266" s="25">
        <f ca="1">SUMIFS((ED6:ED259),$H$6:$H$259,$M$262)</f>
        <v>4</v>
      </c>
      <c r="ED266" s="25"/>
      <c r="EE266" s="25"/>
      <c r="EF266" s="25">
        <f ca="1">SUMIFS((EG6:EG259),$H$6:$H$259,$M$262)</f>
        <v>1</v>
      </c>
      <c r="EG266" s="25"/>
      <c r="EH266" s="25"/>
      <c r="EI266" s="25">
        <f ca="1">SUMIFS((EJ6:EJ259),$H$6:$H$259,$M$262)</f>
        <v>0</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Pegar Valores Nombre J41</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zoomScale="85" zoomScaleNormal="85" workbookViewId="0">
      <selection activeCell="E26" sqref="E26"/>
    </sheetView>
  </sheetViews>
  <sheetFormatPr defaultColWidth="0" defaultRowHeight="14.4"/>
  <cols>
    <col min="1" max="1" width="4.6640625" style="7" customWidth="1"/>
    <col min="2" max="2" width="4.6640625" style="1" bestFit="1" customWidth="1"/>
    <col min="3" max="3" width="22.664062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IGNACIO LAFUENTE</v>
      </c>
      <c r="D5" s="91">
        <f ca="1">IFERROR(HLOOKUP(A5,Rango_Admin_Clas,4,FALSE),"-")</f>
        <v>37</v>
      </c>
      <c r="E5" s="92" cm="1">
        <f t="array" aca="1" ref="E5" ca="1">IFERROR(INDEX(Rango_Admin_Clas_Total,E$2,MATCH($A5,Rango_Admin_Clas_Primera,0)+1),"-")</f>
        <v>37</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bau</v>
      </c>
      <c r="D6" s="91">
        <f ca="1">IFERROR(HLOOKUP(A6,Rango_Admin_Clas,4,FALSE),"-")</f>
        <v>33</v>
      </c>
      <c r="E6" s="92" cm="1">
        <f t="array" aca="1" ref="E6" ca="1">IFERROR(INDEX(Rango_Admin_Clas_Total,E$2,MATCH($A6,Rango_Admin_Clas_Primera,0)+1),"-")</f>
        <v>33</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Carlos Murciano</v>
      </c>
      <c r="D7" s="91">
        <f ca="1">IFERROR(HLOOKUP(A7,Rango_Admin_Clas,4,FALSE),"-")</f>
        <v>32</v>
      </c>
      <c r="E7" s="92" cm="1">
        <f t="array" aca="1" ref="E7" ca="1">IFERROR(INDEX(Rango_Admin_Clas_Total,E$2,MATCH($A7,Rango_Admin_Clas_Primera,0)+1),"-")</f>
        <v>32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KIRICOCHO</v>
      </c>
      <c r="D8" s="91">
        <f ca="1">IFERROR(HLOOKUP(A8,Rango_Admin_Clas,4,FALSE),"-")</f>
        <v>30</v>
      </c>
      <c r="E8" s="92" cm="1">
        <f t="array" aca="1" ref="E8" ca="1">IFERROR(INDEX(Rango_Admin_Clas_Total,E$2,MATCH($A8,Rango_Admin_Clas_Primera,0)+1),"-")</f>
        <v>30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Jaime Lafuente</v>
      </c>
      <c r="D9" s="91">
        <f ca="1">IFERROR(HLOOKUP(A9,Rango_Admin_Clas,4,FALSE),"-")</f>
        <v>29</v>
      </c>
      <c r="E9" s="92" cm="1">
        <f t="array" aca="1" ref="E9" ca="1">IFERROR(INDEX(Rango_Admin_Clas_Total,E$2,MATCH($A9,Rango_Admin_Clas_Primera,0)+1),"-")</f>
        <v>29</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MURO 204</v>
      </c>
      <c r="D10" s="91">
        <f ca="1">IFERROR(HLOOKUP(A10,Rango_Admin_Clas,4,FALSE),"-")</f>
        <v>28</v>
      </c>
      <c r="E10" s="92" cm="1">
        <f t="array" aca="1" ref="E10" ca="1">IFERROR(INDEX(Rango_Admin_Clas_Total,E$2,MATCH($A10,Rango_Admin_Clas_Primera,0)+1),"-")</f>
        <v>28</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Alejandro Lafuente</v>
      </c>
      <c r="D11" s="91">
        <f ca="1">IFERROR(HLOOKUP(A11,Rango_Admin_Clas,4,FALSE),"-")</f>
        <v>27</v>
      </c>
      <c r="E11" s="92" cm="1">
        <f t="array" aca="1" ref="E11" ca="1">IFERROR(INDEX(Rango_Admin_Clas_Total,E$2,MATCH($A11,Rango_Admin_Clas_Primera,0)+1),"-")</f>
        <v>27</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7</v>
      </c>
      <c r="C12" s="18" t="str">
        <f ca="1">IFERROR(HLOOKUP(A12,Rango_Admin_Clas,5,FALSE),"-")</f>
        <v>Jaime García de la Riva</v>
      </c>
      <c r="D12" s="91">
        <f ca="1">IFERROR(HLOOKUP(A12,Rango_Admin_Clas,4,FALSE),"-")</f>
        <v>27</v>
      </c>
      <c r="E12" s="92" cm="1">
        <f t="array" aca="1" ref="E12" ca="1">IFERROR(INDEX(Rango_Admin_Clas_Total,E$2,MATCH($A12,Rango_Admin_Clas_Primera,0)+1),"-")</f>
        <v>27</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7</v>
      </c>
      <c r="C13" s="18" t="str">
        <f ca="1">IFERROR(HLOOKUP(A13,Rango_Admin_Clas,5,FALSE),"-")</f>
        <v>Joserra</v>
      </c>
      <c r="D13" s="91">
        <f ca="1">IFERROR(HLOOKUP(A13,Rango_Admin_Clas,4,FALSE),"-")</f>
        <v>27</v>
      </c>
      <c r="E13" s="92" cm="1">
        <f t="array" aca="1" ref="E13" ca="1">IFERROR(INDEX(Rango_Admin_Clas_Total,E$2,MATCH($A13,Rango_Admin_Clas_Primera,0)+1),"-")</f>
        <v>27</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7</v>
      </c>
      <c r="C14" s="18" t="str">
        <f ca="1">IFERROR(HLOOKUP(A14,Rango_Admin_Clas,5,FALSE),"-")</f>
        <v>Lucas Oriol</v>
      </c>
      <c r="D14" s="91">
        <f ca="1">IFERROR(HLOOKUP(A14,Rango_Admin_Clas,4,FALSE),"-")</f>
        <v>27</v>
      </c>
      <c r="E14" s="92" cm="1">
        <f t="array" aca="1" ref="E14" ca="1">IFERROR(INDEX(Rango_Admin_Clas_Total,E$2,MATCH($A14,Rango_Admin_Clas_Primera,0)+1),"-")</f>
        <v>27</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11</v>
      </c>
      <c r="C15" s="18" t="str">
        <f ca="1">IFERROR(HLOOKUP(A15,Rango_Admin_Clas,5,FALSE),"-")</f>
        <v>BeliBeltrán</v>
      </c>
      <c r="D15" s="91">
        <f ca="1">IFERROR(HLOOKUP(A15,Rango_Admin_Clas,4,FALSE),"-")</f>
        <v>25</v>
      </c>
      <c r="E15" s="92" cm="1">
        <f t="array" aca="1" ref="E15" ca="1">IFERROR(INDEX(Rango_Admin_Clas_Total,E$2,MATCH($A15,Rango_Admin_Clas_Primera,0)+1),"-")</f>
        <v>25</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12</v>
      </c>
      <c r="C16" s="18" t="str">
        <f ca="1">IFERROR(HLOOKUP(A16,Rango_Admin_Clas,5,FALSE),"-")</f>
        <v>Admin</v>
      </c>
      <c r="D16" s="91">
        <f ca="1">IFERROR(HLOOKUP(A16,Rango_Admin_Clas,4,FALSE),"-")</f>
        <v>24</v>
      </c>
      <c r="E16" s="92" cm="1">
        <f t="array" aca="1" ref="E16" ca="1">IFERROR(INDEX(Rango_Admin_Clas_Total,E$2,MATCH($A16,Rango_Admin_Clas_Primera,0)+1),"-")</f>
        <v>24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12</v>
      </c>
      <c r="C17" s="18" t="str">
        <f ca="1">IFERROR(HLOOKUP(A17,Rango_Admin_Clas,5,FALSE),"-")</f>
        <v>Antonio Zulueta Ramos</v>
      </c>
      <c r="D17" s="91">
        <f ca="1">IFERROR(HLOOKUP(A17,Rango_Admin_Clas,4,FALSE),"-")</f>
        <v>24</v>
      </c>
      <c r="E17" s="92" cm="1">
        <f t="array" aca="1" ref="E17" ca="1">IFERROR(INDEX(Rango_Admin_Clas_Total,E$2,MATCH($A17,Rango_Admin_Clas_Primera,0)+1),"-")</f>
        <v>24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12</v>
      </c>
      <c r="C18" s="18" t="str">
        <f ca="1">IFERROR(HLOOKUP(A18,Rango_Admin_Clas,5,FALSE),"-")</f>
        <v>Guillermo Murciano</v>
      </c>
      <c r="D18" s="91">
        <f ca="1">IFERROR(HLOOKUP(A18,Rango_Admin_Clas,4,FALSE),"-")</f>
        <v>24</v>
      </c>
      <c r="E18" s="92" cm="1">
        <f t="array" aca="1" ref="E18" ca="1">IFERROR(INDEX(Rango_Admin_Clas_Total,E$2,MATCH($A18,Rango_Admin_Clas_Primera,0)+1),"-")</f>
        <v>24</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12</v>
      </c>
      <c r="C19" s="18" t="str">
        <f ca="1">IFERROR(HLOOKUP(A19,Rango_Admin_Clas,5,FALSE),"-")</f>
        <v>Gratacós</v>
      </c>
      <c r="D19" s="91">
        <f ca="1">IFERROR(HLOOKUP(A19,Rango_Admin_Clas,4,FALSE),"-")</f>
        <v>24</v>
      </c>
      <c r="E19" s="92" cm="1">
        <f t="array" aca="1" ref="E19" ca="1">IFERROR(INDEX(Rango_Admin_Clas_Total,E$2,MATCH($A19,Rango_Admin_Clas_Primera,0)+1),"-")</f>
        <v>24</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JCU</v>
      </c>
      <c r="D20" s="91">
        <f ca="1">IFERROR(HLOOKUP(A20,Rango_Admin_Clas,4,FALSE),"-")</f>
        <v>23</v>
      </c>
      <c r="E20" s="92" cm="1">
        <f t="array" aca="1" ref="E20" ca="1">IFERROR(INDEX(Rango_Admin_Clas_Total,E$2,MATCH($A20,Rango_Admin_Clas_Primera,0)+1),"-")</f>
        <v>23</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17</v>
      </c>
      <c r="C21" s="18" t="str">
        <f ca="1">IFERROR(HLOOKUP(A21,Rango_Admin_Clas,5,FALSE),"-")</f>
        <v>Ignacio de Lecea</v>
      </c>
      <c r="D21" s="91">
        <f ca="1">IFERROR(HLOOKUP(A21,Rango_Admin_Clas,4,FALSE),"-")</f>
        <v>22</v>
      </c>
      <c r="E21" s="92" cm="1">
        <f t="array" aca="1" ref="E21" ca="1">IFERROR(INDEX(Rango_Admin_Clas_Total,E$2,MATCH($A21,Rango_Admin_Clas_Primera,0)+1),"-")</f>
        <v>22</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17</v>
      </c>
      <c r="C22" s="18" t="str">
        <f ca="1">IFERROR(HLOOKUP(A22,Rango_Admin_Clas,5,FALSE),"-")</f>
        <v>AD Monchus</v>
      </c>
      <c r="D22" s="91">
        <f ca="1">IFERROR(HLOOKUP(A22,Rango_Admin_Clas,4,FALSE),"-")</f>
        <v>22</v>
      </c>
      <c r="E22" s="92" cm="1">
        <f t="array" aca="1" ref="E22" ca="1">IFERROR(INDEX(Rango_Admin_Clas_Total,E$2,MATCH($A22,Rango_Admin_Clas_Primera,0)+1),"-")</f>
        <v>22</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19</v>
      </c>
      <c r="C23" s="18" t="str">
        <f ca="1">IFERROR(HLOOKUP(A23,Rango_Admin_Clas,5,FALSE),"-")</f>
        <v>Antonio del Ojo</v>
      </c>
      <c r="D23" s="91">
        <f ca="1">IFERROR(HLOOKUP(A23,Rango_Admin_Clas,4,FALSE),"-")</f>
        <v>21</v>
      </c>
      <c r="E23" s="92" cm="1">
        <f t="array" aca="1" ref="E23" ca="1">IFERROR(INDEX(Rango_Admin_Clas_Total,E$2,MATCH($A23,Rango_Admin_Clas_Primera,0)+1),"-")</f>
        <v>21</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19</v>
      </c>
      <c r="C24" s="18" t="str">
        <f ca="1">IFERROR(HLOOKUP(A24,Rango_Admin_Clas,5,FALSE),"-")</f>
        <v>Fernando Carlos García-Ramos Redondo</v>
      </c>
      <c r="D24" s="91">
        <f ca="1">IFERROR(HLOOKUP(A24,Rango_Admin_Clas,4,FALSE),"-")</f>
        <v>21</v>
      </c>
      <c r="E24" s="92" cm="1">
        <f t="array" aca="1" ref="E24" ca="1">IFERROR(INDEX(Rango_Admin_Clas_Total,E$2,MATCH($A24,Rango_Admin_Clas_Primera,0)+1),"-")</f>
        <v>21</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19</v>
      </c>
      <c r="C25" s="18" t="str">
        <f ca="1">IFERROR(HLOOKUP(A25,Rango_Admin_Clas,5,FALSE),"-")</f>
        <v>DIDI</v>
      </c>
      <c r="D25" s="91">
        <f ca="1">IFERROR(HLOOKUP(A25,Rango_Admin_Clas,4,FALSE),"-")</f>
        <v>21</v>
      </c>
      <c r="E25" s="92" cm="1">
        <f t="array" aca="1" ref="E25" ca="1">IFERROR(INDEX(Rango_Admin_Clas_Total,E$2,MATCH($A25,Rango_Admin_Clas_Primera,0)+1),"-")</f>
        <v>21</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Chente Muñoz</v>
      </c>
      <c r="D26" s="91">
        <f ca="1">IFERROR(HLOOKUP(A26,Rango_Admin_Clas,4,FALSE),"-")</f>
        <v>20</v>
      </c>
      <c r="E26" s="92" cm="1">
        <f t="array" aca="1" ref="E26" ca="1">IFERROR(INDEX(Rango_Admin_Clas_Total,E$2,MATCH($A26,Rango_Admin_Clas_Primera,0)+1),"-")</f>
        <v>20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22</v>
      </c>
      <c r="C27" s="18" t="str">
        <f ca="1">IFERROR(HLOOKUP(A27,Rango_Admin_Clas,5,FALSE),"-")</f>
        <v>Pablo C</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22</v>
      </c>
      <c r="C28" s="18" t="str">
        <f ca="1">IFERROR(HLOOKUP(A28,Rango_Admin_Clas,5,FALSE),"-")</f>
        <v>Florentino Netanyahu</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22</v>
      </c>
      <c r="C29" s="18" t="str">
        <f ca="1">IFERROR(HLOOKUP(A29,Rango_Admin_Clas,5,FALSE),"-")</f>
        <v>YTD</v>
      </c>
      <c r="D29" s="91">
        <f ca="1">IFERROR(HLOOKUP(A29,Rango_Admin_Clas,4,FALSE),"-")</f>
        <v>20</v>
      </c>
      <c r="E29" s="92" cm="1">
        <f t="array" aca="1" ref="E29" ca="1">IFERROR(INDEX(Rango_Admin_Clas_Total,E$2,MATCH($A29,Rango_Admin_Clas_Primera,0)+1),"-")</f>
        <v>20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22</v>
      </c>
      <c r="C30" s="18" t="str">
        <f ca="1">IFERROR(HLOOKUP(A30,Rango_Admin_Clas,5,FALSE),"-")</f>
        <v xml:space="preserve">Martín Matoses </v>
      </c>
      <c r="D30" s="91">
        <f ca="1">IFERROR(HLOOKUP(A30,Rango_Admin_Clas,4,FALSE),"-")</f>
        <v>20</v>
      </c>
      <c r="E30" s="92" cm="1">
        <f t="array" aca="1" ref="E30" ca="1">IFERROR(INDEX(Rango_Admin_Clas_Total,E$2,MATCH($A30,Rango_Admin_Clas_Primera,0)+1),"-")</f>
        <v>20</v>
      </c>
      <c r="F30" s="92" cm="1">
        <f t="array" aca="1" ref="F30" ca="1">IFERROR(INDEX(Rango_Admin_Clas_Total,F$2,MATCH($A30,Rango_Admin_Clas_Primera,0)+1),"-")</f>
        <v>0</v>
      </c>
      <c r="G30" s="92" cm="1">
        <f t="array" aca="1" ref="G30" ca="1">IFERROR(INDEX(Rango_Admin_Clas_Total,G$2,MATCH($A30,Rango_Admin_Clas_Primera,0)+1),"-")</f>
        <v>0</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27</v>
      </c>
      <c r="C31" s="18" t="str">
        <f ca="1">IFERROR(HLOOKUP(A31,Rango_Admin_Clas,5,FALSE),"-")</f>
        <v>Pastor</v>
      </c>
      <c r="D31" s="91">
        <f ca="1">IFERROR(HLOOKUP(A31,Rango_Admin_Clas,4,FALSE),"-")</f>
        <v>19</v>
      </c>
      <c r="E31" s="92" cm="1">
        <f t="array" aca="1" ref="E31" ca="1">IFERROR(INDEX(Rango_Admin_Clas_Total,E$2,MATCH($A31,Rango_Admin_Clas_Primera,0)+1),"-")</f>
        <v>19</v>
      </c>
      <c r="F31" s="92" cm="1">
        <f t="array" aca="1" ref="F31" ca="1">IFERROR(INDEX(Rango_Admin_Clas_Total,F$2,MATCH($A31,Rango_Admin_Clas_Primera,0)+1),"-")</f>
        <v>0</v>
      </c>
      <c r="G31" s="92" cm="1">
        <f t="array" aca="1" ref="G31" ca="1">IFERROR(INDEX(Rango_Admin_Clas_Total,G$2,MATCH($A31,Rango_Admin_Clas_Primera,0)+1),"-")</f>
        <v>0</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27</v>
      </c>
      <c r="C32" s="18" t="str">
        <f ca="1">IFERROR(HLOOKUP(A32,Rango_Admin_Clas,5,FALSE),"-")</f>
        <v>Fercho Muro Matosex</v>
      </c>
      <c r="D32" s="91">
        <f ca="1">IFERROR(HLOOKUP(A32,Rango_Admin_Clas,4,FALSE),"-")</f>
        <v>19</v>
      </c>
      <c r="E32" s="92" cm="1">
        <f t="array" aca="1" ref="E32" ca="1">IFERROR(INDEX(Rango_Admin_Clas_Total,E$2,MATCH($A32,Rango_Admin_Clas_Primera,0)+1),"-")</f>
        <v>19</v>
      </c>
      <c r="F32" s="92" cm="1">
        <f t="array" aca="1" ref="F32" ca="1">IFERROR(INDEX(Rango_Admin_Clas_Total,F$2,MATCH($A32,Rango_Admin_Clas_Primera,0)+1),"-")</f>
        <v>0</v>
      </c>
      <c r="G32" s="92" cm="1">
        <f t="array" aca="1" ref="G32" ca="1">IFERROR(INDEX(Rango_Admin_Clas_Total,G$2,MATCH($A32,Rango_Admin_Clas_Primera,0)+1),"-")</f>
        <v>0</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27</v>
      </c>
      <c r="C33" s="18" t="str">
        <f ca="1">IFERROR(HLOOKUP(A33,Rango_Admin_Clas,5,FALSE),"-")</f>
        <v>Ricardo Soto</v>
      </c>
      <c r="D33" s="91">
        <f ca="1">IFERROR(HLOOKUP(A33,Rango_Admin_Clas,4,FALSE),"-")</f>
        <v>19</v>
      </c>
      <c r="E33" s="92" cm="1">
        <f t="array" aca="1" ref="E33" ca="1">IFERROR(INDEX(Rango_Admin_Clas_Total,E$2,MATCH($A33,Rango_Admin_Clas_Primera,0)+1),"-")</f>
        <v>19</v>
      </c>
      <c r="F33" s="92" cm="1">
        <f t="array" aca="1" ref="F33" ca="1">IFERROR(INDEX(Rango_Admin_Clas_Total,F$2,MATCH($A33,Rango_Admin_Clas_Primera,0)+1),"-")</f>
        <v>0</v>
      </c>
      <c r="G33" s="92" cm="1">
        <f t="array" aca="1" ref="G33" ca="1">IFERROR(INDEX(Rango_Admin_Clas_Total,G$2,MATCH($A33,Rango_Admin_Clas_Primera,0)+1),"-")</f>
        <v>0</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30</v>
      </c>
      <c r="C34" s="18" t="str">
        <f ca="1">IFERROR(HLOOKUP(A34,Rango_Admin_Clas,5,FALSE),"-")</f>
        <v>William Hartley</v>
      </c>
      <c r="D34" s="91">
        <f ca="1">IFERROR(HLOOKUP(A34,Rango_Admin_Clas,4,FALSE),"-")</f>
        <v>18</v>
      </c>
      <c r="E34" s="92" cm="1">
        <f t="array" aca="1" ref="E34" ca="1">IFERROR(INDEX(Rango_Admin_Clas_Total,E$2,MATCH($A34,Rango_Admin_Clas_Primera,0)+1),"-")</f>
        <v>18</v>
      </c>
      <c r="F34" s="92" cm="1">
        <f t="array" aca="1" ref="F34" ca="1">IFERROR(INDEX(Rango_Admin_Clas_Total,F$2,MATCH($A34,Rango_Admin_Clas_Primera,0)+1),"-")</f>
        <v>0</v>
      </c>
      <c r="G34" s="92" cm="1">
        <f t="array" aca="1" ref="G34" ca="1">IFERROR(INDEX(Rango_Admin_Clas_Total,G$2,MATCH($A34,Rango_Admin_Clas_Primera,0)+1),"-")</f>
        <v>0</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30</v>
      </c>
      <c r="C35" s="18" t="str">
        <f ca="1">IFERROR(HLOOKUP(A35,Rango_Admin_Clas,5,FALSE),"-")</f>
        <v>Vicuinho</v>
      </c>
      <c r="D35" s="91">
        <f ca="1">IFERROR(HLOOKUP(A35,Rango_Admin_Clas,4,FALSE),"-")</f>
        <v>18</v>
      </c>
      <c r="E35" s="92" cm="1">
        <f t="array" aca="1" ref="E35" ca="1">IFERROR(INDEX(Rango_Admin_Clas_Total,E$2,MATCH($A35,Rango_Admin_Clas_Primera,0)+1),"-")</f>
        <v>18</v>
      </c>
      <c r="F35" s="92" cm="1">
        <f t="array" aca="1" ref="F35" ca="1">IFERROR(INDEX(Rango_Admin_Clas_Total,F$2,MATCH($A35,Rango_Admin_Clas_Primera,0)+1),"-")</f>
        <v>0</v>
      </c>
      <c r="G35" s="92" cm="1">
        <f t="array" aca="1" ref="G35" ca="1">IFERROR(INDEX(Rango_Admin_Clas_Total,G$2,MATCH($A35,Rango_Admin_Clas_Primera,0)+1),"-")</f>
        <v>0</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30</v>
      </c>
      <c r="C36" s="18" t="str">
        <f ca="1">IFERROR(HLOOKUP(A36,Rango_Admin_Clas,5,FALSE),"-")</f>
        <v>Miguel Suárez-Zuloaga</v>
      </c>
      <c r="D36" s="91">
        <f ca="1">IFERROR(HLOOKUP(A36,Rango_Admin_Clas,4,FALSE),"-")</f>
        <v>18</v>
      </c>
      <c r="E36" s="92" cm="1">
        <f t="array" aca="1" ref="E36" ca="1">IFERROR(INDEX(Rango_Admin_Clas_Total,E$2,MATCH($A36,Rango_Admin_Clas_Primera,0)+1),"-")</f>
        <v>18</v>
      </c>
      <c r="F36" s="92" cm="1">
        <f t="array" aca="1" ref="F36" ca="1">IFERROR(INDEX(Rango_Admin_Clas_Total,F$2,MATCH($A36,Rango_Admin_Clas_Primera,0)+1),"-")</f>
        <v>0</v>
      </c>
      <c r="G36" s="92" cm="1">
        <f t="array" aca="1" ref="G36" ca="1">IFERROR(INDEX(Rango_Admin_Clas_Total,G$2,MATCH($A36,Rango_Admin_Clas_Primera,0)+1),"-")</f>
        <v>0</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30</v>
      </c>
      <c r="C37" s="18" t="str">
        <f ca="1">IFERROR(HLOOKUP(A37,Rango_Admin_Clas,5,FALSE),"-")</f>
        <v xml:space="preserve">Ignacio Núñez </v>
      </c>
      <c r="D37" s="91">
        <f ca="1">IFERROR(HLOOKUP(A37,Rango_Admin_Clas,4,FALSE),"-")</f>
        <v>18</v>
      </c>
      <c r="E37" s="92" cm="1">
        <f t="array" aca="1" ref="E37" ca="1">IFERROR(INDEX(Rango_Admin_Clas_Total,E$2,MATCH($A37,Rango_Admin_Clas_Primera,0)+1),"-")</f>
        <v>18</v>
      </c>
      <c r="F37" s="92" cm="1">
        <f t="array" aca="1" ref="F37" ca="1">IFERROR(INDEX(Rango_Admin_Clas_Total,F$2,MATCH($A37,Rango_Admin_Clas_Primera,0)+1),"-")</f>
        <v>0</v>
      </c>
      <c r="G37" s="92" cm="1">
        <f t="array" aca="1" ref="G37" ca="1">IFERROR(INDEX(Rango_Admin_Clas_Total,G$2,MATCH($A37,Rango_Admin_Clas_Primera,0)+1),"-")</f>
        <v>0</v>
      </c>
      <c r="H37" s="92" cm="1">
        <f t="array" aca="1" ref="H37" ca="1">IFERROR(INDEX(Rango_Admin_Clas_Total,H$2,MATCH($A37,Rango_Admin_Clas_Primera,0)+1),"-")</f>
        <v>0</v>
      </c>
      <c r="I37" s="92" cm="1">
        <f t="array" aca="1" ref="I37" ca="1">IFERROR(INDEX(Rango_Admin_Clas_Total,I$2,MATCH($A37,Rango_Admin_Clas_Primera,0)+1),"-")</f>
        <v>0</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34</v>
      </c>
      <c r="C38" s="18" t="str">
        <f ca="1">IFERROR(HLOOKUP(A38,Rango_Admin_Clas,5,FALSE),"-")</f>
        <v>Nacho Novo</v>
      </c>
      <c r="D38" s="91">
        <f ca="1">IFERROR(HLOOKUP(A38,Rango_Admin_Clas,4,FALSE),"-")</f>
        <v>17</v>
      </c>
      <c r="E38" s="92" cm="1">
        <f t="array" aca="1" ref="E38" ca="1">IFERROR(INDEX(Rango_Admin_Clas_Total,E$2,MATCH($A38,Rango_Admin_Clas_Primera,0)+1),"-")</f>
        <v>17</v>
      </c>
      <c r="F38" s="92" cm="1">
        <f t="array" aca="1" ref="F38" ca="1">IFERROR(INDEX(Rango_Admin_Clas_Total,F$2,MATCH($A38,Rango_Admin_Clas_Primera,0)+1),"-")</f>
        <v>0</v>
      </c>
      <c r="G38" s="92" cm="1">
        <f t="array" aca="1" ref="G38" ca="1">IFERROR(INDEX(Rango_Admin_Clas_Total,G$2,MATCH($A38,Rango_Admin_Clas_Primera,0)+1),"-")</f>
        <v>0</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34</v>
      </c>
      <c r="C39" s="18" t="str">
        <f ca="1">IFERROR(HLOOKUP(A39,Rango_Admin_Clas,5,FALSE),"-")</f>
        <v>Hulk Rexach</v>
      </c>
      <c r="D39" s="91">
        <f ca="1">IFERROR(HLOOKUP(A39,Rango_Admin_Clas,4,FALSE),"-")</f>
        <v>17</v>
      </c>
      <c r="E39" s="92" cm="1">
        <f t="array" aca="1" ref="E39" ca="1">IFERROR(INDEX(Rango_Admin_Clas_Total,E$2,MATCH($A39,Rango_Admin_Clas_Primera,0)+1),"-")</f>
        <v>17</v>
      </c>
      <c r="F39" s="92" cm="1">
        <f t="array" aca="1" ref="F39" ca="1">IFERROR(INDEX(Rango_Admin_Clas_Total,F$2,MATCH($A39,Rango_Admin_Clas_Primera,0)+1),"-")</f>
        <v>0</v>
      </c>
      <c r="G39" s="92" cm="1">
        <f t="array" aca="1" ref="G39" ca="1">IFERROR(INDEX(Rango_Admin_Clas_Total,G$2,MATCH($A39,Rango_Admin_Clas_Primera,0)+1),"-")</f>
        <v>0</v>
      </c>
      <c r="H39" s="92" cm="1">
        <f t="array" aca="1" ref="H39" ca="1">IFERROR(INDEX(Rango_Admin_Clas_Total,H$2,MATCH($A39,Rango_Admin_Clas_Primera,0)+1),"-")</f>
        <v>0</v>
      </c>
      <c r="I39" s="92" cm="1">
        <f t="array" aca="1" ref="I39" ca="1">IFERROR(INDEX(Rango_Admin_Clas_Total,I$2,MATCH($A39,Rango_Admin_Clas_Primera,0)+1),"-")</f>
        <v>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36</v>
      </c>
      <c r="C40" s="18" t="str">
        <f ca="1">IFERROR(HLOOKUP(A40,Rango_Admin_Clas,5,FALSE),"-")</f>
        <v>Luis B</v>
      </c>
      <c r="D40" s="91">
        <f ca="1">IFERROR(HLOOKUP(A40,Rango_Admin_Clas,4,FALSE),"-")</f>
        <v>16</v>
      </c>
      <c r="E40" s="92" cm="1">
        <f t="array" aca="1" ref="E40" ca="1">IFERROR(INDEX(Rango_Admin_Clas_Total,E$2,MATCH($A40,Rango_Admin_Clas_Primera,0)+1),"-")</f>
        <v>16</v>
      </c>
      <c r="F40" s="92" cm="1">
        <f t="array" aca="1" ref="F40" ca="1">IFERROR(INDEX(Rango_Admin_Clas_Total,F$2,MATCH($A40,Rango_Admin_Clas_Primera,0)+1),"-")</f>
        <v>0</v>
      </c>
      <c r="G40" s="92" cm="1">
        <f t="array" aca="1" ref="G40" ca="1">IFERROR(INDEX(Rango_Admin_Clas_Total,G$2,MATCH($A40,Rango_Admin_Clas_Primera,0)+1),"-")</f>
        <v>0</v>
      </c>
      <c r="H40" s="92" cm="1">
        <f t="array" aca="1" ref="H40" ca="1">IFERROR(INDEX(Rango_Admin_Clas_Total,H$2,MATCH($A40,Rango_Admin_Clas_Primera,0)+1),"-")</f>
        <v>0</v>
      </c>
      <c r="I40" s="92" cm="1">
        <f t="array" aca="1" ref="I40" ca="1">IFERROR(INDEX(Rango_Admin_Clas_Total,I$2,MATCH($A40,Rango_Admin_Clas_Primera,0)+1),"-")</f>
        <v>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37</v>
      </c>
      <c r="C41" s="18" t="str">
        <f ca="1">IFERROR(HLOOKUP(A41,Rango_Admin_Clas,5,FALSE),"-")</f>
        <v>Migay Marcos</v>
      </c>
      <c r="D41" s="91">
        <f ca="1">IFERROR(HLOOKUP(A41,Rango_Admin_Clas,4,FALSE),"-")</f>
        <v>15</v>
      </c>
      <c r="E41" s="92" cm="1">
        <f t="array" aca="1" ref="E41" ca="1">IFERROR(INDEX(Rango_Admin_Clas_Total,E$2,MATCH($A41,Rango_Admin_Clas_Primera,0)+1),"-")</f>
        <v>15</v>
      </c>
      <c r="F41" s="92" cm="1">
        <f t="array" aca="1" ref="F41" ca="1">IFERROR(INDEX(Rango_Admin_Clas_Total,F$2,MATCH($A41,Rango_Admin_Clas_Primera,0)+1),"-")</f>
        <v>0</v>
      </c>
      <c r="G41" s="92" cm="1">
        <f t="array" aca="1" ref="G41" ca="1">IFERROR(INDEX(Rango_Admin_Clas_Total,G$2,MATCH($A41,Rango_Admin_Clas_Primera,0)+1),"-")</f>
        <v>0</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37</v>
      </c>
      <c r="C42" s="18" t="str">
        <f ca="1">IFERROR(HLOOKUP(A42,Rango_Admin_Clas,5,FALSE),"-")</f>
        <v>Kurtischamp</v>
      </c>
      <c r="D42" s="91">
        <f ca="1">IFERROR(HLOOKUP(A42,Rango_Admin_Clas,4,FALSE),"-")</f>
        <v>15</v>
      </c>
      <c r="E42" s="92" cm="1">
        <f t="array" aca="1" ref="E42" ca="1">IFERROR(INDEX(Rango_Admin_Clas_Total,E$2,MATCH($A42,Rango_Admin_Clas_Primera,0)+1),"-")</f>
        <v>15</v>
      </c>
      <c r="F42" s="92" cm="1">
        <f t="array" aca="1" ref="F42" ca="1">IFERROR(INDEX(Rango_Admin_Clas_Total,F$2,MATCH($A42,Rango_Admin_Clas_Primera,0)+1),"-")</f>
        <v>0</v>
      </c>
      <c r="G42" s="92" cm="1">
        <f t="array" aca="1" ref="G42" ca="1">IFERROR(INDEX(Rango_Admin_Clas_Total,G$2,MATCH($A42,Rango_Admin_Clas_Primera,0)+1),"-")</f>
        <v>0</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39</v>
      </c>
      <c r="C43" s="18" t="str">
        <f ca="1">IFERROR(HLOOKUP(A43,Rango_Admin_Clas,5,FALSE),"-")</f>
        <v>Miguel San Martín</v>
      </c>
      <c r="D43" s="91">
        <f ca="1">IFERROR(HLOOKUP(A43,Rango_Admin_Clas,4,FALSE),"-")</f>
        <v>14</v>
      </c>
      <c r="E43" s="92" cm="1">
        <f t="array" aca="1" ref="E43" ca="1">IFERROR(INDEX(Rango_Admin_Clas_Total,E$2,MATCH($A43,Rango_Admin_Clas_Primera,0)+1),"-")</f>
        <v>14</v>
      </c>
      <c r="F43" s="92" cm="1">
        <f t="array" aca="1" ref="F43" ca="1">IFERROR(INDEX(Rango_Admin_Clas_Total,F$2,MATCH($A43,Rango_Admin_Clas_Primera,0)+1),"-")</f>
        <v>0</v>
      </c>
      <c r="G43" s="92" cm="1">
        <f t="array" aca="1" ref="G43" ca="1">IFERROR(INDEX(Rango_Admin_Clas_Total,G$2,MATCH($A43,Rango_Admin_Clas_Primera,0)+1),"-")</f>
        <v>0</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JUAN SOLAS</v>
      </c>
      <c r="D44" s="91">
        <f ca="1">IFERROR(HLOOKUP(A44,Rango_Admin_Clas,4,FALSE),"-")</f>
        <v>9</v>
      </c>
      <c r="E44" s="92" cm="1">
        <f t="array" aca="1" ref="E44" ca="1">IFERROR(INDEX(Rango_Admin_Clas_Total,E$2,MATCH($A44,Rango_Admin_Clas_Primera,0)+1),"-")</f>
        <v>9</v>
      </c>
      <c r="F44" s="92" cm="1">
        <f t="array" aca="1" ref="F44" ca="1">IFERROR(INDEX(Rango_Admin_Clas_Total,F$2,MATCH($A44,Rango_Admin_Clas_Primera,0)+1),"-")</f>
        <v>0</v>
      </c>
      <c r="G44" s="92" cm="1">
        <f t="array" aca="1" ref="G44" ca="1">IFERROR(INDEX(Rango_Admin_Clas_Total,G$2,MATCH($A44,Rango_Admin_Clas_Primera,0)+1),"-")</f>
        <v>0</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Pegar Valores Nombre J41</v>
      </c>
      <c r="D45" s="91">
        <f ca="1">IFERROR(HLOOKUP(A45,Rango_Admin_Clas,4,FALSE),"-")</f>
        <v>0</v>
      </c>
      <c r="E45" s="92" cm="1">
        <f t="array" aca="1" ref="E45" ca="1">IFERROR(INDEX(Rango_Admin_Clas_Total,E$2,MATCH($A45,Rango_Admin_Clas_Primera,0)+1),"-")</f>
        <v>0</v>
      </c>
      <c r="F45" s="92" cm="1">
        <f t="array" aca="1" ref="F45" ca="1">IFERROR(INDEX(Rango_Admin_Clas_Total,F$2,MATCH($A45,Rango_Admin_Clas_Primera,0)+1),"-")</f>
        <v>0</v>
      </c>
      <c r="G45" s="92" cm="1">
        <f t="array" aca="1" ref="G45" ca="1">IFERROR(INDEX(Rango_Admin_Clas_Total,G$2,MATCH($A45,Rango_Admin_Clas_Primera,0)+1),"-")</f>
        <v>0</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41</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41</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41</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41</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41</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41</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41</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41</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41</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 sqref="I1"/>
    </sheetView>
  </sheetViews>
  <sheetFormatPr defaultColWidth="0" defaultRowHeight="14.4"/>
  <cols>
    <col min="1" max="1" width="27.33203125" style="5" hidden="1" customWidth="1"/>
    <col min="2" max="2" width="38"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049999999999997" customHeight="1" thickBot="1">
      <c r="A1" s="8"/>
      <c r="B1" s="8"/>
      <c r="C1" s="8"/>
      <c r="D1" s="8"/>
      <c r="E1" s="17"/>
      <c r="F1" s="17"/>
      <c r="G1" s="727"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5" customHeight="1" thickBot="1">
      <c r="A3" s="8"/>
      <c r="B3" s="8"/>
      <c r="C3" s="8"/>
      <c r="D3" s="8"/>
      <c r="E3" s="19"/>
      <c r="F3" s="449" t="str">
        <f>Idiomas!D475</f>
        <v>Nombre</v>
      </c>
      <c r="G3" s="449" t="str" cm="1">
        <f t="array" aca="1" ref="G3:AL3" ca="1">TRANSPOSE($B$4:$B$35)</f>
        <v>México-Sudáfrica
 (1|2-0)</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 thickTop="1">
      <c r="A4" s="8" t="str" cm="1">
        <f t="array" aca="1" ref="A4" ca="1">IFERROR(INDEX(ADMIN!$K$6:$K$258,SMALL(IF(ADMIN!$G$6:$G$258=$J$1,ROW(ADMIN!$G$6:$G$258)-ROW(ADMIN!$G$6)+1),ROWS($A$1:A1))),"")</f>
        <v>México-Sudáfrica</v>
      </c>
      <c r="B4" s="8" t="str">
        <f ca="1">A4&amp;CHAR(10)&amp;C4</f>
        <v>México-Sudáfrica
 (1|2-0)</v>
      </c>
      <c r="C4" s="8" t="str" cm="1">
        <f t="array" aca="1" ref="C4" ca="1">IFERROR(IF(INDEX(ADMIN!$M$6:$M$258,SMALL(IF(ADMIN!$G$6:$G$258=$J$1,ROW(ADMIN!$G$6:$G$258)-ROW(ADMIN!$G$6)+1),ROWS($A$1:A1)))="-",""," ("&amp;INDEX(ADMIN!$M$6:$M$258,SMALL(IF(ADMIN!$G$6:$G$258=$J$1,ROW(ADMIN!$G$6:$G$258)-ROW(ADMIN!$G$6)+1),ROWS($A$1:A1)))&amp;")"),"")</f>
        <v xml:space="preserve"> (1|2-0)</v>
      </c>
      <c r="D4" s="8" t="str" cm="1">
        <f t="array" aca="1" ref="D4" ca="1">IFERROR(IF($J$1&gt;=20,INDEX(ADMIN!$C$6:$C$258,SMALL(IF(ADMIN!$G$6:$G$258=$J$1,ROW(ADMIN!$G$6:$G$258)-ROW(ADMIN!$G$6)+1),ROWS($D$1:D1))),""),"")</f>
        <v/>
      </c>
      <c r="E4" s="19">
        <v>9</v>
      </c>
      <c r="F4" s="406" t="str" cm="1">
        <f t="array" ref="F4">IFERROR(INDEX(Rango_Admin_DailyPred_Primera,1,E4),"-")</f>
        <v>Admin</v>
      </c>
      <c r="G4" s="429" t="str">
        <f ca="1">IFERROR(VLOOKUP(G$2,Rango_Admin_DailyPred,MATCH($F4,Rango_Admin_DailyPred_Primera,0),0),"-")</f>
        <v>1|1-0</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8" t="str" cm="1">
        <f t="array" aca="1" ref="A5" ca="1">IFERROR(INDEX(ADMIN!$K$6:$K$258,SMALL(IF(ADMIN!$G$6:$G$258=$J$1,ROW(ADMIN!$G$6:$G$258)-ROW(ADMIN!$G$6)+1),ROWS($A$1:A2))),"")</f>
        <v/>
      </c>
      <c r="B5" s="8" t="str">
        <f t="shared" ref="B5:B35" ca="1" si="0">A5&amp;CHAR(10)&amp;C5</f>
        <v xml:space="preserve">
</v>
      </c>
      <c r="C5" s="8" t="str" cm="1">
        <f t="array" aca="1" ref="C5" ca="1">IFERROR(IF(INDEX(ADMIN!$M$6:$M$258,SMALL(IF(ADMIN!$G$6:$G$258=$J$1,ROW(ADMIN!$G$6:$G$258)-ROW(ADMIN!$G$6)+1),ROWS($A$1:A2)))="-", "", " ("&amp;INDEX(ADMIN!$M$6:$M$258,SMALL(IF(ADMIN!$G$6:$G$258=$J$1,ROW(ADMIN!$G$6:$G$258)-ROW(ADMIN!$G$6)+1),ROWS($A$1:A2)))&amp;")"),"")</f>
        <v/>
      </c>
      <c r="D5" s="8" t="str" cm="1">
        <f t="array" aca="1" ref="D5" ca="1">IFERROR(IF($J$1&gt;=20,INDEX(ADMIN!$C$6:$C$258,SMALL(IF(ADMIN!$G$6:$G$258=$J$1,ROW(ADMIN!$G$6:$G$258)-ROW(ADMIN!$G$6)+1),ROWS($D$1:D2))),""),"")</f>
        <v/>
      </c>
      <c r="E5" s="19">
        <f>+E4+3</f>
        <v>12</v>
      </c>
      <c r="F5" s="406" t="str" cm="1">
        <f t="array" ref="F5">IFERROR(INDEX(Rango_Admin_DailyPred_Primera,1,E5),"-")</f>
        <v>Luis B</v>
      </c>
      <c r="G5" s="429" t="str">
        <f ca="1">IFERROR(VLOOKUP(G$2,Rango_Admin_DailyPred,MATCH($F5,Rango_Admin_DailyPred_Primera,0),0),"-")</f>
        <v>1|2-1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8" t="str" cm="1">
        <f t="array" aca="1" ref="A6" ca="1">IFERROR(INDEX(ADMIN!$K$6:$K$258,SMALL(IF(ADMIN!$G$6:$G$258=$J$1,ROW(ADMIN!$G$6:$G$258)-ROW(ADMIN!$G$6)+1),ROWS($A$1:A3))),"")</f>
        <v/>
      </c>
      <c r="B6" s="8" t="str">
        <f t="shared" ca="1" si="0"/>
        <v xml:space="preserve">
</v>
      </c>
      <c r="C6" s="8" t="str" cm="1">
        <f t="array" aca="1" ref="C6" ca="1">IFERROR(IF(INDEX(ADMIN!$M$6:$M$258,SMALL(IF(ADMIN!$G$6:$G$258=$J$1,ROW(ADMIN!$G$6:$G$258)-ROW(ADMIN!$G$6)+1),ROWS($A$1:A3)))="-", "", " ("&amp;INDEX(ADMIN!$M$6:$M$258,SMALL(IF(ADMIN!$G$6:$G$258=$J$1,ROW(ADMIN!$G$6:$G$258)-ROW(ADMIN!$G$6)+1),ROWS($A$1:A3)))&amp;")"),"")</f>
        <v/>
      </c>
      <c r="D6" s="8" t="str" cm="1">
        <f t="array" aca="1" ref="D6" ca="1">IFERROR(IF($J$1&gt;=20,INDEX(ADMIN!$C$6:$C$258,SMALL(IF(ADMIN!$G$6:$G$258=$J$1,ROW(ADMIN!$G$6:$G$258)-ROW(ADMIN!$G$6)+1),ROWS($D$1:D3))),""),"")</f>
        <v/>
      </c>
      <c r="E6" s="19">
        <f t="shared" ref="E6:E53" si="1">+E5+3</f>
        <v>15</v>
      </c>
      <c r="F6" s="406" t="str" cm="1">
        <f t="array" ref="F6">IFERROR(INDEX(Rango_Admin_DailyPred_Primera,1,E6),"-")</f>
        <v>Alejandro Lafuente</v>
      </c>
      <c r="G6" s="429" t="str">
        <f ca="1">IFERROR(VLOOKUP(G$2,Rango_Admin_DailyPred,MATCH($F6,Rango_Admin_DailyPred_Primera,0),0),"-")</f>
        <v>1|2-0</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8" t="str" cm="1">
        <f t="array" aca="1" ref="A7" ca="1">IFERROR(INDEX(ADMIN!$K$6:$K$258,SMALL(IF(ADMIN!$G$6:$G$258=$J$1,ROW(ADMIN!$G$6:$G$258)-ROW(ADMIN!$G$6)+1),ROWS($A$1:A4))),"")</f>
        <v/>
      </c>
      <c r="B7" s="8" t="str">
        <f t="shared" ca="1" si="0"/>
        <v xml:space="preserve">
</v>
      </c>
      <c r="C7" s="8" t="str" cm="1">
        <f t="array" aca="1" ref="C7" ca="1">IFERROR(IF(INDEX(ADMIN!$M$6:$M$258,SMALL(IF(ADMIN!$G$6:$G$258=$J$1,ROW(ADMIN!$G$6:$G$258)-ROW(ADMIN!$G$6)+1),ROWS($A$1:A4)))="-", "", " ("&amp;INDEX(ADMIN!$M$6:$M$258,SMALL(IF(ADMIN!$G$6:$G$258=$J$1,ROW(ADMIN!$G$6:$G$258)-ROW(ADMIN!$G$6)+1),ROWS($A$1:A4)))&amp;")"),"")</f>
        <v/>
      </c>
      <c r="D7" s="8" t="str" cm="1">
        <f t="array" aca="1" ref="D7" ca="1">IFERROR(IF($J$1&gt;=20,INDEX(ADMIN!$C$6:$C$258,SMALL(IF(ADMIN!$G$6:$G$258=$J$1,ROW(ADMIN!$G$6:$G$258)-ROW(ADMIN!$G$6)+1),ROWS($D$1:D4))),""),"")</f>
        <v/>
      </c>
      <c r="E7" s="19">
        <f t="shared" si="1"/>
        <v>18</v>
      </c>
      <c r="F7" s="406" t="str" cm="1">
        <f t="array" ref="F7">IFERROR(INDEX(Rango_Admin_DailyPred_Primera,1,E7),"-")</f>
        <v>Jaime Lafuente</v>
      </c>
      <c r="G7" s="429" t="str">
        <f ca="1">IFERROR(VLOOKUP(G$2,Rango_Admin_DailyPred,MATCH($F7,Rango_Admin_DailyPred_Primera,0),0),"-")</f>
        <v>1|2-0</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8" t="str" cm="1">
        <f t="array" aca="1" ref="A8" ca="1">IFERROR(INDEX(ADMIN!$K$6:$K$258,SMALL(IF(ADMIN!$G$6:$G$258=$J$1,ROW(ADMIN!$G$6:$G$258)-ROW(ADMIN!$G$6)+1),ROWS($A$1:A5))),"")</f>
        <v/>
      </c>
      <c r="B8" s="8" t="str">
        <f t="shared" ca="1" si="0"/>
        <v xml:space="preserve">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
      </c>
      <c r="E8" s="19">
        <f t="shared" si="1"/>
        <v>21</v>
      </c>
      <c r="F8" s="406" t="str" cm="1">
        <f t="array" ref="F8">IFERROR(INDEX(Rango_Admin_DailyPred_Primera,1,E8),"-")</f>
        <v>Pastor</v>
      </c>
      <c r="G8" s="429" t="str">
        <f ca="1">IFERROR(VLOOKUP(G$2,Rango_Admin_DailyPred,MATCH($F8,Rango_Admin_DailyPred_Primera,0),0),"-")</f>
        <v>1|2-0</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8" t="str" cm="1">
        <f t="array" aca="1" ref="A9" ca="1">IFERROR(INDEX(ADMIN!$K$6:$K$258,SMALL(IF(ADMIN!$G$6:$G$258=$J$1,ROW(ADMIN!$G$6:$G$258)-ROW(ADMIN!$G$6)+1),ROWS($A$1:A6))),"")</f>
        <v/>
      </c>
      <c r="B9" s="8" t="str">
        <f t="shared" ca="1" si="0"/>
        <v xml:space="preserve">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
      </c>
      <c r="E9" s="19">
        <f t="shared" si="1"/>
        <v>24</v>
      </c>
      <c r="F9" s="406" t="str" cm="1">
        <f t="array" ref="F9">IFERROR(INDEX(Rango_Admin_DailyPred_Primera,1,E9),"-")</f>
        <v>Jaime García de la Riva</v>
      </c>
      <c r="G9" s="429" t="str">
        <f ca="1">IFERROR(VLOOKUP(G$2,Rango_Admin_DailyPred,MATCH($F9,Rango_Admin_DailyPred_Primera,0),0),"-")</f>
        <v>1|2-0</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8" t="str" cm="1">
        <f t="array" aca="1" ref="A10" ca="1">IFERROR(INDEX(ADMIN!$K$6:$K$258,SMALL(IF(ADMIN!$G$6:$G$258=$J$1,ROW(ADMIN!$G$6:$G$258)-ROW(ADMIN!$G$6)+1),ROWS($A$1:A7))),"")</f>
        <v/>
      </c>
      <c r="B10" s="8" t="str">
        <f t="shared" ca="1" si="0"/>
        <v xml:space="preserve">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
      </c>
      <c r="E10" s="19">
        <f t="shared" si="1"/>
        <v>27</v>
      </c>
      <c r="F10" s="406" t="str" cm="1">
        <f t="array" ref="F10">IFERROR(INDEX(Rango_Admin_DailyPred_Primera,1,E10),"-")</f>
        <v>Nacho Novo</v>
      </c>
      <c r="G10" s="429" t="str">
        <f ca="1">IFERROR(VLOOKUP(G$2,Rango_Admin_DailyPred,MATCH($F10,Rango_Admin_DailyPred_Primera,0),0),"-")</f>
        <v>1|1-0</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8" t="str" cm="1">
        <f t="array" aca="1" ref="A11" ca="1">IFERROR(INDEX(ADMIN!$K$6:$K$258,SMALL(IF(ADMIN!$G$6:$G$258=$J$1,ROW(ADMIN!$G$6:$G$258)-ROW(ADMIN!$G$6)+1),ROWS($A$1:A8))),"")</f>
        <v/>
      </c>
      <c r="B11" s="8" t="str">
        <f t="shared" ca="1" si="0"/>
        <v xml:space="preserve">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
      </c>
      <c r="E11" s="19">
        <f t="shared" si="1"/>
        <v>30</v>
      </c>
      <c r="F11" s="406" t="str" cm="1">
        <f t="array" ref="F11">IFERROR(INDEX(Rango_Admin_DailyPred_Primera,1,E11),"-")</f>
        <v>Antonio Zulueta Ramos</v>
      </c>
      <c r="G11" s="429" t="str">
        <f ca="1">IFERROR(VLOOKUP(G$2,Rango_Admin_DailyPred,MATCH($F11,Rango_Admin_DailyPred_Primera,0),0),"-")</f>
        <v>1|2-0</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8" t="str" cm="1">
        <f t="array" aca="1" ref="A12" ca="1">IFERROR(INDEX(ADMIN!$K$6:$K$258,SMALL(IF(ADMIN!$G$6:$G$258=$J$1,ROW(ADMIN!$G$6:$G$258)-ROW(ADMIN!$G$6)+1),ROWS($A$1:A9))),"")</f>
        <v/>
      </c>
      <c r="B12" s="8" t="str">
        <f t="shared" ca="1" si="0"/>
        <v xml:space="preserve">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
      </c>
      <c r="E12" s="19">
        <f t="shared" si="1"/>
        <v>33</v>
      </c>
      <c r="F12" s="406" t="str" cm="1">
        <f t="array" ref="F12">IFERROR(INDEX(Rango_Admin_DailyPred_Primera,1,E12),"-")</f>
        <v>Carlos Murciano</v>
      </c>
      <c r="G12" s="429" t="str">
        <f ca="1">IFERROR(VLOOKUP(G$2,Rango_Admin_DailyPred,MATCH($F12,Rango_Admin_DailyPred_Primera,0),0),"-")</f>
        <v>1|2-0</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8" t="str" cm="1">
        <f t="array" aca="1" ref="A13" ca="1">IFERROR(INDEX(ADMIN!$K$6:$K$258,SMALL(IF(ADMIN!$G$6:$G$258=$J$1,ROW(ADMIN!$G$6:$G$258)-ROW(ADMIN!$G$6)+1),ROWS($A$1:A10))),"")</f>
        <v/>
      </c>
      <c r="B13" s="8" t="str">
        <f t="shared" ca="1" si="0"/>
        <v xml:space="preserve">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
      </c>
      <c r="E13" s="19">
        <f t="shared" si="1"/>
        <v>36</v>
      </c>
      <c r="F13" s="406" t="str" cm="1">
        <f t="array" ref="F13">IFERROR(INDEX(Rango_Admin_DailyPred_Primera,1,E13),"-")</f>
        <v>Chente Muñoz</v>
      </c>
      <c r="G13" s="429" t="str">
        <f ca="1">IFERROR(VLOOKUP(G$2,Rango_Admin_DailyPred,MATCH($F13,Rango_Admin_DailyPred_Primera,0),0),"-")</f>
        <v>1|2-1</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8" t="str" cm="1">
        <f t="array" aca="1" ref="A14" ca="1">IFERROR(INDEX(ADMIN!$K$6:$K$258,SMALL(IF(ADMIN!$G$6:$G$258=$J$1,ROW(ADMIN!$G$6:$G$258)-ROW(ADMIN!$G$6)+1),ROWS($A$1:A11))),"")</f>
        <v/>
      </c>
      <c r="B14" s="8" t="str">
        <f t="shared" ca="1" si="0"/>
        <v xml:space="preserve">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
      </c>
      <c r="E14" s="19">
        <f t="shared" si="1"/>
        <v>39</v>
      </c>
      <c r="F14" s="448" t="str" cm="1">
        <f t="array" ref="F14">IFERROR(INDEX(Rango_Admin_DailyPred_Primera,1,E14),"-")</f>
        <v>Fercho Muro Matosex</v>
      </c>
      <c r="G14" s="429" t="str">
        <f ca="1">IFERROR(VLOOKUP(G$2,Rango_Admin_DailyPred,MATCH($F14,Rango_Admin_DailyPred_Primera,0),0),"-")</f>
        <v>1|2-0</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ref="F15">IFERROR(INDEX(Rango_Admin_DailyPred_Primera,1,E15),"-")</f>
        <v>Guillermo Murciano</v>
      </c>
      <c r="G15" s="429" t="str">
        <f ca="1">IFERROR(VLOOKUP(G$2,Rango_Admin_DailyPred,MATCH($F15,Rango_Admin_DailyPred_Primera,0),0),"-")</f>
        <v>1|1-0</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ref="F16">IFERROR(INDEX(Rango_Admin_DailyPred_Primera,1,E16),"-")</f>
        <v>Ignacio de Lecea</v>
      </c>
      <c r="G16" s="429" t="str">
        <f ca="1">IFERROR(VLOOKUP(G$2,Rango_Admin_DailyPred,MATCH($F16,Rango_Admin_DailyPred_Primera,0),0),"-")</f>
        <v>1|2-1</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ref="F17">IFERROR(INDEX(Rango_Admin_DailyPred_Primera,1,E17),"-")</f>
        <v>JCU</v>
      </c>
      <c r="G17" s="429" t="str">
        <f ca="1">IFERROR(VLOOKUP(G$2,Rango_Admin_DailyPred,MATCH($F17,Rango_Admin_DailyPred_Primera,0),0),"-")</f>
        <v>1|2-0</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ref="F18">IFERROR(INDEX(Rango_Admin_DailyPred_Primera,1,E18),"-")</f>
        <v>Joserra</v>
      </c>
      <c r="G18" s="429" t="str">
        <f ca="1">IFERROR(VLOOKUP(G$2,Rango_Admin_DailyPred,MATCH($F18,Rango_Admin_DailyPred_Primera,0),0),"-")</f>
        <v>1|2-0</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ref="F19">IFERROR(INDEX(Rango_Admin_DailyPred_Primera,1,E19),"-")</f>
        <v>Migay Marcos</v>
      </c>
      <c r="G19" s="429" t="str">
        <f ca="1">IFERROR(VLOOKUP(G$2,Rango_Admin_DailyPred,MATCH($F19,Rango_Admin_DailyPred_Primera,0),0),"-")</f>
        <v>X|2-2</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ref="F20">IFERROR(INDEX(Rango_Admin_DailyPred_Primera,1,E20),"-")</f>
        <v>Antonio del Ojo</v>
      </c>
      <c r="G20" s="429" t="str">
        <f ca="1">IFERROR(VLOOKUP(G$2,Rango_Admin_DailyPred,MATCH($F20,Rango_Admin_DailyPred_Primera,0),0),"-")</f>
        <v>1|2-0</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ref="F21">IFERROR(INDEX(Rango_Admin_DailyPred_Primera,1,E21),"-")</f>
        <v>MURO 204</v>
      </c>
      <c r="G21" s="429" t="str">
        <f ca="1">IFERROR(VLOOKUP(G$2,Rango_Admin_DailyPred,MATCH($F21,Rango_Admin_DailyPred_Primera,0),0),"-")</f>
        <v>1|2-0</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ref="F22">IFERROR(INDEX(Rango_Admin_DailyPred_Primera,1,E22),"-")</f>
        <v>Hulk Rexach</v>
      </c>
      <c r="G22" s="429" t="str">
        <f ca="1">IFERROR(VLOOKUP(G$2,Rango_Admin_DailyPred,MATCH($F22,Rango_Admin_DailyPred_Primera,0),0),"-")</f>
        <v>1|3-0</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ref="F23">IFERROR(INDEX(Rango_Admin_DailyPred_Primera,1,E23),"-")</f>
        <v>Miguel San Martín</v>
      </c>
      <c r="G23" s="429" t="str">
        <f ca="1">IFERROR(VLOOKUP(G$2,Rango_Admin_DailyPred,MATCH($F23,Rango_Admin_DailyPred_Primera,0),0),"-")</f>
        <v>1|2-0</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ref="F24">IFERROR(INDEX(Rango_Admin_DailyPred_Primera,1,E24),"-")</f>
        <v>Pablo C</v>
      </c>
      <c r="G24" s="429" t="str">
        <f ca="1">IFERROR(VLOOKUP(G$2,Rango_Admin_DailyPred,MATCH($F24,Rango_Admin_DailyPred_Primera,0),0),"-")</f>
        <v>X|1-1</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ref="F25">IFERROR(INDEX(Rango_Admin_DailyPred_Primera,1,E25),"-")</f>
        <v>bau</v>
      </c>
      <c r="G25" s="429" t="str">
        <f ca="1">IFERROR(VLOOKUP(G$2,Rango_Admin_DailyPred,MATCH($F25,Rango_Admin_DailyPred_Primera,0),0),"-")</f>
        <v>1|2-1</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ref="F26">IFERROR(INDEX(Rango_Admin_DailyPred_Primera,1,E26),"-")</f>
        <v>Florentino Netanyahu</v>
      </c>
      <c r="G26" s="429" t="str">
        <f ca="1">IFERROR(VLOOKUP(G$2,Rango_Admin_DailyPred,MATCH($F26,Rango_Admin_DailyPred_Primera,0),0),"-")</f>
        <v>1|2-0</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ref="F27">IFERROR(INDEX(Rango_Admin_DailyPred_Primera,1,E27),"-")</f>
        <v>Lucas Oriol</v>
      </c>
      <c r="G27" s="429" t="str">
        <f ca="1">IFERROR(VLOOKUP(G$2,Rango_Admin_DailyPred,MATCH($F27,Rango_Admin_DailyPred_Primera,0),0),"-")</f>
        <v>1|2-0</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ref="F28">IFERROR(INDEX(Rango_Admin_DailyPred_Primera,1,E28),"-")</f>
        <v>YTD</v>
      </c>
      <c r="G28" s="429" t="str">
        <f ca="1">IFERROR(VLOOKUP(G$2,Rango_Admin_DailyPred,MATCH($F28,Rango_Admin_DailyPred_Primera,0),0),"-")</f>
        <v>1|2-0</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ref="F29">IFERROR(INDEX(Rango_Admin_DailyPred_Primera,1,E29),"-")</f>
        <v>William Hartley</v>
      </c>
      <c r="G29" s="429" t="str">
        <f ca="1">IFERROR(VLOOKUP(G$2,Rango_Admin_DailyPred,MATCH($F29,Rango_Admin_DailyPred_Primera,0),0),"-")</f>
        <v>1|2-1</v>
      </c>
      <c r="H29" s="429" t="str">
        <f ca="1">IFERROR(VLOOKUP(H$2,Rango_Admin_DailyPred,MATCH($F29,Rango_Admin_DailyPred_Primera,0),0),"-")</f>
        <v>-</v>
      </c>
      <c r="I29" s="429" t="str">
        <f ca="1">IFERROR(VLOOKUP(I$2,Rango_Admin_DailyPred,MATCH($F29,Rango_Admin_DailyPred_Primera,0),0),"-")</f>
        <v>-</v>
      </c>
      <c r="J29" s="429" t="str">
        <f ca="1">IFERROR(VLOOKUP(J$2,Rango_Admin_DailyPred,MATCH($F29,Rango_Admin_DailyPred_Primera,0),0),"-")</f>
        <v>-</v>
      </c>
      <c r="K29" s="429" t="str">
        <f ca="1">IFERROR(VLOOKUP(K$2,Rango_Admin_DailyPred,MATCH($F29,Rango_Admin_DailyPred_Primera,0),0),"-")</f>
        <v>-</v>
      </c>
      <c r="L29" s="429" t="str">
        <f ca="1">IFERROR(VLOOKUP(L$2,Rango_Admin_DailyPred,MATCH($F29,Rango_Admin_DailyPred_Primera,0),0),"-")</f>
        <v>-</v>
      </c>
      <c r="M29" s="429" t="str">
        <f ca="1">IFERROR(VLOOKUP(M$2,Rango_Admin_DailyPred,MATCH($F29,Rango_Admin_DailyPred_Primera,0),0),"-")</f>
        <v>-</v>
      </c>
      <c r="N29" s="429" t="str">
        <f ca="1">IFERROR(VLOOKUP(N$2,Rango_Admin_DailyPred,MATCH($F29,Rango_Admin_DailyPred_Primera,0),0),"-")</f>
        <v>-</v>
      </c>
      <c r="O29" s="429" t="str">
        <f ca="1">IFERROR(VLOOKUP(O$2,Rango_Admin_DailyPred,MATCH($F29,Rango_Admin_DailyPred_Primera,0),0),"-")</f>
        <v>-</v>
      </c>
      <c r="P29" s="429" t="str">
        <f ca="1">IFERROR(VLOOKUP(P$2,Rango_Admin_DailyPred,MATCH($F29,Rango_Admin_DailyPred_Primera,0),0),"-")</f>
        <v>-</v>
      </c>
      <c r="Q29" s="429" t="str">
        <f ca="1">IFERROR(VLOOKUP(Q$2,Rango_Admin_DailyPred,MATCH($F29,Rango_Admin_DailyPred_Primera,0),0),"-")</f>
        <v>-</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ref="F30">IFERROR(INDEX(Rango_Admin_DailyPred_Primera,1,E30),"-")</f>
        <v>Kurtischamp</v>
      </c>
      <c r="G30" s="429" t="str">
        <f ca="1">IFERROR(VLOOKUP(G$2,Rango_Admin_DailyPred,MATCH($F30,Rango_Admin_DailyPred_Primera,0),0),"-")</f>
        <v>1|3-1</v>
      </c>
      <c r="H30" s="429" t="str">
        <f ca="1">IFERROR(VLOOKUP(H$2,Rango_Admin_DailyPred,MATCH($F30,Rango_Admin_DailyPred_Primera,0),0),"-")</f>
        <v>-</v>
      </c>
      <c r="I30" s="429" t="str">
        <f ca="1">IFERROR(VLOOKUP(I$2,Rango_Admin_DailyPred,MATCH($F30,Rango_Admin_DailyPred_Primera,0),0),"-")</f>
        <v>-</v>
      </c>
      <c r="J30" s="429" t="str">
        <f ca="1">IFERROR(VLOOKUP(J$2,Rango_Admin_DailyPred,MATCH($F30,Rango_Admin_DailyPred_Primera,0),0),"-")</f>
        <v>-</v>
      </c>
      <c r="K30" s="429" t="str">
        <f ca="1">IFERROR(VLOOKUP(K$2,Rango_Admin_DailyPred,MATCH($F30,Rango_Admin_DailyPred_Primera,0),0),"-")</f>
        <v>-</v>
      </c>
      <c r="L30" s="429" t="str">
        <f ca="1">IFERROR(VLOOKUP(L$2,Rango_Admin_DailyPred,MATCH($F30,Rango_Admin_DailyPred_Primera,0),0),"-")</f>
        <v>-</v>
      </c>
      <c r="M30" s="429" t="str">
        <f ca="1">IFERROR(VLOOKUP(M$2,Rango_Admin_DailyPred,MATCH($F30,Rango_Admin_DailyPred_Primera,0),0),"-")</f>
        <v>-</v>
      </c>
      <c r="N30" s="429" t="str">
        <f ca="1">IFERROR(VLOOKUP(N$2,Rango_Admin_DailyPred,MATCH($F30,Rango_Admin_DailyPred_Primera,0),0),"-")</f>
        <v>-</v>
      </c>
      <c r="O30" s="429" t="str">
        <f ca="1">IFERROR(VLOOKUP(O$2,Rango_Admin_DailyPred,MATCH($F30,Rango_Admin_DailyPred_Primera,0),0),"-")</f>
        <v>-</v>
      </c>
      <c r="P30" s="429" t="str">
        <f ca="1">IFERROR(VLOOKUP(P$2,Rango_Admin_DailyPred,MATCH($F30,Rango_Admin_DailyPred_Primera,0),0),"-")</f>
        <v>-</v>
      </c>
      <c r="Q30" s="429" t="str">
        <f ca="1">IFERROR(VLOOKUP(Q$2,Rango_Admin_DailyPred,MATCH($F30,Rango_Admin_DailyPred_Primera,0),0),"-")</f>
        <v>-</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ref="F31">IFERROR(INDEX(Rango_Admin_DailyPred_Primera,1,E31),"-")</f>
        <v>KIRICOCHO</v>
      </c>
      <c r="G31" s="429" t="str">
        <f ca="1">IFERROR(VLOOKUP(G$2,Rango_Admin_DailyPred,MATCH($F31,Rango_Admin_DailyPred_Primera,0),0),"-")</f>
        <v>1|1-0</v>
      </c>
      <c r="H31" s="429" t="str">
        <f ca="1">IFERROR(VLOOKUP(H$2,Rango_Admin_DailyPred,MATCH($F31,Rango_Admin_DailyPred_Primera,0),0),"-")</f>
        <v>-</v>
      </c>
      <c r="I31" s="429" t="str">
        <f ca="1">IFERROR(VLOOKUP(I$2,Rango_Admin_DailyPred,MATCH($F31,Rango_Admin_DailyPred_Primera,0),0),"-")</f>
        <v>-</v>
      </c>
      <c r="J31" s="429" t="str">
        <f ca="1">IFERROR(VLOOKUP(J$2,Rango_Admin_DailyPred,MATCH($F31,Rango_Admin_DailyPred_Primera,0),0),"-")</f>
        <v>-</v>
      </c>
      <c r="K31" s="429" t="str">
        <f ca="1">IFERROR(VLOOKUP(K$2,Rango_Admin_DailyPred,MATCH($F31,Rango_Admin_DailyPred_Primera,0),0),"-")</f>
        <v>-</v>
      </c>
      <c r="L31" s="429" t="str">
        <f ca="1">IFERROR(VLOOKUP(L$2,Rango_Admin_DailyPred,MATCH($F31,Rango_Admin_DailyPred_Primera,0),0),"-")</f>
        <v>-</v>
      </c>
      <c r="M31" s="429" t="str">
        <f ca="1">IFERROR(VLOOKUP(M$2,Rango_Admin_DailyPred,MATCH($F31,Rango_Admin_DailyPred_Primera,0),0),"-")</f>
        <v>-</v>
      </c>
      <c r="N31" s="429" t="str">
        <f ca="1">IFERROR(VLOOKUP(N$2,Rango_Admin_DailyPred,MATCH($F31,Rango_Admin_DailyPred_Primera,0),0),"-")</f>
        <v>-</v>
      </c>
      <c r="O31" s="429" t="str">
        <f ca="1">IFERROR(VLOOKUP(O$2,Rango_Admin_DailyPred,MATCH($F31,Rango_Admin_DailyPred_Primera,0),0),"-")</f>
        <v>-</v>
      </c>
      <c r="P31" s="429" t="str">
        <f ca="1">IFERROR(VLOOKUP(P$2,Rango_Admin_DailyPred,MATCH($F31,Rango_Admin_DailyPred_Primera,0),0),"-")</f>
        <v>-</v>
      </c>
      <c r="Q31" s="429" t="str">
        <f ca="1">IFERROR(VLOOKUP(Q$2,Rango_Admin_DailyPred,MATCH($F31,Rango_Admin_DailyPred_Primera,0),0),"-")</f>
        <v>-</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ref="F32">IFERROR(INDEX(Rango_Admin_DailyPred_Primera,1,E32),"-")</f>
        <v>BeliBeltrán</v>
      </c>
      <c r="G32" s="429" t="str">
        <f ca="1">IFERROR(VLOOKUP(G$2,Rango_Admin_DailyPred,MATCH($F32,Rango_Admin_DailyPred_Primera,0),0),"-")</f>
        <v>1|2-1</v>
      </c>
      <c r="H32" s="429" t="str">
        <f ca="1">IFERROR(VLOOKUP(H$2,Rango_Admin_DailyPred,MATCH($F32,Rango_Admin_DailyPred_Primera,0),0),"-")</f>
        <v>-</v>
      </c>
      <c r="I32" s="429" t="str">
        <f ca="1">IFERROR(VLOOKUP(I$2,Rango_Admin_DailyPred,MATCH($F32,Rango_Admin_DailyPred_Primera,0),0),"-")</f>
        <v>-</v>
      </c>
      <c r="J32" s="429" t="str">
        <f ca="1">IFERROR(VLOOKUP(J$2,Rango_Admin_DailyPred,MATCH($F32,Rango_Admin_DailyPred_Primera,0),0),"-")</f>
        <v>-</v>
      </c>
      <c r="K32" s="429" t="str">
        <f ca="1">IFERROR(VLOOKUP(K$2,Rango_Admin_DailyPred,MATCH($F32,Rango_Admin_DailyPred_Primera,0),0),"-")</f>
        <v>-</v>
      </c>
      <c r="L32" s="429" t="str">
        <f ca="1">IFERROR(VLOOKUP(L$2,Rango_Admin_DailyPred,MATCH($F32,Rango_Admin_DailyPred_Primera,0),0),"-")</f>
        <v>-</v>
      </c>
      <c r="M32" s="429" t="str">
        <f ca="1">IFERROR(VLOOKUP(M$2,Rango_Admin_DailyPred,MATCH($F32,Rango_Admin_DailyPred_Primera,0),0),"-")</f>
        <v>-</v>
      </c>
      <c r="N32" s="429" t="str">
        <f ca="1">IFERROR(VLOOKUP(N$2,Rango_Admin_DailyPred,MATCH($F32,Rango_Admin_DailyPred_Primera,0),0),"-")</f>
        <v>-</v>
      </c>
      <c r="O32" s="429" t="str">
        <f ca="1">IFERROR(VLOOKUP(O$2,Rango_Admin_DailyPred,MATCH($F32,Rango_Admin_DailyPred_Primera,0),0),"-")</f>
        <v>-</v>
      </c>
      <c r="P32" s="429" t="str">
        <f ca="1">IFERROR(VLOOKUP(P$2,Rango_Admin_DailyPred,MATCH($F32,Rango_Admin_DailyPred_Primera,0),0),"-")</f>
        <v>-</v>
      </c>
      <c r="Q32" s="429" t="str">
        <f ca="1">IFERROR(VLOOKUP(Q$2,Rango_Admin_DailyPred,MATCH($F32,Rango_Admin_DailyPred_Primera,0),0),"-")</f>
        <v>-</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ref="F33">IFERROR(INDEX(Rango_Admin_DailyPred_Primera,1,E33),"-")</f>
        <v>Fernando Carlos García-Ramos Redondo</v>
      </c>
      <c r="G33" s="429" t="str">
        <f ca="1">IFERROR(VLOOKUP(G$2,Rango_Admin_DailyPred,MATCH($F33,Rango_Admin_DailyPred_Primera,0),0),"-")</f>
        <v>1|2-0</v>
      </c>
      <c r="H33" s="429" t="str">
        <f ca="1">IFERROR(VLOOKUP(H$2,Rango_Admin_DailyPred,MATCH($F33,Rango_Admin_DailyPred_Primera,0),0),"-")</f>
        <v>-</v>
      </c>
      <c r="I33" s="429" t="str">
        <f ca="1">IFERROR(VLOOKUP(I$2,Rango_Admin_DailyPred,MATCH($F33,Rango_Admin_DailyPred_Primera,0),0),"-")</f>
        <v>-</v>
      </c>
      <c r="J33" s="429" t="str">
        <f ca="1">IFERROR(VLOOKUP(J$2,Rango_Admin_DailyPred,MATCH($F33,Rango_Admin_DailyPred_Primera,0),0),"-")</f>
        <v>-</v>
      </c>
      <c r="K33" s="429" t="str">
        <f ca="1">IFERROR(VLOOKUP(K$2,Rango_Admin_DailyPred,MATCH($F33,Rango_Admin_DailyPred_Primera,0),0),"-")</f>
        <v>-</v>
      </c>
      <c r="L33" s="429" t="str">
        <f ca="1">IFERROR(VLOOKUP(L$2,Rango_Admin_DailyPred,MATCH($F33,Rango_Admin_DailyPred_Primera,0),0),"-")</f>
        <v>-</v>
      </c>
      <c r="M33" s="429" t="str">
        <f ca="1">IFERROR(VLOOKUP(M$2,Rango_Admin_DailyPred,MATCH($F33,Rango_Admin_DailyPred_Primera,0),0),"-")</f>
        <v>-</v>
      </c>
      <c r="N33" s="429" t="str">
        <f ca="1">IFERROR(VLOOKUP(N$2,Rango_Admin_DailyPred,MATCH($F33,Rango_Admin_DailyPred_Primera,0),0),"-")</f>
        <v>-</v>
      </c>
      <c r="O33" s="429" t="str">
        <f ca="1">IFERROR(VLOOKUP(O$2,Rango_Admin_DailyPred,MATCH($F33,Rango_Admin_DailyPred_Primera,0),0),"-")</f>
        <v>-</v>
      </c>
      <c r="P33" s="429" t="str">
        <f ca="1">IFERROR(VLOOKUP(P$2,Rango_Admin_DailyPred,MATCH($F33,Rango_Admin_DailyPred_Primera,0),0),"-")</f>
        <v>-</v>
      </c>
      <c r="Q33" s="429" t="str">
        <f ca="1">IFERROR(VLOOKUP(Q$2,Rango_Admin_DailyPred,MATCH($F33,Rango_Admin_DailyPred_Primera,0),0),"-")</f>
        <v>-</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ref="F34">IFERROR(INDEX(Rango_Admin_DailyPred_Primera,1,E34),"-")</f>
        <v>Vicuinho</v>
      </c>
      <c r="G34" s="429" t="str">
        <f ca="1">IFERROR(VLOOKUP(G$2,Rango_Admin_DailyPred,MATCH($F34,Rango_Admin_DailyPred_Primera,0),0),"-")</f>
        <v>1|2-1</v>
      </c>
      <c r="H34" s="429" t="str">
        <f ca="1">IFERROR(VLOOKUP(H$2,Rango_Admin_DailyPred,MATCH($F34,Rango_Admin_DailyPred_Primera,0),0),"-")</f>
        <v>-</v>
      </c>
      <c r="I34" s="429" t="str">
        <f ca="1">IFERROR(VLOOKUP(I$2,Rango_Admin_DailyPred,MATCH($F34,Rango_Admin_DailyPred_Primera,0),0),"-")</f>
        <v>-</v>
      </c>
      <c r="J34" s="429" t="str">
        <f ca="1">IFERROR(VLOOKUP(J$2,Rango_Admin_DailyPred,MATCH($F34,Rango_Admin_DailyPred_Primera,0),0),"-")</f>
        <v>-</v>
      </c>
      <c r="K34" s="429" t="str">
        <f ca="1">IFERROR(VLOOKUP(K$2,Rango_Admin_DailyPred,MATCH($F34,Rango_Admin_DailyPred_Primera,0),0),"-")</f>
        <v>-</v>
      </c>
      <c r="L34" s="429" t="str">
        <f ca="1">IFERROR(VLOOKUP(L$2,Rango_Admin_DailyPred,MATCH($F34,Rango_Admin_DailyPred_Primera,0),0),"-")</f>
        <v>-</v>
      </c>
      <c r="M34" s="429" t="str">
        <f ca="1">IFERROR(VLOOKUP(M$2,Rango_Admin_DailyPred,MATCH($F34,Rango_Admin_DailyPred_Primera,0),0),"-")</f>
        <v>-</v>
      </c>
      <c r="N34" s="429" t="str">
        <f ca="1">IFERROR(VLOOKUP(N$2,Rango_Admin_DailyPred,MATCH($F34,Rango_Admin_DailyPred_Primera,0),0),"-")</f>
        <v>-</v>
      </c>
      <c r="O34" s="429" t="str">
        <f ca="1">IFERROR(VLOOKUP(O$2,Rango_Admin_DailyPred,MATCH($F34,Rango_Admin_DailyPred_Primera,0),0),"-")</f>
        <v>-</v>
      </c>
      <c r="P34" s="429" t="str">
        <f ca="1">IFERROR(VLOOKUP(P$2,Rango_Admin_DailyPred,MATCH($F34,Rango_Admin_DailyPred_Primera,0),0),"-")</f>
        <v>-</v>
      </c>
      <c r="Q34" s="429" t="str">
        <f ca="1">IFERROR(VLOOKUP(Q$2,Rango_Admin_DailyPred,MATCH($F34,Rango_Admin_DailyPred_Primera,0),0),"-")</f>
        <v>-</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ref="F35">IFERROR(INDEX(Rango_Admin_DailyPred_Primera,1,E35),"-")</f>
        <v>Miguel Suárez-Zuloaga</v>
      </c>
      <c r="G35" s="429" t="str">
        <f ca="1">IFERROR(VLOOKUP(G$2,Rango_Admin_DailyPred,MATCH($F35,Rango_Admin_DailyPred_Primera,0),0),"-")</f>
        <v>1|2-1</v>
      </c>
      <c r="H35" s="429" t="str">
        <f ca="1">IFERROR(VLOOKUP(H$2,Rango_Admin_DailyPred,MATCH($F35,Rango_Admin_DailyPred_Primera,0),0),"-")</f>
        <v>-</v>
      </c>
      <c r="I35" s="429" t="str">
        <f ca="1">IFERROR(VLOOKUP(I$2,Rango_Admin_DailyPred,MATCH($F35,Rango_Admin_DailyPred_Primera,0),0),"-")</f>
        <v>-</v>
      </c>
      <c r="J35" s="429" t="str">
        <f ca="1">IFERROR(VLOOKUP(J$2,Rango_Admin_DailyPred,MATCH($F35,Rango_Admin_DailyPred_Primera,0),0),"-")</f>
        <v>-</v>
      </c>
      <c r="K35" s="429" t="str">
        <f ca="1">IFERROR(VLOOKUP(K$2,Rango_Admin_DailyPred,MATCH($F35,Rango_Admin_DailyPred_Primera,0),0),"-")</f>
        <v>-</v>
      </c>
      <c r="L35" s="429" t="str">
        <f ca="1">IFERROR(VLOOKUP(L$2,Rango_Admin_DailyPred,MATCH($F35,Rango_Admin_DailyPred_Primera,0),0),"-")</f>
        <v>-</v>
      </c>
      <c r="M35" s="429" t="str">
        <f ca="1">IFERROR(VLOOKUP(M$2,Rango_Admin_DailyPred,MATCH($F35,Rango_Admin_DailyPred_Primera,0),0),"-")</f>
        <v>-</v>
      </c>
      <c r="N35" s="429" t="str">
        <f ca="1">IFERROR(VLOOKUP(N$2,Rango_Admin_DailyPred,MATCH($F35,Rango_Admin_DailyPred_Primera,0),0),"-")</f>
        <v>-</v>
      </c>
      <c r="O35" s="429" t="str">
        <f ca="1">IFERROR(VLOOKUP(O$2,Rango_Admin_DailyPred,MATCH($F35,Rango_Admin_DailyPred_Primera,0),0),"-")</f>
        <v>-</v>
      </c>
      <c r="P35" s="429" t="str">
        <f ca="1">IFERROR(VLOOKUP(P$2,Rango_Admin_DailyPred,MATCH($F35,Rango_Admin_DailyPred_Primera,0),0),"-")</f>
        <v>-</v>
      </c>
      <c r="Q35" s="429" t="str">
        <f ca="1">IFERROR(VLOOKUP(Q$2,Rango_Admin_DailyPred,MATCH($F35,Rango_Admin_DailyPred_Primera,0),0),"-")</f>
        <v>-</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1|2-0</v>
      </c>
      <c r="H36" s="429" t="str">
        <f ca="1">IFERROR(VLOOKUP(H$2,Rango_Admin_DailyPred,MATCH($F36,Rango_Admin_DailyPred_Primera,0),0),"-")</f>
        <v>-</v>
      </c>
      <c r="I36" s="429" t="str">
        <f ca="1">IFERROR(VLOOKUP(I$2,Rango_Admin_DailyPred,MATCH($F36,Rango_Admin_DailyPred_Primera,0),0),"-")</f>
        <v>-</v>
      </c>
      <c r="J36" s="429" t="str">
        <f ca="1">IFERROR(VLOOKUP(J$2,Rango_Admin_DailyPred,MATCH($F36,Rango_Admin_DailyPred_Primera,0),0),"-")</f>
        <v>-</v>
      </c>
      <c r="K36" s="429" t="str">
        <f ca="1">IFERROR(VLOOKUP(K$2,Rango_Admin_DailyPred,MATCH($F36,Rango_Admin_DailyPred_Primera,0),0),"-")</f>
        <v>-</v>
      </c>
      <c r="L36" s="429" t="str">
        <f ca="1">IFERROR(VLOOKUP(L$2,Rango_Admin_DailyPred,MATCH($F36,Rango_Admin_DailyPred_Primera,0),0),"-")</f>
        <v>-</v>
      </c>
      <c r="M36" s="429" t="str">
        <f ca="1">IFERROR(VLOOKUP(M$2,Rango_Admin_DailyPred,MATCH($F36,Rango_Admin_DailyPred_Primera,0),0),"-")</f>
        <v>-</v>
      </c>
      <c r="N36" s="429" t="str">
        <f ca="1">IFERROR(VLOOKUP(N$2,Rango_Admin_DailyPred,MATCH($F36,Rango_Admin_DailyPred_Primera,0),0),"-")</f>
        <v>-</v>
      </c>
      <c r="O36" s="429" t="str">
        <f ca="1">IFERROR(VLOOKUP(O$2,Rango_Admin_DailyPred,MATCH($F36,Rango_Admin_DailyPred_Primera,0),0),"-")</f>
        <v>-</v>
      </c>
      <c r="P36" s="429" t="str">
        <f ca="1">IFERROR(VLOOKUP(P$2,Rango_Admin_DailyPred,MATCH($F36,Rango_Admin_DailyPred_Primera,0),0),"-")</f>
        <v>-</v>
      </c>
      <c r="Q36" s="429" t="str">
        <f ca="1">IFERROR(VLOOKUP(Q$2,Rango_Admin_DailyPred,MATCH($F36,Rango_Admin_DailyPred_Primera,0),0),"-")</f>
        <v>-</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1|3-1</v>
      </c>
      <c r="H37" s="429" t="str">
        <f ca="1">IFERROR(VLOOKUP(H$2,Rango_Admin_DailyPred,MATCH($F37,Rango_Admin_DailyPred_Primera,0),0),"-")</f>
        <v>-</v>
      </c>
      <c r="I37" s="429" t="str">
        <f ca="1">IFERROR(VLOOKUP(I$2,Rango_Admin_DailyPred,MATCH($F37,Rango_Admin_DailyPred_Primera,0),0),"-")</f>
        <v>-</v>
      </c>
      <c r="J37" s="429" t="str">
        <f ca="1">IFERROR(VLOOKUP(J$2,Rango_Admin_DailyPred,MATCH($F37,Rango_Admin_DailyPred_Primera,0),0),"-")</f>
        <v>-</v>
      </c>
      <c r="K37" s="429" t="str">
        <f ca="1">IFERROR(VLOOKUP(K$2,Rango_Admin_DailyPred,MATCH($F37,Rango_Admin_DailyPred_Primera,0),0),"-")</f>
        <v>-</v>
      </c>
      <c r="L37" s="429" t="str">
        <f ca="1">IFERROR(VLOOKUP(L$2,Rango_Admin_DailyPred,MATCH($F37,Rango_Admin_DailyPred_Primera,0),0),"-")</f>
        <v>-</v>
      </c>
      <c r="M37" s="429" t="str">
        <f ca="1">IFERROR(VLOOKUP(M$2,Rango_Admin_DailyPred,MATCH($F37,Rango_Admin_DailyPred_Primera,0),0),"-")</f>
        <v>-</v>
      </c>
      <c r="N37" s="429" t="str">
        <f ca="1">IFERROR(VLOOKUP(N$2,Rango_Admin_DailyPred,MATCH($F37,Rango_Admin_DailyPred_Primera,0),0),"-")</f>
        <v>-</v>
      </c>
      <c r="O37" s="429" t="str">
        <f ca="1">IFERROR(VLOOKUP(O$2,Rango_Admin_DailyPred,MATCH($F37,Rango_Admin_DailyPred_Primera,0),0),"-")</f>
        <v>-</v>
      </c>
      <c r="P37" s="429" t="str">
        <f ca="1">IFERROR(VLOOKUP(P$2,Rango_Admin_DailyPred,MATCH($F37,Rango_Admin_DailyPred_Primera,0),0),"-")</f>
        <v>-</v>
      </c>
      <c r="Q37" s="429" t="str">
        <f ca="1">IFERROR(VLOOKUP(Q$2,Rango_Admin_DailyPred,MATCH($F37,Rango_Admin_DailyPred_Primera,0),0),"-")</f>
        <v>-</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1|2-1</v>
      </c>
      <c r="H38" s="429" t="str">
        <f ca="1">IFERROR(VLOOKUP(H$2,Rango_Admin_DailyPred,MATCH($F38,Rango_Admin_DailyPred_Primera,0),0),"-")</f>
        <v>-</v>
      </c>
      <c r="I38" s="429" t="str">
        <f ca="1">IFERROR(VLOOKUP(I$2,Rango_Admin_DailyPred,MATCH($F38,Rango_Admin_DailyPred_Primera,0),0),"-")</f>
        <v>-</v>
      </c>
      <c r="J38" s="429" t="str">
        <f ca="1">IFERROR(VLOOKUP(J$2,Rango_Admin_DailyPred,MATCH($F38,Rango_Admin_DailyPred_Primera,0),0),"-")</f>
        <v>-</v>
      </c>
      <c r="K38" s="429" t="str">
        <f ca="1">IFERROR(VLOOKUP(K$2,Rango_Admin_DailyPred,MATCH($F38,Rango_Admin_DailyPred_Primera,0),0),"-")</f>
        <v>-</v>
      </c>
      <c r="L38" s="429" t="str">
        <f ca="1">IFERROR(VLOOKUP(L$2,Rango_Admin_DailyPred,MATCH($F38,Rango_Admin_DailyPred_Primera,0),0),"-")</f>
        <v>-</v>
      </c>
      <c r="M38" s="429" t="str">
        <f ca="1">IFERROR(VLOOKUP(M$2,Rango_Admin_DailyPred,MATCH($F38,Rango_Admin_DailyPred_Primera,0),0),"-")</f>
        <v>-</v>
      </c>
      <c r="N38" s="429" t="str">
        <f ca="1">IFERROR(VLOOKUP(N$2,Rango_Admin_DailyPred,MATCH($F38,Rango_Admin_DailyPred_Primera,0),0),"-")</f>
        <v>-</v>
      </c>
      <c r="O38" s="429" t="str">
        <f ca="1">IFERROR(VLOOKUP(O$2,Rango_Admin_DailyPred,MATCH($F38,Rango_Admin_DailyPred_Primera,0),0),"-")</f>
        <v>-</v>
      </c>
      <c r="P38" s="429" t="str">
        <f ca="1">IFERROR(VLOOKUP(P$2,Rango_Admin_DailyPred,MATCH($F38,Rango_Admin_DailyPred_Primera,0),0),"-")</f>
        <v>-</v>
      </c>
      <c r="Q38" s="429" t="str">
        <f ca="1">IFERROR(VLOOKUP(Q$2,Rango_Admin_DailyPred,MATCH($F38,Rango_Admin_DailyPred_Primera,0),0),"-")</f>
        <v>-</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1|3-1</v>
      </c>
      <c r="H39" s="429" t="str">
        <f ca="1">IFERROR(VLOOKUP(H$2,Rango_Admin_DailyPred,MATCH($F39,Rango_Admin_DailyPred_Primera,0),0),"-")</f>
        <v>-</v>
      </c>
      <c r="I39" s="429" t="str">
        <f ca="1">IFERROR(VLOOKUP(I$2,Rango_Admin_DailyPred,MATCH($F39,Rango_Admin_DailyPred_Primera,0),0),"-")</f>
        <v>-</v>
      </c>
      <c r="J39" s="429" t="str">
        <f ca="1">IFERROR(VLOOKUP(J$2,Rango_Admin_DailyPred,MATCH($F39,Rango_Admin_DailyPred_Primera,0),0),"-")</f>
        <v>-</v>
      </c>
      <c r="K39" s="429" t="str">
        <f ca="1">IFERROR(VLOOKUP(K$2,Rango_Admin_DailyPred,MATCH($F39,Rango_Admin_DailyPred_Primera,0),0),"-")</f>
        <v>-</v>
      </c>
      <c r="L39" s="429" t="str">
        <f ca="1">IFERROR(VLOOKUP(L$2,Rango_Admin_DailyPred,MATCH($F39,Rango_Admin_DailyPred_Primera,0),0),"-")</f>
        <v>-</v>
      </c>
      <c r="M39" s="429" t="str">
        <f ca="1">IFERROR(VLOOKUP(M$2,Rango_Admin_DailyPred,MATCH($F39,Rango_Admin_DailyPred_Primera,0),0),"-")</f>
        <v>-</v>
      </c>
      <c r="N39" s="429" t="str">
        <f ca="1">IFERROR(VLOOKUP(N$2,Rango_Admin_DailyPred,MATCH($F39,Rango_Admin_DailyPred_Primera,0),0),"-")</f>
        <v>-</v>
      </c>
      <c r="O39" s="429" t="str">
        <f ca="1">IFERROR(VLOOKUP(O$2,Rango_Admin_DailyPred,MATCH($F39,Rango_Admin_DailyPred_Primera,0),0),"-")</f>
        <v>-</v>
      </c>
      <c r="P39" s="429" t="str">
        <f ca="1">IFERROR(VLOOKUP(P$2,Rango_Admin_DailyPred,MATCH($F39,Rango_Admin_DailyPred_Primera,0),0),"-")</f>
        <v>-</v>
      </c>
      <c r="Q39" s="429" t="str">
        <f ca="1">IFERROR(VLOOKUP(Q$2,Rango_Admin_DailyPred,MATCH($F39,Rango_Admin_DailyPred_Primera,0),0),"-")</f>
        <v>-</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1|2-0</v>
      </c>
      <c r="H40" s="429" t="str">
        <f ca="1">IFERROR(VLOOKUP(H$2,Rango_Admin_DailyPred,MATCH($F40,Rango_Admin_DailyPred_Primera,0),0),"-")</f>
        <v>-</v>
      </c>
      <c r="I40" s="429" t="str">
        <f ca="1">IFERROR(VLOOKUP(I$2,Rango_Admin_DailyPred,MATCH($F40,Rango_Admin_DailyPred_Primera,0),0),"-")</f>
        <v>-</v>
      </c>
      <c r="J40" s="429" t="str">
        <f ca="1">IFERROR(VLOOKUP(J$2,Rango_Admin_DailyPred,MATCH($F40,Rango_Admin_DailyPred_Primera,0),0),"-")</f>
        <v>-</v>
      </c>
      <c r="K40" s="429" t="str">
        <f ca="1">IFERROR(VLOOKUP(K$2,Rango_Admin_DailyPred,MATCH($F40,Rango_Admin_DailyPred_Primera,0),0),"-")</f>
        <v>-</v>
      </c>
      <c r="L40" s="429" t="str">
        <f ca="1">IFERROR(VLOOKUP(L$2,Rango_Admin_DailyPred,MATCH($F40,Rango_Admin_DailyPred_Primera,0),0),"-")</f>
        <v>-</v>
      </c>
      <c r="M40" s="429" t="str">
        <f ca="1">IFERROR(VLOOKUP(M$2,Rango_Admin_DailyPred,MATCH($F40,Rango_Admin_DailyPred_Primera,0),0),"-")</f>
        <v>-</v>
      </c>
      <c r="N40" s="429" t="str">
        <f ca="1">IFERROR(VLOOKUP(N$2,Rango_Admin_DailyPred,MATCH($F40,Rango_Admin_DailyPred_Primera,0),0),"-")</f>
        <v>-</v>
      </c>
      <c r="O40" s="429" t="str">
        <f ca="1">IFERROR(VLOOKUP(O$2,Rango_Admin_DailyPred,MATCH($F40,Rango_Admin_DailyPred_Primera,0),0),"-")</f>
        <v>-</v>
      </c>
      <c r="P40" s="429" t="str">
        <f ca="1">IFERROR(VLOOKUP(P$2,Rango_Admin_DailyPred,MATCH($F40,Rango_Admin_DailyPred_Primera,0),0),"-")</f>
        <v>-</v>
      </c>
      <c r="Q40" s="429" t="str">
        <f ca="1">IFERROR(VLOOKUP(Q$2,Rango_Admin_DailyPred,MATCH($F40,Rango_Admin_DailyPred_Primera,0),0),"-")</f>
        <v>-</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1|2-0</v>
      </c>
      <c r="H41" s="429" t="str">
        <f ca="1">IFERROR(VLOOKUP(H$2,Rango_Admin_DailyPred,MATCH($F41,Rango_Admin_DailyPred_Primera,0),0),"-")</f>
        <v>-</v>
      </c>
      <c r="I41" s="429" t="str">
        <f ca="1">IFERROR(VLOOKUP(I$2,Rango_Admin_DailyPred,MATCH($F41,Rango_Admin_DailyPred_Primera,0),0),"-")</f>
        <v>-</v>
      </c>
      <c r="J41" s="429" t="str">
        <f ca="1">IFERROR(VLOOKUP(J$2,Rango_Admin_DailyPred,MATCH($F41,Rango_Admin_DailyPred_Primera,0),0),"-")</f>
        <v>-</v>
      </c>
      <c r="K41" s="429" t="str">
        <f ca="1">IFERROR(VLOOKUP(K$2,Rango_Admin_DailyPred,MATCH($F41,Rango_Admin_DailyPred_Primera,0),0),"-")</f>
        <v>-</v>
      </c>
      <c r="L41" s="429" t="str">
        <f ca="1">IFERROR(VLOOKUP(L$2,Rango_Admin_DailyPred,MATCH($F41,Rango_Admin_DailyPred_Primera,0),0),"-")</f>
        <v>-</v>
      </c>
      <c r="M41" s="429" t="str">
        <f ca="1">IFERROR(VLOOKUP(M$2,Rango_Admin_DailyPred,MATCH($F41,Rango_Admin_DailyPred_Primera,0),0),"-")</f>
        <v>-</v>
      </c>
      <c r="N41" s="429" t="str">
        <f ca="1">IFERROR(VLOOKUP(N$2,Rango_Admin_DailyPred,MATCH($F41,Rango_Admin_DailyPred_Primera,0),0),"-")</f>
        <v>-</v>
      </c>
      <c r="O41" s="429" t="str">
        <f ca="1">IFERROR(VLOOKUP(O$2,Rango_Admin_DailyPred,MATCH($F41,Rango_Admin_DailyPred_Primera,0),0),"-")</f>
        <v>-</v>
      </c>
      <c r="P41" s="429" t="str">
        <f ca="1">IFERROR(VLOOKUP(P$2,Rango_Admin_DailyPred,MATCH($F41,Rango_Admin_DailyPred_Primera,0),0),"-")</f>
        <v>-</v>
      </c>
      <c r="Q41" s="429" t="str">
        <f ca="1">IFERROR(VLOOKUP(Q$2,Rango_Admin_DailyPred,MATCH($F41,Rango_Admin_DailyPred_Primera,0),0),"-")</f>
        <v>-</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1|2-0</v>
      </c>
      <c r="H42" s="429" t="str">
        <f ca="1">IFERROR(VLOOKUP(H$2,Rango_Admin_DailyPred,MATCH($F42,Rango_Admin_DailyPred_Primera,0),0),"-")</f>
        <v>-</v>
      </c>
      <c r="I42" s="429" t="str">
        <f ca="1">IFERROR(VLOOKUP(I$2,Rango_Admin_DailyPred,MATCH($F42,Rango_Admin_DailyPred_Primera,0),0),"-")</f>
        <v>-</v>
      </c>
      <c r="J42" s="429" t="str">
        <f ca="1">IFERROR(VLOOKUP(J$2,Rango_Admin_DailyPred,MATCH($F42,Rango_Admin_DailyPred_Primera,0),0),"-")</f>
        <v>-</v>
      </c>
      <c r="K42" s="429" t="str">
        <f ca="1">IFERROR(VLOOKUP(K$2,Rango_Admin_DailyPred,MATCH($F42,Rango_Admin_DailyPred_Primera,0),0),"-")</f>
        <v>-</v>
      </c>
      <c r="L42" s="429" t="str">
        <f ca="1">IFERROR(VLOOKUP(L$2,Rango_Admin_DailyPred,MATCH($F42,Rango_Admin_DailyPred_Primera,0),0),"-")</f>
        <v>-</v>
      </c>
      <c r="M42" s="429" t="str">
        <f ca="1">IFERROR(VLOOKUP(M$2,Rango_Admin_DailyPred,MATCH($F42,Rango_Admin_DailyPred_Primera,0),0),"-")</f>
        <v>-</v>
      </c>
      <c r="N42" s="429" t="str">
        <f ca="1">IFERROR(VLOOKUP(N$2,Rango_Admin_DailyPred,MATCH($F42,Rango_Admin_DailyPred_Primera,0),0),"-")</f>
        <v>-</v>
      </c>
      <c r="O42" s="429" t="str">
        <f ca="1">IFERROR(VLOOKUP(O$2,Rango_Admin_DailyPred,MATCH($F42,Rango_Admin_DailyPred_Primera,0),0),"-")</f>
        <v>-</v>
      </c>
      <c r="P42" s="429" t="str">
        <f ca="1">IFERROR(VLOOKUP(P$2,Rango_Admin_DailyPred,MATCH($F42,Rango_Admin_DailyPred_Primera,0),0),"-")</f>
        <v>-</v>
      </c>
      <c r="Q42" s="429" t="str">
        <f ca="1">IFERROR(VLOOKUP(Q$2,Rango_Admin_DailyPred,MATCH($F42,Rango_Admin_DailyPred_Primera,0),0),"-")</f>
        <v>-</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1|1-0</v>
      </c>
      <c r="H43" s="429" t="str">
        <f ca="1">IFERROR(VLOOKUP(H$2,Rango_Admin_DailyPred,MATCH($F43,Rango_Admin_DailyPred_Primera,0),0),"-")</f>
        <v>-</v>
      </c>
      <c r="I43" s="429" t="str">
        <f ca="1">IFERROR(VLOOKUP(I$2,Rango_Admin_DailyPred,MATCH($F43,Rango_Admin_DailyPred_Primera,0),0),"-")</f>
        <v>-</v>
      </c>
      <c r="J43" s="429" t="str">
        <f ca="1">IFERROR(VLOOKUP(J$2,Rango_Admin_DailyPred,MATCH($F43,Rango_Admin_DailyPred_Primera,0),0),"-")</f>
        <v>-</v>
      </c>
      <c r="K43" s="429" t="str">
        <f ca="1">IFERROR(VLOOKUP(K$2,Rango_Admin_DailyPred,MATCH($F43,Rango_Admin_DailyPred_Primera,0),0),"-")</f>
        <v>-</v>
      </c>
      <c r="L43" s="429" t="str">
        <f ca="1">IFERROR(VLOOKUP(L$2,Rango_Admin_DailyPred,MATCH($F43,Rango_Admin_DailyPred_Primera,0),0),"-")</f>
        <v>-</v>
      </c>
      <c r="M43" s="429" t="str">
        <f ca="1">IFERROR(VLOOKUP(M$2,Rango_Admin_DailyPred,MATCH($F43,Rango_Admin_DailyPred_Primera,0),0),"-")</f>
        <v>-</v>
      </c>
      <c r="N43" s="429" t="str">
        <f ca="1">IFERROR(VLOOKUP(N$2,Rango_Admin_DailyPred,MATCH($F43,Rango_Admin_DailyPred_Primera,0),0),"-")</f>
        <v>-</v>
      </c>
      <c r="O43" s="429" t="str">
        <f ca="1">IFERROR(VLOOKUP(O$2,Rango_Admin_DailyPred,MATCH($F43,Rango_Admin_DailyPred_Primera,0),0),"-")</f>
        <v>-</v>
      </c>
      <c r="P43" s="429" t="str">
        <f ca="1">IFERROR(VLOOKUP(P$2,Rango_Admin_DailyPred,MATCH($F43,Rango_Admin_DailyPred_Primera,0),0),"-")</f>
        <v>-</v>
      </c>
      <c r="Q43" s="429" t="str">
        <f ca="1">IFERROR(VLOOKUP(Q$2,Rango_Admin_DailyPred,MATCH($F43,Rango_Admin_DailyPred_Primera,0),0),"-")</f>
        <v>-</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c r="E44" s="19">
        <f t="shared" si="1"/>
        <v>129</v>
      </c>
      <c r="F44" s="448" t="str" cm="1">
        <f t="array" ref="F44">IFERROR(INDEX(Rango_Admin_DailyPred_Primera,1,E44),"-")</f>
        <v>Pegar Valores Nombre J41</v>
      </c>
      <c r="G44" s="429" t="str">
        <f ca="1">IFERROR(VLOOKUP(G$2,Rango_Admin_DailyPred,MATCH($F44,Rango_Admin_DailyPred_Primera,0),0),"-")</f>
        <v>Pegar Valores (J1)</v>
      </c>
      <c r="H44" s="429" t="str">
        <f ca="1">IFERROR(VLOOKUP(H$2,Rango_Admin_DailyPred,MATCH($F44,Rango_Admin_DailyPred_Primera,0),0),"-")</f>
        <v>-</v>
      </c>
      <c r="I44" s="429" t="str">
        <f ca="1">IFERROR(VLOOKUP(I$2,Rango_Admin_DailyPred,MATCH($F44,Rango_Admin_DailyPred_Primera,0),0),"-")</f>
        <v>-</v>
      </c>
      <c r="J44" s="429" t="str">
        <f ca="1">IFERROR(VLOOKUP(J$2,Rango_Admin_DailyPred,MATCH($F44,Rango_Admin_DailyPred_Primera,0),0),"-")</f>
        <v>-</v>
      </c>
      <c r="K44" s="429" t="str">
        <f ca="1">IFERROR(VLOOKUP(K$2,Rango_Admin_DailyPred,MATCH($F44,Rango_Admin_DailyPred_Primera,0),0),"-")</f>
        <v>-</v>
      </c>
      <c r="L44" s="429" t="str">
        <f ca="1">IFERROR(VLOOKUP(L$2,Rango_Admin_DailyPred,MATCH($F44,Rango_Admin_DailyPred_Primera,0),0),"-")</f>
        <v>-</v>
      </c>
      <c r="M44" s="429" t="str">
        <f ca="1">IFERROR(VLOOKUP(M$2,Rango_Admin_DailyPred,MATCH($F44,Rango_Admin_DailyPred_Primera,0),0),"-")</f>
        <v>-</v>
      </c>
      <c r="N44" s="429" t="str">
        <f ca="1">IFERROR(VLOOKUP(N$2,Rango_Admin_DailyPred,MATCH($F44,Rango_Admin_DailyPred_Primera,0),0),"-")</f>
        <v>-</v>
      </c>
      <c r="O44" s="429" t="str">
        <f ca="1">IFERROR(VLOOKUP(O$2,Rango_Admin_DailyPred,MATCH($F44,Rango_Admin_DailyPred_Primera,0),0),"-")</f>
        <v>-</v>
      </c>
      <c r="P44" s="429" t="str">
        <f ca="1">IFERROR(VLOOKUP(P$2,Rango_Admin_DailyPred,MATCH($F44,Rango_Admin_DailyPred_Primera,0),0),"-")</f>
        <v>-</v>
      </c>
      <c r="Q44" s="429" t="str">
        <f ca="1">IFERROR(VLOOKUP(Q$2,Rango_Admin_DailyPred,MATCH($F44,Rango_Admin_DailyPred_Primera,0),0),"-")</f>
        <v>-</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(J1)</v>
      </c>
      <c r="H45" s="429" t="str">
        <f ca="1">IFERROR(VLOOKUP(H$2,Rango_Admin_DailyPred,MATCH($F45,Rango_Admin_DailyPred_Primera,0),0),"-")</f>
        <v>-</v>
      </c>
      <c r="I45" s="429" t="str">
        <f ca="1">IFERROR(VLOOKUP(I$2,Rango_Admin_DailyPred,MATCH($F45,Rango_Admin_DailyPred_Primera,0),0),"-")</f>
        <v>-</v>
      </c>
      <c r="J45" s="429" t="str">
        <f ca="1">IFERROR(VLOOKUP(J$2,Rango_Admin_DailyPred,MATCH($F45,Rango_Admin_DailyPred_Primera,0),0),"-")</f>
        <v>-</v>
      </c>
      <c r="K45" s="429" t="str">
        <f ca="1">IFERROR(VLOOKUP(K$2,Rango_Admin_DailyPred,MATCH($F45,Rango_Admin_DailyPred_Primera,0),0),"-")</f>
        <v>-</v>
      </c>
      <c r="L45" s="429" t="str">
        <f ca="1">IFERROR(VLOOKUP(L$2,Rango_Admin_DailyPred,MATCH($F45,Rango_Admin_DailyPred_Primera,0),0),"-")</f>
        <v>-</v>
      </c>
      <c r="M45" s="429" t="str">
        <f ca="1">IFERROR(VLOOKUP(M$2,Rango_Admin_DailyPred,MATCH($F45,Rango_Admin_DailyPred_Primera,0),0),"-")</f>
        <v>-</v>
      </c>
      <c r="N45" s="429" t="str">
        <f ca="1">IFERROR(VLOOKUP(N$2,Rango_Admin_DailyPred,MATCH($F45,Rango_Admin_DailyPred_Primera,0),0),"-")</f>
        <v>-</v>
      </c>
      <c r="O45" s="429" t="str">
        <f ca="1">IFERROR(VLOOKUP(O$2,Rango_Admin_DailyPred,MATCH($F45,Rango_Admin_DailyPred_Primera,0),0),"-")</f>
        <v>-</v>
      </c>
      <c r="P45" s="429" t="str">
        <f ca="1">IFERROR(VLOOKUP(P$2,Rango_Admin_DailyPred,MATCH($F45,Rango_Admin_DailyPred_Primera,0),0),"-")</f>
        <v>-</v>
      </c>
      <c r="Q45" s="429" t="str">
        <f ca="1">IFERROR(VLOOKUP(Q$2,Rango_Admin_DailyPred,MATCH($F45,Rango_Admin_DailyPred_Primera,0),0),"-")</f>
        <v>-</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(J1)</v>
      </c>
      <c r="H46" s="429" t="str">
        <f ca="1">IFERROR(VLOOKUP(H$2,Rango_Admin_DailyPred,MATCH($F46,Rango_Admin_DailyPred_Primera,0),0),"-")</f>
        <v>-</v>
      </c>
      <c r="I46" s="429" t="str">
        <f ca="1">IFERROR(VLOOKUP(I$2,Rango_Admin_DailyPred,MATCH($F46,Rango_Admin_DailyPred_Primera,0),0),"-")</f>
        <v>-</v>
      </c>
      <c r="J46" s="429" t="str">
        <f ca="1">IFERROR(VLOOKUP(J$2,Rango_Admin_DailyPred,MATCH($F46,Rango_Admin_DailyPred_Primera,0),0),"-")</f>
        <v>-</v>
      </c>
      <c r="K46" s="429" t="str">
        <f ca="1">IFERROR(VLOOKUP(K$2,Rango_Admin_DailyPred,MATCH($F46,Rango_Admin_DailyPred_Primera,0),0),"-")</f>
        <v>-</v>
      </c>
      <c r="L46" s="429" t="str">
        <f ca="1">IFERROR(VLOOKUP(L$2,Rango_Admin_DailyPred,MATCH($F46,Rango_Admin_DailyPred_Primera,0),0),"-")</f>
        <v>-</v>
      </c>
      <c r="M46" s="429" t="str">
        <f ca="1">IFERROR(VLOOKUP(M$2,Rango_Admin_DailyPred,MATCH($F46,Rango_Admin_DailyPred_Primera,0),0),"-")</f>
        <v>-</v>
      </c>
      <c r="N46" s="429" t="str">
        <f ca="1">IFERROR(VLOOKUP(N$2,Rango_Admin_DailyPred,MATCH($F46,Rango_Admin_DailyPred_Primera,0),0),"-")</f>
        <v>-</v>
      </c>
      <c r="O46" s="429" t="str">
        <f ca="1">IFERROR(VLOOKUP(O$2,Rango_Admin_DailyPred,MATCH($F46,Rango_Admin_DailyPred_Primera,0),0),"-")</f>
        <v>-</v>
      </c>
      <c r="P46" s="429" t="str">
        <f ca="1">IFERROR(VLOOKUP(P$2,Rango_Admin_DailyPred,MATCH($F46,Rango_Admin_DailyPred_Primera,0),0),"-")</f>
        <v>-</v>
      </c>
      <c r="Q46" s="429" t="str">
        <f ca="1">IFERROR(VLOOKUP(Q$2,Rango_Admin_DailyPred,MATCH($F46,Rango_Admin_DailyPred_Primera,0),0),"-")</f>
        <v>-</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(J1)</v>
      </c>
      <c r="H47" s="429" t="str">
        <f ca="1">IFERROR(VLOOKUP(H$2,Rango_Admin_DailyPred,MATCH($F47,Rango_Admin_DailyPred_Primera,0),0),"-")</f>
        <v>-</v>
      </c>
      <c r="I47" s="429" t="str">
        <f ca="1">IFERROR(VLOOKUP(I$2,Rango_Admin_DailyPred,MATCH($F47,Rango_Admin_DailyPred_Primera,0),0),"-")</f>
        <v>-</v>
      </c>
      <c r="J47" s="429" t="str">
        <f ca="1">IFERROR(VLOOKUP(J$2,Rango_Admin_DailyPred,MATCH($F47,Rango_Admin_DailyPred_Primera,0),0),"-")</f>
        <v>-</v>
      </c>
      <c r="K47" s="429" t="str">
        <f ca="1">IFERROR(VLOOKUP(K$2,Rango_Admin_DailyPred,MATCH($F47,Rango_Admin_DailyPred_Primera,0),0),"-")</f>
        <v>-</v>
      </c>
      <c r="L47" s="429" t="str">
        <f ca="1">IFERROR(VLOOKUP(L$2,Rango_Admin_DailyPred,MATCH($F47,Rango_Admin_DailyPred_Primera,0),0),"-")</f>
        <v>-</v>
      </c>
      <c r="M47" s="429" t="str">
        <f ca="1">IFERROR(VLOOKUP(M$2,Rango_Admin_DailyPred,MATCH($F47,Rango_Admin_DailyPred_Primera,0),0),"-")</f>
        <v>-</v>
      </c>
      <c r="N47" s="429" t="str">
        <f ca="1">IFERROR(VLOOKUP(N$2,Rango_Admin_DailyPred,MATCH($F47,Rango_Admin_DailyPred_Primera,0),0),"-")</f>
        <v>-</v>
      </c>
      <c r="O47" s="429" t="str">
        <f ca="1">IFERROR(VLOOKUP(O$2,Rango_Admin_DailyPred,MATCH($F47,Rango_Admin_DailyPred_Primera,0),0),"-")</f>
        <v>-</v>
      </c>
      <c r="P47" s="429" t="str">
        <f ca="1">IFERROR(VLOOKUP(P$2,Rango_Admin_DailyPred,MATCH($F47,Rango_Admin_DailyPred_Primera,0),0),"-")</f>
        <v>-</v>
      </c>
      <c r="Q47" s="429" t="str">
        <f ca="1">IFERROR(VLOOKUP(Q$2,Rango_Admin_DailyPred,MATCH($F47,Rango_Admin_DailyPred_Primera,0),0),"-")</f>
        <v>-</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(J1)</v>
      </c>
      <c r="H48" s="429" t="str">
        <f ca="1">IFERROR(VLOOKUP(H$2,Rango_Admin_DailyPred,MATCH($F48,Rango_Admin_DailyPred_Primera,0),0),"-")</f>
        <v>-</v>
      </c>
      <c r="I48" s="429" t="str">
        <f ca="1">IFERROR(VLOOKUP(I$2,Rango_Admin_DailyPred,MATCH($F48,Rango_Admin_DailyPred_Primera,0),0),"-")</f>
        <v>-</v>
      </c>
      <c r="J48" s="429" t="str">
        <f ca="1">IFERROR(VLOOKUP(J$2,Rango_Admin_DailyPred,MATCH($F48,Rango_Admin_DailyPred_Primera,0),0),"-")</f>
        <v>-</v>
      </c>
      <c r="K48" s="429" t="str">
        <f ca="1">IFERROR(VLOOKUP(K$2,Rango_Admin_DailyPred,MATCH($F48,Rango_Admin_DailyPred_Primera,0),0),"-")</f>
        <v>-</v>
      </c>
      <c r="L48" s="429" t="str">
        <f ca="1">IFERROR(VLOOKUP(L$2,Rango_Admin_DailyPred,MATCH($F48,Rango_Admin_DailyPred_Primera,0),0),"-")</f>
        <v>-</v>
      </c>
      <c r="M48" s="429" t="str">
        <f ca="1">IFERROR(VLOOKUP(M$2,Rango_Admin_DailyPred,MATCH($F48,Rango_Admin_DailyPred_Primera,0),0),"-")</f>
        <v>-</v>
      </c>
      <c r="N48" s="429" t="str">
        <f ca="1">IFERROR(VLOOKUP(N$2,Rango_Admin_DailyPred,MATCH($F48,Rango_Admin_DailyPred_Primera,0),0),"-")</f>
        <v>-</v>
      </c>
      <c r="O48" s="429" t="str">
        <f ca="1">IFERROR(VLOOKUP(O$2,Rango_Admin_DailyPred,MATCH($F48,Rango_Admin_DailyPred_Primera,0),0),"-")</f>
        <v>-</v>
      </c>
      <c r="P48" s="429" t="str">
        <f ca="1">IFERROR(VLOOKUP(P$2,Rango_Admin_DailyPred,MATCH($F48,Rango_Admin_DailyPred_Primera,0),0),"-")</f>
        <v>-</v>
      </c>
      <c r="Q48" s="429" t="str">
        <f ca="1">IFERROR(VLOOKUP(Q$2,Rango_Admin_DailyPred,MATCH($F48,Rango_Admin_DailyPred_Primera,0),0),"-")</f>
        <v>-</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(J1)</v>
      </c>
      <c r="H49" s="429" t="str">
        <f ca="1">IFERROR(VLOOKUP(H$2,Rango_Admin_DailyPred,MATCH($F49,Rango_Admin_DailyPred_Primera,0),0),"-")</f>
        <v>-</v>
      </c>
      <c r="I49" s="429" t="str">
        <f ca="1">IFERROR(VLOOKUP(I$2,Rango_Admin_DailyPred,MATCH($F49,Rango_Admin_DailyPred_Primera,0),0),"-")</f>
        <v>-</v>
      </c>
      <c r="J49" s="429" t="str">
        <f ca="1">IFERROR(VLOOKUP(J$2,Rango_Admin_DailyPred,MATCH($F49,Rango_Admin_DailyPred_Primera,0),0),"-")</f>
        <v>-</v>
      </c>
      <c r="K49" s="429" t="str">
        <f ca="1">IFERROR(VLOOKUP(K$2,Rango_Admin_DailyPred,MATCH($F49,Rango_Admin_DailyPred_Primera,0),0),"-")</f>
        <v>-</v>
      </c>
      <c r="L49" s="429" t="str">
        <f ca="1">IFERROR(VLOOKUP(L$2,Rango_Admin_DailyPred,MATCH($F49,Rango_Admin_DailyPred_Primera,0),0),"-")</f>
        <v>-</v>
      </c>
      <c r="M49" s="429" t="str">
        <f ca="1">IFERROR(VLOOKUP(M$2,Rango_Admin_DailyPred,MATCH($F49,Rango_Admin_DailyPred_Primera,0),0),"-")</f>
        <v>-</v>
      </c>
      <c r="N49" s="429" t="str">
        <f ca="1">IFERROR(VLOOKUP(N$2,Rango_Admin_DailyPred,MATCH($F49,Rango_Admin_DailyPred_Primera,0),0),"-")</f>
        <v>-</v>
      </c>
      <c r="O49" s="429" t="str">
        <f ca="1">IFERROR(VLOOKUP(O$2,Rango_Admin_DailyPred,MATCH($F49,Rango_Admin_DailyPred_Primera,0),0),"-")</f>
        <v>-</v>
      </c>
      <c r="P49" s="429" t="str">
        <f ca="1">IFERROR(VLOOKUP(P$2,Rango_Admin_DailyPred,MATCH($F49,Rango_Admin_DailyPred_Primera,0),0),"-")</f>
        <v>-</v>
      </c>
      <c r="Q49" s="429" t="str">
        <f ca="1">IFERROR(VLOOKUP(Q$2,Rango_Admin_DailyPred,MATCH($F49,Rango_Admin_DailyPred_Primera,0),0),"-")</f>
        <v>-</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(J1)</v>
      </c>
      <c r="H50" s="429" t="str">
        <f ca="1">IFERROR(VLOOKUP(H$2,Rango_Admin_DailyPred,MATCH($F50,Rango_Admin_DailyPred_Primera,0),0),"-")</f>
        <v>-</v>
      </c>
      <c r="I50" s="429" t="str">
        <f ca="1">IFERROR(VLOOKUP(I$2,Rango_Admin_DailyPred,MATCH($F50,Rango_Admin_DailyPred_Primera,0),0),"-")</f>
        <v>-</v>
      </c>
      <c r="J50" s="429" t="str">
        <f ca="1">IFERROR(VLOOKUP(J$2,Rango_Admin_DailyPred,MATCH($F50,Rango_Admin_DailyPred_Primera,0),0),"-")</f>
        <v>-</v>
      </c>
      <c r="K50" s="429" t="str">
        <f ca="1">IFERROR(VLOOKUP(K$2,Rango_Admin_DailyPred,MATCH($F50,Rango_Admin_DailyPred_Primera,0),0),"-")</f>
        <v>-</v>
      </c>
      <c r="L50" s="429" t="str">
        <f ca="1">IFERROR(VLOOKUP(L$2,Rango_Admin_DailyPred,MATCH($F50,Rango_Admin_DailyPred_Primera,0),0),"-")</f>
        <v>-</v>
      </c>
      <c r="M50" s="429" t="str">
        <f ca="1">IFERROR(VLOOKUP(M$2,Rango_Admin_DailyPred,MATCH($F50,Rango_Admin_DailyPred_Primera,0),0),"-")</f>
        <v>-</v>
      </c>
      <c r="N50" s="429" t="str">
        <f ca="1">IFERROR(VLOOKUP(N$2,Rango_Admin_DailyPred,MATCH($F50,Rango_Admin_DailyPred_Primera,0),0),"-")</f>
        <v>-</v>
      </c>
      <c r="O50" s="429" t="str">
        <f ca="1">IFERROR(VLOOKUP(O$2,Rango_Admin_DailyPred,MATCH($F50,Rango_Admin_DailyPred_Primera,0),0),"-")</f>
        <v>-</v>
      </c>
      <c r="P50" s="429" t="str">
        <f ca="1">IFERROR(VLOOKUP(P$2,Rango_Admin_DailyPred,MATCH($F50,Rango_Admin_DailyPred_Primera,0),0),"-")</f>
        <v>-</v>
      </c>
      <c r="Q50" s="429" t="str">
        <f ca="1">IFERROR(VLOOKUP(Q$2,Rango_Admin_DailyPred,MATCH($F50,Rango_Admin_DailyPred_Primera,0),0),"-")</f>
        <v>-</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(J1)</v>
      </c>
      <c r="H51" s="429" t="str">
        <f ca="1">IFERROR(VLOOKUP(H$2,Rango_Admin_DailyPred,MATCH($F51,Rango_Admin_DailyPred_Primera,0),0),"-")</f>
        <v>-</v>
      </c>
      <c r="I51" s="429" t="str">
        <f ca="1">IFERROR(VLOOKUP(I$2,Rango_Admin_DailyPred,MATCH($F51,Rango_Admin_DailyPred_Primera,0),0),"-")</f>
        <v>-</v>
      </c>
      <c r="J51" s="429" t="str">
        <f ca="1">IFERROR(VLOOKUP(J$2,Rango_Admin_DailyPred,MATCH($F51,Rango_Admin_DailyPred_Primera,0),0),"-")</f>
        <v>-</v>
      </c>
      <c r="K51" s="429" t="str">
        <f ca="1">IFERROR(VLOOKUP(K$2,Rango_Admin_DailyPred,MATCH($F51,Rango_Admin_DailyPred_Primera,0),0),"-")</f>
        <v>-</v>
      </c>
      <c r="L51" s="429" t="str">
        <f ca="1">IFERROR(VLOOKUP(L$2,Rango_Admin_DailyPred,MATCH($F51,Rango_Admin_DailyPred_Primera,0),0),"-")</f>
        <v>-</v>
      </c>
      <c r="M51" s="429" t="str">
        <f ca="1">IFERROR(VLOOKUP(M$2,Rango_Admin_DailyPred,MATCH($F51,Rango_Admin_DailyPred_Primera,0),0),"-")</f>
        <v>-</v>
      </c>
      <c r="N51" s="429" t="str">
        <f ca="1">IFERROR(VLOOKUP(N$2,Rango_Admin_DailyPred,MATCH($F51,Rango_Admin_DailyPred_Primera,0),0),"-")</f>
        <v>-</v>
      </c>
      <c r="O51" s="429" t="str">
        <f ca="1">IFERROR(VLOOKUP(O$2,Rango_Admin_DailyPred,MATCH($F51,Rango_Admin_DailyPred_Primera,0),0),"-")</f>
        <v>-</v>
      </c>
      <c r="P51" s="429" t="str">
        <f ca="1">IFERROR(VLOOKUP(P$2,Rango_Admin_DailyPred,MATCH($F51,Rango_Admin_DailyPred_Primera,0),0),"-")</f>
        <v>-</v>
      </c>
      <c r="Q51" s="429" t="str">
        <f ca="1">IFERROR(VLOOKUP(Q$2,Rango_Admin_DailyPred,MATCH($F51,Rango_Admin_DailyPred_Primera,0),0),"-")</f>
        <v>-</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(J1)</v>
      </c>
      <c r="H52" s="429" t="str">
        <f ca="1">IFERROR(VLOOKUP(H$2,Rango_Admin_DailyPred,MATCH($F52,Rango_Admin_DailyPred_Primera,0),0),"-")</f>
        <v>-</v>
      </c>
      <c r="I52" s="429" t="str">
        <f ca="1">IFERROR(VLOOKUP(I$2,Rango_Admin_DailyPred,MATCH($F52,Rango_Admin_DailyPred_Primera,0),0),"-")</f>
        <v>-</v>
      </c>
      <c r="J52" s="429" t="str">
        <f ca="1">IFERROR(VLOOKUP(J$2,Rango_Admin_DailyPred,MATCH($F52,Rango_Admin_DailyPred_Primera,0),0),"-")</f>
        <v>-</v>
      </c>
      <c r="K52" s="429" t="str">
        <f ca="1">IFERROR(VLOOKUP(K$2,Rango_Admin_DailyPred,MATCH($F52,Rango_Admin_DailyPred_Primera,0),0),"-")</f>
        <v>-</v>
      </c>
      <c r="L52" s="429" t="str">
        <f ca="1">IFERROR(VLOOKUP(L$2,Rango_Admin_DailyPred,MATCH($F52,Rango_Admin_DailyPred_Primera,0),0),"-")</f>
        <v>-</v>
      </c>
      <c r="M52" s="429" t="str">
        <f ca="1">IFERROR(VLOOKUP(M$2,Rango_Admin_DailyPred,MATCH($F52,Rango_Admin_DailyPred_Primera,0),0),"-")</f>
        <v>-</v>
      </c>
      <c r="N52" s="429" t="str">
        <f ca="1">IFERROR(VLOOKUP(N$2,Rango_Admin_DailyPred,MATCH($F52,Rango_Admin_DailyPred_Primera,0),0),"-")</f>
        <v>-</v>
      </c>
      <c r="O52" s="429" t="str">
        <f ca="1">IFERROR(VLOOKUP(O$2,Rango_Admin_DailyPred,MATCH($F52,Rango_Admin_DailyPred_Primera,0),0),"-")</f>
        <v>-</v>
      </c>
      <c r="P52" s="429" t="str">
        <f ca="1">IFERROR(VLOOKUP(P$2,Rango_Admin_DailyPred,MATCH($F52,Rango_Admin_DailyPred_Primera,0),0),"-")</f>
        <v>-</v>
      </c>
      <c r="Q52" s="429" t="str">
        <f ca="1">IFERROR(VLOOKUP(Q$2,Rango_Admin_DailyPred,MATCH($F52,Rango_Admin_DailyPred_Primera,0),0),"-")</f>
        <v>-</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(J1)</v>
      </c>
      <c r="H53" s="429" t="str">
        <f ca="1">IFERROR(VLOOKUP(H$2,Rango_Admin_DailyPred,MATCH($F53,Rango_Admin_DailyPred_Primera,0),0),"-")</f>
        <v>-</v>
      </c>
      <c r="I53" s="429" t="str">
        <f ca="1">IFERROR(VLOOKUP(I$2,Rango_Admin_DailyPred,MATCH($F53,Rango_Admin_DailyPred_Primera,0),0),"-")</f>
        <v>-</v>
      </c>
      <c r="J53" s="429" t="str">
        <f ca="1">IFERROR(VLOOKUP(J$2,Rango_Admin_DailyPred,MATCH($F53,Rango_Admin_DailyPred_Primera,0),0),"-")</f>
        <v>-</v>
      </c>
      <c r="K53" s="429" t="str">
        <f ca="1">IFERROR(VLOOKUP(K$2,Rango_Admin_DailyPred,MATCH($F53,Rango_Admin_DailyPred_Primera,0),0),"-")</f>
        <v>-</v>
      </c>
      <c r="L53" s="429" t="str">
        <f ca="1">IFERROR(VLOOKUP(L$2,Rango_Admin_DailyPred,MATCH($F53,Rango_Admin_DailyPred_Primera,0),0),"-")</f>
        <v>-</v>
      </c>
      <c r="M53" s="429" t="str">
        <f ca="1">IFERROR(VLOOKUP(M$2,Rango_Admin_DailyPred,MATCH($F53,Rango_Admin_DailyPred_Primera,0),0),"-")</f>
        <v>-</v>
      </c>
      <c r="N53" s="429" t="str">
        <f ca="1">IFERROR(VLOOKUP(N$2,Rango_Admin_DailyPred,MATCH($F53,Rango_Admin_DailyPred_Primera,0),0),"-")</f>
        <v>-</v>
      </c>
      <c r="O53" s="429" t="str">
        <f ca="1">IFERROR(VLOOKUP(O$2,Rango_Admin_DailyPred,MATCH($F53,Rango_Admin_DailyPred_Primera,0),0),"-")</f>
        <v>-</v>
      </c>
      <c r="P53" s="429" t="str">
        <f ca="1">IFERROR(VLOOKUP(P$2,Rango_Admin_DailyPred,MATCH($F53,Rango_Admin_DailyPred_Primera,0),0),"-")</f>
        <v>-</v>
      </c>
      <c r="Q53" s="429" t="str">
        <f ca="1">IFERROR(VLOOKUP(Q$2,Rango_Admin_DailyPred,MATCH($F53,Rango_Admin_DailyPred_Primera,0),0),"-")</f>
        <v>-</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109375" style="1" bestFit="1" customWidth="1"/>
    <col min="6" max="6" width="24.6640625" style="1" customWidth="1"/>
    <col min="7" max="39" width="25.77734375" style="1" customWidth="1"/>
    <col min="40" max="40" width="10.77734375" style="1" customWidth="1"/>
    <col min="41" max="16384" width="10.77734375" style="1" hidden="1"/>
  </cols>
  <sheetData>
    <row r="1" spans="1:40" ht="40.049999999999997" customHeight="1" thickBot="1">
      <c r="D1" s="17"/>
      <c r="E1" s="17"/>
      <c r="F1" s="17"/>
      <c r="G1" s="17"/>
      <c r="H1" s="408" t="str">
        <f>Idiomas!D496</f>
        <v>Dia seleccionado en "Daily Prediction"</v>
      </c>
      <c r="I1" s="762">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5" customHeight="1" thickBot="1">
      <c r="D3" s="19"/>
      <c r="E3" s="449" t="str">
        <f>Idiomas!D479</f>
        <v>Pos</v>
      </c>
      <c r="F3" s="449" t="str">
        <f>Idiomas!D480</f>
        <v>Nombre</v>
      </c>
      <c r="G3" s="449" t="str">
        <f>Idiomas!D481</f>
        <v>Puntos Día / Eliminatoria</v>
      </c>
      <c r="H3" s="449" t="str" cm="1">
        <f t="array" aca="1" ref="H3:AM3" ca="1">TRANSPOSE($B$4:$B$35)</f>
        <v>México-Sudáfrica
 (1|2-0)</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Alejandro Lafuente</v>
      </c>
      <c r="G4" s="22">
        <f ca="1">IFERROR(HLOOKUP(C4,Rango_Admin_DailyClas,4,FALSE),"-")</f>
        <v>4</v>
      </c>
      <c r="H4" s="429">
        <f ca="1">IFERROR(VLOOKUP(H$2,Rango_Admin_DailyPred,MATCH($F4,Rango_Admin_DailyPred_Primera,0)+1,0),"-")</f>
        <v>4</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Jaime Lafuente</v>
      </c>
      <c r="G5" s="22">
        <f ca="1">IFERROR(HLOOKUP(C5,Rango_Admin_DailyClas,4,FALSE),"-")</f>
        <v>4</v>
      </c>
      <c r="H5" s="429">
        <f ca="1">IFERROR(VLOOKUP(H$2,Rango_Admin_DailyPred,MATCH($F5,Rango_Admin_DailyPred_Primera,0)+1,0),"-")</f>
        <v>4</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Pastor</v>
      </c>
      <c r="G6" s="22">
        <f ca="1">IFERROR(HLOOKUP(C6,Rango_Admin_DailyClas,4,FALSE),"-")</f>
        <v>4</v>
      </c>
      <c r="H6" s="429">
        <f ca="1">IFERROR(VLOOKUP(H$2,Rango_Admin_DailyPred,MATCH($F6,Rango_Admin_DailyPred_Primera,0)+1,0),"-")</f>
        <v>4</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Jaime García de la Riva</v>
      </c>
      <c r="G7" s="22">
        <f ca="1">IFERROR(HLOOKUP(C7,Rango_Admin_DailyClas,4,FALSE),"-")</f>
        <v>4</v>
      </c>
      <c r="H7" s="429">
        <f ca="1">IFERROR(VLOOKUP(H$2,Rango_Admin_DailyPred,MATCH($F7,Rango_Admin_DailyPred_Primera,0)+1,0),"-")</f>
        <v>4</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Antonio Zulueta Ramos</v>
      </c>
      <c r="G8" s="22">
        <f ca="1">IFERROR(HLOOKUP(C8,Rango_Admin_DailyClas,4,FALSE),"-")</f>
        <v>4</v>
      </c>
      <c r="H8" s="429">
        <f ca="1">IFERROR(VLOOKUP(H$2,Rango_Admin_DailyPred,MATCH($F8,Rango_Admin_DailyPred_Primera,0)+1,0),"-")</f>
        <v>4</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Carlos Murciano</v>
      </c>
      <c r="G9" s="22">
        <f ca="1">IFERROR(HLOOKUP(C9,Rango_Admin_DailyClas,4,FALSE),"-")</f>
        <v>4</v>
      </c>
      <c r="H9" s="429">
        <f ca="1">IFERROR(VLOOKUP(H$2,Rango_Admin_DailyPred,MATCH($F9,Rango_Admin_DailyPred_Primera,0)+1,0),"-")</f>
        <v>4</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Fercho Muro Matosex</v>
      </c>
      <c r="G10" s="22">
        <f ca="1">IFERROR(HLOOKUP(C10,Rango_Admin_DailyClas,4,FALSE),"-")</f>
        <v>4</v>
      </c>
      <c r="H10" s="429">
        <f ca="1">IFERROR(VLOOKUP(H$2,Rango_Admin_DailyPred,MATCH($F10,Rango_Admin_DailyPred_Primera,0)+1,0),"-")</f>
        <v>4</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JCU</v>
      </c>
      <c r="G11" s="22">
        <f ca="1">IFERROR(HLOOKUP(C11,Rango_Admin_DailyClas,4,FALSE),"-")</f>
        <v>4</v>
      </c>
      <c r="H11" s="429">
        <f ca="1">IFERROR(VLOOKUP(H$2,Rango_Admin_DailyPred,MATCH($F11,Rango_Admin_DailyPred_Primera,0)+1,0),"-")</f>
        <v>4</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Joserra</v>
      </c>
      <c r="G12" s="22">
        <f ca="1">IFERROR(HLOOKUP(C12,Rango_Admin_DailyClas,4,FALSE),"-")</f>
        <v>4</v>
      </c>
      <c r="H12" s="429">
        <f ca="1">IFERROR(VLOOKUP(H$2,Rango_Admin_DailyPred,MATCH($F12,Rango_Admin_DailyPred_Primera,0)+1,0),"-")</f>
        <v>4</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Antonio del Ojo</v>
      </c>
      <c r="G13" s="22">
        <f ca="1">IFERROR(HLOOKUP(C13,Rango_Admin_DailyClas,4,FALSE),"-")</f>
        <v>4</v>
      </c>
      <c r="H13" s="429">
        <f ca="1">IFERROR(VLOOKUP(H$2,Rango_Admin_DailyPred,MATCH($F13,Rango_Admin_DailyPred_Primera,0)+1,0),"-")</f>
        <v>4</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MURO 204</v>
      </c>
      <c r="G14" s="22">
        <f ca="1">IFERROR(HLOOKUP(C14,Rango_Admin_DailyClas,4,FALSE),"-")</f>
        <v>4</v>
      </c>
      <c r="H14" s="429">
        <f ca="1">IFERROR(VLOOKUP(H$2,Rango_Admin_DailyPred,MATCH($F14,Rango_Admin_DailyPred_Primera,0)+1,0),"-")</f>
        <v>4</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Miguel San Martín</v>
      </c>
      <c r="G15" s="22">
        <f ca="1">IFERROR(HLOOKUP(C15,Rango_Admin_DailyClas,4,FALSE),"-")</f>
        <v>4</v>
      </c>
      <c r="H15" s="429">
        <f ca="1">IFERROR(VLOOKUP(H$2,Rango_Admin_DailyPred,MATCH($F15,Rango_Admin_DailyPred_Primera,0)+1,0),"-")</f>
        <v>4</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Florentino Netanyahu</v>
      </c>
      <c r="G16" s="22">
        <f ca="1">IFERROR(HLOOKUP(C16,Rango_Admin_DailyClas,4,FALSE),"-")</f>
        <v>4</v>
      </c>
      <c r="H16" s="429">
        <f ca="1">IFERROR(VLOOKUP(H$2,Rango_Admin_DailyPred,MATCH($F16,Rango_Admin_DailyPred_Primera,0)+1,0),"-")</f>
        <v>4</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Lucas Oriol</v>
      </c>
      <c r="G17" s="22">
        <f ca="1">IFERROR(HLOOKUP(C17,Rango_Admin_DailyClas,4,FALSE),"-")</f>
        <v>4</v>
      </c>
      <c r="H17" s="429">
        <f ca="1">IFERROR(VLOOKUP(H$2,Rango_Admin_DailyPred,MATCH($F17,Rango_Admin_DailyPred_Primera,0)+1,0),"-")</f>
        <v>4</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YTD</v>
      </c>
      <c r="G18" s="22">
        <f ca="1">IFERROR(HLOOKUP(C18,Rango_Admin_DailyClas,4,FALSE),"-")</f>
        <v>4</v>
      </c>
      <c r="H18" s="429">
        <f ca="1">IFERROR(VLOOKUP(H$2,Rango_Admin_DailyPred,MATCH($F18,Rango_Admin_DailyPred_Primera,0)+1,0),"-")</f>
        <v>4</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Fernando Carlos García-Ramos Redondo</v>
      </c>
      <c r="G19" s="22">
        <f ca="1">IFERROR(HLOOKUP(C19,Rango_Admin_DailyClas,4,FALSE),"-")</f>
        <v>4</v>
      </c>
      <c r="H19" s="429">
        <f ca="1">IFERROR(VLOOKUP(H$2,Rango_Admin_DailyPred,MATCH($F19,Rango_Admin_DailyPred_Primera,0)+1,0),"-")</f>
        <v>4</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Gratacós</v>
      </c>
      <c r="G20" s="22">
        <f ca="1">IFERROR(HLOOKUP(C20,Rango_Admin_DailyClas,4,FALSE),"-")</f>
        <v>4</v>
      </c>
      <c r="H20" s="429">
        <f ca="1">IFERROR(VLOOKUP(H$2,Rango_Admin_DailyPred,MATCH($F20,Rango_Admin_DailyPred_Primera,0)+1,0),"-")</f>
        <v>4</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IGNACIO LAFUENTE</v>
      </c>
      <c r="G21" s="22">
        <f ca="1">IFERROR(HLOOKUP(C21,Rango_Admin_DailyClas,4,FALSE),"-")</f>
        <v>4</v>
      </c>
      <c r="H21" s="429">
        <f ca="1">IFERROR(VLOOKUP(H$2,Rango_Admin_DailyPred,MATCH($F21,Rango_Admin_DailyPred_Primera,0)+1,0),"-")</f>
        <v>4</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DIDI</v>
      </c>
      <c r="G22" s="22">
        <f ca="1">IFERROR(HLOOKUP(C22,Rango_Admin_DailyClas,4,FALSE),"-")</f>
        <v>4</v>
      </c>
      <c r="H22" s="429">
        <f ca="1">IFERROR(VLOOKUP(H$2,Rango_Admin_DailyPred,MATCH($F22,Rango_Admin_DailyPred_Primera,0)+1,0),"-")</f>
        <v>4</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 xml:space="preserve">Ignacio Núñez </v>
      </c>
      <c r="G23" s="22">
        <f ca="1">IFERROR(HLOOKUP(C23,Rango_Admin_DailyClas,4,FALSE),"-")</f>
        <v>4</v>
      </c>
      <c r="H23" s="429">
        <f ca="1">IFERROR(VLOOKUP(H$2,Rango_Admin_DailyPred,MATCH($F23,Rango_Admin_DailyPred_Primera,0)+1,0),"-")</f>
        <v>4</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21</v>
      </c>
      <c r="F24" s="448" t="str">
        <f ca="1">IFERROR(HLOOKUP(C24,Rango_Admin_DailyClas,5,FALSE),"-")</f>
        <v>Kurtischamp</v>
      </c>
      <c r="G24" s="22">
        <f ca="1">IFERROR(HLOOKUP(C24,Rango_Admin_DailyClas,4,FALSE),"-")</f>
        <v>2</v>
      </c>
      <c r="H24" s="429">
        <f ca="1">IFERROR(VLOOKUP(H$2,Rango_Admin_DailyPred,MATCH($F24,Rango_Admin_DailyPred_Primera,0)+1,0),"-")</f>
        <v>2</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21</v>
      </c>
      <c r="F25" s="448" t="str">
        <f ca="1">IFERROR(HLOOKUP(C25,Rango_Admin_DailyClas,5,FALSE),"-")</f>
        <v>AD Monchus</v>
      </c>
      <c r="G25" s="22">
        <f ca="1">IFERROR(HLOOKUP(C25,Rango_Admin_DailyClas,4,FALSE),"-")</f>
        <v>2</v>
      </c>
      <c r="H25" s="429">
        <f ca="1">IFERROR(VLOOKUP(H$2,Rango_Admin_DailyPred,MATCH($F25,Rango_Admin_DailyPred_Primera,0)+1,0),"-")</f>
        <v>2</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21</v>
      </c>
      <c r="F26" s="448" t="str">
        <f ca="1">IFERROR(HLOOKUP(C26,Rango_Admin_DailyClas,5,FALSE),"-")</f>
        <v xml:space="preserve">Martín Matoses </v>
      </c>
      <c r="G26" s="22">
        <f ca="1">IFERROR(HLOOKUP(C26,Rango_Admin_DailyClas,4,FALSE),"-")</f>
        <v>2</v>
      </c>
      <c r="H26" s="429">
        <f ca="1">IFERROR(VLOOKUP(H$2,Rango_Admin_DailyPred,MATCH($F26,Rango_Admin_DailyPred_Primera,0)+1,0),"-")</f>
        <v>2</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Admin</v>
      </c>
      <c r="G27" s="22">
        <f ca="1">IFERROR(HLOOKUP(C27,Rango_Admin_DailyClas,4,FALSE),"-")</f>
        <v>1</v>
      </c>
      <c r="H27" s="429">
        <f ca="1">IFERROR(VLOOKUP(H$2,Rango_Admin_DailyPred,MATCH($F27,Rango_Admin_DailyPred_Primera,0)+1,0),"-")</f>
        <v>1</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Luis B</v>
      </c>
      <c r="G28" s="22">
        <f ca="1">IFERROR(HLOOKUP(C28,Rango_Admin_DailyClas,4,FALSE),"-")</f>
        <v>1</v>
      </c>
      <c r="H28" s="429">
        <f ca="1">IFERROR(VLOOKUP(H$2,Rango_Admin_DailyPred,MATCH($F28,Rango_Admin_DailyPred_Primera,0)+1,0),"-")</f>
        <v>1</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24</v>
      </c>
      <c r="F29" s="448" t="str">
        <f ca="1">IFERROR(HLOOKUP(C29,Rango_Admin_DailyClas,5,FALSE),"-")</f>
        <v>Nacho Novo</v>
      </c>
      <c r="G29" s="22">
        <f ca="1">IFERROR(HLOOKUP(C29,Rango_Admin_DailyClas,4,FALSE),"-")</f>
        <v>1</v>
      </c>
      <c r="H29" s="429">
        <f ca="1">IFERROR(VLOOKUP(H$2,Rango_Admin_DailyPred,MATCH($F29,Rango_Admin_DailyPred_Primera,0)+1,0),"-")</f>
        <v>1</v>
      </c>
      <c r="I29" s="429" t="str">
        <f ca="1">IFERROR(VLOOKUP(I$2,Rango_Admin_DailyPred,MATCH($F29,Rango_Admin_DailyPred_Primera,0)+1,0),"-")</f>
        <v>-</v>
      </c>
      <c r="J29" s="429" t="str">
        <f ca="1">IFERROR(VLOOKUP(J$2,Rango_Admin_DailyPred,MATCH($F29,Rango_Admin_DailyPred_Primera,0)+1,0),"-")</f>
        <v>-</v>
      </c>
      <c r="K29" s="429" t="str">
        <f ca="1">IFERROR(VLOOKUP(K$2,Rango_Admin_DailyPred,MATCH($F29,Rango_Admin_DailyPred_Primera,0)+1,0),"-")</f>
        <v>-</v>
      </c>
      <c r="L29" s="429" t="str">
        <f ca="1">IFERROR(VLOOKUP(L$2,Rango_Admin_DailyPred,MATCH($F29,Rango_Admin_DailyPred_Primera,0)+1,0),"-")</f>
        <v>-</v>
      </c>
      <c r="M29" s="429" t="str">
        <f ca="1">IFERROR(VLOOKUP(M$2,Rango_Admin_DailyPred,MATCH($F29,Rango_Admin_DailyPred_Primera,0)+1,0),"-")</f>
        <v>-</v>
      </c>
      <c r="N29" s="429" t="str">
        <f ca="1">IFERROR(VLOOKUP(N$2,Rango_Admin_DailyPred,MATCH($F29,Rango_Admin_DailyPred_Primera,0)+1,0),"-")</f>
        <v>-</v>
      </c>
      <c r="O29" s="429" t="str">
        <f ca="1">IFERROR(VLOOKUP(O$2,Rango_Admin_DailyPred,MATCH($F29,Rango_Admin_DailyPred_Primera,0)+1,0),"-")</f>
        <v>-</v>
      </c>
      <c r="P29" s="429" t="str">
        <f ca="1">IFERROR(VLOOKUP(P$2,Rango_Admin_DailyPred,MATCH($F29,Rango_Admin_DailyPred_Primera,0)+1,0),"-")</f>
        <v>-</v>
      </c>
      <c r="Q29" s="429" t="str">
        <f ca="1">IFERROR(VLOOKUP(Q$2,Rango_Admin_DailyPred,MATCH($F29,Rango_Admin_DailyPred_Primera,0)+1,0),"-")</f>
        <v>-</v>
      </c>
      <c r="R29" s="429" t="str">
        <f ca="1">IFERROR(VLOOKUP(R$2,Rango_Admin_DailyPred,MATCH($F29,Rango_Admin_DailyPred_Primera,0)+1,0),"-")</f>
        <v>-</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24</v>
      </c>
      <c r="F30" s="448" t="str">
        <f ca="1">IFERROR(HLOOKUP(C30,Rango_Admin_DailyClas,5,FALSE),"-")</f>
        <v>Chente Muñoz</v>
      </c>
      <c r="G30" s="22">
        <f ca="1">IFERROR(HLOOKUP(C30,Rango_Admin_DailyClas,4,FALSE),"-")</f>
        <v>1</v>
      </c>
      <c r="H30" s="429">
        <f ca="1">IFERROR(VLOOKUP(H$2,Rango_Admin_DailyPred,MATCH($F30,Rango_Admin_DailyPred_Primera,0)+1,0),"-")</f>
        <v>1</v>
      </c>
      <c r="I30" s="429" t="str">
        <f ca="1">IFERROR(VLOOKUP(I$2,Rango_Admin_DailyPred,MATCH($F30,Rango_Admin_DailyPred_Primera,0)+1,0),"-")</f>
        <v>-</v>
      </c>
      <c r="J30" s="429" t="str">
        <f ca="1">IFERROR(VLOOKUP(J$2,Rango_Admin_DailyPred,MATCH($F30,Rango_Admin_DailyPred_Primera,0)+1,0),"-")</f>
        <v>-</v>
      </c>
      <c r="K30" s="429" t="str">
        <f ca="1">IFERROR(VLOOKUP(K$2,Rango_Admin_DailyPred,MATCH($F30,Rango_Admin_DailyPred_Primera,0)+1,0),"-")</f>
        <v>-</v>
      </c>
      <c r="L30" s="429" t="str">
        <f ca="1">IFERROR(VLOOKUP(L$2,Rango_Admin_DailyPred,MATCH($F30,Rango_Admin_DailyPred_Primera,0)+1,0),"-")</f>
        <v>-</v>
      </c>
      <c r="M30" s="429" t="str">
        <f ca="1">IFERROR(VLOOKUP(M$2,Rango_Admin_DailyPred,MATCH($F30,Rango_Admin_DailyPred_Primera,0)+1,0),"-")</f>
        <v>-</v>
      </c>
      <c r="N30" s="429" t="str">
        <f ca="1">IFERROR(VLOOKUP(N$2,Rango_Admin_DailyPred,MATCH($F30,Rango_Admin_DailyPred_Primera,0)+1,0),"-")</f>
        <v>-</v>
      </c>
      <c r="O30" s="429" t="str">
        <f ca="1">IFERROR(VLOOKUP(O$2,Rango_Admin_DailyPred,MATCH($F30,Rango_Admin_DailyPred_Primera,0)+1,0),"-")</f>
        <v>-</v>
      </c>
      <c r="P30" s="429" t="str">
        <f ca="1">IFERROR(VLOOKUP(P$2,Rango_Admin_DailyPred,MATCH($F30,Rango_Admin_DailyPred_Primera,0)+1,0),"-")</f>
        <v>-</v>
      </c>
      <c r="Q30" s="429" t="str">
        <f ca="1">IFERROR(VLOOKUP(Q$2,Rango_Admin_DailyPred,MATCH($F30,Rango_Admin_DailyPred_Primera,0)+1,0),"-")</f>
        <v>-</v>
      </c>
      <c r="R30" s="429" t="str">
        <f ca="1">IFERROR(VLOOKUP(R$2,Rango_Admin_DailyPred,MATCH($F30,Rango_Admin_DailyPred_Primera,0)+1,0),"-")</f>
        <v>-</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24</v>
      </c>
      <c r="F31" s="448" t="str">
        <f ca="1">IFERROR(HLOOKUP(C31,Rango_Admin_DailyClas,5,FALSE),"-")</f>
        <v>Guillermo Murciano</v>
      </c>
      <c r="G31" s="22">
        <f ca="1">IFERROR(HLOOKUP(C31,Rango_Admin_DailyClas,4,FALSE),"-")</f>
        <v>1</v>
      </c>
      <c r="H31" s="429">
        <f ca="1">IFERROR(VLOOKUP(H$2,Rango_Admin_DailyPred,MATCH($F31,Rango_Admin_DailyPred_Primera,0)+1,0),"-")</f>
        <v>1</v>
      </c>
      <c r="I31" s="429" t="str">
        <f ca="1">IFERROR(VLOOKUP(I$2,Rango_Admin_DailyPred,MATCH($F31,Rango_Admin_DailyPred_Primera,0)+1,0),"-")</f>
        <v>-</v>
      </c>
      <c r="J31" s="429" t="str">
        <f ca="1">IFERROR(VLOOKUP(J$2,Rango_Admin_DailyPred,MATCH($F31,Rango_Admin_DailyPred_Primera,0)+1,0),"-")</f>
        <v>-</v>
      </c>
      <c r="K31" s="429" t="str">
        <f ca="1">IFERROR(VLOOKUP(K$2,Rango_Admin_DailyPred,MATCH($F31,Rango_Admin_DailyPred_Primera,0)+1,0),"-")</f>
        <v>-</v>
      </c>
      <c r="L31" s="429" t="str">
        <f ca="1">IFERROR(VLOOKUP(L$2,Rango_Admin_DailyPred,MATCH($F31,Rango_Admin_DailyPred_Primera,0)+1,0),"-")</f>
        <v>-</v>
      </c>
      <c r="M31" s="429" t="str">
        <f ca="1">IFERROR(VLOOKUP(M$2,Rango_Admin_DailyPred,MATCH($F31,Rango_Admin_DailyPred_Primera,0)+1,0),"-")</f>
        <v>-</v>
      </c>
      <c r="N31" s="429" t="str">
        <f ca="1">IFERROR(VLOOKUP(N$2,Rango_Admin_DailyPred,MATCH($F31,Rango_Admin_DailyPred_Primera,0)+1,0),"-")</f>
        <v>-</v>
      </c>
      <c r="O31" s="429" t="str">
        <f ca="1">IFERROR(VLOOKUP(O$2,Rango_Admin_DailyPred,MATCH($F31,Rango_Admin_DailyPred_Primera,0)+1,0),"-")</f>
        <v>-</v>
      </c>
      <c r="P31" s="429" t="str">
        <f ca="1">IFERROR(VLOOKUP(P$2,Rango_Admin_DailyPred,MATCH($F31,Rango_Admin_DailyPred_Primera,0)+1,0),"-")</f>
        <v>-</v>
      </c>
      <c r="Q31" s="429" t="str">
        <f ca="1">IFERROR(VLOOKUP(Q$2,Rango_Admin_DailyPred,MATCH($F31,Rango_Admin_DailyPred_Primera,0)+1,0),"-")</f>
        <v>-</v>
      </c>
      <c r="R31" s="429" t="str">
        <f ca="1">IFERROR(VLOOKUP(R$2,Rango_Admin_DailyPred,MATCH($F31,Rango_Admin_DailyPred_Primera,0)+1,0),"-")</f>
        <v>-</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24</v>
      </c>
      <c r="F32" s="448" t="str">
        <f ca="1">IFERROR(HLOOKUP(C32,Rango_Admin_DailyClas,5,FALSE),"-")</f>
        <v>Ignacio de Lecea</v>
      </c>
      <c r="G32" s="22">
        <f ca="1">IFERROR(HLOOKUP(C32,Rango_Admin_DailyClas,4,FALSE),"-")</f>
        <v>1</v>
      </c>
      <c r="H32" s="429">
        <f ca="1">IFERROR(VLOOKUP(H$2,Rango_Admin_DailyPred,MATCH($F32,Rango_Admin_DailyPred_Primera,0)+1,0),"-")</f>
        <v>1</v>
      </c>
      <c r="I32" s="429" t="str">
        <f ca="1">IFERROR(VLOOKUP(I$2,Rango_Admin_DailyPred,MATCH($F32,Rango_Admin_DailyPred_Primera,0)+1,0),"-")</f>
        <v>-</v>
      </c>
      <c r="J32" s="429" t="str">
        <f ca="1">IFERROR(VLOOKUP(J$2,Rango_Admin_DailyPred,MATCH($F32,Rango_Admin_DailyPred_Primera,0)+1,0),"-")</f>
        <v>-</v>
      </c>
      <c r="K32" s="429" t="str">
        <f ca="1">IFERROR(VLOOKUP(K$2,Rango_Admin_DailyPred,MATCH($F32,Rango_Admin_DailyPred_Primera,0)+1,0),"-")</f>
        <v>-</v>
      </c>
      <c r="L32" s="429" t="str">
        <f ca="1">IFERROR(VLOOKUP(L$2,Rango_Admin_DailyPred,MATCH($F32,Rango_Admin_DailyPred_Primera,0)+1,0),"-")</f>
        <v>-</v>
      </c>
      <c r="M32" s="429" t="str">
        <f ca="1">IFERROR(VLOOKUP(M$2,Rango_Admin_DailyPred,MATCH($F32,Rango_Admin_DailyPred_Primera,0)+1,0),"-")</f>
        <v>-</v>
      </c>
      <c r="N32" s="429" t="str">
        <f ca="1">IFERROR(VLOOKUP(N$2,Rango_Admin_DailyPred,MATCH($F32,Rango_Admin_DailyPred_Primera,0)+1,0),"-")</f>
        <v>-</v>
      </c>
      <c r="O32" s="429" t="str">
        <f ca="1">IFERROR(VLOOKUP(O$2,Rango_Admin_DailyPred,MATCH($F32,Rango_Admin_DailyPred_Primera,0)+1,0),"-")</f>
        <v>-</v>
      </c>
      <c r="P32" s="429" t="str">
        <f ca="1">IFERROR(VLOOKUP(P$2,Rango_Admin_DailyPred,MATCH($F32,Rango_Admin_DailyPred_Primera,0)+1,0),"-")</f>
        <v>-</v>
      </c>
      <c r="Q32" s="429" t="str">
        <f ca="1">IFERROR(VLOOKUP(Q$2,Rango_Admin_DailyPred,MATCH($F32,Rango_Admin_DailyPred_Primera,0)+1,0),"-")</f>
        <v>-</v>
      </c>
      <c r="R32" s="429" t="str">
        <f ca="1">IFERROR(VLOOKUP(R$2,Rango_Admin_DailyPred,MATCH($F32,Rango_Admin_DailyPred_Primera,0)+1,0),"-")</f>
        <v>-</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24</v>
      </c>
      <c r="F33" s="448" t="str">
        <f ca="1">IFERROR(HLOOKUP(C33,Rango_Admin_DailyClas,5,FALSE),"-")</f>
        <v>Hulk Rexach</v>
      </c>
      <c r="G33" s="22">
        <f ca="1">IFERROR(HLOOKUP(C33,Rango_Admin_DailyClas,4,FALSE),"-")</f>
        <v>1</v>
      </c>
      <c r="H33" s="429">
        <f ca="1">IFERROR(VLOOKUP(H$2,Rango_Admin_DailyPred,MATCH($F33,Rango_Admin_DailyPred_Primera,0)+1,0),"-")</f>
        <v>1</v>
      </c>
      <c r="I33" s="429" t="str">
        <f ca="1">IFERROR(VLOOKUP(I$2,Rango_Admin_DailyPred,MATCH($F33,Rango_Admin_DailyPred_Primera,0)+1,0),"-")</f>
        <v>-</v>
      </c>
      <c r="J33" s="429" t="str">
        <f ca="1">IFERROR(VLOOKUP(J$2,Rango_Admin_DailyPred,MATCH($F33,Rango_Admin_DailyPred_Primera,0)+1,0),"-")</f>
        <v>-</v>
      </c>
      <c r="K33" s="429" t="str">
        <f ca="1">IFERROR(VLOOKUP(K$2,Rango_Admin_DailyPred,MATCH($F33,Rango_Admin_DailyPred_Primera,0)+1,0),"-")</f>
        <v>-</v>
      </c>
      <c r="L33" s="429" t="str">
        <f ca="1">IFERROR(VLOOKUP(L$2,Rango_Admin_DailyPred,MATCH($F33,Rango_Admin_DailyPred_Primera,0)+1,0),"-")</f>
        <v>-</v>
      </c>
      <c r="M33" s="429" t="str">
        <f ca="1">IFERROR(VLOOKUP(M$2,Rango_Admin_DailyPred,MATCH($F33,Rango_Admin_DailyPred_Primera,0)+1,0),"-")</f>
        <v>-</v>
      </c>
      <c r="N33" s="429" t="str">
        <f ca="1">IFERROR(VLOOKUP(N$2,Rango_Admin_DailyPred,MATCH($F33,Rango_Admin_DailyPred_Primera,0)+1,0),"-")</f>
        <v>-</v>
      </c>
      <c r="O33" s="429" t="str">
        <f ca="1">IFERROR(VLOOKUP(O$2,Rango_Admin_DailyPred,MATCH($F33,Rango_Admin_DailyPred_Primera,0)+1,0),"-")</f>
        <v>-</v>
      </c>
      <c r="P33" s="429" t="str">
        <f ca="1">IFERROR(VLOOKUP(P$2,Rango_Admin_DailyPred,MATCH($F33,Rango_Admin_DailyPred_Primera,0)+1,0),"-")</f>
        <v>-</v>
      </c>
      <c r="Q33" s="429" t="str">
        <f ca="1">IFERROR(VLOOKUP(Q$2,Rango_Admin_DailyPred,MATCH($F33,Rango_Admin_DailyPred_Primera,0)+1,0),"-")</f>
        <v>-</v>
      </c>
      <c r="R33" s="429" t="str">
        <f ca="1">IFERROR(VLOOKUP(R$2,Rango_Admin_DailyPred,MATCH($F33,Rango_Admin_DailyPred_Primera,0)+1,0),"-")</f>
        <v>-</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24</v>
      </c>
      <c r="F34" s="448" t="str">
        <f ca="1">IFERROR(HLOOKUP(C34,Rango_Admin_DailyClas,5,FALSE),"-")</f>
        <v>bau</v>
      </c>
      <c r="G34" s="22">
        <f ca="1">IFERROR(HLOOKUP(C34,Rango_Admin_DailyClas,4,FALSE),"-")</f>
        <v>1</v>
      </c>
      <c r="H34" s="429">
        <f ca="1">IFERROR(VLOOKUP(H$2,Rango_Admin_DailyPred,MATCH($F34,Rango_Admin_DailyPred_Primera,0)+1,0),"-")</f>
        <v>1</v>
      </c>
      <c r="I34" s="429" t="str">
        <f ca="1">IFERROR(VLOOKUP(I$2,Rango_Admin_DailyPred,MATCH($F34,Rango_Admin_DailyPred_Primera,0)+1,0),"-")</f>
        <v>-</v>
      </c>
      <c r="J34" s="429" t="str">
        <f ca="1">IFERROR(VLOOKUP(J$2,Rango_Admin_DailyPred,MATCH($F34,Rango_Admin_DailyPred_Primera,0)+1,0),"-")</f>
        <v>-</v>
      </c>
      <c r="K34" s="429" t="str">
        <f ca="1">IFERROR(VLOOKUP(K$2,Rango_Admin_DailyPred,MATCH($F34,Rango_Admin_DailyPred_Primera,0)+1,0),"-")</f>
        <v>-</v>
      </c>
      <c r="L34" s="429" t="str">
        <f ca="1">IFERROR(VLOOKUP(L$2,Rango_Admin_DailyPred,MATCH($F34,Rango_Admin_DailyPred_Primera,0)+1,0),"-")</f>
        <v>-</v>
      </c>
      <c r="M34" s="429" t="str">
        <f ca="1">IFERROR(VLOOKUP(M$2,Rango_Admin_DailyPred,MATCH($F34,Rango_Admin_DailyPred_Primera,0)+1,0),"-")</f>
        <v>-</v>
      </c>
      <c r="N34" s="429" t="str">
        <f ca="1">IFERROR(VLOOKUP(N$2,Rango_Admin_DailyPred,MATCH($F34,Rango_Admin_DailyPred_Primera,0)+1,0),"-")</f>
        <v>-</v>
      </c>
      <c r="O34" s="429" t="str">
        <f ca="1">IFERROR(VLOOKUP(O$2,Rango_Admin_DailyPred,MATCH($F34,Rango_Admin_DailyPred_Primera,0)+1,0),"-")</f>
        <v>-</v>
      </c>
      <c r="P34" s="429" t="str">
        <f ca="1">IFERROR(VLOOKUP(P$2,Rango_Admin_DailyPred,MATCH($F34,Rango_Admin_DailyPred_Primera,0)+1,0),"-")</f>
        <v>-</v>
      </c>
      <c r="Q34" s="429" t="str">
        <f ca="1">IFERROR(VLOOKUP(Q$2,Rango_Admin_DailyPred,MATCH($F34,Rango_Admin_DailyPred_Primera,0)+1,0),"-")</f>
        <v>-</v>
      </c>
      <c r="R34" s="429" t="str">
        <f ca="1">IFERROR(VLOOKUP(R$2,Rango_Admin_DailyPred,MATCH($F34,Rango_Admin_DailyPred_Primera,0)+1,0),"-")</f>
        <v>-</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24</v>
      </c>
      <c r="F35" s="448" t="str">
        <f ca="1">IFERROR(HLOOKUP(C35,Rango_Admin_DailyClas,5,FALSE),"-")</f>
        <v>William Hartley</v>
      </c>
      <c r="G35" s="22">
        <f ca="1">IFERROR(HLOOKUP(C35,Rango_Admin_DailyClas,4,FALSE),"-")</f>
        <v>1</v>
      </c>
      <c r="H35" s="429">
        <f ca="1">IFERROR(VLOOKUP(H$2,Rango_Admin_DailyPred,MATCH($F35,Rango_Admin_DailyPred_Primera,0)+1,0),"-")</f>
        <v>1</v>
      </c>
      <c r="I35" s="429" t="str">
        <f ca="1">IFERROR(VLOOKUP(I$2,Rango_Admin_DailyPred,MATCH($F35,Rango_Admin_DailyPred_Primera,0)+1,0),"-")</f>
        <v>-</v>
      </c>
      <c r="J35" s="429" t="str">
        <f ca="1">IFERROR(VLOOKUP(J$2,Rango_Admin_DailyPred,MATCH($F35,Rango_Admin_DailyPred_Primera,0)+1,0),"-")</f>
        <v>-</v>
      </c>
      <c r="K35" s="429" t="str">
        <f ca="1">IFERROR(VLOOKUP(K$2,Rango_Admin_DailyPred,MATCH($F35,Rango_Admin_DailyPred_Primera,0)+1,0),"-")</f>
        <v>-</v>
      </c>
      <c r="L35" s="429" t="str">
        <f ca="1">IFERROR(VLOOKUP(L$2,Rango_Admin_DailyPred,MATCH($F35,Rango_Admin_DailyPred_Primera,0)+1,0),"-")</f>
        <v>-</v>
      </c>
      <c r="M35" s="429" t="str">
        <f ca="1">IFERROR(VLOOKUP(M$2,Rango_Admin_DailyPred,MATCH($F35,Rango_Admin_DailyPred_Primera,0)+1,0),"-")</f>
        <v>-</v>
      </c>
      <c r="N35" s="429" t="str">
        <f ca="1">IFERROR(VLOOKUP(N$2,Rango_Admin_DailyPred,MATCH($F35,Rango_Admin_DailyPred_Primera,0)+1,0),"-")</f>
        <v>-</v>
      </c>
      <c r="O35" s="429" t="str">
        <f ca="1">IFERROR(VLOOKUP(O$2,Rango_Admin_DailyPred,MATCH($F35,Rango_Admin_DailyPred_Primera,0)+1,0),"-")</f>
        <v>-</v>
      </c>
      <c r="P35" s="429" t="str">
        <f ca="1">IFERROR(VLOOKUP(P$2,Rango_Admin_DailyPred,MATCH($F35,Rango_Admin_DailyPred_Primera,0)+1,0),"-")</f>
        <v>-</v>
      </c>
      <c r="Q35" s="429" t="str">
        <f ca="1">IFERROR(VLOOKUP(Q$2,Rango_Admin_DailyPred,MATCH($F35,Rango_Admin_DailyPred_Primera,0)+1,0),"-")</f>
        <v>-</v>
      </c>
      <c r="R35" s="429" t="str">
        <f ca="1">IFERROR(VLOOKUP(R$2,Rango_Admin_DailyPred,MATCH($F35,Rango_Admin_DailyPred_Primera,0)+1,0),"-")</f>
        <v>-</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c r="A36" s="8"/>
      <c r="B36" s="8"/>
      <c r="C36" s="8">
        <v>33</v>
      </c>
      <c r="D36" s="19"/>
      <c r="E36" s="409">
        <f ca="1">IFERROR(HLOOKUP(C36,Rango_Admin_DailyClas,3,FALSE),"-")</f>
        <v>24</v>
      </c>
      <c r="F36" s="448" t="str">
        <f ca="1">IFERROR(HLOOKUP(C36,Rango_Admin_DailyClas,5,FALSE),"-")</f>
        <v>KIRICOCHO</v>
      </c>
      <c r="G36" s="22">
        <f ca="1">IFERROR(HLOOKUP(C36,Rango_Admin_DailyClas,4,FALSE),"-")</f>
        <v>1</v>
      </c>
      <c r="H36" s="429">
        <f ca="1">IFERROR(VLOOKUP(H$2,Rango_Admin_DailyPred,MATCH($F36,Rango_Admin_DailyPred_Primera,0)+1,0),"-")</f>
        <v>1</v>
      </c>
      <c r="I36" s="429" t="str">
        <f ca="1">IFERROR(VLOOKUP(I$2,Rango_Admin_DailyPred,MATCH($F36,Rango_Admin_DailyPred_Primera,0)+1,0),"-")</f>
        <v>-</v>
      </c>
      <c r="J36" s="429" t="str">
        <f ca="1">IFERROR(VLOOKUP(J$2,Rango_Admin_DailyPred,MATCH($F36,Rango_Admin_DailyPred_Primera,0)+1,0),"-")</f>
        <v>-</v>
      </c>
      <c r="K36" s="429" t="str">
        <f ca="1">IFERROR(VLOOKUP(K$2,Rango_Admin_DailyPred,MATCH($F36,Rango_Admin_DailyPred_Primera,0)+1,0),"-")</f>
        <v>-</v>
      </c>
      <c r="L36" s="429" t="str">
        <f ca="1">IFERROR(VLOOKUP(L$2,Rango_Admin_DailyPred,MATCH($F36,Rango_Admin_DailyPred_Primera,0)+1,0),"-")</f>
        <v>-</v>
      </c>
      <c r="M36" s="429" t="str">
        <f ca="1">IFERROR(VLOOKUP(M$2,Rango_Admin_DailyPred,MATCH($F36,Rango_Admin_DailyPred_Primera,0)+1,0),"-")</f>
        <v>-</v>
      </c>
      <c r="N36" s="429" t="str">
        <f ca="1">IFERROR(VLOOKUP(N$2,Rango_Admin_DailyPred,MATCH($F36,Rango_Admin_DailyPred_Primera,0)+1,0),"-")</f>
        <v>-</v>
      </c>
      <c r="O36" s="429" t="str">
        <f ca="1">IFERROR(VLOOKUP(O$2,Rango_Admin_DailyPred,MATCH($F36,Rango_Admin_DailyPred_Primera,0)+1,0),"-")</f>
        <v>-</v>
      </c>
      <c r="P36" s="429" t="str">
        <f ca="1">IFERROR(VLOOKUP(P$2,Rango_Admin_DailyPred,MATCH($F36,Rango_Admin_DailyPred_Primera,0)+1,0),"-")</f>
        <v>-</v>
      </c>
      <c r="Q36" s="429" t="str">
        <f ca="1">IFERROR(VLOOKUP(Q$2,Rango_Admin_DailyPred,MATCH($F36,Rango_Admin_DailyPred_Primera,0)+1,0),"-")</f>
        <v>-</v>
      </c>
      <c r="R36" s="429" t="str">
        <f ca="1">IFERROR(VLOOKUP(R$2,Rango_Admin_DailyPred,MATCH($F36,Rango_Admin_DailyPred_Primera,0)+1,0),"-")</f>
        <v>-</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c r="A37" s="8"/>
      <c r="B37" s="8"/>
      <c r="C37" s="8">
        <v>34</v>
      </c>
      <c r="D37" s="19"/>
      <c r="E37" s="409">
        <f ca="1">IFERROR(HLOOKUP(C37,Rango_Admin_DailyClas,3,FALSE),"-")</f>
        <v>24</v>
      </c>
      <c r="F37" s="448" t="str">
        <f ca="1">IFERROR(HLOOKUP(C37,Rango_Admin_DailyClas,5,FALSE),"-")</f>
        <v>BeliBeltrán</v>
      </c>
      <c r="G37" s="22">
        <f ca="1">IFERROR(HLOOKUP(C37,Rango_Admin_DailyClas,4,FALSE),"-")</f>
        <v>1</v>
      </c>
      <c r="H37" s="429">
        <f ca="1">IFERROR(VLOOKUP(H$2,Rango_Admin_DailyPred,MATCH($F37,Rango_Admin_DailyPred_Primera,0)+1,0),"-")</f>
        <v>1</v>
      </c>
      <c r="I37" s="429" t="str">
        <f ca="1">IFERROR(VLOOKUP(I$2,Rango_Admin_DailyPred,MATCH($F37,Rango_Admin_DailyPred_Primera,0)+1,0),"-")</f>
        <v>-</v>
      </c>
      <c r="J37" s="429" t="str">
        <f ca="1">IFERROR(VLOOKUP(J$2,Rango_Admin_DailyPred,MATCH($F37,Rango_Admin_DailyPred_Primera,0)+1,0),"-")</f>
        <v>-</v>
      </c>
      <c r="K37" s="429" t="str">
        <f ca="1">IFERROR(VLOOKUP(K$2,Rango_Admin_DailyPred,MATCH($F37,Rango_Admin_DailyPred_Primera,0)+1,0),"-")</f>
        <v>-</v>
      </c>
      <c r="L37" s="429" t="str">
        <f ca="1">IFERROR(VLOOKUP(L$2,Rango_Admin_DailyPred,MATCH($F37,Rango_Admin_DailyPred_Primera,0)+1,0),"-")</f>
        <v>-</v>
      </c>
      <c r="M37" s="429" t="str">
        <f ca="1">IFERROR(VLOOKUP(M$2,Rango_Admin_DailyPred,MATCH($F37,Rango_Admin_DailyPred_Primera,0)+1,0),"-")</f>
        <v>-</v>
      </c>
      <c r="N37" s="429" t="str">
        <f ca="1">IFERROR(VLOOKUP(N$2,Rango_Admin_DailyPred,MATCH($F37,Rango_Admin_DailyPred_Primera,0)+1,0),"-")</f>
        <v>-</v>
      </c>
      <c r="O37" s="429" t="str">
        <f ca="1">IFERROR(VLOOKUP(O$2,Rango_Admin_DailyPred,MATCH($F37,Rango_Admin_DailyPred_Primera,0)+1,0),"-")</f>
        <v>-</v>
      </c>
      <c r="P37" s="429" t="str">
        <f ca="1">IFERROR(VLOOKUP(P$2,Rango_Admin_DailyPred,MATCH($F37,Rango_Admin_DailyPred_Primera,0)+1,0),"-")</f>
        <v>-</v>
      </c>
      <c r="Q37" s="429" t="str">
        <f ca="1">IFERROR(VLOOKUP(Q$2,Rango_Admin_DailyPred,MATCH($F37,Rango_Admin_DailyPred_Primera,0)+1,0),"-")</f>
        <v>-</v>
      </c>
      <c r="R37" s="429" t="str">
        <f ca="1">IFERROR(VLOOKUP(R$2,Rango_Admin_DailyPred,MATCH($F37,Rango_Admin_DailyPred_Primera,0)+1,0),"-")</f>
        <v>-</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c r="A38" s="8"/>
      <c r="B38" s="8"/>
      <c r="C38" s="8">
        <v>35</v>
      </c>
      <c r="D38" s="19"/>
      <c r="E38" s="409">
        <f ca="1">IFERROR(HLOOKUP(C38,Rango_Admin_DailyClas,3,FALSE),"-")</f>
        <v>24</v>
      </c>
      <c r="F38" s="448" t="str">
        <f ca="1">IFERROR(HLOOKUP(C38,Rango_Admin_DailyClas,5,FALSE),"-")</f>
        <v>Vicuinho</v>
      </c>
      <c r="G38" s="22">
        <f ca="1">IFERROR(HLOOKUP(C38,Rango_Admin_DailyClas,4,FALSE),"-")</f>
        <v>1</v>
      </c>
      <c r="H38" s="429">
        <f ca="1">IFERROR(VLOOKUP(H$2,Rango_Admin_DailyPred,MATCH($F38,Rango_Admin_DailyPred_Primera,0)+1,0),"-")</f>
        <v>1</v>
      </c>
      <c r="I38" s="429" t="str">
        <f ca="1">IFERROR(VLOOKUP(I$2,Rango_Admin_DailyPred,MATCH($F38,Rango_Admin_DailyPred_Primera,0)+1,0),"-")</f>
        <v>-</v>
      </c>
      <c r="J38" s="429" t="str">
        <f ca="1">IFERROR(VLOOKUP(J$2,Rango_Admin_DailyPred,MATCH($F38,Rango_Admin_DailyPred_Primera,0)+1,0),"-")</f>
        <v>-</v>
      </c>
      <c r="K38" s="429" t="str">
        <f ca="1">IFERROR(VLOOKUP(K$2,Rango_Admin_DailyPred,MATCH($F38,Rango_Admin_DailyPred_Primera,0)+1,0),"-")</f>
        <v>-</v>
      </c>
      <c r="L38" s="429" t="str">
        <f ca="1">IFERROR(VLOOKUP(L$2,Rango_Admin_DailyPred,MATCH($F38,Rango_Admin_DailyPred_Primera,0)+1,0),"-")</f>
        <v>-</v>
      </c>
      <c r="M38" s="429" t="str">
        <f ca="1">IFERROR(VLOOKUP(M$2,Rango_Admin_DailyPred,MATCH($F38,Rango_Admin_DailyPred_Primera,0)+1,0),"-")</f>
        <v>-</v>
      </c>
      <c r="N38" s="429" t="str">
        <f ca="1">IFERROR(VLOOKUP(N$2,Rango_Admin_DailyPred,MATCH($F38,Rango_Admin_DailyPred_Primera,0)+1,0),"-")</f>
        <v>-</v>
      </c>
      <c r="O38" s="429" t="str">
        <f ca="1">IFERROR(VLOOKUP(O$2,Rango_Admin_DailyPred,MATCH($F38,Rango_Admin_DailyPred_Primera,0)+1,0),"-")</f>
        <v>-</v>
      </c>
      <c r="P38" s="429" t="str">
        <f ca="1">IFERROR(VLOOKUP(P$2,Rango_Admin_DailyPred,MATCH($F38,Rango_Admin_DailyPred_Primera,0)+1,0),"-")</f>
        <v>-</v>
      </c>
      <c r="Q38" s="429" t="str">
        <f ca="1">IFERROR(VLOOKUP(Q$2,Rango_Admin_DailyPred,MATCH($F38,Rango_Admin_DailyPred_Primera,0)+1,0),"-")</f>
        <v>-</v>
      </c>
      <c r="R38" s="429" t="str">
        <f ca="1">IFERROR(VLOOKUP(R$2,Rango_Admin_DailyPred,MATCH($F38,Rango_Admin_DailyPred_Primera,0)+1,0),"-")</f>
        <v>-</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c r="A39" s="8"/>
      <c r="B39" s="8"/>
      <c r="C39" s="8">
        <v>36</v>
      </c>
      <c r="D39" s="19"/>
      <c r="E39" s="409">
        <f ca="1">IFERROR(HLOOKUP(C39,Rango_Admin_DailyClas,3,FALSE),"-")</f>
        <v>24</v>
      </c>
      <c r="F39" s="448" t="str">
        <f ca="1">IFERROR(HLOOKUP(C39,Rango_Admin_DailyClas,5,FALSE),"-")</f>
        <v>Miguel Suárez-Zuloaga</v>
      </c>
      <c r="G39" s="22">
        <f ca="1">IFERROR(HLOOKUP(C39,Rango_Admin_DailyClas,4,FALSE),"-")</f>
        <v>1</v>
      </c>
      <c r="H39" s="429">
        <f ca="1">IFERROR(VLOOKUP(H$2,Rango_Admin_DailyPred,MATCH($F39,Rango_Admin_DailyPred_Primera,0)+1,0),"-")</f>
        <v>1</v>
      </c>
      <c r="I39" s="429" t="str">
        <f ca="1">IFERROR(VLOOKUP(I$2,Rango_Admin_DailyPred,MATCH($F39,Rango_Admin_DailyPred_Primera,0)+1,0),"-")</f>
        <v>-</v>
      </c>
      <c r="J39" s="429" t="str">
        <f ca="1">IFERROR(VLOOKUP(J$2,Rango_Admin_DailyPred,MATCH($F39,Rango_Admin_DailyPred_Primera,0)+1,0),"-")</f>
        <v>-</v>
      </c>
      <c r="K39" s="429" t="str">
        <f ca="1">IFERROR(VLOOKUP(K$2,Rango_Admin_DailyPred,MATCH($F39,Rango_Admin_DailyPred_Primera,0)+1,0),"-")</f>
        <v>-</v>
      </c>
      <c r="L39" s="429" t="str">
        <f ca="1">IFERROR(VLOOKUP(L$2,Rango_Admin_DailyPred,MATCH($F39,Rango_Admin_DailyPred_Primera,0)+1,0),"-")</f>
        <v>-</v>
      </c>
      <c r="M39" s="429" t="str">
        <f ca="1">IFERROR(VLOOKUP(M$2,Rango_Admin_DailyPred,MATCH($F39,Rango_Admin_DailyPred_Primera,0)+1,0),"-")</f>
        <v>-</v>
      </c>
      <c r="N39" s="429" t="str">
        <f ca="1">IFERROR(VLOOKUP(N$2,Rango_Admin_DailyPred,MATCH($F39,Rango_Admin_DailyPred_Primera,0)+1,0),"-")</f>
        <v>-</v>
      </c>
      <c r="O39" s="429" t="str">
        <f ca="1">IFERROR(VLOOKUP(O$2,Rango_Admin_DailyPred,MATCH($F39,Rango_Admin_DailyPred_Primera,0)+1,0),"-")</f>
        <v>-</v>
      </c>
      <c r="P39" s="429" t="str">
        <f ca="1">IFERROR(VLOOKUP(P$2,Rango_Admin_DailyPred,MATCH($F39,Rango_Admin_DailyPred_Primera,0)+1,0),"-")</f>
        <v>-</v>
      </c>
      <c r="Q39" s="429" t="str">
        <f ca="1">IFERROR(VLOOKUP(Q$2,Rango_Admin_DailyPred,MATCH($F39,Rango_Admin_DailyPred_Primera,0)+1,0),"-")</f>
        <v>-</v>
      </c>
      <c r="R39" s="429" t="str">
        <f ca="1">IFERROR(VLOOKUP(R$2,Rango_Admin_DailyPred,MATCH($F39,Rango_Admin_DailyPred_Primera,0)+1,0),"-")</f>
        <v>-</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c r="A40" s="8"/>
      <c r="B40" s="8"/>
      <c r="C40" s="8">
        <v>37</v>
      </c>
      <c r="D40" s="19"/>
      <c r="E40" s="409">
        <f ca="1">IFERROR(HLOOKUP(C40,Rango_Admin_DailyClas,3,FALSE),"-")</f>
        <v>24</v>
      </c>
      <c r="F40" s="448" t="str">
        <f ca="1">IFERROR(HLOOKUP(C40,Rango_Admin_DailyClas,5,FALSE),"-")</f>
        <v>JUAN SOLAS</v>
      </c>
      <c r="G40" s="22">
        <f ca="1">IFERROR(HLOOKUP(C40,Rango_Admin_DailyClas,4,FALSE),"-")</f>
        <v>1</v>
      </c>
      <c r="H40" s="429">
        <f ca="1">IFERROR(VLOOKUP(H$2,Rango_Admin_DailyPred,MATCH($F40,Rango_Admin_DailyPred_Primera,0)+1,0),"-")</f>
        <v>1</v>
      </c>
      <c r="I40" s="429" t="str">
        <f ca="1">IFERROR(VLOOKUP(I$2,Rango_Admin_DailyPred,MATCH($F40,Rango_Admin_DailyPred_Primera,0)+1,0),"-")</f>
        <v>-</v>
      </c>
      <c r="J40" s="429" t="str">
        <f ca="1">IFERROR(VLOOKUP(J$2,Rango_Admin_DailyPred,MATCH($F40,Rango_Admin_DailyPred_Primera,0)+1,0),"-")</f>
        <v>-</v>
      </c>
      <c r="K40" s="429" t="str">
        <f ca="1">IFERROR(VLOOKUP(K$2,Rango_Admin_DailyPred,MATCH($F40,Rango_Admin_DailyPred_Primera,0)+1,0),"-")</f>
        <v>-</v>
      </c>
      <c r="L40" s="429" t="str">
        <f ca="1">IFERROR(VLOOKUP(L$2,Rango_Admin_DailyPred,MATCH($F40,Rango_Admin_DailyPred_Primera,0)+1,0),"-")</f>
        <v>-</v>
      </c>
      <c r="M40" s="429" t="str">
        <f ca="1">IFERROR(VLOOKUP(M$2,Rango_Admin_DailyPred,MATCH($F40,Rango_Admin_DailyPred_Primera,0)+1,0),"-")</f>
        <v>-</v>
      </c>
      <c r="N40" s="429" t="str">
        <f ca="1">IFERROR(VLOOKUP(N$2,Rango_Admin_DailyPred,MATCH($F40,Rango_Admin_DailyPred_Primera,0)+1,0),"-")</f>
        <v>-</v>
      </c>
      <c r="O40" s="429" t="str">
        <f ca="1">IFERROR(VLOOKUP(O$2,Rango_Admin_DailyPred,MATCH($F40,Rango_Admin_DailyPred_Primera,0)+1,0),"-")</f>
        <v>-</v>
      </c>
      <c r="P40" s="429" t="str">
        <f ca="1">IFERROR(VLOOKUP(P$2,Rango_Admin_DailyPred,MATCH($F40,Rango_Admin_DailyPred_Primera,0)+1,0),"-")</f>
        <v>-</v>
      </c>
      <c r="Q40" s="429" t="str">
        <f ca="1">IFERROR(VLOOKUP(Q$2,Rango_Admin_DailyPred,MATCH($F40,Rango_Admin_DailyPred_Primera,0)+1,0),"-")</f>
        <v>-</v>
      </c>
      <c r="R40" s="429" t="str">
        <f ca="1">IFERROR(VLOOKUP(R$2,Rango_Admin_DailyPred,MATCH($F40,Rango_Admin_DailyPred_Primera,0)+1,0),"-")</f>
        <v>-</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c r="A41" s="8"/>
      <c r="B41" s="8"/>
      <c r="C41" s="8">
        <v>38</v>
      </c>
      <c r="D41" s="19"/>
      <c r="E41" s="409">
        <f ca="1">IFERROR(HLOOKUP(C41,Rango_Admin_DailyClas,3,FALSE),"-")</f>
        <v>24</v>
      </c>
      <c r="F41" s="448" t="str">
        <f ca="1">IFERROR(HLOOKUP(C41,Rango_Admin_DailyClas,5,FALSE),"-")</f>
        <v>Ricardo Soto</v>
      </c>
      <c r="G41" s="22">
        <f ca="1">IFERROR(HLOOKUP(C41,Rango_Admin_DailyClas,4,FALSE),"-")</f>
        <v>1</v>
      </c>
      <c r="H41" s="429">
        <f ca="1">IFERROR(VLOOKUP(H$2,Rango_Admin_DailyPred,MATCH($F41,Rango_Admin_DailyPred_Primera,0)+1,0),"-")</f>
        <v>1</v>
      </c>
      <c r="I41" s="429" t="str">
        <f ca="1">IFERROR(VLOOKUP(I$2,Rango_Admin_DailyPred,MATCH($F41,Rango_Admin_DailyPred_Primera,0)+1,0),"-")</f>
        <v>-</v>
      </c>
      <c r="J41" s="429" t="str">
        <f ca="1">IFERROR(VLOOKUP(J$2,Rango_Admin_DailyPred,MATCH($F41,Rango_Admin_DailyPred_Primera,0)+1,0),"-")</f>
        <v>-</v>
      </c>
      <c r="K41" s="429" t="str">
        <f ca="1">IFERROR(VLOOKUP(K$2,Rango_Admin_DailyPred,MATCH($F41,Rango_Admin_DailyPred_Primera,0)+1,0),"-")</f>
        <v>-</v>
      </c>
      <c r="L41" s="429" t="str">
        <f ca="1">IFERROR(VLOOKUP(L$2,Rango_Admin_DailyPred,MATCH($F41,Rango_Admin_DailyPred_Primera,0)+1,0),"-")</f>
        <v>-</v>
      </c>
      <c r="M41" s="429" t="str">
        <f ca="1">IFERROR(VLOOKUP(M$2,Rango_Admin_DailyPred,MATCH($F41,Rango_Admin_DailyPred_Primera,0)+1,0),"-")</f>
        <v>-</v>
      </c>
      <c r="N41" s="429" t="str">
        <f ca="1">IFERROR(VLOOKUP(N$2,Rango_Admin_DailyPred,MATCH($F41,Rango_Admin_DailyPred_Primera,0)+1,0),"-")</f>
        <v>-</v>
      </c>
      <c r="O41" s="429" t="str">
        <f ca="1">IFERROR(VLOOKUP(O$2,Rango_Admin_DailyPred,MATCH($F41,Rango_Admin_DailyPred_Primera,0)+1,0),"-")</f>
        <v>-</v>
      </c>
      <c r="P41" s="429" t="str">
        <f ca="1">IFERROR(VLOOKUP(P$2,Rango_Admin_DailyPred,MATCH($F41,Rango_Admin_DailyPred_Primera,0)+1,0),"-")</f>
        <v>-</v>
      </c>
      <c r="Q41" s="429" t="str">
        <f ca="1">IFERROR(VLOOKUP(Q$2,Rango_Admin_DailyPred,MATCH($F41,Rango_Admin_DailyPred_Primera,0)+1,0),"-")</f>
        <v>-</v>
      </c>
      <c r="R41" s="429" t="str">
        <f ca="1">IFERROR(VLOOKUP(R$2,Rango_Admin_DailyPred,MATCH($F41,Rango_Admin_DailyPred_Primera,0)+1,0),"-")</f>
        <v>-</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c r="A42" s="8"/>
      <c r="B42" s="8"/>
      <c r="C42" s="8">
        <v>39</v>
      </c>
      <c r="D42" s="19"/>
      <c r="E42" s="409">
        <f ca="1">IFERROR(HLOOKUP(C42,Rango_Admin_DailyClas,3,FALSE),"-")</f>
        <v>39</v>
      </c>
      <c r="F42" s="448" t="str">
        <f ca="1">IFERROR(HLOOKUP(C42,Rango_Admin_DailyClas,5,FALSE),"-")</f>
        <v>Migay Marcos</v>
      </c>
      <c r="G42" s="22">
        <f ca="1">IFERROR(HLOOKUP(C42,Rango_Admin_DailyClas,4,FALSE),"-")</f>
        <v>0</v>
      </c>
      <c r="H42" s="429">
        <f ca="1">IFERROR(VLOOKUP(H$2,Rango_Admin_DailyPred,MATCH($F42,Rango_Admin_DailyPred_Primera,0)+1,0),"-")</f>
        <v>0</v>
      </c>
      <c r="I42" s="429" t="str">
        <f ca="1">IFERROR(VLOOKUP(I$2,Rango_Admin_DailyPred,MATCH($F42,Rango_Admin_DailyPred_Primera,0)+1,0),"-")</f>
        <v>-</v>
      </c>
      <c r="J42" s="429" t="str">
        <f ca="1">IFERROR(VLOOKUP(J$2,Rango_Admin_DailyPred,MATCH($F42,Rango_Admin_DailyPred_Primera,0)+1,0),"-")</f>
        <v>-</v>
      </c>
      <c r="K42" s="429" t="str">
        <f ca="1">IFERROR(VLOOKUP(K$2,Rango_Admin_DailyPred,MATCH($F42,Rango_Admin_DailyPred_Primera,0)+1,0),"-")</f>
        <v>-</v>
      </c>
      <c r="L42" s="429" t="str">
        <f ca="1">IFERROR(VLOOKUP(L$2,Rango_Admin_DailyPred,MATCH($F42,Rango_Admin_DailyPred_Primera,0)+1,0),"-")</f>
        <v>-</v>
      </c>
      <c r="M42" s="429" t="str">
        <f ca="1">IFERROR(VLOOKUP(M$2,Rango_Admin_DailyPred,MATCH($F42,Rango_Admin_DailyPred_Primera,0)+1,0),"-")</f>
        <v>-</v>
      </c>
      <c r="N42" s="429" t="str">
        <f ca="1">IFERROR(VLOOKUP(N$2,Rango_Admin_DailyPred,MATCH($F42,Rango_Admin_DailyPred_Primera,0)+1,0),"-")</f>
        <v>-</v>
      </c>
      <c r="O42" s="429" t="str">
        <f ca="1">IFERROR(VLOOKUP(O$2,Rango_Admin_DailyPred,MATCH($F42,Rango_Admin_DailyPred_Primera,0)+1,0),"-")</f>
        <v>-</v>
      </c>
      <c r="P42" s="429" t="str">
        <f ca="1">IFERROR(VLOOKUP(P$2,Rango_Admin_DailyPred,MATCH($F42,Rango_Admin_DailyPred_Primera,0)+1,0),"-")</f>
        <v>-</v>
      </c>
      <c r="Q42" s="429" t="str">
        <f ca="1">IFERROR(VLOOKUP(Q$2,Rango_Admin_DailyPred,MATCH($F42,Rango_Admin_DailyPred_Primera,0)+1,0),"-")</f>
        <v>-</v>
      </c>
      <c r="R42" s="429" t="str">
        <f ca="1">IFERROR(VLOOKUP(R$2,Rango_Admin_DailyPred,MATCH($F42,Rango_Admin_DailyPred_Primera,0)+1,0),"-")</f>
        <v>-</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c r="A43" s="8"/>
      <c r="B43" s="8"/>
      <c r="C43" s="8">
        <v>40</v>
      </c>
      <c r="D43" s="19"/>
      <c r="E43" s="409">
        <f ca="1">IFERROR(HLOOKUP(C43,Rango_Admin_DailyClas,3,FALSE),"-")</f>
        <v>39</v>
      </c>
      <c r="F43" s="448" t="str">
        <f ca="1">IFERROR(HLOOKUP(C43,Rango_Admin_DailyClas,5,FALSE),"-")</f>
        <v>Pablo C</v>
      </c>
      <c r="G43" s="22">
        <f ca="1">IFERROR(HLOOKUP(C43,Rango_Admin_DailyClas,4,FALSE),"-")</f>
        <v>0</v>
      </c>
      <c r="H43" s="429">
        <f ca="1">IFERROR(VLOOKUP(H$2,Rango_Admin_DailyPred,MATCH($F43,Rango_Admin_DailyPred_Primera,0)+1,0),"-")</f>
        <v>0</v>
      </c>
      <c r="I43" s="429" t="str">
        <f ca="1">IFERROR(VLOOKUP(I$2,Rango_Admin_DailyPred,MATCH($F43,Rango_Admin_DailyPred_Primera,0)+1,0),"-")</f>
        <v>-</v>
      </c>
      <c r="J43" s="429" t="str">
        <f ca="1">IFERROR(VLOOKUP(J$2,Rango_Admin_DailyPred,MATCH($F43,Rango_Admin_DailyPred_Primera,0)+1,0),"-")</f>
        <v>-</v>
      </c>
      <c r="K43" s="429" t="str">
        <f ca="1">IFERROR(VLOOKUP(K$2,Rango_Admin_DailyPred,MATCH($F43,Rango_Admin_DailyPred_Primera,0)+1,0),"-")</f>
        <v>-</v>
      </c>
      <c r="L43" s="429" t="str">
        <f ca="1">IFERROR(VLOOKUP(L$2,Rango_Admin_DailyPred,MATCH($F43,Rango_Admin_DailyPred_Primera,0)+1,0),"-")</f>
        <v>-</v>
      </c>
      <c r="M43" s="429" t="str">
        <f ca="1">IFERROR(VLOOKUP(M$2,Rango_Admin_DailyPred,MATCH($F43,Rango_Admin_DailyPred_Primera,0)+1,0),"-")</f>
        <v>-</v>
      </c>
      <c r="N43" s="429" t="str">
        <f ca="1">IFERROR(VLOOKUP(N$2,Rango_Admin_DailyPred,MATCH($F43,Rango_Admin_DailyPred_Primera,0)+1,0),"-")</f>
        <v>-</v>
      </c>
      <c r="O43" s="429" t="str">
        <f ca="1">IFERROR(VLOOKUP(O$2,Rango_Admin_DailyPred,MATCH($F43,Rango_Admin_DailyPred_Primera,0)+1,0),"-")</f>
        <v>-</v>
      </c>
      <c r="P43" s="429" t="str">
        <f ca="1">IFERROR(VLOOKUP(P$2,Rango_Admin_DailyPred,MATCH($F43,Rango_Admin_DailyPred_Primera,0)+1,0),"-")</f>
        <v>-</v>
      </c>
      <c r="Q43" s="429" t="str">
        <f ca="1">IFERROR(VLOOKUP(Q$2,Rango_Admin_DailyPred,MATCH($F43,Rango_Admin_DailyPred_Primera,0)+1,0),"-")</f>
        <v>-</v>
      </c>
      <c r="R43" s="429" t="str">
        <f ca="1">IFERROR(VLOOKUP(R$2,Rango_Admin_DailyPred,MATCH($F43,Rango_Admin_DailyPred_Primera,0)+1,0),"-")</f>
        <v>-</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c r="A44" s="8"/>
      <c r="B44" s="8"/>
      <c r="C44" s="8">
        <v>41</v>
      </c>
      <c r="D44" s="19"/>
      <c r="E44" s="409">
        <f ca="1">IFERROR(HLOOKUP(C44,Rango_Admin_DailyClas,3,FALSE),"-")</f>
        <v>39</v>
      </c>
      <c r="F44" s="448" t="str">
        <f ca="1">IFERROR(HLOOKUP(C44,Rango_Admin_DailyClas,5,FALSE),"-")</f>
        <v>Pegar Valores Nombre J41</v>
      </c>
      <c r="G44" s="22">
        <f ca="1">IFERROR(HLOOKUP(C44,Rango_Admin_DailyClas,4,FALSE),"-")</f>
        <v>0</v>
      </c>
      <c r="H44" s="429">
        <f ca="1">IFERROR(VLOOKUP(H$2,Rango_Admin_DailyPred,MATCH($F44,Rango_Admin_DailyPred_Primera,0)+1,0),"-")</f>
        <v>0</v>
      </c>
      <c r="I44" s="429" t="str">
        <f ca="1">IFERROR(VLOOKUP(I$2,Rango_Admin_DailyPred,MATCH($F44,Rango_Admin_DailyPred_Primera,0)+1,0),"-")</f>
        <v>-</v>
      </c>
      <c r="J44" s="429" t="str">
        <f ca="1">IFERROR(VLOOKUP(J$2,Rango_Admin_DailyPred,MATCH($F44,Rango_Admin_DailyPred_Primera,0)+1,0),"-")</f>
        <v>-</v>
      </c>
      <c r="K44" s="429" t="str">
        <f ca="1">IFERROR(VLOOKUP(K$2,Rango_Admin_DailyPred,MATCH($F44,Rango_Admin_DailyPred_Primera,0)+1,0),"-")</f>
        <v>-</v>
      </c>
      <c r="L44" s="429" t="str">
        <f ca="1">IFERROR(VLOOKUP(L$2,Rango_Admin_DailyPred,MATCH($F44,Rango_Admin_DailyPred_Primera,0)+1,0),"-")</f>
        <v>-</v>
      </c>
      <c r="M44" s="429" t="str">
        <f ca="1">IFERROR(VLOOKUP(M$2,Rango_Admin_DailyPred,MATCH($F44,Rango_Admin_DailyPred_Primera,0)+1,0),"-")</f>
        <v>-</v>
      </c>
      <c r="N44" s="429" t="str">
        <f ca="1">IFERROR(VLOOKUP(N$2,Rango_Admin_DailyPred,MATCH($F44,Rango_Admin_DailyPred_Primera,0)+1,0),"-")</f>
        <v>-</v>
      </c>
      <c r="O44" s="429" t="str">
        <f ca="1">IFERROR(VLOOKUP(O$2,Rango_Admin_DailyPred,MATCH($F44,Rango_Admin_DailyPred_Primera,0)+1,0),"-")</f>
        <v>-</v>
      </c>
      <c r="P44" s="429" t="str">
        <f ca="1">IFERROR(VLOOKUP(P$2,Rango_Admin_DailyPred,MATCH($F44,Rango_Admin_DailyPred_Primera,0)+1,0),"-")</f>
        <v>-</v>
      </c>
      <c r="Q44" s="429" t="str">
        <f ca="1">IFERROR(VLOOKUP(Q$2,Rango_Admin_DailyPred,MATCH($F44,Rango_Admin_DailyPred_Primera,0)+1,0),"-")</f>
        <v>-</v>
      </c>
      <c r="R44" s="429" t="str">
        <f ca="1">IFERROR(VLOOKUP(R$2,Rango_Admin_DailyPred,MATCH($F44,Rango_Admin_DailyPred_Primera,0)+1,0),"-")</f>
        <v>-</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c r="A45" s="8"/>
      <c r="B45" s="8"/>
      <c r="C45" s="8">
        <v>42</v>
      </c>
      <c r="D45" s="19"/>
      <c r="E45" s="409">
        <f ca="1">IFERROR(HLOOKUP(C45,Rango_Admin_DailyClas,3,FALSE),"-")</f>
        <v>39</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t="str">
        <f ca="1">IFERROR(VLOOKUP(I$2,Rango_Admin_DailyPred,MATCH($F45,Rango_Admin_DailyPred_Primera,0)+1,0),"-")</f>
        <v>-</v>
      </c>
      <c r="J45" s="429" t="str">
        <f ca="1">IFERROR(VLOOKUP(J$2,Rango_Admin_DailyPred,MATCH($F45,Rango_Admin_DailyPred_Primera,0)+1,0),"-")</f>
        <v>-</v>
      </c>
      <c r="K45" s="429" t="str">
        <f ca="1">IFERROR(VLOOKUP(K$2,Rango_Admin_DailyPred,MATCH($F45,Rango_Admin_DailyPred_Primera,0)+1,0),"-")</f>
        <v>-</v>
      </c>
      <c r="L45" s="429" t="str">
        <f ca="1">IFERROR(VLOOKUP(L$2,Rango_Admin_DailyPred,MATCH($F45,Rango_Admin_DailyPred_Primera,0)+1,0),"-")</f>
        <v>-</v>
      </c>
      <c r="M45" s="429" t="str">
        <f ca="1">IFERROR(VLOOKUP(M$2,Rango_Admin_DailyPred,MATCH($F45,Rango_Admin_DailyPred_Primera,0)+1,0),"-")</f>
        <v>-</v>
      </c>
      <c r="N45" s="429" t="str">
        <f ca="1">IFERROR(VLOOKUP(N$2,Rango_Admin_DailyPred,MATCH($F45,Rango_Admin_DailyPred_Primera,0)+1,0),"-")</f>
        <v>-</v>
      </c>
      <c r="O45" s="429" t="str">
        <f ca="1">IFERROR(VLOOKUP(O$2,Rango_Admin_DailyPred,MATCH($F45,Rango_Admin_DailyPred_Primera,0)+1,0),"-")</f>
        <v>-</v>
      </c>
      <c r="P45" s="429" t="str">
        <f ca="1">IFERROR(VLOOKUP(P$2,Rango_Admin_DailyPred,MATCH($F45,Rango_Admin_DailyPred_Primera,0)+1,0),"-")</f>
        <v>-</v>
      </c>
      <c r="Q45" s="429" t="str">
        <f ca="1">IFERROR(VLOOKUP(Q$2,Rango_Admin_DailyPred,MATCH($F45,Rango_Admin_DailyPred_Primera,0)+1,0),"-")</f>
        <v>-</v>
      </c>
      <c r="R45" s="429" t="str">
        <f ca="1">IFERROR(VLOOKUP(R$2,Rango_Admin_DailyPred,MATCH($F45,Rango_Admin_DailyPred_Primera,0)+1,0),"-")</f>
        <v>-</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c r="A46" s="8"/>
      <c r="B46" s="8"/>
      <c r="C46" s="8">
        <v>43</v>
      </c>
      <c r="D46" s="19"/>
      <c r="E46" s="409">
        <f ca="1">IFERROR(HLOOKUP(C46,Rango_Admin_DailyClas,3,FALSE),"-")</f>
        <v>39</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t="str">
        <f ca="1">IFERROR(VLOOKUP(I$2,Rango_Admin_DailyPred,MATCH($F46,Rango_Admin_DailyPred_Primera,0)+1,0),"-")</f>
        <v>-</v>
      </c>
      <c r="J46" s="429" t="str">
        <f ca="1">IFERROR(VLOOKUP(J$2,Rango_Admin_DailyPred,MATCH($F46,Rango_Admin_DailyPred_Primera,0)+1,0),"-")</f>
        <v>-</v>
      </c>
      <c r="K46" s="429" t="str">
        <f ca="1">IFERROR(VLOOKUP(K$2,Rango_Admin_DailyPred,MATCH($F46,Rango_Admin_DailyPred_Primera,0)+1,0),"-")</f>
        <v>-</v>
      </c>
      <c r="L46" s="429" t="str">
        <f ca="1">IFERROR(VLOOKUP(L$2,Rango_Admin_DailyPred,MATCH($F46,Rango_Admin_DailyPred_Primera,0)+1,0),"-")</f>
        <v>-</v>
      </c>
      <c r="M46" s="429" t="str">
        <f ca="1">IFERROR(VLOOKUP(M$2,Rango_Admin_DailyPred,MATCH($F46,Rango_Admin_DailyPred_Primera,0)+1,0),"-")</f>
        <v>-</v>
      </c>
      <c r="N46" s="429" t="str">
        <f ca="1">IFERROR(VLOOKUP(N$2,Rango_Admin_DailyPred,MATCH($F46,Rango_Admin_DailyPred_Primera,0)+1,0),"-")</f>
        <v>-</v>
      </c>
      <c r="O46" s="429" t="str">
        <f ca="1">IFERROR(VLOOKUP(O$2,Rango_Admin_DailyPred,MATCH($F46,Rango_Admin_DailyPred_Primera,0)+1,0),"-")</f>
        <v>-</v>
      </c>
      <c r="P46" s="429" t="str">
        <f ca="1">IFERROR(VLOOKUP(P$2,Rango_Admin_DailyPred,MATCH($F46,Rango_Admin_DailyPred_Primera,0)+1,0),"-")</f>
        <v>-</v>
      </c>
      <c r="Q46" s="429" t="str">
        <f ca="1">IFERROR(VLOOKUP(Q$2,Rango_Admin_DailyPred,MATCH($F46,Rango_Admin_DailyPred_Primera,0)+1,0),"-")</f>
        <v>-</v>
      </c>
      <c r="R46" s="429" t="str">
        <f ca="1">IFERROR(VLOOKUP(R$2,Rango_Admin_DailyPred,MATCH($F46,Rango_Admin_DailyPred_Primera,0)+1,0),"-")</f>
        <v>-</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c r="A47" s="8"/>
      <c r="B47" s="8"/>
      <c r="C47" s="8">
        <v>44</v>
      </c>
      <c r="D47" s="19"/>
      <c r="E47" s="409">
        <f ca="1">IFERROR(HLOOKUP(C47,Rango_Admin_DailyClas,3,FALSE),"-")</f>
        <v>39</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t="str">
        <f ca="1">IFERROR(VLOOKUP(I$2,Rango_Admin_DailyPred,MATCH($F47,Rango_Admin_DailyPred_Primera,0)+1,0),"-")</f>
        <v>-</v>
      </c>
      <c r="J47" s="429" t="str">
        <f ca="1">IFERROR(VLOOKUP(J$2,Rango_Admin_DailyPred,MATCH($F47,Rango_Admin_DailyPred_Primera,0)+1,0),"-")</f>
        <v>-</v>
      </c>
      <c r="K47" s="429" t="str">
        <f ca="1">IFERROR(VLOOKUP(K$2,Rango_Admin_DailyPred,MATCH($F47,Rango_Admin_DailyPred_Primera,0)+1,0),"-")</f>
        <v>-</v>
      </c>
      <c r="L47" s="429" t="str">
        <f ca="1">IFERROR(VLOOKUP(L$2,Rango_Admin_DailyPred,MATCH($F47,Rango_Admin_DailyPred_Primera,0)+1,0),"-")</f>
        <v>-</v>
      </c>
      <c r="M47" s="429" t="str">
        <f ca="1">IFERROR(VLOOKUP(M$2,Rango_Admin_DailyPred,MATCH($F47,Rango_Admin_DailyPred_Primera,0)+1,0),"-")</f>
        <v>-</v>
      </c>
      <c r="N47" s="429" t="str">
        <f ca="1">IFERROR(VLOOKUP(N$2,Rango_Admin_DailyPred,MATCH($F47,Rango_Admin_DailyPred_Primera,0)+1,0),"-")</f>
        <v>-</v>
      </c>
      <c r="O47" s="429" t="str">
        <f ca="1">IFERROR(VLOOKUP(O$2,Rango_Admin_DailyPred,MATCH($F47,Rango_Admin_DailyPred_Primera,0)+1,0),"-")</f>
        <v>-</v>
      </c>
      <c r="P47" s="429" t="str">
        <f ca="1">IFERROR(VLOOKUP(P$2,Rango_Admin_DailyPred,MATCH($F47,Rango_Admin_DailyPred_Primera,0)+1,0),"-")</f>
        <v>-</v>
      </c>
      <c r="Q47" s="429" t="str">
        <f ca="1">IFERROR(VLOOKUP(Q$2,Rango_Admin_DailyPred,MATCH($F47,Rango_Admin_DailyPred_Primera,0)+1,0),"-")</f>
        <v>-</v>
      </c>
      <c r="R47" s="429" t="str">
        <f ca="1">IFERROR(VLOOKUP(R$2,Rango_Admin_DailyPred,MATCH($F47,Rango_Admin_DailyPred_Primera,0)+1,0),"-")</f>
        <v>-</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c r="A48" s="8"/>
      <c r="B48" s="8"/>
      <c r="C48" s="8">
        <v>45</v>
      </c>
      <c r="D48" s="19"/>
      <c r="E48" s="409">
        <f ca="1">IFERROR(HLOOKUP(C48,Rango_Admin_DailyClas,3,FALSE),"-")</f>
        <v>39</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t="str">
        <f ca="1">IFERROR(VLOOKUP(I$2,Rango_Admin_DailyPred,MATCH($F48,Rango_Admin_DailyPred_Primera,0)+1,0),"-")</f>
        <v>-</v>
      </c>
      <c r="J48" s="429" t="str">
        <f ca="1">IFERROR(VLOOKUP(J$2,Rango_Admin_DailyPred,MATCH($F48,Rango_Admin_DailyPred_Primera,0)+1,0),"-")</f>
        <v>-</v>
      </c>
      <c r="K48" s="429" t="str">
        <f ca="1">IFERROR(VLOOKUP(K$2,Rango_Admin_DailyPred,MATCH($F48,Rango_Admin_DailyPred_Primera,0)+1,0),"-")</f>
        <v>-</v>
      </c>
      <c r="L48" s="429" t="str">
        <f ca="1">IFERROR(VLOOKUP(L$2,Rango_Admin_DailyPred,MATCH($F48,Rango_Admin_DailyPred_Primera,0)+1,0),"-")</f>
        <v>-</v>
      </c>
      <c r="M48" s="429" t="str">
        <f ca="1">IFERROR(VLOOKUP(M$2,Rango_Admin_DailyPred,MATCH($F48,Rango_Admin_DailyPred_Primera,0)+1,0),"-")</f>
        <v>-</v>
      </c>
      <c r="N48" s="429" t="str">
        <f ca="1">IFERROR(VLOOKUP(N$2,Rango_Admin_DailyPred,MATCH($F48,Rango_Admin_DailyPred_Primera,0)+1,0),"-")</f>
        <v>-</v>
      </c>
      <c r="O48" s="429" t="str">
        <f ca="1">IFERROR(VLOOKUP(O$2,Rango_Admin_DailyPred,MATCH($F48,Rango_Admin_DailyPred_Primera,0)+1,0),"-")</f>
        <v>-</v>
      </c>
      <c r="P48" s="429" t="str">
        <f ca="1">IFERROR(VLOOKUP(P$2,Rango_Admin_DailyPred,MATCH($F48,Rango_Admin_DailyPred_Primera,0)+1,0),"-")</f>
        <v>-</v>
      </c>
      <c r="Q48" s="429" t="str">
        <f ca="1">IFERROR(VLOOKUP(Q$2,Rango_Admin_DailyPred,MATCH($F48,Rango_Admin_DailyPred_Primera,0)+1,0),"-")</f>
        <v>-</v>
      </c>
      <c r="R48" s="429" t="str">
        <f ca="1">IFERROR(VLOOKUP(R$2,Rango_Admin_DailyPred,MATCH($F48,Rango_Admin_DailyPred_Primera,0)+1,0),"-")</f>
        <v>-</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c r="A49" s="8"/>
      <c r="B49" s="8"/>
      <c r="C49" s="8">
        <v>46</v>
      </c>
      <c r="D49" s="19"/>
      <c r="E49" s="409">
        <f ca="1">IFERROR(HLOOKUP(C49,Rango_Admin_DailyClas,3,FALSE),"-")</f>
        <v>39</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t="str">
        <f ca="1">IFERROR(VLOOKUP(I$2,Rango_Admin_DailyPred,MATCH($F49,Rango_Admin_DailyPred_Primera,0)+1,0),"-")</f>
        <v>-</v>
      </c>
      <c r="J49" s="429" t="str">
        <f ca="1">IFERROR(VLOOKUP(J$2,Rango_Admin_DailyPred,MATCH($F49,Rango_Admin_DailyPred_Primera,0)+1,0),"-")</f>
        <v>-</v>
      </c>
      <c r="K49" s="429" t="str">
        <f ca="1">IFERROR(VLOOKUP(K$2,Rango_Admin_DailyPred,MATCH($F49,Rango_Admin_DailyPred_Primera,0)+1,0),"-")</f>
        <v>-</v>
      </c>
      <c r="L49" s="429" t="str">
        <f ca="1">IFERROR(VLOOKUP(L$2,Rango_Admin_DailyPred,MATCH($F49,Rango_Admin_DailyPred_Primera,0)+1,0),"-")</f>
        <v>-</v>
      </c>
      <c r="M49" s="429" t="str">
        <f ca="1">IFERROR(VLOOKUP(M$2,Rango_Admin_DailyPred,MATCH($F49,Rango_Admin_DailyPred_Primera,0)+1,0),"-")</f>
        <v>-</v>
      </c>
      <c r="N49" s="429" t="str">
        <f ca="1">IFERROR(VLOOKUP(N$2,Rango_Admin_DailyPred,MATCH($F49,Rango_Admin_DailyPred_Primera,0)+1,0),"-")</f>
        <v>-</v>
      </c>
      <c r="O49" s="429" t="str">
        <f ca="1">IFERROR(VLOOKUP(O$2,Rango_Admin_DailyPred,MATCH($F49,Rango_Admin_DailyPred_Primera,0)+1,0),"-")</f>
        <v>-</v>
      </c>
      <c r="P49" s="429" t="str">
        <f ca="1">IFERROR(VLOOKUP(P$2,Rango_Admin_DailyPred,MATCH($F49,Rango_Admin_DailyPred_Primera,0)+1,0),"-")</f>
        <v>-</v>
      </c>
      <c r="Q49" s="429" t="str">
        <f ca="1">IFERROR(VLOOKUP(Q$2,Rango_Admin_DailyPred,MATCH($F49,Rango_Admin_DailyPred_Primera,0)+1,0),"-")</f>
        <v>-</v>
      </c>
      <c r="R49" s="429" t="str">
        <f ca="1">IFERROR(VLOOKUP(R$2,Rango_Admin_DailyPred,MATCH($F49,Rango_Admin_DailyPred_Primera,0)+1,0),"-")</f>
        <v>-</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c r="A50" s="8"/>
      <c r="B50" s="8"/>
      <c r="C50" s="8">
        <v>47</v>
      </c>
      <c r="D50" s="19"/>
      <c r="E50" s="409">
        <f ca="1">IFERROR(HLOOKUP(C50,Rango_Admin_DailyClas,3,FALSE),"-")</f>
        <v>39</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t="str">
        <f ca="1">IFERROR(VLOOKUP(I$2,Rango_Admin_DailyPred,MATCH($F50,Rango_Admin_DailyPred_Primera,0)+1,0),"-")</f>
        <v>-</v>
      </c>
      <c r="J50" s="429" t="str">
        <f ca="1">IFERROR(VLOOKUP(J$2,Rango_Admin_DailyPred,MATCH($F50,Rango_Admin_DailyPred_Primera,0)+1,0),"-")</f>
        <v>-</v>
      </c>
      <c r="K50" s="429" t="str">
        <f ca="1">IFERROR(VLOOKUP(K$2,Rango_Admin_DailyPred,MATCH($F50,Rango_Admin_DailyPred_Primera,0)+1,0),"-")</f>
        <v>-</v>
      </c>
      <c r="L50" s="429" t="str">
        <f ca="1">IFERROR(VLOOKUP(L$2,Rango_Admin_DailyPred,MATCH($F50,Rango_Admin_DailyPred_Primera,0)+1,0),"-")</f>
        <v>-</v>
      </c>
      <c r="M50" s="429" t="str">
        <f ca="1">IFERROR(VLOOKUP(M$2,Rango_Admin_DailyPred,MATCH($F50,Rango_Admin_DailyPred_Primera,0)+1,0),"-")</f>
        <v>-</v>
      </c>
      <c r="N50" s="429" t="str">
        <f ca="1">IFERROR(VLOOKUP(N$2,Rango_Admin_DailyPred,MATCH($F50,Rango_Admin_DailyPred_Primera,0)+1,0),"-")</f>
        <v>-</v>
      </c>
      <c r="O50" s="429" t="str">
        <f ca="1">IFERROR(VLOOKUP(O$2,Rango_Admin_DailyPred,MATCH($F50,Rango_Admin_DailyPred_Primera,0)+1,0),"-")</f>
        <v>-</v>
      </c>
      <c r="P50" s="429" t="str">
        <f ca="1">IFERROR(VLOOKUP(P$2,Rango_Admin_DailyPred,MATCH($F50,Rango_Admin_DailyPred_Primera,0)+1,0),"-")</f>
        <v>-</v>
      </c>
      <c r="Q50" s="429" t="str">
        <f ca="1">IFERROR(VLOOKUP(Q$2,Rango_Admin_DailyPred,MATCH($F50,Rango_Admin_DailyPred_Primera,0)+1,0),"-")</f>
        <v>-</v>
      </c>
      <c r="R50" s="429" t="str">
        <f ca="1">IFERROR(VLOOKUP(R$2,Rango_Admin_DailyPred,MATCH($F50,Rango_Admin_DailyPred_Primera,0)+1,0),"-")</f>
        <v>-</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c r="A51" s="8"/>
      <c r="B51" s="8"/>
      <c r="C51" s="8">
        <v>48</v>
      </c>
      <c r="D51" s="19"/>
      <c r="E51" s="409">
        <f ca="1">IFERROR(HLOOKUP(C51,Rango_Admin_DailyClas,3,FALSE),"-")</f>
        <v>39</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t="str">
        <f ca="1">IFERROR(VLOOKUP(I$2,Rango_Admin_DailyPred,MATCH($F51,Rango_Admin_DailyPred_Primera,0)+1,0),"-")</f>
        <v>-</v>
      </c>
      <c r="J51" s="429" t="str">
        <f ca="1">IFERROR(VLOOKUP(J$2,Rango_Admin_DailyPred,MATCH($F51,Rango_Admin_DailyPred_Primera,0)+1,0),"-")</f>
        <v>-</v>
      </c>
      <c r="K51" s="429" t="str">
        <f ca="1">IFERROR(VLOOKUP(K$2,Rango_Admin_DailyPred,MATCH($F51,Rango_Admin_DailyPred_Primera,0)+1,0),"-")</f>
        <v>-</v>
      </c>
      <c r="L51" s="429" t="str">
        <f ca="1">IFERROR(VLOOKUP(L$2,Rango_Admin_DailyPred,MATCH($F51,Rango_Admin_DailyPred_Primera,0)+1,0),"-")</f>
        <v>-</v>
      </c>
      <c r="M51" s="429" t="str">
        <f ca="1">IFERROR(VLOOKUP(M$2,Rango_Admin_DailyPred,MATCH($F51,Rango_Admin_DailyPred_Primera,0)+1,0),"-")</f>
        <v>-</v>
      </c>
      <c r="N51" s="429" t="str">
        <f ca="1">IFERROR(VLOOKUP(N$2,Rango_Admin_DailyPred,MATCH($F51,Rango_Admin_DailyPred_Primera,0)+1,0),"-")</f>
        <v>-</v>
      </c>
      <c r="O51" s="429" t="str">
        <f ca="1">IFERROR(VLOOKUP(O$2,Rango_Admin_DailyPred,MATCH($F51,Rango_Admin_DailyPred_Primera,0)+1,0),"-")</f>
        <v>-</v>
      </c>
      <c r="P51" s="429" t="str">
        <f ca="1">IFERROR(VLOOKUP(P$2,Rango_Admin_DailyPred,MATCH($F51,Rango_Admin_DailyPred_Primera,0)+1,0),"-")</f>
        <v>-</v>
      </c>
      <c r="Q51" s="429" t="str">
        <f ca="1">IFERROR(VLOOKUP(Q$2,Rango_Admin_DailyPred,MATCH($F51,Rango_Admin_DailyPred_Primera,0)+1,0),"-")</f>
        <v>-</v>
      </c>
      <c r="R51" s="429" t="str">
        <f ca="1">IFERROR(VLOOKUP(R$2,Rango_Admin_DailyPred,MATCH($F51,Rango_Admin_DailyPred_Primera,0)+1,0),"-")</f>
        <v>-</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c r="A52" s="8"/>
      <c r="B52" s="8"/>
      <c r="C52" s="8">
        <v>49</v>
      </c>
      <c r="D52" s="19"/>
      <c r="E52" s="409">
        <f ca="1">IFERROR(HLOOKUP(C52,Rango_Admin_DailyClas,3,FALSE),"-")</f>
        <v>39</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t="str">
        <f ca="1">IFERROR(VLOOKUP(I$2,Rango_Admin_DailyPred,MATCH($F52,Rango_Admin_DailyPred_Primera,0)+1,0),"-")</f>
        <v>-</v>
      </c>
      <c r="J52" s="429" t="str">
        <f ca="1">IFERROR(VLOOKUP(J$2,Rango_Admin_DailyPred,MATCH($F52,Rango_Admin_DailyPred_Primera,0)+1,0),"-")</f>
        <v>-</v>
      </c>
      <c r="K52" s="429" t="str">
        <f ca="1">IFERROR(VLOOKUP(K$2,Rango_Admin_DailyPred,MATCH($F52,Rango_Admin_DailyPred_Primera,0)+1,0),"-")</f>
        <v>-</v>
      </c>
      <c r="L52" s="429" t="str">
        <f ca="1">IFERROR(VLOOKUP(L$2,Rango_Admin_DailyPred,MATCH($F52,Rango_Admin_DailyPred_Primera,0)+1,0),"-")</f>
        <v>-</v>
      </c>
      <c r="M52" s="429" t="str">
        <f ca="1">IFERROR(VLOOKUP(M$2,Rango_Admin_DailyPred,MATCH($F52,Rango_Admin_DailyPred_Primera,0)+1,0),"-")</f>
        <v>-</v>
      </c>
      <c r="N52" s="429" t="str">
        <f ca="1">IFERROR(VLOOKUP(N$2,Rango_Admin_DailyPred,MATCH($F52,Rango_Admin_DailyPred_Primera,0)+1,0),"-")</f>
        <v>-</v>
      </c>
      <c r="O52" s="429" t="str">
        <f ca="1">IFERROR(VLOOKUP(O$2,Rango_Admin_DailyPred,MATCH($F52,Rango_Admin_DailyPred_Primera,0)+1,0),"-")</f>
        <v>-</v>
      </c>
      <c r="P52" s="429" t="str">
        <f ca="1">IFERROR(VLOOKUP(P$2,Rango_Admin_DailyPred,MATCH($F52,Rango_Admin_DailyPred_Primera,0)+1,0),"-")</f>
        <v>-</v>
      </c>
      <c r="Q52" s="429" t="str">
        <f ca="1">IFERROR(VLOOKUP(Q$2,Rango_Admin_DailyPred,MATCH($F52,Rango_Admin_DailyPred_Primera,0)+1,0),"-")</f>
        <v>-</v>
      </c>
      <c r="R52" s="429" t="str">
        <f ca="1">IFERROR(VLOOKUP(R$2,Rango_Admin_DailyPred,MATCH($F52,Rango_Admin_DailyPred_Primera,0)+1,0),"-")</f>
        <v>-</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c r="A53" s="8"/>
      <c r="B53" s="8"/>
      <c r="C53" s="8">
        <v>50</v>
      </c>
      <c r="D53" s="19"/>
      <c r="E53" s="409">
        <f ca="1">IFERROR(HLOOKUP(C53,Rango_Admin_DailyClas,3,FALSE),"-")</f>
        <v>39</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t="str">
        <f ca="1">IFERROR(VLOOKUP(I$2,Rango_Admin_DailyPred,MATCH($F53,Rango_Admin_DailyPred_Primera,0)+1,0),"-")</f>
        <v>-</v>
      </c>
      <c r="J53" s="429" t="str">
        <f ca="1">IFERROR(VLOOKUP(J$2,Rango_Admin_DailyPred,MATCH($F53,Rango_Admin_DailyPred_Primera,0)+1,0),"-")</f>
        <v>-</v>
      </c>
      <c r="K53" s="429" t="str">
        <f ca="1">IFERROR(VLOOKUP(K$2,Rango_Admin_DailyPred,MATCH($F53,Rango_Admin_DailyPred_Primera,0)+1,0),"-")</f>
        <v>-</v>
      </c>
      <c r="L53" s="429" t="str">
        <f ca="1">IFERROR(VLOOKUP(L$2,Rango_Admin_DailyPred,MATCH($F53,Rango_Admin_DailyPred_Primera,0)+1,0),"-")</f>
        <v>-</v>
      </c>
      <c r="M53" s="429" t="str">
        <f ca="1">IFERROR(VLOOKUP(M$2,Rango_Admin_DailyPred,MATCH($F53,Rango_Admin_DailyPred_Primera,0)+1,0),"-")</f>
        <v>-</v>
      </c>
      <c r="N53" s="429" t="str">
        <f ca="1">IFERROR(VLOOKUP(N$2,Rango_Admin_DailyPred,MATCH($F53,Rango_Admin_DailyPred_Primera,0)+1,0),"-")</f>
        <v>-</v>
      </c>
      <c r="O53" s="429" t="str">
        <f ca="1">IFERROR(VLOOKUP(O$2,Rango_Admin_DailyPred,MATCH($F53,Rango_Admin_DailyPred_Primera,0)+1,0),"-")</f>
        <v>-</v>
      </c>
      <c r="P53" s="429" t="str">
        <f ca="1">IFERROR(VLOOKUP(P$2,Rango_Admin_DailyPred,MATCH($F53,Rango_Admin_DailyPred_Primera,0)+1,0),"-")</f>
        <v>-</v>
      </c>
      <c r="Q53" s="429" t="str">
        <f ca="1">IFERROR(VLOOKUP(Q$2,Rango_Admin_DailyPred,MATCH($F53,Rango_Admin_DailyPred_Primera,0)+1,0),"-")</f>
        <v>-</v>
      </c>
      <c r="R53" s="429" t="str">
        <f ca="1">IFERROR(VLOOKUP(R$2,Rango_Admin_DailyPred,MATCH($F53,Rango_Admin_DailyPred_Primera,0)+1,0),"-")</f>
        <v>-</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05" customHeight="1" thickBot="1">
      <c r="A5" s="25"/>
      <c r="B5" s="25"/>
      <c r="C5" s="17"/>
      <c r="D5" s="477" t="str">
        <f>Idiomas!D496</f>
        <v>Dia seleccionado en "Daily Prediction"</v>
      </c>
      <c r="E5" s="763">
        <f>DailyPrediction!H1</f>
        <v>46184</v>
      </c>
      <c r="F5" s="404">
        <f ca="1">VLOOKUP($E$5,Equipos!$Q$2:$R$37,2,0)</f>
        <v>1</v>
      </c>
      <c r="G5" s="17"/>
      <c r="H5" s="476" t="str">
        <f>Idiomas!D501</f>
        <v>Selecciona un partido de hoy:↗</v>
      </c>
      <c r="I5" s="450" t="s">
        <v>1938</v>
      </c>
      <c r="J5" s="17"/>
      <c r="K5" s="17"/>
      <c r="L5" s="855">
        <f>SUM(WORLDCUP!AG4:AG147)/104</f>
        <v>0.23076923076923078</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11/06/26 (Individual)</v>
      </c>
      <c r="E8" s="455">
        <f ca="1">IFERROR(SUMIF(ADMIN!$G$6:$G$258,$F$5,ADMIN!$F$6:$F$258),"")</f>
        <v>4</v>
      </c>
      <c r="F8" s="456">
        <f ca="1">IFERROR(E8/$B$46,0)</f>
        <v>4.5819014891179842E-3</v>
      </c>
      <c r="G8" s="17"/>
      <c r="H8" s="454" t="str" cm="1">
        <f t="array" aca="1" ref="H8:I15" ca="1">_xlfn.SORTBY(OFFSET($Y$35,0,0,COUNTA(_xlfn.ANCHORARRAY($Y$35)),2),OFFSET(Z35,0,0,COUNTA(_xlfn.ANCHORARRAY($Y$35))),-1)</f>
        <v>1|2-0</v>
      </c>
      <c r="I8" s="704">
        <f ca="1"/>
        <v>20</v>
      </c>
      <c r="J8" s="706" cm="1">
        <f t="array" aca="1" ref="J8:J1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K8" s="404" cm="1">
        <f t="array" aca="1" ref="K8:K1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10</v>
      </c>
      <c r="N8" s="469">
        <f ca="1">IFERROR(COUNTIF(ADMIN!$S$130:INDEX(ADMIN!$S$130:$KI$161,32,ADMIN!$D$5*3-1),Stats!$L8)-SUM(O8:T8),0)</f>
        <v>2</v>
      </c>
      <c r="O8" s="469">
        <f ca="1">COUNTIF(ADMIN!$S$182:INDEX(ADMIN!$S$182:$KI$197,16,ADMIN!$D$5*3-1),Stats!$L8)-SUM(P8:T8)</f>
        <v>30</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11/06/26 (Individual)</v>
      </c>
      <c r="E9" s="455">
        <f ca="1">IFERROR(SUMIF($A$22:$A$45,"&lt;"&amp;$F$5,$B$22:$B$45),"")</f>
        <v>0</v>
      </c>
      <c r="F9" s="456">
        <f ca="1">IFERROR(E9/$B$46,0)</f>
        <v>0</v>
      </c>
      <c r="G9" s="17"/>
      <c r="H9" s="457" t="str">
        <f ca="1"/>
        <v>Pegar Valores (J1)</v>
      </c>
      <c r="I9" s="704">
        <f ca="1"/>
        <v>10</v>
      </c>
      <c r="J9" s="706">
        <f ca="1"/>
        <v>0</v>
      </c>
      <c r="K9" s="404">
        <f ca="1"/>
        <v>0</v>
      </c>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11/06/26 (Individual)</v>
      </c>
      <c r="E10" s="455">
        <f ca="1">IFERROR(SUMIF($A$22:$A$45,"&lt;="&amp;$F$5,$B$22:$B$45),"")</f>
        <v>4</v>
      </c>
      <c r="F10" s="456">
        <f ca="1">IFERROR(E10/$B$46,0)</f>
        <v>4.5819014891179842E-3</v>
      </c>
      <c r="G10" s="17"/>
      <c r="H10" s="454" t="str">
        <f ca="1"/>
        <v>1|2-1</v>
      </c>
      <c r="I10" s="704">
        <f ca="1"/>
        <v>9</v>
      </c>
      <c r="J10" s="706">
        <f ca="1"/>
        <v>0</v>
      </c>
      <c r="K10" s="404">
        <f ca="1"/>
        <v>0</v>
      </c>
      <c r="L10" s="133" t="str">
        <f ca="1">Horarios!Q5</f>
        <v>Argelia</v>
      </c>
      <c r="M10" s="469">
        <f ca="1">ADMIN!$D$5-SUM(N10:T10)</f>
        <v>27</v>
      </c>
      <c r="N10" s="469">
        <f ca="1">IFERROR(COUNTIF(ADMIN!$S$130:INDEX(ADMIN!$S$130:$KI$161,32,ADMIN!$D$5*3-1),Stats!$L10)-SUM(O10:T10),0)</f>
        <v>21</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869</v>
      </c>
      <c r="F11" s="456">
        <f ca="1">IFERROR(1-F10,0)</f>
        <v>0.99541809851088203</v>
      </c>
      <c r="G11" s="17"/>
      <c r="H11" s="457" t="str">
        <f ca="1"/>
        <v>1|1-0</v>
      </c>
      <c r="I11" s="704">
        <f ca="1"/>
        <v>5</v>
      </c>
      <c r="J11" s="706">
        <f ca="1"/>
        <v>0</v>
      </c>
      <c r="K11" s="404">
        <f ca="1"/>
        <v>0</v>
      </c>
      <c r="L11" s="132" t="str">
        <f ca="1">Horarios!Q6</f>
        <v>Argentina</v>
      </c>
      <c r="M11" s="471">
        <f ca="1">ADMIN!$D$5-SUM(N11:T11)</f>
        <v>10</v>
      </c>
      <c r="N11" s="471">
        <f ca="1">IFERROR(COUNTIF(ADMIN!$S$130:INDEX(ADMIN!$S$130:$KI$161,32,ADMIN!$D$5*3-1),Stats!$L11)-SUM(O11:T11),0)</f>
        <v>4</v>
      </c>
      <c r="O11" s="471">
        <f ca="1">COUNTIF(ADMIN!$S$182:INDEX(ADMIN!$S$182:$KI$197,16,ADMIN!$D$5*3-1),Stats!$L11)-SUM(P11:T11)</f>
        <v>1</v>
      </c>
      <c r="P11" s="471">
        <f ca="1">COUNTIF(ADMIN!$S$210:INDEX(ADMIN!$S$210:$KI$217,8,ADMIN!$D$5*3-1),Stats!$L11)-SUM(Q11:T11)</f>
        <v>21</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200</v>
      </c>
      <c r="F12" s="456">
        <f ca="1">IFERROR(E12/B47,0)</f>
        <v>4.5819014891179842E-3</v>
      </c>
      <c r="G12" s="17"/>
      <c r="H12" s="454" t="str">
        <f ca="1"/>
        <v>1|3-1</v>
      </c>
      <c r="I12" s="704">
        <f ca="1"/>
        <v>3</v>
      </c>
      <c r="J12" s="706">
        <f ca="1"/>
        <v>0</v>
      </c>
      <c r="K12" s="404">
        <f ca="1"/>
        <v>0</v>
      </c>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101</v>
      </c>
      <c r="F13" s="456">
        <f ca="1">IFERROR(E13/E12,0)</f>
        <v>0.505</v>
      </c>
      <c r="G13" s="17"/>
      <c r="H13" s="457" t="str">
        <f ca="1"/>
        <v>1|3-0</v>
      </c>
      <c r="I13" s="704">
        <f ca="1"/>
        <v>1</v>
      </c>
      <c r="J13" s="706">
        <f ca="1"/>
        <v>0</v>
      </c>
      <c r="K13" s="404">
        <f ca="1"/>
        <v>0</v>
      </c>
      <c r="L13" s="132" t="str">
        <f ca="1">Horarios!Q8</f>
        <v>Austria</v>
      </c>
      <c r="M13" s="471">
        <f ca="1">ADMIN!$D$5-SUM(N13:T13)</f>
        <v>10</v>
      </c>
      <c r="N13" s="471">
        <f ca="1">IFERROR(COUNTIF(ADMIN!$S$130:INDEX(ADMIN!$S$130:$KI$161,32,ADMIN!$D$5*3-1),Stats!$L13)-SUM(O13:T13),0)</f>
        <v>38</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11/06/26?</v>
      </c>
      <c r="E14" s="455">
        <f ca="1">IFERROR(IF(SUM(ADMIN!$D$8:$D$47)=0,0,COUNTIF(DailyClas!$G$4:INDEX(DailyClas!$G:$G,ADMIN!$D$5+3),Stats!E8)),0)</f>
        <v>20</v>
      </c>
      <c r="F14" s="456">
        <f ca="1">IFERROR(E14/ADMIN!$D$5,0)</f>
        <v>0.4</v>
      </c>
      <c r="G14" s="17"/>
      <c r="H14" s="454" t="str">
        <f ca="1"/>
        <v>X|1-1</v>
      </c>
      <c r="I14" s="704">
        <f ca="1"/>
        <v>1</v>
      </c>
      <c r="J14" s="706">
        <f ca="1"/>
        <v>0</v>
      </c>
      <c r="K14" s="404">
        <f ca="1"/>
        <v>0</v>
      </c>
      <c r="L14" s="133" t="str">
        <f ca="1">Horarios!Q9</f>
        <v>Bélgica</v>
      </c>
      <c r="M14" s="469">
        <f ca="1">ADMIN!$D$5-SUM(N14:T14)</f>
        <v>10</v>
      </c>
      <c r="N14" s="469">
        <f ca="1">IFERROR(COUNTIF(ADMIN!$S$130:INDEX(ADMIN!$S$130:$KI$161,32,ADMIN!$D$5*3-1),Stats!$L14)-SUM(O14:T14),0)</f>
        <v>5</v>
      </c>
      <c r="O14" s="469">
        <f ca="1">COUNTIF(ADMIN!$S$182:INDEX(ADMIN!$S$182:$KI$197,16,ADMIN!$D$5*3-1),Stats!$L14)-SUM(P14:T14)</f>
        <v>18</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11/06/26?</v>
      </c>
      <c r="E15" s="455">
        <f ca="1">IFERROR(COUNTIF(DailyClas!$G$4:INDEX(DailyClas!$G$4:$G$100,ADMIN!$D$5),"&gt;0"),0)</f>
        <v>38</v>
      </c>
      <c r="F15" s="456">
        <f ca="1">IFERROR(E15/ADMIN!$D$5,0)</f>
        <v>0.76</v>
      </c>
      <c r="G15" s="17"/>
      <c r="H15" s="457" t="str">
        <f ca="1"/>
        <v>X|2-2</v>
      </c>
      <c r="I15" s="704">
        <f ca="1"/>
        <v>1</v>
      </c>
      <c r="J15" s="706">
        <f ca="1"/>
        <v>0</v>
      </c>
      <c r="K15" s="404">
        <f ca="1"/>
        <v>0</v>
      </c>
      <c r="L15" s="132" t="str">
        <f ca="1">Horarios!Q10</f>
        <v>Bosnia y Herzegovina</v>
      </c>
      <c r="M15" s="471">
        <f ca="1">ADMIN!$D$5-SUM(N15:T15)</f>
        <v>21</v>
      </c>
      <c r="N15" s="471">
        <f ca="1">IFERROR(COUNTIF(ADMIN!$S$130:INDEX(ADMIN!$S$130:$KI$161,32,ADMIN!$D$5*3-1),Stats!$L15)-SUM(O15:T15),0)</f>
        <v>25</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11/06/26?</v>
      </c>
      <c r="E16" s="455">
        <f ca="1">IFERROR(IF(SUM(ADMIN!$D$8:$D$47)=0,0,COUNTIF(DailyClas!$G$4:INDEX(DailyClas!$G$4:$G$100,ADMIN!$D$5),0)),0)</f>
        <v>12</v>
      </c>
      <c r="F16" s="456">
        <f ca="1">IFERROR(E16/ADMIN!$D$5,0)</f>
        <v>0.24</v>
      </c>
      <c r="G16" s="17"/>
      <c r="H16" s="454"/>
      <c r="I16" s="704"/>
      <c r="J16" s="706"/>
      <c r="K16" s="404"/>
      <c r="L16" s="133" t="str">
        <f ca="1">Horarios!Q11</f>
        <v>Brasil</v>
      </c>
      <c r="M16" s="469">
        <f ca="1">ADMIN!$D$5-SUM(N16:T16)</f>
        <v>10</v>
      </c>
      <c r="N16" s="469">
        <f ca="1">IFERROR(COUNTIF(ADMIN!$S$130:INDEX(ADMIN!$S$130:$KI$161,32,ADMIN!$D$5*3-1),Stats!$L16)-SUM(O16:T16),0)</f>
        <v>0</v>
      </c>
      <c r="O16" s="469">
        <f ca="1">COUNTIF(ADMIN!$S$182:INDEX(ADMIN!$S$182:$KI$197,16,ADMIN!$D$5*3-1),Stats!$L16)-SUM(P16:T16)</f>
        <v>5</v>
      </c>
      <c r="P16" s="469">
        <f ca="1">COUNTIF(ADMIN!$S$210:INDEX(ADMIN!$S$210:$KI$217,8,ADMIN!$D$5*3-1),Stats!$L16)-SUM(Q16:T16)</f>
        <v>14</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11/06/26?</v>
      </c>
      <c r="E17" s="459">
        <f ca="1">IFERROR(AVERAGE(DailyClas!$G$4:INDEX(DailyClas!$G$4:$G$100,ADMIN!$D$5)),0)</f>
        <v>2.02</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17</v>
      </c>
      <c r="N18" s="469">
        <f ca="1">IFERROR(COUNTIF(ADMIN!$S$130:INDEX(ADMIN!$S$130:$KI$161,32,ADMIN!$D$5*3-1),Stats!$L18)-SUM(O18:T18),0)</f>
        <v>20</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10</v>
      </c>
      <c r="N20" s="469">
        <f ca="1">IFERROR(COUNTIF(ADMIN!$S$130:INDEX(ADMIN!$S$130:$KI$161,32,ADMIN!$D$5*3-1),Stats!$L20)-SUM(O20:T20),0)</f>
        <v>16</v>
      </c>
      <c r="O20" s="469">
        <f ca="1">COUNTIF(ADMIN!$S$182:INDEX(ADMIN!$S$182:$KI$197,16,ADMIN!$D$5*3-1),Stats!$L20)-SUM(P20:T20)</f>
        <v>19</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17</v>
      </c>
      <c r="N21" s="471">
        <f ca="1">IFERROR(COUNTIF(ADMIN!$S$130:INDEX(ADMIN!$S$130:$KI$161,32,ADMIN!$D$5*3-1),Stats!$L21)-SUM(O21:T21),0)</f>
        <v>17</v>
      </c>
      <c r="O21" s="471">
        <f ca="1">COUNTIF(ADMIN!$S$182:INDEX(ADMIN!$S$182:$KI$197,16,ADMIN!$D$5*3-1),Stats!$L21)-SUM(P21:T21)</f>
        <v>14</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14</v>
      </c>
      <c r="N22" s="469">
        <f ca="1">IFERROR(COUNTIF(ADMIN!$S$130:INDEX(ADMIN!$S$130:$KI$161,32,ADMIN!$D$5*3-1),Stats!$L22)-SUM(O22:T22),0)</f>
        <v>26</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11</v>
      </c>
      <c r="N23" s="471">
        <f ca="1">IFERROR(COUNTIF(ADMIN!$S$130:INDEX(ADMIN!$S$130:$KI$161,32,ADMIN!$D$5*3-1),Stats!$L23)-SUM(O23:T23),0)</f>
        <v>23</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11</v>
      </c>
      <c r="N25" s="471">
        <f ca="1">IFERROR(COUNTIF(ADMIN!$S$130:INDEX(ADMIN!$S$130:$KI$161,32,ADMIN!$D$5*3-1),Stats!$L25)-SUM(O25:T25),0)</f>
        <v>26</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12</v>
      </c>
      <c r="N26" s="469">
        <f ca="1">IFERROR(COUNTIF(ADMIN!$S$130:INDEX(ADMIN!$S$130:$KI$161,32,ADMIN!$D$5*3-1),Stats!$L26)-SUM(O26:T26),0)</f>
        <v>33</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16</v>
      </c>
      <c r="N27" s="471">
        <f ca="1">IFERROR(COUNTIF(ADMIN!$S$130:INDEX(ADMIN!$S$130:$KI$161,32,ADMIN!$D$5*3-1),Stats!$L27)-SUM(O27:T27),0)</f>
        <v>30</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10</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22</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10</v>
      </c>
      <c r="N29" s="471">
        <f ca="1">IFERROR(COUNTIF(ADMIN!$S$130:INDEX(ADMIN!$S$130:$KI$161,32,ADMIN!$D$5*3-1),Stats!$L29)-SUM(O29:T29),0)</f>
        <v>11</v>
      </c>
      <c r="O29" s="471">
        <f ca="1">COUNTIF(ADMIN!$S$182:INDEX(ADMIN!$S$182:$KI$197,16,ADMIN!$D$5*3-1),Stats!$L29)-SUM(P29:T29)</f>
        <v>26</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10</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15</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10</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9</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e" cm="1" vm="49">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1</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38</v>
      </c>
      <c r="F35" s="25">
        <f ca="1">IFERROR(E35/SUM($E$35:E37),0)</f>
        <v>0.95</v>
      </c>
      <c r="G35" s="17"/>
      <c r="H35" s="17"/>
      <c r="I35" s="17"/>
      <c r="J35" s="25"/>
      <c r="K35" s="25"/>
      <c r="L35" s="132" t="str">
        <f ca="1">Horarios!Q30</f>
        <v>Irán</v>
      </c>
      <c r="M35" s="471">
        <f ca="1">ADMIN!$D$5-SUM(N35:T35)</f>
        <v>30</v>
      </c>
      <c r="N35" s="471">
        <f ca="1">IFERROR(COUNTIF(ADMIN!$S$130:INDEX(ADMIN!$S$130:$KI$161,32,ADMIN!$D$5*3-1),Stats!$L35)-SUM(O35:T35),0)</f>
        <v>20</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cm="1">
        <f t="array" aca="1" ref="W35:W42" ca="1">IFERROR(IF(_xlfn.ANCHORARRAY(Y35)&lt;&gt;"",COUNTIF(INDEX(DailyPrediction!$G$4:$AQ$100,,MATCH(Stats!$I$5,DailyPrediction!$G$2:$AQ$2,0)),_xlfn.ANCHORARRAY(Y35)),""),"")</f>
        <v>5</v>
      </c>
      <c r="X35" s="11" t="str" cm="1">
        <f t="array" aca="1" ref="X35:X42" ca="1">IFERROR(_xlfn._xlws.SORT(_xlfn.UNIQUE(_xlfn._xlws.FILTER(INDEX(DailyPrediction!$G$4:$AQ$100,,MATCH(Stats!$I$5,DailyPrediction!$G$2:$AQ$2,0)),LEN(INDEX(DailyPrediction!$G$4:$AQ$100,,MATCH(Stats!$I$5,DailyPrediction!$G$2:$AQ$2,0)))&gt;1))),Idiomas!D501)</f>
        <v>1|1-0</v>
      </c>
      <c r="Y35" s="11" t="str" cm="1">
        <f t="array" aca="1" ref="Y35:Y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42" ca="1">IFERROR(IF(_xlfn.ANCHORARRAY(Y35)&lt;&gt;"",COUNTIF(INDEX(OFFSET(DailyPrediction!$G$4,0,0,ADMIN!$D$5,COUNTA(DailyPrediction!$A$4:$A$35)),,MATCH(Stats!$I$5,OFFSET(DailyPrediction!$G$2,0,0,1,COUNTA(DailyPrediction!$A$4:$A$35)),0)),_xlfn.ANCHORARRAY(Y35)),""),"")</f>
        <v>5</v>
      </c>
      <c r="AA35" s="11" cm="1">
        <f t="array" aca="1" ref="AA35:AA42"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AB35" s="11" cm="1">
        <f t="array" aca="1" ref="AB35:AB42"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42" ca="1">_xlfn.SORTBY(OFFSET($Y$35,0,0,COUNTA(_xlfn.ANCHORARRAY($Y$35)),3),OFFSET(Z35,0,0,COUNTA(_xlfn.ANCHORARRAY($Y$35))),-1)</f>
        <v>1|2-0</v>
      </c>
      <c r="AD35" s="11">
        <f ca="1"/>
        <v>20</v>
      </c>
      <c r="AE35" s="11">
        <f ca="1"/>
        <v>0</v>
      </c>
      <c r="AF35" s="11"/>
      <c r="AG35" s="11" t="str" cm="1">
        <f t="array" aca="1" ref="AG35" ca="1">_xlfn.UNIQUE(_xlfn._xlws.FILTER(DailyPrediction!$A$4:$A$35,DailyPrediction!$A$4:$A$35&lt;&gt;""))</f>
        <v>México-Sudáfrica</v>
      </c>
      <c r="AH35" s="11" t="str" cm="1">
        <f t="array" aca="1" ref="AH35:AH42" ca="1">LEFT(OFFSET(_xlfn.ANCHORARRAY(Y35),0,0,COUNTA(_xlfn.ANCHORARRAY(Y35)),1))</f>
        <v>1</v>
      </c>
      <c r="AI35" s="11" t="str" cm="1">
        <f t="array" aca="1" ref="AI35:AI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42"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2</v>
      </c>
      <c r="F36" s="25">
        <f ca="1">IFERROR(E36/SUM($E$35:E38),0)</f>
        <v>0.05</v>
      </c>
      <c r="G36" s="17"/>
      <c r="H36" s="17"/>
      <c r="I36" s="17"/>
      <c r="J36" s="25"/>
      <c r="K36" s="25"/>
      <c r="L36" s="133" t="str">
        <f ca="1">Horarios!Q31</f>
        <v>Japón</v>
      </c>
      <c r="M36" s="469">
        <f ca="1">ADMIN!$D$5-SUM(N36:T36)</f>
        <v>13</v>
      </c>
      <c r="N36" s="469">
        <f ca="1">IFERROR(COUNTIF(ADMIN!$S$130:INDEX(ADMIN!$S$130:$KI$161,32,ADMIN!$D$5*3-1),Stats!$L36)-SUM(O36:T36),0)</f>
        <v>35</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f ca="1"/>
        <v>20</v>
      </c>
      <c r="X36" s="11" t="str">
        <f ca="1"/>
        <v>1|2-0</v>
      </c>
      <c r="Y36" s="11" t="str">
        <f ca="1"/>
        <v>1|2-0</v>
      </c>
      <c r="Z36" s="11">
        <f ca="1"/>
        <v>20</v>
      </c>
      <c r="AA36" s="11">
        <f ca="1"/>
        <v>0</v>
      </c>
      <c r="AB36" s="11">
        <f ca="1"/>
        <v>0</v>
      </c>
      <c r="AC36" s="11" t="str">
        <f ca="1"/>
        <v>Pegar Valores (J1)</v>
      </c>
      <c r="AD36" s="11">
        <f ca="1"/>
        <v>10</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f ca="1"/>
        <v>9</v>
      </c>
      <c r="X37" s="11" t="str">
        <f ca="1"/>
        <v>1|2-1</v>
      </c>
      <c r="Y37" s="11" t="str">
        <f ca="1"/>
        <v>1|2-1</v>
      </c>
      <c r="Z37" s="11">
        <f ca="1"/>
        <v>9</v>
      </c>
      <c r="AA37" s="11">
        <f ca="1"/>
        <v>0</v>
      </c>
      <c r="AB37" s="11">
        <f ca="1"/>
        <v>0</v>
      </c>
      <c r="AC37" s="11" t="str">
        <f ca="1"/>
        <v>1|2-1</v>
      </c>
      <c r="AD37" s="11">
        <f ca="1"/>
        <v>9</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10</v>
      </c>
      <c r="N38" s="469">
        <f ca="1">IFERROR(COUNTIF(ADMIN!$S$130:INDEX(ADMIN!$S$130:$KI$161,32,ADMIN!$D$5*3-1),Stats!$L38)-SUM(O38:T38),0)</f>
        <v>23</v>
      </c>
      <c r="O38" s="469">
        <f ca="1">COUNTIF(ADMIN!$S$182:INDEX(ADMIN!$S$182:$KI$197,16,ADMIN!$D$5*3-1),Stats!$L38)-SUM(P38:T38)</f>
        <v>4</v>
      </c>
      <c r="P38" s="469">
        <f ca="1">COUNTIF(ADMIN!$S$210:INDEX(ADMIN!$S$210:$KI$217,8,ADMIN!$D$5*3-1),Stats!$L38)-SUM(Q38:T38)</f>
        <v>12</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f ca="1"/>
        <v>1</v>
      </c>
      <c r="X38" s="11" t="str">
        <f ca="1"/>
        <v>1|3-0</v>
      </c>
      <c r="Y38" s="11" t="str">
        <f ca="1"/>
        <v>1|3-0</v>
      </c>
      <c r="Z38" s="11">
        <f ca="1"/>
        <v>1</v>
      </c>
      <c r="AA38" s="11">
        <f ca="1"/>
        <v>0</v>
      </c>
      <c r="AB38" s="11">
        <f ca="1"/>
        <v>0</v>
      </c>
      <c r="AC38" s="11" t="str">
        <f ca="1"/>
        <v>1|1-0</v>
      </c>
      <c r="AD38" s="11">
        <f ca="1"/>
        <v>5</v>
      </c>
      <c r="AE38" s="11">
        <f ca="1"/>
        <v>20</v>
      </c>
      <c r="AF38" s="11"/>
      <c r="AG38" s="11"/>
      <c r="AH38" s="11" t="str">
        <f ca="1"/>
        <v>1</v>
      </c>
      <c r="AI38" s="11" t="str">
        <f ca="1"/>
        <v>1|3-0</v>
      </c>
      <c r="AJ38" s="11" t="str">
        <f ca="1"/>
        <v>1|3-0</v>
      </c>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10</v>
      </c>
      <c r="N39" s="471">
        <f ca="1">IFERROR(COUNTIF(ADMIN!$S$130:INDEX(ADMIN!$S$130:$KI$161,32,ADMIN!$D$5*3-1),Stats!$L39)-SUM(O39:T39),0)</f>
        <v>9</v>
      </c>
      <c r="O39" s="471">
        <f ca="1">COUNTIF(ADMIN!$S$182:INDEX(ADMIN!$S$182:$KI$197,16,ADMIN!$D$5*3-1),Stats!$L39)-SUM(P39:T39)</f>
        <v>25</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f ca="1"/>
        <v>3</v>
      </c>
      <c r="X39" s="11" t="str">
        <f ca="1"/>
        <v>1|3-1</v>
      </c>
      <c r="Y39" s="11" t="str">
        <f ca="1"/>
        <v>1|3-1</v>
      </c>
      <c r="Z39" s="11">
        <f ca="1"/>
        <v>3</v>
      </c>
      <c r="AA39" s="11">
        <f ca="1"/>
        <v>0</v>
      </c>
      <c r="AB39" s="11">
        <f ca="1"/>
        <v>0</v>
      </c>
      <c r="AC39" s="11" t="str">
        <f ca="1"/>
        <v>1|3-1</v>
      </c>
      <c r="AD39" s="11">
        <f ca="1"/>
        <v>3</v>
      </c>
      <c r="AE39" s="11">
        <f ca="1"/>
        <v>0</v>
      </c>
      <c r="AF39" s="11"/>
      <c r="AG39" s="11"/>
      <c r="AH39" s="11" t="str">
        <f ca="1"/>
        <v>1</v>
      </c>
      <c r="AI39" s="11" t="str">
        <f ca="1"/>
        <v>1|3-1</v>
      </c>
      <c r="AJ39" s="11" t="str">
        <f ca="1"/>
        <v>1|3-1</v>
      </c>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10</v>
      </c>
      <c r="N40" s="469">
        <f ca="1">IFERROR(COUNTIF(ADMIN!$S$130:INDEX(ADMIN!$S$130:$KI$161,32,ADMIN!$D$5*3-1),Stats!$L40)-SUM(O40:T40),0)</f>
        <v>14</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f ca="1"/>
        <v>10</v>
      </c>
      <c r="X40" s="11" t="str">
        <f ca="1"/>
        <v>Pegar Valores (J1)</v>
      </c>
      <c r="Y40" s="11" t="str">
        <f ca="1"/>
        <v>Pegar Valores (J1)</v>
      </c>
      <c r="Z40" s="11">
        <f ca="1"/>
        <v>10</v>
      </c>
      <c r="AA40" s="11">
        <f ca="1"/>
        <v>0</v>
      </c>
      <c r="AB40" s="11">
        <f ca="1"/>
        <v>0</v>
      </c>
      <c r="AC40" s="11" t="str">
        <f ca="1"/>
        <v>1|3-0</v>
      </c>
      <c r="AD40" s="11">
        <f ca="1"/>
        <v>1</v>
      </c>
      <c r="AE40" s="11">
        <f ca="1"/>
        <v>0</v>
      </c>
      <c r="AF40" s="11"/>
      <c r="AG40" s="11"/>
      <c r="AH40" s="11" t="str">
        <f ca="1"/>
        <v>P</v>
      </c>
      <c r="AI40" s="11" t="str">
        <f ca="1"/>
        <v>Pegar Valores (J1)</v>
      </c>
      <c r="AJ40" s="11" t="str">
        <f ca="1"/>
        <v>Pegar Valores (J1)</v>
      </c>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f ca="1"/>
        <v>1</v>
      </c>
      <c r="X41" s="11" t="str">
        <f ca="1"/>
        <v>X|1-1</v>
      </c>
      <c r="Y41" s="11" t="str">
        <f ca="1"/>
        <v>X|1-1</v>
      </c>
      <c r="Z41" s="11">
        <f ca="1"/>
        <v>1</v>
      </c>
      <c r="AA41" s="11">
        <f ca="1"/>
        <v>0</v>
      </c>
      <c r="AB41" s="11">
        <f ca="1"/>
        <v>0</v>
      </c>
      <c r="AC41" s="11" t="str">
        <f ca="1"/>
        <v>X|1-1</v>
      </c>
      <c r="AD41" s="11">
        <f ca="1"/>
        <v>1</v>
      </c>
      <c r="AE41" s="11">
        <f ca="1"/>
        <v>0</v>
      </c>
      <c r="AF41" s="11"/>
      <c r="AG41" s="11"/>
      <c r="AH41" s="11" t="str">
        <f ca="1"/>
        <v>X</v>
      </c>
      <c r="AI41" s="11" t="str">
        <f ca="1"/>
        <v>X|1-1</v>
      </c>
      <c r="AJ41" s="11" t="str">
        <f ca="1"/>
        <v>X|1-1</v>
      </c>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10</v>
      </c>
      <c r="N42" s="469">
        <f ca="1">IFERROR(COUNTIF(ADMIN!$S$130:INDEX(ADMIN!$S$130:$KI$161,32,ADMIN!$D$5*3-1),Stats!$L42)-SUM(O42:T42),0)</f>
        <v>21</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f ca="1"/>
        <v>1</v>
      </c>
      <c r="X42" s="11" t="str">
        <f ca="1"/>
        <v>X|2-2</v>
      </c>
      <c r="Y42" s="11" t="str">
        <f ca="1"/>
        <v>X|2-2</v>
      </c>
      <c r="Z42" s="11">
        <f ca="1"/>
        <v>1</v>
      </c>
      <c r="AA42" s="11">
        <f ca="1"/>
        <v>0</v>
      </c>
      <c r="AB42" s="11">
        <f ca="1"/>
        <v>0</v>
      </c>
      <c r="AC42" s="11" t="str">
        <f ca="1"/>
        <v>X|2-2</v>
      </c>
      <c r="AD42" s="11">
        <f ca="1"/>
        <v>1</v>
      </c>
      <c r="AE42" s="11">
        <f ca="1"/>
        <v>0</v>
      </c>
      <c r="AF42" s="11"/>
      <c r="AG42" s="11"/>
      <c r="AH42" s="11" t="str">
        <f ca="1"/>
        <v>X</v>
      </c>
      <c r="AI42" s="11" t="str">
        <f ca="1"/>
        <v>X|2-2</v>
      </c>
      <c r="AJ42" s="11" t="str">
        <f ca="1"/>
        <v>X|2-2</v>
      </c>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27</v>
      </c>
      <c r="N44" s="469">
        <f ca="1">IFERROR(COUNTIF(ADMIN!$S$130:INDEX(ADMIN!$S$130:$KI$161,32,ADMIN!$D$5*3-1),Stats!$L44)-SUM(O44:T44),0)</f>
        <v>16</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75 goles en el Mundial de Clubes sin contar tandas de penalti</v>
      </c>
      <c r="F45" s="453"/>
      <c r="G45" s="17"/>
      <c r="H45" s="17"/>
      <c r="I45" s="17"/>
      <c r="J45" s="25"/>
      <c r="K45" s="25"/>
      <c r="L45" s="132" t="str">
        <f ca="1">Horarios!Q40</f>
        <v>Portugal</v>
      </c>
      <c r="M45" s="471">
        <f ca="1">ADMIN!$D$5-SUM(N45:T45)</f>
        <v>10</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12</v>
      </c>
      <c r="T45" s="472">
        <f ca="1">IFERROR(COUNTIF(ADMIN!$S$250:INDEX(ADMIN!$S$250:$KI$250,1,ADMIN!$D$5*3-1),Stats!$L45),0)</f>
        <v>9</v>
      </c>
      <c r="U45" s="25"/>
      <c r="V45" s="11">
        <f t="shared" ca="1" si="0"/>
        <v>50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17</v>
      </c>
      <c r="N47" s="471">
        <f ca="1">IFERROR(COUNTIF(ADMIN!$S$130:INDEX(ADMIN!$S$130:$KI$161,32,ADMIN!$D$5*3-1),Stats!$L47)-SUM(O47:T47),0)</f>
        <v>24</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14</v>
      </c>
      <c r="N48" s="469">
        <f ca="1">IFERROR(COUNTIF(ADMIN!$S$130:INDEX(ADMIN!$S$130:$KI$161,32,ADMIN!$D$5*3-1),Stats!$L48)-SUM(O48:T48),0)</f>
        <v>29</v>
      </c>
      <c r="O48" s="469">
        <f ca="1">COUNTIF(ADMIN!$S$182:INDEX(ADMIN!$S$182:$KI$197,16,ADMIN!$D$5*3-1),Stats!$L48)-SUM(P48:T48)</f>
        <v>6</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10</v>
      </c>
      <c r="N51" s="471">
        <f ca="1">IFERROR(COUNTIF(ADMIN!$S$130:INDEX(ADMIN!$S$130:$KI$161,32,ADMIN!$D$5*3-1),Stats!$L51)-SUM(O51:T51),0)</f>
        <v>5</v>
      </c>
      <c r="O51" s="471">
        <f ca="1">COUNTIF(ADMIN!$S$182:INDEX(ADMIN!$S$182:$KI$197,16,ADMIN!$D$5*3-1),Stats!$L51)-SUM(P51:T51)</f>
        <v>34</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10</v>
      </c>
      <c r="N53" s="471">
        <f ca="1">IFERROR(COUNTIF(ADMIN!$S$130:INDEX(ADMIN!$S$130:$KI$161,32,ADMIN!$D$5*3-1),Stats!$L53)-SUM(O53:T53),0)</f>
        <v>4</v>
      </c>
      <c r="O53" s="471">
        <f ca="1">COUNTIF(ADMIN!$S$182:INDEX(ADMIN!$S$182:$KI$197,16,ADMIN!$D$5*3-1),Stats!$L53)-SUM(P53:T53)</f>
        <v>20</v>
      </c>
      <c r="P53" s="471">
        <f ca="1">COUNTIF(ADMIN!$S$210:INDEX(ADMIN!$S$210:$KI$217,8,ADMIN!$D$5*3-1),Stats!$L53)-SUM(Q53:T53)</f>
        <v>15</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10</v>
      </c>
      <c r="N54" s="469">
        <f ca="1">IFERROR(COUNTIF(ADMIN!$S$130:INDEX(ADMIN!$S$130:$KI$161,32,ADMIN!$D$5*3-1),Stats!$L54)-SUM(O54:T54),0)</f>
        <v>35</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05"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049999999999997"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05" customHeight="1">
      <c r="N92" s="493" t="s">
        <v>1792</v>
      </c>
      <c r="O92" s="493" t="s">
        <v>1793</v>
      </c>
      <c r="P92" s="493" t="s">
        <v>1807</v>
      </c>
      <c r="Q92" s="493" t="s">
        <v>1804</v>
      </c>
      <c r="R92" s="493" t="s">
        <v>1801</v>
      </c>
    </row>
    <row r="93" spans="13:25" ht="25.05"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109375" style="1" customWidth="1"/>
    <col min="7" max="7" width="2.44140625" style="1" bestFit="1" customWidth="1"/>
    <col min="8" max="9" width="3.77734375" style="1" customWidth="1"/>
    <col min="10" max="10" width="4.44140625" style="1" customWidth="1"/>
    <col min="11" max="11" width="4.777343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777343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777343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050000000000001"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1093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109375" style="9" bestFit="1" customWidth="1"/>
    <col min="2" max="2" width="5" style="9" customWidth="1"/>
    <col min="3" max="3" width="12.44140625" style="9" customWidth="1"/>
    <col min="4" max="4" width="13.109375" style="9" customWidth="1"/>
    <col min="5" max="5" width="12.33203125" style="9" bestFit="1" customWidth="1"/>
    <col min="6" max="6" width="10.77734375" style="9"/>
    <col min="7" max="7" width="12.33203125" style="9" bestFit="1" customWidth="1"/>
    <col min="8" max="15" width="10.77734375" style="9"/>
    <col min="16" max="16" width="4.777343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2026-06-18T05:46:46Z</dcterms:modified>
  <cp:category/>
</cp:coreProperties>
</file>