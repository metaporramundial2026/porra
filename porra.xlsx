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221" documentId="13_ncr:1_{AF5F34E1-3CEA-4E5C-856E-DF27FFEF07FE}" xr6:coauthVersionLast="47" xr6:coauthVersionMax="47" xr10:uidLastSave="{250212E9-225A-4B7C-BB47-773C831A0AE3}"/>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M205" i="46" s="1"/>
  <c r="L206" i="46"/>
  <c r="L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s="1"/>
  <c r="L201" i="46"/>
  <c r="L200" i="46"/>
  <c r="L179" i="46"/>
  <c r="L178" i="46"/>
  <c r="L177" i="46"/>
  <c r="L176" i="46"/>
  <c r="L175" i="46"/>
  <c r="L174" i="46"/>
  <c r="M174" i="46" s="1"/>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Q220" i="46" s="1"/>
  <c r="B223" i="46"/>
  <c r="A223" i="46"/>
  <c r="B222" i="46"/>
  <c r="A222" i="46"/>
  <c r="E222" i="46" s="1"/>
  <c r="B221" i="46"/>
  <c r="A221" i="46"/>
  <c r="Q221" i="46" s="1"/>
  <c r="O223" i="46"/>
  <c r="N223" i="46"/>
  <c r="O222" i="46"/>
  <c r="N222" i="46"/>
  <c r="O221" i="46"/>
  <c r="M221" i="46" s="1"/>
  <c r="N221" i="46"/>
  <c r="O220" i="46"/>
  <c r="N220" i="46"/>
  <c r="P220" i="46" s="1"/>
  <c r="B207" i="46"/>
  <c r="A207" i="46"/>
  <c r="B206" i="46"/>
  <c r="A206" i="46"/>
  <c r="E206" i="46" s="1"/>
  <c r="B205" i="46"/>
  <c r="A205" i="46"/>
  <c r="E205" i="46" s="1"/>
  <c r="B204" i="46"/>
  <c r="A204" i="46"/>
  <c r="E204" i="46"/>
  <c r="B203" i="46"/>
  <c r="A203" i="46"/>
  <c r="B202" i="46"/>
  <c r="A202" i="46"/>
  <c r="Q202" i="46" s="1"/>
  <c r="E202" i="46"/>
  <c r="B201" i="46"/>
  <c r="A201" i="46"/>
  <c r="E201" i="46"/>
  <c r="B200" i="46"/>
  <c r="A200" i="46"/>
  <c r="O207" i="46"/>
  <c r="P207" i="46" s="1"/>
  <c r="N207" i="46"/>
  <c r="O206" i="46"/>
  <c r="N206" i="46"/>
  <c r="O205" i="46"/>
  <c r="N205" i="46"/>
  <c r="O204" i="46"/>
  <c r="N204" i="46"/>
  <c r="O203" i="46"/>
  <c r="N203" i="46"/>
  <c r="P203" i="46" s="1"/>
  <c r="O202" i="46"/>
  <c r="M202" i="46" s="1"/>
  <c r="N202" i="46"/>
  <c r="P202" i="46" s="1"/>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07" i="46"/>
  <c r="D366" i="36"/>
  <c r="D443" i="36"/>
  <c r="D43" i="36"/>
  <c r="AA156" i="3"/>
  <c r="M37" i="46"/>
  <c r="E179" i="46"/>
  <c r="E247"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Q45" i="46"/>
  <c r="Q76" i="46"/>
  <c r="E233" i="46"/>
  <c r="M61" i="46"/>
  <c r="M45" i="46"/>
  <c r="M69" i="46"/>
  <c r="Q20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Q203" i="46"/>
  <c r="Q207" i="46"/>
  <c r="Q65" i="46"/>
  <c r="BD65" i="46"/>
  <c r="Q232" i="46"/>
  <c r="Q33" i="46"/>
  <c r="AO33" i="46"/>
  <c r="Q37" i="46"/>
  <c r="Q41" i="46"/>
  <c r="AR41" i="46"/>
  <c r="Q49" i="46"/>
  <c r="AU49" i="46"/>
  <c r="P204" i="46"/>
  <c r="P247"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Q68" i="46"/>
  <c r="Q16" i="46"/>
  <c r="T65" i="46"/>
  <c r="Q29"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M233" i="46"/>
  <c r="P233" i="46"/>
  <c r="M244" i="46"/>
  <c r="P244"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05" i="46"/>
  <c r="Q204" i="46"/>
  <c r="E200" i="46"/>
  <c r="M206"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AF143" i="3"/>
  <c r="AQ32" i="45" s="1"/>
  <c r="H139"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Q222" i="46" l="1"/>
  <c r="E221" i="46"/>
  <c r="P221" i="46"/>
  <c r="M207" i="46"/>
  <c r="Q206" i="46"/>
  <c r="Q205" i="46"/>
  <c r="M201" i="46"/>
  <c r="P177" i="46"/>
  <c r="M177" i="46"/>
  <c r="P176" i="46"/>
  <c r="M175" i="46"/>
  <c r="F5" i="48" a="1"/>
  <c r="F5" i="48" s="1"/>
  <c r="P173" i="46"/>
  <c r="Q173" i="46"/>
  <c r="E171" i="46"/>
  <c r="E170" i="46"/>
  <c r="Q168" i="46"/>
  <c r="K247" i="46"/>
  <c r="BA21" i="45"/>
  <c r="M250" i="46"/>
  <c r="FK250" i="46" s="1"/>
  <c r="M143" i="3"/>
  <c r="AG151" i="3"/>
  <c r="BB23" i="45"/>
  <c r="M165" i="46"/>
  <c r="E7" i="48"/>
  <c r="F6" i="48" a="1"/>
  <c r="F6" i="48" s="1"/>
  <c r="K244" i="46"/>
  <c r="C244" i="46"/>
  <c r="M147" i="3"/>
  <c r="DT143" i="3"/>
  <c r="C247" i="46"/>
  <c r="AG139" i="3"/>
  <c r="BV252" i="46"/>
  <c r="EY252" i="46"/>
  <c r="EA252" i="46"/>
  <c r="CB252" i="46"/>
  <c r="CQ252" i="46"/>
  <c r="DC252" i="46"/>
  <c r="BY252" i="46"/>
  <c r="AO252" i="46"/>
  <c r="ED252" i="46"/>
  <c r="FK252" i="46"/>
  <c r="EG252" i="46"/>
  <c r="EJ252" i="46"/>
  <c r="AI252" i="46"/>
  <c r="BJ252" i="46"/>
  <c r="BM252" i="46"/>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M237" i="46"/>
  <c r="M241" i="46"/>
  <c r="AZ25" i="45"/>
  <c r="AG152" i="3"/>
  <c r="N143" i="3"/>
  <c r="DT147" i="3"/>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M240" i="46"/>
  <c r="AU25" i="45"/>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G250" i="46" l="1"/>
  <c r="DO250" i="46"/>
  <c r="DO259" i="46" s="1"/>
  <c r="CN250" i="46"/>
  <c r="CN259" i="46" s="1"/>
  <c r="FE250" i="46"/>
  <c r="FE259" i="46" s="1"/>
  <c r="Z250" i="46"/>
  <c r="Z259" i="46" s="1"/>
  <c r="BD247" i="46"/>
  <c r="BD248" i="46" s="1"/>
  <c r="BJ250" i="46"/>
  <c r="BJ259" i="46" s="1"/>
  <c r="AF250" i="46"/>
  <c r="AF259" i="46" s="1"/>
  <c r="DF250" i="46"/>
  <c r="DF259" i="46" s="1"/>
  <c r="FB250" i="46"/>
  <c r="FB259" i="46" s="1"/>
  <c r="AI250" i="46"/>
  <c r="AI259" i="46" s="1"/>
  <c r="DR250" i="46"/>
  <c r="DR259" i="46" s="1"/>
  <c r="BA250" i="46"/>
  <c r="BA259" i="46" s="1"/>
  <c r="AR250" i="46"/>
  <c r="AR259" i="46" s="1"/>
  <c r="CK250" i="46"/>
  <c r="CK259" i="46" s="1"/>
  <c r="BP250" i="46"/>
  <c r="BP259" i="46" s="1"/>
  <c r="EV250" i="46"/>
  <c r="EV259" i="46" s="1"/>
  <c r="AL250" i="46"/>
  <c r="AL259" i="46" s="1"/>
  <c r="ES250" i="46"/>
  <c r="ES259" i="46" s="1"/>
  <c r="AX250" i="46"/>
  <c r="AX259" i="46" s="1"/>
  <c r="AO250" i="46"/>
  <c r="AO259" i="46" s="1"/>
  <c r="BM250" i="46"/>
  <c r="BM259" i="46" s="1"/>
  <c r="DI250" i="46"/>
  <c r="DI259" i="46" s="1"/>
  <c r="EY250" i="46"/>
  <c r="EY259" i="46" s="1"/>
  <c r="DL250" i="46"/>
  <c r="DL259" i="46" s="1"/>
  <c r="EM250" i="46"/>
  <c r="EM259" i="46" s="1"/>
  <c r="W250" i="46"/>
  <c r="W259" i="46" s="1"/>
  <c r="ED250" i="46"/>
  <c r="ED259" i="46" s="1"/>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EM244" i="46"/>
  <c r="EM245" i="46" s="1"/>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AL244" i="46"/>
  <c r="AL245" i="46" s="1"/>
  <c r="DO247" i="46"/>
  <c r="DO248" i="46" s="1"/>
  <c r="BS236" i="46"/>
  <c r="DR237" i="46"/>
  <c r="CK237" i="46"/>
  <c r="CW237" i="46"/>
  <c r="CH237" i="46"/>
  <c r="AI237" i="46"/>
  <c r="Z237" i="46"/>
  <c r="EV236" i="46"/>
  <c r="BG237" i="46"/>
  <c r="BJ236" i="46"/>
  <c r="DC236" i="46"/>
  <c r="FH237" i="46"/>
  <c r="CT237" i="46"/>
  <c r="AI244" i="46"/>
  <c r="AI245" i="46" s="1"/>
  <c r="BM237" i="46"/>
  <c r="ES247" i="46"/>
  <c r="ES248" i="46" s="1"/>
  <c r="FK236" i="46"/>
  <c r="EJ236"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DO237" i="46"/>
  <c r="CB237" i="46"/>
  <c r="FK237" i="46"/>
  <c r="BJ237" i="46"/>
  <c r="AX236" i="46"/>
  <c r="EG259" i="46"/>
  <c r="FH236" i="46"/>
  <c r="FE236" i="46"/>
  <c r="DX237" i="46"/>
  <c r="Z236" i="46"/>
  <c r="EG236" i="46"/>
  <c r="EM237" i="46"/>
  <c r="BP237" i="46"/>
  <c r="AF236" i="46"/>
  <c r="DL237"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DF240" i="46"/>
  <c r="BG241" i="46"/>
  <c r="BV240" i="46"/>
  <c r="CZ240" i="46"/>
  <c r="AC241" i="46"/>
  <c r="EA241" i="46"/>
  <c r="DI241" i="46"/>
  <c r="W241" i="46"/>
  <c r="CW241" i="46"/>
  <c r="CT240" i="46"/>
  <c r="EP240" i="46"/>
  <c r="ES241" i="46"/>
  <c r="FK240" i="46"/>
  <c r="BP241" i="46"/>
  <c r="BJ241" i="46"/>
  <c r="DL241" i="46"/>
  <c r="AU241" i="46"/>
  <c r="BS241" i="46"/>
  <c r="DU241" i="46"/>
  <c r="AI28" i="32"/>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BD33" i="3"/>
  <c r="A56" i="3"/>
  <c r="AI47" i="32"/>
  <c r="AI35" i="32"/>
  <c r="A37" i="3"/>
  <c r="BD22" i="3"/>
  <c r="BC20" i="3"/>
  <c r="A6" i="3"/>
  <c r="BD7" i="3"/>
  <c r="BD21" i="3"/>
  <c r="A32" i="3"/>
  <c r="A63" i="3"/>
  <c r="BD36" i="3"/>
  <c r="AF242" i="46" l="1"/>
  <c r="BA238" i="46"/>
  <c r="EV238" i="46"/>
  <c r="ES238" i="46"/>
  <c r="W238" i="46"/>
  <c r="CT238" i="46"/>
  <c r="FB238"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AL238" i="46"/>
  <c r="EP242" i="46"/>
  <c r="DU242" i="46"/>
  <c r="AC242" i="46"/>
  <c r="DF238" i="46"/>
  <c r="CQ238" i="46"/>
  <c r="EY238" i="46"/>
  <c r="FE242" i="46"/>
  <c r="FE238" i="46"/>
  <c r="E9" i="48"/>
  <c r="F8" i="48" a="1"/>
  <c r="F8" i="48" s="1"/>
  <c r="DF242" i="46"/>
  <c r="DL238" i="46"/>
  <c r="AR238" i="46"/>
  <c r="AO238" i="46"/>
  <c r="EM238" i="46"/>
  <c r="EP238" i="46"/>
  <c r="DO238" i="46"/>
  <c r="AF238" i="46"/>
  <c r="T238" i="46"/>
  <c r="M238" i="46"/>
  <c r="BY238" i="46"/>
  <c r="DI238" i="46"/>
  <c r="BD238" i="46"/>
  <c r="BP238" i="46"/>
  <c r="AX242" i="46"/>
  <c r="CZ242" i="46"/>
  <c r="BP242" i="46"/>
  <c r="CQ242" i="46"/>
  <c r="EV242" i="46"/>
  <c r="CB242" i="46"/>
  <c r="AI242" i="46"/>
  <c r="ED238" i="46"/>
  <c r="CE238" i="46"/>
  <c r="BV242" i="46"/>
  <c r="CW242" i="46"/>
  <c r="CB238" i="46"/>
  <c r="DU238" i="46"/>
  <c r="CK242" i="46"/>
  <c r="CZ238" i="46"/>
  <c r="FH242" i="46"/>
  <c r="AC238" i="46"/>
  <c r="BV238" i="46"/>
  <c r="AR242"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W242" i="46"/>
  <c r="EM242" i="46"/>
  <c r="AA7" i="3"/>
  <c r="AA4" i="3"/>
  <c r="AF8" i="3"/>
  <c r="AY6" i="3"/>
  <c r="O15" i="45"/>
  <c r="AB64" i="3" a="1"/>
  <c r="AB64" i="3" s="1"/>
  <c r="BC10" i="3"/>
  <c r="BC21" i="3"/>
  <c r="AY57" i="3"/>
  <c r="AA57" i="3"/>
  <c r="AF53" i="3"/>
  <c r="AA55" i="3"/>
  <c r="BA242" i="46"/>
  <c r="DO242" i="46"/>
  <c r="BC6" i="3"/>
  <c r="BC51" i="3"/>
  <c r="R14" i="45"/>
  <c r="AE63" i="3" a="1"/>
  <c r="AE63" i="3" s="1"/>
  <c r="AA15" i="3"/>
  <c r="AY14" i="3"/>
  <c r="AA12" i="3"/>
  <c r="AF16" i="3"/>
  <c r="BC33" i="3"/>
  <c r="AA23" i="3"/>
  <c r="AA20" i="3"/>
  <c r="AF24" i="3"/>
  <c r="AY22" i="3"/>
  <c r="AY9" i="3"/>
  <c r="AA6" i="3"/>
  <c r="AF5" i="3"/>
  <c r="AA8" i="3"/>
  <c r="BC50" i="3"/>
  <c r="ED242" i="46"/>
  <c r="AB70" i="3" a="1"/>
  <c r="AB70" i="3" s="1"/>
  <c r="O21" i="45"/>
  <c r="BC15" i="3"/>
  <c r="BC9" i="3"/>
  <c r="R11" i="45"/>
  <c r="AE60" i="3" a="1"/>
  <c r="AE60" i="3" s="1"/>
  <c r="AY94" i="3"/>
  <c r="AA94" i="3"/>
  <c r="AF96" i="3"/>
  <c r="AA92" i="3"/>
  <c r="AO242" i="46"/>
  <c r="EY242" i="46"/>
  <c r="CE242" i="46"/>
  <c r="BJ242" i="46"/>
  <c r="O19" i="45"/>
  <c r="AB68" i="3" a="1"/>
  <c r="AB68" i="3" s="1"/>
  <c r="BC18" i="3"/>
  <c r="AF20" i="3"/>
  <c r="AF22" i="3"/>
  <c r="AA25" i="3"/>
  <c r="AY23" i="3"/>
  <c r="AY8" i="3"/>
  <c r="AF7" i="3"/>
  <c r="AA5" i="3"/>
  <c r="AF9" i="3"/>
  <c r="AY56" i="3"/>
  <c r="AA53" i="3"/>
  <c r="AF56" i="3"/>
  <c r="AF54" i="3"/>
  <c r="EJ242" i="46"/>
  <c r="DX242" i="46"/>
  <c r="BD242" i="46"/>
  <c r="AA28" i="3"/>
  <c r="AY30" i="3"/>
  <c r="AA30" i="3"/>
  <c r="AF32" i="3"/>
  <c r="BC8" i="3"/>
  <c r="BC41" i="3"/>
  <c r="AF92" i="3"/>
  <c r="AY95" i="3"/>
  <c r="AA97" i="3"/>
  <c r="AF95" i="3"/>
  <c r="CT242" i="46"/>
  <c r="ES242" i="46"/>
  <c r="R23" i="45"/>
  <c r="AE72" i="3" a="1"/>
  <c r="AE72" i="3" s="1"/>
  <c r="BC34" i="3"/>
  <c r="AB29" i="3" a="1"/>
  <c r="AB29" i="3" s="1"/>
  <c r="C28" i="45"/>
  <c r="BC48" i="3"/>
  <c r="AA39" i="3"/>
  <c r="AF37" i="3"/>
  <c r="AA41" i="3"/>
  <c r="AY41" i="3"/>
  <c r="AA71" i="3"/>
  <c r="AY73" i="3"/>
  <c r="AA72" i="3"/>
  <c r="AF69" i="3"/>
  <c r="BC7" i="3"/>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S242" i="46"/>
  <c r="AU242" i="46"/>
  <c r="BC40" i="3"/>
  <c r="BC43" i="3"/>
  <c r="AY87" i="3"/>
  <c r="AF84" i="3"/>
  <c r="K26" i="46" s="1"/>
  <c r="AA89" i="3"/>
  <c r="AF87" i="3"/>
  <c r="CN242" i="46"/>
  <c r="DL242" i="46"/>
  <c r="BC11" i="3"/>
  <c r="BC29" i="3"/>
  <c r="BC36" i="3"/>
  <c r="AF78" i="3"/>
  <c r="AA77" i="3"/>
  <c r="AF80" i="3"/>
  <c r="AY80" i="3"/>
  <c r="AY64" i="3"/>
  <c r="AF62" i="3"/>
  <c r="AA61" i="3"/>
  <c r="AF64" i="3"/>
  <c r="BC22" i="3"/>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G242" i="46"/>
  <c r="DC242" i="46"/>
  <c r="CH242" i="46"/>
  <c r="BC28" i="3"/>
  <c r="BC37" i="3"/>
  <c r="K61" i="46" l="1"/>
  <c r="E10" i="48"/>
  <c r="F9" i="48" a="1"/>
  <c r="F9" i="48" s="1"/>
  <c r="O37" i="45"/>
  <c r="DT86" i="3"/>
  <c r="F29" i="45"/>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K12" i="46"/>
  <c r="C27" i="45"/>
  <c r="AB28" i="3" a="1"/>
  <c r="AB28" i="3" s="1"/>
  <c r="DT28" i="3"/>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DT5" i="3"/>
  <c r="K7" i="46"/>
  <c r="C4" i="45"/>
  <c r="AB5" i="3" a="1"/>
  <c r="AB5" i="3" s="1"/>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R5" i="45"/>
  <c r="DT54" i="3"/>
  <c r="K42" i="46"/>
  <c r="AE54" i="3" a="1"/>
  <c r="AE54" i="3" s="1"/>
  <c r="F6" i="45"/>
  <c r="AE7" i="3" a="1"/>
  <c r="AE7" i="3" s="1"/>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AE56" i="3" a="1"/>
  <c r="AE56" i="3" s="1"/>
  <c r="R7" i="45"/>
  <c r="DT56" i="3"/>
  <c r="K66"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K19" i="46"/>
  <c r="O4" i="45"/>
  <c r="DT53" i="3"/>
  <c r="AB53" i="3" a="1"/>
  <c r="AB53" i="3" s="1"/>
  <c r="O14" i="45"/>
  <c r="DT63" i="3"/>
  <c r="K45" i="46"/>
  <c r="AB63" i="3" a="1"/>
  <c r="AB63" i="3" s="1"/>
  <c r="K23" i="46"/>
  <c r="DT69" i="3"/>
  <c r="AB69" i="3" a="1"/>
  <c r="AB69" i="3" s="1"/>
  <c r="O20" i="45"/>
  <c r="AB41" i="3" a="1"/>
  <c r="AB41" i="3" s="1"/>
  <c r="K63" i="46"/>
  <c r="DT41" i="3"/>
  <c r="C40" i="45"/>
  <c r="BG34" i="3"/>
  <c r="BH6" i="3"/>
  <c r="F7" i="45"/>
  <c r="AE8" i="3" a="1"/>
  <c r="AE8" i="3" s="1"/>
  <c r="AE37" i="3" a="1"/>
  <c r="AE37" i="3" s="1"/>
  <c r="F36" i="45"/>
  <c r="K15" i="46"/>
  <c r="DT37" i="3"/>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F31" i="45"/>
  <c r="AE32" i="3" a="1"/>
  <c r="AE32" i="3" s="1"/>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F11" i="48" l="1" a="1"/>
  <c r="F11" i="48" s="1"/>
  <c r="E12" i="48"/>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6" i="3" l="1"/>
  <c r="CQ10" i="3"/>
  <c r="CQ11" i="3"/>
  <c r="CQ19" i="3"/>
  <c r="CQ37" i="3"/>
  <c r="F36" i="48" a="1"/>
  <c r="F36" i="48" s="1"/>
  <c r="E37" i="48"/>
  <c r="CQ20" i="3"/>
  <c r="CQ15" i="3"/>
  <c r="CQ14" i="3"/>
  <c r="CQ43" i="3"/>
  <c r="CQ44" i="3"/>
  <c r="CQ31" i="3"/>
  <c r="CR36" i="3" l="1"/>
  <c r="CR37" i="3"/>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D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AG126" i="3" l="1"/>
  <c r="M134" i="3"/>
  <c r="AA134" i="3" s="1"/>
  <c r="D134" i="3" s="1"/>
  <c r="N127" i="3"/>
  <c r="AF127" i="3" s="1"/>
  <c r="AG116" i="3"/>
  <c r="M188" i="46"/>
  <c r="AE40" i="45"/>
  <c r="AG114" i="3"/>
  <c r="N126" i="3"/>
  <c r="AF126" i="3" s="1"/>
  <c r="AG113" i="3"/>
  <c r="M127" i="3"/>
  <c r="AA127" i="3" s="1"/>
  <c r="D127" i="3" s="1"/>
  <c r="AG112" i="3"/>
  <c r="M124" i="3"/>
  <c r="AA124" i="3" s="1"/>
  <c r="N124" i="3"/>
  <c r="AF124" i="3" s="1"/>
  <c r="D124" i="3" s="1"/>
  <c r="AG111" i="3"/>
  <c r="DM45" i="3"/>
  <c r="DN45" i="3" a="1"/>
  <c r="DN45" i="3" s="1"/>
  <c r="M125" i="3"/>
  <c r="AA125" i="3" s="1"/>
  <c r="AG110" i="3"/>
  <c r="AG109" i="3"/>
  <c r="N125" i="3"/>
  <c r="AF125" i="3" s="1"/>
  <c r="D125" i="3" s="1"/>
  <c r="N123" i="3"/>
  <c r="AF123" i="3" s="1"/>
  <c r="D123" i="3" s="1"/>
  <c r="AG108" i="3"/>
  <c r="M123" i="3"/>
  <c r="AA123" i="3" s="1"/>
  <c r="AG107" i="3"/>
  <c r="N120" i="3"/>
  <c r="AF121" i="3" s="1"/>
  <c r="D121" i="3" s="1"/>
  <c r="AG106" i="3"/>
  <c r="N122" i="3"/>
  <c r="AF122" i="3" s="1"/>
  <c r="D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N139" i="3" l="1"/>
  <c r="AF139" i="3" s="1"/>
  <c r="AG134" i="3"/>
  <c r="N134" i="3"/>
  <c r="AF134" i="3" s="1"/>
  <c r="C223" i="46" s="1"/>
  <c r="AG127" i="3"/>
  <c r="AI43" i="45"/>
  <c r="M213" i="46"/>
  <c r="N132" i="3"/>
  <c r="AF132" i="3" s="1"/>
  <c r="AG125" i="3"/>
  <c r="M132" i="3"/>
  <c r="AA132" i="3" s="1"/>
  <c r="D132" i="3" s="1"/>
  <c r="AG124" i="3"/>
  <c r="N133" i="3"/>
  <c r="AF133" i="3" s="1"/>
  <c r="D133" i="3" s="1"/>
  <c r="AG123" i="3"/>
  <c r="M133" i="3"/>
  <c r="AA133" i="3" s="1"/>
  <c r="AG122" i="3"/>
  <c r="M131" i="3"/>
  <c r="AA131" i="3" s="1"/>
  <c r="D131" i="3" s="1"/>
  <c r="AG121" i="3"/>
  <c r="N131" i="3"/>
  <c r="AF131" i="3" s="1"/>
  <c r="AG120" i="3"/>
  <c r="AE47" i="45"/>
  <c r="M197" i="46"/>
  <c r="M196" i="46"/>
  <c r="B34" i="50" s="1" a="1"/>
  <c r="B34" i="50" s="1"/>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M229" i="46" l="1"/>
  <c r="AM38" i="45" a="1"/>
  <c r="AM38" i="45" s="1"/>
  <c r="AG133" i="3"/>
  <c r="M139" i="3"/>
  <c r="AA139" i="3" s="1"/>
  <c r="AG132" i="3"/>
  <c r="N138" i="3"/>
  <c r="AF138" i="3" s="1"/>
  <c r="M138" i="3"/>
  <c r="AA138" i="3" s="1"/>
  <c r="AG131" i="3"/>
  <c r="DT134" i="3"/>
  <c r="K223" i="46"/>
  <c r="AI44" i="45"/>
  <c r="M217" i="46"/>
  <c r="AI20" i="45"/>
  <c r="M215" i="46"/>
  <c r="C221" i="46"/>
  <c r="M211" i="46"/>
  <c r="AI19" i="45"/>
  <c r="K221" i="46"/>
  <c r="DT132" i="3"/>
  <c r="B24" i="50" a="1"/>
  <c r="B24" i="50" s="1"/>
  <c r="M216" i="46"/>
  <c r="AI32" i="45"/>
  <c r="C34" i="48" a="1"/>
  <c r="C34" i="48" s="1"/>
  <c r="B34" i="48" s="1"/>
  <c r="DT133" i="3"/>
  <c r="C222" i="46"/>
  <c r="K222" i="46"/>
  <c r="AI31" i="45"/>
  <c r="M212" i="46"/>
  <c r="AI7" i="45"/>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M227" i="46" l="1"/>
  <c r="AM37" i="45"/>
  <c r="DT139" i="3"/>
  <c r="C233" i="46"/>
  <c r="K233" i="46"/>
  <c r="M228" i="46"/>
  <c r="AM14" i="45"/>
  <c r="AM13" i="45"/>
  <c r="M226" i="46"/>
  <c r="K232" i="46"/>
  <c r="DT138" i="3"/>
  <c r="C232" i="46"/>
  <c r="BG216" i="46"/>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G222" i="46"/>
  <c r="Z220" i="46"/>
  <c r="AI220" i="46"/>
  <c r="EY220" i="46"/>
  <c r="DR221" i="46"/>
  <c r="AC223" i="46"/>
  <c r="AU221" i="46"/>
  <c r="CE222" i="46"/>
  <c r="DI222" i="46"/>
  <c r="BD221" i="46"/>
  <c r="CN223" i="46"/>
  <c r="FH220" i="46"/>
  <c r="EG223" i="46"/>
  <c r="EJ220" i="46"/>
  <c r="EM221" i="46"/>
  <c r="CZ223" i="46"/>
  <c r="FB222" i="46"/>
  <c r="DU221" i="46"/>
  <c r="AL220" i="46"/>
  <c r="BS220" i="46"/>
  <c r="ED220" i="46"/>
  <c r="T222" i="46"/>
  <c r="BP223" i="46"/>
  <c r="DX221" i="46"/>
  <c r="CT222" i="46"/>
  <c r="EP223" i="46"/>
  <c r="EA222" i="46"/>
  <c r="EA220" i="46"/>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DX220" i="46"/>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BG221" i="46"/>
  <c r="BM222" i="46"/>
  <c r="CH220" i="46"/>
  <c r="CB220" i="46"/>
  <c r="FH223" i="46"/>
  <c r="CE220" i="46"/>
  <c r="AL223" i="46"/>
  <c r="CQ221" i="46"/>
  <c r="DL221" i="46"/>
  <c r="BS223" i="46"/>
  <c r="DO220" i="46"/>
  <c r="W223" i="46"/>
  <c r="EJ222" i="46"/>
  <c r="AC222" i="46"/>
  <c r="AC220" i="46"/>
  <c r="AI221" i="46"/>
  <c r="BY221" i="46"/>
  <c r="DF220" i="46"/>
  <c r="DU222" i="46"/>
  <c r="W220" i="46"/>
  <c r="DU220" i="46"/>
  <c r="BV63" i="3"/>
  <c r="BV61" i="3"/>
  <c r="BV62" i="3"/>
  <c r="BV58" i="3"/>
  <c r="BV68" i="3"/>
  <c r="BV64" i="3"/>
  <c r="BV60" i="3"/>
  <c r="BV67" i="3"/>
  <c r="BV69" i="3"/>
  <c r="BV66" i="3"/>
  <c r="DO233" i="46" l="1"/>
  <c r="EM232" i="46"/>
  <c r="CN232" i="46"/>
  <c r="FE233" i="46"/>
  <c r="DI233" i="46"/>
  <c r="FK233" i="46"/>
  <c r="DU232" i="46"/>
  <c r="BV233" i="46"/>
  <c r="Z232" i="46"/>
  <c r="DL233" i="46"/>
  <c r="AF232" i="46"/>
  <c r="Z233" i="46"/>
  <c r="CT233" i="46"/>
  <c r="W233" i="46"/>
  <c r="BM232" i="46"/>
  <c r="DU233" i="46"/>
  <c r="CH232" i="46"/>
  <c r="AF233" i="46"/>
  <c r="DR233" i="46"/>
  <c r="EM233" i="46"/>
  <c r="AI233" i="46"/>
  <c r="BS233" i="46"/>
  <c r="EV233" i="46"/>
  <c r="AX232" i="46"/>
  <c r="BD233" i="46"/>
  <c r="ES233" i="46"/>
  <c r="CZ233" i="46"/>
  <c r="BV232" i="46"/>
  <c r="BV234" i="46" s="1"/>
  <c r="T232" i="46"/>
  <c r="EA233" i="46"/>
  <c r="FH232" i="46"/>
  <c r="BJ232" i="46"/>
  <c r="DL232" i="46"/>
  <c r="DF233" i="46"/>
  <c r="BP232" i="46"/>
  <c r="CW233" i="46"/>
  <c r="CT232" i="46"/>
  <c r="DC233" i="46"/>
  <c r="AC233" i="46"/>
  <c r="EY233" i="46"/>
  <c r="EV232" i="46"/>
  <c r="EJ232" i="46"/>
  <c r="AI232" i="46"/>
  <c r="CQ233" i="46"/>
  <c r="CE232" i="46"/>
  <c r="FK232" i="46"/>
  <c r="EG232" i="46"/>
  <c r="BJ233" i="46"/>
  <c r="T233" i="46"/>
  <c r="CK232" i="46"/>
  <c r="W232" i="46"/>
  <c r="ED233" i="46"/>
  <c r="CQ232" i="46"/>
  <c r="AR233" i="46"/>
  <c r="EY232" i="46"/>
  <c r="EY234" i="46" s="1"/>
  <c r="CN233" i="46"/>
  <c r="BD232" i="46"/>
  <c r="BA233" i="46"/>
  <c r="DI232" i="46"/>
  <c r="CH233" i="46"/>
  <c r="AU233" i="46"/>
  <c r="DR232" i="46"/>
  <c r="DR234" i="46" s="1"/>
  <c r="FB233" i="46"/>
  <c r="CK233" i="46"/>
  <c r="BY233" i="46"/>
  <c r="EP233" i="46"/>
  <c r="EJ233" i="46"/>
  <c r="BP233" i="46"/>
  <c r="DO232" i="46"/>
  <c r="AL233" i="46"/>
  <c r="CE233" i="46"/>
  <c r="AR232" i="46"/>
  <c r="FE232" i="46"/>
  <c r="BY232" i="46"/>
  <c r="CB233" i="46"/>
  <c r="AX233" i="46"/>
  <c r="BM233" i="46"/>
  <c r="AC232" i="46"/>
  <c r="BS232" i="46"/>
  <c r="BS234" i="46" s="1"/>
  <c r="AO233" i="46"/>
  <c r="EG233" i="46"/>
  <c r="EP232" i="46"/>
  <c r="FB232" i="46"/>
  <c r="DX233" i="46"/>
  <c r="CZ232" i="46"/>
  <c r="ES232" i="46"/>
  <c r="CB232" i="46"/>
  <c r="AL232" i="46"/>
  <c r="AU232" i="46"/>
  <c r="AU234" i="46" s="1"/>
  <c r="DC232" i="46"/>
  <c r="BG232" i="46"/>
  <c r="ED232" i="46"/>
  <c r="AO232" i="46"/>
  <c r="CW232" i="46"/>
  <c r="CW234" i="46" s="1"/>
  <c r="FH233" i="46"/>
  <c r="BG233" i="46"/>
  <c r="BA232" i="46"/>
  <c r="BA234" i="46" s="1"/>
  <c r="DX232" i="46"/>
  <c r="DX234" i="46" s="1"/>
  <c r="EA232" i="46"/>
  <c r="DF232" i="46"/>
  <c r="DO227" i="46"/>
  <c r="DF229" i="46"/>
  <c r="AL227" i="46"/>
  <c r="BP227" i="46"/>
  <c r="DC229" i="46"/>
  <c r="EP229" i="46"/>
  <c r="CZ226" i="46"/>
  <c r="BV229" i="46"/>
  <c r="W228" i="46"/>
  <c r="EG228" i="46"/>
  <c r="BS228" i="46"/>
  <c r="T229" i="46"/>
  <c r="CW227" i="46"/>
  <c r="CW226" i="46"/>
  <c r="EG227" i="46"/>
  <c r="DL227" i="46"/>
  <c r="Z227" i="46"/>
  <c r="FB228" i="46"/>
  <c r="CK227" i="46"/>
  <c r="EA227" i="46"/>
  <c r="EG229" i="46"/>
  <c r="BJ227" i="46"/>
  <c r="EY227" i="46"/>
  <c r="AO226" i="46"/>
  <c r="Z226" i="46"/>
  <c r="CT229" i="46"/>
  <c r="AU228" i="46"/>
  <c r="DR226" i="46"/>
  <c r="AL228" i="46"/>
  <c r="AF229" i="46"/>
  <c r="FE226" i="46"/>
  <c r="BA229" i="46"/>
  <c r="ES226" i="46"/>
  <c r="EY226" i="46"/>
  <c r="CW228" i="46"/>
  <c r="BG227" i="46"/>
  <c r="CW229" i="46"/>
  <c r="CN227" i="46"/>
  <c r="BM228" i="46"/>
  <c r="AI226" i="46"/>
  <c r="BA226" i="46"/>
  <c r="DU226" i="46"/>
  <c r="BS229" i="46"/>
  <c r="ED228" i="46"/>
  <c r="CK229" i="46"/>
  <c r="DO229" i="46"/>
  <c r="EP228" i="46"/>
  <c r="CH229" i="46"/>
  <c r="CB228" i="46"/>
  <c r="BG228" i="46"/>
  <c r="CB227" i="46"/>
  <c r="W229" i="46"/>
  <c r="DL226" i="46"/>
  <c r="BD227" i="46"/>
  <c r="AC226" i="46"/>
  <c r="DO228" i="46"/>
  <c r="CH226" i="46"/>
  <c r="DR227" i="46"/>
  <c r="CZ227" i="46"/>
  <c r="CN229" i="46"/>
  <c r="FE228" i="46"/>
  <c r="AC229" i="46"/>
  <c r="DI226" i="46"/>
  <c r="AO228" i="46"/>
  <c r="DF227" i="46"/>
  <c r="AI228" i="46"/>
  <c r="BD229" i="46"/>
  <c r="CZ229" i="46"/>
  <c r="AX226" i="46"/>
  <c r="FK227" i="46"/>
  <c r="AF227" i="46"/>
  <c r="FB227" i="46"/>
  <c r="DO226" i="46"/>
  <c r="FK226" i="46"/>
  <c r="EV226" i="46"/>
  <c r="CB229" i="46"/>
  <c r="DC228" i="46"/>
  <c r="BD226" i="46"/>
  <c r="AR229" i="46"/>
  <c r="W227" i="46"/>
  <c r="CE226" i="46"/>
  <c r="DC227" i="46"/>
  <c r="T227" i="46"/>
  <c r="BJ226" i="46"/>
  <c r="W226" i="46"/>
  <c r="BY228" i="46"/>
  <c r="EA226" i="46"/>
  <c r="DX226" i="46"/>
  <c r="AF226" i="46"/>
  <c r="EV228" i="46"/>
  <c r="AL226" i="46"/>
  <c r="CT227" i="46"/>
  <c r="FH227" i="46"/>
  <c r="FE229" i="46"/>
  <c r="CE228" i="46"/>
  <c r="EY228" i="46"/>
  <c r="DI228" i="46"/>
  <c r="EJ228" i="46"/>
  <c r="DI227" i="46"/>
  <c r="CK228" i="46"/>
  <c r="EJ229" i="46"/>
  <c r="CQ228" i="46"/>
  <c r="EV227" i="46"/>
  <c r="DU228" i="46"/>
  <c r="BY227" i="46"/>
  <c r="CH227" i="46"/>
  <c r="BV228" i="46"/>
  <c r="BD228" i="46"/>
  <c r="EP226" i="46"/>
  <c r="BM227" i="46"/>
  <c r="AC227" i="46"/>
  <c r="CE229" i="46"/>
  <c r="EM226" i="46"/>
  <c r="DU227" i="46"/>
  <c r="FB229" i="46"/>
  <c r="BP226" i="46"/>
  <c r="DF228" i="46"/>
  <c r="AR228" i="46"/>
  <c r="CT226" i="46"/>
  <c r="ES229" i="46"/>
  <c r="ES228" i="46"/>
  <c r="CN226" i="46"/>
  <c r="AO229" i="46"/>
  <c r="FH226" i="46"/>
  <c r="CN228" i="46"/>
  <c r="EV229" i="46"/>
  <c r="CE227" i="46"/>
  <c r="ED229" i="46"/>
  <c r="EM227" i="46"/>
  <c r="BA228" i="46"/>
  <c r="BY226" i="46"/>
  <c r="AU229" i="46"/>
  <c r="CQ229" i="46"/>
  <c r="DR229" i="46"/>
  <c r="BG229" i="46"/>
  <c r="AF228" i="46"/>
  <c r="AC228" i="46"/>
  <c r="EJ226" i="46"/>
  <c r="ED227" i="46"/>
  <c r="BP229" i="46"/>
  <c r="ES227" i="46"/>
  <c r="FK229" i="46"/>
  <c r="AI227" i="46"/>
  <c r="AU226" i="46"/>
  <c r="DL229" i="46"/>
  <c r="CB226" i="46"/>
  <c r="EM228" i="46"/>
  <c r="EY229" i="46"/>
  <c r="DF226" i="46"/>
  <c r="FE227" i="46"/>
  <c r="EP227" i="46"/>
  <c r="BM226" i="46"/>
  <c r="DX229" i="46"/>
  <c r="BJ229" i="46"/>
  <c r="DX227" i="46"/>
  <c r="Z229" i="46"/>
  <c r="FH229" i="46"/>
  <c r="AR227" i="46"/>
  <c r="Z228" i="46"/>
  <c r="ED226" i="46"/>
  <c r="CK226" i="46"/>
  <c r="DL228" i="46"/>
  <c r="CQ226" i="46"/>
  <c r="CQ227" i="46"/>
  <c r="EA229" i="46"/>
  <c r="AI229" i="46"/>
  <c r="BG226" i="46"/>
  <c r="AU227" i="46"/>
  <c r="BV226" i="46"/>
  <c r="BM229" i="46"/>
  <c r="DR228" i="46"/>
  <c r="AO227" i="46"/>
  <c r="AL229" i="46"/>
  <c r="EM229" i="46"/>
  <c r="FK228" i="46"/>
  <c r="BJ228" i="46"/>
  <c r="BV227" i="46"/>
  <c r="BS226" i="46"/>
  <c r="DX228" i="46"/>
  <c r="FH228" i="46"/>
  <c r="EJ227" i="46"/>
  <c r="EG226" i="46"/>
  <c r="T228" i="46"/>
  <c r="EA228" i="46"/>
  <c r="CT228" i="46"/>
  <c r="AR226" i="46"/>
  <c r="AX227" i="46"/>
  <c r="FB226" i="46"/>
  <c r="AX229" i="46"/>
  <c r="DI229" i="46"/>
  <c r="CZ228" i="46"/>
  <c r="CH228" i="46"/>
  <c r="BA227" i="46"/>
  <c r="DC226" i="46"/>
  <c r="BP228" i="46"/>
  <c r="AX228" i="46"/>
  <c r="BS227" i="46"/>
  <c r="T226" i="46"/>
  <c r="BY229" i="46"/>
  <c r="DU229" i="46"/>
  <c r="BL24" i="45"/>
  <c r="BK24" i="45" s="1"/>
  <c r="BL9" i="45"/>
  <c r="BK9" i="45" s="1"/>
  <c r="BL50" i="45"/>
  <c r="BK50" i="45" s="1"/>
  <c r="BL33" i="45"/>
  <c r="BK33" i="45" s="1"/>
  <c r="BL20" i="45"/>
  <c r="BK20" i="45" s="1"/>
  <c r="BL36" i="45"/>
  <c r="BK36" i="45" s="1"/>
  <c r="BL22" i="45"/>
  <c r="BK22" i="45" s="1"/>
  <c r="BL44" i="45"/>
  <c r="BK44" i="45" s="1"/>
  <c r="BL5" i="45"/>
  <c r="BK5" i="45" s="1"/>
  <c r="BL43" i="45"/>
  <c r="BK43" i="45" s="1"/>
  <c r="BL4" i="45"/>
  <c r="BK4" i="45" s="1"/>
  <c r="BL32" i="45"/>
  <c r="BK32" i="45" s="1"/>
  <c r="BL51" i="45"/>
  <c r="BK51" i="45" s="1"/>
  <c r="BL49" i="45"/>
  <c r="BK49" i="45" s="1"/>
  <c r="BL27" i="45"/>
  <c r="BK27" i="45" s="1"/>
  <c r="BL13" i="45"/>
  <c r="BK13" i="45" s="1"/>
  <c r="BL15" i="45"/>
  <c r="BK15" i="45" s="1"/>
  <c r="BL30" i="45"/>
  <c r="BK30" i="45" s="1"/>
  <c r="BL28" i="45"/>
  <c r="BK28" i="45" s="1"/>
  <c r="BL17" i="45"/>
  <c r="BK17" i="45" s="1"/>
  <c r="BL12" i="45"/>
  <c r="BK12" i="45" s="1"/>
  <c r="BL47" i="45"/>
  <c r="BK47" i="45" s="1"/>
  <c r="BL25" i="45"/>
  <c r="BK25" i="45" s="1"/>
  <c r="BL48" i="45"/>
  <c r="BK48" i="45" s="1"/>
  <c r="BL11" i="45"/>
  <c r="BK11" i="45" s="1"/>
  <c r="BL37" i="45"/>
  <c r="BK37" i="45" s="1"/>
  <c r="BL18" i="45"/>
  <c r="BK18" i="45" s="1"/>
  <c r="BL40" i="45"/>
  <c r="BK40" i="45" s="1"/>
  <c r="BL45" i="45"/>
  <c r="BK45" i="45" s="1"/>
  <c r="BL10" i="45"/>
  <c r="BK10" i="45" s="1"/>
  <c r="BL6" i="45"/>
  <c r="BK6" i="45" s="1"/>
  <c r="BL23" i="45"/>
  <c r="BK23" i="45" s="1"/>
  <c r="BL46" i="45"/>
  <c r="BK46" i="45" s="1"/>
  <c r="BL19" i="45"/>
  <c r="BK19" i="45" s="1"/>
  <c r="BL34" i="45"/>
  <c r="BK34" i="45" s="1"/>
  <c r="BL8" i="45"/>
  <c r="BK8" i="45" s="1"/>
  <c r="BL16" i="45"/>
  <c r="BK16" i="45" s="1"/>
  <c r="BL7" i="45"/>
  <c r="BK7" i="45" s="1"/>
  <c r="BL31" i="45"/>
  <c r="BK31" i="45" s="1"/>
  <c r="BL42" i="45"/>
  <c r="BK42" i="45" s="1"/>
  <c r="BL39" i="45"/>
  <c r="BK39" i="45" s="1"/>
  <c r="BL26" i="45"/>
  <c r="BK26" i="45" s="1"/>
  <c r="BL21" i="45"/>
  <c r="BK21" i="45" s="1"/>
  <c r="BL29" i="45"/>
  <c r="BK29" i="45" s="1"/>
  <c r="BL38" i="45"/>
  <c r="BK38" i="45" s="1"/>
  <c r="BL41" i="45"/>
  <c r="BK41" i="45" s="1"/>
  <c r="BL35" i="45"/>
  <c r="BK35" i="45" s="1"/>
  <c r="BL14" i="45"/>
  <c r="BK14" i="45" s="1"/>
  <c r="CZ224" i="46"/>
  <c r="DR224" i="46"/>
  <c r="DX224" i="46"/>
  <c r="AC224" i="46"/>
  <c r="EA224" i="46"/>
  <c r="ES218" i="46"/>
  <c r="DI224" i="46"/>
  <c r="FH224" i="46"/>
  <c r="CB218" i="46"/>
  <c r="CQ218" i="46"/>
  <c r="CH224" i="46"/>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CQ234" i="46" l="1"/>
  <c r="DU234" i="46"/>
  <c r="EA234" i="46"/>
  <c r="EJ230" i="46"/>
  <c r="CE230" i="46"/>
  <c r="DL230" i="46"/>
  <c r="Z230" i="46"/>
  <c r="FB234" i="46"/>
  <c r="DO234" i="46"/>
  <c r="EV234" i="46"/>
  <c r="FE234" i="46"/>
  <c r="W234" i="46"/>
  <c r="CN230" i="46"/>
  <c r="EP234" i="46"/>
  <c r="AX234" i="46"/>
  <c r="BY230" i="46"/>
  <c r="DO230" i="46"/>
  <c r="AL234" i="46"/>
  <c r="BY234" i="46"/>
  <c r="FK234" i="46"/>
  <c r="BJ234" i="46"/>
  <c r="CB234" i="46"/>
  <c r="DI234" i="46"/>
  <c r="DF234" i="46"/>
  <c r="DC230" i="46"/>
  <c r="BM230" i="46"/>
  <c r="FH230" i="46"/>
  <c r="AI230" i="46"/>
  <c r="EJ234" i="46"/>
  <c r="CQ230" i="46"/>
  <c r="DF230" i="46"/>
  <c r="AF234" i="46"/>
  <c r="BD230" i="46"/>
  <c r="CK230" i="46"/>
  <c r="CT230" i="46"/>
  <c r="AL230" i="46"/>
  <c r="DI230" i="46"/>
  <c r="CZ230" i="46"/>
  <c r="AO234" i="46"/>
  <c r="CT234" i="46"/>
  <c r="Z234" i="46"/>
  <c r="EP230" i="46"/>
  <c r="FB230" i="46"/>
  <c r="ED230" i="46"/>
  <c r="CB230" i="46"/>
  <c r="EY230" i="46"/>
  <c r="ED234" i="46"/>
  <c r="AC234" i="46"/>
  <c r="CK234" i="46"/>
  <c r="AF230" i="46"/>
  <c r="EV230" i="46"/>
  <c r="ES230" i="46"/>
  <c r="BG234" i="46"/>
  <c r="BP234" i="46"/>
  <c r="AR230" i="46"/>
  <c r="AU230" i="46"/>
  <c r="BP230" i="46"/>
  <c r="DX230" i="46"/>
  <c r="FK230" i="46"/>
  <c r="DC234" i="46"/>
  <c r="BS230" i="46"/>
  <c r="EA230" i="46"/>
  <c r="FE230" i="46"/>
  <c r="EG234" i="46"/>
  <c r="DL234" i="46"/>
  <c r="T230" i="46"/>
  <c r="M230" i="46"/>
  <c r="Q51" i="51"/>
  <c r="P51" i="51" s="1"/>
  <c r="Q28" i="51"/>
  <c r="P28" i="51" s="1"/>
  <c r="Q12" i="51"/>
  <c r="P12" i="51" s="1"/>
  <c r="Q11" i="51"/>
  <c r="P11" i="51" s="1"/>
  <c r="Q10" i="51"/>
  <c r="P10" i="51" s="1"/>
  <c r="Q29" i="51"/>
  <c r="P29" i="51" s="1"/>
  <c r="Q19" i="51"/>
  <c r="P19" i="51" s="1"/>
  <c r="Q41" i="51"/>
  <c r="P41" i="51" s="1"/>
  <c r="Q33" i="51"/>
  <c r="P33" i="51" s="1"/>
  <c r="Q16" i="51"/>
  <c r="P16" i="51" s="1"/>
  <c r="Q32" i="51"/>
  <c r="P32" i="51" s="1"/>
  <c r="Q48" i="51"/>
  <c r="P48" i="51" s="1"/>
  <c r="Q44" i="51"/>
  <c r="P44" i="51" s="1"/>
  <c r="Q50" i="51"/>
  <c r="P50" i="51" s="1"/>
  <c r="Q20" i="51"/>
  <c r="P20" i="51" s="1"/>
  <c r="Q30" i="51"/>
  <c r="P30" i="51" s="1"/>
  <c r="Q40" i="51"/>
  <c r="P40" i="51" s="1"/>
  <c r="Q39" i="51"/>
  <c r="P39" i="51" s="1"/>
  <c r="Q43" i="51"/>
  <c r="P43" i="51" s="1"/>
  <c r="Q46" i="51"/>
  <c r="P46" i="51" s="1"/>
  <c r="Q22" i="51"/>
  <c r="P22" i="51" s="1"/>
  <c r="Q38" i="51"/>
  <c r="P38" i="51" s="1"/>
  <c r="Q9" i="51"/>
  <c r="P9" i="51" s="1"/>
  <c r="Q54" i="51"/>
  <c r="P54" i="51" s="1"/>
  <c r="Q36" i="51"/>
  <c r="P36" i="51" s="1"/>
  <c r="Q17" i="51"/>
  <c r="P17" i="51" s="1"/>
  <c r="Q8" i="51"/>
  <c r="P8" i="51" s="1"/>
  <c r="Q23" i="51"/>
  <c r="P23" i="51" s="1"/>
  <c r="Q49" i="51"/>
  <c r="P49" i="51" s="1"/>
  <c r="Q14" i="51"/>
  <c r="P14" i="51" s="1"/>
  <c r="Q35" i="51"/>
  <c r="P35" i="51" s="1"/>
  <c r="Q31" i="51"/>
  <c r="P31" i="51" s="1"/>
  <c r="Q21" i="51"/>
  <c r="P21" i="51" s="1"/>
  <c r="Q37" i="51"/>
  <c r="P37" i="51" s="1"/>
  <c r="Q24" i="51"/>
  <c r="P24" i="51" s="1"/>
  <c r="Q55" i="51"/>
  <c r="P55" i="51" s="1"/>
  <c r="Q13" i="51"/>
  <c r="P13" i="51" s="1"/>
  <c r="Q27" i="51"/>
  <c r="P27" i="51" s="1"/>
  <c r="Q53" i="51"/>
  <c r="P53" i="51" s="1"/>
  <c r="Q15" i="51"/>
  <c r="P15" i="51" s="1"/>
  <c r="Q42" i="51"/>
  <c r="P42" i="51" s="1"/>
  <c r="Q34" i="51"/>
  <c r="P34" i="51" s="1"/>
  <c r="Q25" i="51"/>
  <c r="P25" i="51" s="1"/>
  <c r="Q47" i="51"/>
  <c r="P47" i="51" s="1"/>
  <c r="Q18" i="51"/>
  <c r="P18" i="51" s="1"/>
  <c r="Q52" i="51"/>
  <c r="P52" i="51" s="1"/>
  <c r="Q26" i="51"/>
  <c r="P26" i="51" s="1"/>
  <c r="Q45" i="51"/>
  <c r="P45" i="51" s="1"/>
  <c r="BV230" i="46"/>
  <c r="EM230" i="46"/>
  <c r="W230" i="46"/>
  <c r="CH230" i="46"/>
  <c r="CE234" i="46"/>
  <c r="FH234" i="46"/>
  <c r="CH234" i="46"/>
  <c r="CN234" i="46"/>
  <c r="EG230" i="46"/>
  <c r="BJ230" i="46"/>
  <c r="DU230" i="46"/>
  <c r="DR230" i="46"/>
  <c r="CW230" i="46"/>
  <c r="ES234" i="46"/>
  <c r="AR234" i="46"/>
  <c r="EM234" i="46"/>
  <c r="AO230" i="46"/>
  <c r="BG230" i="46"/>
  <c r="AX230" i="46"/>
  <c r="AC230" i="46"/>
  <c r="BA230" i="46"/>
  <c r="CZ234" i="46"/>
  <c r="BD234" i="46"/>
  <c r="AI234" i="46"/>
  <c r="T234" i="46"/>
  <c r="BM234" i="46"/>
  <c r="BX62" i="3"/>
  <c r="BX60" i="3"/>
  <c r="BX59" i="3"/>
  <c r="BX61" i="3"/>
  <c r="BX67" i="3"/>
  <c r="BX63" i="3"/>
  <c r="BX68" i="3"/>
  <c r="BX65" i="3"/>
  <c r="BX64" i="3"/>
  <c r="BY69" i="3" l="1"/>
  <c r="BY62" i="3"/>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l="1"/>
  <c r="BN69" i="3" s="1"/>
  <c r="CF62" i="3"/>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N103" i="3"/>
  <c r="BF104" i="3"/>
  <c r="AP103" i="3"/>
  <c r="AQ103" i="3"/>
  <c r="AK103" i="3" a="1"/>
  <c r="AK103" i="3" s="1"/>
  <c r="AO103" i="3"/>
  <c r="AR103" i="3"/>
  <c r="AT103" i="3"/>
  <c r="AS103" i="3"/>
  <c r="AM103" i="3"/>
  <c r="AK102" i="3" l="1" a="1"/>
  <c r="AK102" i="3" s="1"/>
  <c r="AQ102" i="3"/>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AO58" i="51" s="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AN264" i="46" s="1"/>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FJ264" i="46" s="1"/>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FG264" i="46"/>
  <c r="CJ264" i="46"/>
  <c r="AO42" i="51" l="1"/>
  <c r="AO41" i="51"/>
  <c r="AO39" i="51"/>
  <c r="AG35" i="51"/>
  <c r="AO35" i="51" s="1"/>
  <c r="AO59" i="51"/>
  <c r="AO46" i="51"/>
  <c r="AO54" i="51"/>
  <c r="AO51" i="51"/>
  <c r="AO65" i="51"/>
  <c r="AO55" i="51"/>
  <c r="AO40" i="51"/>
  <c r="AO45" i="51"/>
  <c r="AO60" i="51"/>
  <c r="AO64" i="51"/>
  <c r="AO53" i="51"/>
  <c r="AO63" i="51"/>
  <c r="AO66" i="51"/>
  <c r="AO38" i="51"/>
  <c r="AO57" i="51"/>
  <c r="AO36" i="51"/>
  <c r="AO48" i="51"/>
  <c r="AO56" i="51"/>
  <c r="AO52" i="51"/>
  <c r="AO47" i="51"/>
  <c r="AO50" i="51"/>
  <c r="AO44" i="51"/>
  <c r="AO43" i="51"/>
  <c r="AO37" i="51"/>
  <c r="AO61" i="51"/>
  <c r="AO49" i="51"/>
  <c r="AO62" i="51"/>
  <c r="EI4" i="46"/>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AP35" i="51" l="1"/>
  <c r="EF263" i="46"/>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U38" i="50"/>
  <c r="N38"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AB31" i="50" l="1"/>
  <c r="M49" i="50"/>
  <c r="Z49" i="50"/>
  <c r="AA49" i="50"/>
  <c r="AK31" i="50"/>
  <c r="AK49" i="50"/>
  <c r="Q32" i="50"/>
  <c r="AH49" i="50"/>
  <c r="R49" i="50"/>
  <c r="S49" i="50"/>
  <c r="V32" i="50"/>
  <c r="AG38" i="50"/>
  <c r="M38" i="50"/>
  <c r="AI18" i="50"/>
  <c r="R36" i="50"/>
  <c r="Y32" i="50"/>
  <c r="O36" i="50"/>
  <c r="N32" i="50"/>
  <c r="AL49" i="50"/>
  <c r="J31" i="50"/>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<sst xmlns="http://schemas.openxmlformats.org/spreadsheetml/2006/main" count="16874" uniqueCount="2800">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</sst>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3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32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46215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20" zoomScaleNormal="100" workbookViewId="0">
      <selection activeCell="AD138" sqref="AD138"/>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0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0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0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1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1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1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1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1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1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0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0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1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1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ca="1" si="329"/>
        <v>España</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18"/>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ca="1" si="329"/>
        <v>Bélgica</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ca="1" si="329"/>
        <v>Argentina</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18"/>
      <c r="X126" s="189">
        <f ca="1">Horarios!C126</f>
        <v>46210.75</v>
      </c>
      <c r="Y126" s="190">
        <f ca="1">Horarios!C126</f>
        <v>46210.75</v>
      </c>
      <c r="Z126" s="276">
        <f t="shared" si="331"/>
        <v>95</v>
      </c>
      <c r="AA126" s="277" t="str">
        <f t="shared" ca="1" si="332"/>
        <v>Argentina</v>
      </c>
      <c r="AB126" s="278"/>
      <c r="AC126" s="309">
        <v>3</v>
      </c>
      <c r="AD126" s="309">
        <v>2</v>
      </c>
      <c r="AE126" s="278"/>
      <c r="AF126" s="280" t="str">
        <f t="shared" ca="1" si="333"/>
        <v>Egipto</v>
      </c>
      <c r="AG126" s="417">
        <f t="shared" ca="1" si="334"/>
        <v>1</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ca="1" si="329"/>
        <v>Suiza</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ca="1" si="332"/>
        <v>Suiza</v>
      </c>
      <c r="AB127" s="301">
        <v>1</v>
      </c>
      <c r="AC127" s="310">
        <v>0</v>
      </c>
      <c r="AD127" s="310">
        <v>0</v>
      </c>
      <c r="AE127" s="301">
        <v>0</v>
      </c>
      <c r="AF127" s="303" t="str">
        <f t="shared" ca="1" si="333"/>
        <v>Colombia</v>
      </c>
      <c r="AG127" s="417">
        <f t="shared" ca="1" si="334"/>
        <v>1</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 ca="1">IF(AND(OR(AC131="",AD131="")),"W"&amp;AH131,IF(AC131&gt;AD131,AA131,IF(AC131&lt;AD131,AF131,IF(AND(AC131=AD131,AB131=AE131),"W"&amp;AH131,IF(AND(AC131=AD131,OR(AB131="",AE131="")),"W"&amp;AH131,IF(AND(AC131=AD131,AB131&gt;AE131),AA131,AF131))))))</f>
        <v>Francia</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v>2</v>
      </c>
      <c r="AD131" s="305">
        <v>0</v>
      </c>
      <c r="AE131" s="279"/>
      <c r="AF131" s="312" t="str">
        <f ca="1">+INDEX($N$101:$N$147,MATCH(AH131,$J$101:$J$147,0))</f>
        <v>Marruecos</v>
      </c>
      <c r="AG131" s="417">
        <f ca="1">IF(D131="W"&amp;AH131,0,1)</f>
        <v>1</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 ca="1">IF(AND(OR(AC132="",AD132="")),"W"&amp;AH132,IF(AC132&gt;AD132,AA132,IF(AC132&lt;AD132,AF132,IF(AND(AC132=AD132,AB132=AE132),"W"&amp;AH132,IF(AND(AC132=AD132,OR(AB132="",AE132="")),"W"&amp;AH132,IF(AND(AC132=AD132,AB132&gt;AE132),AA132,AF132))))))</f>
        <v>España</v>
      </c>
      <c r="E132" s="744">
        <v>93</v>
      </c>
      <c r="F132" s="744">
        <v>94</v>
      </c>
      <c r="G132" s="744"/>
      <c r="H132" s="744"/>
      <c r="I132" s="744"/>
      <c r="J132" s="738">
        <v>98</v>
      </c>
      <c r="K132" s="738">
        <v>46213.875</v>
      </c>
      <c r="L132" s="738" t="s">
        <v>710</v>
      </c>
      <c r="M132" s="744" t="str">
        <f t="shared" ca="1" si="335"/>
        <v>España</v>
      </c>
      <c r="N132" s="744" t="str">
        <f t="shared" ca="1" si="335"/>
        <v>Bélgica</v>
      </c>
      <c r="O132" s="744"/>
      <c r="P132" s="744"/>
      <c r="Q132" s="744"/>
      <c r="R132" s="744"/>
      <c r="S132" s="744"/>
      <c r="T132" s="744"/>
      <c r="U132" s="744"/>
      <c r="V132" s="172"/>
      <c r="W132" s="820"/>
      <c r="X132" s="189">
        <f ca="1">Horarios!C132</f>
        <v>46213.875</v>
      </c>
      <c r="Y132" s="190">
        <f ca="1">Horarios!C132</f>
        <v>46213.875</v>
      </c>
      <c r="Z132" s="311">
        <f t="shared" si="336"/>
        <v>98</v>
      </c>
      <c r="AA132" s="277" t="str">
        <f t="shared" ca="1" si="337"/>
        <v>España</v>
      </c>
      <c r="AB132" s="278"/>
      <c r="AC132" s="309">
        <v>2</v>
      </c>
      <c r="AD132" s="309">
        <v>1</v>
      </c>
      <c r="AE132" s="278"/>
      <c r="AF132" s="312" t="str">
        <f ca="1">+INDEX($N$101:$N$147,MATCH(AH132,$J$101:$J$147,0))</f>
        <v>Bélgica</v>
      </c>
      <c r="AG132" s="417">
        <f ca="1">IF(D132="W"&amp;AH132,0,1)</f>
        <v>1</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España-Bélgica</v>
      </c>
      <c r="DU132" s="744"/>
      <c r="DV132" s="744"/>
      <c r="DW132" s="8"/>
    </row>
    <row r="133" spans="1:127" ht="16.2" customHeight="1">
      <c r="A133" s="738" t="s">
        <v>750</v>
      </c>
      <c r="B133" s="738" t="s">
        <v>751</v>
      </c>
      <c r="C133" s="739"/>
      <c r="D133" s="747" t="str">
        <f ca="1">IF(AND(OR(AC133="",AD133="")),"W"&amp;AH133,IF(AC133&gt;AD133,AA133,IF(AC133&lt;AD133,AF133,IF(AND(AC133=AD133,AB133=AE133),"W"&amp;AH133,IF(AND(AC133=AD133,OR(AB133="",AE133="")),"W"&amp;AH133,IF(AND(AC133=AD133,AB133&gt;AE133),AA133,AF133))))))</f>
        <v>Inglaterra</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ca="1" si="337"/>
        <v>Noruega</v>
      </c>
      <c r="AB133" s="278"/>
      <c r="AC133" s="309">
        <v>1</v>
      </c>
      <c r="AD133" s="309">
        <v>2</v>
      </c>
      <c r="AE133" s="278"/>
      <c r="AF133" s="312" t="str">
        <f ca="1">+INDEX($N$101:$N$147,MATCH(AH133,$J$101:$J$147,0))</f>
        <v>Inglaterra</v>
      </c>
      <c r="AG133" s="417">
        <f ca="1">IF(D133="W"&amp;AH133,0,1)</f>
        <v>1</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 ca="1">IF(AND(OR(AC134="",AD134="")),"W"&amp;AH134,IF(AC134&gt;AD134,AA134,IF(AC134&lt;AD134,AF134,IF(AND(AC134=AD134,AB134=AE134),"W"&amp;AH134,IF(AND(AC134=AD134,OR(AB134="",AE134="")),"W"&amp;AH134,IF(AND(AC134=AD134,AB134&gt;AE134),AA134,AF134))))))</f>
        <v>Argentina</v>
      </c>
      <c r="E134" s="744">
        <v>95</v>
      </c>
      <c r="F134" s="744">
        <v>96</v>
      </c>
      <c r="G134" s="744"/>
      <c r="H134" s="744"/>
      <c r="I134" s="744"/>
      <c r="J134" s="738">
        <v>100</v>
      </c>
      <c r="K134" s="738">
        <v>46214.875</v>
      </c>
      <c r="L134" s="738" t="s">
        <v>712</v>
      </c>
      <c r="M134" s="744" t="str">
        <f t="shared" ca="1" si="335"/>
        <v>Argentina</v>
      </c>
      <c r="N134" s="744" t="str">
        <f t="shared" ca="1" si="335"/>
        <v>Suiza</v>
      </c>
      <c r="O134" s="744"/>
      <c r="P134" s="744"/>
      <c r="Q134" s="744"/>
      <c r="R134" s="744"/>
      <c r="S134" s="744"/>
      <c r="T134" s="744"/>
      <c r="U134" s="744"/>
      <c r="V134" s="172"/>
      <c r="W134" s="821"/>
      <c r="X134" s="228">
        <f ca="1">Horarios!C134</f>
        <v>46215.125</v>
      </c>
      <c r="Y134" s="229">
        <f ca="1">Horarios!C134</f>
        <v>46215.125</v>
      </c>
      <c r="Z134" s="314">
        <f t="shared" si="336"/>
        <v>100</v>
      </c>
      <c r="AA134" s="300" t="str">
        <f t="shared" ca="1" si="337"/>
        <v>Argentina</v>
      </c>
      <c r="AB134" s="301"/>
      <c r="AC134" s="310">
        <v>3</v>
      </c>
      <c r="AD134" s="310">
        <v>1</v>
      </c>
      <c r="AE134" s="301"/>
      <c r="AF134" s="315" t="str">
        <f ca="1">+INDEX($N$101:$N$147,MATCH(AH134,$J$101:$J$147,0))</f>
        <v>Suiza</v>
      </c>
      <c r="AG134" s="417">
        <f ca="1">IF(D134="W"&amp;AH134,0,1)</f>
        <v>1</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Argentina-Suiza</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 ca="1">+INDEX($D$101:$D$147,MATCH(E138,$AH$101:$AH$147,0))</f>
        <v>Francia</v>
      </c>
      <c r="N138" s="738" t="str">
        <f ca="1">+INDEX($D$101:$D$147,MATCH(F138,$AH$101:$AH$147,0))</f>
        <v>España</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ca="1" si="340">+INDEX($M$101:$M$147,MATCH(AH138,$J$101:$J$147,0))</f>
        <v>Francia</v>
      </c>
      <c r="AB138" s="278"/>
      <c r="AC138" s="323"/>
      <c r="AD138" s="323"/>
      <c r="AE138" s="278"/>
      <c r="AF138" s="312" t="str">
        <f ca="1">+INDEX($N$101:$N$147,MATCH(AH138,$J$101:$J$147,0))</f>
        <v>España</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Francia-España</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 ca="1">+INDEX($D$101:$D$147,MATCH(E139,$AH$101:$AH$147,0))</f>
        <v>Inglaterra</v>
      </c>
      <c r="N139" s="738" t="str">
        <f ca="1">+INDEX($D$101:$D$147,MATCH(F139,$AH$101:$AH$147,0))</f>
        <v>Argentina</v>
      </c>
      <c r="O139" s="738"/>
      <c r="P139" s="738"/>
      <c r="Q139" s="738"/>
      <c r="R139" s="738"/>
      <c r="S139" s="738"/>
      <c r="T139" s="738"/>
      <c r="U139" s="738"/>
      <c r="V139" s="172"/>
      <c r="W139" s="823"/>
      <c r="X139" s="324">
        <f ca="1">Horarios!C139</f>
        <v>46218.875</v>
      </c>
      <c r="Y139" s="325">
        <f ca="1">Horarios!C139</f>
        <v>46218.875</v>
      </c>
      <c r="Z139" s="326">
        <f t="shared" si="339"/>
        <v>102</v>
      </c>
      <c r="AA139" s="327" t="str">
        <f t="shared" ca="1" si="340"/>
        <v>Inglaterra</v>
      </c>
      <c r="AB139" s="328"/>
      <c r="AC139" s="310"/>
      <c r="AD139" s="310"/>
      <c r="AE139" s="328"/>
      <c r="AF139" s="329" t="str">
        <f ca="1">+INDEX($N$101:$N$147,MATCH(AH139,$J$101:$J$147,0))</f>
        <v>Argentina</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Inglaterra-Argentina</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 ca="1">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 ca="1">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19</v>
      </c>
      <c r="T1" s="87"/>
      <c r="U1" s="65"/>
      <c r="V1" s="87">
        <f ca="1">+IFERROR(RANK(V2,OFFSET($S$2,0,0,1,$D$5*3),0),"-")</f>
        <v>22</v>
      </c>
      <c r="W1" s="87"/>
      <c r="X1" s="65"/>
      <c r="Y1" s="87">
        <f ca="1">+IFERROR(RANK(Y2,OFFSET($S$2,0,0,1,$D$5*3),0),"-")</f>
        <v>15</v>
      </c>
      <c r="Z1" s="87"/>
      <c r="AA1" s="65"/>
      <c r="AB1" s="87">
        <f ca="1">+IFERROR(RANK(AB2,OFFSET($S$2,0,0,1,$D$5*3),0),"-")</f>
        <v>10</v>
      </c>
      <c r="AC1" s="87"/>
      <c r="AD1" s="65"/>
      <c r="AE1" s="87">
        <f ca="1">+IFERROR(RANK(AE2,OFFSET($S$2,0,0,1,$D$5*3),0),"-")</f>
        <v>7</v>
      </c>
      <c r="AF1" s="87"/>
      <c r="AG1" s="65"/>
      <c r="AH1" s="87">
        <f ca="1">+IFERROR(RANK(AH2,OFFSET($S$2,0,0,1,$D$5*3),0),"-")</f>
        <v>21</v>
      </c>
      <c r="AI1" s="87"/>
      <c r="AJ1" s="65"/>
      <c r="AK1" s="87">
        <f ca="1">+IFERROR(RANK(AK2,OFFSET($S$2,0,0,1,$D$5*3),0),"-")</f>
        <v>24</v>
      </c>
      <c r="AL1" s="87"/>
      <c r="AM1" s="65"/>
      <c r="AN1" s="87">
        <f ca="1">+IFERROR(RANK(AN2,OFFSET($S$2,0,0,1,$D$5*3),0),"-")</f>
        <v>23</v>
      </c>
      <c r="AO1" s="87"/>
      <c r="AP1" s="65"/>
      <c r="AQ1" s="87">
        <f ca="1">+IFERROR(RANK(AQ2,OFFSET($S$2,0,0,1,$D$5*3),0),"-")</f>
        <v>1</v>
      </c>
      <c r="AR1" s="87"/>
      <c r="AS1" s="65"/>
      <c r="AT1" s="87">
        <f ca="1">+IFERROR(RANK(AT2,OFFSET($S$2,0,0,1,$D$5*3),0),"-")</f>
        <v>32</v>
      </c>
      <c r="AU1" s="87"/>
      <c r="AV1" s="65"/>
      <c r="AW1" s="87">
        <f ca="1">+IFERROR(RANK(AW2,OFFSET($S$2,0,0,1,$D$5*3),0),"-")</f>
        <v>34</v>
      </c>
      <c r="AX1" s="87"/>
      <c r="AY1" s="65"/>
      <c r="AZ1" s="87">
        <f ca="1">+IFERROR(RANK(AZ2,OFFSET($S$2,0,0,1,$D$5*3),0),"-")</f>
        <v>28</v>
      </c>
      <c r="BA1" s="87"/>
      <c r="BB1" s="65"/>
      <c r="BC1" s="87">
        <f ca="1">+IFERROR(RANK(BC2,OFFSET($S$2,0,0,1,$D$5*3),0),"-")</f>
        <v>25</v>
      </c>
      <c r="BD1" s="87"/>
      <c r="BE1" s="65"/>
      <c r="BF1" s="87">
        <f ca="1">+IFERROR(RANK(BF2,OFFSET($S$2,0,0,1,$D$5*3),0),"-")</f>
        <v>9</v>
      </c>
      <c r="BG1" s="87"/>
      <c r="BH1" s="65"/>
      <c r="BI1" s="87">
        <f ca="1">+IFERROR(RANK(BI2,OFFSET($S$2,0,0,1,$D$5*3),0),"-")</f>
        <v>17</v>
      </c>
      <c r="BJ1" s="87"/>
      <c r="BK1" s="65"/>
      <c r="BL1" s="87">
        <f ca="1">+IFERROR(RANK(BL2,OFFSET($S$2,0,0,1,$D$5*3),0),"-")</f>
        <v>2</v>
      </c>
      <c r="BM1" s="87"/>
      <c r="BN1" s="65"/>
      <c r="BO1" s="87">
        <f ca="1">+IFERROR(RANK(BO2,OFFSET($S$2,0,0,1,$D$5*3),0),"-")</f>
        <v>18</v>
      </c>
      <c r="BP1" s="87"/>
      <c r="BQ1" s="65"/>
      <c r="BR1" s="87">
        <f ca="1">+IFERROR(RANK(BR2,OFFSET($S$2,0,0,1,$D$5*3),0),"-")</f>
        <v>14</v>
      </c>
      <c r="BS1" s="87"/>
      <c r="BT1" s="65"/>
      <c r="BU1" s="87">
        <f ca="1">+IFERROR(RANK(BU2,OFFSET($S$2,0,0,1,$D$5*3),0),"-")</f>
        <v>29</v>
      </c>
      <c r="BV1" s="87"/>
      <c r="BW1" s="65"/>
      <c r="BX1" s="87">
        <f ca="1">+IFERROR(RANK(BX2,OFFSET($S$2,0,0,1,$D$5*3),0),"-")</f>
        <v>8</v>
      </c>
      <c r="BY1" s="87"/>
      <c r="BZ1" s="65"/>
      <c r="CA1" s="87">
        <f ca="1">+IFERROR(RANK(CA2,OFFSET($S$2,0,0,1,$D$5*3),0),"-")</f>
        <v>31</v>
      </c>
      <c r="CB1" s="87"/>
      <c r="CC1" s="65"/>
      <c r="CD1" s="87">
        <f ca="1">+IFERROR(RANK(CD2,OFFSET($S$2,0,0,1,$D$5*3),0),"-")</f>
        <v>36</v>
      </c>
      <c r="CE1" s="87"/>
      <c r="CF1" s="65"/>
      <c r="CG1" s="87">
        <f ca="1">+IFERROR(RANK(CG2,OFFSET($S$2,0,0,1,$D$5*3),0),"-")</f>
        <v>26</v>
      </c>
      <c r="CH1" s="87"/>
      <c r="CI1" s="65"/>
      <c r="CJ1" s="87">
        <f ca="1">+IFERROR(RANK(CJ2,OFFSET($S$2,0,0,1,$D$5*3),0),"-")</f>
        <v>13</v>
      </c>
      <c r="CK1" s="87"/>
      <c r="CL1" s="65"/>
      <c r="CM1" s="87">
        <f ca="1">+IFERROR(RANK(CM2,OFFSET($S$2,0,0,1,$D$5*3),0),"-")</f>
        <v>30</v>
      </c>
      <c r="CN1" s="87"/>
      <c r="CO1" s="65"/>
      <c r="CP1" s="87">
        <f ca="1">+IFERROR(RANK(CP2,OFFSET($S$2,0,0,1,$D$5*3),0),"-")</f>
        <v>11</v>
      </c>
      <c r="CQ1" s="87"/>
      <c r="CR1" s="65"/>
      <c r="CS1" s="87">
        <f ca="1">+IFERROR(RANK(CS2,OFFSET($S$2,0,0,1,$D$5*3),0),"-")</f>
        <v>5</v>
      </c>
      <c r="CT1" s="87"/>
      <c r="CU1" s="65"/>
      <c r="CV1" s="87">
        <f ca="1">+IFERROR(RANK(CV2,OFFSET($S$2,0,0,1,$D$5*3),0),"-")</f>
        <v>6</v>
      </c>
      <c r="CW1" s="87"/>
      <c r="CX1" s="65"/>
      <c r="CY1" s="87">
        <f ca="1">+IFERROR(RANK(CY2,OFFSET($S$2,0,0,1,$D$5*3),0),"-")</f>
        <v>16</v>
      </c>
      <c r="CZ1" s="87"/>
      <c r="DA1" s="65"/>
      <c r="DB1" s="87">
        <f ca="1">+IFERROR(RANK(DB2,OFFSET($S$2,0,0,1,$D$5*3),0),"-")</f>
        <v>3</v>
      </c>
      <c r="DC1" s="87"/>
      <c r="DD1" s="65"/>
      <c r="DE1" s="87">
        <f ca="1">+IFERROR(RANK(DE2,OFFSET($S$2,0,0,1,$D$5*3),0),"-")</f>
        <v>37</v>
      </c>
      <c r="DF1" s="87"/>
      <c r="DG1" s="65"/>
      <c r="DH1" s="87">
        <f ca="1">+IFERROR(RANK(DH2,OFFSET($S$2,0,0,1,$D$5*3),0),"-")</f>
        <v>20</v>
      </c>
      <c r="DI1" s="87"/>
      <c r="DJ1" s="65"/>
      <c r="DK1" s="87">
        <f ca="1">+IFERROR(RANK(DK2,OFFSET($S$2,0,0,1,$D$5*3),0),"-")</f>
        <v>35</v>
      </c>
      <c r="DL1" s="87"/>
      <c r="DM1" s="65"/>
      <c r="DN1" s="87">
        <f ca="1">+IFERROR(RANK(DN2,OFFSET($S$2,0,0,1,$D$5*3),0),"-")</f>
        <v>27</v>
      </c>
      <c r="DO1" s="87"/>
      <c r="DP1" s="65"/>
      <c r="DQ1" s="87">
        <f ca="1">+IFERROR(RANK(DQ2,OFFSET($S$2,0,0,1,$D$5*3),0),"-")</f>
        <v>41</v>
      </c>
      <c r="DR1" s="87"/>
      <c r="DS1" s="65"/>
      <c r="DT1" s="87">
        <f ca="1">+IFERROR(RANK(DT2,OFFSET($S$2,0,0,1,$D$5*3),0),"-")</f>
        <v>38</v>
      </c>
      <c r="DU1" s="87"/>
      <c r="DV1" s="65"/>
      <c r="DW1" s="87">
        <f ca="1">+IFERROR(RANK(DW2,OFFSET($S$2,0,0,1,$D$5*3),0),"-")</f>
        <v>4</v>
      </c>
      <c r="DX1" s="87"/>
      <c r="DY1" s="65"/>
      <c r="DZ1" s="87">
        <f ca="1">+IFERROR(RANK(DZ2,OFFSET($S$2,0,0,1,$D$5*3),0),"-")</f>
        <v>33</v>
      </c>
      <c r="EA1" s="87"/>
      <c r="EB1" s="65"/>
      <c r="EC1" s="87">
        <f ca="1">+IFERROR(RANK(EC2,OFFSET($S$2,0,0,1,$D$5*3),0),"-")</f>
        <v>40</v>
      </c>
      <c r="ED1" s="87"/>
      <c r="EE1" s="65"/>
      <c r="EF1" s="87">
        <f ca="1">+IFERROR(RANK(EF2,OFFSET($S$2,0,0,1,$D$5*3),0),"-")</f>
        <v>39</v>
      </c>
      <c r="EG1" s="87"/>
      <c r="EH1" s="65"/>
      <c r="EI1" s="87">
        <f ca="1">+IFERROR(RANK(EI2,OFFSET($S$2,0,0,1,$D$5*3),0),"-")</f>
        <v>12</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294.99810000000002</v>
      </c>
      <c r="T2" s="87"/>
      <c r="U2" s="65"/>
      <c r="V2" s="87">
        <f t="shared" ref="V2" ca="1" si="0">V4-(COLUMN()/10000)</f>
        <v>291.99779999999998</v>
      </c>
      <c r="W2" s="87"/>
      <c r="X2" s="65"/>
      <c r="Y2" s="87">
        <f t="shared" ref="Y2" ca="1" si="1">Y4-(COLUMN()/10000)</f>
        <v>302.9975</v>
      </c>
      <c r="Z2" s="87"/>
      <c r="AA2" s="65"/>
      <c r="AB2" s="87">
        <f t="shared" ref="AB2" ca="1" si="2">AB4-(COLUMN()/10000)</f>
        <v>315.99720000000002</v>
      </c>
      <c r="AC2" s="87"/>
      <c r="AD2" s="65"/>
      <c r="AE2" s="87">
        <f t="shared" ref="AE2" ca="1" si="3">AE4-(COLUMN()/10000)</f>
        <v>320.99689999999998</v>
      </c>
      <c r="AF2" s="87"/>
      <c r="AG2" s="65"/>
      <c r="AH2" s="87">
        <f t="shared" ref="AH2" ca="1" si="4">AH4-(COLUMN()/10000)</f>
        <v>292.9966</v>
      </c>
      <c r="AI2" s="87"/>
      <c r="AJ2" s="65"/>
      <c r="AK2" s="87">
        <f t="shared" ref="AK2" ca="1" si="5">AK4-(COLUMN()/10000)</f>
        <v>288.99630000000002</v>
      </c>
      <c r="AL2" s="87"/>
      <c r="AM2" s="65"/>
      <c r="AN2" s="87">
        <f t="shared" ref="AN2" ca="1" si="6">AN4-(COLUMN()/10000)</f>
        <v>290.99599999999998</v>
      </c>
      <c r="AO2" s="87"/>
      <c r="AP2" s="65"/>
      <c r="AQ2" s="87">
        <f t="shared" ref="AQ2" ca="1" si="7">AQ4-(COLUMN()/10000)</f>
        <v>357.9957</v>
      </c>
      <c r="AR2" s="87"/>
      <c r="AS2" s="65"/>
      <c r="AT2" s="87">
        <f t="shared" ref="AT2" ca="1" si="8">AT4-(COLUMN()/10000)</f>
        <v>276.99540000000002</v>
      </c>
      <c r="AU2" s="87"/>
      <c r="AV2" s="65"/>
      <c r="AW2" s="87">
        <f t="shared" ref="AW2" ca="1" si="9">AW4-(COLUMN()/10000)</f>
        <v>274.99509999999998</v>
      </c>
      <c r="AX2" s="87"/>
      <c r="AY2" s="65"/>
      <c r="AZ2" s="87">
        <f t="shared" ref="AZ2" ca="1" si="10">AZ4-(COLUMN()/10000)</f>
        <v>282.9948</v>
      </c>
      <c r="BA2" s="87"/>
      <c r="BB2" s="65"/>
      <c r="BC2" s="87">
        <f t="shared" ref="BC2" ca="1" si="11">BC4-(COLUMN()/10000)</f>
        <v>287.99450000000002</v>
      </c>
      <c r="BD2" s="87"/>
      <c r="BE2" s="65"/>
      <c r="BF2" s="87">
        <f t="shared" ref="BF2" ca="1" si="12">BF4-(COLUMN()/10000)</f>
        <v>317.99419999999998</v>
      </c>
      <c r="BG2" s="87"/>
      <c r="BH2" s="65"/>
      <c r="BI2" s="87">
        <f t="shared" ref="BI2" ca="1" si="13">BI4-(COLUMN()/10000)</f>
        <v>297.9939</v>
      </c>
      <c r="BJ2" s="87"/>
      <c r="BK2" s="65"/>
      <c r="BL2" s="87">
        <f t="shared" ref="BL2" ca="1" si="14">BL4-(COLUMN()/10000)</f>
        <v>348.99360000000001</v>
      </c>
      <c r="BM2" s="87"/>
      <c r="BN2" s="65"/>
      <c r="BO2" s="87">
        <f t="shared" ref="BO2" ca="1" si="15">BO4-(COLUMN()/10000)</f>
        <v>297.99329999999998</v>
      </c>
      <c r="BP2" s="87"/>
      <c r="BQ2" s="65"/>
      <c r="BR2" s="87">
        <f t="shared" ref="BR2" ca="1" si="16">BR4-(COLUMN()/10000)</f>
        <v>306.99299999999999</v>
      </c>
      <c r="BS2" s="87"/>
      <c r="BT2" s="65"/>
      <c r="BU2" s="87">
        <f t="shared" ref="BU2" ca="1" si="17">BU4-(COLUMN()/10000)</f>
        <v>282.99270000000001</v>
      </c>
      <c r="BV2" s="87"/>
      <c r="BW2" s="65"/>
      <c r="BX2" s="87">
        <f t="shared" ref="BX2" ca="1" si="18">BX4-(COLUMN()/10000)</f>
        <v>318.99239999999998</v>
      </c>
      <c r="BY2" s="87"/>
      <c r="BZ2" s="65"/>
      <c r="CA2" s="87">
        <f t="shared" ref="CA2" ca="1" si="19">CA4-(COLUMN()/10000)</f>
        <v>280.99209999999999</v>
      </c>
      <c r="CB2" s="87"/>
      <c r="CC2" s="65"/>
      <c r="CD2" s="87">
        <f t="shared" ref="CD2" ca="1" si="20">CD4-(COLUMN()/10000)</f>
        <v>271.99180000000001</v>
      </c>
      <c r="CE2" s="87"/>
      <c r="CF2" s="65"/>
      <c r="CG2" s="87">
        <f t="shared" ref="CG2" ca="1" si="21">CG4-(COLUMN()/10000)</f>
        <v>286.99149999999997</v>
      </c>
      <c r="CH2" s="87"/>
      <c r="CI2" s="65"/>
      <c r="CJ2" s="87">
        <f t="shared" ref="CJ2" ca="1" si="22">CJ4-(COLUMN()/10000)</f>
        <v>310.99119999999999</v>
      </c>
      <c r="CK2" s="87"/>
      <c r="CL2" s="65"/>
      <c r="CM2" s="87">
        <f t="shared" ref="CM2" ca="1" si="23">CM4-(COLUMN()/10000)</f>
        <v>281.99090000000001</v>
      </c>
      <c r="CN2" s="87"/>
      <c r="CO2" s="65"/>
      <c r="CP2" s="87">
        <f t="shared" ref="CP2" ca="1" si="24">CP4-(COLUMN()/10000)</f>
        <v>314.99059999999997</v>
      </c>
      <c r="CQ2" s="87"/>
      <c r="CR2" s="65"/>
      <c r="CS2" s="87">
        <f t="shared" ref="CS2" ca="1" si="25">CS4-(COLUMN()/10000)</f>
        <v>331.99029999999999</v>
      </c>
      <c r="CT2" s="87"/>
      <c r="CU2" s="65"/>
      <c r="CV2" s="87">
        <f t="shared" ref="CV2" ca="1" si="26">CV4-(COLUMN()/10000)</f>
        <v>324.99</v>
      </c>
      <c r="CW2" s="87"/>
      <c r="CX2" s="65"/>
      <c r="CY2" s="87">
        <f t="shared" ref="CY2" ca="1" si="27">CY4-(COLUMN()/10000)</f>
        <v>301.98970000000003</v>
      </c>
      <c r="CZ2" s="87"/>
      <c r="DA2" s="65"/>
      <c r="DB2" s="87">
        <f t="shared" ref="DB2" ca="1" si="28">DB4-(COLUMN()/10000)</f>
        <v>337.98939999999999</v>
      </c>
      <c r="DC2" s="87"/>
      <c r="DD2" s="65"/>
      <c r="DE2" s="87">
        <f t="shared" ref="DE2" ca="1" si="29">DE4-(COLUMN()/10000)</f>
        <v>268.98910000000001</v>
      </c>
      <c r="DF2" s="87"/>
      <c r="DG2" s="65"/>
      <c r="DH2" s="87">
        <f t="shared" ref="DH2" ca="1" si="30">DH4-(COLUMN()/10000)</f>
        <v>294.98880000000003</v>
      </c>
      <c r="DI2" s="87"/>
      <c r="DJ2" s="65"/>
      <c r="DK2" s="87">
        <f t="shared" ref="DK2" ca="1" si="31">DK4-(COLUMN()/10000)</f>
        <v>272.98849999999999</v>
      </c>
      <c r="DL2" s="87"/>
      <c r="DM2" s="65"/>
      <c r="DN2" s="87">
        <f t="shared" ref="DN2" ca="1" si="32">DN4-(COLUMN()/10000)</f>
        <v>285.98820000000001</v>
      </c>
      <c r="DO2" s="87"/>
      <c r="DP2" s="65"/>
      <c r="DQ2" s="87">
        <f t="shared" ref="DQ2" ca="1" si="33">DQ4-(COLUMN()/10000)</f>
        <v>219.9879</v>
      </c>
      <c r="DR2" s="87"/>
      <c r="DS2" s="65"/>
      <c r="DT2" s="87">
        <f t="shared" ref="DT2" ca="1" si="34">DT4-(COLUMN()/10000)</f>
        <v>265.98759999999999</v>
      </c>
      <c r="DU2" s="87"/>
      <c r="DV2" s="65"/>
      <c r="DW2" s="87">
        <f t="shared" ref="DW2" ca="1" si="35">DW4-(COLUMN()/10000)</f>
        <v>332.9873</v>
      </c>
      <c r="DX2" s="87"/>
      <c r="DY2" s="65"/>
      <c r="DZ2" s="87">
        <f t="shared" ref="DZ2" ca="1" si="36">DZ4-(COLUMN()/10000)</f>
        <v>276.98700000000002</v>
      </c>
      <c r="EA2" s="87"/>
      <c r="EB2" s="65"/>
      <c r="EC2" s="87">
        <f t="shared" ref="EC2" ca="1" si="37">EC4-(COLUMN()/10000)</f>
        <v>264.98669999999998</v>
      </c>
      <c r="ED2" s="87"/>
      <c r="EE2" s="65"/>
      <c r="EF2" s="87">
        <f t="shared" ref="EF2" ca="1" si="38">EF4-(COLUMN()/10000)</f>
        <v>265.9864</v>
      </c>
      <c r="EG2" s="87"/>
      <c r="EH2" s="65"/>
      <c r="EI2" s="87">
        <f t="shared" ref="EI2" ca="1" si="39">EI4-(COLUMN()/10000)</f>
        <v>313.98610000000002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19</v>
      </c>
      <c r="T3" s="87"/>
      <c r="U3" s="65"/>
      <c r="V3" s="87">
        <f ca="1">RANK(V4,OFFSET($S$4,0,0,1,$D$5*3),0)</f>
        <v>22</v>
      </c>
      <c r="W3" s="87"/>
      <c r="X3" s="65"/>
      <c r="Y3" s="87">
        <f ca="1">RANK(Y4,OFFSET($S$4,0,0,1,$D$5*3),0)</f>
        <v>15</v>
      </c>
      <c r="Z3" s="87"/>
      <c r="AA3" s="65"/>
      <c r="AB3" s="87">
        <f ca="1">RANK(AB4,OFFSET($S$4,0,0,1,$D$5*3),0)</f>
        <v>10</v>
      </c>
      <c r="AC3" s="87"/>
      <c r="AD3" s="65"/>
      <c r="AE3" s="87">
        <f ca="1">RANK(AE4,OFFSET($S$4,0,0,1,$D$5*3),0)</f>
        <v>7</v>
      </c>
      <c r="AF3" s="87"/>
      <c r="AG3" s="65"/>
      <c r="AH3" s="87">
        <f ca="1">RANK(AH4,OFFSET($S$4,0,0,1,$D$5*3),0)</f>
        <v>21</v>
      </c>
      <c r="AI3" s="87"/>
      <c r="AJ3" s="65"/>
      <c r="AK3" s="87">
        <f ca="1">RANK(AK4,OFFSET($S$4,0,0,1,$D$5*3),0)</f>
        <v>24</v>
      </c>
      <c r="AL3" s="87"/>
      <c r="AM3" s="65"/>
      <c r="AN3" s="87">
        <f ca="1">RANK(AN4,OFFSET($S$4,0,0,1,$D$5*3),0)</f>
        <v>23</v>
      </c>
      <c r="AO3" s="87"/>
      <c r="AP3" s="65"/>
      <c r="AQ3" s="87">
        <f ca="1">RANK(AQ4,OFFSET($S$4,0,0,1,$D$5*3),0)</f>
        <v>1</v>
      </c>
      <c r="AR3" s="87"/>
      <c r="AS3" s="65"/>
      <c r="AT3" s="87">
        <f ca="1">RANK(AT4,OFFSET($S$4,0,0,1,$D$5*3),0)</f>
        <v>32</v>
      </c>
      <c r="AU3" s="87"/>
      <c r="AV3" s="65"/>
      <c r="AW3" s="87">
        <f ca="1">RANK(AW4,OFFSET($S$4,0,0,1,$D$5*3),0)</f>
        <v>34</v>
      </c>
      <c r="AX3" s="87"/>
      <c r="AY3" s="65"/>
      <c r="AZ3" s="87">
        <f ca="1">RANK(AZ4,OFFSET($S$4,0,0,1,$D$5*3),0)</f>
        <v>28</v>
      </c>
      <c r="BA3" s="87"/>
      <c r="BB3" s="65"/>
      <c r="BC3" s="87">
        <f ca="1">RANK(BC4,OFFSET($S$4,0,0,1,$D$5*3),0)</f>
        <v>25</v>
      </c>
      <c r="BD3" s="87"/>
      <c r="BE3" s="65"/>
      <c r="BF3" s="87">
        <f ca="1">RANK(BF4,OFFSET($S$4,0,0,1,$D$5*3),0)</f>
        <v>9</v>
      </c>
      <c r="BG3" s="87"/>
      <c r="BH3" s="65"/>
      <c r="BI3" s="87">
        <f ca="1">RANK(BI4,OFFSET($S$4,0,0,1,$D$5*3),0)</f>
        <v>17</v>
      </c>
      <c r="BJ3" s="87"/>
      <c r="BK3" s="65"/>
      <c r="BL3" s="87">
        <f ca="1">RANK(BL4,OFFSET($S$4,0,0,1,$D$5*3),0)</f>
        <v>2</v>
      </c>
      <c r="BM3" s="87"/>
      <c r="BN3" s="65"/>
      <c r="BO3" s="87">
        <f ca="1">RANK(BO4,OFFSET($S$4,0,0,1,$D$5*3),0)</f>
        <v>17</v>
      </c>
      <c r="BP3" s="87"/>
      <c r="BQ3" s="65"/>
      <c r="BR3" s="87">
        <f ca="1">RANK(BR4,OFFSET($S$4,0,0,1,$D$5*3),0)</f>
        <v>14</v>
      </c>
      <c r="BS3" s="87"/>
      <c r="BT3" s="65"/>
      <c r="BU3" s="87">
        <f ca="1">RANK(BU4,OFFSET($S$4,0,0,1,$D$5*3),0)</f>
        <v>28</v>
      </c>
      <c r="BV3" s="87"/>
      <c r="BW3" s="65"/>
      <c r="BX3" s="87">
        <f ca="1">RANK(BX4,OFFSET($S$4,0,0,1,$D$5*3),0)</f>
        <v>8</v>
      </c>
      <c r="BY3" s="87"/>
      <c r="BZ3" s="65"/>
      <c r="CA3" s="87">
        <f ca="1">RANK(CA4,OFFSET($S$4,0,0,1,$D$5*3),0)</f>
        <v>31</v>
      </c>
      <c r="CB3" s="87"/>
      <c r="CC3" s="65"/>
      <c r="CD3" s="87">
        <f ca="1">RANK(CD4,OFFSET($S$4,0,0,1,$D$5*3),0)</f>
        <v>36</v>
      </c>
      <c r="CE3" s="87"/>
      <c r="CF3" s="65"/>
      <c r="CG3" s="87">
        <f ca="1">RANK(CG4,OFFSET($S$4,0,0,1,$D$5*3),0)</f>
        <v>26</v>
      </c>
      <c r="CH3" s="87"/>
      <c r="CI3" s="65"/>
      <c r="CJ3" s="87">
        <f ca="1">RANK(CJ4,OFFSET($S$4,0,0,1,$D$5*3),0)</f>
        <v>13</v>
      </c>
      <c r="CK3" s="87"/>
      <c r="CL3" s="65"/>
      <c r="CM3" s="87">
        <f ca="1">RANK(CM4,OFFSET($S$4,0,0,1,$D$5*3),0)</f>
        <v>30</v>
      </c>
      <c r="CN3" s="87"/>
      <c r="CO3" s="65"/>
      <c r="CP3" s="87">
        <f ca="1">RANK(CP4,OFFSET($S$4,0,0,1,$D$5*3),0)</f>
        <v>11</v>
      </c>
      <c r="CQ3" s="87"/>
      <c r="CR3" s="65"/>
      <c r="CS3" s="87">
        <f ca="1">RANK(CS4,OFFSET($S$4,0,0,1,$D$5*3),0)</f>
        <v>5</v>
      </c>
      <c r="CT3" s="87"/>
      <c r="CU3" s="65"/>
      <c r="CV3" s="87">
        <f ca="1">RANK(CV4,OFFSET($S$4,0,0,1,$D$5*3),0)</f>
        <v>6</v>
      </c>
      <c r="CW3" s="87"/>
      <c r="CX3" s="65"/>
      <c r="CY3" s="87">
        <f ca="1">RANK(CY4,OFFSET($S$4,0,0,1,$D$5*3),0)</f>
        <v>16</v>
      </c>
      <c r="CZ3" s="87"/>
      <c r="DA3" s="65"/>
      <c r="DB3" s="87">
        <f ca="1">RANK(DB4,OFFSET($S$4,0,0,1,$D$5*3),0)</f>
        <v>3</v>
      </c>
      <c r="DC3" s="87"/>
      <c r="DD3" s="65"/>
      <c r="DE3" s="87">
        <f ca="1">RANK(DE4,OFFSET($S$4,0,0,1,$D$5*3),0)</f>
        <v>37</v>
      </c>
      <c r="DF3" s="87"/>
      <c r="DG3" s="65"/>
      <c r="DH3" s="87">
        <f ca="1">RANK(DH4,OFFSET($S$4,0,0,1,$D$5*3),0)</f>
        <v>19</v>
      </c>
      <c r="DI3" s="87"/>
      <c r="DJ3" s="65"/>
      <c r="DK3" s="87">
        <f ca="1">RANK(DK4,OFFSET($S$4,0,0,1,$D$5*3),0)</f>
        <v>35</v>
      </c>
      <c r="DL3" s="87"/>
      <c r="DM3" s="65"/>
      <c r="DN3" s="87">
        <f ca="1">RANK(DN4,OFFSET($S$4,0,0,1,$D$5*3),0)</f>
        <v>27</v>
      </c>
      <c r="DO3" s="87"/>
      <c r="DP3" s="65"/>
      <c r="DQ3" s="87">
        <f ca="1">RANK(DQ4,OFFSET($S$4,0,0,1,$D$5*3),0)</f>
        <v>41</v>
      </c>
      <c r="DR3" s="87"/>
      <c r="DS3" s="65"/>
      <c r="DT3" s="87">
        <f ca="1">RANK(DT4,OFFSET($S$4,0,0,1,$D$5*3),0)</f>
        <v>38</v>
      </c>
      <c r="DU3" s="87"/>
      <c r="DV3" s="65"/>
      <c r="DW3" s="87">
        <f ca="1">RANK(DW4,OFFSET($S$4,0,0,1,$D$5*3),0)</f>
        <v>4</v>
      </c>
      <c r="DX3" s="87"/>
      <c r="DY3" s="65"/>
      <c r="DZ3" s="87">
        <f ca="1">RANK(DZ4,OFFSET($S$4,0,0,1,$D$5*3),0)</f>
        <v>32</v>
      </c>
      <c r="EA3" s="87"/>
      <c r="EB3" s="65"/>
      <c r="EC3" s="87">
        <f ca="1">RANK(EC4,OFFSET($S$4,0,0,1,$D$5*3),0)</f>
        <v>40</v>
      </c>
      <c r="ED3" s="87"/>
      <c r="EE3" s="65"/>
      <c r="EF3" s="87">
        <f ca="1">RANK(EF4,OFFSET($S$4,0,0,1,$D$5*3),0)</f>
        <v>38</v>
      </c>
      <c r="EG3" s="87"/>
      <c r="EH3" s="65"/>
      <c r="EI3" s="87">
        <f ca="1">RANK(EI4,OFFSET($S$4,0,0,1,$D$5*3),0)</f>
        <v>12</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295</v>
      </c>
      <c r="T4" s="68"/>
      <c r="U4" s="65"/>
      <c r="V4" s="67">
        <f ca="1">SUM(W6:W259)/2</f>
        <v>292</v>
      </c>
      <c r="W4" s="68"/>
      <c r="X4" s="65"/>
      <c r="Y4" s="67">
        <f ca="1">SUM(Z6:Z259)/2</f>
        <v>303</v>
      </c>
      <c r="Z4" s="68"/>
      <c r="AA4" s="65"/>
      <c r="AB4" s="67">
        <f ca="1">SUM(AC6:AC259)/2</f>
        <v>316</v>
      </c>
      <c r="AC4" s="68"/>
      <c r="AD4" s="65"/>
      <c r="AE4" s="67">
        <f ca="1">SUM(AF6:AF259)/2</f>
        <v>321</v>
      </c>
      <c r="AF4" s="68"/>
      <c r="AG4" s="65"/>
      <c r="AH4" s="67">
        <f ca="1">SUM(AI6:AI259)/2</f>
        <v>293</v>
      </c>
      <c r="AI4" s="68"/>
      <c r="AJ4" s="65"/>
      <c r="AK4" s="67">
        <f ca="1">SUM(AL6:AL259)/2</f>
        <v>289</v>
      </c>
      <c r="AL4" s="68"/>
      <c r="AM4" s="65"/>
      <c r="AN4" s="67">
        <f ca="1">SUM(AO6:AO259)/2</f>
        <v>291</v>
      </c>
      <c r="AO4" s="68"/>
      <c r="AP4" s="65"/>
      <c r="AQ4" s="67">
        <f ca="1">SUM(AR6:AR259)/2</f>
        <v>358</v>
      </c>
      <c r="AR4" s="68"/>
      <c r="AS4" s="65"/>
      <c r="AT4" s="67">
        <f ca="1">SUM(AU6:AU259)/2</f>
        <v>277</v>
      </c>
      <c r="AU4" s="68"/>
      <c r="AV4" s="65"/>
      <c r="AW4" s="67">
        <f ca="1">SUM(AX6:AX259)/2</f>
        <v>275</v>
      </c>
      <c r="AX4" s="68"/>
      <c r="AY4" s="65"/>
      <c r="AZ4" s="67">
        <f ca="1">SUM(BA6:BA259)/2</f>
        <v>283</v>
      </c>
      <c r="BA4" s="68"/>
      <c r="BB4" s="65"/>
      <c r="BC4" s="67">
        <f ca="1">SUM(BD6:BD259)/2</f>
        <v>288</v>
      </c>
      <c r="BD4" s="68"/>
      <c r="BE4" s="65"/>
      <c r="BF4" s="67">
        <f ca="1">SUM(BG6:BG259)/2</f>
        <v>318</v>
      </c>
      <c r="BG4" s="68"/>
      <c r="BH4" s="65"/>
      <c r="BI4" s="67">
        <f ca="1">SUM(BJ6:BJ259)/2</f>
        <v>298</v>
      </c>
      <c r="BJ4" s="68"/>
      <c r="BK4" s="65"/>
      <c r="BL4" s="67">
        <f ca="1">SUM(BM6:BM259)/2</f>
        <v>349</v>
      </c>
      <c r="BM4" s="68"/>
      <c r="BN4" s="65"/>
      <c r="BO4" s="67">
        <f ca="1">SUM(BP6:BP259)/2</f>
        <v>298</v>
      </c>
      <c r="BP4" s="68"/>
      <c r="BQ4" s="65"/>
      <c r="BR4" s="67">
        <f ca="1">SUM(BS6:BS259)/2</f>
        <v>307</v>
      </c>
      <c r="BS4" s="68"/>
      <c r="BT4" s="65"/>
      <c r="BU4" s="67">
        <f ca="1">SUM(BV6:BV259)/2</f>
        <v>283</v>
      </c>
      <c r="BV4" s="68"/>
      <c r="BW4" s="65"/>
      <c r="BX4" s="67">
        <f ca="1">SUM(BY6:BY259)/2</f>
        <v>319</v>
      </c>
      <c r="BY4" s="68"/>
      <c r="BZ4" s="65"/>
      <c r="CA4" s="67">
        <f ca="1">SUM(CB6:CB259)/2</f>
        <v>281</v>
      </c>
      <c r="CB4" s="68"/>
      <c r="CC4" s="65"/>
      <c r="CD4" s="67">
        <f ca="1">SUM(CE6:CE259)/2</f>
        <v>272</v>
      </c>
      <c r="CE4" s="68"/>
      <c r="CF4" s="65"/>
      <c r="CG4" s="67">
        <f ca="1">SUM(CH6:CH259)/2</f>
        <v>287</v>
      </c>
      <c r="CH4" s="68"/>
      <c r="CI4" s="65"/>
      <c r="CJ4" s="67">
        <f ca="1">SUM(CK6:CK259)/2</f>
        <v>311</v>
      </c>
      <c r="CK4" s="68"/>
      <c r="CL4" s="65"/>
      <c r="CM4" s="67">
        <f ca="1">SUM(CN6:CN259)/2</f>
        <v>282</v>
      </c>
      <c r="CN4" s="68"/>
      <c r="CO4" s="65"/>
      <c r="CP4" s="67">
        <f ca="1">SUM(CQ6:CQ259)/2</f>
        <v>315</v>
      </c>
      <c r="CQ4" s="68"/>
      <c r="CR4" s="65"/>
      <c r="CS4" s="67">
        <f ca="1">SUM(CT6:CT259)/2</f>
        <v>332</v>
      </c>
      <c r="CT4" s="68"/>
      <c r="CU4" s="65"/>
      <c r="CV4" s="67">
        <f ca="1">SUM(CW6:CW259)/2</f>
        <v>325</v>
      </c>
      <c r="CW4" s="68"/>
      <c r="CX4" s="65"/>
      <c r="CY4" s="67">
        <f ca="1">SUM(CZ6:CZ259)/2</f>
        <v>302</v>
      </c>
      <c r="CZ4" s="68"/>
      <c r="DA4" s="65"/>
      <c r="DB4" s="67">
        <f ca="1">SUM(DC6:DC259)/2</f>
        <v>338</v>
      </c>
      <c r="DC4" s="68"/>
      <c r="DD4" s="65"/>
      <c r="DE4" s="67">
        <f ca="1">SUM(DF6:DF259)/2</f>
        <v>269</v>
      </c>
      <c r="DF4" s="68"/>
      <c r="DG4" s="65"/>
      <c r="DH4" s="67">
        <f ca="1">SUM(DI6:DI259)/2</f>
        <v>295</v>
      </c>
      <c r="DI4" s="68"/>
      <c r="DJ4" s="65"/>
      <c r="DK4" s="67">
        <f ca="1">SUM(DL6:DL259)/2</f>
        <v>273</v>
      </c>
      <c r="DL4" s="68"/>
      <c r="DM4" s="65"/>
      <c r="DN4" s="67">
        <f ca="1">SUM(DO6:DO259)/2</f>
        <v>286</v>
      </c>
      <c r="DO4" s="68"/>
      <c r="DP4" s="65"/>
      <c r="DQ4" s="67">
        <f ca="1">SUM(DR6:DR259)/2</f>
        <v>220</v>
      </c>
      <c r="DR4" s="68"/>
      <c r="DS4" s="65"/>
      <c r="DT4" s="67">
        <f ca="1">SUM(DU6:DU259)/2</f>
        <v>266</v>
      </c>
      <c r="DU4" s="68"/>
      <c r="DV4" s="65"/>
      <c r="DW4" s="67">
        <f ca="1">SUM(DX6:DX259)/2</f>
        <v>333</v>
      </c>
      <c r="DX4" s="68"/>
      <c r="DY4" s="65"/>
      <c r="DZ4" s="67">
        <f ca="1">SUM(EA6:EA259)/2</f>
        <v>277</v>
      </c>
      <c r="EA4" s="68"/>
      <c r="EB4" s="65"/>
      <c r="EC4" s="67">
        <f ca="1">SUM(ED6:ED259)/2</f>
        <v>265</v>
      </c>
      <c r="ED4" s="68"/>
      <c r="EE4" s="65"/>
      <c r="EF4" s="67">
        <f ca="1">SUM(EG6:EG259)/2</f>
        <v>266</v>
      </c>
      <c r="EG4" s="68"/>
      <c r="EH4" s="65"/>
      <c r="EI4" s="67">
        <f ca="1">SUM(EJ6:EJ259)/2</f>
        <v>314</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1"/>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51"/>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51"/>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51"/>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51"/>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51"/>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51"/>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51"/>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51"/>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51"/>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51"/>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51"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51"/>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1</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51"/>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2</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4</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51"/>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2022</v>
      </c>
      <c r="W203" s="73">
        <f t="shared" ca="1" si="950"/>
        <v>0</v>
      </c>
      <c r="X203" s="110"/>
      <c r="Y203" s="80" t="s">
        <v>2058</v>
      </c>
      <c r="Z203" s="73">
        <f t="shared" ca="1" si="950"/>
        <v>2</v>
      </c>
      <c r="AA203" s="110"/>
      <c r="AB203" s="80" t="s">
        <v>2084</v>
      </c>
      <c r="AC203" s="73">
        <f t="shared" ca="1" si="950"/>
        <v>1</v>
      </c>
      <c r="AD203" s="110"/>
      <c r="AE203" s="80" t="s">
        <v>2058</v>
      </c>
      <c r="AF203" s="73">
        <f t="shared" ca="1" si="950"/>
        <v>2</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1</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1</v>
      </c>
      <c r="BH203" s="110"/>
      <c r="BI203" s="80" t="s">
        <v>2084</v>
      </c>
      <c r="BJ203" s="73">
        <f t="shared" ca="1" si="950"/>
        <v>1</v>
      </c>
      <c r="BK203" s="110"/>
      <c r="BL203" s="80" t="s">
        <v>2390</v>
      </c>
      <c r="BM203" s="73">
        <f t="shared" ca="1" si="950"/>
        <v>2</v>
      </c>
      <c r="BN203" s="110"/>
      <c r="BO203" s="80" t="s">
        <v>2390</v>
      </c>
      <c r="BP203" s="73">
        <f t="shared" ca="1" si="950"/>
        <v>2</v>
      </c>
      <c r="BQ203" s="110"/>
      <c r="BR203" s="80" t="s">
        <v>2390</v>
      </c>
      <c r="BS203" s="73">
        <f t="shared" ca="1" si="950"/>
        <v>2</v>
      </c>
      <c r="BT203" s="110"/>
      <c r="BU203" s="80" t="s">
        <v>2434</v>
      </c>
      <c r="BV203" s="73">
        <f t="shared" ca="1" si="950"/>
        <v>0</v>
      </c>
      <c r="BW203" s="110"/>
      <c r="BX203" s="80" t="s">
        <v>2058</v>
      </c>
      <c r="BY203" s="73">
        <f t="shared" ca="1" si="950"/>
        <v>2</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2</v>
      </c>
      <c r="CL203" s="110"/>
      <c r="CM203" s="80" t="s">
        <v>2084</v>
      </c>
      <c r="CN203" s="73">
        <f t="shared" ca="1" si="972"/>
        <v>1</v>
      </c>
      <c r="CO203" s="110"/>
      <c r="CP203" s="80" t="s">
        <v>2058</v>
      </c>
      <c r="CQ203" s="73">
        <f t="shared" ca="1" si="972"/>
        <v>2</v>
      </c>
      <c r="CR203" s="110"/>
      <c r="CS203" s="80" t="s">
        <v>2390</v>
      </c>
      <c r="CT203" s="73">
        <f t="shared" ca="1" si="972"/>
        <v>2</v>
      </c>
      <c r="CU203" s="110"/>
      <c r="CV203" s="80" t="s">
        <v>2084</v>
      </c>
      <c r="CW203" s="73">
        <f t="shared" ca="1" si="972"/>
        <v>1</v>
      </c>
      <c r="CX203" s="110"/>
      <c r="CY203" s="80" t="s">
        <v>2390</v>
      </c>
      <c r="CZ203" s="73">
        <f t="shared" ca="1" si="972"/>
        <v>2</v>
      </c>
      <c r="DA203" s="110"/>
      <c r="DB203" s="80" t="s">
        <v>2084</v>
      </c>
      <c r="DC203" s="73">
        <f t="shared" ca="1" si="972"/>
        <v>1</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1</v>
      </c>
      <c r="EE203" s="110"/>
      <c r="EF203" s="80" t="s">
        <v>2058</v>
      </c>
      <c r="EG203" s="73">
        <f t="shared" ca="1" si="972"/>
        <v>2</v>
      </c>
      <c r="EH203" s="110"/>
      <c r="EI203" s="80" t="s">
        <v>2390</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999"/>
        <v>4</v>
      </c>
      <c r="G204" s="407">
        <f ca="1">VLOOKUP(H204,Equipos!$Q$1:$R$25,2,0)</f>
        <v>21</v>
      </c>
      <c r="H204" s="65" t="str">
        <f>Idiomas!$D$261</f>
        <v>Octavos de final</v>
      </c>
      <c r="I204" s="43">
        <v>1</v>
      </c>
      <c r="J204" s="851"/>
      <c r="K204" s="56" t="str">
        <f ca="1">CONCATENATE(WORLDCUP!AA124,"-",WORLDCUP!AF124)</f>
        <v>Portugal-España</v>
      </c>
      <c r="L204" s="53">
        <f>IF(OR(WORLDCUP!AC124="",WORLDCUP!AD124=""),"PD",IF(WORLDCUP!AC124&gt;WORLDCUP!AD124,1,IF(WORLDCUP!AC124&lt;WORLDCUP!AD124,2,0)))</f>
        <v>2</v>
      </c>
      <c r="M204" s="55" t="str">
        <f t="shared" si="947"/>
        <v>0-1</v>
      </c>
      <c r="N204" s="25">
        <f>WORLDCUP!AC124</f>
        <v>0</v>
      </c>
      <c r="O204" s="25">
        <f>WORLDCUP!AD124</f>
        <v>1</v>
      </c>
      <c r="P204" s="25">
        <f t="shared" si="948"/>
        <v>-1</v>
      </c>
      <c r="Q204" s="25">
        <f t="shared" si="949"/>
        <v>1</v>
      </c>
      <c r="R204" s="110"/>
      <c r="S204" s="74" t="s">
        <v>1984</v>
      </c>
      <c r="T204" s="73">
        <f t="shared" ca="1" si="1000"/>
        <v>1</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2</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999"/>
        <v>4</v>
      </c>
      <c r="G205" s="407">
        <f ca="1">VLOOKUP(H205,Equipos!$Q$1:$R$25,2,0)</f>
        <v>21</v>
      </c>
      <c r="H205" s="65" t="str">
        <f>Idiomas!$D$261</f>
        <v>Octavos de final</v>
      </c>
      <c r="I205" s="43">
        <v>1</v>
      </c>
      <c r="J205" s="851"/>
      <c r="K205" s="56" t="str">
        <f ca="1">CONCATENATE(WORLDCUP!AA125,"-",WORLDCUP!AF125)</f>
        <v>Estados Unidos-Bélgica</v>
      </c>
      <c r="L205" s="53">
        <f>IF(OR(WORLDCUP!AC125="",WORLDCUP!AD125=""),"PD",IF(WORLDCUP!AC125&gt;WORLDCUP!AD125,1,IF(WORLDCUP!AC125&lt;WORLDCUP!AD125,2,0)))</f>
        <v>2</v>
      </c>
      <c r="M205" s="55" t="str">
        <f t="shared" si="947"/>
        <v>1-4</v>
      </c>
      <c r="N205" s="25">
        <f>WORLDCUP!AC125</f>
        <v>1</v>
      </c>
      <c r="O205" s="25">
        <f>WORLDCUP!AD125</f>
        <v>4</v>
      </c>
      <c r="P205" s="25">
        <f t="shared" si="948"/>
        <v>-3</v>
      </c>
      <c r="Q205" s="25">
        <f t="shared" si="949"/>
        <v>3</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1</v>
      </c>
      <c r="AG205" s="110"/>
      <c r="AH205" s="80" t="s">
        <v>2145</v>
      </c>
      <c r="AI205" s="73">
        <f t="shared" ca="1" si="950"/>
        <v>1</v>
      </c>
      <c r="AJ205" s="110"/>
      <c r="AK205" s="80" t="s">
        <v>2171</v>
      </c>
      <c r="AL205" s="73">
        <f t="shared" ca="1" si="950"/>
        <v>0</v>
      </c>
      <c r="AM205" s="110"/>
      <c r="AN205" s="80" t="s">
        <v>2203</v>
      </c>
      <c r="AO205" s="73">
        <f t="shared" ca="1" si="950"/>
        <v>0</v>
      </c>
      <c r="AP205" s="110"/>
      <c r="AQ205" s="80" t="s">
        <v>2114</v>
      </c>
      <c r="AR205" s="73">
        <f t="shared" ca="1" si="950"/>
        <v>1</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1</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1</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1</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07">
        <f t="shared" si="999"/>
        <v>4</v>
      </c>
      <c r="G206" s="407">
        <f ca="1">VLOOKUP(H206,Equipos!$Q$1:$R$25,2,0)</f>
        <v>21</v>
      </c>
      <c r="H206" s="65" t="str">
        <f>Idiomas!$D$261</f>
        <v>Octavos de final</v>
      </c>
      <c r="I206" s="43">
        <v>1</v>
      </c>
      <c r="J206" s="851"/>
      <c r="K206" s="56" t="str">
        <f ca="1">CONCATENATE(WORLDCUP!AA126,"-",WORLDCUP!AF126)</f>
        <v>Argentina-Egipto</v>
      </c>
      <c r="L206" s="53">
        <f>IF(OR(WORLDCUP!AC126="",WORLDCUP!AD126=""),"PD",IF(WORLDCUP!AC126&gt;WORLDCUP!AD126,1,IF(WORLDCUP!AC126&lt;WORLDCUP!AD126,2,0)))</f>
        <v>1</v>
      </c>
      <c r="M206" s="55" t="str">
        <f t="shared" si="947"/>
        <v>3-2</v>
      </c>
      <c r="N206" s="25">
        <f>WORLDCUP!AC126</f>
        <v>3</v>
      </c>
      <c r="O206" s="25">
        <f>WORLDCUP!AD126</f>
        <v>2</v>
      </c>
      <c r="P206" s="25">
        <f t="shared" si="948"/>
        <v>1</v>
      </c>
      <c r="Q206" s="25">
        <f t="shared" si="949"/>
        <v>-1</v>
      </c>
      <c r="R206" s="110"/>
      <c r="S206" s="74" t="s">
        <v>1986</v>
      </c>
      <c r="T206" s="73">
        <f t="shared" ca="1" si="1000"/>
        <v>0</v>
      </c>
      <c r="U206" s="110"/>
      <c r="V206" s="74" t="s">
        <v>2025</v>
      </c>
      <c r="W206" s="73">
        <f t="shared" ca="1" si="950"/>
        <v>0</v>
      </c>
      <c r="X206" s="110"/>
      <c r="Y206" s="80" t="s">
        <v>2061</v>
      </c>
      <c r="Z206" s="73">
        <f t="shared" ca="1" si="950"/>
        <v>1</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1</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1</v>
      </c>
      <c r="BB206" s="110"/>
      <c r="BC206" s="80" t="s">
        <v>2331</v>
      </c>
      <c r="BD206" s="73">
        <f t="shared" ca="1" si="950"/>
        <v>1</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2</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07">
        <f t="shared" si="999"/>
        <v>4</v>
      </c>
      <c r="G207" s="407">
        <f ca="1">VLOOKUP(H207,Equipos!$Q$1:$R$25,2,0)</f>
        <v>21</v>
      </c>
      <c r="H207" s="65" t="str">
        <f>Idiomas!$D$261</f>
        <v>Octavos de final</v>
      </c>
      <c r="I207" s="43">
        <v>1</v>
      </c>
      <c r="J207" s="851"/>
      <c r="K207" s="115" t="str">
        <f ca="1">CONCATENATE(WORLDCUP!AA127,"-",WORLDCUP!AF127)</f>
        <v>Suiza-Colombia</v>
      </c>
      <c r="L207" s="115">
        <f>IF(OR(WORLDCUP!AC127="",WORLDCUP!AD127=""),"PD",IF(WORLDCUP!AC127&gt;WORLDCUP!AD127,1,IF(WORLDCUP!AC127&lt;WORLDCUP!AD127,2,0)))</f>
        <v>0</v>
      </c>
      <c r="M207" s="116" t="str">
        <f t="shared" si="947"/>
        <v>0-0</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2</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5</v>
      </c>
      <c r="U208" s="49"/>
      <c r="V208" s="84"/>
      <c r="W208" s="71">
        <f t="shared" ref="W208" ca="1" si="1001">SUM(W200:W207)</f>
        <v>0</v>
      </c>
      <c r="X208" s="49"/>
      <c r="Y208" s="84"/>
      <c r="Z208" s="71">
        <f t="shared" ref="Z208" ca="1" si="1002">SUM(Z200:Z207)</f>
        <v>3</v>
      </c>
      <c r="AA208" s="49"/>
      <c r="AB208" s="84"/>
      <c r="AC208" s="71">
        <f t="shared" ref="AC208" ca="1" si="1003">SUM(AC200:AC207)</f>
        <v>1</v>
      </c>
      <c r="AD208" s="49"/>
      <c r="AE208" s="84"/>
      <c r="AF208" s="71">
        <f t="shared" ref="AF208" ca="1" si="1004">SUM(AF200:AF207)</f>
        <v>7</v>
      </c>
      <c r="AG208" s="49"/>
      <c r="AH208" s="84"/>
      <c r="AI208" s="71">
        <f t="shared" ref="AI208" ca="1" si="1005">SUM(AI200:AI207)</f>
        <v>1</v>
      </c>
      <c r="AJ208" s="49"/>
      <c r="AK208" s="84"/>
      <c r="AL208" s="71">
        <f t="shared" ref="AL208" ca="1" si="1006">SUM(AL200:AL207)</f>
        <v>1</v>
      </c>
      <c r="AM208" s="49"/>
      <c r="AN208" s="84"/>
      <c r="AO208" s="71">
        <f t="shared" ref="AO208" ca="1" si="1007">SUM(AO200:AO207)</f>
        <v>0</v>
      </c>
      <c r="AP208" s="49"/>
      <c r="AQ208" s="84"/>
      <c r="AR208" s="71">
        <f t="shared" ref="AR208" ca="1" si="1008">SUM(AR200:AR207)</f>
        <v>2</v>
      </c>
      <c r="AS208" s="49"/>
      <c r="AT208" s="84"/>
      <c r="AU208" s="71">
        <f t="shared" ref="AU208" ca="1" si="1009">SUM(AU200:AU207)</f>
        <v>0</v>
      </c>
      <c r="AV208" s="49"/>
      <c r="AW208" s="84"/>
      <c r="AX208" s="71">
        <f t="shared" ref="AX208" ca="1" si="1010">SUM(AX200:AX207)</f>
        <v>0</v>
      </c>
      <c r="AY208" s="49"/>
      <c r="AZ208" s="84"/>
      <c r="BA208" s="71">
        <f t="shared" ref="BA208" ca="1" si="1011">SUM(BA200:BA207)</f>
        <v>1</v>
      </c>
      <c r="BB208" s="49"/>
      <c r="BC208" s="84"/>
      <c r="BD208" s="71">
        <f t="shared" ref="BD208" ca="1" si="1012">SUM(BD200:BD207)</f>
        <v>1</v>
      </c>
      <c r="BE208" s="49"/>
      <c r="BF208" s="84"/>
      <c r="BG208" s="71">
        <f t="shared" ref="BG208" ca="1" si="1013">SUM(BG200:BG207)</f>
        <v>2</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3</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3</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3</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 ca="1">WORLDCUP!AA132</f>
        <v>España</v>
      </c>
      <c r="N211" s="25"/>
      <c r="O211" s="25"/>
      <c r="P211" s="25"/>
      <c r="Q211" s="25"/>
      <c r="R211" s="110"/>
      <c r="S211" s="74" t="s">
        <v>38</v>
      </c>
      <c r="T211" s="73">
        <f t="shared" ca="1" si="1050"/>
        <v>5</v>
      </c>
      <c r="U211" s="110"/>
      <c r="V211" s="74" t="s">
        <v>38</v>
      </c>
      <c r="W211" s="73">
        <f t="shared" ca="1" si="1051"/>
        <v>5</v>
      </c>
      <c r="X211" s="110"/>
      <c r="Y211" s="74" t="s">
        <v>38</v>
      </c>
      <c r="Z211" s="73">
        <f t="shared" ca="1" si="1052"/>
        <v>5</v>
      </c>
      <c r="AA211" s="110"/>
      <c r="AB211" s="74" t="s">
        <v>38</v>
      </c>
      <c r="AC211" s="73">
        <f t="shared" ca="1" si="1053"/>
        <v>5</v>
      </c>
      <c r="AD211" s="110"/>
      <c r="AE211" s="74" t="s">
        <v>38</v>
      </c>
      <c r="AF211" s="73">
        <f t="shared" ca="1" si="1054"/>
        <v>5</v>
      </c>
      <c r="AG211" s="110"/>
      <c r="AH211" s="74" t="s">
        <v>38</v>
      </c>
      <c r="AI211" s="73">
        <f t="shared" ca="1" si="1055"/>
        <v>5</v>
      </c>
      <c r="AJ211" s="110"/>
      <c r="AK211" s="74" t="s">
        <v>38</v>
      </c>
      <c r="AL211" s="73">
        <f t="shared" ca="1" si="1056"/>
        <v>5</v>
      </c>
      <c r="AM211" s="110"/>
      <c r="AN211" s="74" t="s">
        <v>1320</v>
      </c>
      <c r="AO211" s="73">
        <f t="shared" ca="1" si="1057"/>
        <v>0</v>
      </c>
      <c r="AP211" s="110"/>
      <c r="AQ211" s="74" t="s">
        <v>38</v>
      </c>
      <c r="AR211" s="73">
        <f t="shared" ca="1" si="1058"/>
        <v>5</v>
      </c>
      <c r="AS211" s="110"/>
      <c r="AT211" s="74" t="s">
        <v>38</v>
      </c>
      <c r="AU211" s="73">
        <f t="shared" ca="1" si="1059"/>
        <v>5</v>
      </c>
      <c r="AV211" s="110"/>
      <c r="AW211" s="74" t="s">
        <v>38</v>
      </c>
      <c r="AX211" s="73">
        <f t="shared" ca="1" si="1060"/>
        <v>5</v>
      </c>
      <c r="AY211" s="110"/>
      <c r="AZ211" s="74" t="s">
        <v>38</v>
      </c>
      <c r="BA211" s="73">
        <f t="shared" ca="1" si="1061"/>
        <v>5</v>
      </c>
      <c r="BB211" s="110"/>
      <c r="BC211" s="74" t="s">
        <v>38</v>
      </c>
      <c r="BD211" s="73">
        <f t="shared" ca="1" si="1062"/>
        <v>5</v>
      </c>
      <c r="BE211" s="110"/>
      <c r="BF211" s="74" t="s">
        <v>38</v>
      </c>
      <c r="BG211" s="73">
        <f t="shared" ca="1" si="1063"/>
        <v>5</v>
      </c>
      <c r="BH211" s="110"/>
      <c r="BI211" s="74" t="s">
        <v>38</v>
      </c>
      <c r="BJ211" s="73">
        <f t="shared" ca="1" si="1064"/>
        <v>5</v>
      </c>
      <c r="BK211" s="110"/>
      <c r="BL211" s="74" t="s">
        <v>38</v>
      </c>
      <c r="BM211" s="73">
        <f t="shared" ca="1" si="1065"/>
        <v>5</v>
      </c>
      <c r="BN211" s="110"/>
      <c r="BO211" s="74" t="s">
        <v>38</v>
      </c>
      <c r="BP211" s="73">
        <f t="shared" ca="1" si="1066"/>
        <v>5</v>
      </c>
      <c r="BQ211" s="110"/>
      <c r="BR211" s="74" t="s">
        <v>38</v>
      </c>
      <c r="BS211" s="73">
        <f t="shared" ca="1" si="1067"/>
        <v>5</v>
      </c>
      <c r="BT211" s="110"/>
      <c r="BU211" s="74" t="s">
        <v>38</v>
      </c>
      <c r="BV211" s="73">
        <f t="shared" ca="1" si="1068"/>
        <v>5</v>
      </c>
      <c r="BW211" s="110"/>
      <c r="BX211" s="74" t="s">
        <v>38</v>
      </c>
      <c r="BY211" s="73">
        <f t="shared" ca="1" si="1069"/>
        <v>5</v>
      </c>
      <c r="BZ211" s="110"/>
      <c r="CA211" s="74" t="s">
        <v>38</v>
      </c>
      <c r="CB211" s="73">
        <f t="shared" ca="1" si="1070"/>
        <v>5</v>
      </c>
      <c r="CC211" s="110"/>
      <c r="CD211" s="74" t="s">
        <v>38</v>
      </c>
      <c r="CE211" s="73">
        <f t="shared" ca="1" si="1071"/>
        <v>5</v>
      </c>
      <c r="CF211" s="110"/>
      <c r="CG211" s="74" t="s">
        <v>38</v>
      </c>
      <c r="CH211" s="73">
        <f t="shared" ca="1" si="1072"/>
        <v>5</v>
      </c>
      <c r="CI211" s="110"/>
      <c r="CJ211" s="74" t="s">
        <v>38</v>
      </c>
      <c r="CK211" s="73">
        <f t="shared" ca="1" si="1073"/>
        <v>5</v>
      </c>
      <c r="CL211" s="110"/>
      <c r="CM211" s="74" t="s">
        <v>38</v>
      </c>
      <c r="CN211" s="73">
        <f t="shared" ca="1" si="1074"/>
        <v>5</v>
      </c>
      <c r="CO211" s="110"/>
      <c r="CP211" s="74" t="s">
        <v>38</v>
      </c>
      <c r="CQ211" s="73">
        <f t="shared" ca="1" si="1075"/>
        <v>5</v>
      </c>
      <c r="CR211" s="110"/>
      <c r="CS211" s="74" t="s">
        <v>38</v>
      </c>
      <c r="CT211" s="73">
        <f t="shared" ca="1" si="1076"/>
        <v>5</v>
      </c>
      <c r="CU211" s="110"/>
      <c r="CV211" s="74" t="s">
        <v>38</v>
      </c>
      <c r="CW211" s="73">
        <f t="shared" ca="1" si="1077"/>
        <v>5</v>
      </c>
      <c r="CX211" s="110"/>
      <c r="CY211" s="74" t="s">
        <v>38</v>
      </c>
      <c r="CZ211" s="73">
        <f t="shared" ca="1" si="1078"/>
        <v>5</v>
      </c>
      <c r="DA211" s="110"/>
      <c r="DB211" s="74" t="s">
        <v>38</v>
      </c>
      <c r="DC211" s="73">
        <f t="shared" ca="1" si="1079"/>
        <v>5</v>
      </c>
      <c r="DD211" s="110"/>
      <c r="DE211" s="74" t="s">
        <v>78</v>
      </c>
      <c r="DF211" s="73">
        <f t="shared" ca="1" si="1080"/>
        <v>0</v>
      </c>
      <c r="DG211" s="110"/>
      <c r="DH211" s="74" t="s">
        <v>38</v>
      </c>
      <c r="DI211" s="73">
        <f t="shared" ca="1" si="1081"/>
        <v>5</v>
      </c>
      <c r="DJ211" s="110"/>
      <c r="DK211" s="74" t="s">
        <v>38</v>
      </c>
      <c r="DL211" s="73">
        <f t="shared" ca="1" si="1082"/>
        <v>5</v>
      </c>
      <c r="DM211" s="110"/>
      <c r="DN211" s="795" t="s">
        <v>38</v>
      </c>
      <c r="DO211" s="73">
        <f t="shared" ca="1" si="1083"/>
        <v>5</v>
      </c>
      <c r="DP211" s="110"/>
      <c r="DQ211" s="795" t="s">
        <v>76</v>
      </c>
      <c r="DR211" s="73">
        <f t="shared" ca="1" si="1084"/>
        <v>5</v>
      </c>
      <c r="DS211" s="110"/>
      <c r="DT211" s="74" t="s">
        <v>38</v>
      </c>
      <c r="DU211" s="73">
        <f t="shared" ca="1" si="1085"/>
        <v>5</v>
      </c>
      <c r="DV211" s="110"/>
      <c r="DW211" s="74" t="s">
        <v>38</v>
      </c>
      <c r="DX211" s="73">
        <f t="shared" ca="1" si="1086"/>
        <v>5</v>
      </c>
      <c r="DY211" s="110"/>
      <c r="DZ211" s="74" t="s">
        <v>38</v>
      </c>
      <c r="EA211" s="73">
        <f t="shared" ca="1" si="1087"/>
        <v>5</v>
      </c>
      <c r="EB211" s="110"/>
      <c r="EC211" s="74" t="s">
        <v>38</v>
      </c>
      <c r="ED211" s="73">
        <f t="shared" ca="1" si="1088"/>
        <v>5</v>
      </c>
      <c r="EE211" s="110"/>
      <c r="EF211" s="74" t="s">
        <v>38</v>
      </c>
      <c r="EG211" s="73">
        <f t="shared" ca="1" si="1089"/>
        <v>5</v>
      </c>
      <c r="EH211" s="110"/>
      <c r="EI211" s="74" t="s">
        <v>38</v>
      </c>
      <c r="EJ211" s="73">
        <f t="shared" ca="1" si="1090"/>
        <v>5</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 ca="1">WORLDCUP!AA134</f>
        <v>Argentina</v>
      </c>
      <c r="N213" s="25"/>
      <c r="O213" s="25"/>
      <c r="P213" s="25"/>
      <c r="Q213" s="25"/>
      <c r="R213" s="110"/>
      <c r="S213" s="74" t="s">
        <v>1256</v>
      </c>
      <c r="T213" s="73">
        <f t="shared" ca="1" si="1050"/>
        <v>5</v>
      </c>
      <c r="U213" s="110"/>
      <c r="V213" s="74" t="s">
        <v>1256</v>
      </c>
      <c r="W213" s="73">
        <f t="shared" ca="1" si="1051"/>
        <v>5</v>
      </c>
      <c r="X213" s="110"/>
      <c r="Y213" s="74" t="s">
        <v>1256</v>
      </c>
      <c r="Z213" s="73">
        <f t="shared" ca="1" si="1052"/>
        <v>5</v>
      </c>
      <c r="AA213" s="110"/>
      <c r="AB213" s="74" t="s">
        <v>1256</v>
      </c>
      <c r="AC213" s="73">
        <f t="shared" ca="1" si="1053"/>
        <v>5</v>
      </c>
      <c r="AD213" s="110"/>
      <c r="AE213" s="74" t="s">
        <v>1256</v>
      </c>
      <c r="AF213" s="73">
        <f t="shared" ca="1" si="1054"/>
        <v>5</v>
      </c>
      <c r="AG213" s="110"/>
      <c r="AH213" s="74" t="s">
        <v>1256</v>
      </c>
      <c r="AI213" s="73">
        <f t="shared" ca="1" si="1055"/>
        <v>5</v>
      </c>
      <c r="AJ213" s="110"/>
      <c r="AK213" s="74" t="s">
        <v>1256</v>
      </c>
      <c r="AL213" s="73">
        <f t="shared" ca="1" si="1056"/>
        <v>5</v>
      </c>
      <c r="AM213" s="110"/>
      <c r="AN213" s="74" t="s">
        <v>1318</v>
      </c>
      <c r="AO213" s="73">
        <f t="shared" ca="1" si="1057"/>
        <v>0</v>
      </c>
      <c r="AP213" s="110"/>
      <c r="AQ213" s="74" t="s">
        <v>1256</v>
      </c>
      <c r="AR213" s="73">
        <f t="shared" ca="1" si="1058"/>
        <v>5</v>
      </c>
      <c r="AS213" s="110"/>
      <c r="AT213" s="74" t="s">
        <v>1318</v>
      </c>
      <c r="AU213" s="73">
        <f t="shared" ca="1" si="1059"/>
        <v>0</v>
      </c>
      <c r="AV213" s="110"/>
      <c r="AW213" s="74" t="s">
        <v>1319</v>
      </c>
      <c r="AX213" s="73">
        <f t="shared" ca="1" si="1060"/>
        <v>0</v>
      </c>
      <c r="AY213" s="110"/>
      <c r="AZ213" s="74" t="s">
        <v>1256</v>
      </c>
      <c r="BA213" s="73">
        <f t="shared" ca="1" si="1061"/>
        <v>5</v>
      </c>
      <c r="BB213" s="110"/>
      <c r="BC213" s="74" t="s">
        <v>1256</v>
      </c>
      <c r="BD213" s="73">
        <f t="shared" ca="1" si="1062"/>
        <v>5</v>
      </c>
      <c r="BE213" s="110"/>
      <c r="BF213" s="74" t="s">
        <v>1256</v>
      </c>
      <c r="BG213" s="73">
        <f t="shared" ca="1" si="1063"/>
        <v>5</v>
      </c>
      <c r="BH213" s="110"/>
      <c r="BI213" s="74" t="s">
        <v>1256</v>
      </c>
      <c r="BJ213" s="73">
        <f t="shared" ca="1" si="1064"/>
        <v>5</v>
      </c>
      <c r="BK213" s="110"/>
      <c r="BL213" s="74" t="s">
        <v>1256</v>
      </c>
      <c r="BM213" s="73">
        <f t="shared" ca="1" si="1065"/>
        <v>5</v>
      </c>
      <c r="BN213" s="110"/>
      <c r="BO213" s="74" t="s">
        <v>1256</v>
      </c>
      <c r="BP213" s="73">
        <f t="shared" ca="1" si="1066"/>
        <v>5</v>
      </c>
      <c r="BQ213" s="110"/>
      <c r="BR213" s="74" t="s">
        <v>1256</v>
      </c>
      <c r="BS213" s="73">
        <f t="shared" ca="1" si="1067"/>
        <v>5</v>
      </c>
      <c r="BT213" s="110"/>
      <c r="BU213" s="74" t="s">
        <v>1256</v>
      </c>
      <c r="BV213" s="73">
        <f t="shared" ca="1" si="1068"/>
        <v>5</v>
      </c>
      <c r="BW213" s="110"/>
      <c r="BX213" s="74" t="s">
        <v>1256</v>
      </c>
      <c r="BY213" s="73">
        <f t="shared" ca="1" si="1069"/>
        <v>5</v>
      </c>
      <c r="BZ213" s="110"/>
      <c r="CA213" s="74" t="s">
        <v>1256</v>
      </c>
      <c r="CB213" s="73">
        <f t="shared" ca="1" si="1070"/>
        <v>5</v>
      </c>
      <c r="CC213" s="110"/>
      <c r="CD213" s="74" t="s">
        <v>1256</v>
      </c>
      <c r="CE213" s="73">
        <f t="shared" ca="1" si="1071"/>
        <v>5</v>
      </c>
      <c r="CF213" s="110"/>
      <c r="CG213" s="74" t="s">
        <v>1256</v>
      </c>
      <c r="CH213" s="73">
        <f t="shared" ca="1" si="1072"/>
        <v>5</v>
      </c>
      <c r="CI213" s="110"/>
      <c r="CJ213" s="74" t="s">
        <v>1256</v>
      </c>
      <c r="CK213" s="73">
        <f t="shared" ca="1" si="1073"/>
        <v>5</v>
      </c>
      <c r="CL213" s="110"/>
      <c r="CM213" s="74" t="s">
        <v>1256</v>
      </c>
      <c r="CN213" s="73">
        <f t="shared" ca="1" si="1074"/>
        <v>5</v>
      </c>
      <c r="CO213" s="110"/>
      <c r="CP213" s="74" t="s">
        <v>1256</v>
      </c>
      <c r="CQ213" s="73">
        <f t="shared" ca="1" si="1075"/>
        <v>5</v>
      </c>
      <c r="CR213" s="110"/>
      <c r="CS213" s="74" t="s">
        <v>1256</v>
      </c>
      <c r="CT213" s="73">
        <f t="shared" ca="1" si="1076"/>
        <v>5</v>
      </c>
      <c r="CU213" s="110"/>
      <c r="CV213" s="74" t="s">
        <v>1256</v>
      </c>
      <c r="CW213" s="73">
        <f t="shared" ca="1" si="1077"/>
        <v>5</v>
      </c>
      <c r="CX213" s="110"/>
      <c r="CY213" s="74" t="s">
        <v>1256</v>
      </c>
      <c r="CZ213" s="73">
        <f t="shared" ca="1" si="1078"/>
        <v>5</v>
      </c>
      <c r="DA213" s="110"/>
      <c r="DB213" s="74" t="s">
        <v>1256</v>
      </c>
      <c r="DC213" s="73">
        <f t="shared" ca="1" si="1079"/>
        <v>5</v>
      </c>
      <c r="DD213" s="110"/>
      <c r="DE213" s="74" t="s">
        <v>1256</v>
      </c>
      <c r="DF213" s="73">
        <f t="shared" ca="1" si="1080"/>
        <v>5</v>
      </c>
      <c r="DG213" s="110"/>
      <c r="DH213" s="74" t="s">
        <v>1256</v>
      </c>
      <c r="DI213" s="73">
        <f t="shared" ca="1" si="1081"/>
        <v>5</v>
      </c>
      <c r="DJ213" s="110"/>
      <c r="DK213" s="74" t="s">
        <v>1256</v>
      </c>
      <c r="DL213" s="73">
        <f t="shared" ca="1" si="1082"/>
        <v>5</v>
      </c>
      <c r="DM213" s="110"/>
      <c r="DN213" s="795" t="s">
        <v>1256</v>
      </c>
      <c r="DO213" s="73">
        <f t="shared" ca="1" si="1083"/>
        <v>5</v>
      </c>
      <c r="DP213" s="110"/>
      <c r="DQ213" s="795" t="s">
        <v>1256</v>
      </c>
      <c r="DR213" s="73">
        <f t="shared" ca="1" si="1084"/>
        <v>5</v>
      </c>
      <c r="DS213" s="110"/>
      <c r="DT213" s="74" t="s">
        <v>1835</v>
      </c>
      <c r="DU213" s="73">
        <f t="shared" ca="1" si="1085"/>
        <v>0</v>
      </c>
      <c r="DV213" s="110"/>
      <c r="DW213" s="74" t="s">
        <v>1256</v>
      </c>
      <c r="DX213" s="73">
        <f t="shared" ca="1" si="1086"/>
        <v>5</v>
      </c>
      <c r="DY213" s="110"/>
      <c r="DZ213" s="74" t="s">
        <v>1256</v>
      </c>
      <c r="EA213" s="73">
        <f t="shared" ca="1" si="1087"/>
        <v>5</v>
      </c>
      <c r="EB213" s="110"/>
      <c r="EC213" s="74" t="s">
        <v>1256</v>
      </c>
      <c r="ED213" s="73">
        <f t="shared" ca="1" si="1088"/>
        <v>5</v>
      </c>
      <c r="EE213" s="110"/>
      <c r="EF213" s="74" t="s">
        <v>1318</v>
      </c>
      <c r="EG213" s="73">
        <f t="shared" ca="1" si="1089"/>
        <v>0</v>
      </c>
      <c r="EH213" s="110"/>
      <c r="EI213" s="74" t="s">
        <v>1256</v>
      </c>
      <c r="EJ213" s="73">
        <f t="shared" ca="1" si="1090"/>
        <v>5</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 ca="1">WORLDCUP!AF132</f>
        <v>Bélgica</v>
      </c>
      <c r="N215" s="25"/>
      <c r="O215" s="25"/>
      <c r="P215" s="25"/>
      <c r="Q215" s="25"/>
      <c r="R215" s="110"/>
      <c r="S215" s="74" t="s">
        <v>497</v>
      </c>
      <c r="T215" s="73">
        <f t="shared" ca="1" si="1050"/>
        <v>0</v>
      </c>
      <c r="U215" s="110"/>
      <c r="V215" s="74" t="s">
        <v>135</v>
      </c>
      <c r="W215" s="73">
        <f t="shared" ca="1" si="1051"/>
        <v>5</v>
      </c>
      <c r="X215" s="110"/>
      <c r="Y215" s="74" t="s">
        <v>110</v>
      </c>
      <c r="Z215" s="73">
        <f t="shared" ca="1" si="1052"/>
        <v>5</v>
      </c>
      <c r="AA215" s="110"/>
      <c r="AB215" s="74" t="s">
        <v>1835</v>
      </c>
      <c r="AC215" s="73">
        <f t="shared" ca="1" si="1053"/>
        <v>0</v>
      </c>
      <c r="AD215" s="110"/>
      <c r="AE215" s="74" t="s">
        <v>110</v>
      </c>
      <c r="AF215" s="73">
        <f t="shared" ca="1" si="1054"/>
        <v>5</v>
      </c>
      <c r="AG215" s="110"/>
      <c r="AH215" s="74" t="s">
        <v>110</v>
      </c>
      <c r="AI215" s="73">
        <f t="shared" ca="1" si="1055"/>
        <v>5</v>
      </c>
      <c r="AJ215" s="110"/>
      <c r="AK215" s="74" t="s">
        <v>1835</v>
      </c>
      <c r="AL215" s="73">
        <f t="shared" ca="1" si="1056"/>
        <v>0</v>
      </c>
      <c r="AM215" s="110"/>
      <c r="AN215" s="74" t="s">
        <v>110</v>
      </c>
      <c r="AO215" s="73">
        <f t="shared" ca="1" si="1057"/>
        <v>5</v>
      </c>
      <c r="AP215" s="110"/>
      <c r="AQ215" s="74" t="s">
        <v>110</v>
      </c>
      <c r="AR215" s="73">
        <f t="shared" ca="1" si="1058"/>
        <v>5</v>
      </c>
      <c r="AS215" s="110"/>
      <c r="AT215" s="74" t="s">
        <v>1835</v>
      </c>
      <c r="AU215" s="73">
        <f t="shared" ca="1" si="1059"/>
        <v>0</v>
      </c>
      <c r="AV215" s="110"/>
      <c r="AW215" s="74" t="s">
        <v>110</v>
      </c>
      <c r="AX215" s="73">
        <f t="shared" ca="1" si="1060"/>
        <v>5</v>
      </c>
      <c r="AY215" s="110"/>
      <c r="AZ215" s="74" t="s">
        <v>1835</v>
      </c>
      <c r="BA215" s="73">
        <f t="shared" ca="1" si="1061"/>
        <v>0</v>
      </c>
      <c r="BB215" s="110"/>
      <c r="BC215" s="74" t="s">
        <v>110</v>
      </c>
      <c r="BD215" s="73">
        <f t="shared" ca="1" si="1062"/>
        <v>5</v>
      </c>
      <c r="BE215" s="110"/>
      <c r="BF215" s="74" t="s">
        <v>110</v>
      </c>
      <c r="BG215" s="73">
        <f t="shared" ca="1" si="1063"/>
        <v>5</v>
      </c>
      <c r="BH215" s="110"/>
      <c r="BI215" s="74" t="s">
        <v>1835</v>
      </c>
      <c r="BJ215" s="73">
        <f t="shared" ca="1" si="1064"/>
        <v>0</v>
      </c>
      <c r="BK215" s="110"/>
      <c r="BL215" s="74" t="s">
        <v>110</v>
      </c>
      <c r="BM215" s="73">
        <f t="shared" ca="1" si="1065"/>
        <v>5</v>
      </c>
      <c r="BN215" s="110"/>
      <c r="BO215" s="74" t="s">
        <v>1835</v>
      </c>
      <c r="BP215" s="73">
        <f t="shared" ca="1" si="1066"/>
        <v>0</v>
      </c>
      <c r="BQ215" s="110"/>
      <c r="BR215" s="74" t="s">
        <v>1835</v>
      </c>
      <c r="BS215" s="73">
        <f t="shared" ca="1" si="1067"/>
        <v>0</v>
      </c>
      <c r="BT215" s="110"/>
      <c r="BU215" s="74" t="s">
        <v>110</v>
      </c>
      <c r="BV215" s="73">
        <f t="shared" ca="1" si="1068"/>
        <v>5</v>
      </c>
      <c r="BW215" s="110"/>
      <c r="BX215" s="74" t="s">
        <v>135</v>
      </c>
      <c r="BY215" s="73">
        <f t="shared" ca="1" si="1069"/>
        <v>5</v>
      </c>
      <c r="BZ215" s="110"/>
      <c r="CA215" s="74" t="s">
        <v>110</v>
      </c>
      <c r="CB215" s="73">
        <f t="shared" ca="1" si="1070"/>
        <v>5</v>
      </c>
      <c r="CC215" s="110"/>
      <c r="CD215" s="74" t="s">
        <v>1835</v>
      </c>
      <c r="CE215" s="73">
        <f t="shared" ca="1" si="1071"/>
        <v>0</v>
      </c>
      <c r="CF215" s="110"/>
      <c r="CG215" s="74" t="s">
        <v>135</v>
      </c>
      <c r="CH215" s="73">
        <f t="shared" ca="1" si="1072"/>
        <v>5</v>
      </c>
      <c r="CI215" s="110"/>
      <c r="CJ215" s="74" t="s">
        <v>110</v>
      </c>
      <c r="CK215" s="73">
        <f t="shared" ca="1" si="1073"/>
        <v>5</v>
      </c>
      <c r="CL215" s="110"/>
      <c r="CM215" s="74" t="s">
        <v>1835</v>
      </c>
      <c r="CN215" s="73">
        <f t="shared" ca="1" si="1074"/>
        <v>0</v>
      </c>
      <c r="CO215" s="110"/>
      <c r="CP215" s="74" t="s">
        <v>1835</v>
      </c>
      <c r="CQ215" s="73">
        <f t="shared" ca="1" si="1075"/>
        <v>0</v>
      </c>
      <c r="CR215" s="110"/>
      <c r="CS215" s="74" t="s">
        <v>110</v>
      </c>
      <c r="CT215" s="73">
        <f t="shared" ca="1" si="1076"/>
        <v>5</v>
      </c>
      <c r="CU215" s="110"/>
      <c r="CV215" s="74" t="s">
        <v>110</v>
      </c>
      <c r="CW215" s="73">
        <f t="shared" ca="1" si="1077"/>
        <v>5</v>
      </c>
      <c r="CX215" s="110"/>
      <c r="CY215" s="74" t="s">
        <v>110</v>
      </c>
      <c r="CZ215" s="73">
        <f t="shared" ca="1" si="1078"/>
        <v>5</v>
      </c>
      <c r="DA215" s="110"/>
      <c r="DB215" s="74" t="s">
        <v>110</v>
      </c>
      <c r="DC215" s="73">
        <f t="shared" ca="1" si="1079"/>
        <v>5</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5</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 ca="1">WORLDCUP!AF134</f>
        <v>Suiza</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5</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20</v>
      </c>
      <c r="U218" s="49"/>
      <c r="V218" s="84"/>
      <c r="W218" s="71">
        <f t="shared" ref="W218" ca="1" si="1101">SUM(W210:W217)</f>
        <v>25</v>
      </c>
      <c r="X218" s="49"/>
      <c r="Y218" s="84"/>
      <c r="Z218" s="71">
        <f t="shared" ref="Z218" ca="1" si="1102">SUM(Z210:Z217)</f>
        <v>25</v>
      </c>
      <c r="AA218" s="49"/>
      <c r="AB218" s="84"/>
      <c r="AC218" s="71">
        <f t="shared" ref="AC218" ca="1" si="1103">SUM(AC210:AC217)</f>
        <v>20</v>
      </c>
      <c r="AD218" s="49"/>
      <c r="AE218" s="84"/>
      <c r="AF218" s="71">
        <f t="shared" ref="AF218" ca="1" si="1104">SUM(AF210:AF217)</f>
        <v>30</v>
      </c>
      <c r="AG218" s="49"/>
      <c r="AH218" s="84"/>
      <c r="AI218" s="71">
        <f t="shared" ref="AI218" ca="1" si="1105">SUM(AI210:AI217)</f>
        <v>25</v>
      </c>
      <c r="AJ218" s="49"/>
      <c r="AK218" s="84"/>
      <c r="AL218" s="71">
        <f t="shared" ref="AL218" ca="1" si="1106">SUM(AL210:AL217)</f>
        <v>20</v>
      </c>
      <c r="AM218" s="49"/>
      <c r="AN218" s="84"/>
      <c r="AO218" s="71">
        <f t="shared" ref="AO218" ca="1" si="1107">SUM(AO210:AO217)</f>
        <v>20</v>
      </c>
      <c r="AP218" s="49"/>
      <c r="AQ218" s="84"/>
      <c r="AR218" s="71">
        <f t="shared" ref="AR218" ca="1" si="1108">SUM(AR210:AR217)</f>
        <v>30</v>
      </c>
      <c r="AS218" s="49"/>
      <c r="AT218" s="84"/>
      <c r="AU218" s="71">
        <f t="shared" ref="AU218" ca="1" si="1109">SUM(AU210:AU217)</f>
        <v>15</v>
      </c>
      <c r="AV218" s="49"/>
      <c r="AW218" s="84"/>
      <c r="AX218" s="71">
        <f t="shared" ref="AX218" ca="1" si="1110">SUM(AX210:AX217)</f>
        <v>20</v>
      </c>
      <c r="AY218" s="49"/>
      <c r="AZ218" s="84"/>
      <c r="BA218" s="71">
        <f t="shared" ref="BA218" ca="1" si="1111">SUM(BA210:BA217)</f>
        <v>20</v>
      </c>
      <c r="BB218" s="49"/>
      <c r="BC218" s="84"/>
      <c r="BD218" s="71">
        <f t="shared" ref="BD218" ca="1" si="1112">SUM(BD210:BD217)</f>
        <v>20</v>
      </c>
      <c r="BE218" s="49"/>
      <c r="BF218" s="84"/>
      <c r="BG218" s="71">
        <f t="shared" ref="BG218" ca="1" si="1113">SUM(BG210:BG217)</f>
        <v>25</v>
      </c>
      <c r="BH218" s="49"/>
      <c r="BI218" s="84"/>
      <c r="BJ218" s="71">
        <f t="shared" ref="BJ218" ca="1" si="1114">SUM(BJ210:BJ217)</f>
        <v>20</v>
      </c>
      <c r="BK218" s="49"/>
      <c r="BL218" s="84"/>
      <c r="BM218" s="71">
        <f t="shared" ref="BM218" ca="1" si="1115">SUM(BM210:BM217)</f>
        <v>30</v>
      </c>
      <c r="BN218" s="49"/>
      <c r="BO218" s="84"/>
      <c r="BP218" s="71">
        <f t="shared" ref="BP218" ca="1" si="1116">SUM(BP210:BP217)</f>
        <v>25</v>
      </c>
      <c r="BQ218" s="49"/>
      <c r="BR218" s="84"/>
      <c r="BS218" s="71">
        <f t="shared" ref="BS218" ca="1" si="1117">SUM(BS210:BS217)</f>
        <v>25</v>
      </c>
      <c r="BT218" s="49"/>
      <c r="BU218" s="84"/>
      <c r="BV218" s="71">
        <f t="shared" ref="BV218" ca="1" si="1118">SUM(BV210:BV217)</f>
        <v>25</v>
      </c>
      <c r="BW218" s="49"/>
      <c r="BX218" s="84"/>
      <c r="BY218" s="71">
        <f t="shared" ref="BY218" ca="1" si="1119">SUM(BY210:BY217)</f>
        <v>30</v>
      </c>
      <c r="BZ218" s="49"/>
      <c r="CA218" s="84"/>
      <c r="CB218" s="71">
        <f t="shared" ref="CB218" ca="1" si="1120">SUM(CB210:CB217)</f>
        <v>20</v>
      </c>
      <c r="CC218" s="49"/>
      <c r="CD218" s="84"/>
      <c r="CE218" s="71">
        <f t="shared" ref="CE218" ca="1" si="1121">SUM(CE210:CE217)</f>
        <v>15</v>
      </c>
      <c r="CF218" s="49"/>
      <c r="CG218" s="84"/>
      <c r="CH218" s="71">
        <f t="shared" ref="CH218" ca="1" si="1122">SUM(CH210:CH217)</f>
        <v>20</v>
      </c>
      <c r="CI218" s="49"/>
      <c r="CJ218" s="84"/>
      <c r="CK218" s="71">
        <f t="shared" ref="CK218" ca="1" si="1123">SUM(CK210:CK217)</f>
        <v>25</v>
      </c>
      <c r="CL218" s="49"/>
      <c r="CM218" s="84"/>
      <c r="CN218" s="71">
        <f t="shared" ref="CN218" ca="1" si="1124">SUM(CN210:CN217)</f>
        <v>25</v>
      </c>
      <c r="CO218" s="49"/>
      <c r="CP218" s="84"/>
      <c r="CQ218" s="71">
        <f t="shared" ref="CQ218" ca="1" si="1125">SUM(CQ210:CQ217)</f>
        <v>25</v>
      </c>
      <c r="CR218" s="49"/>
      <c r="CS218" s="84"/>
      <c r="CT218" s="71">
        <f t="shared" ref="CT218" ca="1" si="1126">SUM(CT210:CT217)</f>
        <v>30</v>
      </c>
      <c r="CU218" s="49"/>
      <c r="CV218" s="84"/>
      <c r="CW218" s="71">
        <f t="shared" ref="CW218" ca="1" si="1127">SUM(CW210:CW217)</f>
        <v>30</v>
      </c>
      <c r="CX218" s="49"/>
      <c r="CY218" s="84"/>
      <c r="CZ218" s="71">
        <f t="shared" ref="CZ218" ca="1" si="1128">SUM(CZ210:CZ217)</f>
        <v>35</v>
      </c>
      <c r="DA218" s="49"/>
      <c r="DB218" s="84"/>
      <c r="DC218" s="71">
        <f t="shared" ref="DC218" ca="1" si="1129">SUM(DC210:DC217)</f>
        <v>30</v>
      </c>
      <c r="DD218" s="49"/>
      <c r="DE218" s="84"/>
      <c r="DF218" s="71">
        <f t="shared" ref="DF218" ca="1" si="1130">SUM(DF210:DF217)</f>
        <v>10</v>
      </c>
      <c r="DG218" s="49"/>
      <c r="DH218" s="84"/>
      <c r="DI218" s="71">
        <f t="shared" ref="DI218" ca="1" si="1131">SUM(DI210:DI217)</f>
        <v>20</v>
      </c>
      <c r="DJ218" s="49"/>
      <c r="DK218" s="84"/>
      <c r="DL218" s="71">
        <f t="shared" ref="DL218" ca="1" si="1132">SUM(DL210:DL217)</f>
        <v>15</v>
      </c>
      <c r="DM218" s="49"/>
      <c r="DN218" s="796"/>
      <c r="DO218" s="71">
        <f t="shared" ref="DO218" ca="1" si="1133">SUM(DO210:DO217)</f>
        <v>15</v>
      </c>
      <c r="DP218" s="49"/>
      <c r="DQ218" s="796"/>
      <c r="DR218" s="71">
        <f t="shared" ref="DR218" ca="1" si="1134">SUM(DR210:DR217)</f>
        <v>15</v>
      </c>
      <c r="DS218" s="49"/>
      <c r="DT218" s="84"/>
      <c r="DU218" s="71">
        <f t="shared" ref="DU218" ca="1" si="1135">SUM(DU210:DU217)</f>
        <v>15</v>
      </c>
      <c r="DV218" s="49"/>
      <c r="DW218" s="84"/>
      <c r="DX218" s="71">
        <f t="shared" ref="DX218" ca="1" si="1136">SUM(DX210:DX217)</f>
        <v>25</v>
      </c>
      <c r="DY218" s="49"/>
      <c r="DZ218" s="84"/>
      <c r="EA218" s="71">
        <f t="shared" ref="EA218" ca="1" si="1137">SUM(EA210:EA217)</f>
        <v>10</v>
      </c>
      <c r="EB218" s="49"/>
      <c r="EC218" s="84"/>
      <c r="ED218" s="71">
        <f t="shared" ref="ED218" ca="1" si="1138">SUM(ED210:ED217)</f>
        <v>15</v>
      </c>
      <c r="EE218" s="49"/>
      <c r="EF218" s="84"/>
      <c r="EG218" s="71">
        <f t="shared" ref="EG218" ca="1" si="1139">SUM(EG210:EG217)</f>
        <v>10</v>
      </c>
      <c r="EH218" s="49"/>
      <c r="EI218" s="84"/>
      <c r="EJ218" s="71">
        <f t="shared" ref="EJ218" ca="1" si="1140">SUM(EJ210:EJ217)</f>
        <v>25</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2</v>
      </c>
      <c r="C220" s="25" t="str">
        <f ca="1">CONCATENATE(WORLDCUP!AF131,"-",WORLDCUP!AA131)</f>
        <v>Marruecos-Francia</v>
      </c>
      <c r="D220" s="25">
        <f>IF(WORLDCUP!AC131&gt;WORLDCUP!AD131,2,IF(WORLDCUP!AC131&lt;WORLDCUP!AD131,1,IF(AND(WORLDCUP!AC131=WORLDCUP!AD131,WORLDCUP!AC131&lt;&gt;"",WORLDCUP!AD131&lt;&gt;""),0,"PD")))</f>
        <v>2</v>
      </c>
      <c r="E220" s="25" t="str">
        <f>IF(OR(WORLDCUP!AD131="",WORLDCUP!AC131=""),"-",A220&amp;"-"&amp;B220)</f>
        <v>0-2</v>
      </c>
      <c r="F220" s="407">
        <f>SUM($D$24:$D$26)*I220</f>
        <v>4</v>
      </c>
      <c r="G220" s="407">
        <f ca="1">VLOOKUP(H220,Equipos!$Q$1:$R$25,2,0)</f>
        <v>22</v>
      </c>
      <c r="H220" s="65" t="str">
        <f>Idiomas!$D$262</f>
        <v>Cuartos de final</v>
      </c>
      <c r="I220" s="43">
        <v>1</v>
      </c>
      <c r="J220" s="851" t="s">
        <v>34</v>
      </c>
      <c r="K220" s="53" t="str">
        <f ca="1">CONCATENATE(WORLDCUP!AA131,"-",WORLDCUP!AF131)</f>
        <v>Francia-Marruecos</v>
      </c>
      <c r="L220" s="53">
        <f>IF(OR(WORLDCUP!AC131="",WORLDCUP!AD131=""),"PD",IF(WORLDCUP!AC131&gt;WORLDCUP!AD131,1,IF(WORLDCUP!AC131&lt;WORLDCUP!AD131,2,0)))</f>
        <v>1</v>
      </c>
      <c r="M220" s="55" t="str">
        <f t="shared" ref="M220:M223" si="1150">IF(L220="PD","-",N220&amp;"-"&amp;O220)</f>
        <v>2-0</v>
      </c>
      <c r="N220" s="25">
        <f>WORLDCUP!AC131</f>
        <v>2</v>
      </c>
      <c r="O220" s="25">
        <f>WORLDCUP!AD131</f>
        <v>0</v>
      </c>
      <c r="P220" s="25">
        <f t="shared" ref="P220:P223" si="1151">+N220-O220</f>
        <v>2</v>
      </c>
      <c r="Q220" s="25">
        <f>+A220-B220</f>
        <v>-2</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1</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2</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1</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1</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2</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4</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2</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4</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1</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1</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1</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1</v>
      </c>
      <c r="B221" s="25">
        <f>WORLDCUP!AC132</f>
        <v>2</v>
      </c>
      <c r="C221" s="25" t="str">
        <f ca="1">CONCATENATE(WORLDCUP!AF132,"-",WORLDCUP!AA132)</f>
        <v>Bélgica-España</v>
      </c>
      <c r="D221" s="25">
        <f>IF(WORLDCUP!AC132&gt;WORLDCUP!AD132,2,IF(WORLDCUP!AC132&lt;WORLDCUP!AD132,1,IF(AND(WORLDCUP!AC132=WORLDCUP!AD132,WORLDCUP!AC132&lt;&gt;"",WORLDCUP!AD132&lt;&gt;""),0,"PD")))</f>
        <v>2</v>
      </c>
      <c r="E221" s="25" t="str">
        <f>IF(OR(WORLDCUP!AD132="",WORLDCUP!AC132=""),"-",A221&amp;"-"&amp;B221)</f>
        <v>1-2</v>
      </c>
      <c r="F221" s="407">
        <f t="shared" ref="F221:F223" si="1201">SUM($D$24:$D$26)*I221</f>
        <v>4</v>
      </c>
      <c r="G221" s="407">
        <f ca="1">VLOOKUP(H221,Equipos!$Q$1:$R$25,2,0)</f>
        <v>22</v>
      </c>
      <c r="H221" s="65" t="str">
        <f>Idiomas!$D$262</f>
        <v>Cuartos de final</v>
      </c>
      <c r="I221" s="43">
        <v>1</v>
      </c>
      <c r="J221" s="851"/>
      <c r="K221" s="56" t="str">
        <f ca="1">CONCATENATE(WORLDCUP!AA132,"-",WORLDCUP!AF132)</f>
        <v>España-Bélgica</v>
      </c>
      <c r="L221" s="53">
        <f>IF(OR(WORLDCUP!AC132="",WORLDCUP!AD132=""),"PD",IF(WORLDCUP!AC132&gt;WORLDCUP!AD132,1,IF(WORLDCUP!AC132&lt;WORLDCUP!AD132,2,0)))</f>
        <v>1</v>
      </c>
      <c r="M221" s="55" t="str">
        <f t="shared" si="1150"/>
        <v>2-1</v>
      </c>
      <c r="N221" s="25">
        <f>WORLDCUP!AC132</f>
        <v>2</v>
      </c>
      <c r="O221" s="25">
        <f>WORLDCUP!AD132</f>
        <v>1</v>
      </c>
      <c r="P221" s="25">
        <f t="shared" si="1151"/>
        <v>1</v>
      </c>
      <c r="Q221" s="25">
        <f>+A221-B221</f>
        <v>-1</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1</v>
      </c>
      <c r="AA221" s="110"/>
      <c r="AB221" s="74" t="s">
        <v>2089</v>
      </c>
      <c r="AC221" s="77">
        <f t="shared" ca="1" si="1152"/>
        <v>0</v>
      </c>
      <c r="AD221" s="110"/>
      <c r="AE221" s="74" t="s">
        <v>2118</v>
      </c>
      <c r="AF221" s="77">
        <f t="shared" ca="1" si="1152"/>
        <v>1</v>
      </c>
      <c r="AG221" s="110"/>
      <c r="AH221" s="74" t="s">
        <v>2147</v>
      </c>
      <c r="AI221" s="77">
        <f t="shared" ca="1" si="1152"/>
        <v>2</v>
      </c>
      <c r="AJ221" s="110"/>
      <c r="AK221" s="74" t="s">
        <v>2174</v>
      </c>
      <c r="AL221" s="77">
        <f t="shared" ca="1" si="1152"/>
        <v>0</v>
      </c>
      <c r="AM221" s="110"/>
      <c r="AN221" s="74" t="s">
        <v>2206</v>
      </c>
      <c r="AO221" s="77">
        <f t="shared" ca="1" si="1152"/>
        <v>0</v>
      </c>
      <c r="AP221" s="110"/>
      <c r="AQ221" s="74" t="s">
        <v>2064</v>
      </c>
      <c r="AR221" s="77">
        <f t="shared" ca="1" si="1152"/>
        <v>1</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1</v>
      </c>
      <c r="BE221" s="110"/>
      <c r="BF221" s="74" t="s">
        <v>2064</v>
      </c>
      <c r="BG221" s="77">
        <f t="shared" ca="1" si="1152"/>
        <v>1</v>
      </c>
      <c r="BH221" s="110"/>
      <c r="BI221" s="74" t="s">
        <v>2373</v>
      </c>
      <c r="BJ221" s="77">
        <f t="shared" ca="1" si="1152"/>
        <v>0</v>
      </c>
      <c r="BK221" s="110"/>
      <c r="BL221" s="74" t="s">
        <v>2393</v>
      </c>
      <c r="BM221" s="77">
        <f t="shared" ca="1" si="1152"/>
        <v>4</v>
      </c>
      <c r="BN221" s="110"/>
      <c r="BO221" s="74" t="s">
        <v>2404</v>
      </c>
      <c r="BP221" s="77">
        <f t="shared" ca="1" si="1152"/>
        <v>0</v>
      </c>
      <c r="BQ221" s="110"/>
      <c r="BR221" s="74" t="s">
        <v>2416</v>
      </c>
      <c r="BS221" s="77">
        <f t="shared" ca="1" si="1152"/>
        <v>0</v>
      </c>
      <c r="BT221" s="110"/>
      <c r="BU221" s="74" t="s">
        <v>2438</v>
      </c>
      <c r="BV221" s="77">
        <f t="shared" ca="1" si="1152"/>
        <v>1</v>
      </c>
      <c r="BW221" s="110"/>
      <c r="BX221" s="74" t="s">
        <v>2456</v>
      </c>
      <c r="BY221" s="77">
        <f t="shared" ca="1" si="1152"/>
        <v>0</v>
      </c>
      <c r="BZ221" s="110"/>
      <c r="CA221" s="74" t="s">
        <v>2476</v>
      </c>
      <c r="CB221" s="77">
        <f t="shared" ca="1" si="1152"/>
        <v>1</v>
      </c>
      <c r="CC221" s="110"/>
      <c r="CD221" s="74" t="s">
        <v>2255</v>
      </c>
      <c r="CE221" s="77">
        <f t="shared" ca="1" si="1152"/>
        <v>0</v>
      </c>
      <c r="CF221" s="110"/>
      <c r="CG221" s="74" t="s">
        <v>2028</v>
      </c>
      <c r="CH221" s="77">
        <f t="shared" ca="1" si="1152"/>
        <v>0</v>
      </c>
      <c r="CI221" s="110"/>
      <c r="CJ221" s="74" t="s">
        <v>2393</v>
      </c>
      <c r="CK221" s="77">
        <f t="shared" ca="1" si="1174"/>
        <v>4</v>
      </c>
      <c r="CL221" s="110"/>
      <c r="CM221" s="74" t="s">
        <v>2544</v>
      </c>
      <c r="CN221" s="77">
        <f t="shared" ca="1" si="1174"/>
        <v>0</v>
      </c>
      <c r="CO221" s="110"/>
      <c r="CP221" s="74" t="s">
        <v>2561</v>
      </c>
      <c r="CQ221" s="77">
        <f t="shared" ca="1" si="1174"/>
        <v>0</v>
      </c>
      <c r="CR221" s="110"/>
      <c r="CS221" s="74" t="s">
        <v>2393</v>
      </c>
      <c r="CT221" s="77">
        <f t="shared" ca="1" si="1174"/>
        <v>4</v>
      </c>
      <c r="CU221" s="110"/>
      <c r="CV221" s="74" t="s">
        <v>2577</v>
      </c>
      <c r="CW221" s="77">
        <f t="shared" ca="1" si="1174"/>
        <v>2</v>
      </c>
      <c r="CX221" s="110"/>
      <c r="CY221" s="74" t="s">
        <v>2393</v>
      </c>
      <c r="CZ221" s="77">
        <f t="shared" ca="1" si="1174"/>
        <v>4</v>
      </c>
      <c r="DA221" s="110"/>
      <c r="DB221" s="74" t="s">
        <v>2064</v>
      </c>
      <c r="DC221" s="77">
        <f t="shared" ca="1" si="1174"/>
        <v>1</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1</v>
      </c>
      <c r="DS221" s="110"/>
      <c r="DT221" s="74" t="s">
        <v>2064</v>
      </c>
      <c r="DU221" s="77">
        <f t="shared" ca="1" si="1174"/>
        <v>1</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2</v>
      </c>
      <c r="B222" s="25">
        <f>WORLDCUP!AC133</f>
        <v>1</v>
      </c>
      <c r="C222" s="25" t="str">
        <f ca="1">CONCATENATE(WORLDCUP!AF133,"-",WORLDCUP!AA133)</f>
        <v>Inglaterra-Noruega</v>
      </c>
      <c r="D222" s="25">
        <f>IF(WORLDCUP!AC133&gt;WORLDCUP!AD133,2,IF(WORLDCUP!AC133&lt;WORLDCUP!AD133,1,IF(AND(WORLDCUP!AC133=WORLDCUP!AD133,WORLDCUP!AC133&lt;&gt;"",WORLDCUP!AD133&lt;&gt;""),0,"PD")))</f>
        <v>1</v>
      </c>
      <c r="E222" s="25" t="str">
        <f>IF(OR(WORLDCUP!AD133="",WORLDCUP!AC133=""),"-",A222&amp;"-"&amp;B222)</f>
        <v>2-1</v>
      </c>
      <c r="F222" s="407">
        <f t="shared" si="1201"/>
        <v>4</v>
      </c>
      <c r="G222" s="407">
        <f ca="1">VLOOKUP(H222,Equipos!$Q$1:$R$25,2,0)</f>
        <v>22</v>
      </c>
      <c r="H222" s="65" t="str">
        <f>Idiomas!$D$262</f>
        <v>Cuartos de final</v>
      </c>
      <c r="I222" s="43">
        <v>1</v>
      </c>
      <c r="J222" s="851"/>
      <c r="K222" s="56" t="str">
        <f ca="1">CONCATENATE(WORLDCUP!AA133,"-",WORLDCUP!AF133)</f>
        <v>Noruega-Inglaterra</v>
      </c>
      <c r="L222" s="53">
        <f>IF(OR(WORLDCUP!AC133="",WORLDCUP!AD133=""),"PD",IF(WORLDCUP!AC133&gt;WORLDCUP!AD133,1,IF(WORLDCUP!AC133&lt;WORLDCUP!AD133,2,0)))</f>
        <v>2</v>
      </c>
      <c r="M222" s="55" t="str">
        <f t="shared" si="1150"/>
        <v>1-2</v>
      </c>
      <c r="N222" s="25">
        <f>WORLDCUP!AC133</f>
        <v>1</v>
      </c>
      <c r="O222" s="25">
        <f>WORLDCUP!AD133</f>
        <v>2</v>
      </c>
      <c r="P222" s="25">
        <f t="shared" si="1151"/>
        <v>-1</v>
      </c>
      <c r="Q222" s="25">
        <f>+A222-B222</f>
        <v>1</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1</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2</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4</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1</v>
      </c>
      <c r="B223" s="25">
        <f>WORLDCUP!AC134</f>
        <v>3</v>
      </c>
      <c r="C223" s="25" t="str">
        <f ca="1">CONCATENATE(WORLDCUP!AF134,"-",WORLDCUP!AA134)</f>
        <v>Suiza-Argentina</v>
      </c>
      <c r="D223" s="25">
        <f>IF(WORLDCUP!AC134&gt;WORLDCUP!AD134,2,IF(WORLDCUP!AC134&lt;WORLDCUP!AD134,1,IF(AND(WORLDCUP!AC134=WORLDCUP!AD134,WORLDCUP!AC134&lt;&gt;"",WORLDCUP!AD134&lt;&gt;""),0,"PD")))</f>
        <v>2</v>
      </c>
      <c r="E223" s="25" t="str">
        <f>IF(OR(WORLDCUP!AD134="",WORLDCUP!AC134=""),"-",A223&amp;"-"&amp;B223)</f>
        <v>1-3</v>
      </c>
      <c r="F223" s="407">
        <f t="shared" si="1201"/>
        <v>4</v>
      </c>
      <c r="G223" s="407">
        <f ca="1">VLOOKUP(H223,Equipos!$Q$1:$R$25,2,0)</f>
        <v>22</v>
      </c>
      <c r="H223" s="65" t="str">
        <f>Idiomas!$D$262</f>
        <v>Cuartos de final</v>
      </c>
      <c r="I223" s="43">
        <v>1</v>
      </c>
      <c r="J223" s="851"/>
      <c r="K223" s="115" t="str">
        <f ca="1">CONCATENATE(WORLDCUP!AA134,"-",WORLDCUP!AF134)</f>
        <v>Argentina-Suiza</v>
      </c>
      <c r="L223" s="115">
        <f>IF(OR(WORLDCUP!AC134="",WORLDCUP!AD134=""),"PD",IF(WORLDCUP!AC134&gt;WORLDCUP!AD134,1,IF(WORLDCUP!AC134&lt;WORLDCUP!AD134,2,0)))</f>
        <v>1</v>
      </c>
      <c r="M223" s="116" t="str">
        <f t="shared" si="1150"/>
        <v>3-1</v>
      </c>
      <c r="N223" s="25">
        <f>WORLDCUP!AC134</f>
        <v>3</v>
      </c>
      <c r="O223" s="25">
        <f>WORLDCUP!AD134</f>
        <v>1</v>
      </c>
      <c r="P223" s="25">
        <f t="shared" si="1151"/>
        <v>2</v>
      </c>
      <c r="Q223" s="25">
        <f>+A223-B223</f>
        <v>-2</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1</v>
      </c>
      <c r="AA224" s="65"/>
      <c r="AB224" s="84"/>
      <c r="AC224" s="71">
        <f t="shared" ref="AC224" ca="1" si="1205">SUM(AC220:AC223)</f>
        <v>0</v>
      </c>
      <c r="AD224" s="65"/>
      <c r="AE224" s="84"/>
      <c r="AF224" s="71">
        <f t="shared" ref="AF224" ca="1" si="1206">SUM(AF220:AF223)</f>
        <v>2</v>
      </c>
      <c r="AG224" s="65"/>
      <c r="AH224" s="84"/>
      <c r="AI224" s="71">
        <f t="shared" ref="AI224" ca="1" si="1207">SUM(AI220:AI223)</f>
        <v>2</v>
      </c>
      <c r="AJ224" s="65"/>
      <c r="AK224" s="84"/>
      <c r="AL224" s="71">
        <f t="shared" ref="AL224" ca="1" si="1208">SUM(AL220:AL223)</f>
        <v>0</v>
      </c>
      <c r="AM224" s="65"/>
      <c r="AN224" s="84"/>
      <c r="AO224" s="71">
        <f t="shared" ref="AO224" ca="1" si="1209">SUM(AO220:AO223)</f>
        <v>1</v>
      </c>
      <c r="AP224" s="65"/>
      <c r="AQ224" s="84"/>
      <c r="AR224" s="71">
        <f t="shared" ref="AR224" ca="1" si="1210">SUM(AR220:AR223)</f>
        <v>3</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1</v>
      </c>
      <c r="BE224" s="65"/>
      <c r="BF224" s="84"/>
      <c r="BG224" s="71">
        <f t="shared" ref="BG224" ca="1" si="1215">SUM(BG220:BG223)</f>
        <v>1</v>
      </c>
      <c r="BH224" s="65"/>
      <c r="BI224" s="84"/>
      <c r="BJ224" s="71">
        <f t="shared" ref="BJ224" ca="1" si="1216">SUM(BJ220:BJ223)</f>
        <v>0</v>
      </c>
      <c r="BK224" s="65"/>
      <c r="BL224" s="84"/>
      <c r="BM224" s="71">
        <f t="shared" ref="BM224" ca="1" si="1217">SUM(BM220:BM223)</f>
        <v>5</v>
      </c>
      <c r="BN224" s="65"/>
      <c r="BO224" s="84"/>
      <c r="BP224" s="71">
        <f t="shared" ref="BP224" ca="1" si="1218">SUM(BP220:BP223)</f>
        <v>1</v>
      </c>
      <c r="BQ224" s="65"/>
      <c r="BR224" s="84"/>
      <c r="BS224" s="71">
        <f t="shared" ref="BS224" ca="1" si="1219">SUM(BS220:BS223)</f>
        <v>2</v>
      </c>
      <c r="BT224" s="65"/>
      <c r="BU224" s="84"/>
      <c r="BV224" s="71">
        <f t="shared" ref="BV224" ca="1" si="1220">SUM(BV220:BV223)</f>
        <v>1</v>
      </c>
      <c r="BW224" s="65"/>
      <c r="BX224" s="84"/>
      <c r="BY224" s="71">
        <f t="shared" ref="BY224" ca="1" si="1221">SUM(BY220:BY223)</f>
        <v>4</v>
      </c>
      <c r="BZ224" s="65"/>
      <c r="CA224" s="84"/>
      <c r="CB224" s="71">
        <f t="shared" ref="CB224" ca="1" si="1222">SUM(CB220:CB223)</f>
        <v>1</v>
      </c>
      <c r="CC224" s="65"/>
      <c r="CD224" s="84"/>
      <c r="CE224" s="71">
        <f t="shared" ref="CE224" ca="1" si="1223">SUM(CE220:CE223)</f>
        <v>0</v>
      </c>
      <c r="CF224" s="65"/>
      <c r="CG224" s="84"/>
      <c r="CH224" s="71">
        <f t="shared" ref="CH224" ca="1" si="1224">SUM(CH220:CH223)</f>
        <v>0</v>
      </c>
      <c r="CI224" s="65"/>
      <c r="CJ224" s="84"/>
      <c r="CK224" s="71">
        <f t="shared" ref="CK224" ca="1" si="1225">SUM(CK220:CK223)</f>
        <v>4</v>
      </c>
      <c r="CL224" s="65"/>
      <c r="CM224" s="84"/>
      <c r="CN224" s="71">
        <f t="shared" ref="CN224" ca="1" si="1226">SUM(CN220:CN223)</f>
        <v>0</v>
      </c>
      <c r="CO224" s="65"/>
      <c r="CP224" s="84"/>
      <c r="CQ224" s="71">
        <f t="shared" ref="CQ224" ca="1" si="1227">SUM(CQ220:CQ223)</f>
        <v>2</v>
      </c>
      <c r="CR224" s="65"/>
      <c r="CS224" s="84"/>
      <c r="CT224" s="71">
        <f t="shared" ref="CT224" ca="1" si="1228">SUM(CT220:CT223)</f>
        <v>8</v>
      </c>
      <c r="CU224" s="65"/>
      <c r="CV224" s="84"/>
      <c r="CW224" s="71">
        <f t="shared" ref="CW224" ca="1" si="1229">SUM(CW220:CW223)</f>
        <v>3</v>
      </c>
      <c r="CX224" s="65"/>
      <c r="CY224" s="84"/>
      <c r="CZ224" s="71">
        <f t="shared" ref="CZ224" ca="1" si="1230">SUM(CZ220:CZ223)</f>
        <v>6</v>
      </c>
      <c r="DA224" s="65"/>
      <c r="DB224" s="84"/>
      <c r="DC224" s="71">
        <f t="shared" ref="DC224" ca="1" si="1231">SUM(DC220:DC223)</f>
        <v>2</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1</v>
      </c>
      <c r="DS224" s="65"/>
      <c r="DT224" s="84"/>
      <c r="DU224" s="71">
        <f t="shared" ref="DU224" ca="1" si="1237">SUM(DU220:DU223)</f>
        <v>1</v>
      </c>
      <c r="DV224" s="65"/>
      <c r="DW224" s="84"/>
      <c r="DX224" s="71">
        <f t="shared" ref="DX224" ca="1" si="1238">SUM(DX220:DX223)</f>
        <v>4</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1</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 ca="1">WORLDCUP!AA138</f>
        <v>Francia</v>
      </c>
      <c r="N226" s="25"/>
      <c r="O226" s="25"/>
      <c r="P226" s="25"/>
      <c r="Q226" s="25"/>
      <c r="R226" s="110"/>
      <c r="S226" s="76" t="s">
        <v>77</v>
      </c>
      <c r="T226" s="77">
        <f ca="1">COUNTIF($M$226:$M$229,S226)*$D$27</f>
        <v>0</v>
      </c>
      <c r="U226" s="64"/>
      <c r="V226" s="76" t="s">
        <v>74</v>
      </c>
      <c r="W226" s="77">
        <f t="shared" ref="W226" ca="1" si="1252">COUNTIF($M$226:$M$229,V226)*$D$27</f>
        <v>5</v>
      </c>
      <c r="X226" s="64"/>
      <c r="Y226" s="76" t="s">
        <v>74</v>
      </c>
      <c r="Z226" s="77">
        <f t="shared" ref="Z226" ca="1" si="1253">COUNTIF($M$226:$M$229,Y226)*$D$27</f>
        <v>5</v>
      </c>
      <c r="AA226" s="64"/>
      <c r="AB226" s="76" t="s">
        <v>74</v>
      </c>
      <c r="AC226" s="77">
        <f t="shared" ref="AC226" ca="1" si="1254">COUNTIF($M$226:$M$229,AB226)*$D$27</f>
        <v>5</v>
      </c>
      <c r="AD226" s="64"/>
      <c r="AE226" s="76" t="s">
        <v>74</v>
      </c>
      <c r="AF226" s="77">
        <f t="shared" ref="AF226" ca="1" si="1255">COUNTIF($M$226:$M$229,AE226)*$D$27</f>
        <v>5</v>
      </c>
      <c r="AG226" s="64"/>
      <c r="AH226" s="76" t="s">
        <v>74</v>
      </c>
      <c r="AI226" s="77">
        <f t="shared" ref="AI226" ca="1" si="1256">COUNTIF($M$226:$M$229,AH226)*$D$27</f>
        <v>5</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5</v>
      </c>
      <c r="AS226" s="64"/>
      <c r="AT226" s="76" t="s">
        <v>74</v>
      </c>
      <c r="AU226" s="77">
        <f t="shared" ref="AU226" ca="1" si="1260">COUNTIF($M$226:$M$229,AT226)*$D$27</f>
        <v>5</v>
      </c>
      <c r="AV226" s="64"/>
      <c r="AW226" s="76" t="s">
        <v>74</v>
      </c>
      <c r="AX226" s="77">
        <f t="shared" ref="AX226" ca="1" si="1261">COUNTIF($M$226:$M$229,AW226)*$D$27</f>
        <v>5</v>
      </c>
      <c r="AY226" s="64"/>
      <c r="AZ226" s="76" t="s">
        <v>74</v>
      </c>
      <c r="BA226" s="77">
        <f t="shared" ref="BA226" ca="1" si="1262">COUNTIF($M$226:$M$229,AZ226)*$D$27</f>
        <v>5</v>
      </c>
      <c r="BB226" s="64"/>
      <c r="BC226" s="76" t="s">
        <v>74</v>
      </c>
      <c r="BD226" s="77">
        <f t="shared" ref="BD226" ca="1" si="1263">COUNTIF($M$226:$M$229,BC226)*$D$27</f>
        <v>5</v>
      </c>
      <c r="BE226" s="64"/>
      <c r="BF226" s="76" t="s">
        <v>74</v>
      </c>
      <c r="BG226" s="77">
        <f t="shared" ref="BG226" ca="1" si="1264">COUNTIF($M$226:$M$229,BF226)*$D$27</f>
        <v>5</v>
      </c>
      <c r="BH226" s="64"/>
      <c r="BI226" s="76" t="s">
        <v>74</v>
      </c>
      <c r="BJ226" s="77">
        <f t="shared" ref="BJ226" ca="1" si="1265">COUNTIF($M$226:$M$229,BI226)*$D$27</f>
        <v>5</v>
      </c>
      <c r="BK226" s="64"/>
      <c r="BL226" s="76" t="s">
        <v>74</v>
      </c>
      <c r="BM226" s="77">
        <f t="shared" ref="BM226" ca="1" si="1266">COUNTIF($M$226:$M$229,BL226)*$D$27</f>
        <v>5</v>
      </c>
      <c r="BN226" s="64"/>
      <c r="BO226" s="76" t="s">
        <v>74</v>
      </c>
      <c r="BP226" s="77">
        <f t="shared" ref="BP226" ca="1" si="1267">COUNTIF($M$226:$M$229,BO226)*$D$27</f>
        <v>5</v>
      </c>
      <c r="BQ226" s="64"/>
      <c r="BR226" s="76" t="s">
        <v>74</v>
      </c>
      <c r="BS226" s="77">
        <f t="shared" ref="BS226" ca="1" si="1268">COUNTIF($M$226:$M$229,BR226)*$D$27</f>
        <v>5</v>
      </c>
      <c r="BT226" s="64"/>
      <c r="BU226" s="76" t="s">
        <v>74</v>
      </c>
      <c r="BV226" s="77">
        <f t="shared" ref="BV226" ca="1" si="1269">COUNTIF($M$226:$M$229,BU226)*$D$27</f>
        <v>5</v>
      </c>
      <c r="BW226" s="64"/>
      <c r="BX226" s="76" t="s">
        <v>74</v>
      </c>
      <c r="BY226" s="77">
        <f t="shared" ref="BY226" ca="1" si="1270">COUNTIF($M$226:$M$229,BX226)*$D$27</f>
        <v>5</v>
      </c>
      <c r="BZ226" s="64"/>
      <c r="CA226" s="76" t="s">
        <v>77</v>
      </c>
      <c r="CB226" s="77">
        <f t="shared" ref="CB226" ca="1" si="1271">COUNTIF($M$226:$M$229,CA226)*$D$27</f>
        <v>0</v>
      </c>
      <c r="CC226" s="64"/>
      <c r="CD226" s="76" t="s">
        <v>74</v>
      </c>
      <c r="CE226" s="77">
        <f t="shared" ref="CE226" ca="1" si="1272">COUNTIF($M$226:$M$229,CD226)*$D$27</f>
        <v>5</v>
      </c>
      <c r="CF226" s="64"/>
      <c r="CG226" s="76" t="s">
        <v>74</v>
      </c>
      <c r="CH226" s="77">
        <f t="shared" ref="CH226" ca="1" si="1273">COUNTIF($M$226:$M$229,CG226)*$D$27</f>
        <v>5</v>
      </c>
      <c r="CI226" s="64"/>
      <c r="CJ226" s="76" t="s">
        <v>74</v>
      </c>
      <c r="CK226" s="77">
        <f t="shared" ref="CK226" ca="1" si="1274">COUNTIF($M$226:$M$229,CJ226)*$D$27</f>
        <v>5</v>
      </c>
      <c r="CL226" s="64"/>
      <c r="CM226" s="76" t="s">
        <v>74</v>
      </c>
      <c r="CN226" s="77">
        <f t="shared" ref="CN226" ca="1" si="1275">COUNTIF($M$226:$M$229,CM226)*$D$27</f>
        <v>5</v>
      </c>
      <c r="CO226" s="64"/>
      <c r="CP226" s="76" t="s">
        <v>74</v>
      </c>
      <c r="CQ226" s="77">
        <f t="shared" ref="CQ226" ca="1" si="1276">COUNTIF($M$226:$M$229,CP226)*$D$27</f>
        <v>5</v>
      </c>
      <c r="CR226" s="64"/>
      <c r="CS226" s="76" t="s">
        <v>74</v>
      </c>
      <c r="CT226" s="77">
        <f t="shared" ref="CT226" ca="1" si="1277">COUNTIF($M$226:$M$229,CS226)*$D$27</f>
        <v>5</v>
      </c>
      <c r="CU226" s="64"/>
      <c r="CV226" s="76" t="s">
        <v>74</v>
      </c>
      <c r="CW226" s="77">
        <f t="shared" ref="CW226" ca="1" si="1278">COUNTIF($M$226:$M$229,CV226)*$D$27</f>
        <v>5</v>
      </c>
      <c r="CX226" s="64"/>
      <c r="CY226" s="76" t="s">
        <v>74</v>
      </c>
      <c r="CZ226" s="77">
        <f t="shared" ref="CZ226" ca="1" si="1279">COUNTIF($M$226:$M$229,CY226)*$D$27</f>
        <v>5</v>
      </c>
      <c r="DA226" s="64"/>
      <c r="DB226" s="76" t="s">
        <v>74</v>
      </c>
      <c r="DC226" s="77">
        <f t="shared" ref="DC226" ca="1" si="1280">COUNTIF($M$226:$M$229,DB226)*$D$27</f>
        <v>5</v>
      </c>
      <c r="DD226" s="64"/>
      <c r="DE226" s="76" t="s">
        <v>77</v>
      </c>
      <c r="DF226" s="77">
        <f t="shared" ref="DF226" ca="1" si="1281">COUNTIF($M$226:$M$229,DE226)*$D$27</f>
        <v>0</v>
      </c>
      <c r="DG226" s="64"/>
      <c r="DH226" s="76" t="s">
        <v>74</v>
      </c>
      <c r="DI226" s="77">
        <f t="shared" ref="DI226" ca="1" si="1282">COUNTIF($M$226:$M$229,DH226)*$D$27</f>
        <v>5</v>
      </c>
      <c r="DJ226" s="64"/>
      <c r="DK226" s="76" t="s">
        <v>74</v>
      </c>
      <c r="DL226" s="77">
        <f t="shared" ref="DL226" ca="1" si="1283">COUNTIF($M$226:$M$229,DK226)*$D$27</f>
        <v>5</v>
      </c>
      <c r="DM226" s="64"/>
      <c r="DN226" s="795" t="s">
        <v>74</v>
      </c>
      <c r="DO226" s="77">
        <f t="shared" ref="DO226" ca="1" si="1284">COUNTIF($M$226:$M$229,DN226)*$D$27</f>
        <v>5</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5</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t="s">
        <v>74</v>
      </c>
      <c r="EJ226" s="77">
        <f t="shared" ref="EJ226" ca="1" si="1291">COUNTIF($M$226:$M$229,EI226)*$D$27</f>
        <v>5</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 ca="1">WORLDCUP!AA139</f>
        <v>Inglaterra</v>
      </c>
      <c r="N227" s="25"/>
      <c r="O227" s="25"/>
      <c r="P227" s="25"/>
      <c r="Q227" s="25"/>
      <c r="R227" s="110"/>
      <c r="S227" s="74" t="s">
        <v>76</v>
      </c>
      <c r="T227" s="73">
        <f ca="1">COUNTIF($M$226:$M$229,S227)*$D$27</f>
        <v>5</v>
      </c>
      <c r="U227" s="64"/>
      <c r="V227" s="74" t="s">
        <v>76</v>
      </c>
      <c r="W227" s="73">
        <f t="shared" ref="W227" ca="1" si="1302">COUNTIF($M$226:$M$229,V227)*$D$27</f>
        <v>5</v>
      </c>
      <c r="X227" s="64"/>
      <c r="Y227" s="74" t="s">
        <v>1258</v>
      </c>
      <c r="Z227" s="73">
        <f t="shared" ref="Z227" ca="1" si="1303">COUNTIF($M$226:$M$229,Y227)*$D$27</f>
        <v>0</v>
      </c>
      <c r="AA227" s="64"/>
      <c r="AB227" s="74" t="s">
        <v>76</v>
      </c>
      <c r="AC227" s="73">
        <f t="shared" ref="AC227" ca="1" si="1304">COUNTIF($M$226:$M$229,AB227)*$D$27</f>
        <v>5</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5</v>
      </c>
      <c r="AM227" s="64"/>
      <c r="AN227" s="74" t="s">
        <v>76</v>
      </c>
      <c r="AO227" s="73">
        <f t="shared" ref="AO227" ca="1" si="1308">COUNTIF($M$226:$M$229,AN227)*$D$27</f>
        <v>5</v>
      </c>
      <c r="AP227" s="64"/>
      <c r="AQ227" s="74" t="s">
        <v>76</v>
      </c>
      <c r="AR227" s="73">
        <f t="shared" ref="AR227" ca="1" si="1309">COUNTIF($M$226:$M$229,AQ227)*$D$27</f>
        <v>5</v>
      </c>
      <c r="AS227" s="64"/>
      <c r="AT227" s="74" t="s">
        <v>76</v>
      </c>
      <c r="AU227" s="73">
        <f t="shared" ref="AU227" ca="1" si="1310">COUNTIF($M$226:$M$229,AT227)*$D$27</f>
        <v>5</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5</v>
      </c>
      <c r="BH227" s="64"/>
      <c r="BI227" s="74" t="s">
        <v>1258</v>
      </c>
      <c r="BJ227" s="73">
        <f t="shared" ref="BJ227" ca="1" si="1315">COUNTIF($M$226:$M$229,BI227)*$D$27</f>
        <v>0</v>
      </c>
      <c r="BK227" s="64"/>
      <c r="BL227" s="74" t="s">
        <v>76</v>
      </c>
      <c r="BM227" s="73">
        <f t="shared" ref="BM227" ca="1" si="1316">COUNTIF($M$226:$M$229,BL227)*$D$27</f>
        <v>5</v>
      </c>
      <c r="BN227" s="64"/>
      <c r="BO227" s="74" t="s">
        <v>76</v>
      </c>
      <c r="BP227" s="73">
        <f t="shared" ref="BP227" ca="1" si="1317">COUNTIF($M$226:$M$229,BO227)*$D$27</f>
        <v>5</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5</v>
      </c>
      <c r="BZ227" s="64"/>
      <c r="CA227" s="74" t="s">
        <v>76</v>
      </c>
      <c r="CB227" s="73">
        <f t="shared" ref="CB227" ca="1" si="1321">COUNTIF($M$226:$M$229,CA227)*$D$27</f>
        <v>5</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5</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5</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5</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5</v>
      </c>
      <c r="EH227" s="64"/>
      <c r="EI227" s="74" t="s">
        <v>76</v>
      </c>
      <c r="EJ227" s="73">
        <f t="shared" ref="EJ227" ca="1" si="1341">COUNTIF($M$226:$M$229,EI227)*$D$27</f>
        <v>5</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 ca="1">WORLDCUP!AF138</f>
        <v>España</v>
      </c>
      <c r="N228" s="25"/>
      <c r="O228" s="25"/>
      <c r="P228" s="25"/>
      <c r="Q228" s="25"/>
      <c r="R228" s="110"/>
      <c r="S228" s="74" t="s">
        <v>38</v>
      </c>
      <c r="T228" s="73">
        <f ca="1">COUNTIF($M$226:$M$229,S228)*$D$27</f>
        <v>5</v>
      </c>
      <c r="U228" s="64"/>
      <c r="V228" s="74" t="s">
        <v>38</v>
      </c>
      <c r="W228" s="73">
        <f t="shared" ref="W228" ca="1" si="1351">COUNTIF($M$226:$M$229,V228)*$D$27</f>
        <v>5</v>
      </c>
      <c r="X228" s="64"/>
      <c r="Y228" s="74" t="s">
        <v>38</v>
      </c>
      <c r="Z228" s="73">
        <f t="shared" ref="Z228" ca="1" si="1352">COUNTIF($M$226:$M$229,Y228)*$D$27</f>
        <v>5</v>
      </c>
      <c r="AA228" s="64"/>
      <c r="AB228" s="74" t="s">
        <v>38</v>
      </c>
      <c r="AC228" s="73">
        <f t="shared" ref="AC228" ca="1" si="1353">COUNTIF($M$226:$M$229,AB228)*$D$27</f>
        <v>5</v>
      </c>
      <c r="AD228" s="64"/>
      <c r="AE228" s="74" t="s">
        <v>38</v>
      </c>
      <c r="AF228" s="73">
        <f t="shared" ref="AF228" ca="1" si="1354">COUNTIF($M$226:$M$229,AE228)*$D$27</f>
        <v>5</v>
      </c>
      <c r="AG228" s="64"/>
      <c r="AH228" s="74" t="s">
        <v>38</v>
      </c>
      <c r="AI228" s="73">
        <f t="shared" ref="AI228" ca="1" si="1355">COUNTIF($M$226:$M$229,AH228)*$D$27</f>
        <v>5</v>
      </c>
      <c r="AJ228" s="64"/>
      <c r="AK228" s="74" t="s">
        <v>38</v>
      </c>
      <c r="AL228" s="73">
        <f t="shared" ref="AL228" ca="1" si="1356">COUNTIF($M$226:$M$229,AK228)*$D$27</f>
        <v>5</v>
      </c>
      <c r="AM228" s="64"/>
      <c r="AN228" s="74" t="s">
        <v>1320</v>
      </c>
      <c r="AO228" s="73">
        <f t="shared" ref="AO228" ca="1" si="1357">COUNTIF($M$226:$M$229,AN228)*$D$27</f>
        <v>0</v>
      </c>
      <c r="AP228" s="64"/>
      <c r="AQ228" s="74" t="s">
        <v>38</v>
      </c>
      <c r="AR228" s="73">
        <f t="shared" ref="AR228" ca="1" si="1358">COUNTIF($M$226:$M$229,AQ228)*$D$27</f>
        <v>5</v>
      </c>
      <c r="AS228" s="64"/>
      <c r="AT228" s="74" t="s">
        <v>38</v>
      </c>
      <c r="AU228" s="73">
        <f t="shared" ref="AU228" ca="1" si="1359">COUNTIF($M$226:$M$229,AT228)*$D$27</f>
        <v>5</v>
      </c>
      <c r="AV228" s="64"/>
      <c r="AW228" s="74" t="s">
        <v>38</v>
      </c>
      <c r="AX228" s="73">
        <f t="shared" ref="AX228" ca="1" si="1360">COUNTIF($M$226:$M$229,AW228)*$D$27</f>
        <v>5</v>
      </c>
      <c r="AY228" s="64"/>
      <c r="AZ228" s="74" t="s">
        <v>38</v>
      </c>
      <c r="BA228" s="73">
        <f t="shared" ref="BA228" ca="1" si="1361">COUNTIF($M$226:$M$229,AZ228)*$D$27</f>
        <v>5</v>
      </c>
      <c r="BB228" s="64"/>
      <c r="BC228" s="74" t="s">
        <v>38</v>
      </c>
      <c r="BD228" s="73">
        <f t="shared" ref="BD228" ca="1" si="1362">COUNTIF($M$226:$M$229,BC228)*$D$27</f>
        <v>5</v>
      </c>
      <c r="BE228" s="64"/>
      <c r="BF228" s="74" t="s">
        <v>38</v>
      </c>
      <c r="BG228" s="73">
        <f t="shared" ref="BG228" ca="1" si="1363">COUNTIF($M$226:$M$229,BF228)*$D$27</f>
        <v>5</v>
      </c>
      <c r="BH228" s="64"/>
      <c r="BI228" s="74" t="s">
        <v>38</v>
      </c>
      <c r="BJ228" s="73">
        <f t="shared" ref="BJ228" ca="1" si="1364">COUNTIF($M$226:$M$229,BI228)*$D$27</f>
        <v>5</v>
      </c>
      <c r="BK228" s="64"/>
      <c r="BL228" s="74" t="s">
        <v>38</v>
      </c>
      <c r="BM228" s="73">
        <f t="shared" ref="BM228" ca="1" si="1365">COUNTIF($M$226:$M$229,BL228)*$D$27</f>
        <v>5</v>
      </c>
      <c r="BN228" s="64"/>
      <c r="BO228" s="74" t="s">
        <v>38</v>
      </c>
      <c r="BP228" s="73">
        <f t="shared" ref="BP228" ca="1" si="1366">COUNTIF($M$226:$M$229,BO228)*$D$27</f>
        <v>5</v>
      </c>
      <c r="BQ228" s="64"/>
      <c r="BR228" s="74" t="s">
        <v>38</v>
      </c>
      <c r="BS228" s="73">
        <f t="shared" ref="BS228" ca="1" si="1367">COUNTIF($M$226:$M$229,BR228)*$D$27</f>
        <v>5</v>
      </c>
      <c r="BT228" s="64"/>
      <c r="BU228" s="74" t="s">
        <v>38</v>
      </c>
      <c r="BV228" s="73">
        <f t="shared" ref="BV228" ca="1" si="1368">COUNTIF($M$226:$M$229,BU228)*$D$27</f>
        <v>5</v>
      </c>
      <c r="BW228" s="64"/>
      <c r="BX228" s="74" t="s">
        <v>38</v>
      </c>
      <c r="BY228" s="73">
        <f t="shared" ref="BY228" ca="1" si="1369">COUNTIF($M$226:$M$229,BX228)*$D$27</f>
        <v>5</v>
      </c>
      <c r="BZ228" s="64"/>
      <c r="CA228" s="74" t="s">
        <v>38</v>
      </c>
      <c r="CB228" s="73">
        <f t="shared" ref="CB228" ca="1" si="1370">COUNTIF($M$226:$M$229,CA228)*$D$27</f>
        <v>5</v>
      </c>
      <c r="CC228" s="64"/>
      <c r="CD228" s="74" t="s">
        <v>38</v>
      </c>
      <c r="CE228" s="73">
        <f t="shared" ref="CE228" ca="1" si="1371">COUNTIF($M$226:$M$229,CD228)*$D$27</f>
        <v>5</v>
      </c>
      <c r="CF228" s="64"/>
      <c r="CG228" s="74" t="s">
        <v>38</v>
      </c>
      <c r="CH228" s="73">
        <f t="shared" ref="CH228" ca="1" si="1372">COUNTIF($M$226:$M$229,CG228)*$D$27</f>
        <v>5</v>
      </c>
      <c r="CI228" s="64"/>
      <c r="CJ228" s="74" t="s">
        <v>38</v>
      </c>
      <c r="CK228" s="73">
        <f t="shared" ref="CK228" ca="1" si="1373">COUNTIF($M$226:$M$229,CJ228)*$D$27</f>
        <v>5</v>
      </c>
      <c r="CL228" s="64"/>
      <c r="CM228" s="74" t="s">
        <v>38</v>
      </c>
      <c r="CN228" s="73">
        <f t="shared" ref="CN228" ca="1" si="1374">COUNTIF($M$226:$M$229,CM228)*$D$27</f>
        <v>5</v>
      </c>
      <c r="CO228" s="64"/>
      <c r="CP228" s="74" t="s">
        <v>38</v>
      </c>
      <c r="CQ228" s="73">
        <f t="shared" ref="CQ228" ca="1" si="1375">COUNTIF($M$226:$M$229,CP228)*$D$27</f>
        <v>5</v>
      </c>
      <c r="CR228" s="64"/>
      <c r="CS228" s="74" t="s">
        <v>38</v>
      </c>
      <c r="CT228" s="73">
        <f t="shared" ref="CT228" ca="1" si="1376">COUNTIF($M$226:$M$229,CS228)*$D$27</f>
        <v>5</v>
      </c>
      <c r="CU228" s="64"/>
      <c r="CV228" s="74" t="s">
        <v>38</v>
      </c>
      <c r="CW228" s="73">
        <f t="shared" ref="CW228" ca="1" si="1377">COUNTIF($M$226:$M$229,CV228)*$D$27</f>
        <v>5</v>
      </c>
      <c r="CX228" s="64"/>
      <c r="CY228" s="74" t="s">
        <v>38</v>
      </c>
      <c r="CZ228" s="73">
        <f t="shared" ref="CZ228" ca="1" si="1378">COUNTIF($M$226:$M$229,CY228)*$D$27</f>
        <v>5</v>
      </c>
      <c r="DA228" s="64"/>
      <c r="DB228" s="74" t="s">
        <v>38</v>
      </c>
      <c r="DC228" s="73">
        <f t="shared" ref="DC228" ca="1" si="1379">COUNTIF($M$226:$M$229,DB228)*$D$27</f>
        <v>5</v>
      </c>
      <c r="DD228" s="64"/>
      <c r="DE228" s="74" t="s">
        <v>1835</v>
      </c>
      <c r="DF228" s="73">
        <f t="shared" ref="DF228" ca="1" si="1380">COUNTIF($M$226:$M$229,DE228)*$D$27</f>
        <v>0</v>
      </c>
      <c r="DG228" s="64"/>
      <c r="DH228" s="74" t="s">
        <v>38</v>
      </c>
      <c r="DI228" s="73">
        <f t="shared" ref="DI228" ca="1" si="1381">COUNTIF($M$226:$M$229,DH228)*$D$27</f>
        <v>5</v>
      </c>
      <c r="DJ228" s="64"/>
      <c r="DK228" s="74" t="s">
        <v>38</v>
      </c>
      <c r="DL228" s="73">
        <f t="shared" ref="DL228" ca="1" si="1382">COUNTIF($M$226:$M$229,DK228)*$D$27</f>
        <v>5</v>
      </c>
      <c r="DM228" s="64"/>
      <c r="DN228" s="795" t="s">
        <v>38</v>
      </c>
      <c r="DO228" s="73">
        <f t="shared" ref="DO228" ca="1" si="1383">COUNTIF($M$226:$M$229,DN228)*$D$27</f>
        <v>5</v>
      </c>
      <c r="DP228" s="64"/>
      <c r="DQ228" s="795" t="s">
        <v>76</v>
      </c>
      <c r="DR228" s="73">
        <f t="shared" ref="DR228" ca="1" si="1384">COUNTIF($M$226:$M$229,DQ228)*$D$27</f>
        <v>5</v>
      </c>
      <c r="DS228" s="64"/>
      <c r="DT228" s="74" t="s">
        <v>38</v>
      </c>
      <c r="DU228" s="73">
        <f t="shared" ref="DU228" ca="1" si="1385">COUNTIF($M$226:$M$229,DT228)*$D$27</f>
        <v>5</v>
      </c>
      <c r="DV228" s="64"/>
      <c r="DW228" s="74" t="s">
        <v>38</v>
      </c>
      <c r="DX228" s="73">
        <f t="shared" ref="DX228" ca="1" si="1386">COUNTIF($M$226:$M$229,DW228)*$D$27</f>
        <v>5</v>
      </c>
      <c r="DY228" s="64"/>
      <c r="DZ228" s="74" t="s">
        <v>38</v>
      </c>
      <c r="EA228" s="73">
        <f t="shared" ref="EA228" ca="1" si="1387">COUNTIF($M$226:$M$229,DZ228)*$D$27</f>
        <v>5</v>
      </c>
      <c r="EB228" s="64"/>
      <c r="EC228" s="74" t="s">
        <v>38</v>
      </c>
      <c r="ED228" s="73">
        <f t="shared" ref="ED228" ca="1" si="1388">COUNTIF($M$226:$M$229,EC228)*$D$27</f>
        <v>5</v>
      </c>
      <c r="EE228" s="64"/>
      <c r="EF228" s="74" t="s">
        <v>38</v>
      </c>
      <c r="EG228" s="73">
        <f t="shared" ref="EG228" ca="1" si="1389">COUNTIF($M$226:$M$229,EF228)*$D$27</f>
        <v>5</v>
      </c>
      <c r="EH228" s="64"/>
      <c r="EI228" s="74" t="s">
        <v>38</v>
      </c>
      <c r="EJ228" s="73">
        <f t="shared" ref="EJ228" ca="1" si="1390">COUNTIF($M$226:$M$229,EI228)*$D$27</f>
        <v>5</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 ca="1">WORLDCUP!AF139</f>
        <v>Argentina</v>
      </c>
      <c r="N229" s="25"/>
      <c r="O229" s="25"/>
      <c r="P229" s="25"/>
      <c r="Q229" s="25"/>
      <c r="R229" s="110"/>
      <c r="S229" s="80" t="s">
        <v>1256</v>
      </c>
      <c r="T229" s="81">
        <f ca="1">COUNTIF($M$226:$M$229,S229)*$D$27</f>
        <v>5</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5</v>
      </c>
      <c r="AD229" s="64"/>
      <c r="AE229" s="80" t="s">
        <v>1256</v>
      </c>
      <c r="AF229" s="81">
        <f t="shared" ref="AF229" ca="1" si="1403">COUNTIF($M$226:$M$229,AE229)*$D$27</f>
        <v>5</v>
      </c>
      <c r="AG229" s="64"/>
      <c r="AH229" s="80" t="s">
        <v>1256</v>
      </c>
      <c r="AI229" s="81">
        <f t="shared" ref="AI229" ca="1" si="1404">COUNTIF($M$226:$M$229,AH229)*$D$27</f>
        <v>5</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5</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5</v>
      </c>
      <c r="BH229" s="64"/>
      <c r="BI229" s="80" t="s">
        <v>79</v>
      </c>
      <c r="BJ229" s="81">
        <f t="shared" ref="BJ229" ca="1" si="1413">COUNTIF($M$226:$M$229,BI229)*$D$27</f>
        <v>0</v>
      </c>
      <c r="BK229" s="64"/>
      <c r="BL229" s="80" t="s">
        <v>1256</v>
      </c>
      <c r="BM229" s="81">
        <f t="shared" ref="BM229" ca="1" si="1414">COUNTIF($M$226:$M$229,BL229)*$D$27</f>
        <v>5</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5</v>
      </c>
      <c r="CC229" s="64"/>
      <c r="CD229" s="80" t="s">
        <v>79</v>
      </c>
      <c r="CE229" s="81">
        <f t="shared" ref="CE229" ca="1" si="1420">COUNTIF($M$226:$M$229,CD229)*$D$27</f>
        <v>0</v>
      </c>
      <c r="CF229" s="64"/>
      <c r="CG229" s="80" t="s">
        <v>1256</v>
      </c>
      <c r="CH229" s="81">
        <f t="shared" ref="CH229" ca="1" si="1421">COUNTIF($M$226:$M$229,CG229)*$D$27</f>
        <v>5</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5</v>
      </c>
      <c r="CU229" s="64"/>
      <c r="CV229" s="80" t="s">
        <v>79</v>
      </c>
      <c r="CW229" s="81">
        <f t="shared" ref="CW229" ca="1" si="1426">COUNTIF($M$226:$M$229,CV229)*$D$27</f>
        <v>0</v>
      </c>
      <c r="CX229" s="64"/>
      <c r="CY229" s="80" t="s">
        <v>1256</v>
      </c>
      <c r="CZ229" s="81">
        <f t="shared" ref="CZ229" ca="1" si="1427">COUNTIF($M$226:$M$229,CY229)*$D$27</f>
        <v>5</v>
      </c>
      <c r="DA229" s="64"/>
      <c r="DB229" s="80" t="s">
        <v>1256</v>
      </c>
      <c r="DC229" s="81">
        <f t="shared" ref="DC229" ca="1" si="1428">COUNTIF($M$226:$M$229,DB229)*$D$27</f>
        <v>5</v>
      </c>
      <c r="DD229" s="64"/>
      <c r="DE229" s="80" t="s">
        <v>1256</v>
      </c>
      <c r="DF229" s="81">
        <f t="shared" ref="DF229" ca="1" si="1429">COUNTIF($M$226:$M$229,DE229)*$D$27</f>
        <v>5</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5</v>
      </c>
      <c r="EB229" s="64"/>
      <c r="EC229" s="80" t="s">
        <v>79</v>
      </c>
      <c r="ED229" s="81">
        <f t="shared" ref="ED229" ca="1" si="1437">COUNTIF($M$226:$M$229,EC229)*$D$27</f>
        <v>0</v>
      </c>
      <c r="EE229" s="64"/>
      <c r="EF229" s="80" t="s">
        <v>1318</v>
      </c>
      <c r="EG229" s="81">
        <f t="shared" ref="EG229" ca="1" si="1438">COUNTIF($M$226:$M$229,EF229)*$D$27</f>
        <v>0</v>
      </c>
      <c r="EH229" s="64"/>
      <c r="EI229" s="80" t="s">
        <v>79</v>
      </c>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15</v>
      </c>
      <c r="U230" s="65"/>
      <c r="V230" s="84"/>
      <c r="W230" s="71">
        <f t="shared" ref="W230" ca="1" si="1449">SUM(W226:W229)</f>
        <v>15</v>
      </c>
      <c r="X230" s="65"/>
      <c r="Y230" s="84"/>
      <c r="Z230" s="71">
        <f t="shared" ref="Z230" ca="1" si="1450">SUM(Z226:Z229)</f>
        <v>10</v>
      </c>
      <c r="AA230" s="65"/>
      <c r="AB230" s="84"/>
      <c r="AC230" s="71">
        <f t="shared" ref="AC230" ca="1" si="1451">SUM(AC226:AC229)</f>
        <v>20</v>
      </c>
      <c r="AD230" s="65"/>
      <c r="AE230" s="84"/>
      <c r="AF230" s="71">
        <f t="shared" ref="AF230" ca="1" si="1452">SUM(AF226:AF229)</f>
        <v>15</v>
      </c>
      <c r="AG230" s="65"/>
      <c r="AH230" s="84"/>
      <c r="AI230" s="71">
        <f t="shared" ref="AI230" ca="1" si="1453">SUM(AI226:AI229)</f>
        <v>15</v>
      </c>
      <c r="AJ230" s="65"/>
      <c r="AK230" s="84"/>
      <c r="AL230" s="71">
        <f t="shared" ref="AL230" ca="1" si="1454">SUM(AL226:AL229)</f>
        <v>10</v>
      </c>
      <c r="AM230" s="65"/>
      <c r="AN230" s="84"/>
      <c r="AO230" s="71">
        <f t="shared" ref="AO230" ca="1" si="1455">SUM(AO226:AO229)</f>
        <v>5</v>
      </c>
      <c r="AP230" s="65"/>
      <c r="AQ230" s="84"/>
      <c r="AR230" s="71">
        <f t="shared" ref="AR230" ca="1" si="1456">SUM(AR226:AR229)</f>
        <v>20</v>
      </c>
      <c r="AS230" s="65"/>
      <c r="AT230" s="84"/>
      <c r="AU230" s="71">
        <f t="shared" ref="AU230" ca="1" si="1457">SUM(AU226:AU229)</f>
        <v>15</v>
      </c>
      <c r="AV230" s="65"/>
      <c r="AW230" s="84"/>
      <c r="AX230" s="71">
        <f t="shared" ref="AX230" ca="1" si="1458">SUM(AX226:AX229)</f>
        <v>10</v>
      </c>
      <c r="AY230" s="65"/>
      <c r="AZ230" s="84"/>
      <c r="BA230" s="71">
        <f t="shared" ref="BA230" ca="1" si="1459">SUM(BA226:BA229)</f>
        <v>10</v>
      </c>
      <c r="BB230" s="65"/>
      <c r="BC230" s="84"/>
      <c r="BD230" s="71">
        <f t="shared" ref="BD230" ca="1" si="1460">SUM(BD226:BD229)</f>
        <v>10</v>
      </c>
      <c r="BE230" s="65"/>
      <c r="BF230" s="84"/>
      <c r="BG230" s="71">
        <f t="shared" ref="BG230" ca="1" si="1461">SUM(BG226:BG229)</f>
        <v>20</v>
      </c>
      <c r="BH230" s="65"/>
      <c r="BI230" s="84"/>
      <c r="BJ230" s="71">
        <f t="shared" ref="BJ230" ca="1" si="1462">SUM(BJ226:BJ229)</f>
        <v>10</v>
      </c>
      <c r="BK230" s="65"/>
      <c r="BL230" s="84"/>
      <c r="BM230" s="71">
        <f t="shared" ref="BM230" ca="1" si="1463">SUM(BM226:BM229)</f>
        <v>20</v>
      </c>
      <c r="BN230" s="65"/>
      <c r="BO230" s="84"/>
      <c r="BP230" s="71">
        <f t="shared" ref="BP230" ca="1" si="1464">SUM(BP226:BP229)</f>
        <v>15</v>
      </c>
      <c r="BQ230" s="65"/>
      <c r="BR230" s="84"/>
      <c r="BS230" s="71">
        <f t="shared" ref="BS230" ca="1" si="1465">SUM(BS226:BS229)</f>
        <v>10</v>
      </c>
      <c r="BT230" s="65"/>
      <c r="BU230" s="84"/>
      <c r="BV230" s="71">
        <f t="shared" ref="BV230" ca="1" si="1466">SUM(BV226:BV229)</f>
        <v>10</v>
      </c>
      <c r="BW230" s="65"/>
      <c r="BX230" s="84"/>
      <c r="BY230" s="71">
        <f t="shared" ref="BY230" ca="1" si="1467">SUM(BY226:BY229)</f>
        <v>15</v>
      </c>
      <c r="BZ230" s="65"/>
      <c r="CA230" s="84"/>
      <c r="CB230" s="71">
        <f t="shared" ref="CB230" ca="1" si="1468">SUM(CB226:CB229)</f>
        <v>15</v>
      </c>
      <c r="CC230" s="65"/>
      <c r="CD230" s="84"/>
      <c r="CE230" s="71">
        <f t="shared" ref="CE230" ca="1" si="1469">SUM(CE226:CE229)</f>
        <v>10</v>
      </c>
      <c r="CF230" s="65"/>
      <c r="CG230" s="84"/>
      <c r="CH230" s="71">
        <f t="shared" ref="CH230" ca="1" si="1470">SUM(CH226:CH229)</f>
        <v>15</v>
      </c>
      <c r="CI230" s="65"/>
      <c r="CJ230" s="84"/>
      <c r="CK230" s="71">
        <f t="shared" ref="CK230" ca="1" si="1471">SUM(CK226:CK229)</f>
        <v>15</v>
      </c>
      <c r="CL230" s="65"/>
      <c r="CM230" s="84"/>
      <c r="CN230" s="71">
        <f t="shared" ref="CN230" ca="1" si="1472">SUM(CN226:CN229)</f>
        <v>10</v>
      </c>
      <c r="CO230" s="65"/>
      <c r="CP230" s="84"/>
      <c r="CQ230" s="71">
        <f t="shared" ref="CQ230" ca="1" si="1473">SUM(CQ226:CQ229)</f>
        <v>10</v>
      </c>
      <c r="CR230" s="65"/>
      <c r="CS230" s="84"/>
      <c r="CT230" s="71">
        <f t="shared" ref="CT230" ca="1" si="1474">SUM(CT226:CT229)</f>
        <v>15</v>
      </c>
      <c r="CU230" s="65"/>
      <c r="CV230" s="84"/>
      <c r="CW230" s="71">
        <f t="shared" ref="CW230" ca="1" si="1475">SUM(CW226:CW229)</f>
        <v>10</v>
      </c>
      <c r="CX230" s="65"/>
      <c r="CY230" s="84"/>
      <c r="CZ230" s="71">
        <f t="shared" ref="CZ230" ca="1" si="1476">SUM(CZ226:CZ229)</f>
        <v>20</v>
      </c>
      <c r="DA230" s="65"/>
      <c r="DB230" s="84"/>
      <c r="DC230" s="71">
        <f t="shared" ref="DC230" ca="1" si="1477">SUM(DC226:DC229)</f>
        <v>15</v>
      </c>
      <c r="DD230" s="65"/>
      <c r="DE230" s="84"/>
      <c r="DF230" s="71">
        <f t="shared" ref="DF230" ca="1" si="1478">SUM(DF226:DF229)</f>
        <v>5</v>
      </c>
      <c r="DG230" s="65"/>
      <c r="DH230" s="84"/>
      <c r="DI230" s="71">
        <f t="shared" ref="DI230" ca="1" si="1479">SUM(DI226:DI229)</f>
        <v>10</v>
      </c>
      <c r="DJ230" s="65"/>
      <c r="DK230" s="84"/>
      <c r="DL230" s="71">
        <f t="shared" ref="DL230" ca="1" si="1480">SUM(DL226:DL229)</f>
        <v>10</v>
      </c>
      <c r="DM230" s="65"/>
      <c r="DN230" s="796"/>
      <c r="DO230" s="71">
        <f t="shared" ref="DO230" ca="1" si="1481">SUM(DO226:DO229)</f>
        <v>10</v>
      </c>
      <c r="DP230" s="65"/>
      <c r="DQ230" s="796"/>
      <c r="DR230" s="71">
        <f t="shared" ref="DR230" ca="1" si="1482">SUM(DR226:DR229)</f>
        <v>5</v>
      </c>
      <c r="DS230" s="65"/>
      <c r="DT230" s="84"/>
      <c r="DU230" s="71">
        <f t="shared" ref="DU230" ca="1" si="1483">SUM(DU226:DU229)</f>
        <v>5</v>
      </c>
      <c r="DV230" s="65"/>
      <c r="DW230" s="84"/>
      <c r="DX230" s="71">
        <f t="shared" ref="DX230" ca="1" si="1484">SUM(DX226:DX229)</f>
        <v>15</v>
      </c>
      <c r="DY230" s="65"/>
      <c r="DZ230" s="84"/>
      <c r="EA230" s="71">
        <f t="shared" ref="EA230" ca="1" si="1485">SUM(EA226:EA229)</f>
        <v>10</v>
      </c>
      <c r="EB230" s="65"/>
      <c r="EC230" s="84"/>
      <c r="ED230" s="71">
        <f t="shared" ref="ED230" ca="1" si="1486">SUM(ED226:ED229)</f>
        <v>5</v>
      </c>
      <c r="EE230" s="65"/>
      <c r="EF230" s="84"/>
      <c r="EG230" s="71">
        <f t="shared" ref="EG230" ca="1" si="1487">SUM(EG226:EG229)</f>
        <v>10</v>
      </c>
      <c r="EH230" s="65"/>
      <c r="EI230" s="84"/>
      <c r="EJ230" s="71">
        <f t="shared" ref="EJ230" ca="1" si="1488">SUM(EJ226:EJ229)</f>
        <v>15</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 ca="1">CONCATENATE(WORLDCUP!AF138,"-",WORLDCUP!AA138)</f>
        <v>España-Francia</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 ca="1">CONCATENATE(WORLDCUP!AA138,"-",WORLDCUP!AF138)</f>
        <v>Francia-España</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 ca="1">CONCATENATE(WORLDCUP!AF139,"-",WORLDCUP!AA139)</f>
        <v>Argentina-Inglaterra</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 ca="1">CONCATENATE(WORLDCUP!AA139,"-",WORLDCUP!AF139)</f>
        <v>Inglaterra-Argentina</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0</v>
      </c>
      <c r="X234" s="49"/>
      <c r="Y234" s="84"/>
      <c r="Z234" s="71">
        <f t="shared" ref="Z234" ca="1" si="1598">SUM(Z232:Z233)</f>
        <v>0</v>
      </c>
      <c r="AA234" s="49"/>
      <c r="AB234" s="84"/>
      <c r="AC234" s="71">
        <f t="shared" ref="AC234" ca="1" si="1599">SUM(AC232:AC233)</f>
        <v>0</v>
      </c>
      <c r="AD234" s="111"/>
      <c r="AE234" s="84"/>
      <c r="AF234" s="71">
        <f t="shared" ref="AF234" ca="1" si="1600">SUM(AF232:AF233)</f>
        <v>0</v>
      </c>
      <c r="AG234" s="49"/>
      <c r="AH234" s="84"/>
      <c r="AI234" s="71">
        <f t="shared" ref="AI234" ca="1" si="1601">SUM(AI232:AI233)</f>
        <v>0</v>
      </c>
      <c r="AJ234" s="49"/>
      <c r="AK234" s="84"/>
      <c r="AL234" s="71">
        <f t="shared" ref="AL234" ca="1" si="1602">SUM(AL232:AL233)</f>
        <v>0</v>
      </c>
      <c r="AM234" s="49"/>
      <c r="AN234" s="84"/>
      <c r="AO234" s="71">
        <f t="shared" ref="AO234" ca="1" si="1603">SUM(AO232:AO233)</f>
        <v>0</v>
      </c>
      <c r="AP234" s="49"/>
      <c r="AQ234" s="84"/>
      <c r="AR234" s="71">
        <f t="shared" ref="AR234" ca="1" si="1604">SUM(AR232:AR233)</f>
        <v>0</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0</v>
      </c>
      <c r="BE234" s="49"/>
      <c r="BF234" s="84"/>
      <c r="BG234" s="71">
        <f t="shared" ref="BG234" ca="1" si="1609">SUM(BG232:BG233)</f>
        <v>0</v>
      </c>
      <c r="BH234" s="49"/>
      <c r="BI234" s="84"/>
      <c r="BJ234" s="71">
        <f t="shared" ref="BJ234" ca="1" si="1610">SUM(BJ232:BJ233)</f>
        <v>0</v>
      </c>
      <c r="BK234" s="49"/>
      <c r="BL234" s="84"/>
      <c r="BM234" s="71">
        <f t="shared" ref="BM234" ca="1" si="1611">SUM(BM232:BM233)</f>
        <v>0</v>
      </c>
      <c r="BN234" s="49"/>
      <c r="BO234" s="84"/>
      <c r="BP234" s="71">
        <f t="shared" ref="BP234" ca="1" si="1612">SUM(BP232:BP233)</f>
        <v>0</v>
      </c>
      <c r="BQ234" s="49"/>
      <c r="BR234" s="84"/>
      <c r="BS234" s="71">
        <f t="shared" ref="BS234" ca="1" si="1613">SUM(BS232:BS233)</f>
        <v>0</v>
      </c>
      <c r="BT234" s="49"/>
      <c r="BU234" s="84"/>
      <c r="BV234" s="71">
        <f t="shared" ref="BV234" ca="1" si="1614">SUM(BV232:BV233)</f>
        <v>0</v>
      </c>
      <c r="BW234" s="49"/>
      <c r="BX234" s="84"/>
      <c r="BY234" s="71">
        <f t="shared" ref="BY234" ca="1" si="1615">SUM(BY232:BY233)</f>
        <v>0</v>
      </c>
      <c r="BZ234" s="49"/>
      <c r="CA234" s="84"/>
      <c r="CB234" s="71">
        <f t="shared" ref="CB234" ca="1" si="1616">SUM(CB232:CB233)</f>
        <v>0</v>
      </c>
      <c r="CC234" s="49"/>
      <c r="CD234" s="84"/>
      <c r="CE234" s="71">
        <f t="shared" ref="CE234" ca="1" si="1617">SUM(CE232:CE233)</f>
        <v>0</v>
      </c>
      <c r="CF234" s="49"/>
      <c r="CG234" s="84"/>
      <c r="CH234" s="71">
        <f t="shared" ref="CH234" ca="1" si="1618">SUM(CH232:CH233)</f>
        <v>0</v>
      </c>
      <c r="CI234" s="49"/>
      <c r="CJ234" s="84"/>
      <c r="CK234" s="71">
        <f t="shared" ref="CK234" ca="1" si="1619">SUM(CK232:CK233)</f>
        <v>0</v>
      </c>
      <c r="CL234" s="49"/>
      <c r="CM234" s="84"/>
      <c r="CN234" s="71">
        <f t="shared" ref="CN234" ca="1" si="1620">SUM(CN232:CN233)</f>
        <v>0</v>
      </c>
      <c r="CO234" s="49"/>
      <c r="CP234" s="84"/>
      <c r="CQ234" s="71">
        <f t="shared" ref="CQ234" ca="1" si="1621">SUM(CQ232:CQ233)</f>
        <v>0</v>
      </c>
      <c r="CR234" s="49"/>
      <c r="CS234" s="84"/>
      <c r="CT234" s="71">
        <f t="shared" ref="CT234" ca="1" si="1622">SUM(CT232:CT233)</f>
        <v>0</v>
      </c>
      <c r="CU234" s="49"/>
      <c r="CV234" s="84"/>
      <c r="CW234" s="71">
        <f t="shared" ref="CW234" ca="1" si="1623">SUM(CW232:CW233)</f>
        <v>0</v>
      </c>
      <c r="CX234" s="49"/>
      <c r="CY234" s="84"/>
      <c r="CZ234" s="71">
        <f t="shared" ref="CZ234" ca="1" si="1624">SUM(CZ232:CZ233)</f>
        <v>0</v>
      </c>
      <c r="DA234" s="49"/>
      <c r="DB234" s="84"/>
      <c r="DC234" s="71">
        <f t="shared" ref="DC234" ca="1" si="1625">SUM(DC232:DC233)</f>
        <v>0</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0</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0</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abSelected="1"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358</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2</v>
      </c>
      <c r="K5" s="92" cm="1">
        <f t="array" aca="1" ref="K5" ca="1">IFERROR(INDEX(Rango_Admin_Clas_Total,K$2,MATCH($A5,Rango_Admin_Clas_Primera,0)+1),"-")</f>
        <v>30</v>
      </c>
      <c r="L5" s="92" cm="1">
        <f t="array" aca="1" ref="L5" ca="1">IFERROR(INDEX(Rango_Admin_Clas_Total,L$2,MATCH($A5,Rango_Admin_Clas_Primera,0)+1),"-")</f>
        <v>3</v>
      </c>
      <c r="M5" s="92" cm="1">
        <f t="array" aca="1" ref="M5" ca="1">IFERROR(INDEX(Rango_Admin_Clas_Total,M$2,MATCH($A5,Rango_Admin_Clas_Primera,0)+1),"-")</f>
        <v>20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349</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3</v>
      </c>
      <c r="K6" s="92" cm="1">
        <f t="array" aca="1" ref="K6" ca="1">IFERROR(INDEX(Rango_Admin_Clas_Total,K$2,MATCH($A6,Rango_Admin_Clas_Primera,0)+1),"-")</f>
        <v>30</v>
      </c>
      <c r="L6" s="92" cm="1">
        <f t="array" aca="1" ref="L6" ca="1">IFERROR(INDEX(Rango_Admin_Clas_Total,L$2,MATCH($A6,Rango_Admin_Clas_Primera,0)+1),"-")</f>
        <v>5</v>
      </c>
      <c r="M6" s="92" cm="1">
        <f t="array" aca="1" ref="M6" ca="1">IFERROR(INDEX(Rango_Admin_Clas_Total,M$2,MATCH($A6,Rango_Admin_Clas_Primera,0)+1),"-")</f>
        <v>20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338</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1</v>
      </c>
      <c r="K7" s="92" cm="1">
        <f t="array" aca="1" ref="K7" ca="1">IFERROR(INDEX(Rango_Admin_Clas_Total,K$2,MATCH($A7,Rango_Admin_Clas_Primera,0)+1),"-")</f>
        <v>30</v>
      </c>
      <c r="L7" s="92" cm="1">
        <f t="array" aca="1" ref="L7" ca="1">IFERROR(INDEX(Rango_Admin_Clas_Total,L$2,MATCH($A7,Rango_Admin_Clas_Primera,0)+1),"-")</f>
        <v>2</v>
      </c>
      <c r="M7" s="92" cm="1">
        <f t="array" aca="1" ref="M7" ca="1">IFERROR(INDEX(Rango_Admin_Clas_Total,M$2,MATCH($A7,Rango_Admin_Clas_Primera,0)+1),"-")</f>
        <v>15</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333</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44</v>
      </c>
      <c r="J8" s="92" cm="1">
        <f t="array" aca="1" ref="J8" ca="1">IFERROR(INDEX(Rango_Admin_Clas_Total,J$2,MATCH($A8,Rango_Admin_Clas_Primera,0)+1),"-")</f>
        <v>4</v>
      </c>
      <c r="K8" s="92" cm="1">
        <f t="array" aca="1" ref="K8" ca="1">IFERROR(INDEX(Rango_Admin_Clas_Total,K$2,MATCH($A8,Rango_Admin_Clas_Primera,0)+1),"-")</f>
        <v>25</v>
      </c>
      <c r="L8" s="92" cm="1">
        <f t="array" aca="1" ref="L8" ca="1">IFERROR(INDEX(Rango_Admin_Clas_Total,L$2,MATCH($A8,Rango_Admin_Clas_Primera,0)+1),"-")</f>
        <v>4</v>
      </c>
      <c r="M8" s="92" cm="1">
        <f t="array" aca="1" ref="M8" ca="1">IFERROR(INDEX(Rango_Admin_Clas_Total,M$2,MATCH($A8,Rango_Admin_Clas_Primera,0)+1),"-")</f>
        <v>15</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Kurtischamp</v>
      </c>
      <c r="D9" s="91">
        <f ca="1">IFERROR(HLOOKUP(A9,Rango_Admin_Clas,4,FALSE),"-")</f>
        <v>332</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4</v>
      </c>
      <c r="I9" s="92" cm="1">
        <f t="array" aca="1" ref="I9" ca="1">IFERROR(INDEX(Rango_Admin_Clas_Total,I$2,MATCH($A9,Rango_Admin_Clas_Primera,0)+1),"-")</f>
        <v>48</v>
      </c>
      <c r="J9" s="92" cm="1">
        <f t="array" aca="1" ref="J9" ca="1">IFERROR(INDEX(Rango_Admin_Clas_Total,J$2,MATCH($A9,Rango_Admin_Clas_Primera,0)+1),"-")</f>
        <v>3</v>
      </c>
      <c r="K9" s="92" cm="1">
        <f t="array" aca="1" ref="K9" ca="1">IFERROR(INDEX(Rango_Admin_Clas_Total,K$2,MATCH($A9,Rango_Admin_Clas_Primera,0)+1),"-")</f>
        <v>30</v>
      </c>
      <c r="L9" s="92" cm="1">
        <f t="array" aca="1" ref="L9" ca="1">IFERROR(INDEX(Rango_Admin_Clas_Total,L$2,MATCH($A9,Rango_Admin_Clas_Primera,0)+1),"-")</f>
        <v>8</v>
      </c>
      <c r="M9" s="92" cm="1">
        <f t="array" aca="1" ref="M9" ca="1">IFERROR(INDEX(Rango_Admin_Clas_Total,M$2,MATCH($A9,Rango_Admin_Clas_Primera,0)+1),"-")</f>
        <v>15</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KIRICOCHO</v>
      </c>
      <c r="D10" s="91">
        <f ca="1">IFERROR(HLOOKUP(A10,Rango_Admin_Clas,4,FALSE),"-")</f>
        <v>325</v>
      </c>
      <c r="E10" s="92" cm="1">
        <f t="array" aca="1" ref="E10" ca="1">IFERROR(INDEX(Rango_Admin_Clas_Total,E$2,MATCH($A10,Rango_Admin_Clas_Primera,0)+1),"-")</f>
        <v>80</v>
      </c>
      <c r="F10" s="92" cm="1">
        <f t="array" aca="1" ref="F10" ca="1">IFERROR(INDEX(Rango_Admin_Clas_Total,F$2,MATCH($A10,Rango_Admin_Clas_Primera,0)+1),"-")</f>
        <v>62</v>
      </c>
      <c r="G10" s="92" cm="1">
        <f t="array" aca="1" ref="G10" ca="1">IFERROR(INDEX(Rango_Admin_Clas_Total,G$2,MATCH($A10,Rango_Admin_Clas_Primera,0)+1),"-")</f>
        <v>78</v>
      </c>
      <c r="H10" s="92" cm="1">
        <f t="array" aca="1" ref="H10" ca="1">IFERROR(INDEX(Rango_Admin_Clas_Total,H$2,MATCH($A10,Rango_Admin_Clas_Primera,0)+1),"-")</f>
        <v>7</v>
      </c>
      <c r="I10" s="92" cm="1">
        <f t="array" aca="1" ref="I10" ca="1">IFERROR(INDEX(Rango_Admin_Clas_Total,I$2,MATCH($A10,Rango_Admin_Clas_Primera,0)+1),"-")</f>
        <v>52</v>
      </c>
      <c r="J10" s="92" cm="1">
        <f t="array" aca="1" ref="J10" ca="1">IFERROR(INDEX(Rango_Admin_Clas_Total,J$2,MATCH($A10,Rango_Admin_Clas_Primera,0)+1),"-")</f>
        <v>3</v>
      </c>
      <c r="K10" s="92" cm="1">
        <f t="array" aca="1" ref="K10" ca="1">IFERROR(INDEX(Rango_Admin_Clas_Total,K$2,MATCH($A10,Rango_Admin_Clas_Primera,0)+1),"-")</f>
        <v>30</v>
      </c>
      <c r="L10" s="92" cm="1">
        <f t="array" aca="1" ref="L10" ca="1">IFERROR(INDEX(Rango_Admin_Clas_Total,L$2,MATCH($A10,Rango_Admin_Clas_Primera,0)+1),"-")</f>
        <v>3</v>
      </c>
      <c r="M10" s="92" cm="1">
        <f t="array" aca="1" ref="M10" ca="1">IFERROR(INDEX(Rango_Admin_Clas_Total,M$2,MATCH($A10,Rango_Admin_Clas_Primera,0)+1),"-")</f>
        <v>10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Pastor</v>
      </c>
      <c r="D11" s="91">
        <f ca="1">IFERROR(HLOOKUP(A11,Rango_Admin_Clas,4,FALSE),"-")</f>
        <v>321</v>
      </c>
      <c r="E11" s="92" cm="1">
        <f t="array" aca="1" ref="E11" ca="1">IFERROR(INDEX(Rango_Admin_Clas_Total,E$2,MATCH($A11,Rango_Admin_Clas_Primera,0)+1),"-")</f>
        <v>70</v>
      </c>
      <c r="F11" s="92" cm="1">
        <f t="array" aca="1" ref="F11" ca="1">IFERROR(INDEX(Rango_Admin_Clas_Total,F$2,MATCH($A11,Rango_Admin_Clas_Primera,0)+1),"-")</f>
        <v>64</v>
      </c>
      <c r="G11" s="92" cm="1">
        <f t="array" aca="1" ref="G11" ca="1">IFERROR(INDEX(Rango_Admin_Clas_Total,G$2,MATCH($A11,Rango_Admin_Clas_Primera,0)+1),"-")</f>
        <v>75</v>
      </c>
      <c r="H11" s="92" cm="1">
        <f t="array" aca="1" ref="H11" ca="1">IFERROR(INDEX(Rango_Admin_Clas_Total,H$2,MATCH($A11,Rango_Admin_Clas_Primera,0)+1),"-")</f>
        <v>2</v>
      </c>
      <c r="I11" s="92" cm="1">
        <f t="array" aca="1" ref="I11" ca="1">IFERROR(INDEX(Rango_Admin_Clas_Total,I$2,MATCH($A11,Rango_Admin_Clas_Primera,0)+1),"-")</f>
        <v>56</v>
      </c>
      <c r="J11" s="92" cm="1">
        <f t="array" aca="1" ref="J11" ca="1">IFERROR(INDEX(Rango_Admin_Clas_Total,J$2,MATCH($A11,Rango_Admin_Clas_Primera,0)+1),"-")</f>
        <v>7</v>
      </c>
      <c r="K11" s="92" cm="1">
        <f t="array" aca="1" ref="K11" ca="1">IFERROR(INDEX(Rango_Admin_Clas_Total,K$2,MATCH($A11,Rango_Admin_Clas_Primera,0)+1),"-")</f>
        <v>30</v>
      </c>
      <c r="L11" s="92" cm="1">
        <f t="array" aca="1" ref="L11" ca="1">IFERROR(INDEX(Rango_Admin_Clas_Total,L$2,MATCH($A11,Rango_Admin_Clas_Primera,0)+1),"-")</f>
        <v>2</v>
      </c>
      <c r="M11" s="92" cm="1">
        <f t="array" aca="1" ref="M11" ca="1">IFERROR(INDEX(Rango_Admin_Clas_Total,M$2,MATCH($A11,Rango_Admin_Clas_Primera,0)+1),"-")</f>
        <v>15</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Miguel San Martín</v>
      </c>
      <c r="D12" s="91">
        <f ca="1">IFERROR(HLOOKUP(A12,Rango_Admin_Clas,4,FALSE),"-")</f>
        <v>319</v>
      </c>
      <c r="E12" s="92" cm="1">
        <f t="array" aca="1" ref="E12" ca="1">IFERROR(INDEX(Rango_Admin_Clas_Total,E$2,MATCH($A12,Rango_Admin_Clas_Primera,0)+1),"-")</f>
        <v>74</v>
      </c>
      <c r="F12" s="92" cm="1">
        <f t="array" aca="1" ref="F12" ca="1">IFERROR(INDEX(Rango_Admin_Clas_Total,F$2,MATCH($A12,Rango_Admin_Clas_Primera,0)+1),"-")</f>
        <v>58</v>
      </c>
      <c r="G12" s="92" cm="1">
        <f t="array" aca="1" ref="G12" ca="1">IFERROR(INDEX(Rango_Admin_Clas_Total,G$2,MATCH($A12,Rango_Admin_Clas_Primera,0)+1),"-")</f>
        <v>81</v>
      </c>
      <c r="H12" s="92" cm="1">
        <f t="array" aca="1" ref="H12" ca="1">IFERROR(INDEX(Rango_Admin_Clas_Total,H$2,MATCH($A12,Rango_Admin_Clas_Primera,0)+1),"-")</f>
        <v>7</v>
      </c>
      <c r="I12" s="92" cm="1">
        <f t="array" aca="1" ref="I12" ca="1">IFERROR(INDEX(Rango_Admin_Clas_Total,I$2,MATCH($A12,Rango_Admin_Clas_Primera,0)+1),"-")</f>
        <v>48</v>
      </c>
      <c r="J12" s="92" cm="1">
        <f t="array" aca="1" ref="J12" ca="1">IFERROR(INDEX(Rango_Admin_Clas_Total,J$2,MATCH($A12,Rango_Admin_Clas_Primera,0)+1),"-")</f>
        <v>2</v>
      </c>
      <c r="K12" s="92" cm="1">
        <f t="array" aca="1" ref="K12" ca="1">IFERROR(INDEX(Rango_Admin_Clas_Total,K$2,MATCH($A12,Rango_Admin_Clas_Primera,0)+1),"-")</f>
        <v>30</v>
      </c>
      <c r="L12" s="92" cm="1">
        <f t="array" aca="1" ref="L12" ca="1">IFERROR(INDEX(Rango_Admin_Clas_Total,L$2,MATCH($A12,Rango_Admin_Clas_Primera,0)+1),"-")</f>
        <v>4</v>
      </c>
      <c r="M12" s="92" cm="1">
        <f t="array" aca="1" ref="M12" ca="1">IFERROR(INDEX(Rango_Admin_Clas_Total,M$2,MATCH($A12,Rango_Admin_Clas_Primera,0)+1),"-")</f>
        <v>15</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JCU</v>
      </c>
      <c r="D13" s="91">
        <f ca="1">IFERROR(HLOOKUP(A13,Rango_Admin_Clas,4,FALSE),"-")</f>
        <v>318</v>
      </c>
      <c r="E13" s="92" cm="1">
        <f t="array" aca="1" ref="E13" ca="1">IFERROR(INDEX(Rango_Admin_Clas_Total,E$2,MATCH($A13,Rango_Admin_Clas_Primera,0)+1),"-")</f>
        <v>75</v>
      </c>
      <c r="F13" s="92" cm="1">
        <f t="array" aca="1" ref="F13" ca="1">IFERROR(INDEX(Rango_Admin_Clas_Total,F$2,MATCH($A13,Rango_Admin_Clas_Primera,0)+1),"-")</f>
        <v>66</v>
      </c>
      <c r="G13" s="92" cm="1">
        <f t="array" aca="1" ref="G13" ca="1">IFERROR(INDEX(Rango_Admin_Clas_Total,G$2,MATCH($A13,Rango_Admin_Clas_Primera,0)+1),"-")</f>
        <v>72</v>
      </c>
      <c r="H13" s="92" cm="1">
        <f t="array" aca="1" ref="H13" ca="1">IFERROR(INDEX(Rango_Admin_Clas_Total,H$2,MATCH($A13,Rango_Admin_Clas_Primera,0)+1),"-")</f>
        <v>5</v>
      </c>
      <c r="I13" s="92" cm="1">
        <f t="array" aca="1" ref="I13" ca="1">IFERROR(INDEX(Rango_Admin_Clas_Total,I$2,MATCH($A13,Rango_Admin_Clas_Primera,0)+1),"-")</f>
        <v>52</v>
      </c>
      <c r="J13" s="92" cm="1">
        <f t="array" aca="1" ref="J13" ca="1">IFERROR(INDEX(Rango_Admin_Clas_Total,J$2,MATCH($A13,Rango_Admin_Clas_Primera,0)+1),"-")</f>
        <v>2</v>
      </c>
      <c r="K13" s="92" cm="1">
        <f t="array" aca="1" ref="K13" ca="1">IFERROR(INDEX(Rango_Admin_Clas_Total,K$2,MATCH($A13,Rango_Admin_Clas_Primera,0)+1),"-")</f>
        <v>25</v>
      </c>
      <c r="L13" s="92" cm="1">
        <f t="array" aca="1" ref="L13" ca="1">IFERROR(INDEX(Rango_Admin_Clas_Total,L$2,MATCH($A13,Rango_Admin_Clas_Primera,0)+1),"-")</f>
        <v>1</v>
      </c>
      <c r="M13" s="92" cm="1">
        <f t="array" aca="1" ref="M13" ca="1">IFERROR(INDEX(Rango_Admin_Clas_Total,M$2,MATCH($A13,Rango_Admin_Clas_Primera,0)+1),"-")</f>
        <v>20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Jaime Lafuente</v>
      </c>
      <c r="D14" s="91">
        <f ca="1">IFERROR(HLOOKUP(A14,Rango_Admin_Clas,4,FALSE),"-")</f>
        <v>316</v>
      </c>
      <c r="E14" s="92" cm="1">
        <f t="array" aca="1" ref="E14" ca="1">IFERROR(INDEX(Rango_Admin_Clas_Total,E$2,MATCH($A14,Rango_Admin_Clas_Primera,0)+1),"-")</f>
        <v>87</v>
      </c>
      <c r="F14" s="92" cm="1">
        <f t="array" aca="1" ref="F14" ca="1">IFERROR(INDEX(Rango_Admin_Clas_Total,F$2,MATCH($A14,Rango_Admin_Clas_Primera,0)+1),"-")</f>
        <v>62</v>
      </c>
      <c r="G14" s="92" cm="1">
        <f t="array" aca="1" ref="G14" ca="1">IFERROR(INDEX(Rango_Admin_Clas_Total,G$2,MATCH($A14,Rango_Admin_Clas_Primera,0)+1),"-")</f>
        <v>75</v>
      </c>
      <c r="H14" s="92" cm="1">
        <f t="array" aca="1" ref="H14" ca="1">IFERROR(INDEX(Rango_Admin_Clas_Total,H$2,MATCH($A14,Rango_Admin_Clas_Primera,0)+1),"-")</f>
        <v>3</v>
      </c>
      <c r="I14" s="92" cm="1">
        <f t="array" aca="1" ref="I14" ca="1">IFERROR(INDEX(Rango_Admin_Clas_Total,I$2,MATCH($A14,Rango_Admin_Clas_Primera,0)+1),"-")</f>
        <v>48</v>
      </c>
      <c r="J14" s="92" cm="1">
        <f t="array" aca="1" ref="J14" ca="1">IFERROR(INDEX(Rango_Admin_Clas_Total,J$2,MATCH($A14,Rango_Admin_Clas_Primera,0)+1),"-")</f>
        <v>1</v>
      </c>
      <c r="K14" s="92" cm="1">
        <f t="array" aca="1" ref="K14" ca="1">IFERROR(INDEX(Rango_Admin_Clas_Total,K$2,MATCH($A14,Rango_Admin_Clas_Primera,0)+1),"-")</f>
        <v>20</v>
      </c>
      <c r="L14" s="92" cm="1">
        <f t="array" aca="1" ref="L14" ca="1">IFERROR(INDEX(Rango_Admin_Clas_Total,L$2,MATCH($A14,Rango_Admin_Clas_Primera,0)+1),"-")</f>
        <v>0</v>
      </c>
      <c r="M14" s="92" cm="1">
        <f t="array" aca="1" ref="M14" ca="1">IFERROR(INDEX(Rango_Admin_Clas_Total,M$2,MATCH($A14,Rango_Admin_Clas_Primera,0)+1),"-")</f>
        <v>20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William Hartley</v>
      </c>
      <c r="D15" s="91">
        <f ca="1">IFERROR(HLOOKUP(A15,Rango_Admin_Clas,4,FALSE),"-")</f>
        <v>315</v>
      </c>
      <c r="E15" s="92" cm="1">
        <f t="array" aca="1" ref="E15" ca="1">IFERROR(INDEX(Rango_Admin_Clas_Total,E$2,MATCH($A15,Rango_Admin_Clas_Primera,0)+1),"-")</f>
        <v>74</v>
      </c>
      <c r="F15" s="92" cm="1">
        <f t="array" aca="1" ref="F15" ca="1">IFERROR(INDEX(Rango_Admin_Clas_Total,F$2,MATCH($A15,Rango_Admin_Clas_Primera,0)+1),"-")</f>
        <v>60</v>
      </c>
      <c r="G15" s="92" cm="1">
        <f t="array" aca="1" ref="G15" ca="1">IFERROR(INDEX(Rango_Admin_Clas_Total,G$2,MATCH($A15,Rango_Admin_Clas_Primera,0)+1),"-")</f>
        <v>84</v>
      </c>
      <c r="H15" s="92" cm="1">
        <f t="array" aca="1" ref="H15" ca="1">IFERROR(INDEX(Rango_Admin_Clas_Total,H$2,MATCH($A15,Rango_Admin_Clas_Primera,0)+1),"-")</f>
        <v>1</v>
      </c>
      <c r="I15" s="92" cm="1">
        <f t="array" aca="1" ref="I15" ca="1">IFERROR(INDEX(Rango_Admin_Clas_Total,I$2,MATCH($A15,Rango_Admin_Clas_Primera,0)+1),"-")</f>
        <v>56</v>
      </c>
      <c r="J15" s="92" cm="1">
        <f t="array" aca="1" ref="J15" ca="1">IFERROR(INDEX(Rango_Admin_Clas_Total,J$2,MATCH($A15,Rango_Admin_Clas_Primera,0)+1),"-")</f>
        <v>3</v>
      </c>
      <c r="K15" s="92" cm="1">
        <f t="array" aca="1" ref="K15" ca="1">IFERROR(INDEX(Rango_Admin_Clas_Total,K$2,MATCH($A15,Rango_Admin_Clas_Primera,0)+1),"-")</f>
        <v>25</v>
      </c>
      <c r="L15" s="92" cm="1">
        <f t="array" aca="1" ref="L15" ca="1">IFERROR(INDEX(Rango_Admin_Clas_Total,L$2,MATCH($A15,Rango_Admin_Clas_Primera,0)+1),"-")</f>
        <v>2</v>
      </c>
      <c r="M15" s="92" cm="1">
        <f t="array" aca="1" ref="M15" ca="1">IFERROR(INDEX(Rango_Admin_Clas_Total,M$2,MATCH($A15,Rango_Admin_Clas_Primera,0)+1),"-")</f>
        <v>10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Alexander Schulte</v>
      </c>
      <c r="D16" s="91">
        <f ca="1">IFERROR(HLOOKUP(A16,Rango_Admin_Clas,4,FALSE),"-")</f>
        <v>314</v>
      </c>
      <c r="E16" s="92" cm="1">
        <f t="array" aca="1" ref="E16" ca="1">IFERROR(INDEX(Rango_Admin_Clas_Total,E$2,MATCH($A16,Rango_Admin_Clas_Primera,0)+1),"-")</f>
        <v>78</v>
      </c>
      <c r="F16" s="92" cm="1">
        <f t="array" aca="1" ref="F16" ca="1">IFERROR(INDEX(Rango_Admin_Clas_Total,F$2,MATCH($A16,Rango_Admin_Clas_Primera,0)+1),"-")</f>
        <v>62</v>
      </c>
      <c r="G16" s="92" cm="1">
        <f t="array" aca="1" ref="G16" ca="1">IFERROR(INDEX(Rango_Admin_Clas_Total,G$2,MATCH($A16,Rango_Admin_Clas_Primera,0)+1),"-")</f>
        <v>78</v>
      </c>
      <c r="H16" s="92" cm="1">
        <f t="array" aca="1" ref="H16" ca="1">IFERROR(INDEX(Rango_Admin_Clas_Total,H$2,MATCH($A16,Rango_Admin_Clas_Primera,0)+1),"-")</f>
        <v>5</v>
      </c>
      <c r="I16" s="92" cm="1">
        <f t="array" aca="1" ref="I16" ca="1">IFERROR(INDEX(Rango_Admin_Clas_Total,I$2,MATCH($A16,Rango_Admin_Clas_Primera,0)+1),"-")</f>
        <v>48</v>
      </c>
      <c r="J16" s="92" cm="1">
        <f t="array" aca="1" ref="J16" ca="1">IFERROR(INDEX(Rango_Admin_Clas_Total,J$2,MATCH($A16,Rango_Admin_Clas_Primera,0)+1),"-")</f>
        <v>2</v>
      </c>
      <c r="K16" s="92" cm="1">
        <f t="array" aca="1" ref="K16" ca="1">IFERROR(INDEX(Rango_Admin_Clas_Total,K$2,MATCH($A16,Rango_Admin_Clas_Primera,0)+1),"-")</f>
        <v>25</v>
      </c>
      <c r="L16" s="92" cm="1">
        <f t="array" aca="1" ref="L16" ca="1">IFERROR(INDEX(Rango_Admin_Clas_Total,L$2,MATCH($A16,Rango_Admin_Clas_Primera,0)+1),"-")</f>
        <v>1</v>
      </c>
      <c r="M16" s="92" cm="1">
        <f t="array" aca="1" ref="M16" ca="1">IFERROR(INDEX(Rango_Admin_Clas_Total,M$2,MATCH($A16,Rango_Admin_Clas_Primera,0)+1),"-")</f>
        <v>15</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Lucas Oriol</v>
      </c>
      <c r="D17" s="91">
        <f ca="1">IFERROR(HLOOKUP(A17,Rango_Admin_Clas,4,FALSE),"-")</f>
        <v>311</v>
      </c>
      <c r="E17" s="92" cm="1">
        <f t="array" aca="1" ref="E17" ca="1">IFERROR(INDEX(Rango_Admin_Clas_Total,E$2,MATCH($A17,Rango_Admin_Clas_Primera,0)+1),"-")</f>
        <v>83</v>
      </c>
      <c r="F17" s="92" cm="1">
        <f t="array" aca="1" ref="F17" ca="1">IFERROR(INDEX(Rango_Admin_Clas_Total,F$2,MATCH($A17,Rango_Admin_Clas_Primera,0)+1),"-")</f>
        <v>56</v>
      </c>
      <c r="G17" s="92" cm="1">
        <f t="array" aca="1" ref="G17" ca="1">IFERROR(INDEX(Rango_Admin_Clas_Total,G$2,MATCH($A17,Rango_Admin_Clas_Primera,0)+1),"-")</f>
        <v>72</v>
      </c>
      <c r="H17" s="92" cm="1">
        <f t="array" aca="1" ref="H17" ca="1">IFERROR(INDEX(Rango_Admin_Clas_Total,H$2,MATCH($A17,Rango_Admin_Clas_Primera,0)+1),"-")</f>
        <v>9</v>
      </c>
      <c r="I17" s="92" cm="1">
        <f t="array" aca="1" ref="I17" ca="1">IFERROR(INDEX(Rango_Admin_Clas_Total,I$2,MATCH($A17,Rango_Admin_Clas_Primera,0)+1),"-")</f>
        <v>44</v>
      </c>
      <c r="J17" s="92" cm="1">
        <f t="array" aca="1" ref="J17" ca="1">IFERROR(INDEX(Rango_Admin_Clas_Total,J$2,MATCH($A17,Rango_Admin_Clas_Primera,0)+1),"-")</f>
        <v>3</v>
      </c>
      <c r="K17" s="92" cm="1">
        <f t="array" aca="1" ref="K17" ca="1">IFERROR(INDEX(Rango_Admin_Clas_Total,K$2,MATCH($A17,Rango_Admin_Clas_Primera,0)+1),"-")</f>
        <v>25</v>
      </c>
      <c r="L17" s="92" cm="1">
        <f t="array" aca="1" ref="L17" ca="1">IFERROR(INDEX(Rango_Admin_Clas_Total,L$2,MATCH($A17,Rango_Admin_Clas_Primera,0)+1),"-")</f>
        <v>4</v>
      </c>
      <c r="M17" s="92" cm="1">
        <f t="array" aca="1" ref="M17" ca="1">IFERROR(INDEX(Rango_Admin_Clas_Total,M$2,MATCH($A17,Rango_Admin_Clas_Primera,0)+1),"-")</f>
        <v>15</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MURO 204</v>
      </c>
      <c r="D18" s="91">
        <f ca="1">IFERROR(HLOOKUP(A18,Rango_Admin_Clas,4,FALSE),"-")</f>
        <v>307</v>
      </c>
      <c r="E18" s="92" cm="1">
        <f t="array" aca="1" ref="E18" ca="1">IFERROR(INDEX(Rango_Admin_Clas_Total,E$2,MATCH($A18,Rango_Admin_Clas_Primera,0)+1),"-")</f>
        <v>77</v>
      </c>
      <c r="F18" s="92" cm="1">
        <f t="array" aca="1" ref="F18" ca="1">IFERROR(INDEX(Rango_Admin_Clas_Total,F$2,MATCH($A18,Rango_Admin_Clas_Primera,0)+1),"-")</f>
        <v>62</v>
      </c>
      <c r="G18" s="92" cm="1">
        <f t="array" aca="1" ref="G18" ca="1">IFERROR(INDEX(Rango_Admin_Clas_Total,G$2,MATCH($A18,Rango_Admin_Clas_Primera,0)+1),"-")</f>
        <v>75</v>
      </c>
      <c r="H18" s="92" cm="1">
        <f t="array" aca="1" ref="H18" ca="1">IFERROR(INDEX(Rango_Admin_Clas_Total,H$2,MATCH($A18,Rango_Admin_Clas_Primera,0)+1),"-")</f>
        <v>6</v>
      </c>
      <c r="I18" s="92" cm="1">
        <f t="array" aca="1" ref="I18" ca="1">IFERROR(INDEX(Rango_Admin_Clas_Total,I$2,MATCH($A18,Rango_Admin_Clas_Primera,0)+1),"-")</f>
        <v>48</v>
      </c>
      <c r="J18" s="92" cm="1">
        <f t="array" aca="1" ref="J18" ca="1">IFERROR(INDEX(Rango_Admin_Clas_Total,J$2,MATCH($A18,Rango_Admin_Clas_Primera,0)+1),"-")</f>
        <v>2</v>
      </c>
      <c r="K18" s="92" cm="1">
        <f t="array" aca="1" ref="K18" ca="1">IFERROR(INDEX(Rango_Admin_Clas_Total,K$2,MATCH($A18,Rango_Admin_Clas_Primera,0)+1),"-")</f>
        <v>25</v>
      </c>
      <c r="L18" s="92" cm="1">
        <f t="array" aca="1" ref="L18" ca="1">IFERROR(INDEX(Rango_Admin_Clas_Total,L$2,MATCH($A18,Rango_Admin_Clas_Primera,0)+1),"-")</f>
        <v>2</v>
      </c>
      <c r="M18" s="92" cm="1">
        <f t="array" aca="1" ref="M18" ca="1">IFERROR(INDEX(Rango_Admin_Clas_Total,M$2,MATCH($A18,Rango_Admin_Clas_Primera,0)+1),"-")</f>
        <v>10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Alejandro Lafuente</v>
      </c>
      <c r="D19" s="91">
        <f ca="1">IFERROR(HLOOKUP(A19,Rango_Admin_Clas,4,FALSE),"-")</f>
        <v>303</v>
      </c>
      <c r="E19" s="92" cm="1">
        <f t="array" aca="1" ref="E19" ca="1">IFERROR(INDEX(Rango_Admin_Clas_Total,E$2,MATCH($A19,Rango_Admin_Clas_Primera,0)+1),"-")</f>
        <v>75</v>
      </c>
      <c r="F19" s="92" cm="1">
        <f t="array" aca="1" ref="F19" ca="1">IFERROR(INDEX(Rango_Admin_Clas_Total,F$2,MATCH($A19,Rango_Admin_Clas_Primera,0)+1),"-")</f>
        <v>64</v>
      </c>
      <c r="G19" s="92" cm="1">
        <f t="array" aca="1" ref="G19" ca="1">IFERROR(INDEX(Rango_Admin_Clas_Total,G$2,MATCH($A19,Rango_Admin_Clas_Primera,0)+1),"-")</f>
        <v>78</v>
      </c>
      <c r="H19" s="92" cm="1">
        <f t="array" aca="1" ref="H19" ca="1">IFERROR(INDEX(Rango_Admin_Clas_Total,H$2,MATCH($A19,Rango_Admin_Clas_Primera,0)+1),"-")</f>
        <v>3</v>
      </c>
      <c r="I19" s="92" cm="1">
        <f t="array" aca="1" ref="I19" ca="1">IFERROR(INDEX(Rango_Admin_Clas_Total,I$2,MATCH($A19,Rango_Admin_Clas_Primera,0)+1),"-")</f>
        <v>44</v>
      </c>
      <c r="J19" s="92" cm="1">
        <f t="array" aca="1" ref="J19" ca="1">IFERROR(INDEX(Rango_Admin_Clas_Total,J$2,MATCH($A19,Rango_Admin_Clas_Primera,0)+1),"-")</f>
        <v>3</v>
      </c>
      <c r="K19" s="92" cm="1">
        <f t="array" aca="1" ref="K19" ca="1">IFERROR(INDEX(Rango_Admin_Clas_Total,K$2,MATCH($A19,Rango_Admin_Clas_Primera,0)+1),"-")</f>
        <v>25</v>
      </c>
      <c r="L19" s="92" cm="1">
        <f t="array" aca="1" ref="L19" ca="1">IFERROR(INDEX(Rango_Admin_Clas_Total,L$2,MATCH($A19,Rango_Admin_Clas_Primera,0)+1),"-")</f>
        <v>1</v>
      </c>
      <c r="M19" s="92" cm="1">
        <f t="array" aca="1" ref="M19" ca="1">IFERROR(INDEX(Rango_Admin_Clas_Total,M$2,MATCH($A19,Rango_Admin_Clas_Primera,0)+1),"-")</f>
        <v>10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BeliBeltrán</v>
      </c>
      <c r="D20" s="91">
        <f ca="1">IFERROR(HLOOKUP(A20,Rango_Admin_Clas,4,FALSE),"-")</f>
        <v>302</v>
      </c>
      <c r="E20" s="92" cm="1">
        <f t="array" aca="1" ref="E20" ca="1">IFERROR(INDEX(Rango_Admin_Clas_Total,E$2,MATCH($A20,Rango_Admin_Clas_Primera,0)+1),"-")</f>
        <v>58</v>
      </c>
      <c r="F20" s="92" cm="1">
        <f t="array" aca="1" ref="F20" ca="1">IFERROR(INDEX(Rango_Admin_Clas_Total,F$2,MATCH($A20,Rango_Admin_Clas_Primera,0)+1),"-")</f>
        <v>54</v>
      </c>
      <c r="G20" s="92" cm="1">
        <f t="array" aca="1" ref="G20" ca="1">IFERROR(INDEX(Rango_Admin_Clas_Total,G$2,MATCH($A20,Rango_Admin_Clas_Primera,0)+1),"-")</f>
        <v>72</v>
      </c>
      <c r="H20" s="92" cm="1">
        <f t="array" aca="1" ref="H20" ca="1">IFERROR(INDEX(Rango_Admin_Clas_Total,H$2,MATCH($A20,Rango_Admin_Clas_Primera,0)+1),"-")</f>
        <v>5</v>
      </c>
      <c r="I20" s="92" cm="1">
        <f t="array" aca="1" ref="I20" ca="1">IFERROR(INDEX(Rango_Admin_Clas_Total,I$2,MATCH($A20,Rango_Admin_Clas_Primera,0)+1),"-")</f>
        <v>48</v>
      </c>
      <c r="J20" s="92" cm="1">
        <f t="array" aca="1" ref="J20" ca="1">IFERROR(INDEX(Rango_Admin_Clas_Total,J$2,MATCH($A20,Rango_Admin_Clas_Primera,0)+1),"-")</f>
        <v>4</v>
      </c>
      <c r="K20" s="92" cm="1">
        <f t="array" aca="1" ref="K20" ca="1">IFERROR(INDEX(Rango_Admin_Clas_Total,K$2,MATCH($A20,Rango_Admin_Clas_Primera,0)+1),"-")</f>
        <v>35</v>
      </c>
      <c r="L20" s="92" cm="1">
        <f t="array" aca="1" ref="L20" ca="1">IFERROR(INDEX(Rango_Admin_Clas_Total,L$2,MATCH($A20,Rango_Admin_Clas_Primera,0)+1),"-")</f>
        <v>6</v>
      </c>
      <c r="M20" s="92" cm="1">
        <f t="array" aca="1" ref="M20" ca="1">IFERROR(INDEX(Rango_Admin_Clas_Total,M$2,MATCH($A20,Rango_Admin_Clas_Primera,0)+1),"-")</f>
        <v>20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Joserra</v>
      </c>
      <c r="D21" s="91">
        <f ca="1">IFERROR(HLOOKUP(A21,Rango_Admin_Clas,4,FALSE),"-")</f>
        <v>298</v>
      </c>
      <c r="E21" s="92" cm="1">
        <f t="array" aca="1" ref="E21" ca="1">IFERROR(INDEX(Rango_Admin_Clas_Total,E$2,MATCH($A21,Rango_Admin_Clas_Primera,0)+1),"-")</f>
        <v>72</v>
      </c>
      <c r="F21" s="92" cm="1">
        <f t="array" aca="1" ref="F21" ca="1">IFERROR(INDEX(Rango_Admin_Clas_Total,F$2,MATCH($A21,Rango_Admin_Clas_Primera,0)+1),"-")</f>
        <v>62</v>
      </c>
      <c r="G21" s="92" cm="1">
        <f t="array" aca="1" ref="G21" ca="1">IFERROR(INDEX(Rango_Admin_Clas_Total,G$2,MATCH($A21,Rango_Admin_Clas_Primera,0)+1),"-")</f>
        <v>78</v>
      </c>
      <c r="H21" s="92" cm="1">
        <f t="array" aca="1" ref="H21" ca="1">IFERROR(INDEX(Rango_Admin_Clas_Total,H$2,MATCH($A21,Rango_Admin_Clas_Primera,0)+1),"-")</f>
        <v>7</v>
      </c>
      <c r="I21" s="92" cm="1">
        <f t="array" aca="1" ref="I21" ca="1">IFERROR(INDEX(Rango_Admin_Clas_Total,I$2,MATCH($A21,Rango_Admin_Clas_Primera,0)+1),"-")</f>
        <v>48</v>
      </c>
      <c r="J21" s="92" cm="1">
        <f t="array" aca="1" ref="J21" ca="1">IFERROR(INDEX(Rango_Admin_Clas_Total,J$2,MATCH($A21,Rango_Admin_Clas_Primera,0)+1),"-")</f>
        <v>1</v>
      </c>
      <c r="K21" s="92" cm="1">
        <f t="array" aca="1" ref="K21" ca="1">IFERROR(INDEX(Rango_Admin_Clas_Total,K$2,MATCH($A21,Rango_Admin_Clas_Primera,0)+1),"-")</f>
        <v>20</v>
      </c>
      <c r="L21" s="92" cm="1">
        <f t="array" aca="1" ref="L21" ca="1">IFERROR(INDEX(Rango_Admin_Clas_Total,L$2,MATCH($A21,Rango_Admin_Clas_Primera,0)+1),"-")</f>
        <v>0</v>
      </c>
      <c r="M21" s="92" cm="1">
        <f t="array" aca="1" ref="M21" ca="1">IFERROR(INDEX(Rango_Admin_Clas_Total,M$2,MATCH($A21,Rango_Admin_Clas_Primera,0)+1),"-")</f>
        <v>10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Antonio del Ojo</v>
      </c>
      <c r="D22" s="91">
        <f ca="1">IFERROR(HLOOKUP(A22,Rango_Admin_Clas,4,FALSE),"-")</f>
        <v>298</v>
      </c>
      <c r="E22" s="92" cm="1">
        <f t="array" aca="1" ref="E22" ca="1">IFERROR(INDEX(Rango_Admin_Clas_Total,E$2,MATCH($A22,Rango_Admin_Clas_Primera,0)+1),"-")</f>
        <v>81</v>
      </c>
      <c r="F22" s="92" cm="1">
        <f t="array" aca="1" ref="F22" ca="1">IFERROR(INDEX(Rango_Admin_Clas_Total,F$2,MATCH($A22,Rango_Admin_Clas_Primera,0)+1),"-")</f>
        <v>50</v>
      </c>
      <c r="G22" s="92" cm="1">
        <f t="array" aca="1" ref="G22" ca="1">IFERROR(INDEX(Rango_Admin_Clas_Total,G$2,MATCH($A22,Rango_Admin_Clas_Primera,0)+1),"-")</f>
        <v>75</v>
      </c>
      <c r="H22" s="92" cm="1">
        <f t="array" aca="1" ref="H22" ca="1">IFERROR(INDEX(Rango_Admin_Clas_Total,H$2,MATCH($A22,Rango_Admin_Clas_Primera,0)+1),"-")</f>
        <v>5</v>
      </c>
      <c r="I22" s="92" cm="1">
        <f t="array" aca="1" ref="I22" ca="1">IFERROR(INDEX(Rango_Admin_Clas_Total,I$2,MATCH($A22,Rango_Admin_Clas_Primera,0)+1),"-")</f>
        <v>44</v>
      </c>
      <c r="J22" s="92" cm="1">
        <f t="array" aca="1" ref="J22" ca="1">IFERROR(INDEX(Rango_Admin_Clas_Total,J$2,MATCH($A22,Rango_Admin_Clas_Primera,0)+1),"-")</f>
        <v>2</v>
      </c>
      <c r="K22" s="92" cm="1">
        <f t="array" aca="1" ref="K22" ca="1">IFERROR(INDEX(Rango_Admin_Clas_Total,K$2,MATCH($A22,Rango_Admin_Clas_Primera,0)+1),"-")</f>
        <v>25</v>
      </c>
      <c r="L22" s="92" cm="1">
        <f t="array" aca="1" ref="L22" ca="1">IFERROR(INDEX(Rango_Admin_Clas_Total,L$2,MATCH($A22,Rango_Admin_Clas_Primera,0)+1),"-")</f>
        <v>1</v>
      </c>
      <c r="M22" s="92" cm="1">
        <f t="array" aca="1" ref="M22" ca="1">IFERROR(INDEX(Rango_Admin_Clas_Total,M$2,MATCH($A22,Rango_Admin_Clas_Primera,0)+1),"-")</f>
        <v>15</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Admin</v>
      </c>
      <c r="D23" s="91">
        <f ca="1">IFERROR(HLOOKUP(A23,Rango_Admin_Clas,4,FALSE),"-")</f>
        <v>295</v>
      </c>
      <c r="E23" s="92" cm="1">
        <f t="array" aca="1" ref="E23" ca="1">IFERROR(INDEX(Rango_Admin_Clas_Total,E$2,MATCH($A23,Rango_Admin_Clas_Primera,0)+1),"-")</f>
        <v>63</v>
      </c>
      <c r="F23" s="92" cm="1">
        <f t="array" aca="1" ref="F23" ca="1">IFERROR(INDEX(Rango_Admin_Clas_Total,F$2,MATCH($A23,Rango_Admin_Clas_Primera,0)+1),"-")</f>
        <v>62</v>
      </c>
      <c r="G23" s="92" cm="1">
        <f t="array" aca="1" ref="G23" ca="1">IFERROR(INDEX(Rango_Admin_Clas_Total,G$2,MATCH($A23,Rango_Admin_Clas_Primera,0)+1),"-")</f>
        <v>78</v>
      </c>
      <c r="H23" s="92" cm="1">
        <f t="array" aca="1" ref="H23" ca="1">IFERROR(INDEX(Rango_Admin_Clas_Total,H$2,MATCH($A23,Rango_Admin_Clas_Primera,0)+1),"-")</f>
        <v>8</v>
      </c>
      <c r="I23" s="92" cm="1">
        <f t="array" aca="1" ref="I23" ca="1">IFERROR(INDEX(Rango_Admin_Clas_Total,I$2,MATCH($A23,Rango_Admin_Clas_Primera,0)+1),"-")</f>
        <v>44</v>
      </c>
      <c r="J23" s="92" cm="1">
        <f t="array" aca="1" ref="J23" ca="1">IFERROR(INDEX(Rango_Admin_Clas_Total,J$2,MATCH($A23,Rango_Admin_Clas_Primera,0)+1),"-")</f>
        <v>5</v>
      </c>
      <c r="K23" s="92" cm="1">
        <f t="array" aca="1" ref="K23" ca="1">IFERROR(INDEX(Rango_Admin_Clas_Total,K$2,MATCH($A23,Rango_Admin_Clas_Primera,0)+1),"-")</f>
        <v>20</v>
      </c>
      <c r="L23" s="92" cm="1">
        <f t="array" aca="1" ref="L23" ca="1">IFERROR(INDEX(Rango_Admin_Clas_Total,L$2,MATCH($A23,Rango_Admin_Clas_Primera,0)+1),"-")</f>
        <v>0</v>
      </c>
      <c r="M23" s="92" cm="1">
        <f t="array" aca="1" ref="M23" ca="1">IFERROR(INDEX(Rango_Admin_Clas_Total,M$2,MATCH($A23,Rango_Admin_Clas_Primera,0)+1),"-")</f>
        <v>15</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19</v>
      </c>
      <c r="C24" s="18" t="str">
        <f ca="1">IFERROR(HLOOKUP(A24,Rango_Admin_Clas,5,FALSE),"-")</f>
        <v>Miguel Suárez-Zuloaga</v>
      </c>
      <c r="D24" s="91">
        <f ca="1">IFERROR(HLOOKUP(A24,Rango_Admin_Clas,4,FALSE),"-")</f>
        <v>295</v>
      </c>
      <c r="E24" s="92" cm="1">
        <f t="array" aca="1" ref="E24" ca="1">IFERROR(INDEX(Rango_Admin_Clas_Total,E$2,MATCH($A24,Rango_Admin_Clas_Primera,0)+1),"-")</f>
        <v>78</v>
      </c>
      <c r="F24" s="92" cm="1">
        <f t="array" aca="1" ref="F24" ca="1">IFERROR(INDEX(Rango_Admin_Clas_Total,F$2,MATCH($A24,Rango_Admin_Clas_Primera,0)+1),"-")</f>
        <v>56</v>
      </c>
      <c r="G24" s="92" cm="1">
        <f t="array" aca="1" ref="G24" ca="1">IFERROR(INDEX(Rango_Admin_Clas_Total,G$2,MATCH($A24,Rango_Admin_Clas_Primera,0)+1),"-")</f>
        <v>78</v>
      </c>
      <c r="H24" s="92" cm="1">
        <f t="array" aca="1" ref="H24" ca="1">IFERROR(INDEX(Rango_Admin_Clas_Total,H$2,MATCH($A24,Rango_Admin_Clas_Primera,0)+1),"-")</f>
        <v>9</v>
      </c>
      <c r="I24" s="92" cm="1">
        <f t="array" aca="1" ref="I24" ca="1">IFERROR(INDEX(Rango_Admin_Clas_Total,I$2,MATCH($A24,Rango_Admin_Clas_Primera,0)+1),"-")</f>
        <v>44</v>
      </c>
      <c r="J24" s="92" cm="1">
        <f t="array" aca="1" ref="J24" ca="1">IFERROR(INDEX(Rango_Admin_Clas_Total,J$2,MATCH($A24,Rango_Admin_Clas_Primera,0)+1),"-")</f>
        <v>0</v>
      </c>
      <c r="K24" s="92" cm="1">
        <f t="array" aca="1" ref="K24" ca="1">IFERROR(INDEX(Rango_Admin_Clas_Total,K$2,MATCH($A24,Rango_Admin_Clas_Primera,0)+1),"-")</f>
        <v>20</v>
      </c>
      <c r="L24" s="92" cm="1">
        <f t="array" aca="1" ref="L24" ca="1">IFERROR(INDEX(Rango_Admin_Clas_Total,L$2,MATCH($A24,Rango_Admin_Clas_Primera,0)+1),"-")</f>
        <v>0</v>
      </c>
      <c r="M24" s="92" cm="1">
        <f t="array" aca="1" ref="M24" ca="1">IFERROR(INDEX(Rango_Admin_Clas_Total,M$2,MATCH($A24,Rango_Admin_Clas_Primera,0)+1),"-")</f>
        <v>10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Jaime García de la Riva</v>
      </c>
      <c r="D25" s="91">
        <f ca="1">IFERROR(HLOOKUP(A25,Rango_Admin_Clas,4,FALSE),"-")</f>
        <v>293</v>
      </c>
      <c r="E25" s="92" cm="1">
        <f t="array" aca="1" ref="E25" ca="1">IFERROR(INDEX(Rango_Admin_Clas_Total,E$2,MATCH($A25,Rango_Admin_Clas_Primera,0)+1),"-")</f>
        <v>71</v>
      </c>
      <c r="F25" s="92" cm="1">
        <f t="array" aca="1" ref="F25" ca="1">IFERROR(INDEX(Rango_Admin_Clas_Total,F$2,MATCH($A25,Rango_Admin_Clas_Primera,0)+1),"-")</f>
        <v>50</v>
      </c>
      <c r="G25" s="92" cm="1">
        <f t="array" aca="1" ref="G25" ca="1">IFERROR(INDEX(Rango_Admin_Clas_Total,G$2,MATCH($A25,Rango_Admin_Clas_Primera,0)+1),"-")</f>
        <v>75</v>
      </c>
      <c r="H25" s="92" cm="1">
        <f t="array" aca="1" ref="H25" ca="1">IFERROR(INDEX(Rango_Admin_Clas_Total,H$2,MATCH($A25,Rango_Admin_Clas_Primera,0)+1),"-")</f>
        <v>2</v>
      </c>
      <c r="I25" s="92" cm="1">
        <f t="array" aca="1" ref="I25" ca="1">IFERROR(INDEX(Rango_Admin_Clas_Total,I$2,MATCH($A25,Rango_Admin_Clas_Primera,0)+1),"-")</f>
        <v>52</v>
      </c>
      <c r="J25" s="92" cm="1">
        <f t="array" aca="1" ref="J25" ca="1">IFERROR(INDEX(Rango_Admin_Clas_Total,J$2,MATCH($A25,Rango_Admin_Clas_Primera,0)+1),"-")</f>
        <v>1</v>
      </c>
      <c r="K25" s="92" cm="1">
        <f t="array" aca="1" ref="K25" ca="1">IFERROR(INDEX(Rango_Admin_Clas_Total,K$2,MATCH($A25,Rango_Admin_Clas_Primera,0)+1),"-")</f>
        <v>25</v>
      </c>
      <c r="L25" s="92" cm="1">
        <f t="array" aca="1" ref="L25" ca="1">IFERROR(INDEX(Rango_Admin_Clas_Total,L$2,MATCH($A25,Rango_Admin_Clas_Primera,0)+1),"-")</f>
        <v>2</v>
      </c>
      <c r="M25" s="92" cm="1">
        <f t="array" aca="1" ref="M25" ca="1">IFERROR(INDEX(Rango_Admin_Clas_Total,M$2,MATCH($A25,Rango_Admin_Clas_Primera,0)+1),"-")</f>
        <v>15</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Luis B</v>
      </c>
      <c r="D26" s="91">
        <f ca="1">IFERROR(HLOOKUP(A26,Rango_Admin_Clas,4,FALSE),"-")</f>
        <v>292</v>
      </c>
      <c r="E26" s="92" cm="1">
        <f t="array" aca="1" ref="E26" ca="1">IFERROR(INDEX(Rango_Admin_Clas_Total,E$2,MATCH($A26,Rango_Admin_Clas_Primera,0)+1),"-")</f>
        <v>58</v>
      </c>
      <c r="F26" s="92" cm="1">
        <f t="array" aca="1" ref="F26" ca="1">IFERROR(INDEX(Rango_Admin_Clas_Total,F$2,MATCH($A26,Rango_Admin_Clas_Primera,0)+1),"-")</f>
        <v>64</v>
      </c>
      <c r="G26" s="92" cm="1">
        <f t="array" aca="1" ref="G26" ca="1">IFERROR(INDEX(Rango_Admin_Clas_Total,G$2,MATCH($A26,Rango_Admin_Clas_Primera,0)+1),"-")</f>
        <v>81</v>
      </c>
      <c r="H26" s="92" cm="1">
        <f t="array" aca="1" ref="H26" ca="1">IFERROR(INDEX(Rango_Admin_Clas_Total,H$2,MATCH($A26,Rango_Admin_Clas_Primera,0)+1),"-")</f>
        <v>9</v>
      </c>
      <c r="I26" s="92" cm="1">
        <f t="array" aca="1" ref="I26" ca="1">IFERROR(INDEX(Rango_Admin_Clas_Total,I$2,MATCH($A26,Rango_Admin_Clas_Primera,0)+1),"-")</f>
        <v>40</v>
      </c>
      <c r="J26" s="92" cm="1">
        <f t="array" aca="1" ref="J26" ca="1">IFERROR(INDEX(Rango_Admin_Clas_Total,J$2,MATCH($A26,Rango_Admin_Clas_Primera,0)+1),"-")</f>
        <v>0</v>
      </c>
      <c r="K26" s="92" cm="1">
        <f t="array" aca="1" ref="K26" ca="1">IFERROR(INDEX(Rango_Admin_Clas_Total,K$2,MATCH($A26,Rango_Admin_Clas_Primera,0)+1),"-")</f>
        <v>25</v>
      </c>
      <c r="L26" s="92" cm="1">
        <f t="array" aca="1" ref="L26" ca="1">IFERROR(INDEX(Rango_Admin_Clas_Total,L$2,MATCH($A26,Rango_Admin_Clas_Primera,0)+1),"-")</f>
        <v>0</v>
      </c>
      <c r="M26" s="92" cm="1">
        <f t="array" aca="1" ref="M26" ca="1">IFERROR(INDEX(Rango_Admin_Clas_Total,M$2,MATCH($A26,Rango_Admin_Clas_Primera,0)+1),"-")</f>
        <v>15</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Antonio Zulueta Ramos</v>
      </c>
      <c r="D27" s="91">
        <f ca="1">IFERROR(HLOOKUP(A27,Rango_Admin_Clas,4,FALSE),"-")</f>
        <v>291</v>
      </c>
      <c r="E27" s="92" cm="1">
        <f t="array" aca="1" ref="E27" ca="1">IFERROR(INDEX(Rango_Admin_Clas_Total,E$2,MATCH($A27,Rango_Admin_Clas_Primera,0)+1),"-")</f>
        <v>72</v>
      </c>
      <c r="F27" s="92" cm="1">
        <f t="array" aca="1" ref="F27" ca="1">IFERROR(INDEX(Rango_Admin_Clas_Total,F$2,MATCH($A27,Rango_Admin_Clas_Primera,0)+1),"-")</f>
        <v>64</v>
      </c>
      <c r="G27" s="92" cm="1">
        <f t="array" aca="1" ref="G27" ca="1">IFERROR(INDEX(Rango_Admin_Clas_Total,G$2,MATCH($A27,Rango_Admin_Clas_Primera,0)+1),"-")</f>
        <v>78</v>
      </c>
      <c r="H27" s="92" cm="1">
        <f t="array" aca="1" ref="H27" ca="1">IFERROR(INDEX(Rango_Admin_Clas_Total,H$2,MATCH($A27,Rango_Admin_Clas_Primera,0)+1),"-")</f>
        <v>11</v>
      </c>
      <c r="I27" s="92" cm="1">
        <f t="array" aca="1" ref="I27" ca="1">IFERROR(INDEX(Rango_Admin_Clas_Total,I$2,MATCH($A27,Rango_Admin_Clas_Primera,0)+1),"-")</f>
        <v>40</v>
      </c>
      <c r="J27" s="92" cm="1">
        <f t="array" aca="1" ref="J27" ca="1">IFERROR(INDEX(Rango_Admin_Clas_Total,J$2,MATCH($A27,Rango_Admin_Clas_Primera,0)+1),"-")</f>
        <v>0</v>
      </c>
      <c r="K27" s="92" cm="1">
        <f t="array" aca="1" ref="K27" ca="1">IFERROR(INDEX(Rango_Admin_Clas_Total,K$2,MATCH($A27,Rango_Admin_Clas_Primera,0)+1),"-")</f>
        <v>20</v>
      </c>
      <c r="L27" s="92" cm="1">
        <f t="array" aca="1" ref="L27" ca="1">IFERROR(INDEX(Rango_Admin_Clas_Total,L$2,MATCH($A27,Rango_Admin_Clas_Primera,0)+1),"-")</f>
        <v>1</v>
      </c>
      <c r="M27" s="92" cm="1">
        <f t="array" aca="1" ref="M27" ca="1">IFERROR(INDEX(Rango_Admin_Clas_Total,M$2,MATCH($A27,Rango_Admin_Clas_Primera,0)+1),"-")</f>
        <v>5</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Nacho Novo</v>
      </c>
      <c r="D28" s="91">
        <f ca="1">IFERROR(HLOOKUP(A28,Rango_Admin_Clas,4,FALSE),"-")</f>
        <v>289</v>
      </c>
      <c r="E28" s="92" cm="1">
        <f t="array" aca="1" ref="E28" ca="1">IFERROR(INDEX(Rango_Admin_Clas_Total,E$2,MATCH($A28,Rango_Admin_Clas_Primera,0)+1),"-")</f>
        <v>65</v>
      </c>
      <c r="F28" s="92" cm="1">
        <f t="array" aca="1" ref="F28" ca="1">IFERROR(INDEX(Rango_Admin_Clas_Total,F$2,MATCH($A28,Rango_Admin_Clas_Primera,0)+1),"-")</f>
        <v>58</v>
      </c>
      <c r="G28" s="92" cm="1">
        <f t="array" aca="1" ref="G28" ca="1">IFERROR(INDEX(Rango_Admin_Clas_Total,G$2,MATCH($A28,Rango_Admin_Clas_Primera,0)+1),"-")</f>
        <v>81</v>
      </c>
      <c r="H28" s="92" cm="1">
        <f t="array" aca="1" ref="H28" ca="1">IFERROR(INDEX(Rango_Admin_Clas_Total,H$2,MATCH($A28,Rango_Admin_Clas_Primera,0)+1),"-")</f>
        <v>14</v>
      </c>
      <c r="I28" s="92" cm="1">
        <f t="array" aca="1" ref="I28" ca="1">IFERROR(INDEX(Rango_Admin_Clas_Total,I$2,MATCH($A28,Rango_Admin_Clas_Primera,0)+1),"-")</f>
        <v>40</v>
      </c>
      <c r="J28" s="92" cm="1">
        <f t="array" aca="1" ref="J28" ca="1">IFERROR(INDEX(Rango_Admin_Clas_Total,J$2,MATCH($A28,Rango_Admin_Clas_Primera,0)+1),"-")</f>
        <v>1</v>
      </c>
      <c r="K28" s="92" cm="1">
        <f t="array" aca="1" ref="K28" ca="1">IFERROR(INDEX(Rango_Admin_Clas_Total,K$2,MATCH($A28,Rango_Admin_Clas_Primera,0)+1),"-")</f>
        <v>20</v>
      </c>
      <c r="L28" s="92" cm="1">
        <f t="array" aca="1" ref="L28" ca="1">IFERROR(INDEX(Rango_Admin_Clas_Total,L$2,MATCH($A28,Rango_Admin_Clas_Primera,0)+1),"-")</f>
        <v>0</v>
      </c>
      <c r="M28" s="92" cm="1">
        <f t="array" aca="1" ref="M28" ca="1">IFERROR(INDEX(Rango_Admin_Clas_Total,M$2,MATCH($A28,Rango_Admin_Clas_Primera,0)+1),"-")</f>
        <v>10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Ignacio de Lecea</v>
      </c>
      <c r="D29" s="91">
        <f ca="1">IFERROR(HLOOKUP(A29,Rango_Admin_Clas,4,FALSE),"-")</f>
        <v>288</v>
      </c>
      <c r="E29" s="92" cm="1">
        <f t="array" aca="1" ref="E29" ca="1">IFERROR(INDEX(Rango_Admin_Clas_Total,E$2,MATCH($A29,Rango_Admin_Clas_Primera,0)+1),"-")</f>
        <v>74</v>
      </c>
      <c r="F29" s="92" cm="1">
        <f t="array" aca="1" ref="F29" ca="1">IFERROR(INDEX(Rango_Admin_Clas_Total,F$2,MATCH($A29,Rango_Admin_Clas_Primera,0)+1),"-")</f>
        <v>56</v>
      </c>
      <c r="G29" s="92" cm="1">
        <f t="array" aca="1" ref="G29" ca="1">IFERROR(INDEX(Rango_Admin_Clas_Total,G$2,MATCH($A29,Rango_Admin_Clas_Primera,0)+1),"-")</f>
        <v>81</v>
      </c>
      <c r="H29" s="92" cm="1">
        <f t="array" aca="1" ref="H29" ca="1">IFERROR(INDEX(Rango_Admin_Clas_Total,H$2,MATCH($A29,Rango_Admin_Clas_Primera,0)+1),"-")</f>
        <v>1</v>
      </c>
      <c r="I29" s="92" cm="1">
        <f t="array" aca="1" ref="I29" ca="1">IFERROR(INDEX(Rango_Admin_Clas_Total,I$2,MATCH($A29,Rango_Admin_Clas_Primera,0)+1),"-")</f>
        <v>44</v>
      </c>
      <c r="J29" s="92" cm="1">
        <f t="array" aca="1" ref="J29" ca="1">IFERROR(INDEX(Rango_Admin_Clas_Total,J$2,MATCH($A29,Rango_Admin_Clas_Primera,0)+1),"-")</f>
        <v>1</v>
      </c>
      <c r="K29" s="92" cm="1">
        <f t="array" aca="1" ref="K29" ca="1">IFERROR(INDEX(Rango_Admin_Clas_Total,K$2,MATCH($A29,Rango_Admin_Clas_Primera,0)+1),"-")</f>
        <v>20</v>
      </c>
      <c r="L29" s="92" cm="1">
        <f t="array" aca="1" ref="L29" ca="1">IFERROR(INDEX(Rango_Admin_Clas_Total,L$2,MATCH($A29,Rango_Admin_Clas_Primera,0)+1),"-")</f>
        <v>1</v>
      </c>
      <c r="M29" s="92" cm="1">
        <f t="array" aca="1" ref="M29" ca="1">IFERROR(INDEX(Rango_Admin_Clas_Total,M$2,MATCH($A29,Rango_Admin_Clas_Primera,0)+1),"-")</f>
        <v>10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Florentino Netanyahu</v>
      </c>
      <c r="D30" s="91">
        <f ca="1">IFERROR(HLOOKUP(A30,Rango_Admin_Clas,4,FALSE),"-")</f>
        <v>287</v>
      </c>
      <c r="E30" s="92" cm="1">
        <f t="array" aca="1" ref="E30" ca="1">IFERROR(INDEX(Rango_Admin_Clas_Total,E$2,MATCH($A30,Rango_Admin_Clas_Primera,0)+1),"-")</f>
        <v>67</v>
      </c>
      <c r="F30" s="92" cm="1">
        <f t="array" aca="1" ref="F30" ca="1">IFERROR(INDEX(Rango_Admin_Clas_Total,F$2,MATCH($A30,Rango_Admin_Clas_Primera,0)+1),"-")</f>
        <v>54</v>
      </c>
      <c r="G30" s="92" cm="1">
        <f t="array" aca="1" ref="G30" ca="1">IFERROR(INDEX(Rango_Admin_Clas_Total,G$2,MATCH($A30,Rango_Admin_Clas_Primera,0)+1),"-")</f>
        <v>75</v>
      </c>
      <c r="H30" s="92" cm="1">
        <f t="array" aca="1" ref="H30" ca="1">IFERROR(INDEX(Rango_Admin_Clas_Total,H$2,MATCH($A30,Rango_Admin_Clas_Primera,0)+1),"-")</f>
        <v>12</v>
      </c>
      <c r="I30" s="92" cm="1">
        <f t="array" aca="1" ref="I30" ca="1">IFERROR(INDEX(Rango_Admin_Clas_Total,I$2,MATCH($A30,Rango_Admin_Clas_Primera,0)+1),"-")</f>
        <v>44</v>
      </c>
      <c r="J30" s="92" cm="1">
        <f t="array" aca="1" ref="J30" ca="1">IFERROR(INDEX(Rango_Admin_Clas_Total,J$2,MATCH($A30,Rango_Admin_Clas_Primera,0)+1),"-")</f>
        <v>0</v>
      </c>
      <c r="K30" s="92" cm="1">
        <f t="array" aca="1" ref="K30" ca="1">IFERROR(INDEX(Rango_Admin_Clas_Total,K$2,MATCH($A30,Rango_Admin_Clas_Primera,0)+1),"-")</f>
        <v>20</v>
      </c>
      <c r="L30" s="92" cm="1">
        <f t="array" aca="1" ref="L30" ca="1">IFERROR(INDEX(Rango_Admin_Clas_Total,L$2,MATCH($A30,Rango_Admin_Clas_Primera,0)+1),"-")</f>
        <v>0</v>
      </c>
      <c r="M30" s="92" cm="1">
        <f t="array" aca="1" ref="M30" ca="1">IFERROR(INDEX(Rango_Admin_Clas_Total,M$2,MATCH($A30,Rango_Admin_Clas_Primera,0)+1),"-")</f>
        <v>15</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AD Monchus</v>
      </c>
      <c r="D31" s="91">
        <f ca="1">IFERROR(HLOOKUP(A31,Rango_Admin_Clas,4,FALSE),"-")</f>
        <v>286</v>
      </c>
      <c r="E31" s="92" cm="1">
        <f t="array" aca="1" ref="E31" ca="1">IFERROR(INDEX(Rango_Admin_Clas_Total,E$2,MATCH($A31,Rango_Admin_Clas_Primera,0)+1),"-")</f>
        <v>67</v>
      </c>
      <c r="F31" s="92" cm="1">
        <f t="array" aca="1" ref="F31" ca="1">IFERROR(INDEX(Rango_Admin_Clas_Total,F$2,MATCH($A31,Rango_Admin_Clas_Primera,0)+1),"-")</f>
        <v>64</v>
      </c>
      <c r="G31" s="92" cm="1">
        <f t="array" aca="1" ref="G31" ca="1">IFERROR(INDEX(Rango_Admin_Clas_Total,G$2,MATCH($A31,Rango_Admin_Clas_Primera,0)+1),"-")</f>
        <v>78</v>
      </c>
      <c r="H31" s="92" cm="1">
        <f t="array" aca="1" ref="H31" ca="1">IFERROR(INDEX(Rango_Admin_Clas_Total,H$2,MATCH($A31,Rango_Admin_Clas_Primera,0)+1),"-")</f>
        <v>4</v>
      </c>
      <c r="I31" s="92" cm="1">
        <f t="array" aca="1" ref="I31" ca="1">IFERROR(INDEX(Rango_Admin_Clas_Total,I$2,MATCH($A31,Rango_Admin_Clas_Primera,0)+1),"-")</f>
        <v>48</v>
      </c>
      <c r="J31" s="92" cm="1">
        <f t="array" aca="1" ref="J31" ca="1">IFERROR(INDEX(Rango_Admin_Clas_Total,J$2,MATCH($A31,Rango_Admin_Clas_Primera,0)+1),"-")</f>
        <v>0</v>
      </c>
      <c r="K31" s="92" cm="1">
        <f t="array" aca="1" ref="K31" ca="1">IFERROR(INDEX(Rango_Admin_Clas_Total,K$2,MATCH($A31,Rango_Admin_Clas_Primera,0)+1),"-")</f>
        <v>15</v>
      </c>
      <c r="L31" s="92" cm="1">
        <f t="array" aca="1" ref="L31" ca="1">IFERROR(INDEX(Rango_Admin_Clas_Total,L$2,MATCH($A31,Rango_Admin_Clas_Primera,0)+1),"-")</f>
        <v>0</v>
      </c>
      <c r="M31" s="92" cm="1">
        <f t="array" aca="1" ref="M31" ca="1">IFERROR(INDEX(Rango_Admin_Clas_Total,M$2,MATCH($A31,Rango_Admin_Clas_Primera,0)+1),"-")</f>
        <v>10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Guillermo Murciano</v>
      </c>
      <c r="D32" s="91">
        <f ca="1">IFERROR(HLOOKUP(A32,Rango_Admin_Clas,4,FALSE),"-")</f>
        <v>283</v>
      </c>
      <c r="E32" s="92" cm="1">
        <f t="array" aca="1" ref="E32" ca="1">IFERROR(INDEX(Rango_Admin_Clas_Total,E$2,MATCH($A32,Rango_Admin_Clas_Primera,0)+1),"-")</f>
        <v>64</v>
      </c>
      <c r="F32" s="92" cm="1">
        <f t="array" aca="1" ref="F32" ca="1">IFERROR(INDEX(Rango_Admin_Clas_Total,F$2,MATCH($A32,Rango_Admin_Clas_Primera,0)+1),"-")</f>
        <v>64</v>
      </c>
      <c r="G32" s="92" cm="1">
        <f t="array" aca="1" ref="G32" ca="1">IFERROR(INDEX(Rango_Admin_Clas_Total,G$2,MATCH($A32,Rango_Admin_Clas_Primera,0)+1),"-")</f>
        <v>78</v>
      </c>
      <c r="H32" s="92" cm="1">
        <f t="array" aca="1" ref="H32" ca="1">IFERROR(INDEX(Rango_Admin_Clas_Total,H$2,MATCH($A32,Rango_Admin_Clas_Primera,0)+1),"-")</f>
        <v>6</v>
      </c>
      <c r="I32" s="92" cm="1">
        <f t="array" aca="1" ref="I32" ca="1">IFERROR(INDEX(Rango_Admin_Clas_Total,I$2,MATCH($A32,Rango_Admin_Clas_Primera,0)+1),"-")</f>
        <v>40</v>
      </c>
      <c r="J32" s="92" cm="1">
        <f t="array" aca="1" ref="J32" ca="1">IFERROR(INDEX(Rango_Admin_Clas_Total,J$2,MATCH($A32,Rango_Admin_Clas_Primera,0)+1),"-")</f>
        <v>1</v>
      </c>
      <c r="K32" s="92" cm="1">
        <f t="array" aca="1" ref="K32" ca="1">IFERROR(INDEX(Rango_Admin_Clas_Total,K$2,MATCH($A32,Rango_Admin_Clas_Primera,0)+1),"-")</f>
        <v>20</v>
      </c>
      <c r="L32" s="92" cm="1">
        <f t="array" aca="1" ref="L32" ca="1">IFERROR(INDEX(Rango_Admin_Clas_Total,L$2,MATCH($A32,Rango_Admin_Clas_Primera,0)+1),"-")</f>
        <v>0</v>
      </c>
      <c r="M32" s="92" cm="1">
        <f t="array" aca="1" ref="M32" ca="1">IFERROR(INDEX(Rango_Admin_Clas_Total,M$2,MATCH($A32,Rango_Admin_Clas_Primera,0)+1),"-")</f>
        <v>10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28</v>
      </c>
      <c r="C33" s="18" t="str">
        <f ca="1">IFERROR(HLOOKUP(A33,Rango_Admin_Clas,5,FALSE),"-")</f>
        <v>Hulk Rexach</v>
      </c>
      <c r="D33" s="91">
        <f ca="1">IFERROR(HLOOKUP(A33,Rango_Admin_Clas,4,FALSE),"-")</f>
        <v>283</v>
      </c>
      <c r="E33" s="92" cm="1">
        <f t="array" aca="1" ref="E33" ca="1">IFERROR(INDEX(Rango_Admin_Clas_Total,E$2,MATCH($A33,Rango_Admin_Clas_Primera,0)+1),"-")</f>
        <v>66</v>
      </c>
      <c r="F33" s="92" cm="1">
        <f t="array" aca="1" ref="F33" ca="1">IFERROR(INDEX(Rango_Admin_Clas_Total,F$2,MATCH($A33,Rango_Admin_Clas_Primera,0)+1),"-")</f>
        <v>56</v>
      </c>
      <c r="G33" s="92" cm="1">
        <f t="array" aca="1" ref="G33" ca="1">IFERROR(INDEX(Rango_Admin_Clas_Total,G$2,MATCH($A33,Rango_Admin_Clas_Primera,0)+1),"-")</f>
        <v>78</v>
      </c>
      <c r="H33" s="92" cm="1">
        <f t="array" aca="1" ref="H33" ca="1">IFERROR(INDEX(Rango_Admin_Clas_Total,H$2,MATCH($A33,Rango_Admin_Clas_Primera,0)+1),"-")</f>
        <v>3</v>
      </c>
      <c r="I33" s="92" cm="1">
        <f t="array" aca="1" ref="I33" ca="1">IFERROR(INDEX(Rango_Admin_Clas_Total,I$2,MATCH($A33,Rango_Admin_Clas_Primera,0)+1),"-")</f>
        <v>44</v>
      </c>
      <c r="J33" s="92" cm="1">
        <f t="array" aca="1" ref="J33" ca="1">IFERROR(INDEX(Rango_Admin_Clas_Total,J$2,MATCH($A33,Rango_Admin_Clas_Primera,0)+1),"-")</f>
        <v>0</v>
      </c>
      <c r="K33" s="92" cm="1">
        <f t="array" aca="1" ref="K33" ca="1">IFERROR(INDEX(Rango_Admin_Clas_Total,K$2,MATCH($A33,Rango_Admin_Clas_Primera,0)+1),"-")</f>
        <v>25</v>
      </c>
      <c r="L33" s="92" cm="1">
        <f t="array" aca="1" ref="L33" ca="1">IFERROR(INDEX(Rango_Admin_Clas_Total,L$2,MATCH($A33,Rango_Admin_Clas_Primera,0)+1),"-")</f>
        <v>1</v>
      </c>
      <c r="M33" s="92" cm="1">
        <f t="array" aca="1" ref="M33" ca="1">IFERROR(INDEX(Rango_Admin_Clas_Total,M$2,MATCH($A33,Rango_Admin_Clas_Primera,0)+1),"-")</f>
        <v>10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YTD</v>
      </c>
      <c r="D34" s="91">
        <f ca="1">IFERROR(HLOOKUP(A34,Rango_Admin_Clas,4,FALSE),"-")</f>
        <v>282</v>
      </c>
      <c r="E34" s="92" cm="1">
        <f t="array" aca="1" ref="E34" ca="1">IFERROR(INDEX(Rango_Admin_Clas_Total,E$2,MATCH($A34,Rango_Admin_Clas_Primera,0)+1),"-")</f>
        <v>65</v>
      </c>
      <c r="F34" s="92" cm="1">
        <f t="array" aca="1" ref="F34" ca="1">IFERROR(INDEX(Rango_Admin_Clas_Total,F$2,MATCH($A34,Rango_Admin_Clas_Primera,0)+1),"-")</f>
        <v>58</v>
      </c>
      <c r="G34" s="92" cm="1">
        <f t="array" aca="1" ref="G34" ca="1">IFERROR(INDEX(Rango_Admin_Clas_Total,G$2,MATCH($A34,Rango_Admin_Clas_Primera,0)+1),"-")</f>
        <v>75</v>
      </c>
      <c r="H34" s="92" cm="1">
        <f t="array" aca="1" ref="H34" ca="1">IFERROR(INDEX(Rango_Admin_Clas_Total,H$2,MATCH($A34,Rango_Admin_Clas_Primera,0)+1),"-")</f>
        <v>4</v>
      </c>
      <c r="I34" s="92" cm="1">
        <f t="array" aca="1" ref="I34" ca="1">IFERROR(INDEX(Rango_Admin_Clas_Total,I$2,MATCH($A34,Rango_Admin_Clas_Primera,0)+1),"-")</f>
        <v>44</v>
      </c>
      <c r="J34" s="92" cm="1">
        <f t="array" aca="1" ref="J34" ca="1">IFERROR(INDEX(Rango_Admin_Clas_Total,J$2,MATCH($A34,Rango_Admin_Clas_Primera,0)+1),"-")</f>
        <v>1</v>
      </c>
      <c r="K34" s="92" cm="1">
        <f t="array" aca="1" ref="K34" ca="1">IFERROR(INDEX(Rango_Admin_Clas_Total,K$2,MATCH($A34,Rango_Admin_Clas_Primera,0)+1),"-")</f>
        <v>25</v>
      </c>
      <c r="L34" s="92" cm="1">
        <f t="array" aca="1" ref="L34" ca="1">IFERROR(INDEX(Rango_Admin_Clas_Total,L$2,MATCH($A34,Rango_Admin_Clas_Primera,0)+1),"-")</f>
        <v>0</v>
      </c>
      <c r="M34" s="92" cm="1">
        <f t="array" aca="1" ref="M34" ca="1">IFERROR(INDEX(Rango_Admin_Clas_Total,M$2,MATCH($A34,Rango_Admin_Clas_Primera,0)+1),"-")</f>
        <v>10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Pablo C</v>
      </c>
      <c r="D35" s="91">
        <f ca="1">IFERROR(HLOOKUP(A35,Rango_Admin_Clas,4,FALSE),"-")</f>
        <v>281</v>
      </c>
      <c r="E35" s="92" cm="1">
        <f t="array" aca="1" ref="E35" ca="1">IFERROR(INDEX(Rango_Admin_Clas_Total,E$2,MATCH($A35,Rango_Admin_Clas_Primera,0)+1),"-")</f>
        <v>67</v>
      </c>
      <c r="F35" s="92" cm="1">
        <f t="array" aca="1" ref="F35" ca="1">IFERROR(INDEX(Rango_Admin_Clas_Total,F$2,MATCH($A35,Rango_Admin_Clas_Primera,0)+1),"-")</f>
        <v>56</v>
      </c>
      <c r="G35" s="92" cm="1">
        <f t="array" aca="1" ref="G35" ca="1">IFERROR(INDEX(Rango_Admin_Clas_Total,G$2,MATCH($A35,Rango_Admin_Clas_Primera,0)+1),"-")</f>
        <v>81</v>
      </c>
      <c r="H35" s="92" cm="1">
        <f t="array" aca="1" ref="H35" ca="1">IFERROR(INDEX(Rango_Admin_Clas_Total,H$2,MATCH($A35,Rango_Admin_Clas_Primera,0)+1),"-")</f>
        <v>1</v>
      </c>
      <c r="I35" s="92" cm="1">
        <f t="array" aca="1" ref="I35" ca="1">IFERROR(INDEX(Rango_Admin_Clas_Total,I$2,MATCH($A35,Rango_Admin_Clas_Primera,0)+1),"-")</f>
        <v>40</v>
      </c>
      <c r="J35" s="92" cm="1">
        <f t="array" aca="1" ref="J35" ca="1">IFERROR(INDEX(Rango_Admin_Clas_Total,J$2,MATCH($A35,Rango_Admin_Clas_Primera,0)+1),"-")</f>
        <v>0</v>
      </c>
      <c r="K35" s="92" cm="1">
        <f t="array" aca="1" ref="K35" ca="1">IFERROR(INDEX(Rango_Admin_Clas_Total,K$2,MATCH($A35,Rango_Admin_Clas_Primera,0)+1),"-")</f>
        <v>20</v>
      </c>
      <c r="L35" s="92" cm="1">
        <f t="array" aca="1" ref="L35" ca="1">IFERROR(INDEX(Rango_Admin_Clas_Total,L$2,MATCH($A35,Rango_Admin_Clas_Primera,0)+1),"-")</f>
        <v>1</v>
      </c>
      <c r="M35" s="92" cm="1">
        <f t="array" aca="1" ref="M35" ca="1">IFERROR(INDEX(Rango_Admin_Clas_Total,M$2,MATCH($A35,Rango_Admin_Clas_Primera,0)+1),"-")</f>
        <v>15</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Chente Muñoz</v>
      </c>
      <c r="D36" s="91">
        <f ca="1">IFERROR(HLOOKUP(A36,Rango_Admin_Clas,4,FALSE),"-")</f>
        <v>277</v>
      </c>
      <c r="E36" s="92" cm="1">
        <f t="array" aca="1" ref="E36" ca="1">IFERROR(INDEX(Rango_Admin_Clas_Total,E$2,MATCH($A36,Rango_Admin_Clas_Primera,0)+1),"-")</f>
        <v>60</v>
      </c>
      <c r="F36" s="92" cm="1">
        <f t="array" aca="1" ref="F36" ca="1">IFERROR(INDEX(Rango_Admin_Clas_Total,F$2,MATCH($A36,Rango_Admin_Clas_Primera,0)+1),"-")</f>
        <v>66</v>
      </c>
      <c r="G36" s="92" cm="1">
        <f t="array" aca="1" ref="G36" ca="1">IFERROR(INDEX(Rango_Admin_Clas_Total,G$2,MATCH($A36,Rango_Admin_Clas_Primera,0)+1),"-")</f>
        <v>81</v>
      </c>
      <c r="H36" s="92" cm="1">
        <f t="array" aca="1" ref="H36" ca="1">IFERROR(INDEX(Rango_Admin_Clas_Total,H$2,MATCH($A36,Rango_Admin_Clas_Primera,0)+1),"-")</f>
        <v>4</v>
      </c>
      <c r="I36" s="92" cm="1">
        <f t="array" aca="1" ref="I36" ca="1">IFERROR(INDEX(Rango_Admin_Clas_Total,I$2,MATCH($A36,Rango_Admin_Clas_Primera,0)+1),"-")</f>
        <v>36</v>
      </c>
      <c r="J36" s="92" cm="1">
        <f t="array" aca="1" ref="J36" ca="1">IFERROR(INDEX(Rango_Admin_Clas_Total,J$2,MATCH($A36,Rango_Admin_Clas_Primera,0)+1),"-")</f>
        <v>0</v>
      </c>
      <c r="K36" s="92" cm="1">
        <f t="array" aca="1" ref="K36" ca="1">IFERROR(INDEX(Rango_Admin_Clas_Total,K$2,MATCH($A36,Rango_Admin_Clas_Primera,0)+1),"-")</f>
        <v>15</v>
      </c>
      <c r="L36" s="92" cm="1">
        <f t="array" aca="1" ref="L36" ca="1">IFERROR(INDEX(Rango_Admin_Clas_Total,L$2,MATCH($A36,Rango_Admin_Clas_Primera,0)+1),"-")</f>
        <v>0</v>
      </c>
      <c r="M36" s="92" cm="1">
        <f t="array" aca="1" ref="M36" ca="1">IFERROR(INDEX(Rango_Admin_Clas_Total,M$2,MATCH($A36,Rango_Admin_Clas_Primera,0)+1),"-")</f>
        <v>15</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32</v>
      </c>
      <c r="C37" s="18" t="str">
        <f ca="1">IFERROR(HLOOKUP(A37,Rango_Admin_Clas,5,FALSE),"-")</f>
        <v>DIDI</v>
      </c>
      <c r="D37" s="91">
        <f ca="1">IFERROR(HLOOKUP(A37,Rango_Admin_Clas,4,FALSE),"-")</f>
        <v>277</v>
      </c>
      <c r="E37" s="92" cm="1">
        <f t="array" aca="1" ref="E37" ca="1">IFERROR(INDEX(Rango_Admin_Clas_Total,E$2,MATCH($A37,Rango_Admin_Clas_Primera,0)+1),"-")</f>
        <v>67</v>
      </c>
      <c r="F37" s="92" cm="1">
        <f t="array" aca="1" ref="F37" ca="1">IFERROR(INDEX(Rango_Admin_Clas_Total,F$2,MATCH($A37,Rango_Admin_Clas_Primera,0)+1),"-")</f>
        <v>58</v>
      </c>
      <c r="G37" s="92" cm="1">
        <f t="array" aca="1" ref="G37" ca="1">IFERROR(INDEX(Rango_Admin_Clas_Total,G$2,MATCH($A37,Rango_Admin_Clas_Primera,0)+1),"-")</f>
        <v>78</v>
      </c>
      <c r="H37" s="92" cm="1">
        <f t="array" aca="1" ref="H37" ca="1">IFERROR(INDEX(Rango_Admin_Clas_Total,H$2,MATCH($A37,Rango_Admin_Clas_Primera,0)+1),"-")</f>
        <v>6</v>
      </c>
      <c r="I37" s="92" cm="1">
        <f t="array" aca="1" ref="I37" ca="1">IFERROR(INDEX(Rango_Admin_Clas_Total,I$2,MATCH($A37,Rango_Admin_Clas_Primera,0)+1),"-")</f>
        <v>48</v>
      </c>
      <c r="J37" s="92" cm="1">
        <f t="array" aca="1" ref="J37" ca="1">IFERROR(INDEX(Rango_Admin_Clas_Total,J$2,MATCH($A37,Rango_Admin_Clas_Primera,0)+1),"-")</f>
        <v>0</v>
      </c>
      <c r="K37" s="92" cm="1">
        <f t="array" aca="1" ref="K37" ca="1">IFERROR(INDEX(Rango_Admin_Clas_Total,K$2,MATCH($A37,Rango_Admin_Clas_Primera,0)+1),"-")</f>
        <v>10</v>
      </c>
      <c r="L37" s="92" cm="1">
        <f t="array" aca="1" ref="L37" ca="1">IFERROR(INDEX(Rango_Admin_Clas_Total,L$2,MATCH($A37,Rango_Admin_Clas_Primera,0)+1),"-")</f>
        <v>0</v>
      </c>
      <c r="M37" s="92" cm="1">
        <f t="array" aca="1" ref="M37" ca="1">IFERROR(INDEX(Rango_Admin_Clas_Total,M$2,MATCH($A37,Rango_Admin_Clas_Primera,0)+1),"-")</f>
        <v>10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Fercho Muro Matosex</v>
      </c>
      <c r="D38" s="91">
        <f ca="1">IFERROR(HLOOKUP(A38,Rango_Admin_Clas,4,FALSE),"-")</f>
        <v>275</v>
      </c>
      <c r="E38" s="92" cm="1">
        <f t="array" aca="1" ref="E38" ca="1">IFERROR(INDEX(Rango_Admin_Clas_Total,E$2,MATCH($A38,Rango_Admin_Clas_Primera,0)+1),"-")</f>
        <v>62</v>
      </c>
      <c r="F38" s="92" cm="1">
        <f t="array" aca="1" ref="F38" ca="1">IFERROR(INDEX(Rango_Admin_Clas_Total,F$2,MATCH($A38,Rango_Admin_Clas_Primera,0)+1),"-")</f>
        <v>56</v>
      </c>
      <c r="G38" s="92" cm="1">
        <f t="array" aca="1" ref="G38" ca="1">IFERROR(INDEX(Rango_Admin_Clas_Total,G$2,MATCH($A38,Rango_Admin_Clas_Primera,0)+1),"-")</f>
        <v>84</v>
      </c>
      <c r="H38" s="92" cm="1">
        <f t="array" aca="1" ref="H38" ca="1">IFERROR(INDEX(Rango_Admin_Clas_Total,H$2,MATCH($A38,Rango_Admin_Clas_Primera,0)+1),"-")</f>
        <v>11</v>
      </c>
      <c r="I38" s="92" cm="1">
        <f t="array" aca="1" ref="I38" ca="1">IFERROR(INDEX(Rango_Admin_Clas_Total,I$2,MATCH($A38,Rango_Admin_Clas_Primera,0)+1),"-")</f>
        <v>32</v>
      </c>
      <c r="J38" s="92" cm="1">
        <f t="array" aca="1" ref="J38" ca="1">IFERROR(INDEX(Rango_Admin_Clas_Total,J$2,MATCH($A38,Rango_Admin_Clas_Primera,0)+1),"-")</f>
        <v>0</v>
      </c>
      <c r="K38" s="92" cm="1">
        <f t="array" aca="1" ref="K38" ca="1">IFERROR(INDEX(Rango_Admin_Clas_Total,K$2,MATCH($A38,Rango_Admin_Clas_Primera,0)+1),"-")</f>
        <v>20</v>
      </c>
      <c r="L38" s="92" cm="1">
        <f t="array" aca="1" ref="L38" ca="1">IFERROR(INDEX(Rango_Admin_Clas_Total,L$2,MATCH($A38,Rango_Admin_Clas_Primera,0)+1),"-")</f>
        <v>0</v>
      </c>
      <c r="M38" s="92" cm="1">
        <f t="array" aca="1" ref="M38" ca="1">IFERROR(INDEX(Rango_Admin_Clas_Total,M$2,MATCH($A38,Rango_Admin_Clas_Primera,0)+1),"-")</f>
        <v>10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Gratacós</v>
      </c>
      <c r="D39" s="91">
        <f ca="1">IFERROR(HLOOKUP(A39,Rango_Admin_Clas,4,FALSE),"-")</f>
        <v>273</v>
      </c>
      <c r="E39" s="92" cm="1">
        <f t="array" aca="1" ref="E39" ca="1">IFERROR(INDEX(Rango_Admin_Clas_Total,E$2,MATCH($A39,Rango_Admin_Clas_Primera,0)+1),"-")</f>
        <v>79</v>
      </c>
      <c r="F39" s="92" cm="1">
        <f t="array" aca="1" ref="F39" ca="1">IFERROR(INDEX(Rango_Admin_Clas_Total,F$2,MATCH($A39,Rango_Admin_Clas_Primera,0)+1),"-")</f>
        <v>48</v>
      </c>
      <c r="G39" s="92" cm="1">
        <f t="array" aca="1" ref="G39" ca="1">IFERROR(INDEX(Rango_Admin_Clas_Total,G$2,MATCH($A39,Rango_Admin_Clas_Primera,0)+1),"-")</f>
        <v>75</v>
      </c>
      <c r="H39" s="92" cm="1">
        <f t="array" aca="1" ref="H39" ca="1">IFERROR(INDEX(Rango_Admin_Clas_Total,H$2,MATCH($A39,Rango_Admin_Clas_Primera,0)+1),"-")</f>
        <v>2</v>
      </c>
      <c r="I39" s="92" cm="1">
        <f t="array" aca="1" ref="I39" ca="1">IFERROR(INDEX(Rango_Admin_Clas_Total,I$2,MATCH($A39,Rango_Admin_Clas_Primera,0)+1),"-")</f>
        <v>44</v>
      </c>
      <c r="J39" s="92" cm="1">
        <f t="array" aca="1" ref="J39" ca="1">IFERROR(INDEX(Rango_Admin_Clas_Total,J$2,MATCH($A39,Rango_Admin_Clas_Primera,0)+1),"-")</f>
        <v>0</v>
      </c>
      <c r="K39" s="92" cm="1">
        <f t="array" aca="1" ref="K39" ca="1">IFERROR(INDEX(Rango_Admin_Clas_Total,K$2,MATCH($A39,Rango_Admin_Clas_Primera,0)+1),"-")</f>
        <v>15</v>
      </c>
      <c r="L39" s="92" cm="1">
        <f t="array" aca="1" ref="L39" ca="1">IFERROR(INDEX(Rango_Admin_Clas_Total,L$2,MATCH($A39,Rango_Admin_Clas_Primera,0)+1),"-")</f>
        <v>0</v>
      </c>
      <c r="M39" s="92" cm="1">
        <f t="array" aca="1" ref="M39" ca="1">IFERROR(INDEX(Rango_Admin_Clas_Total,M$2,MATCH($A39,Rango_Admin_Clas_Primera,0)+1),"-")</f>
        <v>10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bau</v>
      </c>
      <c r="D40" s="91">
        <f ca="1">IFERROR(HLOOKUP(A40,Rango_Admin_Clas,4,FALSE),"-")</f>
        <v>272</v>
      </c>
      <c r="E40" s="92" cm="1">
        <f t="array" aca="1" ref="E40" ca="1">IFERROR(INDEX(Rango_Admin_Clas_Total,E$2,MATCH($A40,Rango_Admin_Clas_Primera,0)+1),"-")</f>
        <v>69</v>
      </c>
      <c r="F40" s="92" cm="1">
        <f t="array" aca="1" ref="F40" ca="1">IFERROR(INDEX(Rango_Admin_Clas_Total,F$2,MATCH($A40,Rango_Admin_Clas_Primera,0)+1),"-")</f>
        <v>50</v>
      </c>
      <c r="G40" s="92" cm="1">
        <f t="array" aca="1" ref="G40" ca="1">IFERROR(INDEX(Rango_Admin_Clas_Total,G$2,MATCH($A40,Rango_Admin_Clas_Primera,0)+1),"-")</f>
        <v>78</v>
      </c>
      <c r="H40" s="92" cm="1">
        <f t="array" aca="1" ref="H40" ca="1">IFERROR(INDEX(Rango_Admin_Clas_Total,H$2,MATCH($A40,Rango_Admin_Clas_Primera,0)+1),"-")</f>
        <v>2</v>
      </c>
      <c r="I40" s="92" cm="1">
        <f t="array" aca="1" ref="I40" ca="1">IFERROR(INDEX(Rango_Admin_Clas_Total,I$2,MATCH($A40,Rango_Admin_Clas_Primera,0)+1),"-")</f>
        <v>48</v>
      </c>
      <c r="J40" s="92" cm="1">
        <f t="array" aca="1" ref="J40" ca="1">IFERROR(INDEX(Rango_Admin_Clas_Total,J$2,MATCH($A40,Rango_Admin_Clas_Primera,0)+1),"-")</f>
        <v>0</v>
      </c>
      <c r="K40" s="92" cm="1">
        <f t="array" aca="1" ref="K40" ca="1">IFERROR(INDEX(Rango_Admin_Clas_Total,K$2,MATCH($A40,Rango_Admin_Clas_Primera,0)+1),"-")</f>
        <v>15</v>
      </c>
      <c r="L40" s="92" cm="1">
        <f t="array" aca="1" ref="L40" ca="1">IFERROR(INDEX(Rango_Admin_Clas_Total,L$2,MATCH($A40,Rango_Admin_Clas_Primera,0)+1),"-")</f>
        <v>0</v>
      </c>
      <c r="M40" s="92" cm="1">
        <f t="array" aca="1" ref="M40" ca="1">IFERROR(INDEX(Rango_Admin_Clas_Total,M$2,MATCH($A40,Rango_Admin_Clas_Primera,0)+1),"-")</f>
        <v>10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Vicuinho</v>
      </c>
      <c r="D41" s="91">
        <f ca="1">IFERROR(HLOOKUP(A41,Rango_Admin_Clas,4,FALSE),"-")</f>
        <v>269</v>
      </c>
      <c r="E41" s="92" cm="1">
        <f t="array" aca="1" ref="E41" ca="1">IFERROR(INDEX(Rango_Admin_Clas_Total,E$2,MATCH($A41,Rango_Admin_Clas_Primera,0)+1),"-")</f>
        <v>63</v>
      </c>
      <c r="F41" s="92" cm="1">
        <f t="array" aca="1" ref="F41" ca="1">IFERROR(INDEX(Rango_Admin_Clas_Total,F$2,MATCH($A41,Rango_Admin_Clas_Primera,0)+1),"-")</f>
        <v>66</v>
      </c>
      <c r="G41" s="92" cm="1">
        <f t="array" aca="1" ref="G41" ca="1">IFERROR(INDEX(Rango_Admin_Clas_Total,G$2,MATCH($A41,Rango_Admin_Clas_Primera,0)+1),"-")</f>
        <v>75</v>
      </c>
      <c r="H41" s="92" cm="1">
        <f t="array" aca="1" ref="H41" ca="1">IFERROR(INDEX(Rango_Admin_Clas_Total,H$2,MATCH($A41,Rango_Admin_Clas_Primera,0)+1),"-")</f>
        <v>6</v>
      </c>
      <c r="I41" s="92" cm="1">
        <f t="array" aca="1" ref="I41" ca="1">IFERROR(INDEX(Rango_Admin_Clas_Total,I$2,MATCH($A41,Rango_Admin_Clas_Primera,0)+1),"-")</f>
        <v>44</v>
      </c>
      <c r="J41" s="92" cm="1">
        <f t="array" aca="1" ref="J41" ca="1">IFERROR(INDEX(Rango_Admin_Clas_Total,J$2,MATCH($A41,Rango_Admin_Clas_Primera,0)+1),"-")</f>
        <v>0</v>
      </c>
      <c r="K41" s="92" cm="1">
        <f t="array" aca="1" ref="K41" ca="1">IFERROR(INDEX(Rango_Admin_Clas_Total,K$2,MATCH($A41,Rango_Admin_Clas_Primera,0)+1),"-")</f>
        <v>10</v>
      </c>
      <c r="L41" s="92" cm="1">
        <f t="array" aca="1" ref="L41" ca="1">IFERROR(INDEX(Rango_Admin_Clas_Total,L$2,MATCH($A41,Rango_Admin_Clas_Primera,0)+1),"-")</f>
        <v>0</v>
      </c>
      <c r="M41" s="92" cm="1">
        <f t="array" aca="1" ref="M41" ca="1">IFERROR(INDEX(Rango_Admin_Clas_Total,M$2,MATCH($A41,Rango_Admin_Clas_Primera,0)+1),"-")</f>
        <v>5</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 xml:space="preserve">Martín Matoses </v>
      </c>
      <c r="D42" s="91">
        <f ca="1">IFERROR(HLOOKUP(A42,Rango_Admin_Clas,4,FALSE),"-")</f>
        <v>266</v>
      </c>
      <c r="E42" s="92" cm="1">
        <f t="array" aca="1" ref="E42" ca="1">IFERROR(INDEX(Rango_Admin_Clas_Total,E$2,MATCH($A42,Rango_Admin_Clas_Primera,0)+1),"-")</f>
        <v>68</v>
      </c>
      <c r="F42" s="92" cm="1">
        <f t="array" aca="1" ref="F42" ca="1">IFERROR(INDEX(Rango_Admin_Clas_Total,F$2,MATCH($A42,Rango_Admin_Clas_Primera,0)+1),"-")</f>
        <v>44</v>
      </c>
      <c r="G42" s="92" cm="1">
        <f t="array" aca="1" ref="G42" ca="1">IFERROR(INDEX(Rango_Admin_Clas_Total,G$2,MATCH($A42,Rango_Admin_Clas_Primera,0)+1),"-")</f>
        <v>84</v>
      </c>
      <c r="H42" s="92" cm="1">
        <f t="array" aca="1" ref="H42" ca="1">IFERROR(INDEX(Rango_Admin_Clas_Total,H$2,MATCH($A42,Rango_Admin_Clas_Primera,0)+1),"-")</f>
        <v>2</v>
      </c>
      <c r="I42" s="92" cm="1">
        <f t="array" aca="1" ref="I42" ca="1">IFERROR(INDEX(Rango_Admin_Clas_Total,I$2,MATCH($A42,Rango_Admin_Clas_Primera,0)+1),"-")</f>
        <v>44</v>
      </c>
      <c r="J42" s="92" cm="1">
        <f t="array" aca="1" ref="J42" ca="1">IFERROR(INDEX(Rango_Admin_Clas_Total,J$2,MATCH($A42,Rango_Admin_Clas_Primera,0)+1),"-")</f>
        <v>3</v>
      </c>
      <c r="K42" s="92" cm="1">
        <f t="array" aca="1" ref="K42" ca="1">IFERROR(INDEX(Rango_Admin_Clas_Total,K$2,MATCH($A42,Rango_Admin_Clas_Primera,0)+1),"-")</f>
        <v>15</v>
      </c>
      <c r="L42" s="92" cm="1">
        <f t="array" aca="1" ref="L42" ca="1">IFERROR(INDEX(Rango_Admin_Clas_Total,L$2,MATCH($A42,Rango_Admin_Clas_Primera,0)+1),"-")</f>
        <v>1</v>
      </c>
      <c r="M42" s="92" cm="1">
        <f t="array" aca="1" ref="M42" ca="1">IFERROR(INDEX(Rango_Admin_Clas_Total,M$2,MATCH($A42,Rango_Admin_Clas_Primera,0)+1),"-")</f>
        <v>5</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Ricardo Soto</v>
      </c>
      <c r="D43" s="91">
        <f ca="1">IFERROR(HLOOKUP(A43,Rango_Admin_Clas,4,FALSE),"-")</f>
        <v>266</v>
      </c>
      <c r="E43" s="92" cm="1">
        <f t="array" aca="1" ref="E43" ca="1">IFERROR(INDEX(Rango_Admin_Clas_Total,E$2,MATCH($A43,Rango_Admin_Clas_Primera,0)+1),"-")</f>
        <v>71</v>
      </c>
      <c r="F43" s="92" cm="1">
        <f t="array" aca="1" ref="F43" ca="1">IFERROR(INDEX(Rango_Admin_Clas_Total,F$2,MATCH($A43,Rango_Admin_Clas_Primera,0)+1),"-")</f>
        <v>52</v>
      </c>
      <c r="G43" s="92" cm="1">
        <f t="array" aca="1" ref="G43" ca="1">IFERROR(INDEX(Rango_Admin_Clas_Total,G$2,MATCH($A43,Rango_Admin_Clas_Primera,0)+1),"-")</f>
        <v>78</v>
      </c>
      <c r="H43" s="92" cm="1">
        <f t="array" aca="1" ref="H43" ca="1">IFERROR(INDEX(Rango_Admin_Clas_Total,H$2,MATCH($A43,Rango_Admin_Clas_Primera,0)+1),"-")</f>
        <v>3</v>
      </c>
      <c r="I43" s="92" cm="1">
        <f t="array" aca="1" ref="I43" ca="1">IFERROR(INDEX(Rango_Admin_Clas_Total,I$2,MATCH($A43,Rango_Admin_Clas_Primera,0)+1),"-")</f>
        <v>40</v>
      </c>
      <c r="J43" s="92" cm="1">
        <f t="array" aca="1" ref="J43" ca="1">IFERROR(INDEX(Rango_Admin_Clas_Total,J$2,MATCH($A43,Rango_Admin_Clas_Primera,0)+1),"-")</f>
        <v>2</v>
      </c>
      <c r="K43" s="92" cm="1">
        <f t="array" aca="1" ref="K43" ca="1">IFERROR(INDEX(Rango_Admin_Clas_Total,K$2,MATCH($A43,Rango_Admin_Clas_Primera,0)+1),"-")</f>
        <v>10</v>
      </c>
      <c r="L43" s="92" cm="1">
        <f t="array" aca="1" ref="L43" ca="1">IFERROR(INDEX(Rango_Admin_Clas_Total,L$2,MATCH($A43,Rango_Admin_Clas_Primera,0)+1),"-")</f>
        <v>0</v>
      </c>
      <c r="M43" s="92" cm="1">
        <f t="array" aca="1" ref="M43" ca="1">IFERROR(INDEX(Rango_Admin_Clas_Total,M$2,MATCH($A43,Rango_Admin_Clas_Primera,0)+1),"-")</f>
        <v>10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 xml:space="preserve">Ignacio Núñez </v>
      </c>
      <c r="D44" s="91">
        <f ca="1">IFERROR(HLOOKUP(A44,Rango_Admin_Clas,4,FALSE),"-")</f>
        <v>265</v>
      </c>
      <c r="E44" s="92" cm="1">
        <f t="array" aca="1" ref="E44" ca="1">IFERROR(INDEX(Rango_Admin_Clas_Total,E$2,MATCH($A44,Rango_Admin_Clas_Primera,0)+1),"-")</f>
        <v>67</v>
      </c>
      <c r="F44" s="92" cm="1">
        <f t="array" aca="1" ref="F44" ca="1">IFERROR(INDEX(Rango_Admin_Clas_Total,F$2,MATCH($A44,Rango_Admin_Clas_Primera,0)+1),"-")</f>
        <v>48</v>
      </c>
      <c r="G44" s="92" cm="1">
        <f t="array" aca="1" ref="G44" ca="1">IFERROR(INDEX(Rango_Admin_Clas_Total,G$2,MATCH($A44,Rango_Admin_Clas_Primera,0)+1),"-")</f>
        <v>78</v>
      </c>
      <c r="H44" s="92" cm="1">
        <f t="array" aca="1" ref="H44" ca="1">IFERROR(INDEX(Rango_Admin_Clas_Total,H$2,MATCH($A44,Rango_Admin_Clas_Primera,0)+1),"-")</f>
        <v>11</v>
      </c>
      <c r="I44" s="92" cm="1">
        <f t="array" aca="1" ref="I44" ca="1">IFERROR(INDEX(Rango_Admin_Clas_Total,I$2,MATCH($A44,Rango_Admin_Clas_Primera,0)+1),"-")</f>
        <v>40</v>
      </c>
      <c r="J44" s="92" cm="1">
        <f t="array" aca="1" ref="J44" ca="1">IFERROR(INDEX(Rango_Admin_Clas_Total,J$2,MATCH($A44,Rango_Admin_Clas_Primera,0)+1),"-")</f>
        <v>1</v>
      </c>
      <c r="K44" s="92" cm="1">
        <f t="array" aca="1" ref="K44" ca="1">IFERROR(INDEX(Rango_Admin_Clas_Total,K$2,MATCH($A44,Rango_Admin_Clas_Primera,0)+1),"-")</f>
        <v>15</v>
      </c>
      <c r="L44" s="92" cm="1">
        <f t="array" aca="1" ref="L44" ca="1">IFERROR(INDEX(Rango_Admin_Clas_Total,L$2,MATCH($A44,Rango_Admin_Clas_Primera,0)+1),"-")</f>
        <v>0</v>
      </c>
      <c r="M44" s="92" cm="1">
        <f t="array" aca="1" ref="M44" ca="1">IFERROR(INDEX(Rango_Admin_Clas_Total,M$2,MATCH($A44,Rango_Admin_Clas_Primera,0)+1),"-")</f>
        <v>5</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220</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15</v>
      </c>
      <c r="L45" s="92" cm="1">
        <f t="array" aca="1" ref="L45" ca="1">IFERROR(INDEX(Rango_Admin_Clas_Total,L$2,MATCH($A45,Rango_Admin_Clas_Primera,0)+1),"-")</f>
        <v>1</v>
      </c>
      <c r="M45" s="92" cm="1">
        <f t="array" aca="1" ref="M45" ca="1">IFERROR(INDEX(Rango_Admin_Clas_Total,M$2,MATCH($A45,Rango_Admin_Clas_Primera,0)+1),"-")</f>
        <v>5</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0.96153846153846156</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292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f>+IF(ISBLANK(INDEX(WORLDCUP!$AC$101:$AC$147,MATCH(AH7,WORLDCUP!$Z$101:$Z$147,0))),"",INDEX(WORLDCUP!$AC$101:$AC$147,MATCH(AH7,WORLDCUP!$Z$101:$Z$147,0)))</f>
        <v>2</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0</v>
      </c>
      <c r="BK7" s="550">
        <f ca="1">COUNTIF(ADMIN!$M$210:$M$217,Fixture!BG7)-BL7-BM7-BN7-BO7</f>
        <v>0</v>
      </c>
      <c r="BL7" s="550">
        <f ca="1">COUNTIF(ADMIN!$M$226:$M$229,BG7)-BM7-BN7-BO7</f>
        <v>1</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f>+IF(ISBLANK(INDEX(WORLDCUP!$AD$101:$AD$147,MATCH(AH8,WORLDCUP!$Z$101:$Z$147,0))),"",INDEX(WORLDCUP!$AD$101:$AD$147,MATCH(AH8,WORLDCUP!$Z$101:$Z$147,0)))</f>
        <v>0</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 ca="1">+MID(INDEX(WORLDCUP!$AA$101:$AA$147,MATCH(AL13,WORLDCUP!$Z$101:$Z$147,0)),1,3)</f>
        <v>Fra</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Esp</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f>+IF(ISBLANK(INDEX(WORLDCUP!$AC$101:$AC$147,MATCH(AH19,WORLDCUP!$Z$101:$Z$147,0))),"",INDEX(WORLDCUP!$AC$101:$AC$147,MATCH(AH19,WORLDCUP!$Z$101:$Z$147,0)))</f>
        <v>2</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f>+IF(ISBLANK(INDEX(WORLDCUP!$AD$101:$AD$147,MATCH(AH20,WORLDCUP!$Z$101:$Z$147,0))),"",INDEX(WORLDCUP!$AD$101:$AD$147,MATCH(AH20,WORLDCUP!$Z$101:$Z$147,0)))</f>
        <v>1</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1</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1</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1</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f>+IF(ISBLANK(INDEX(WORLDCUP!$AC$101:$AC$147,MATCH(AH31,WORLDCUP!$Z$101:$Z$147,0))),"",INDEX(WORLDCUP!$AC$101:$AC$147,MATCH(AH31,WORLDCUP!$Z$101:$Z$147,0)))</f>
        <v>1</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f>+IF(ISBLANK(INDEX(WORLDCUP!$AD$101:$AD$147,MATCH(AH32,WORLDCUP!$Z$101:$Z$147,0))),"",INDEX(WORLDCUP!$AD$101:$AD$147,MATCH(AH32,WORLDCUP!$Z$101:$Z$147,0)))</f>
        <v>2</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Ing</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Arge</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f>+IF(ISBLANK(INDEX(WORLDCUP!$AC$101:$AC$147,MATCH(AD40,WORLDCUP!$Z$101:$Z$147,0))),"",INDEX(WORLDCUP!$AC$101:$AC$147,MATCH(AD40,WORLDCUP!$Z$101:$Z$147,0)))</f>
        <v>3</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f>+IF(ISBLANK(INDEX(WORLDCUP!$AD$101:$AD$147,MATCH(AD41,WORLDCUP!$Z$101:$Z$147,0))),"",INDEX(WORLDCUP!$AD$101:$AD$147,MATCH(AD41,WORLDCUP!$Z$101:$Z$147,0)))</f>
        <v>2</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 ca="1">+MID(INDEX(WORLDCUP!$AA$101:$AA$147,MATCH(AH43,WORLDCUP!$Z$101:$Z$147,0)),1,3)</f>
        <v>Arg</v>
      </c>
      <c r="AJ43" s="569">
        <f>+IF(ISBLANK(INDEX(WORLDCUP!$AC$101:$AC$147,MATCH(AH43,WORLDCUP!$Z$101:$Z$147,0))),"",INDEX(WORLDCUP!$AC$101:$AC$147,MATCH(AH43,WORLDCUP!$Z$101:$Z$147,0)))</f>
        <v>3</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Sui</v>
      </c>
      <c r="AJ44" s="569">
        <f>+IF(ISBLANK(INDEX(WORLDCUP!$AD$101:$AD$147,MATCH(AH44,WORLDCUP!$Z$101:$Z$147,0))),"",INDEX(WORLDCUP!$AD$101:$AD$147,MATCH(AH44,WORLDCUP!$Z$101:$Z$147,0)))</f>
        <v>1</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f>+IF(ISBLANK(INDEX(WORLDCUP!$AC$101:$AC$147,MATCH(AD46,WORLDCUP!$Z$101:$Z$147,0))),"",INDEX(WORLDCUP!$AC$101:$AC$147,MATCH(AD46,WORLDCUP!$Z$101:$Z$147,0)))</f>
        <v>0</v>
      </c>
      <c r="AG46" s="585" t="str">
        <f>+IF(ISBLANK(INDEX(WORLDCUP!$AB$101:$AB$147,MATCH(AD46,WORLDCUP!$Z$101:$Z$147,0))),"","( "&amp;INDEX(WORLDCUP!$AB$101:$AB$147,MATCH(AD46,WORLDCUP!$Z$101:$Z$147,0))&amp;" )")</f>
        <v>( 1 )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f>+IF(ISBLANK(INDEX(WORLDCUP!$AD$101:$AD$147,MATCH(AD47,WORLDCUP!$Z$101:$Z$147,0))),"",INDEX(WORLDCUP!$AD$101:$AD$147,MATCH(AD47,WORLDCUP!$Z$101:$Z$147,0)))</f>
        <v>0</v>
      </c>
      <c r="AG47" s="559" t="str">
        <f>+IF(ISBLANK(INDEX(WORLDCUP!$AE$101:$AE$147,MATCH(AD47,WORLDCUP!$Z$101:$Z$147,0))),"","( "&amp;INDEX(WORLDCUP!$AE$101:$AE$147,MATCH(AD47,WORLDCUP!$Z$101:$Z$147,0))&amp;" )")</f>
        <v>( 0 )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0</v>
      </c>
      <c r="BK47" s="550">
        <f ca="1">COUNTIF(ADMIN!$M$210:$M$217,Fixture!BG47)-BL47-BM47-BN47-BO47</f>
        <v>1</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2026-07-12T20:32:55Z</dcterms:modified>
  <cp:category/>
</cp:coreProperties>
</file>