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85" documentId="13_ncr:1_{AF5F34E1-3CEA-4E5C-856E-DF27FFEF07FE}" xr6:coauthVersionLast="47" xr6:coauthVersionMax="47" xr10:uidLastSave="{EF3B5CF3-5407-4007-ABF8-6E6B52674E47}"/>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N47" i="46"/>
  <c r="N46" i="46"/>
  <c r="N45" i="46"/>
  <c r="N44" i="46"/>
  <c r="M44" i="46" s="1"/>
  <c r="N43" i="46"/>
  <c r="N42" i="46"/>
  <c r="N41" i="46"/>
  <c r="N40" i="46"/>
  <c r="N39" i="46"/>
  <c r="N38" i="46"/>
  <c r="N37" i="46"/>
  <c r="N36" i="46"/>
  <c r="M36" i="46" s="1"/>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Q244" i="46"/>
  <c r="Q179" i="46"/>
  <c r="E221" i="46"/>
  <c r="Q45" i="46"/>
  <c r="Q76" i="46"/>
  <c r="E233" i="46"/>
  <c r="M61" i="46"/>
  <c r="M45" i="46"/>
  <c r="M69" i="46"/>
  <c r="Q201" i="46"/>
  <c r="M221" i="46"/>
  <c r="M49" i="46"/>
  <c r="M77" i="46"/>
  <c r="M57" i="46"/>
  <c r="E223" i="46"/>
  <c r="M26" i="46"/>
  <c r="M50" i="46"/>
  <c r="M47" i="46"/>
  <c r="M62" i="46"/>
  <c r="M53" i="46"/>
  <c r="M14" i="46"/>
  <c r="M17" i="46"/>
  <c r="D107" i="36"/>
  <c r="M84" i="34" s="1"/>
  <c r="S267" i="46"/>
  <c r="M48" i="46" l="1"/>
  <c r="M41" i="46"/>
  <c r="M20" i="46"/>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BP36" i="46" s="1"/>
  <c r="Q40" i="46"/>
  <c r="Q44" i="46"/>
  <c r="T44" i="46" s="1"/>
  <c r="Q30" i="46"/>
  <c r="P203" i="46"/>
  <c r="Q203" i="46"/>
  <c r="Q207" i="46"/>
  <c r="Q65" i="46"/>
  <c r="Q232" i="46"/>
  <c r="Q33" i="46"/>
  <c r="AO33" i="46" s="1"/>
  <c r="Q37" i="46"/>
  <c r="Q41" i="46"/>
  <c r="AR41" i="46" s="1"/>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26" i="46"/>
  <c r="W75"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AO49" i="46"/>
  <c r="BM49" i="46"/>
  <c r="CK49" i="46"/>
  <c r="AX37" i="46"/>
  <c r="BA41" i="46"/>
  <c r="CE41" i="46"/>
  <c r="CH44" i="46"/>
  <c r="AR45" i="46"/>
  <c r="BS45" i="46"/>
  <c r="AL47" i="46"/>
  <c r="BJ47" i="46"/>
  <c r="CH47" i="46"/>
  <c r="AR49" i="46"/>
  <c r="BP49" i="46"/>
  <c r="CN49" i="46"/>
  <c r="BA37" i="46"/>
  <c r="Z41" i="46"/>
  <c r="BD41" i="46"/>
  <c r="CH41" i="46"/>
  <c r="BJ44" i="46"/>
  <c r="AU45" i="46"/>
  <c r="BV45" i="46"/>
  <c r="AO47" i="46"/>
  <c r="BM47" i="46"/>
  <c r="CK47" i="46"/>
  <c r="AU49"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CN45" i="46"/>
  <c r="AX47" i="46"/>
  <c r="BD52" i="46"/>
  <c r="Z53" i="46"/>
  <c r="Z58" i="46"/>
  <c r="BP58" i="46"/>
  <c r="AU62" i="46"/>
  <c r="BS62" i="46"/>
  <c r="AL63" i="46"/>
  <c r="BJ63" i="46"/>
  <c r="CH63"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44" i="46" l="1"/>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J6" i="46"/>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23" i="3" l="1"/>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B42" i="3" l="1"/>
  <c r="CB36" i="3"/>
  <c r="CA50" i="3"/>
  <c r="CB45" i="3"/>
  <c r="CB31" i="3"/>
  <c r="CA34" i="3"/>
  <c r="CA36" i="3"/>
  <c r="CA27" i="3"/>
  <c r="CC27" i="3" s="1"/>
  <c r="CB37" i="3"/>
  <c r="CA45" i="3"/>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6" i="3" l="1"/>
  <c r="CC45" i="3"/>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K37" i="3"/>
  <c r="K48" i="3"/>
  <c r="L96" i="3"/>
  <c r="L30" i="3"/>
  <c r="K57" i="3"/>
  <c r="K5" i="3"/>
  <c r="K12" i="3"/>
  <c r="L16" i="3"/>
  <c r="CF13" i="3" s="1"/>
  <c r="K86" i="3"/>
  <c r="L17" i="3"/>
  <c r="L94" i="3"/>
  <c r="K93" i="3"/>
  <c r="K54" i="3"/>
  <c r="L57" i="3"/>
  <c r="K71" i="3"/>
  <c r="K72" i="3"/>
  <c r="L12" i="3"/>
  <c r="L49" i="3"/>
  <c r="K55" i="3"/>
  <c r="K81" i="3"/>
  <c r="K17" i="3"/>
  <c r="K85" i="3"/>
  <c r="L7" i="3"/>
  <c r="L77" i="3"/>
  <c r="L15" i="3"/>
  <c r="K47" i="3"/>
  <c r="CF27" i="3" s="1"/>
  <c r="L86" i="3"/>
  <c r="K65" i="3"/>
  <c r="K63" i="3"/>
  <c r="L45" i="3"/>
  <c r="K22" i="3"/>
  <c r="L60" i="3"/>
  <c r="K46" i="3"/>
  <c r="L23" i="3"/>
  <c r="L25" i="3"/>
  <c r="K24" i="3"/>
  <c r="L46" i="3"/>
  <c r="CF26" i="3" s="1"/>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L54" i="3"/>
  <c r="K88" i="3"/>
  <c r="K87" i="3"/>
  <c r="CF47" i="3" s="1"/>
  <c r="K61" i="3"/>
  <c r="CF37" i="3" s="1"/>
  <c r="L47" i="3"/>
  <c r="CF29" i="3" s="1"/>
  <c r="CF49" i="3"/>
  <c r="CF45" i="3"/>
  <c r="CF16" i="3"/>
  <c r="E9" i="51"/>
  <c r="CF22" i="3"/>
  <c r="B46" i="51"/>
  <c r="B47" i="51" s="1"/>
  <c r="E10" i="51"/>
  <c r="E28" i="48"/>
  <c r="F27" i="48" a="1"/>
  <c r="F27" i="48" s="1"/>
  <c r="E12" i="51"/>
  <c r="E11" i="51"/>
  <c r="CF35" i="3" l="1"/>
  <c r="CF33" i="3"/>
  <c r="CF23" i="3"/>
  <c r="CF14" i="3"/>
  <c r="CF25" i="3"/>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8" i="3"/>
  <c r="E31" i="48"/>
  <c r="F30" i="48" a="1"/>
  <c r="F30" i="48" s="1"/>
  <c r="O46" i="3" l="1"/>
  <c r="O88" i="3"/>
  <c r="O93" i="3"/>
  <c r="O78" i="3"/>
  <c r="O53" i="3"/>
  <c r="CJ32" i="3" s="1"/>
  <c r="N96" i="3"/>
  <c r="O80" i="3"/>
  <c r="N47" i="3"/>
  <c r="O22" i="3"/>
  <c r="CJ17" i="3" s="1"/>
  <c r="N84" i="3"/>
  <c r="CJ47" i="3" s="1"/>
  <c r="O97" i="3"/>
  <c r="O16" i="3"/>
  <c r="N15" i="3"/>
  <c r="CK12" i="3" s="1"/>
  <c r="O15" i="3"/>
  <c r="CI10" i="3" s="1"/>
  <c r="O61" i="3"/>
  <c r="CJ36" i="3" s="1"/>
  <c r="CJ37" i="3"/>
  <c r="N13" i="3"/>
  <c r="CJ13" i="3" s="1"/>
  <c r="N65" i="3"/>
  <c r="O69" i="3"/>
  <c r="CK40" i="3" s="1"/>
  <c r="O62" i="3"/>
  <c r="N55" i="3"/>
  <c r="O20" i="3"/>
  <c r="O64" i="3"/>
  <c r="N5" i="3"/>
  <c r="CK9" i="3" s="1"/>
  <c r="O14" i="3"/>
  <c r="CI13" i="3" s="1"/>
  <c r="N93" i="3"/>
  <c r="CK53" i="3" s="1"/>
  <c r="N33" i="3"/>
  <c r="N52" i="3"/>
  <c r="CJ31" i="3" s="1"/>
  <c r="O57" i="3"/>
  <c r="N17" i="3"/>
  <c r="O31" i="3"/>
  <c r="O84" i="3"/>
  <c r="CJ46" i="3" s="1"/>
  <c r="O45" i="3"/>
  <c r="N9" i="3"/>
  <c r="O52" i="3"/>
  <c r="N80" i="3"/>
  <c r="O55" i="3"/>
  <c r="O81" i="3"/>
  <c r="N76" i="3"/>
  <c r="CK43" i="3" s="1"/>
  <c r="O29" i="3"/>
  <c r="CI20" i="3" s="1"/>
  <c r="O71" i="3"/>
  <c r="N69" i="3"/>
  <c r="CI41" i="3" s="1"/>
  <c r="O37" i="3"/>
  <c r="CI24" i="3" s="1"/>
  <c r="O60" i="3"/>
  <c r="O47" i="3"/>
  <c r="N8" i="3"/>
  <c r="N31" i="3"/>
  <c r="CI19" i="3" s="1"/>
  <c r="N48" i="3"/>
  <c r="O54" i="3"/>
  <c r="CK30" i="3" s="1"/>
  <c r="N16" i="3"/>
  <c r="O56" i="3"/>
  <c r="O38" i="3"/>
  <c r="N73" i="3"/>
  <c r="N24" i="3"/>
  <c r="N64" i="3"/>
  <c r="O5" i="3"/>
  <c r="CI8" i="3" s="1"/>
  <c r="O70" i="3"/>
  <c r="CJ38" i="3" s="1"/>
  <c r="N39" i="3"/>
  <c r="O40" i="3"/>
  <c r="O13" i="3"/>
  <c r="CJ12" i="3" s="1"/>
  <c r="N22" i="3"/>
  <c r="CI15" i="3" s="1"/>
  <c r="N89" i="3"/>
  <c r="O4" i="3"/>
  <c r="CI6" i="3" s="1"/>
  <c r="N62" i="3"/>
  <c r="CK36" i="3" s="1"/>
  <c r="O92" i="3"/>
  <c r="CI50" i="3" s="1"/>
  <c r="N60" i="3"/>
  <c r="CJ35" i="3" s="1"/>
  <c r="O41" i="3"/>
  <c r="N36" i="3"/>
  <c r="CK23" i="3" s="1"/>
  <c r="N4" i="3"/>
  <c r="CK7" i="3" s="1"/>
  <c r="N92" i="3"/>
  <c r="CK51" i="3" s="1"/>
  <c r="O76" i="3"/>
  <c r="CI42" i="3" s="1"/>
  <c r="N79" i="3"/>
  <c r="N81" i="3"/>
  <c r="N46" i="3"/>
  <c r="N68" i="3"/>
  <c r="CK39" i="3" s="1"/>
  <c r="O49" i="3"/>
  <c r="O32" i="3"/>
  <c r="N23" i="3"/>
  <c r="N70" i="3"/>
  <c r="N20" i="3"/>
  <c r="CK15" i="3" s="1"/>
  <c r="N30" i="3"/>
  <c r="CK20" i="3" s="1"/>
  <c r="O39" i="3"/>
  <c r="CJ25" i="3" s="1"/>
  <c r="N29" i="3"/>
  <c r="CK21" i="3" s="1"/>
  <c r="N40" i="3"/>
  <c r="O8" i="3"/>
  <c r="CK27" i="3" s="1"/>
  <c r="O33" i="3"/>
  <c r="N94" i="3"/>
  <c r="O9" i="3"/>
  <c r="O23" i="3"/>
  <c r="O95" i="3"/>
  <c r="N87" i="3"/>
  <c r="N88" i="3"/>
  <c r="CJ28" i="3"/>
  <c r="CJ51" i="3"/>
  <c r="CJ19" i="3"/>
  <c r="CI12" i="3"/>
  <c r="CK35" i="3"/>
  <c r="CK45" i="3"/>
  <c r="CJ45" i="3"/>
  <c r="CJ42" i="3"/>
  <c r="CK6" i="3"/>
  <c r="CK33" i="3"/>
  <c r="CJ52" i="3"/>
  <c r="CJ53" i="3"/>
  <c r="CK48" i="3"/>
  <c r="CJ29" i="3"/>
  <c r="CK50" i="3"/>
  <c r="CI33" i="3"/>
  <c r="CK37" i="3"/>
  <c r="CK44" i="3"/>
  <c r="CK28" i="3"/>
  <c r="CJ10" i="3"/>
  <c r="CJ21" i="3"/>
  <c r="CJ49" i="3"/>
  <c r="CI32" i="3"/>
  <c r="CJ43" i="3"/>
  <c r="CI47" i="3"/>
  <c r="CK18" i="3"/>
  <c r="CI49" i="3"/>
  <c r="CI17" i="3"/>
  <c r="CI31" i="3"/>
  <c r="CJ11" i="3"/>
  <c r="CK13" i="3"/>
  <c r="CI35" i="3"/>
  <c r="CI18" i="3"/>
  <c r="CK19" i="3"/>
  <c r="CI46" i="3"/>
  <c r="CK24" i="3"/>
  <c r="CI26" i="3"/>
  <c r="CK42" i="3"/>
  <c r="CI25" i="3"/>
  <c r="CI40" i="3"/>
  <c r="CK41" i="3"/>
  <c r="CI27" i="3"/>
  <c r="CK26" i="3"/>
  <c r="CI23" i="3"/>
  <c r="CJ20" i="3"/>
  <c r="CI16" i="3"/>
  <c r="CI51" i="3"/>
  <c r="CI43" i="3"/>
  <c r="CI38" i="3"/>
  <c r="CI45" i="3"/>
  <c r="CK31" i="3"/>
  <c r="CK22" i="3"/>
  <c r="CJ33" i="3"/>
  <c r="CI22" i="3"/>
  <c r="CI11" i="3"/>
  <c r="CI7" i="3"/>
  <c r="CK52" i="3"/>
  <c r="CJ44" i="3"/>
  <c r="CK25" i="3"/>
  <c r="CI44" i="3"/>
  <c r="CK47" i="3"/>
  <c r="CI53" i="3"/>
  <c r="CK46" i="3"/>
  <c r="CK49" i="3"/>
  <c r="CI9" i="3"/>
  <c r="CK38" i="3"/>
  <c r="CK17" i="3"/>
  <c r="CK8" i="3"/>
  <c r="CI29" i="3"/>
  <c r="CJ9" i="3"/>
  <c r="CK10" i="3"/>
  <c r="CJ50" i="3"/>
  <c r="CK16" i="3"/>
  <c r="CJ18" i="3"/>
  <c r="CI36" i="3"/>
  <c r="CI21" i="3"/>
  <c r="CJ22" i="3"/>
  <c r="CK29" i="3"/>
  <c r="CK14" i="3"/>
  <c r="CI28" i="3"/>
  <c r="CI34" i="3"/>
  <c r="CJ16" i="3"/>
  <c r="CJ48" i="3"/>
  <c r="CI39" i="3"/>
  <c r="CI37" i="3"/>
  <c r="CI30" i="3"/>
  <c r="CK11" i="3"/>
  <c r="CI52" i="3"/>
  <c r="CK34" i="3"/>
  <c r="CK32" i="3"/>
  <c r="CI48" i="3"/>
  <c r="CJ6" i="3"/>
  <c r="CJ24" i="3"/>
  <c r="CJ8" i="3"/>
  <c r="CJ7" i="3"/>
  <c r="CJ39" i="3"/>
  <c r="CJ23" i="3"/>
  <c r="CJ34" i="3"/>
  <c r="CJ27" i="3"/>
  <c r="CJ26" i="3"/>
  <c r="CJ41" i="3"/>
  <c r="E32" i="48"/>
  <c r="F31" i="48" a="1"/>
  <c r="F31" i="48" s="1"/>
  <c r="CJ30" i="3" l="1"/>
  <c r="CL30" i="3" s="1"/>
  <c r="CI14" i="3"/>
  <c r="CJ15" i="3"/>
  <c r="CL15" i="3" s="1"/>
  <c r="CL32" i="3"/>
  <c r="CL42" i="3"/>
  <c r="CL41"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L14" i="3" l="1"/>
  <c r="CM36" i="3" s="1"/>
  <c r="CM25" i="3"/>
  <c r="CM42" i="3"/>
  <c r="CM34" i="3"/>
  <c r="CM47" i="3"/>
  <c r="CM29" i="3"/>
  <c r="CM20" i="3"/>
  <c r="CM8" i="3"/>
  <c r="CM41" i="3"/>
  <c r="CM48" i="3"/>
  <c r="CM18" i="3"/>
  <c r="CM46" i="3"/>
  <c r="CM50"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M10" i="3" l="1"/>
  <c r="CM14" i="3"/>
  <c r="CM15" i="3"/>
  <c r="R25" i="3"/>
  <c r="F34" i="48" a="1"/>
  <c r="F34" i="48" s="1"/>
  <c r="E35" i="48"/>
  <c r="CN32" i="3" l="1"/>
  <c r="R54" i="3" s="1"/>
  <c r="CN19" i="3"/>
  <c r="Q33" i="3" s="1"/>
  <c r="CN30" i="3"/>
  <c r="Q54" i="3" s="1"/>
  <c r="CN39" i="3"/>
  <c r="R71" i="3" s="1"/>
  <c r="CN52" i="3"/>
  <c r="R97" i="3" s="1"/>
  <c r="CN22" i="3"/>
  <c r="Q38" i="3" s="1"/>
  <c r="CN12" i="3"/>
  <c r="Q13" i="3" s="1"/>
  <c r="CN50" i="3"/>
  <c r="Q92" i="3" s="1"/>
  <c r="CN42" i="3"/>
  <c r="Q76" i="3" s="1"/>
  <c r="CN13" i="3"/>
  <c r="R13" i="3" s="1"/>
  <c r="CN48" i="3"/>
  <c r="Q85" i="3" s="1"/>
  <c r="CN38" i="3"/>
  <c r="Q68" i="3" s="1"/>
  <c r="CN23" i="3"/>
  <c r="Q40" i="3" s="1"/>
  <c r="CN36" i="3"/>
  <c r="Q61" i="3" s="1"/>
  <c r="CN29" i="3"/>
  <c r="R45" i="3" s="1"/>
  <c r="CN43" i="3"/>
  <c r="Q80" i="3" s="1"/>
  <c r="CN35" i="3"/>
  <c r="R60" i="3" s="1"/>
  <c r="CN53" i="3"/>
  <c r="R93" i="3" s="1"/>
  <c r="CN7" i="3"/>
  <c r="R4" i="3" s="1"/>
  <c r="CN8" i="3"/>
  <c r="R9" i="3" s="1"/>
  <c r="CN47" i="3"/>
  <c r="R84" i="3" s="1"/>
  <c r="CN17" i="3"/>
  <c r="Q24" i="3" s="1"/>
  <c r="CN28" i="3"/>
  <c r="R46" i="3" s="1"/>
  <c r="CN31" i="3"/>
  <c r="Q56" i="3" s="1"/>
  <c r="CN49" i="3"/>
  <c r="Q88" i="3" s="1"/>
  <c r="CN44" i="3"/>
  <c r="Q77" i="3" s="1"/>
  <c r="CN34" i="3"/>
  <c r="Q60" i="3" s="1"/>
  <c r="CN15" i="3"/>
  <c r="R22" i="3" s="1"/>
  <c r="CN25" i="3"/>
  <c r="Q39" i="3" s="1"/>
  <c r="CN40" i="3"/>
  <c r="R70" i="3" s="1"/>
  <c r="CN6" i="3"/>
  <c r="Q7" i="3" s="1"/>
  <c r="CN11" i="3"/>
  <c r="R14" i="3" s="1"/>
  <c r="CN33" i="3"/>
  <c r="Q57" i="3" s="1"/>
  <c r="CN41" i="3"/>
  <c r="Q71" i="3" s="1"/>
  <c r="CN46" i="3"/>
  <c r="Q86" i="3" s="1"/>
  <c r="CN16" i="3"/>
  <c r="Q21" i="3" s="1"/>
  <c r="CN21" i="3"/>
  <c r="Q32" i="3" s="1"/>
  <c r="CN20" i="3"/>
  <c r="R33" i="3" s="1"/>
  <c r="CN18" i="3"/>
  <c r="Q30" i="3" s="1"/>
  <c r="CN9" i="3"/>
  <c r="R5" i="3" s="1"/>
  <c r="CN14" i="3"/>
  <c r="Q23" i="3" s="1"/>
  <c r="CN26" i="3"/>
  <c r="Q44" i="3" s="1"/>
  <c r="CN10" i="3"/>
  <c r="Q15" i="3" s="1"/>
  <c r="CN51" i="3"/>
  <c r="R95" i="3" s="1"/>
  <c r="CN24" i="3"/>
  <c r="R40" i="3" s="1"/>
  <c r="CN37" i="3"/>
  <c r="R61" i="3" s="1"/>
  <c r="CN27" i="3"/>
  <c r="R47" i="3" s="1"/>
  <c r="CN45" i="3"/>
  <c r="Q81" i="3" s="1"/>
  <c r="Q87" i="3"/>
  <c r="R48" i="3"/>
  <c r="R16" i="3"/>
  <c r="R94" i="3"/>
  <c r="R49" i="3"/>
  <c r="Q78" i="3"/>
  <c r="Q48" i="3"/>
  <c r="Q72" i="3"/>
  <c r="Q64" i="3"/>
  <c r="R55" i="3"/>
  <c r="R79" i="3"/>
  <c r="R68" i="3"/>
  <c r="Q49" i="3"/>
  <c r="R31" i="3"/>
  <c r="Q73" i="3"/>
  <c r="R41" i="3"/>
  <c r="R57" i="3"/>
  <c r="Q16" i="3"/>
  <c r="Q95" i="3"/>
  <c r="R86" i="3"/>
  <c r="R89" i="3"/>
  <c r="R88" i="3"/>
  <c r="R80" i="3"/>
  <c r="R81" i="3"/>
  <c r="Q9" i="3"/>
  <c r="R87" i="3"/>
  <c r="Q25" i="3"/>
  <c r="R32" i="3"/>
  <c r="Q70" i="3"/>
  <c r="Q79" i="3"/>
  <c r="Q97" i="3"/>
  <c r="R24" i="3"/>
  <c r="Q8" i="3"/>
  <c r="R8" i="3"/>
  <c r="R73" i="3"/>
  <c r="Q89" i="3"/>
  <c r="R17" i="3"/>
  <c r="Q17" i="3"/>
  <c r="R64" i="3"/>
  <c r="R72" i="3"/>
  <c r="Q65" i="3"/>
  <c r="R63" i="3"/>
  <c r="Q52" i="3"/>
  <c r="Q96" i="3"/>
  <c r="R96" i="3"/>
  <c r="Q94" i="3"/>
  <c r="R28" i="3"/>
  <c r="R56" i="3"/>
  <c r="R78" i="3"/>
  <c r="Q41" i="3"/>
  <c r="R65" i="3"/>
  <c r="F35" i="48" a="1"/>
  <c r="F35" i="48" s="1"/>
  <c r="E36" i="48"/>
  <c r="Q55" i="3" l="1"/>
  <c r="R6" i="3"/>
  <c r="Q63" i="3"/>
  <c r="Q53" i="3"/>
  <c r="R15" i="3"/>
  <c r="R69" i="3"/>
  <c r="R36" i="3"/>
  <c r="Q36" i="3"/>
  <c r="CO23" i="3" s="1"/>
  <c r="Q62" i="3"/>
  <c r="Q5" i="3"/>
  <c r="CP9" i="3" s="1"/>
  <c r="Q4" i="3"/>
  <c r="R62" i="3"/>
  <c r="Q93" i="3"/>
  <c r="CP53" i="3" s="1"/>
  <c r="R39" i="3"/>
  <c r="Q28" i="3"/>
  <c r="Q14" i="3"/>
  <c r="Q45" i="3"/>
  <c r="R85" i="3"/>
  <c r="R44" i="3"/>
  <c r="CO26" i="3" s="1"/>
  <c r="R76" i="3"/>
  <c r="CO42" i="3" s="1"/>
  <c r="Q47" i="3"/>
  <c r="CO27" i="3" s="1"/>
  <c r="Q69" i="3"/>
  <c r="CO41" i="3" s="1"/>
  <c r="Q22" i="3"/>
  <c r="R37" i="3"/>
  <c r="R21" i="3"/>
  <c r="R23" i="3"/>
  <c r="Q84" i="3"/>
  <c r="CP47" i="3" s="1"/>
  <c r="Q12" i="3"/>
  <c r="CO39" i="3"/>
  <c r="R53" i="3"/>
  <c r="CP32" i="3" s="1"/>
  <c r="R12" i="3"/>
  <c r="R7" i="3"/>
  <c r="R20" i="3"/>
  <c r="Q29" i="3"/>
  <c r="CP27" i="3"/>
  <c r="R30" i="3"/>
  <c r="Q31" i="3"/>
  <c r="R52" i="3"/>
  <c r="CP30" i="3" s="1"/>
  <c r="R29" i="3"/>
  <c r="CP20" i="3" s="1"/>
  <c r="CO51" i="3"/>
  <c r="Q20" i="3"/>
  <c r="R77" i="3"/>
  <c r="CP44" i="3" s="1"/>
  <c r="R38" i="3"/>
  <c r="R92" i="3"/>
  <c r="CO50" i="3" s="1"/>
  <c r="Q6" i="3"/>
  <c r="Q37" i="3"/>
  <c r="Q46" i="3"/>
  <c r="CO38" i="3"/>
  <c r="CO40" i="3"/>
  <c r="CO8" i="3"/>
  <c r="CP51" i="3"/>
  <c r="CP8" i="3"/>
  <c r="CP36" i="3"/>
  <c r="CO36" i="3"/>
  <c r="CO21" i="3"/>
  <c r="CP39" i="3"/>
  <c r="CP21" i="3"/>
  <c r="CP34" i="3"/>
  <c r="CP52" i="3"/>
  <c r="CO52" i="3"/>
  <c r="CP35" i="3"/>
  <c r="CO53" i="3"/>
  <c r="CP13" i="3"/>
  <c r="CP45" i="3"/>
  <c r="CP40" i="3"/>
  <c r="CO35" i="3"/>
  <c r="CP18" i="3"/>
  <c r="CO12" i="3"/>
  <c r="CP46" i="3"/>
  <c r="CP16" i="3"/>
  <c r="CP49" i="3"/>
  <c r="CO16" i="3"/>
  <c r="CO22" i="3"/>
  <c r="CO46" i="3"/>
  <c r="CO49" i="3"/>
  <c r="CO45" i="3"/>
  <c r="CP37" i="3"/>
  <c r="CO13" i="3"/>
  <c r="CO29" i="3"/>
  <c r="CP31" i="3"/>
  <c r="CO17" i="3"/>
  <c r="CP48" i="3"/>
  <c r="CP17" i="3"/>
  <c r="CO18" i="3"/>
  <c r="CP6" i="3"/>
  <c r="CP22" i="3"/>
  <c r="CO24" i="3"/>
  <c r="CP33" i="3"/>
  <c r="CP12" i="3"/>
  <c r="CO43" i="3"/>
  <c r="CO34" i="3"/>
  <c r="CP43" i="3"/>
  <c r="CO6" i="3"/>
  <c r="CP38" i="3"/>
  <c r="CP24" i="3"/>
  <c r="CO31" i="3"/>
  <c r="CO28" i="3"/>
  <c r="CO48" i="3"/>
  <c r="CP28" i="3"/>
  <c r="CP29" i="3"/>
  <c r="CO37" i="3"/>
  <c r="CO33" i="3"/>
  <c r="E37" i="48"/>
  <c r="F36" i="48" a="1"/>
  <c r="F36" i="48" s="1"/>
  <c r="CO47" i="3" l="1"/>
  <c r="CP23" i="3"/>
  <c r="CO10" i="3"/>
  <c r="CP7" i="3"/>
  <c r="CO25" i="3"/>
  <c r="CO32" i="3"/>
  <c r="CO11" i="3"/>
  <c r="CO9" i="3"/>
  <c r="CQ9" i="3" s="1"/>
  <c r="CP26" i="3"/>
  <c r="CQ26" i="3" s="1"/>
  <c r="CO19" i="3"/>
  <c r="CO20" i="3"/>
  <c r="CQ20" i="3" s="1"/>
  <c r="CP42" i="3"/>
  <c r="CQ42" i="3" s="1"/>
  <c r="CO14" i="3"/>
  <c r="CP19" i="3"/>
  <c r="CP14" i="3"/>
  <c r="CO30" i="3"/>
  <c r="CQ30" i="3" s="1"/>
  <c r="CO15" i="3"/>
  <c r="CP41" i="3"/>
  <c r="CQ41" i="3" s="1"/>
  <c r="CP11" i="3"/>
  <c r="CO44" i="3"/>
  <c r="CQ44" i="3" s="1"/>
  <c r="CP15" i="3"/>
  <c r="CP10" i="3"/>
  <c r="CQ10" i="3" s="1"/>
  <c r="CQ51" i="3"/>
  <c r="CQ39" i="3"/>
  <c r="CP25" i="3"/>
  <c r="CO7" i="3"/>
  <c r="CQ27" i="3"/>
  <c r="CP50" i="3"/>
  <c r="CQ50" i="3" s="1"/>
  <c r="CQ38" i="3"/>
  <c r="CQ40" i="3"/>
  <c r="CQ47" i="3"/>
  <c r="CQ6" i="3"/>
  <c r="CQ32" i="3"/>
  <c r="CQ48" i="3"/>
  <c r="CQ53" i="3"/>
  <c r="CQ49" i="3"/>
  <c r="CQ46" i="3"/>
  <c r="CQ33" i="3"/>
  <c r="CQ31" i="3"/>
  <c r="CQ13" i="3"/>
  <c r="CQ16" i="3"/>
  <c r="CQ8" i="3"/>
  <c r="CQ35" i="3"/>
  <c r="CQ45" i="3"/>
  <c r="CQ36" i="3"/>
  <c r="CQ24" i="3"/>
  <c r="CQ21" i="3"/>
  <c r="CQ23" i="3"/>
  <c r="CQ34" i="3"/>
  <c r="CQ52" i="3"/>
  <c r="CQ28" i="3"/>
  <c r="CQ29" i="3"/>
  <c r="CQ12" i="3"/>
  <c r="CQ22" i="3"/>
  <c r="CQ43" i="3"/>
  <c r="CQ17" i="3"/>
  <c r="CQ37" i="3"/>
  <c r="CQ18" i="3"/>
  <c r="E38" i="48"/>
  <c r="F37" i="48" a="1"/>
  <c r="F37" i="48" s="1"/>
  <c r="CQ7" i="3" l="1"/>
  <c r="CR51" i="3" s="1"/>
  <c r="CQ25" i="3"/>
  <c r="CR53" i="3" s="1"/>
  <c r="CQ11" i="3"/>
  <c r="CQ19" i="3"/>
  <c r="CR20" i="3" s="1"/>
  <c r="CQ14" i="3"/>
  <c r="CR27" i="3" s="1"/>
  <c r="CQ15" i="3"/>
  <c r="CR44" i="3" s="1"/>
  <c r="CR16" i="3"/>
  <c r="CR22" i="3"/>
  <c r="CR19" i="3"/>
  <c r="CR48" i="3"/>
  <c r="CR18" i="3"/>
  <c r="CR21" i="3"/>
  <c r="CR32" i="3"/>
  <c r="CR8" i="3"/>
  <c r="CR46" i="3"/>
  <c r="CR35" i="3"/>
  <c r="CR11" i="3"/>
  <c r="CR47" i="3"/>
  <c r="CR36" i="3"/>
  <c r="CR41" i="3"/>
  <c r="CR28" i="3"/>
  <c r="CR24" i="3"/>
  <c r="CR15" i="3"/>
  <c r="CR34" i="3"/>
  <c r="CR49" i="3"/>
  <c r="CR30" i="3"/>
  <c r="CR17" i="3"/>
  <c r="CR31" i="3"/>
  <c r="CR39" i="3"/>
  <c r="CR9" i="3"/>
  <c r="CR33" i="3"/>
  <c r="CR40" i="3"/>
  <c r="CR6" i="3"/>
  <c r="CR29" i="3"/>
  <c r="F38" i="48" a="1"/>
  <c r="F38" i="48" s="1"/>
  <c r="E39" i="48"/>
  <c r="CR25" i="3" l="1"/>
  <c r="CR50" i="3"/>
  <c r="CS45" i="3" s="1"/>
  <c r="CR14" i="3"/>
  <c r="CR26" i="3"/>
  <c r="CR45" i="3"/>
  <c r="CR43" i="3"/>
  <c r="CR7" i="3"/>
  <c r="CR37" i="3"/>
  <c r="CR12" i="3"/>
  <c r="CS12" i="3" s="1"/>
  <c r="CR38" i="3"/>
  <c r="CR23" i="3"/>
  <c r="CS23" i="3" s="1"/>
  <c r="CR52" i="3"/>
  <c r="CS52" i="3" s="1"/>
  <c r="CR13" i="3"/>
  <c r="CS13" i="3" s="1"/>
  <c r="T14" i="3" s="1"/>
  <c r="CR10" i="3"/>
  <c r="CS8" i="3" s="1"/>
  <c r="CR42" i="3"/>
  <c r="CS42" i="3" s="1"/>
  <c r="CS6" i="3"/>
  <c r="CS46" i="3"/>
  <c r="U88" i="3" s="1"/>
  <c r="CS53" i="3"/>
  <c r="CS44" i="3"/>
  <c r="E40" i="48"/>
  <c r="F39" i="48" a="1"/>
  <c r="F39" i="48" s="1"/>
  <c r="CS18" i="3" l="1"/>
  <c r="T28" i="3" s="1"/>
  <c r="CS33" i="3"/>
  <c r="CS30" i="3"/>
  <c r="CS17" i="3"/>
  <c r="CS35" i="3"/>
  <c r="CS36" i="3"/>
  <c r="CS37" i="3"/>
  <c r="CS10" i="3"/>
  <c r="T15" i="3" s="1"/>
  <c r="CS22" i="3"/>
  <c r="U41" i="3" s="1"/>
  <c r="CS51" i="3"/>
  <c r="CS43" i="3"/>
  <c r="CS40" i="3"/>
  <c r="T69" i="3" s="1"/>
  <c r="CS50" i="3"/>
  <c r="T92" i="3" s="1"/>
  <c r="CS29" i="3"/>
  <c r="CS24" i="3"/>
  <c r="U38" i="3" s="1"/>
  <c r="CS31" i="3"/>
  <c r="CS38" i="3"/>
  <c r="CS15" i="3"/>
  <c r="T25" i="3" s="1"/>
  <c r="CS11" i="3"/>
  <c r="U14" i="3" s="1"/>
  <c r="CS32" i="3"/>
  <c r="CS25" i="3"/>
  <c r="T41" i="3" s="1"/>
  <c r="CS34" i="3"/>
  <c r="T60" i="3" s="1"/>
  <c r="CS20" i="3"/>
  <c r="T29" i="3" s="1"/>
  <c r="CS41" i="3"/>
  <c r="CS48" i="3"/>
  <c r="CS19" i="3"/>
  <c r="U28" i="3" s="1"/>
  <c r="CS16" i="3"/>
  <c r="U25" i="3" s="1"/>
  <c r="CS49" i="3"/>
  <c r="CS39" i="3"/>
  <c r="U68" i="3" s="1"/>
  <c r="CS21" i="3"/>
  <c r="U29" i="3" s="1"/>
  <c r="CS9" i="3"/>
  <c r="CS47" i="3"/>
  <c r="CS7" i="3"/>
  <c r="U4" i="3" s="1"/>
  <c r="CS28" i="3"/>
  <c r="CS27" i="3"/>
  <c r="U44" i="3" s="1"/>
  <c r="CS14" i="3"/>
  <c r="T20" i="3" s="1"/>
  <c r="CS26" i="3"/>
  <c r="T46" i="3" s="1"/>
  <c r="T71" i="3"/>
  <c r="T16" i="3"/>
  <c r="U64" i="3"/>
  <c r="U40" i="3"/>
  <c r="U89" i="3"/>
  <c r="U61" i="3"/>
  <c r="T96" i="3"/>
  <c r="T64" i="3"/>
  <c r="U5" i="3"/>
  <c r="T94" i="3"/>
  <c r="U15" i="3"/>
  <c r="T76" i="3"/>
  <c r="T56" i="3"/>
  <c r="U65" i="3"/>
  <c r="T80" i="3"/>
  <c r="U95" i="3"/>
  <c r="T47" i="3"/>
  <c r="T62" i="3"/>
  <c r="U76" i="3"/>
  <c r="U32" i="3"/>
  <c r="U70" i="3"/>
  <c r="T24" i="3"/>
  <c r="U54" i="3"/>
  <c r="U53" i="3"/>
  <c r="U84" i="3"/>
  <c r="U16" i="3"/>
  <c r="U56" i="3"/>
  <c r="T97" i="3"/>
  <c r="T13" i="3"/>
  <c r="T33" i="3"/>
  <c r="T8" i="3"/>
  <c r="T6" i="3"/>
  <c r="T9" i="3"/>
  <c r="T61" i="3"/>
  <c r="U36" i="3"/>
  <c r="T54" i="3"/>
  <c r="U78" i="3"/>
  <c r="U17" i="3"/>
  <c r="T89" i="3"/>
  <c r="T79" i="3"/>
  <c r="T63" i="3"/>
  <c r="T85" i="3"/>
  <c r="T65" i="3"/>
  <c r="U86" i="3"/>
  <c r="T53" i="3"/>
  <c r="T40" i="3"/>
  <c r="T52" i="3"/>
  <c r="U39" i="3"/>
  <c r="U80" i="3"/>
  <c r="U48" i="3"/>
  <c r="T7" i="3"/>
  <c r="T49" i="3"/>
  <c r="T72" i="3"/>
  <c r="U72" i="3"/>
  <c r="U69" i="3"/>
  <c r="U20" i="3"/>
  <c r="T73" i="3"/>
  <c r="T32" i="3"/>
  <c r="T88" i="3"/>
  <c r="T95" i="3"/>
  <c r="U63" i="3"/>
  <c r="U77" i="3"/>
  <c r="U55" i="3"/>
  <c r="T55" i="3"/>
  <c r="U96" i="3"/>
  <c r="T22" i="3"/>
  <c r="T57" i="3"/>
  <c r="U49" i="3"/>
  <c r="U79" i="3"/>
  <c r="U87" i="3"/>
  <c r="U62" i="3"/>
  <c r="U71" i="3"/>
  <c r="U9" i="3"/>
  <c r="T87" i="3"/>
  <c r="U57" i="3"/>
  <c r="T86" i="3"/>
  <c r="T77" i="3"/>
  <c r="U8" i="3"/>
  <c r="T31" i="3"/>
  <c r="T81" i="3"/>
  <c r="U97" i="3"/>
  <c r="CT51" i="3" s="1"/>
  <c r="U52" i="3"/>
  <c r="T68" i="3"/>
  <c r="U7" i="3"/>
  <c r="U60" i="3"/>
  <c r="U13" i="3"/>
  <c r="T17" i="3"/>
  <c r="T84" i="3"/>
  <c r="U33" i="3"/>
  <c r="U46" i="3"/>
  <c r="T4" i="3"/>
  <c r="U45" i="3"/>
  <c r="U81" i="3"/>
  <c r="T93" i="3"/>
  <c r="U24" i="3"/>
  <c r="T70" i="3"/>
  <c r="U85" i="3"/>
  <c r="U92" i="3"/>
  <c r="U93" i="3"/>
  <c r="U21" i="3"/>
  <c r="T5" i="3"/>
  <c r="U94" i="3"/>
  <c r="T48" i="3"/>
  <c r="T78" i="3"/>
  <c r="T45" i="3"/>
  <c r="U73" i="3"/>
  <c r="CT6" i="3"/>
  <c r="E41" i="48"/>
  <c r="F40" i="48" a="1"/>
  <c r="F40" i="48" s="1"/>
  <c r="U30" i="3" l="1"/>
  <c r="T12" i="3"/>
  <c r="CT11" i="3" s="1"/>
  <c r="U12" i="3"/>
  <c r="T30" i="3"/>
  <c r="T37" i="3"/>
  <c r="U23" i="3"/>
  <c r="U31" i="3"/>
  <c r="U22" i="3"/>
  <c r="U6" i="3"/>
  <c r="T38" i="3"/>
  <c r="T36" i="3"/>
  <c r="T21" i="3"/>
  <c r="T44" i="3"/>
  <c r="T39" i="3"/>
  <c r="CT23" i="3" s="1"/>
  <c r="U47" i="3"/>
  <c r="U37" i="3"/>
  <c r="T23" i="3"/>
  <c r="CT16" i="3"/>
  <c r="CT8" i="3"/>
  <c r="CT21" i="3"/>
  <c r="CT39" i="3"/>
  <c r="CT26" i="3"/>
  <c r="CT30" i="3"/>
  <c r="CT17" i="3"/>
  <c r="CT19" i="3"/>
  <c r="CT35" i="3"/>
  <c r="CT20" i="3"/>
  <c r="CT43" i="3"/>
  <c r="CT38" i="3"/>
  <c r="CT12" i="3"/>
  <c r="CT46" i="3"/>
  <c r="CT40" i="3"/>
  <c r="CT9"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<sst xmlns="http://schemas.openxmlformats.org/spreadsheetml/2006/main" count="16873" uniqueCount="2800">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</sst>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1|2-1</c:v>
                </c:pt>
                <c:pt idx="2">
                  <c:v>Pegar Valores (J1)</c:v>
                </c:pt>
                <c:pt idx="3">
                  <c:v>1|1-0</c:v>
                </c:pt>
                <c:pt idx="4">
                  <c:v>1|3-1</c:v>
                </c:pt>
                <c:pt idx="5">
                  <c:v>1|3-0</c:v>
                </c:pt>
                <c:pt idx="6">
                  <c:v>X|1-1</c:v>
                </c:pt>
                <c:pt idx="7">
                  <c:v>X|2-2</c:v>
                </c:pt>
              </c:strCache>
            </c:strRef>
          </c:cat>
          <c:val>
            <c:numRef>
              <c:f>Stats!$I$8:$I$31</c:f>
              <c:numCache>
                <c:formatCode>General</c:formatCode>
                <c:ptCount val="24"/>
                <c:pt idx="0">
                  <c:v>20</c:v>
                </c:pt>
                <c:pt idx="1">
                  <c:v>9</c:v>
                </c:pt>
                <c:pt idx="2">
                  <c:v>9</c:v>
                </c:pt>
                <c:pt idx="3">
                  <c:v>6</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1|2-1</c:v>
                </c:pt>
                <c:pt idx="2">
                  <c:v>Pegar Valores (J1)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1|2-1</c:v>
                </c:pt>
                <c:pt idx="2">
                  <c:v>Pegar Valores (J1)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0.95121951219512191</c:v>
                </c:pt>
                <c:pt idx="1">
                  <c:v>4.878048780487805E-2</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51" zoomScaleNormal="100" workbookViewId="0">
      <selection activeCell="AD79" sqref="AD79"/>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P.3 (2)</v>
      </c>
      <c r="G4" s="744"/>
      <c r="H4" s="744" t="str">
        <f t="shared" ref="H4:H9" ca="1" si="3">IF(D4="Pendiente","-",INDEX($BZ$6:$BZ$53,MATCH($AA4,$BD$6:$BD$53,0)))</f>
        <v>-</v>
      </c>
      <c r="I4" s="744" t="str">
        <f t="shared" ref="I4:I9" ca="1" si="4">IF(D4="Pendiente","-",INDEX($BZ$6:$BZ$53,MATCH($AF4,$BD$6:$BD$53,0)))</f>
        <v>P.3 (2)</v>
      </c>
      <c r="J4" s="744"/>
      <c r="K4" s="744" t="str">
        <f t="shared" ref="K4:K9" ca="1" si="5">IF(D4="Pendiente","-",INDEX($CE$6:$CE$53,MATCH($AA4,$BD$6:$BD$53,0)))</f>
        <v>-</v>
      </c>
      <c r="L4" s="744" t="str">
        <f t="shared" ref="L4:L9" ca="1" si="6">IF(D4="Pendiente","-",INDEX($CE$6:$CE$53,MATCH($AF4,$BD$6:$BD$53,0)))</f>
        <v>P.3 (2)</v>
      </c>
      <c r="M4" s="744"/>
      <c r="N4" s="744" t="str">
        <f t="shared" ref="N4:N9" ca="1" si="7">IF(D4="Pendiente","-",INDEX($CH$6:$CH$53,MATCH($AA4,$BD$6:$BD$53,0)))</f>
        <v>-</v>
      </c>
      <c r="O4" s="744" t="str">
        <f t="shared" ref="O4:O9" ca="1" si="8">IF(D4="Pendiente","-",INDEX($CH$6:$CH$53,MATCH($AF4,$BD$6:$BD$53,0)))</f>
        <v>P.3 (2)</v>
      </c>
      <c r="P4" s="744"/>
      <c r="Q4" s="744" t="str">
        <f t="shared" ref="Q4:Q9" ca="1" si="9">IF(D4="Pendiente","-",INDEX($CN$6:$CN$53,MATCH($AA4,$BD$6:$BD$53,0)))</f>
        <v>-</v>
      </c>
      <c r="R4" s="744" t="str">
        <f t="shared" ref="R4:R9" ca="1" si="10">IF(D4="Pendiente","-",INDEX($CN$6:$CN$53,MATCH($AF4,$BD$6:$BD$53,0)))</f>
        <v>P.3 (2)</v>
      </c>
      <c r="S4" s="744"/>
      <c r="T4" s="744" t="str">
        <f t="shared" ref="T4:T9" ca="1" si="11">IF(D4="Pendiente","-",INDEX($CS$6:$CS$53,MATCH($AA4,$BD$6:$BD$53,0)))</f>
        <v>-</v>
      </c>
      <c r="U4" s="744" t="str">
        <f t="shared" ref="U4:U9" ca="1" si="12">IF(D4="Pendiente","-",INDEX($CS$6:$CS$53,MATCH($AF4,$BD$6:$BD$53,0)))</f>
        <v>P.3 (2)</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P.3 (2)</v>
      </c>
      <c r="G5" s="744"/>
      <c r="H5" s="744" t="str">
        <f t="shared" ca="1" si="3"/>
        <v>-</v>
      </c>
      <c r="I5" s="744" t="str">
        <f t="shared" ca="1" si="4"/>
        <v>P.3 (2)</v>
      </c>
      <c r="J5" s="744"/>
      <c r="K5" s="744" t="str">
        <f t="shared" ca="1" si="5"/>
        <v>-</v>
      </c>
      <c r="L5" s="744" t="str">
        <f t="shared" ca="1" si="6"/>
        <v>P.3 (2)</v>
      </c>
      <c r="M5" s="744"/>
      <c r="N5" s="744" t="str">
        <f t="shared" ca="1" si="7"/>
        <v>-</v>
      </c>
      <c r="O5" s="744" t="str">
        <f t="shared" ca="1" si="8"/>
        <v>P.3 (2)</v>
      </c>
      <c r="P5" s="744"/>
      <c r="Q5" s="744" t="str">
        <f t="shared" ca="1" si="9"/>
        <v>-</v>
      </c>
      <c r="R5" s="744" t="str">
        <f t="shared" ca="1" si="10"/>
        <v>P.3 (2)</v>
      </c>
      <c r="S5" s="744"/>
      <c r="T5" s="744" t="str">
        <f t="shared" ca="1" si="11"/>
        <v>-</v>
      </c>
      <c r="U5" s="744" t="str">
        <f t="shared" ca="1" si="12"/>
        <v>P.3 (2)</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P.3 (2)</v>
      </c>
      <c r="F6" s="744" t="str">
        <f t="shared" ca="1" si="2"/>
        <v>P.3 (2)</v>
      </c>
      <c r="G6" s="744"/>
      <c r="H6" s="744" t="str">
        <f t="shared" ca="1" si="3"/>
        <v>P.3 (2)</v>
      </c>
      <c r="I6" s="744" t="str">
        <f t="shared" ca="1" si="4"/>
        <v>P.3 (2)</v>
      </c>
      <c r="J6" s="744"/>
      <c r="K6" s="744" t="str">
        <f t="shared" ca="1" si="5"/>
        <v>P.3 (2)</v>
      </c>
      <c r="L6" s="744" t="str">
        <f t="shared" ca="1" si="6"/>
        <v>P.3 (2)</v>
      </c>
      <c r="M6" s="744"/>
      <c r="N6" s="744" t="str">
        <f t="shared" ca="1" si="7"/>
        <v>P.3 (2)</v>
      </c>
      <c r="O6" s="744" t="str">
        <f t="shared" ca="1" si="8"/>
        <v>P.3 (2)</v>
      </c>
      <c r="P6" s="744"/>
      <c r="Q6" s="744" t="str">
        <f t="shared" ca="1" si="9"/>
        <v>P.3 (2)</v>
      </c>
      <c r="R6" s="744" t="str">
        <f t="shared" ca="1" si="10"/>
        <v>P.3 (2)</v>
      </c>
      <c r="S6" s="744"/>
      <c r="T6" s="744" t="str">
        <f t="shared" ca="1" si="11"/>
        <v>P.3 (2)</v>
      </c>
      <c r="U6" s="744" t="str">
        <f t="shared" ca="1" si="12"/>
        <v>P.3 (2)</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6</v>
      </c>
      <c r="AN6" s="214">
        <f t="shared" ca="1" si="16"/>
        <v>2</v>
      </c>
      <c r="AO6" s="214">
        <f t="shared" ca="1" si="16"/>
        <v>2</v>
      </c>
      <c r="AP6" s="214">
        <f t="shared" ca="1" si="16"/>
        <v>0</v>
      </c>
      <c r="AQ6" s="214">
        <f t="shared" ca="1" si="16"/>
        <v>0</v>
      </c>
      <c r="AR6" s="214">
        <f t="shared" ca="1" si="16"/>
        <v>3</v>
      </c>
      <c r="AS6" s="214">
        <f t="shared" ca="1" si="16"/>
        <v>0</v>
      </c>
      <c r="AT6" s="215">
        <f t="shared" ca="1" si="16"/>
        <v>3</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6</v>
      </c>
      <c r="BF6" s="748">
        <f ca="1">+BG6+BH6+BI6</f>
        <v>2</v>
      </c>
      <c r="BG6" s="748">
        <f t="shared" ref="BG6:BG53" ca="1" si="17">+COUNTIFS(FGLocal,BD6,Ganador,"Local")+COUNTIFS(FGVisitante,BD6,Ganador,"Visitante")</f>
        <v>2</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3</v>
      </c>
      <c r="BK6" s="748">
        <f t="shared" ref="BK6:BK53" ca="1" si="21">+SUMIFS(FG_GolesLocal,FGVisitante,BD6,Ganador,"&lt;&gt;"&amp;"Pendiente",FG_GolesLocal,"&lt;&gt;"&amp;"",FG_GolesVisitante,"&lt;&gt;"&amp;"")+SUMIFS(FG_GolesVisitante,FGLocal,BD6,Ganador,"&lt;&gt;"&amp;"Pendiente",FG_GolesLocal,"&lt;&gt;"&amp;"",FG_GolesVisitante,"&lt;&gt;"&amp;"")</f>
        <v>0</v>
      </c>
      <c r="BL6" s="748">
        <f ca="1">+BJ6-BK6</f>
        <v>3</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6</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8</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2</v>
      </c>
      <c r="AO7" s="224">
        <f t="shared" ca="1" si="16"/>
        <v>1</v>
      </c>
      <c r="AP7" s="224">
        <f t="shared" ca="1" si="16"/>
        <v>0</v>
      </c>
      <c r="AQ7" s="224">
        <f t="shared" ca="1" si="16"/>
        <v>1</v>
      </c>
      <c r="AR7" s="224">
        <f t="shared" ca="1" si="16"/>
        <v>2</v>
      </c>
      <c r="AS7" s="224">
        <f t="shared" ca="1" si="16"/>
        <v>2</v>
      </c>
      <c r="AT7" s="225">
        <f t="shared" ca="1" si="16"/>
        <v>0</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1</v>
      </c>
      <c r="BF7" s="748">
        <f t="shared" ref="BF7:BF53" ca="1" si="26">+BG7+BH7+BI7</f>
        <v>2</v>
      </c>
      <c r="BG7" s="748">
        <f t="shared" ca="1" si="17"/>
        <v>0</v>
      </c>
      <c r="BH7" s="748">
        <f t="shared" ca="1" si="18"/>
        <v>1</v>
      </c>
      <c r="BI7" s="748">
        <f t="shared" ca="1" si="19"/>
        <v>1</v>
      </c>
      <c r="BJ7" s="748">
        <f t="shared" ca="1" si="20"/>
        <v>1</v>
      </c>
      <c r="BK7" s="748">
        <f t="shared" ca="1" si="21"/>
        <v>3</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1</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1</v>
      </c>
      <c r="BW7" s="758">
        <f ca="1">IF($BT7="-","-",COUNTIFS(FGLocal,$BD7,Ganador,"Visitante",Part1Empate1V,$BT7)+COUNTIFS(FGVisitante,$BD7,Ganador,"Local",Part1Empate1L,$BT7))</f>
        <v>0</v>
      </c>
      <c r="BX7" s="758">
        <f ca="1">IF($BT7="-","-",BU7*3+BV7)</f>
        <v>1</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1</v>
      </c>
      <c r="CB7" s="758">
        <f ca="1">IF($BZ7="-","-",SUMIFS(FG_GolesVisitante,FGLocal,$BD7,Part1Empate2V,$BZ7)+SUMIFS(FG_GolesLocal,FGVisitante,$BD7,Part1Empate2L,$BZ7))</f>
        <v>1</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1</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1</v>
      </c>
      <c r="CK7" s="758">
        <f ca="1">IF($CH7="-","-",COUNTIFS(FGLocal,$BD7,Ganador,"Visitante",Part2Empate4V,$CH7)+COUNTIFS(FGVisitante,$BD7,Ganador,"Local",Part2Empate4L,$CH7))</f>
        <v>0</v>
      </c>
      <c r="CL7" s="758">
        <f ca="1">IF($CH7="-","-",CI7*3+CJ7)</f>
        <v>1</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1</v>
      </c>
      <c r="CP7" s="758">
        <f ca="1">IF($CN7="-","-",SUMIFS(FG_GolesVisitante,FGLocal,$BD7,Part2Empate5V,$CN7)+SUMIFS(FG_GolesLocal,FGVisitante,$BD7,Part2Empate5L,$CN7))</f>
        <v>1</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1</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8</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2</v>
      </c>
      <c r="BG8" s="748">
        <f t="shared" ca="1" si="17"/>
        <v>1</v>
      </c>
      <c r="BH8" s="748">
        <f t="shared" ca="1" si="18"/>
        <v>0</v>
      </c>
      <c r="BI8" s="748">
        <f t="shared" ca="1" si="19"/>
        <v>1</v>
      </c>
      <c r="BJ8" s="748">
        <f t="shared" ca="1" si="20"/>
        <v>2</v>
      </c>
      <c r="BK8" s="748">
        <f t="shared" ca="1" si="21"/>
        <v>2</v>
      </c>
      <c r="BL8" s="748">
        <f t="shared" ca="1" si="27"/>
        <v>0</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2</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2</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2</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2</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2</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2</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2</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8</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2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2</v>
      </c>
      <c r="BG9" s="748">
        <f t="shared" ca="1" si="17"/>
        <v>0</v>
      </c>
      <c r="BH9" s="748">
        <f t="shared" ca="1" si="18"/>
        <v>1</v>
      </c>
      <c r="BI9" s="748">
        <f t="shared" ca="1" si="19"/>
        <v>1</v>
      </c>
      <c r="BJ9" s="748">
        <f t="shared" ca="1" si="20"/>
        <v>2</v>
      </c>
      <c r="BK9" s="748">
        <f t="shared" ca="1" si="21"/>
        <v>3</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1</v>
      </c>
      <c r="BW9" s="758">
        <f ca="1">IF($BT9="-","-",COUNTIFS(FGLocal,$BD9,Ganador,"Visitante",Part1Empate1V,$BT9)+COUNTIFS(FGVisitante,$BD9,Ganador,"Local",Part1Empate1L,$BT9))</f>
        <v>0</v>
      </c>
      <c r="BX9" s="758">
        <f ca="1">IF($BT9="-","-",BU9*3+BV9)</f>
        <v>1</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1</v>
      </c>
      <c r="CB9" s="758">
        <f ca="1">IF($BZ9="-","-",SUMIFS(FG_GolesVisitante,FGLocal,$BD9,Part1Empate2V,$BZ9)+SUMIFS(FG_GolesLocal,FGVisitante,$BD9,Part1Empate2L,$BZ9))</f>
        <v>1</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1</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1</v>
      </c>
      <c r="CK9" s="758">
        <f ca="1">IF($CH9="-","-",COUNTIFS(FGLocal,$BD9,Ganador,"Visitante",Part2Empate4V,$CH9)+COUNTIFS(FGVisitante,$BD9,Ganador,"Local",Part2Empate4L,$CH9))</f>
        <v>0</v>
      </c>
      <c r="CL9" s="758">
        <f ca="1">IF($CH9="-","-",CI9*3+CJ9)</f>
        <v>1</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1</v>
      </c>
      <c r="CP9" s="758">
        <f ca="1">IF($CN9="-","-",SUMIFS(FG_GolesVisitante,FGLocal,$BD9,Part2Empate5V,$CN9)+SUMIFS(FG_GolesLocal,FGVisitante,$BD9,Part2Empate5L,$CN9))</f>
        <v>1</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1</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8</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2</v>
      </c>
      <c r="BG10" s="748">
        <f t="shared" ca="1" si="17"/>
        <v>1</v>
      </c>
      <c r="BH10" s="748">
        <f t="shared" ca="1" si="18"/>
        <v>1</v>
      </c>
      <c r="BI10" s="748">
        <f t="shared" ca="1" si="19"/>
        <v>0</v>
      </c>
      <c r="BJ10" s="748">
        <f t="shared" ca="1" si="20"/>
        <v>7</v>
      </c>
      <c r="BK10" s="748">
        <f t="shared" ca="1" si="21"/>
        <v>1</v>
      </c>
      <c r="BL10" s="748">
        <f t="shared" ca="1" si="27"/>
        <v>6</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(2)</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(2)</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(2)</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(2)</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(2)</v>
      </c>
      <c r="CW10" s="757">
        <f t="shared" ca="1" si="30"/>
        <v>6</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t="str">
        <f ca="1">IF(DB10="-","-",COUNTIFS(DF$6:DF$53,"&lt;"&amp;DF10,$BC$6:$BC$53,INDEX(T_Equipos[Grupo],MATCH(BD10,T_Equipos[NombreEquipo],0))))</f>
        <v>-</v>
      </c>
      <c r="DH10" s="756">
        <f ca="1">DA10+COUNTIFS(DB$6:DB$53,DB10,DG$6:DG$53,"&lt;"&amp;DG10,$BC$6:$BC$53,INDEX(T_Equipos[Grupo],MATCH(BD10,T_Equipos[NombreEquipo],0)))</f>
        <v>1</v>
      </c>
      <c r="DI10" s="744"/>
      <c r="DJ10" s="744">
        <f t="shared" ref="DJ10:DJ53" ca="1" si="53">INDEX($DA$6:$DA$53,MATCH($DQ10,$BD$6:$BD$53,0))</f>
        <v>1</v>
      </c>
      <c r="DK10" s="744">
        <f t="shared" ca="1" si="24"/>
        <v>8</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2</v>
      </c>
      <c r="BG11" s="748">
        <f t="shared" ca="1" si="17"/>
        <v>0</v>
      </c>
      <c r="BH11" s="748">
        <f t="shared" ca="1" si="18"/>
        <v>1</v>
      </c>
      <c r="BI11" s="748">
        <f t="shared" ca="1" si="19"/>
        <v>1</v>
      </c>
      <c r="BJ11" s="748">
        <f t="shared" ca="1" si="20"/>
        <v>2</v>
      </c>
      <c r="BK11" s="748">
        <f t="shared" ca="1" si="21"/>
        <v>5</v>
      </c>
      <c r="BL11" s="748">
        <f t="shared" ca="1" si="27"/>
        <v>-3</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3</v>
      </c>
      <c r="BT11" s="757" t="str">
        <f ca="1">IF(COUNTIFS($BS$6:$BS$53,BS11,$BC$6:$BC$53,INDEX(T_Equipos[Grupo],MATCH(BD11,T_Equipos[NombreEquipo],0)))=1,"-","P."&amp;BS11&amp;" ("&amp;COUNTIFS($BS$6:$BS$53,BS11,$BC$6:$BC$53,INDEX(T_Equipos[Grupo],MATCH(BD11,T_Equipos[NombreEquipo],0)))&amp;")")</f>
        <v>P.3 (2)</v>
      </c>
      <c r="BU11" s="758">
        <f t="shared" ca="1" si="36"/>
        <v>0</v>
      </c>
      <c r="BV11" s="758">
        <f t="shared" ca="1" si="37"/>
        <v>0</v>
      </c>
      <c r="BW11" s="758">
        <f t="shared" ca="1" si="38"/>
        <v>0</v>
      </c>
      <c r="BX11" s="758">
        <f t="shared" ca="1" si="39"/>
        <v>0</v>
      </c>
      <c r="BY11" s="758">
        <f ca="1">BS11+COUNTIFS($BT$6:$BT$53,BT11,$BX$6:BX$53,"&gt;"&amp;BX11,$BC$6:$BC$53,INDEX(T_Equipos[Grupo],MATCH(BD11,T_Equipos[NombreEquipo],0)))</f>
        <v>3</v>
      </c>
      <c r="BZ11" s="757" t="str">
        <f ca="1">IF(COUNTIFS($BY$6:$BY$53,BY11,$BC$6:$BC$53,INDEX(T_Equipos[Grupo],MATCH(BD11,T_Equipos[NombreEquipo],0)))=1,"-","P."&amp;BY11&amp;" ("&amp;COUNTIFS($BY$6:$BY$53,BY11,$BC$6:$BC$53,INDEX(T_Equipos[Grupo],MATCH(BD11,T_Equipos[NombreEquipo],0)))&amp;")")</f>
        <v>P.3 (2)</v>
      </c>
      <c r="CA11" s="758">
        <f t="shared" ca="1" si="40"/>
        <v>0</v>
      </c>
      <c r="CB11" s="758">
        <f t="shared" ca="1" si="41"/>
        <v>0</v>
      </c>
      <c r="CC11" s="758">
        <f t="shared" ca="1" si="42"/>
        <v>0</v>
      </c>
      <c r="CD11" s="758">
        <f ca="1">BY11+COUNTIFS($BZ$6:$BZ$53,BZ11,$CC$6:CC$53,"&gt;"&amp;CC11,$BC$6:$BC$53,INDEX(T_Equipos[Grupo],MATCH(BD11,T_Equipos[NombreEquipo],0)))</f>
        <v>3</v>
      </c>
      <c r="CE11" s="757" t="str">
        <f ca="1">IF(COUNTIFS($CD$6:$CD$53,CD11,$BC$6:$BC$53,INDEX(T_Equipos[Grupo],MATCH(BD11,T_Equipos[NombreEquipo],0)))=1,"-","P."&amp;CD11&amp;" ("&amp;COUNTIFS($CD$6:$CD$53,CD11,$BC$6:$BC$53,INDEX(T_Equipos[Grupo],MATCH(BD11,T_Equipos[NombreEquipo],0)))&amp;")")</f>
        <v>P.3 (2)</v>
      </c>
      <c r="CF11" s="758">
        <f t="shared" ca="1" si="43"/>
        <v>0</v>
      </c>
      <c r="CG11" s="758">
        <f ca="1">CD11+COUNTIFS($CE$6:$CE$53,CE11,$CF$6:CF$53,"&gt;"&amp;CF11,$BC$6:$BC$53,INDEX(T_Equipos[Grupo],MATCH(BD11,T_Equipos[NombreEquipo],0)))</f>
        <v>3</v>
      </c>
      <c r="CH11" s="757" t="str">
        <f ca="1">IF(COUNTIFS($CG$6:$CG$53,CG11,$BC$6:$BC$53,INDEX(T_Equipos[Grupo],MATCH(BD11,T_Equipos[NombreEquipo],0)))=1,"-","P."&amp;CG11&amp;" ("&amp;COUNTIFS($CG$6:$CG$53,CG11,$BC$6:$BC$53,INDEX(T_Equipos[Grupo],MATCH(BD11,T_Equipos[NombreEquipo],0)))&amp;")")</f>
        <v>P.3 (2)</v>
      </c>
      <c r="CI11" s="758">
        <f t="shared" ca="1" si="44"/>
        <v>0</v>
      </c>
      <c r="CJ11" s="758">
        <f t="shared" ca="1" si="45"/>
        <v>0</v>
      </c>
      <c r="CK11" s="758">
        <f t="shared" ca="1" si="46"/>
        <v>0</v>
      </c>
      <c r="CL11" s="758">
        <f t="shared" ca="1" si="47"/>
        <v>0</v>
      </c>
      <c r="CM11" s="758">
        <f ca="1">CG11+COUNTIFS($CH$6:$CH$53,CH11,$CL$6:CL$53,"&gt;"&amp;CL11,$BC$6:$BC$53,INDEX(T_Equipos[Grupo],MATCH(BD11,T_Equipos[NombreEquipo],0)))</f>
        <v>3</v>
      </c>
      <c r="CN11" s="757" t="str">
        <f ca="1">IF(COUNTIFS($CM$6:$CM$53,CM11,$BC$6:$BC$53,INDEX(T_Equipos[Grupo],MATCH(BD11,T_Equipos[NombreEquipo],0)))=1,"-","P."&amp;CM11&amp;" ("&amp;COUNTIFS($CM$6:$CM$53,CM11,$BC$6:$BC$53,INDEX(T_Equipos[Grupo],MATCH(BD11,T_Equipos[NombreEquipo],0)))&amp;")")</f>
        <v>P.3 (2)</v>
      </c>
      <c r="CO11" s="758">
        <f t="shared" ca="1" si="48"/>
        <v>0</v>
      </c>
      <c r="CP11" s="758">
        <f t="shared" ca="1" si="49"/>
        <v>0</v>
      </c>
      <c r="CQ11" s="758">
        <f t="shared" ca="1" si="50"/>
        <v>0</v>
      </c>
      <c r="CR11" s="758">
        <f ca="1">CM11+COUNTIFS($CN$6:$CN$53,CN11,$CQ$6:CQ$53,"&gt;"&amp;CQ11,$BC$6:$BC$53,INDEX(T_Equipos[Grupo],MATCH(BD11,T_Equipos[NombreEquipo],0)))</f>
        <v>3</v>
      </c>
      <c r="CS11" s="757" t="str">
        <f ca="1">IF(COUNTIFS($CR$6:$CR$53,CR11,$BC$6:$BC$53,INDEX(T_Equipos[Grupo],MATCH(BD11,T_Equipos[NombreEquipo],0)))=1,"-","P."&amp;CR11&amp;" ("&amp;COUNTIFS($CR$6:$CR$53,CR11,$BC$6:$BC$53,INDEX(T_Equipos[Grupo],MATCH(BD11,T_Equipos[NombreEquipo],0)))&amp;")")</f>
        <v>P.3 (2)</v>
      </c>
      <c r="CT11" s="758">
        <f t="shared" ca="1" si="51"/>
        <v>0</v>
      </c>
      <c r="CU11" s="758">
        <f ca="1">CR11+COUNTIFS($CS$6:$CS$53,CS11,$CT$6:CT$53,"&gt;"&amp;CT11,$BC$6:$BC$53,INDEX(T_Equipos[Grupo],MATCH(BD11,T_Equipos[NombreEquipo],0)))</f>
        <v>3</v>
      </c>
      <c r="CV11" s="757" t="str">
        <f ca="1">IF(COUNTIFS($CU$6:$CU$53,CU11,$BC$6:$BC$53,INDEX(T_Equipos[Grupo],MATCH(BD11,T_Equipos[NombreEquipo],0)))=1,"-","P."&amp;CU11&amp;" ("&amp;COUNTIFS($CU$6:$CU$53,CU11,$BC$6:$BC$53,INDEX(T_Equipos[Grupo],MATCH(BD11,T_Equipos[NombreEquipo],0)))&amp;")")</f>
        <v>P.3 (2)</v>
      </c>
      <c r="CW11" s="757">
        <f t="shared" ca="1" si="30"/>
        <v>-3</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8</v>
      </c>
      <c r="DL11" s="744">
        <f t="shared" ca="1" si="33"/>
        <v>1</v>
      </c>
      <c r="DM11" s="738" t="str">
        <f t="shared" ca="1" si="34"/>
        <v>2.1</v>
      </c>
      <c r="DN11" s="744" cm="1">
        <f t="array" aca="1" ref="DN11" ca="1">OFFSET(Horarios!$P$3,DJ11-1,0,DL11,1)</f>
        <v>2</v>
      </c>
      <c r="DO11" s="744"/>
      <c r="DP11" s="744" t="s">
        <v>649</v>
      </c>
      <c r="DQ11" s="744" t="str">
        <f t="shared" ca="1" si="35"/>
        <v>Suiza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(2)</v>
      </c>
      <c r="F12" s="744" t="str">
        <f t="shared" ref="F12:F17" ca="1" si="56">IF(D12="Pendiente","-",INDEX($BT$6:$BT$53,MATCH($AF12,$BD$6:$BD$53,0)))</f>
        <v>P.3 (2)</v>
      </c>
      <c r="G12" s="744"/>
      <c r="H12" s="744" t="str">
        <f t="shared" ref="H12:H17" ca="1" si="57">IF(D12="Pendiente","-",INDEX($BZ$6:$BZ$53,MATCH($AA12,$BD$6:$BD$53,0)))</f>
        <v>P.1 (2)</v>
      </c>
      <c r="I12" s="744" t="str">
        <f t="shared" ref="I12:I17" ca="1" si="58">IF(D12="Pendiente","-",INDEX($BZ$6:$BZ$53,MATCH($AF12,$BD$6:$BD$53,0)))</f>
        <v>P.3 (2)</v>
      </c>
      <c r="J12" s="744"/>
      <c r="K12" s="744" t="str">
        <f t="shared" ref="K12:K17" ca="1" si="59">IF(D12="Pendiente","-",INDEX($CE$6:$CE$53,MATCH($AA12,$BD$6:$BD$53,0)))</f>
        <v>P.1 (2)</v>
      </c>
      <c r="L12" s="744" t="str">
        <f t="shared" ref="L12:L17" ca="1" si="60">IF(D12="Pendiente","-",INDEX($CE$6:$CE$53,MATCH($AF12,$BD$6:$BD$53,0)))</f>
        <v>P.3 (2)</v>
      </c>
      <c r="M12" s="744"/>
      <c r="N12" s="744" t="str">
        <f t="shared" ref="N12:N17" ca="1" si="61">IF(D12="Pendiente","-",INDEX($CH$6:$CH$53,MATCH($AA12,$BD$6:$BD$53,0)))</f>
        <v>P.1 (2)</v>
      </c>
      <c r="O12" s="744" t="str">
        <f t="shared" ref="O12:O17" ca="1" si="62">IF(D12="Pendiente","-",INDEX($CH$6:$CH$53,MATCH($AF12,$BD$6:$BD$53,0)))</f>
        <v>P.3 (2)</v>
      </c>
      <c r="P12" s="744"/>
      <c r="Q12" s="744" t="str">
        <f t="shared" ref="Q12:Q17" ca="1" si="63">IF(D12="Pendiente","-",INDEX($CN$6:$CN$53,MATCH($AA12,$BD$6:$BD$53,0)))</f>
        <v>P.1 (2)</v>
      </c>
      <c r="R12" s="744" t="str">
        <f t="shared" ref="R12:R17" ca="1" si="64">IF(D12="Pendiente","-",INDEX($CN$6:$CN$53,MATCH($AF12,$BD$6:$BD$53,0)))</f>
        <v>P.3 (2)</v>
      </c>
      <c r="S12" s="744"/>
      <c r="T12" s="744" t="str">
        <f t="shared" ref="T12:T17" ca="1" si="65">IF(D12="Pendiente","-",INDEX($CS$6:$CS$53,MATCH($AA12,$BD$6:$BD$53,0)))</f>
        <v>P.1 (2)</v>
      </c>
      <c r="U12" s="744" t="str">
        <f t="shared" ref="U12:U17" ca="1" si="66">IF(D12="Pendiente","-",INDEX($CS$6:$CS$53,MATCH($AF12,$BD$6:$BD$53,0)))</f>
        <v>P.3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2</v>
      </c>
      <c r="BG12" s="748">
        <f t="shared" ca="1" si="17"/>
        <v>0</v>
      </c>
      <c r="BH12" s="748">
        <f t="shared" ca="1" si="18"/>
        <v>1</v>
      </c>
      <c r="BI12" s="748">
        <f t="shared" ca="1" si="19"/>
        <v>1</v>
      </c>
      <c r="BJ12" s="748">
        <f t="shared" ca="1" si="20"/>
        <v>1</v>
      </c>
      <c r="BK12" s="748">
        <f t="shared" ca="1" si="21"/>
        <v>7</v>
      </c>
      <c r="BL12" s="748">
        <f t="shared" ca="1" si="27"/>
        <v>-6</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3</v>
      </c>
      <c r="BT12" s="757" t="str">
        <f ca="1">IF(COUNTIFS($BS$6:$BS$53,BS12,$BC$6:$BC$53,INDEX(T_Equipos[Grupo],MATCH(BD12,T_Equipos[NombreEquipo],0)))=1,"-","P."&amp;BS12&amp;" ("&amp;COUNTIFS($BS$6:$BS$53,BS12,$BC$6:$BC$53,INDEX(T_Equipos[Grupo],MATCH(BD12,T_Equipos[NombreEquipo],0)))&amp;")")</f>
        <v>P.3 (2)</v>
      </c>
      <c r="BU12" s="758">
        <f t="shared" ca="1" si="36"/>
        <v>0</v>
      </c>
      <c r="BV12" s="758">
        <f t="shared" ca="1" si="37"/>
        <v>0</v>
      </c>
      <c r="BW12" s="758">
        <f t="shared" ca="1" si="38"/>
        <v>0</v>
      </c>
      <c r="BX12" s="758">
        <f t="shared" ca="1" si="39"/>
        <v>0</v>
      </c>
      <c r="BY12" s="758">
        <f ca="1">BS12+COUNTIFS($BT$6:$BT$53,BT12,$BX$6:BX$53,"&gt;"&amp;BX12,$BC$6:$BC$53,INDEX(T_Equipos[Grupo],MATCH(BD12,T_Equipos[NombreEquipo],0)))</f>
        <v>3</v>
      </c>
      <c r="BZ12" s="757" t="str">
        <f ca="1">IF(COUNTIFS($BY$6:$BY$53,BY12,$BC$6:$BC$53,INDEX(T_Equipos[Grupo],MATCH(BD12,T_Equipos[NombreEquipo],0)))=1,"-","P."&amp;BY12&amp;" ("&amp;COUNTIFS($BY$6:$BY$53,BY12,$BC$6:$BC$53,INDEX(T_Equipos[Grupo],MATCH(BD12,T_Equipos[NombreEquipo],0)))&amp;")")</f>
        <v>P.3 (2)</v>
      </c>
      <c r="CA12" s="758">
        <f t="shared" ca="1" si="40"/>
        <v>0</v>
      </c>
      <c r="CB12" s="758">
        <f t="shared" ca="1" si="41"/>
        <v>0</v>
      </c>
      <c r="CC12" s="758">
        <f t="shared" ca="1" si="42"/>
        <v>0</v>
      </c>
      <c r="CD12" s="758">
        <f ca="1">BY12+COUNTIFS($BZ$6:$BZ$53,BZ12,$CC$6:CC$53,"&gt;"&amp;CC12,$BC$6:$BC$53,INDEX(T_Equipos[Grupo],MATCH(BD12,T_Equipos[NombreEquipo],0)))</f>
        <v>3</v>
      </c>
      <c r="CE12" s="757" t="str">
        <f ca="1">IF(COUNTIFS($CD$6:$CD$53,CD12,$BC$6:$BC$53,INDEX(T_Equipos[Grupo],MATCH(BD12,T_Equipos[NombreEquipo],0)))=1,"-","P."&amp;CD12&amp;" ("&amp;COUNTIFS($CD$6:$CD$53,CD12,$BC$6:$BC$53,INDEX(T_Equipos[Grupo],MATCH(BD12,T_Equipos[NombreEquipo],0)))&amp;")")</f>
        <v>P.3 (2)</v>
      </c>
      <c r="CF12" s="758">
        <f t="shared" ca="1" si="43"/>
        <v>0</v>
      </c>
      <c r="CG12" s="758">
        <f ca="1">CD12+COUNTIFS($CE$6:$CE$53,CE12,$CF$6:CF$53,"&gt;"&amp;CF12,$BC$6:$BC$53,INDEX(T_Equipos[Grupo],MATCH(BD12,T_Equipos[NombreEquipo],0)))</f>
        <v>3</v>
      </c>
      <c r="CH12" s="757" t="str">
        <f ca="1">IF(COUNTIFS($CG$6:$CG$53,CG12,$BC$6:$BC$53,INDEX(T_Equipos[Grupo],MATCH(BD12,T_Equipos[NombreEquipo],0)))=1,"-","P."&amp;CG12&amp;" ("&amp;COUNTIFS($CG$6:$CG$53,CG12,$BC$6:$BC$53,INDEX(T_Equipos[Grupo],MATCH(BD12,T_Equipos[NombreEquipo],0)))&amp;")")</f>
        <v>P.3 (2)</v>
      </c>
      <c r="CI12" s="758">
        <f t="shared" ca="1" si="44"/>
        <v>0</v>
      </c>
      <c r="CJ12" s="758">
        <f t="shared" ca="1" si="45"/>
        <v>0</v>
      </c>
      <c r="CK12" s="758">
        <f t="shared" ca="1" si="46"/>
        <v>0</v>
      </c>
      <c r="CL12" s="758">
        <f t="shared" ca="1" si="47"/>
        <v>0</v>
      </c>
      <c r="CM12" s="758">
        <f ca="1">CG12+COUNTIFS($CH$6:$CH$53,CH12,$CL$6:CL$53,"&gt;"&amp;CL12,$BC$6:$BC$53,INDEX(T_Equipos[Grupo],MATCH(BD12,T_Equipos[NombreEquipo],0)))</f>
        <v>3</v>
      </c>
      <c r="CN12" s="757" t="str">
        <f ca="1">IF(COUNTIFS($CM$6:$CM$53,CM12,$BC$6:$BC$53,INDEX(T_Equipos[Grupo],MATCH(BD12,T_Equipos[NombreEquipo],0)))=1,"-","P."&amp;CM12&amp;" ("&amp;COUNTIFS($CM$6:$CM$53,CM12,$BC$6:$BC$53,INDEX(T_Equipos[Grupo],MATCH(BD12,T_Equipos[NombreEquipo],0)))&amp;")")</f>
        <v>P.3 (2)</v>
      </c>
      <c r="CO12" s="758">
        <f t="shared" ca="1" si="48"/>
        <v>0</v>
      </c>
      <c r="CP12" s="758">
        <f t="shared" ca="1" si="49"/>
        <v>0</v>
      </c>
      <c r="CQ12" s="758">
        <f t="shared" ca="1" si="50"/>
        <v>0</v>
      </c>
      <c r="CR12" s="758">
        <f ca="1">CM12+COUNTIFS($CN$6:$CN$53,CN12,$CQ$6:CQ$53,"&gt;"&amp;CQ12,$BC$6:$BC$53,INDEX(T_Equipos[Grupo],MATCH(BD12,T_Equipos[NombreEquipo],0)))</f>
        <v>3</v>
      </c>
      <c r="CS12" s="757" t="str">
        <f ca="1">IF(COUNTIFS($CR$6:$CR$53,CR12,$BC$6:$BC$53,INDEX(T_Equipos[Grupo],MATCH(BD12,T_Equipos[NombreEquipo],0)))=1,"-","P."&amp;CR12&amp;" ("&amp;COUNTIFS($CR$6:$CR$53,CR12,$BC$6:$BC$53,INDEX(T_Equipos[Grupo],MATCH(BD12,T_Equipos[NombreEquipo],0)))&amp;")")</f>
        <v>P.3 (2)</v>
      </c>
      <c r="CT12" s="758">
        <f t="shared" ca="1" si="51"/>
        <v>0</v>
      </c>
      <c r="CU12" s="758">
        <f ca="1">CR12+COUNTIFS($CS$6:$CS$53,CS12,$CT$6:CT$53,"&gt;"&amp;CT12,$BC$6:$BC$53,INDEX(T_Equipos[Grupo],MATCH(BD12,T_Equipos[NombreEquipo],0)))</f>
        <v>3</v>
      </c>
      <c r="CV12" s="757" t="str">
        <f ca="1">IF(COUNTIFS($CU$6:$CU$53,CU12,$BC$6:$BC$53,INDEX(T_Equipos[Grupo],MATCH(BD12,T_Equipos[NombreEquipo],0)))=1,"-","P."&amp;CU12&amp;" ("&amp;COUNTIFS($CU$6:$CU$53,CU12,$BC$6:$BC$53,INDEX(T_Equipos[Grupo],MATCH(BD12,T_Equipos[NombreEquipo],0)))&amp;")")</f>
        <v>P.3 (2)</v>
      </c>
      <c r="CW12" s="757">
        <f t="shared" ca="1" si="30"/>
        <v>-6</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8</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P.3 (2)</v>
      </c>
      <c r="F13" s="744" t="str">
        <f t="shared" ca="1" si="56"/>
        <v>P.1 (2)</v>
      </c>
      <c r="G13" s="744"/>
      <c r="H13" s="744" t="str">
        <f t="shared" ca="1" si="57"/>
        <v>P.3 (2)</v>
      </c>
      <c r="I13" s="744" t="str">
        <f t="shared" ca="1" si="58"/>
        <v>P.1 (2)</v>
      </c>
      <c r="J13" s="744"/>
      <c r="K13" s="744" t="str">
        <f t="shared" ca="1" si="59"/>
        <v>P.3 (2)</v>
      </c>
      <c r="L13" s="744" t="str">
        <f t="shared" ca="1" si="60"/>
        <v>P.1 (2)</v>
      </c>
      <c r="M13" s="744"/>
      <c r="N13" s="744" t="str">
        <f t="shared" ca="1" si="61"/>
        <v>P.3 (2)</v>
      </c>
      <c r="O13" s="744" t="str">
        <f t="shared" ca="1" si="62"/>
        <v>P.1 (2)</v>
      </c>
      <c r="P13" s="744"/>
      <c r="Q13" s="744" t="str">
        <f t="shared" ca="1" si="63"/>
        <v>P.3 (2)</v>
      </c>
      <c r="R13" s="744" t="str">
        <f t="shared" ca="1" si="64"/>
        <v>P.1 (2)</v>
      </c>
      <c r="S13" s="744"/>
      <c r="T13" s="744" t="str">
        <f t="shared" ca="1" si="65"/>
        <v>P.3 (2)</v>
      </c>
      <c r="U13" s="744" t="str">
        <f t="shared" ca="1" si="66"/>
        <v>P.1 (2)</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4</v>
      </c>
      <c r="BF13" s="748">
        <f t="shared" ca="1" si="26"/>
        <v>2</v>
      </c>
      <c r="BG13" s="748">
        <f t="shared" ca="1" si="17"/>
        <v>1</v>
      </c>
      <c r="BH13" s="748">
        <f t="shared" ca="1" si="18"/>
        <v>1</v>
      </c>
      <c r="BI13" s="748">
        <f t="shared" ca="1" si="19"/>
        <v>0</v>
      </c>
      <c r="BJ13" s="748">
        <f t="shared" ca="1" si="20"/>
        <v>5</v>
      </c>
      <c r="BK13" s="748">
        <f t="shared" ca="1" si="21"/>
        <v>2</v>
      </c>
      <c r="BL13" s="748">
        <f t="shared" ca="1" si="27"/>
        <v>3</v>
      </c>
      <c r="BM13" s="748" t="str">
        <f t="shared" ca="1" si="22"/>
        <v>2B</v>
      </c>
      <c r="BN13" s="748" t="str">
        <f t="shared" ca="1" si="23"/>
        <v>2B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4</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(2)</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(2)</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(2)</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(2)</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(2)</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(2)</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(2)</v>
      </c>
      <c r="CW13" s="757">
        <f t="shared" ca="1" si="30"/>
        <v>3</v>
      </c>
      <c r="CX13" s="757">
        <f ca="1">CU13+COUNTIFS($CV$6:$CV$53,CV13,$CW$6:CW$53,"&gt;"&amp;CW13,$BC$6:$BC$53,INDEX(T_Equipos[Grupo],MATCH(BD13,T_Equipos[NombreEquipo],0)))</f>
        <v>2</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2</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2</v>
      </c>
      <c r="DE13" s="756"/>
      <c r="DF13" s="756">
        <f t="shared" ca="1" si="52"/>
        <v>2</v>
      </c>
      <c r="DG13" s="756" t="str">
        <f ca="1">IF(DB13="-","-",COUNTIFS(DF$6:DF$53,"&lt;"&amp;DF13,$BC$6:$BC$53,INDEX(T_Equipos[Grupo],MATCH(BD13,T_Equipos[NombreEquipo],0))))</f>
        <v>-</v>
      </c>
      <c r="DH13" s="756">
        <f ca="1">DA13+COUNTIFS(DB$6:DB$53,DB13,DG$6:DG$53,"&lt;"&amp;DG13,$BC$6:$BC$53,INDEX(T_Equipos[Grupo],MATCH(BD13,T_Equipos[NombreEquipo],0)))</f>
        <v>2</v>
      </c>
      <c r="DI13" s="744"/>
      <c r="DJ13" s="744">
        <f t="shared" ca="1" si="53"/>
        <v>4</v>
      </c>
      <c r="DK13" s="744">
        <f t="shared" ca="1" si="24"/>
        <v>8</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P.1 (2)</v>
      </c>
      <c r="F14" s="744" t="str">
        <f t="shared" ca="1" si="56"/>
        <v>P.3 (2)</v>
      </c>
      <c r="G14" s="744"/>
      <c r="H14" s="744" t="str">
        <f t="shared" ca="1" si="57"/>
        <v>P.1 (2)</v>
      </c>
      <c r="I14" s="744" t="str">
        <f t="shared" ca="1" si="58"/>
        <v>P.3 (2)</v>
      </c>
      <c r="J14" s="744"/>
      <c r="K14" s="744" t="str">
        <f t="shared" ca="1" si="59"/>
        <v>P.1 (2)</v>
      </c>
      <c r="L14" s="744" t="str">
        <f t="shared" ca="1" si="60"/>
        <v>P.3 (2)</v>
      </c>
      <c r="M14" s="744"/>
      <c r="N14" s="744" t="str">
        <f t="shared" ca="1" si="61"/>
        <v>P.1 (2)</v>
      </c>
      <c r="O14" s="744" t="str">
        <f t="shared" ca="1" si="62"/>
        <v>P.3 (2)</v>
      </c>
      <c r="P14" s="744"/>
      <c r="Q14" s="744" t="str">
        <f t="shared" ca="1" si="63"/>
        <v>P.1 (2)</v>
      </c>
      <c r="R14" s="744" t="str">
        <f t="shared" ca="1" si="64"/>
        <v>P.3 (2)</v>
      </c>
      <c r="S14" s="744"/>
      <c r="T14" s="744" t="str">
        <f t="shared" ca="1" si="65"/>
        <v>P.1 (2)</v>
      </c>
      <c r="U14" s="744" t="str">
        <f t="shared" ca="1" si="66"/>
        <v>P.3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4</v>
      </c>
      <c r="AN14" s="214">
        <f t="shared" ca="1" si="71"/>
        <v>2</v>
      </c>
      <c r="AO14" s="214">
        <f t="shared" ca="1" si="71"/>
        <v>1</v>
      </c>
      <c r="AP14" s="214">
        <f t="shared" ca="1" si="71"/>
        <v>1</v>
      </c>
      <c r="AQ14" s="214">
        <f t="shared" ca="1" si="71"/>
        <v>0</v>
      </c>
      <c r="AR14" s="214">
        <f t="shared" ca="1" si="71"/>
        <v>7</v>
      </c>
      <c r="AS14" s="214">
        <f t="shared" ca="1" si="71"/>
        <v>1</v>
      </c>
      <c r="AT14" s="257">
        <f t="shared" ca="1" si="71"/>
        <v>6</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4</v>
      </c>
      <c r="BF14" s="748">
        <f t="shared" ca="1" si="26"/>
        <v>2</v>
      </c>
      <c r="BG14" s="748">
        <f t="shared" ca="1" si="17"/>
        <v>1</v>
      </c>
      <c r="BH14" s="748">
        <f t="shared" ca="1" si="18"/>
        <v>1</v>
      </c>
      <c r="BI14" s="748">
        <f t="shared" ca="1" si="19"/>
        <v>0</v>
      </c>
      <c r="BJ14" s="748">
        <f t="shared" ca="1" si="20"/>
        <v>4</v>
      </c>
      <c r="BK14" s="748">
        <f t="shared" ca="1" si="21"/>
        <v>1</v>
      </c>
      <c r="BL14" s="748">
        <f t="shared" ca="1" si="27"/>
        <v>3</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4</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3</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8</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P.1 (2)</v>
      </c>
      <c r="F15" s="744" t="str">
        <f t="shared" ca="1" si="56"/>
        <v>P.3 (2)</v>
      </c>
      <c r="G15" s="744"/>
      <c r="H15" s="744" t="str">
        <f t="shared" ca="1" si="57"/>
        <v>P.1 (2)</v>
      </c>
      <c r="I15" s="744" t="str">
        <f t="shared" ca="1" si="58"/>
        <v>P.3 (2)</v>
      </c>
      <c r="J15" s="744"/>
      <c r="K15" s="744" t="str">
        <f t="shared" ca="1" si="59"/>
        <v>P.1 (2)</v>
      </c>
      <c r="L15" s="744" t="str">
        <f t="shared" ca="1" si="60"/>
        <v>P.3 (2)</v>
      </c>
      <c r="M15" s="744"/>
      <c r="N15" s="744" t="str">
        <f t="shared" ca="1" si="61"/>
        <v>P.1 (2)</v>
      </c>
      <c r="O15" s="744" t="str">
        <f t="shared" ca="1" si="62"/>
        <v>P.3 (2)</v>
      </c>
      <c r="P15" s="744"/>
      <c r="Q15" s="744" t="str">
        <f t="shared" ca="1" si="63"/>
        <v>P.1 (2)</v>
      </c>
      <c r="R15" s="744" t="str">
        <f t="shared" ca="1" si="64"/>
        <v>P.3 (2)</v>
      </c>
      <c r="S15" s="744"/>
      <c r="T15" s="744" t="str">
        <f t="shared" ca="1" si="65"/>
        <v>P.1 (2)</v>
      </c>
      <c r="U15" s="744" t="str">
        <f t="shared" ca="1" si="66"/>
        <v>P.3 (2)</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8">
        <f t="array" aca="1" ref="AK15" ca="1">Ver_flag_visit</f>
        <v>#VALUE!</v>
      </c>
      <c r="AL15" s="222" t="str">
        <f ca="1">IFERROR(INDEX($BD$6:$BD$53,MATCH(AI15,$BN$6:$BN$53,0)),"")</f>
        <v>Suiza</v>
      </c>
      <c r="AM15" s="223">
        <f t="shared" ca="1" si="71"/>
        <v>4</v>
      </c>
      <c r="AN15" s="224">
        <f t="shared" ca="1" si="71"/>
        <v>2</v>
      </c>
      <c r="AO15" s="224">
        <f t="shared" ca="1" si="71"/>
        <v>1</v>
      </c>
      <c r="AP15" s="224">
        <f t="shared" ca="1" si="71"/>
        <v>1</v>
      </c>
      <c r="AQ15" s="224">
        <f t="shared" ca="1" si="71"/>
        <v>0</v>
      </c>
      <c r="AR15" s="224">
        <f t="shared" ca="1" si="71"/>
        <v>5</v>
      </c>
      <c r="AS15" s="224">
        <f t="shared" ca="1" si="71"/>
        <v>2</v>
      </c>
      <c r="AT15" s="259">
        <f t="shared" ca="1" si="71"/>
        <v>3</v>
      </c>
      <c r="AU15" s="420">
        <f ca="1">INDEX($DL$6:$DL$53,MATCH(AI15,$DP$6:$DP$53,0))</f>
        <v>1</v>
      </c>
      <c r="AV15" s="217" t="str">
        <f ca="1">INDEX($BD$6:$BD$53,MATCH(AI15,$BM$6:$BM$53,0))</f>
        <v>Suiza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4</v>
      </c>
      <c r="BF15" s="748">
        <f t="shared" ca="1" si="26"/>
        <v>2</v>
      </c>
      <c r="BG15" s="748">
        <f t="shared" ca="1" si="17"/>
        <v>1</v>
      </c>
      <c r="BH15" s="748">
        <f t="shared" ca="1" si="18"/>
        <v>1</v>
      </c>
      <c r="BI15" s="748">
        <f t="shared" ca="1" si="19"/>
        <v>0</v>
      </c>
      <c r="BJ15" s="748">
        <f t="shared" ca="1" si="20"/>
        <v>2</v>
      </c>
      <c r="BK15" s="748">
        <f t="shared" ca="1" si="21"/>
        <v>1</v>
      </c>
      <c r="BL15" s="748">
        <f t="shared" ca="1" si="27"/>
        <v>1</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4</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1</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8</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2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6">
        <f t="array" aca="1" ref="AK16" ca="1">Ver_flag_visit</f>
        <v>#VALUE!</v>
      </c>
      <c r="AL16" s="222" t="str">
        <f ca="1">IFERROR(INDEX($BD$6:$BD$53,MATCH(AI16,$BN$6:$BN$53,0)),"")</f>
        <v>Bosnia y Herzegovina</v>
      </c>
      <c r="AM16" s="223">
        <f t="shared" ca="1" si="71"/>
        <v>1</v>
      </c>
      <c r="AN16" s="224">
        <f t="shared" ca="1" si="71"/>
        <v>2</v>
      </c>
      <c r="AO16" s="224">
        <f t="shared" ca="1" si="71"/>
        <v>0</v>
      </c>
      <c r="AP16" s="224">
        <f t="shared" ca="1" si="71"/>
        <v>1</v>
      </c>
      <c r="AQ16" s="224">
        <f t="shared" ca="1" si="71"/>
        <v>1</v>
      </c>
      <c r="AR16" s="224">
        <f t="shared" ca="1" si="71"/>
        <v>2</v>
      </c>
      <c r="AS16" s="224">
        <f t="shared" ca="1" si="71"/>
        <v>5</v>
      </c>
      <c r="AT16" s="259">
        <f t="shared" ca="1" si="71"/>
        <v>-3</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2</v>
      </c>
      <c r="BG16" s="748">
        <f t="shared" ca="1" si="17"/>
        <v>0</v>
      </c>
      <c r="BH16" s="748">
        <f t="shared" ca="1" si="18"/>
        <v>0</v>
      </c>
      <c r="BI16" s="748">
        <f t="shared" ca="1" si="19"/>
        <v>2</v>
      </c>
      <c r="BJ16" s="748">
        <f t="shared" ca="1" si="20"/>
        <v>0</v>
      </c>
      <c r="BK16" s="748">
        <f t="shared" ca="1" si="21"/>
        <v>4</v>
      </c>
      <c r="BL16" s="748">
        <f t="shared" ca="1" si="27"/>
        <v>-4</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8</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2</v>
      </c>
      <c r="AO17" s="263">
        <f t="shared" ca="1" si="71"/>
        <v>0</v>
      </c>
      <c r="AP17" s="263">
        <f t="shared" ca="1" si="71"/>
        <v>1</v>
      </c>
      <c r="AQ17" s="263">
        <f t="shared" ca="1" si="71"/>
        <v>1</v>
      </c>
      <c r="AR17" s="263">
        <f t="shared" ca="1" si="71"/>
        <v>1</v>
      </c>
      <c r="AS17" s="263">
        <f t="shared" ca="1" si="71"/>
        <v>7</v>
      </c>
      <c r="AT17" s="264">
        <f t="shared" ca="1" si="71"/>
        <v>-6</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2</v>
      </c>
      <c r="BG17" s="748">
        <f t="shared" ca="1" si="17"/>
        <v>1</v>
      </c>
      <c r="BH17" s="748">
        <f t="shared" ca="1" si="18"/>
        <v>0</v>
      </c>
      <c r="BI17" s="748">
        <f t="shared" ca="1" si="19"/>
        <v>1</v>
      </c>
      <c r="BJ17" s="748">
        <f t="shared" ca="1" si="20"/>
        <v>1</v>
      </c>
      <c r="BK17" s="748">
        <f t="shared" ca="1" si="21"/>
        <v>1</v>
      </c>
      <c r="BL17" s="748">
        <f t="shared" ca="1" si="27"/>
        <v>0</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8</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2</v>
      </c>
      <c r="BG18" s="748">
        <f t="shared" ca="1" si="17"/>
        <v>2</v>
      </c>
      <c r="BH18" s="748">
        <f t="shared" ca="1" si="18"/>
        <v>0</v>
      </c>
      <c r="BI18" s="748">
        <f t="shared" ca="1" si="19"/>
        <v>0</v>
      </c>
      <c r="BJ18" s="748">
        <f t="shared" ca="1" si="20"/>
        <v>6</v>
      </c>
      <c r="BK18" s="748">
        <f t="shared" ca="1" si="21"/>
        <v>1</v>
      </c>
      <c r="BL18" s="748">
        <f t="shared" ca="1" si="27"/>
        <v>5</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8</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3</v>
      </c>
      <c r="BF19" s="748">
        <f t="shared" ca="1" si="26"/>
        <v>2</v>
      </c>
      <c r="BG19" s="748">
        <f t="shared" ca="1" si="17"/>
        <v>1</v>
      </c>
      <c r="BH19" s="748">
        <f t="shared" ca="1" si="18"/>
        <v>0</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3</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0</v>
      </c>
      <c r="BW19" s="758">
        <f t="shared" ca="1" si="38"/>
        <v>0</v>
      </c>
      <c r="BX19" s="758">
        <f t="shared" ca="1" si="39"/>
        <v>0</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0</v>
      </c>
      <c r="CK19" s="758">
        <f t="shared" ca="1" si="46"/>
        <v>0</v>
      </c>
      <c r="CL19" s="758">
        <f t="shared" ca="1" si="47"/>
        <v>0</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8</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2</v>
      </c>
      <c r="BG20" s="748">
        <f t="shared" ca="1" si="17"/>
        <v>1</v>
      </c>
      <c r="BH20" s="748">
        <f t="shared" ca="1" si="18"/>
        <v>0</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0</v>
      </c>
      <c r="BW20" s="758">
        <f t="shared" ca="1" si="38"/>
        <v>0</v>
      </c>
      <c r="BX20" s="758">
        <f t="shared" ca="1" si="39"/>
        <v>0</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0</v>
      </c>
      <c r="CK20" s="758">
        <f t="shared" ca="1" si="46"/>
        <v>0</v>
      </c>
      <c r="CL20" s="758">
        <f t="shared" ca="1" si="47"/>
        <v>0</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8</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2</v>
      </c>
      <c r="BG21" s="748">
        <f t="shared" ca="1" si="17"/>
        <v>0</v>
      </c>
      <c r="BH21" s="748">
        <f t="shared" ca="1" si="18"/>
        <v>0</v>
      </c>
      <c r="BI21" s="748">
        <f t="shared" ca="1" si="19"/>
        <v>2</v>
      </c>
      <c r="BJ21" s="748">
        <f t="shared" ca="1" si="20"/>
        <v>0</v>
      </c>
      <c r="BK21" s="748">
        <f t="shared" ca="1" si="21"/>
        <v>3</v>
      </c>
      <c r="BL21" s="748">
        <f t="shared" ca="1" si="27"/>
        <v>-3</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8</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4</v>
      </c>
      <c r="AN22" s="214">
        <f t="shared" ca="1" si="90"/>
        <v>2</v>
      </c>
      <c r="AO22" s="214">
        <f t="shared" ca="1" si="90"/>
        <v>1</v>
      </c>
      <c r="AP22" s="214">
        <f t="shared" ca="1" si="90"/>
        <v>1</v>
      </c>
      <c r="AQ22" s="214">
        <f t="shared" ca="1" si="90"/>
        <v>0</v>
      </c>
      <c r="AR22" s="214">
        <f t="shared" ca="1" si="90"/>
        <v>4</v>
      </c>
      <c r="AS22" s="214">
        <f t="shared" ca="1" si="90"/>
        <v>1</v>
      </c>
      <c r="AT22" s="215">
        <f t="shared" ca="1" si="90"/>
        <v>3</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2</v>
      </c>
      <c r="BG22" s="748">
        <f t="shared" ca="1" si="17"/>
        <v>2</v>
      </c>
      <c r="BH22" s="748">
        <f t="shared" ca="1" si="18"/>
        <v>0</v>
      </c>
      <c r="BI22" s="748">
        <f t="shared" ca="1" si="19"/>
        <v>0</v>
      </c>
      <c r="BJ22" s="748">
        <f t="shared" ca="1" si="20"/>
        <v>9</v>
      </c>
      <c r="BK22" s="748">
        <f t="shared" ca="1" si="21"/>
        <v>2</v>
      </c>
      <c r="BL22" s="748">
        <f t="shared" ca="1" si="27"/>
        <v>7</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v>
      </c>
      <c r="BU22" s="758" t="str">
        <f t="shared" ca="1" si="36"/>
        <v>-</v>
      </c>
      <c r="BV22" s="758" t="str">
        <f t="shared" ca="1" si="37"/>
        <v>-</v>
      </c>
      <c r="BW22" s="758" t="str">
        <f t="shared" ca="1" si="38"/>
        <v>-</v>
      </c>
      <c r="BX22" s="758" t="str">
        <f t="shared" ca="1" si="39"/>
        <v>-</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8</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4</v>
      </c>
      <c r="AN23" s="224">
        <f t="shared" ca="1" si="90"/>
        <v>2</v>
      </c>
      <c r="AO23" s="224">
        <f t="shared" ca="1" si="90"/>
        <v>1</v>
      </c>
      <c r="AP23" s="224">
        <f t="shared" ca="1" si="90"/>
        <v>1</v>
      </c>
      <c r="AQ23" s="224">
        <f t="shared" ca="1" si="90"/>
        <v>0</v>
      </c>
      <c r="AR23" s="224">
        <f t="shared" ca="1" si="90"/>
        <v>2</v>
      </c>
      <c r="AS23" s="224">
        <f t="shared" ca="1" si="90"/>
        <v>1</v>
      </c>
      <c r="AT23" s="225">
        <f t="shared" ca="1" si="90"/>
        <v>1</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2</v>
      </c>
      <c r="BG23" s="748">
        <f t="shared" ca="1" si="17"/>
        <v>0</v>
      </c>
      <c r="BH23" s="748">
        <f t="shared" ca="1" si="18"/>
        <v>1</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1</v>
      </c>
      <c r="BW23" s="758">
        <f t="shared" ca="1" si="38"/>
        <v>0</v>
      </c>
      <c r="BX23" s="758">
        <f t="shared" ca="1" si="39"/>
        <v>1</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1</v>
      </c>
      <c r="CK23" s="758">
        <f t="shared" ca="1" si="46"/>
        <v>0</v>
      </c>
      <c r="CL23" s="758">
        <f t="shared" ca="1" si="47"/>
        <v>1</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8</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3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2</v>
      </c>
      <c r="AO24" s="224">
        <f t="shared" ca="1" si="90"/>
        <v>1</v>
      </c>
      <c r="AP24" s="224">
        <f t="shared" ca="1" si="90"/>
        <v>0</v>
      </c>
      <c r="AQ24" s="224">
        <f t="shared" ca="1" si="90"/>
        <v>1</v>
      </c>
      <c r="AR24" s="224">
        <f t="shared" ca="1" si="90"/>
        <v>1</v>
      </c>
      <c r="AS24" s="224">
        <f t="shared" ca="1" si="90"/>
        <v>1</v>
      </c>
      <c r="AT24" s="225">
        <f t="shared" ca="1" si="90"/>
        <v>0</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2</v>
      </c>
      <c r="BG24" s="748">
        <f t="shared" ca="1" si="17"/>
        <v>1</v>
      </c>
      <c r="BH24" s="748">
        <f t="shared" ca="1" si="18"/>
        <v>0</v>
      </c>
      <c r="BI24" s="748">
        <f t="shared" ca="1" si="19"/>
        <v>1</v>
      </c>
      <c r="BJ24" s="748">
        <f t="shared" ca="1" si="20"/>
        <v>2</v>
      </c>
      <c r="BK24" s="748">
        <f t="shared" ca="1" si="21"/>
        <v>2</v>
      </c>
      <c r="BL24" s="748">
        <f t="shared" ca="1" si="27"/>
        <v>0</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2</v>
      </c>
      <c r="BT24" s="757" t="str">
        <f ca="1">IF(COUNTIFS($BS$6:$BS$53,BS24,$BC$6:$BC$53,INDEX(T_Equipos[Grupo],MATCH(BD24,T_Equipos[NombreEquipo],0)))=1,"-","P."&amp;BS24&amp;" ("&amp;COUNTIFS($BS$6:$BS$53,BS24,$BC$6:$BC$53,INDEX(T_Equipos[Grupo],MATCH(BD24,T_Equipos[NombreEquipo],0)))&amp;")")</f>
        <v>-</v>
      </c>
      <c r="BU24" s="758" t="str">
        <f t="shared" ca="1" si="36"/>
        <v>-</v>
      </c>
      <c r="BV24" s="758" t="str">
        <f t="shared" ca="1" si="37"/>
        <v>-</v>
      </c>
      <c r="BW24" s="758" t="str">
        <f t="shared" ca="1" si="38"/>
        <v>-</v>
      </c>
      <c r="BX24" s="758" t="str">
        <f t="shared" ca="1" si="39"/>
        <v>-</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8</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3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2</v>
      </c>
      <c r="AO25" s="238">
        <f t="shared" ca="1" si="90"/>
        <v>0</v>
      </c>
      <c r="AP25" s="238">
        <f t="shared" ca="1" si="90"/>
        <v>0</v>
      </c>
      <c r="AQ25" s="238">
        <f t="shared" ca="1" si="90"/>
        <v>2</v>
      </c>
      <c r="AR25" s="238">
        <f t="shared" ca="1" si="90"/>
        <v>0</v>
      </c>
      <c r="AS25" s="238">
        <f t="shared" ca="1" si="90"/>
        <v>4</v>
      </c>
      <c r="AT25" s="239">
        <f t="shared" ca="1" si="90"/>
        <v>-4</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1</v>
      </c>
      <c r="BF25" s="748">
        <f t="shared" ca="1" si="26"/>
        <v>2</v>
      </c>
      <c r="BG25" s="748">
        <f t="shared" ca="1" si="17"/>
        <v>0</v>
      </c>
      <c r="BH25" s="748">
        <f t="shared" ca="1" si="18"/>
        <v>1</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1</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1</v>
      </c>
      <c r="BW25" s="758">
        <f t="shared" ca="1" si="38"/>
        <v>0</v>
      </c>
      <c r="BX25" s="758">
        <f t="shared" ca="1" si="39"/>
        <v>1</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1</v>
      </c>
      <c r="CK25" s="758">
        <f t="shared" ca="1" si="46"/>
        <v>0</v>
      </c>
      <c r="CL25" s="758">
        <f t="shared" ca="1" si="47"/>
        <v>1</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8</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4</v>
      </c>
      <c r="BF26" s="748">
        <f t="shared" ca="1" si="26"/>
        <v>2</v>
      </c>
      <c r="BG26" s="748">
        <f t="shared" ca="1" si="17"/>
        <v>1</v>
      </c>
      <c r="BH26" s="748">
        <f t="shared" ca="1" si="18"/>
        <v>1</v>
      </c>
      <c r="BI26" s="748">
        <f t="shared" ca="1" si="19"/>
        <v>0</v>
      </c>
      <c r="BJ26" s="748">
        <f t="shared" ca="1" si="20"/>
        <v>7</v>
      </c>
      <c r="BK26" s="748">
        <f t="shared" ca="1" si="21"/>
        <v>3</v>
      </c>
      <c r="BL26" s="748">
        <f t="shared" ca="1" si="27"/>
        <v>4</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4</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(2)</v>
      </c>
      <c r="BU26" s="758">
        <f t="shared" ca="1" si="36"/>
        <v>0</v>
      </c>
      <c r="BV26" s="758">
        <f t="shared" ca="1" si="37"/>
        <v>1</v>
      </c>
      <c r="BW26" s="758">
        <f t="shared" ca="1" si="38"/>
        <v>0</v>
      </c>
      <c r="BX26" s="758">
        <f t="shared" ca="1" si="39"/>
        <v>1</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(2)</v>
      </c>
      <c r="CA26" s="758">
        <f t="shared" ca="1" si="40"/>
        <v>2</v>
      </c>
      <c r="CB26" s="758">
        <f t="shared" ca="1" si="41"/>
        <v>2</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(2)</v>
      </c>
      <c r="CF26" s="758">
        <f t="shared" ca="1" si="43"/>
        <v>2</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(2)</v>
      </c>
      <c r="CI26" s="758">
        <f t="shared" ca="1" si="44"/>
        <v>0</v>
      </c>
      <c r="CJ26" s="758">
        <f t="shared" ca="1" si="45"/>
        <v>1</v>
      </c>
      <c r="CK26" s="758">
        <f t="shared" ca="1" si="46"/>
        <v>0</v>
      </c>
      <c r="CL26" s="758">
        <f t="shared" ca="1" si="47"/>
        <v>1</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(2)</v>
      </c>
      <c r="CO26" s="758">
        <f t="shared" ca="1" si="48"/>
        <v>2</v>
      </c>
      <c r="CP26" s="758">
        <f t="shared" ca="1" si="49"/>
        <v>2</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(2)</v>
      </c>
      <c r="CT26" s="758">
        <f t="shared" ca="1" si="51"/>
        <v>2</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(2)</v>
      </c>
      <c r="CW26" s="757">
        <f t="shared" ca="1" si="30"/>
        <v>4</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(2)</v>
      </c>
      <c r="CZ26" s="757">
        <f t="shared" ca="1" si="31"/>
        <v>7</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8</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4</v>
      </c>
      <c r="BF27" s="748">
        <f t="shared" ca="1" si="26"/>
        <v>2</v>
      </c>
      <c r="BG27" s="748">
        <f t="shared" ca="1" si="17"/>
        <v>1</v>
      </c>
      <c r="BH27" s="748">
        <f t="shared" ca="1" si="18"/>
        <v>1</v>
      </c>
      <c r="BI27" s="748">
        <f t="shared" ca="1" si="19"/>
        <v>0</v>
      </c>
      <c r="BJ27" s="748">
        <f t="shared" ca="1" si="20"/>
        <v>6</v>
      </c>
      <c r="BK27" s="748">
        <f t="shared" ca="1" si="21"/>
        <v>2</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4</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(2)</v>
      </c>
      <c r="BU27" s="758">
        <f t="shared" ca="1" si="36"/>
        <v>0</v>
      </c>
      <c r="BV27" s="758">
        <f t="shared" ca="1" si="37"/>
        <v>1</v>
      </c>
      <c r="BW27" s="758">
        <f t="shared" ca="1" si="38"/>
        <v>0</v>
      </c>
      <c r="BX27" s="758">
        <f t="shared" ca="1" si="39"/>
        <v>1</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(2)</v>
      </c>
      <c r="CA27" s="758">
        <f t="shared" ca="1" si="40"/>
        <v>2</v>
      </c>
      <c r="CB27" s="758">
        <f t="shared" ca="1" si="41"/>
        <v>2</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(2)</v>
      </c>
      <c r="CF27" s="758">
        <f t="shared" ca="1" si="43"/>
        <v>2</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(2)</v>
      </c>
      <c r="CI27" s="758">
        <f t="shared" ca="1" si="44"/>
        <v>0</v>
      </c>
      <c r="CJ27" s="758">
        <f t="shared" ca="1" si="45"/>
        <v>1</v>
      </c>
      <c r="CK27" s="758">
        <f t="shared" ca="1" si="46"/>
        <v>0</v>
      </c>
      <c r="CL27" s="758">
        <f t="shared" ca="1" si="47"/>
        <v>1</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(2)</v>
      </c>
      <c r="CO27" s="758">
        <f t="shared" ca="1" si="48"/>
        <v>2</v>
      </c>
      <c r="CP27" s="758">
        <f t="shared" ca="1" si="49"/>
        <v>2</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(2)</v>
      </c>
      <c r="CT27" s="758">
        <f t="shared" ca="1" si="51"/>
        <v>2</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(2)</v>
      </c>
      <c r="CW27" s="757">
        <f t="shared" ca="1" si="30"/>
        <v>4</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(2)</v>
      </c>
      <c r="CZ27" s="757">
        <f t="shared" ca="1" si="31"/>
        <v>6</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8</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2</v>
      </c>
      <c r="BG28" s="748">
        <f t="shared" ca="1" si="17"/>
        <v>1</v>
      </c>
      <c r="BH28" s="748">
        <f t="shared" ca="1" si="18"/>
        <v>0</v>
      </c>
      <c r="BI28" s="748">
        <f t="shared" ca="1" si="19"/>
        <v>1</v>
      </c>
      <c r="BJ28" s="748">
        <f t="shared" ca="1" si="20"/>
        <v>6</v>
      </c>
      <c r="BK28" s="748">
        <f t="shared" ca="1" si="21"/>
        <v>6</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8</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2</v>
      </c>
      <c r="BG29" s="748">
        <f t="shared" ca="1" si="17"/>
        <v>0</v>
      </c>
      <c r="BH29" s="748">
        <f t="shared" ca="1" si="18"/>
        <v>0</v>
      </c>
      <c r="BI29" s="748">
        <f t="shared" ca="1" si="19"/>
        <v>2</v>
      </c>
      <c r="BJ29" s="748">
        <f t="shared" ca="1" si="20"/>
        <v>1</v>
      </c>
      <c r="BK29" s="748">
        <f t="shared" ca="1" si="21"/>
        <v>9</v>
      </c>
      <c r="BL29" s="748">
        <f t="shared" ca="1" si="27"/>
        <v>-8</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8</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2</v>
      </c>
      <c r="AO30" s="214">
        <f t="shared" ca="1" si="111"/>
        <v>2</v>
      </c>
      <c r="AP30" s="214">
        <f t="shared" ca="1" si="111"/>
        <v>0</v>
      </c>
      <c r="AQ30" s="214">
        <f t="shared" ca="1" si="111"/>
        <v>0</v>
      </c>
      <c r="AR30" s="214">
        <f t="shared" ca="1" si="111"/>
        <v>6</v>
      </c>
      <c r="AS30" s="214">
        <f t="shared" ca="1" si="111"/>
        <v>1</v>
      </c>
      <c r="AT30" s="215">
        <f t="shared" ca="1" si="111"/>
        <v>5</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2</v>
      </c>
      <c r="BF30" s="748">
        <f t="shared" ca="1" si="26"/>
        <v>2</v>
      </c>
      <c r="BG30" s="748">
        <f t="shared" ca="1" si="17"/>
        <v>0</v>
      </c>
      <c r="BH30" s="748">
        <f t="shared" ca="1" si="18"/>
        <v>2</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2</v>
      </c>
      <c r="BS30" s="757">
        <f ca="1">BP30+COUNTIFS($BQ$6:$BQ$53,BQ30,$BR$6:BR$53,"&gt;"&amp;BR30,$BC$6:$BC$53,INDEX(T_Equipos[Grupo],MATCH(BD30,T_Equipos[NombreEquipo],0)))</f>
        <v>2</v>
      </c>
      <c r="BT30" s="757" t="str">
        <f ca="1">IF(COUNTIFS($BS$6:$BS$53,BS30,$BC$6:$BC$53,INDEX(T_Equipos[Grupo],MATCH(BD30,T_Equipos[NombreEquipo],0)))=1,"-","P."&amp;BS30&amp;" ("&amp;COUNTIFS($BS$6:$BS$53,BS30,$BC$6:$BC$53,INDEX(T_Equipos[Grupo],MATCH(BD30,T_Equipos[NombreEquipo],0)))&amp;")")</f>
        <v>P.2 (2)</v>
      </c>
      <c r="BU30" s="758">
        <f t="shared" ca="1" si="36"/>
        <v>0</v>
      </c>
      <c r="BV30" s="758">
        <f t="shared" ca="1" si="37"/>
        <v>1</v>
      </c>
      <c r="BW30" s="758">
        <f t="shared" ca="1" si="38"/>
        <v>0</v>
      </c>
      <c r="BX30" s="758">
        <f t="shared" ca="1" si="39"/>
        <v>1</v>
      </c>
      <c r="BY30" s="758">
        <f ca="1">BS30+COUNTIFS($BT$6:$BT$53,BT30,$BX$6:BX$53,"&gt;"&amp;BX30,$BC$6:$BC$53,INDEX(T_Equipos[Grupo],MATCH(BD30,T_Equipos[NombreEquipo],0)))</f>
        <v>2</v>
      </c>
      <c r="BZ30" s="757" t="str">
        <f ca="1">IF(COUNTIFS($BY$6:$BY$53,BY30,$BC$6:$BC$53,INDEX(T_Equipos[Grupo],MATCH(BD30,T_Equipos[NombreEquipo],0)))=1,"-","P."&amp;BY30&amp;" ("&amp;COUNTIFS($BY$6:$BY$53,BY30,$BC$6:$BC$53,INDEX(T_Equipos[Grupo],MATCH(BD30,T_Equipos[NombreEquipo],0)))&amp;")")</f>
        <v>P.2 (2)</v>
      </c>
      <c r="CA30" s="758">
        <f t="shared" ca="1" si="40"/>
        <v>0</v>
      </c>
      <c r="CB30" s="758">
        <f t="shared" ca="1" si="41"/>
        <v>0</v>
      </c>
      <c r="CC30" s="758">
        <f t="shared" ca="1" si="42"/>
        <v>0</v>
      </c>
      <c r="CD30" s="758">
        <f ca="1">BY30+COUNTIFS($BZ$6:$BZ$53,BZ30,$CC$6:CC$53,"&gt;"&amp;CC30,$BC$6:$BC$53,INDEX(T_Equipos[Grupo],MATCH(BD30,T_Equipos[NombreEquipo],0)))</f>
        <v>2</v>
      </c>
      <c r="CE30" s="757" t="str">
        <f ca="1">IF(COUNTIFS($CD$6:$CD$53,CD30,$BC$6:$BC$53,INDEX(T_Equipos[Grupo],MATCH(BD30,T_Equipos[NombreEquipo],0)))=1,"-","P."&amp;CD30&amp;" ("&amp;COUNTIFS($CD$6:$CD$53,CD30,$BC$6:$BC$53,INDEX(T_Equipos[Grupo],MATCH(BD30,T_Equipos[NombreEquipo],0)))&amp;")")</f>
        <v>P.2 (2)</v>
      </c>
      <c r="CF30" s="758">
        <f t="shared" ca="1" si="43"/>
        <v>0</v>
      </c>
      <c r="CG30" s="758">
        <f ca="1">CD30+COUNTIFS($CE$6:$CE$53,CE30,$CF$6:CF$53,"&gt;"&amp;CF30,$BC$6:$BC$53,INDEX(T_Equipos[Grupo],MATCH(BD30,T_Equipos[NombreEquipo],0)))</f>
        <v>2</v>
      </c>
      <c r="CH30" s="757" t="str">
        <f ca="1">IF(COUNTIFS($CG$6:$CG$53,CG30,$BC$6:$BC$53,INDEX(T_Equipos[Grupo],MATCH(BD30,T_Equipos[NombreEquipo],0)))=1,"-","P."&amp;CG30&amp;" ("&amp;COUNTIFS($CG$6:$CG$53,CG30,$BC$6:$BC$53,INDEX(T_Equipos[Grupo],MATCH(BD30,T_Equipos[NombreEquipo],0)))&amp;")")</f>
        <v>P.2 (2)</v>
      </c>
      <c r="CI30" s="758">
        <f t="shared" ca="1" si="44"/>
        <v>0</v>
      </c>
      <c r="CJ30" s="758">
        <f t="shared" ca="1" si="45"/>
        <v>1</v>
      </c>
      <c r="CK30" s="758">
        <f t="shared" ca="1" si="46"/>
        <v>0</v>
      </c>
      <c r="CL30" s="758">
        <f t="shared" ca="1" si="47"/>
        <v>1</v>
      </c>
      <c r="CM30" s="758">
        <f ca="1">CG30+COUNTIFS($CH$6:$CH$53,CH30,$CL$6:CL$53,"&gt;"&amp;CL30,$BC$6:$BC$53,INDEX(T_Equipos[Grupo],MATCH(BD30,T_Equipos[NombreEquipo],0)))</f>
        <v>2</v>
      </c>
      <c r="CN30" s="757" t="str">
        <f ca="1">IF(COUNTIFS($CM$6:$CM$53,CM30,$BC$6:$BC$53,INDEX(T_Equipos[Grupo],MATCH(BD30,T_Equipos[NombreEquipo],0)))=1,"-","P."&amp;CM30&amp;" ("&amp;COUNTIFS($CM$6:$CM$53,CM30,$BC$6:$BC$53,INDEX(T_Equipos[Grupo],MATCH(BD30,T_Equipos[NombreEquipo],0)))&amp;")")</f>
        <v>P.2 (2)</v>
      </c>
      <c r="CO30" s="758">
        <f t="shared" ca="1" si="48"/>
        <v>0</v>
      </c>
      <c r="CP30" s="758">
        <f t="shared" ca="1" si="49"/>
        <v>0</v>
      </c>
      <c r="CQ30" s="758">
        <f t="shared" ca="1" si="50"/>
        <v>0</v>
      </c>
      <c r="CR30" s="758">
        <f ca="1">CM30+COUNTIFS($CN$6:$CN$53,CN30,$CQ$6:CQ$53,"&gt;"&amp;CQ30,$BC$6:$BC$53,INDEX(T_Equipos[Grupo],MATCH(BD30,T_Equipos[NombreEquipo],0)))</f>
        <v>2</v>
      </c>
      <c r="CS30" s="757" t="str">
        <f ca="1">IF(COUNTIFS($CR$6:$CR$53,CR30,$BC$6:$BC$53,INDEX(T_Equipos[Grupo],MATCH(BD30,T_Equipos[NombreEquipo],0)))=1,"-","P."&amp;CR30&amp;" ("&amp;COUNTIFS($CR$6:$CR$53,CR30,$BC$6:$BC$53,INDEX(T_Equipos[Grupo],MATCH(BD30,T_Equipos[NombreEquipo],0)))&amp;")")</f>
        <v>P.2 (2)</v>
      </c>
      <c r="CT30" s="758">
        <f t="shared" ca="1" si="51"/>
        <v>0</v>
      </c>
      <c r="CU30" s="758">
        <f ca="1">CR30+COUNTIFS($CS$6:$CS$53,CS30,$CT$6:CT$53,"&gt;"&amp;CT30,$BC$6:$BC$53,INDEX(T_Equipos[Grupo],MATCH(BD30,T_Equipos[NombreEquipo],0)))</f>
        <v>2</v>
      </c>
      <c r="CV30" s="757" t="str">
        <f ca="1">IF(COUNTIFS($CU$6:$CU$53,CU30,$BC$6:$BC$53,INDEX(T_Equipos[Grupo],MATCH(BD30,T_Equipos[NombreEquipo],0)))=1,"-","P."&amp;CU30&amp;" ("&amp;COUNTIFS($CU$6:$CU$53,CU30,$BC$6:$BC$53,INDEX(T_Equipos[Grupo],MATCH(BD30,T_Equipos[NombreEquipo],0)))&amp;")")</f>
        <v>P.2 (2)</v>
      </c>
      <c r="CW30" s="757">
        <f t="shared" ca="1" si="30"/>
        <v>0</v>
      </c>
      <c r="CX30" s="757">
        <f ca="1">CU30+COUNTIFS($CV$6:$CV$53,CV30,$CW$6:CW$53,"&gt;"&amp;CW30,$BC$6:$BC$53,INDEX(T_Equipos[Grupo],MATCH(BD30,T_Equipos[NombreEquipo],0)))</f>
        <v>2</v>
      </c>
      <c r="CY30" s="757" t="str">
        <f ca="1">IF(COUNTIFS($CX$6:$CX$53,CX30,$BC$6:$BC$53,INDEX(T_Equipos[Grupo],MATCH(BD30,T_Equipos[NombreEquipo],0)))=1,"-","P."&amp;CX30&amp;" ("&amp;COUNTIFS($CX$6:$CX$53,CX30,$BC$6:$BC$53,INDEX(T_Equipos[Grupo],MATCH(BD30,T_Equipos[NombreEquipo],0)))&amp;")")</f>
        <v>P.2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3</v>
      </c>
      <c r="DE30" s="756"/>
      <c r="DF30" s="756">
        <f t="shared" ca="1" si="52"/>
        <v>3</v>
      </c>
      <c r="DG30" s="756" t="str">
        <f ca="1">IF(DB30="-","-",COUNTIFS(DF$6:DF$53,"&lt;"&amp;DF30,$BC$6:$BC$53,INDEX(T_Equipos[Grupo],MATCH(BD30,T_Equipos[NombreEquipo],0))))</f>
        <v>-</v>
      </c>
      <c r="DH30" s="756">
        <f ca="1">DA30+COUNTIFS(DB$6:DB$53,DB30,DG$6:DG$53,"&lt;"&amp;DG30,$BC$6:$BC$53,INDEX(T_Equipos[Grupo],MATCH(BD30,T_Equipos[NombreEquipo],0)))</f>
        <v>3</v>
      </c>
      <c r="DI30" s="744"/>
      <c r="DJ30" s="744">
        <f t="shared" ca="1" si="53"/>
        <v>1</v>
      </c>
      <c r="DK30" s="744">
        <f t="shared" ca="1" si="24"/>
        <v>8</v>
      </c>
      <c r="DL30" s="744">
        <f t="shared" ca="1" si="33"/>
        <v>1</v>
      </c>
      <c r="DM30" s="738" t="str">
        <f t="shared" ca="1" si="34"/>
        <v>1.1</v>
      </c>
      <c r="DN30" s="744" cm="1">
        <f t="array" aca="1" ref="DN30" ca="1">OFFSET(Horarios!$P$3,DJ30-1,0,DL30,1)</f>
        <v>1</v>
      </c>
      <c r="DO30" s="744"/>
      <c r="DP30" s="744" t="s">
        <v>667</v>
      </c>
      <c r="DQ30" s="744" t="str">
        <f t="shared" ca="1" si="35"/>
        <v>Egipto</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2</v>
      </c>
      <c r="AO31" s="224">
        <f t="shared" ca="1" si="111"/>
        <v>1</v>
      </c>
      <c r="AP31" s="224">
        <f t="shared" ca="1" si="111"/>
        <v>0</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4</v>
      </c>
      <c r="BF31" s="748">
        <f t="shared" ca="1" si="26"/>
        <v>2</v>
      </c>
      <c r="BG31" s="748">
        <f t="shared" ca="1" si="17"/>
        <v>1</v>
      </c>
      <c r="BH31" s="748">
        <f t="shared" ca="1" si="18"/>
        <v>1</v>
      </c>
      <c r="BI31" s="748">
        <f t="shared" ca="1" si="19"/>
        <v>0</v>
      </c>
      <c r="BJ31" s="748">
        <f t="shared" ca="1" si="20"/>
        <v>4</v>
      </c>
      <c r="BK31" s="748">
        <f t="shared" ca="1" si="21"/>
        <v>2</v>
      </c>
      <c r="BL31" s="748">
        <f t="shared" ca="1" si="27"/>
        <v>2</v>
      </c>
      <c r="BM31" s="748" t="str">
        <f t="shared" ca="1" si="22"/>
        <v>1G</v>
      </c>
      <c r="BN31" s="748" t="str">
        <f t="shared" ca="1" si="23"/>
        <v>1G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4</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v>
      </c>
      <c r="BU31" s="758" t="str">
        <f t="shared" ca="1" si="36"/>
        <v>-</v>
      </c>
      <c r="BV31" s="758" t="str">
        <f t="shared" ca="1" si="37"/>
        <v>-</v>
      </c>
      <c r="BW31" s="758" t="str">
        <f t="shared" ca="1" si="38"/>
        <v>-</v>
      </c>
      <c r="BX31" s="758" t="str">
        <f t="shared" ca="1" si="39"/>
        <v>-</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v>
      </c>
      <c r="CA31" s="758" t="str">
        <f t="shared" ca="1" si="40"/>
        <v>-</v>
      </c>
      <c r="CB31" s="758" t="str">
        <f t="shared" ca="1" si="41"/>
        <v>-</v>
      </c>
      <c r="CC31" s="758" t="str">
        <f t="shared" ca="1" si="42"/>
        <v>-</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v>
      </c>
      <c r="CF31" s="758" t="str">
        <f t="shared" ca="1" si="43"/>
        <v>-</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v>
      </c>
      <c r="CI31" s="758" t="str">
        <f t="shared" ca="1" si="44"/>
        <v>-</v>
      </c>
      <c r="CJ31" s="758" t="str">
        <f t="shared" ca="1" si="45"/>
        <v>-</v>
      </c>
      <c r="CK31" s="758" t="str">
        <f t="shared" ca="1" si="46"/>
        <v>-</v>
      </c>
      <c r="CL31" s="758" t="str">
        <f t="shared" ca="1" si="47"/>
        <v>-</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v>
      </c>
      <c r="CO31" s="758" t="str">
        <f t="shared" ca="1" si="48"/>
        <v>-</v>
      </c>
      <c r="CP31" s="758" t="str">
        <f t="shared" ca="1" si="49"/>
        <v>-</v>
      </c>
      <c r="CQ31" s="758" t="str">
        <f t="shared" ca="1" si="50"/>
        <v>-</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v>
      </c>
      <c r="CT31" s="758" t="str">
        <f t="shared" ca="1" si="51"/>
        <v>-</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v>
      </c>
      <c r="CW31" s="757" t="str">
        <f t="shared" ca="1" si="30"/>
        <v>-</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1</v>
      </c>
      <c r="DE31" s="756"/>
      <c r="DF31" s="756">
        <f t="shared" ca="1" si="52"/>
        <v>1</v>
      </c>
      <c r="DG31" s="756" t="str">
        <f ca="1">IF(DB31="-","-",COUNTIFS(DF$6:DF$53,"&lt;"&amp;DF31,$BC$6:$BC$53,INDEX(T_Equipos[Grupo],MATCH(BD31,T_Equipos[NombreEquipo],0))))</f>
        <v>-</v>
      </c>
      <c r="DH31" s="756">
        <f ca="1">DA31+COUNTIFS(DB$6:DB$53,DB31,DG$6:DG$53,"&lt;"&amp;DG31,$BC$6:$BC$53,INDEX(T_Equipos[Grupo],MATCH(BD31,T_Equipos[NombreEquipo],0)))</f>
        <v>1</v>
      </c>
      <c r="DI31" s="744"/>
      <c r="DJ31" s="744">
        <f t="shared" ca="1" si="53"/>
        <v>2</v>
      </c>
      <c r="DK31" s="744">
        <f t="shared" ca="1" si="24"/>
        <v>8</v>
      </c>
      <c r="DL31" s="744">
        <f t="shared" ca="1" si="33"/>
        <v>1</v>
      </c>
      <c r="DM31" s="738" t="str">
        <f t="shared" ca="1" si="34"/>
        <v>2.1</v>
      </c>
      <c r="DN31" s="744" cm="1">
        <f t="array" aca="1" ref="DN31" ca="1">OFFSET(Horarios!$P$3,DJ31-1,0,DL31,1)</f>
        <v>2</v>
      </c>
      <c r="DO31" s="744"/>
      <c r="DP31" s="744" t="s">
        <v>668</v>
      </c>
      <c r="DQ31" s="744" t="str">
        <f t="shared" ca="1" si="35"/>
        <v>Irán</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4">
        <f t="array" aca="1" ref="AK32" ca="1">Ver_flag_visit</f>
        <v>#VALUE!</v>
      </c>
      <c r="AL32" s="222" t="str">
        <f ca="1">IFERROR(INDEX($BD$6:$BD$53,MATCH(AI32,$BN$6:$BN$53,0)),"")</f>
        <v>Paraguay</v>
      </c>
      <c r="AM32" s="223">
        <f t="shared" ca="1" si="111"/>
        <v>3</v>
      </c>
      <c r="AN32" s="224">
        <f t="shared" ca="1" si="111"/>
        <v>2</v>
      </c>
      <c r="AO32" s="224">
        <f t="shared" ca="1" si="111"/>
        <v>1</v>
      </c>
      <c r="AP32" s="224">
        <f t="shared" ca="1" si="111"/>
        <v>0</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2</v>
      </c>
      <c r="BF32" s="748">
        <f t="shared" ca="1" si="26"/>
        <v>2</v>
      </c>
      <c r="BG32" s="748">
        <f t="shared" ca="1" si="17"/>
        <v>0</v>
      </c>
      <c r="BH32" s="748">
        <f t="shared" ca="1" si="18"/>
        <v>2</v>
      </c>
      <c r="BI32" s="748">
        <f t="shared" ca="1" si="19"/>
        <v>0</v>
      </c>
      <c r="BJ32" s="748">
        <f t="shared" ca="1" si="20"/>
        <v>2</v>
      </c>
      <c r="BK32" s="748">
        <f t="shared" ca="1" si="21"/>
        <v>2</v>
      </c>
      <c r="BL32" s="748">
        <f t="shared" ca="1" si="27"/>
        <v>0</v>
      </c>
      <c r="BM32" s="748" t="str">
        <f t="shared" ca="1" si="22"/>
        <v>2G</v>
      </c>
      <c r="BN32" s="748" t="str">
        <f t="shared" ca="1" si="23"/>
        <v>2G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2</v>
      </c>
      <c r="BS32" s="757">
        <f ca="1">BP32+COUNTIFS($BQ$6:$BQ$53,BQ32,$BR$6:BR$53,"&gt;"&amp;BR32,$BC$6:$BC$53,INDEX(T_Equipos[Grupo],MATCH(BD32,T_Equipos[NombreEquipo],0)))</f>
        <v>2</v>
      </c>
      <c r="BT32" s="757" t="str">
        <f ca="1">IF(COUNTIFS($BS$6:$BS$53,BS32,$BC$6:$BC$53,INDEX(T_Equipos[Grupo],MATCH(BD32,T_Equipos[NombreEquipo],0)))=1,"-","P."&amp;BS32&amp;" ("&amp;COUNTIFS($BS$6:$BS$53,BS32,$BC$6:$BC$53,INDEX(T_Equipos[Grupo],MATCH(BD32,T_Equipos[NombreEquipo],0)))&amp;")")</f>
        <v>P.2 (2)</v>
      </c>
      <c r="BU32" s="758">
        <f t="shared" ca="1" si="36"/>
        <v>0</v>
      </c>
      <c r="BV32" s="758">
        <f t="shared" ca="1" si="37"/>
        <v>1</v>
      </c>
      <c r="BW32" s="758">
        <f t="shared" ca="1" si="38"/>
        <v>0</v>
      </c>
      <c r="BX32" s="758">
        <f t="shared" ca="1" si="39"/>
        <v>1</v>
      </c>
      <c r="BY32" s="758">
        <f ca="1">BS32+COUNTIFS($BT$6:$BT$53,BT32,$BX$6:BX$53,"&gt;"&amp;BX32,$BC$6:$BC$53,INDEX(T_Equipos[Grupo],MATCH(BD32,T_Equipos[NombreEquipo],0)))</f>
        <v>2</v>
      </c>
      <c r="BZ32" s="757" t="str">
        <f ca="1">IF(COUNTIFS($BY$6:$BY$53,BY32,$BC$6:$BC$53,INDEX(T_Equipos[Grupo],MATCH(BD32,T_Equipos[NombreEquipo],0)))=1,"-","P."&amp;BY32&amp;" ("&amp;COUNTIFS($BY$6:$BY$53,BY32,$BC$6:$BC$53,INDEX(T_Equipos[Grupo],MATCH(BD32,T_Equipos[NombreEquipo],0)))&amp;")")</f>
        <v>P.2 (2)</v>
      </c>
      <c r="CA32" s="758">
        <f t="shared" ca="1" si="40"/>
        <v>0</v>
      </c>
      <c r="CB32" s="758">
        <f t="shared" ca="1" si="41"/>
        <v>0</v>
      </c>
      <c r="CC32" s="758">
        <f t="shared" ca="1" si="42"/>
        <v>0</v>
      </c>
      <c r="CD32" s="758">
        <f ca="1">BY32+COUNTIFS($BZ$6:$BZ$53,BZ32,$CC$6:CC$53,"&gt;"&amp;CC32,$BC$6:$BC$53,INDEX(T_Equipos[Grupo],MATCH(BD32,T_Equipos[NombreEquipo],0)))</f>
        <v>2</v>
      </c>
      <c r="CE32" s="757" t="str">
        <f ca="1">IF(COUNTIFS($CD$6:$CD$53,CD32,$BC$6:$BC$53,INDEX(T_Equipos[Grupo],MATCH(BD32,T_Equipos[NombreEquipo],0)))=1,"-","P."&amp;CD32&amp;" ("&amp;COUNTIFS($CD$6:$CD$53,CD32,$BC$6:$BC$53,INDEX(T_Equipos[Grupo],MATCH(BD32,T_Equipos[NombreEquipo],0)))&amp;")")</f>
        <v>P.2 (2)</v>
      </c>
      <c r="CF32" s="758">
        <f t="shared" ca="1" si="43"/>
        <v>0</v>
      </c>
      <c r="CG32" s="758">
        <f ca="1">CD32+COUNTIFS($CE$6:$CE$53,CE32,$CF$6:CF$53,"&gt;"&amp;CF32,$BC$6:$BC$53,INDEX(T_Equipos[Grupo],MATCH(BD32,T_Equipos[NombreEquipo],0)))</f>
        <v>2</v>
      </c>
      <c r="CH32" s="757" t="str">
        <f ca="1">IF(COUNTIFS($CG$6:$CG$53,CG32,$BC$6:$BC$53,INDEX(T_Equipos[Grupo],MATCH(BD32,T_Equipos[NombreEquipo],0)))=1,"-","P."&amp;CG32&amp;" ("&amp;COUNTIFS($CG$6:$CG$53,CG32,$BC$6:$BC$53,INDEX(T_Equipos[Grupo],MATCH(BD32,T_Equipos[NombreEquipo],0)))&amp;")")</f>
        <v>P.2 (2)</v>
      </c>
      <c r="CI32" s="758">
        <f t="shared" ca="1" si="44"/>
        <v>0</v>
      </c>
      <c r="CJ32" s="758">
        <f t="shared" ca="1" si="45"/>
        <v>1</v>
      </c>
      <c r="CK32" s="758">
        <f t="shared" ca="1" si="46"/>
        <v>0</v>
      </c>
      <c r="CL32" s="758">
        <f t="shared" ca="1" si="47"/>
        <v>1</v>
      </c>
      <c r="CM32" s="758">
        <f ca="1">CG32+COUNTIFS($CH$6:$CH$53,CH32,$CL$6:CL$53,"&gt;"&amp;CL32,$BC$6:$BC$53,INDEX(T_Equipos[Grupo],MATCH(BD32,T_Equipos[NombreEquipo],0)))</f>
        <v>2</v>
      </c>
      <c r="CN32" s="757" t="str">
        <f ca="1">IF(COUNTIFS($CM$6:$CM$53,CM32,$BC$6:$BC$53,INDEX(T_Equipos[Grupo],MATCH(BD32,T_Equipos[NombreEquipo],0)))=1,"-","P."&amp;CM32&amp;" ("&amp;COUNTIFS($CM$6:$CM$53,CM32,$BC$6:$BC$53,INDEX(T_Equipos[Grupo],MATCH(BD32,T_Equipos[NombreEquipo],0)))&amp;")")</f>
        <v>P.2 (2)</v>
      </c>
      <c r="CO32" s="758">
        <f t="shared" ca="1" si="48"/>
        <v>0</v>
      </c>
      <c r="CP32" s="758">
        <f t="shared" ca="1" si="49"/>
        <v>0</v>
      </c>
      <c r="CQ32" s="758">
        <f t="shared" ca="1" si="50"/>
        <v>0</v>
      </c>
      <c r="CR32" s="758">
        <f ca="1">CM32+COUNTIFS($CN$6:$CN$53,CN32,$CQ$6:CQ$53,"&gt;"&amp;CQ32,$BC$6:$BC$53,INDEX(T_Equipos[Grupo],MATCH(BD32,T_Equipos[NombreEquipo],0)))</f>
        <v>2</v>
      </c>
      <c r="CS32" s="757" t="str">
        <f ca="1">IF(COUNTIFS($CR$6:$CR$53,CR32,$BC$6:$BC$53,INDEX(T_Equipos[Grupo],MATCH(BD32,T_Equipos[NombreEquipo],0)))=1,"-","P."&amp;CR32&amp;" ("&amp;COUNTIFS($CR$6:$CR$53,CR32,$BC$6:$BC$53,INDEX(T_Equipos[Grupo],MATCH(BD32,T_Equipos[NombreEquipo],0)))&amp;")")</f>
        <v>P.2 (2)</v>
      </c>
      <c r="CT32" s="758">
        <f t="shared" ca="1" si="51"/>
        <v>0</v>
      </c>
      <c r="CU32" s="758">
        <f ca="1">CR32+COUNTIFS($CS$6:$CS$53,CS32,$CT$6:CT$53,"&gt;"&amp;CT32,$BC$6:$BC$53,INDEX(T_Equipos[Grupo],MATCH(BD32,T_Equipos[NombreEquipo],0)))</f>
        <v>2</v>
      </c>
      <c r="CV32" s="757" t="str">
        <f ca="1">IF(COUNTIFS($CU$6:$CU$53,CU32,$BC$6:$BC$53,INDEX(T_Equipos[Grupo],MATCH(BD32,T_Equipos[NombreEquipo],0)))=1,"-","P."&amp;CU32&amp;" ("&amp;COUNTIFS($CU$6:$CU$53,CU32,$BC$6:$BC$53,INDEX(T_Equipos[Grupo],MATCH(BD32,T_Equipos[NombreEquipo],0)))&amp;")")</f>
        <v>P.2 (2)</v>
      </c>
      <c r="CW32" s="757">
        <f t="shared" ca="1" si="30"/>
        <v>0</v>
      </c>
      <c r="CX32" s="757">
        <f ca="1">CU32+COUNTIFS($CV$6:$CV$53,CV32,$CW$6:CW$53,"&gt;"&amp;CW32,$BC$6:$BC$53,INDEX(T_Equipos[Grupo],MATCH(BD32,T_Equipos[NombreEquipo],0)))</f>
        <v>2</v>
      </c>
      <c r="CY32" s="757" t="str">
        <f ca="1">IF(COUNTIFS($CX$6:$CX$53,CX32,$BC$6:$BC$53,INDEX(T_Equipos[Grupo],MATCH(BD32,T_Equipos[NombreEquipo],0)))=1,"-","P."&amp;CX32&amp;" ("&amp;COUNTIFS($CX$6:$CX$53,CX32,$BC$6:$BC$53,INDEX(T_Equipos[Grupo],MATCH(BD32,T_Equipos[NombreEquipo],0)))&amp;")")</f>
        <v>P.2 (2)</v>
      </c>
      <c r="CZ32" s="757">
        <f t="shared" ca="1" si="31"/>
        <v>2</v>
      </c>
      <c r="DA32" s="758">
        <f ca="1">CX32+COUNTIFS($CY$6:$CY$53,CY32,$CZ$6:CZ$53,"&gt;"&amp;CZ32,$BC$6:$BC$53,INDEX(T_Equipos[Grupo],MATCH(BD32,T_Equipos[NombreEquipo],0)))</f>
        <v>2</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2</v>
      </c>
      <c r="DE32" s="756"/>
      <c r="DF32" s="756">
        <f t="shared" ca="1" si="52"/>
        <v>2</v>
      </c>
      <c r="DG32" s="756" t="str">
        <f ca="1">IF(DB32="-","-",COUNTIFS(DF$6:DF$53,"&lt;"&amp;DF32,$BC$6:$BC$53,INDEX(T_Equipos[Grupo],MATCH(BD32,T_Equipos[NombreEquipo],0))))</f>
        <v>-</v>
      </c>
      <c r="DH32" s="756">
        <f ca="1">DA32+COUNTIFS(DB$6:DB$53,DB32,DG$6:DG$53,"&lt;"&amp;DG32,$BC$6:$BC$53,INDEX(T_Equipos[Grupo],MATCH(BD32,T_Equipos[NombreEquipo],0)))</f>
        <v>2</v>
      </c>
      <c r="DI32" s="744"/>
      <c r="DJ32" s="744">
        <f t="shared" ca="1" si="53"/>
        <v>3</v>
      </c>
      <c r="DK32" s="744">
        <f t="shared" ca="1" si="24"/>
        <v>8</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2</v>
      </c>
      <c r="AO33" s="238">
        <f t="shared" ca="1" si="111"/>
        <v>0</v>
      </c>
      <c r="AP33" s="238">
        <f t="shared" ca="1" si="111"/>
        <v>0</v>
      </c>
      <c r="AQ33" s="238">
        <f t="shared" ca="1" si="111"/>
        <v>2</v>
      </c>
      <c r="AR33" s="238">
        <f t="shared" ca="1" si="111"/>
        <v>0</v>
      </c>
      <c r="AS33" s="238">
        <f t="shared" ca="1" si="111"/>
        <v>3</v>
      </c>
      <c r="AT33" s="239">
        <f t="shared" ca="1" si="111"/>
        <v>-3</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2</v>
      </c>
      <c r="BG33" s="748">
        <f t="shared" ca="1" si="17"/>
        <v>0</v>
      </c>
      <c r="BH33" s="748">
        <f t="shared" ca="1" si="18"/>
        <v>1</v>
      </c>
      <c r="BI33" s="748">
        <f t="shared" ca="1" si="19"/>
        <v>1</v>
      </c>
      <c r="BJ33" s="748">
        <f t="shared" ca="1" si="20"/>
        <v>3</v>
      </c>
      <c r="BK33" s="748">
        <f t="shared" ca="1" si="21"/>
        <v>5</v>
      </c>
      <c r="BL33" s="748">
        <f t="shared" ca="1" si="27"/>
        <v>-2</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8</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4</v>
      </c>
      <c r="BF34" s="748">
        <f t="shared" ca="1" si="26"/>
        <v>2</v>
      </c>
      <c r="BG34" s="748">
        <f t="shared" ca="1" si="17"/>
        <v>1</v>
      </c>
      <c r="BH34" s="748">
        <f t="shared" ca="1" si="18"/>
        <v>1</v>
      </c>
      <c r="BI34" s="748">
        <f t="shared" ca="1" si="19"/>
        <v>0</v>
      </c>
      <c r="BJ34" s="748">
        <f t="shared" ca="1" si="20"/>
        <v>4</v>
      </c>
      <c r="BK34" s="748">
        <f t="shared" ca="1" si="21"/>
        <v>0</v>
      </c>
      <c r="BL34" s="748">
        <f t="shared" ca="1" si="27"/>
        <v>4</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4</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8</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2</v>
      </c>
      <c r="BF35" s="748">
        <f t="shared" ca="1" si="26"/>
        <v>2</v>
      </c>
      <c r="BG35" s="748">
        <f t="shared" ca="1" si="17"/>
        <v>0</v>
      </c>
      <c r="BH35" s="748">
        <f t="shared" ca="1" si="18"/>
        <v>2</v>
      </c>
      <c r="BI35" s="748">
        <f t="shared" ca="1" si="19"/>
        <v>0</v>
      </c>
      <c r="BJ35" s="748">
        <f t="shared" ca="1" si="20"/>
        <v>2</v>
      </c>
      <c r="BK35" s="748">
        <f t="shared" ca="1" si="21"/>
        <v>2</v>
      </c>
      <c r="BL35" s="748">
        <f t="shared" ca="1" si="27"/>
        <v>0</v>
      </c>
      <c r="BM35" s="748" t="str">
        <f t="shared" ca="1" si="22"/>
        <v>3H</v>
      </c>
      <c r="BN35" s="748" t="str">
        <f t="shared" ca="1" si="23"/>
        <v>3H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2</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P.2 (2)</v>
      </c>
      <c r="BU35" s="758">
        <f t="shared" ca="1" si="36"/>
        <v>0</v>
      </c>
      <c r="BV35" s="758">
        <f t="shared" ca="1" si="37"/>
        <v>1</v>
      </c>
      <c r="BW35" s="758">
        <f t="shared" ca="1" si="38"/>
        <v>0</v>
      </c>
      <c r="BX35" s="758">
        <f t="shared" ca="1" si="39"/>
        <v>1</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P.2 (2)</v>
      </c>
      <c r="CA35" s="758">
        <f t="shared" ca="1" si="40"/>
        <v>2</v>
      </c>
      <c r="CB35" s="758">
        <f t="shared" ca="1" si="41"/>
        <v>2</v>
      </c>
      <c r="CC35" s="758">
        <f t="shared" ca="1" si="42"/>
        <v>0</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P.2 (2)</v>
      </c>
      <c r="CF35" s="758">
        <f t="shared" ca="1" si="43"/>
        <v>2</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P.2 (2)</v>
      </c>
      <c r="CI35" s="758">
        <f t="shared" ca="1" si="44"/>
        <v>0</v>
      </c>
      <c r="CJ35" s="758">
        <f t="shared" ca="1" si="45"/>
        <v>1</v>
      </c>
      <c r="CK35" s="758">
        <f t="shared" ca="1" si="46"/>
        <v>0</v>
      </c>
      <c r="CL35" s="758">
        <f t="shared" ca="1" si="47"/>
        <v>1</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P.2 (2)</v>
      </c>
      <c r="CO35" s="758">
        <f t="shared" ca="1" si="48"/>
        <v>2</v>
      </c>
      <c r="CP35" s="758">
        <f t="shared" ca="1" si="49"/>
        <v>2</v>
      </c>
      <c r="CQ35" s="758">
        <f t="shared" ca="1" si="50"/>
        <v>0</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P.2 (2)</v>
      </c>
      <c r="CT35" s="758">
        <f t="shared" ca="1" si="51"/>
        <v>2</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P.2 (2)</v>
      </c>
      <c r="CW35" s="757">
        <f t="shared" ca="1" si="30"/>
        <v>0</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P.2 (2)</v>
      </c>
      <c r="CZ35" s="757">
        <f t="shared" ca="1" si="31"/>
        <v>2</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3</v>
      </c>
      <c r="DE35" s="756"/>
      <c r="DF35" s="756">
        <f t="shared" ca="1" si="52"/>
        <v>3</v>
      </c>
      <c r="DG35" s="756" t="str">
        <f ca="1">IF(DB35="-","-",COUNTIFS(DF$6:DF$53,"&lt;"&amp;DF35,$BC$6:$BC$53,INDEX(T_Equipos[Grupo],MATCH(BD35,T_Equipos[NombreEquipo],0))))</f>
        <v>-</v>
      </c>
      <c r="DH35" s="756">
        <f ca="1">DA35+COUNTIFS(DB$6:DB$53,DB35,DG$6:DG$53,"&lt;"&amp;DG35,$BC$6:$BC$53,INDEX(T_Equipos[Grupo],MATCH(BD35,T_Equipos[NombreEquipo],0)))</f>
        <v>3</v>
      </c>
      <c r="DI35" s="744"/>
      <c r="DJ35" s="744">
        <f t="shared" ca="1" si="53"/>
        <v>2</v>
      </c>
      <c r="DK35" s="744">
        <f t="shared" ca="1" si="24"/>
        <v>8</v>
      </c>
      <c r="DL35" s="744">
        <f t="shared" ca="1" si="33"/>
        <v>1</v>
      </c>
      <c r="DM35" s="738" t="str">
        <f t="shared" ca="1" si="34"/>
        <v>2.1</v>
      </c>
      <c r="DN35" s="744" cm="1">
        <f t="array" aca="1" ref="DN35" ca="1">OFFSET(Horarios!$P$3,DJ35-1,0,DL35,1)</f>
        <v>2</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v>
      </c>
      <c r="F36" s="744" t="str">
        <f t="shared" ref="F36:F41" ca="1" si="117">IF(D36="Pendiente","-",INDEX($BT$6:$BT$53,MATCH($AF36,$BD$6:$BD$53,0)))</f>
        <v>P.3 (2)</v>
      </c>
      <c r="G36" s="744"/>
      <c r="H36" s="744" t="str">
        <f t="shared" ref="H36:H41" ca="1" si="118">IF(D36="Pendiente","-",INDEX($BZ$6:$BZ$53,MATCH($AA36,$BD$6:$BD$53,0)))</f>
        <v>-</v>
      </c>
      <c r="I36" s="744" t="str">
        <f t="shared" ref="I36:I41" ca="1" si="119">IF(D36="Pendiente","-",INDEX($BZ$6:$BZ$53,MATCH($AF36,$BD$6:$BD$53,0)))</f>
        <v>P.3 (2)</v>
      </c>
      <c r="J36" s="744"/>
      <c r="K36" s="744" t="str">
        <f t="shared" ref="K36:K41" ca="1" si="120">IF(D36="Pendiente","-",INDEX($CE$6:$CE$53,MATCH($AA36,$BD$6:$BD$53,0)))</f>
        <v>-</v>
      </c>
      <c r="L36" s="744" t="str">
        <f t="shared" ref="L36:L41" ca="1" si="121">IF(D36="Pendiente","-",INDEX($CE$6:$CE$53,MATCH($AF36,$BD$6:$BD$53,0)))</f>
        <v>P.3 (2)</v>
      </c>
      <c r="M36" s="744"/>
      <c r="N36" s="744" t="str">
        <f t="shared" ref="N36:N41" ca="1" si="122">IF(D36="Pendiente","-",INDEX($CH$6:$CH$53,MATCH($AA36,$BD$6:$BD$53,0)))</f>
        <v>-</v>
      </c>
      <c r="O36" s="744" t="str">
        <f t="shared" ref="O36:O41" ca="1" si="123">IF(D36="Pendiente","-",INDEX($CH$6:$CH$53,MATCH($AF36,$BD$6:$BD$53,0)))</f>
        <v>P.3 (2)</v>
      </c>
      <c r="P36" s="744"/>
      <c r="Q36" s="744" t="str">
        <f t="shared" ref="Q36:Q41" ca="1" si="124">IF(D36="Pendiente","-",INDEX($CN$6:$CN$53,MATCH($AA36,$BD$6:$BD$53,0)))</f>
        <v>-</v>
      </c>
      <c r="R36" s="744" t="str">
        <f t="shared" ref="R36:R41" ca="1" si="125">IF(D36="Pendiente","-",INDEX($CN$6:$CN$53,MATCH($AF36,$BD$6:$BD$53,0)))</f>
        <v>P.3 (2)</v>
      </c>
      <c r="S36" s="744"/>
      <c r="T36" s="744" t="str">
        <f t="shared" ref="T36:T41" ca="1" si="126">IF(D36="Pendiente","-",INDEX($CS$6:$CS$53,MATCH($AA36,$BD$6:$BD$53,0)))</f>
        <v>-</v>
      </c>
      <c r="U36" s="744" t="str">
        <f t="shared" ref="U36:U41" ca="1" si="127">IF(D36="Pendiente","-",INDEX($CS$6:$CS$53,MATCH($AF36,$BD$6:$BD$53,0)))</f>
        <v>P.3 (2)</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2</v>
      </c>
      <c r="BG36" s="748">
        <f t="shared" ca="1" si="17"/>
        <v>0</v>
      </c>
      <c r="BH36" s="748">
        <f t="shared" ca="1" si="18"/>
        <v>1</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4</v>
      </c>
      <c r="BT36" s="757" t="str">
        <f ca="1">IF(COUNTIFS($BS$6:$BS$53,BS36,$BC$6:$BC$53,INDEX(T_Equipos[Grupo],MATCH(BD36,T_Equipos[NombreEquipo],0)))=1,"-","P."&amp;BS36&amp;" ("&amp;COUNTIFS($BS$6:$BS$53,BS36,$BC$6:$BC$53,INDEX(T_Equipos[Grupo],MATCH(BD36,T_Equipos[NombreEquipo],0)))&amp;")")</f>
        <v>-</v>
      </c>
      <c r="BU36" s="758" t="str">
        <f t="shared" ca="1" si="36"/>
        <v>-</v>
      </c>
      <c r="BV36" s="758" t="str">
        <f t="shared" ca="1" si="37"/>
        <v>-</v>
      </c>
      <c r="BW36" s="758" t="str">
        <f t="shared" ca="1" si="38"/>
        <v>-</v>
      </c>
      <c r="BX36" s="758" t="str">
        <f t="shared" ca="1" si="39"/>
        <v>-</v>
      </c>
      <c r="BY36" s="758">
        <f ca="1">BS36+COUNTIFS($BT$6:$BT$53,BT36,$BX$6:BX$53,"&gt;"&amp;BX36,$BC$6:$BC$53,INDEX(T_Equipos[Grupo],MATCH(BD36,T_Equipos[NombreEquipo],0)))</f>
        <v>4</v>
      </c>
      <c r="BZ36" s="757" t="str">
        <f ca="1">IF(COUNTIFS($BY$6:$BY$53,BY36,$BC$6:$BC$53,INDEX(T_Equipos[Grupo],MATCH(BD36,T_Equipos[NombreEquipo],0)))=1,"-","P."&amp;BY36&amp;" ("&amp;COUNTIFS($BY$6:$BY$53,BY36,$BC$6:$BC$53,INDEX(T_Equipos[Grupo],MATCH(BD36,T_Equipos[NombreEquipo],0)))&amp;")")</f>
        <v>-</v>
      </c>
      <c r="CA36" s="758" t="str">
        <f t="shared" ca="1" si="40"/>
        <v>-</v>
      </c>
      <c r="CB36" s="758" t="str">
        <f t="shared" ca="1" si="41"/>
        <v>-</v>
      </c>
      <c r="CC36" s="758" t="str">
        <f t="shared" ca="1" si="42"/>
        <v>-</v>
      </c>
      <c r="CD36" s="758">
        <f ca="1">BY36+COUNTIFS($BZ$6:$BZ$53,BZ36,$CC$6:CC$53,"&gt;"&amp;CC36,$BC$6:$BC$53,INDEX(T_Equipos[Grupo],MATCH(BD36,T_Equipos[NombreEquipo],0)))</f>
        <v>4</v>
      </c>
      <c r="CE36" s="757" t="str">
        <f ca="1">IF(COUNTIFS($CD$6:$CD$53,CD36,$BC$6:$BC$53,INDEX(T_Equipos[Grupo],MATCH(BD36,T_Equipos[NombreEquipo],0)))=1,"-","P."&amp;CD36&amp;" ("&amp;COUNTIFS($CD$6:$CD$53,CD36,$BC$6:$BC$53,INDEX(T_Equipos[Grupo],MATCH(BD36,T_Equipos[NombreEquipo],0)))&amp;")")</f>
        <v>-</v>
      </c>
      <c r="CF36" s="758" t="str">
        <f t="shared" ca="1" si="43"/>
        <v>-</v>
      </c>
      <c r="CG36" s="758">
        <f ca="1">CD36+COUNTIFS($CE$6:$CE$53,CE36,$CF$6:CF$53,"&gt;"&amp;CF36,$BC$6:$BC$53,INDEX(T_Equipos[Grupo],MATCH(BD36,T_Equipos[NombreEquipo],0)))</f>
        <v>4</v>
      </c>
      <c r="CH36" s="757" t="str">
        <f ca="1">IF(COUNTIFS($CG$6:$CG$53,CG36,$BC$6:$BC$53,INDEX(T_Equipos[Grupo],MATCH(BD36,T_Equipos[NombreEquipo],0)))=1,"-","P."&amp;CG36&amp;" ("&amp;COUNTIFS($CG$6:$CG$53,CG36,$BC$6:$BC$53,INDEX(T_Equipos[Grupo],MATCH(BD36,T_Equipos[NombreEquipo],0)))&amp;")")</f>
        <v>-</v>
      </c>
      <c r="CI36" s="758" t="str">
        <f t="shared" ca="1" si="44"/>
        <v>-</v>
      </c>
      <c r="CJ36" s="758" t="str">
        <f t="shared" ca="1" si="45"/>
        <v>-</v>
      </c>
      <c r="CK36" s="758" t="str">
        <f t="shared" ca="1" si="46"/>
        <v>-</v>
      </c>
      <c r="CL36" s="758" t="str">
        <f t="shared" ca="1" si="47"/>
        <v>-</v>
      </c>
      <c r="CM36" s="758">
        <f ca="1">CG36+COUNTIFS($CH$6:$CH$53,CH36,$CL$6:CL$53,"&gt;"&amp;CL36,$BC$6:$BC$53,INDEX(T_Equipos[Grupo],MATCH(BD36,T_Equipos[NombreEquipo],0)))</f>
        <v>4</v>
      </c>
      <c r="CN36" s="757" t="str">
        <f ca="1">IF(COUNTIFS($CM$6:$CM$53,CM36,$BC$6:$BC$53,INDEX(T_Equipos[Grupo],MATCH(BD36,T_Equipos[NombreEquipo],0)))=1,"-","P."&amp;CM36&amp;" ("&amp;COUNTIFS($CM$6:$CM$53,CM36,$BC$6:$BC$53,INDEX(T_Equipos[Grupo],MATCH(BD36,T_Equipos[NombreEquipo],0)))&amp;")")</f>
        <v>-</v>
      </c>
      <c r="CO36" s="758" t="str">
        <f t="shared" ca="1" si="48"/>
        <v>-</v>
      </c>
      <c r="CP36" s="758" t="str">
        <f t="shared" ca="1" si="49"/>
        <v>-</v>
      </c>
      <c r="CQ36" s="758" t="str">
        <f t="shared" ca="1" si="50"/>
        <v>-</v>
      </c>
      <c r="CR36" s="758">
        <f ca="1">CM36+COUNTIFS($CN$6:$CN$53,CN36,$CQ$6:CQ$53,"&gt;"&amp;CQ36,$BC$6:$BC$53,INDEX(T_Equipos[Grupo],MATCH(BD36,T_Equipos[NombreEquipo],0)))</f>
        <v>4</v>
      </c>
      <c r="CS36" s="757" t="str">
        <f ca="1">IF(COUNTIFS($CR$6:$CR$53,CR36,$BC$6:$BC$53,INDEX(T_Equipos[Grupo],MATCH(BD36,T_Equipos[NombreEquipo],0)))=1,"-","P."&amp;CR36&amp;" ("&amp;COUNTIFS($CR$6:$CR$53,CR36,$BC$6:$BC$53,INDEX(T_Equipos[Grupo],MATCH(BD36,T_Equipos[NombreEquipo],0)))&amp;")")</f>
        <v>-</v>
      </c>
      <c r="CT36" s="758" t="str">
        <f t="shared" ca="1" si="51"/>
        <v>-</v>
      </c>
      <c r="CU36" s="758">
        <f ca="1">CR36+COUNTIFS($CS$6:$CS$53,CS36,$CT$6:CT$53,"&gt;"&amp;CT36,$BC$6:$BC$53,INDEX(T_Equipos[Grupo],MATCH(BD36,T_Equipos[NombreEquipo],0)))</f>
        <v>4</v>
      </c>
      <c r="CV36" s="757" t="str">
        <f ca="1">IF(COUNTIFS($CU$6:$CU$53,CU36,$BC$6:$BC$53,INDEX(T_Equipos[Grupo],MATCH(BD36,T_Equipos[NombreEquipo],0)))=1,"-","P."&amp;CU36&amp;" ("&amp;COUNTIFS($CU$6:$CU$53,CU36,$BC$6:$BC$53,INDEX(T_Equipos[Grupo],MATCH(BD36,T_Equipos[NombreEquipo],0)))&amp;")")</f>
        <v>-</v>
      </c>
      <c r="CW36" s="757" t="str">
        <f t="shared" ca="1" si="30"/>
        <v>-</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8</v>
      </c>
      <c r="DL36" s="744">
        <f t="shared" ca="1" si="33"/>
        <v>1</v>
      </c>
      <c r="DM36" s="738" t="str">
        <f t="shared" ca="1" si="34"/>
        <v>3.1</v>
      </c>
      <c r="DN36" s="744" cm="1">
        <f t="array" aca="1" ref="DN36" ca="1">OFFSET(Horarios!$P$3,DJ36-1,0,DL36,1)</f>
        <v>3</v>
      </c>
      <c r="DO36" s="744"/>
      <c r="DP36" s="744" t="s">
        <v>436</v>
      </c>
      <c r="DQ36" s="744" t="str">
        <f t="shared" ca="1" si="35"/>
        <v>Cabo Verde</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v>
      </c>
      <c r="F37" s="744" t="str">
        <f t="shared" ca="1" si="117"/>
        <v>P.3 (2)</v>
      </c>
      <c r="G37" s="744"/>
      <c r="H37" s="744" t="str">
        <f t="shared" ca="1" si="118"/>
        <v>-</v>
      </c>
      <c r="I37" s="744" t="str">
        <f t="shared" ca="1" si="119"/>
        <v>P.3 (2)</v>
      </c>
      <c r="J37" s="744"/>
      <c r="K37" s="744" t="str">
        <f t="shared" ca="1" si="120"/>
        <v>-</v>
      </c>
      <c r="L37" s="744" t="str">
        <f t="shared" ca="1" si="121"/>
        <v>P.3 (2)</v>
      </c>
      <c r="M37" s="744"/>
      <c r="N37" s="744" t="str">
        <f t="shared" ca="1" si="122"/>
        <v>-</v>
      </c>
      <c r="O37" s="744" t="str">
        <f t="shared" ca="1" si="123"/>
        <v>P.3 (2)</v>
      </c>
      <c r="P37" s="744"/>
      <c r="Q37" s="744" t="str">
        <f t="shared" ca="1" si="124"/>
        <v>-</v>
      </c>
      <c r="R37" s="744" t="str">
        <f t="shared" ca="1" si="125"/>
        <v>P.3 (2)</v>
      </c>
      <c r="S37" s="744"/>
      <c r="T37" s="744" t="str">
        <f t="shared" ca="1" si="126"/>
        <v>-</v>
      </c>
      <c r="U37" s="744" t="str">
        <f t="shared" ca="1" si="127"/>
        <v>P.3 (2)</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2</v>
      </c>
      <c r="BG37" s="748">
        <f t="shared" ca="1" si="17"/>
        <v>0</v>
      </c>
      <c r="BH37" s="748">
        <f t="shared" ca="1" si="18"/>
        <v>2</v>
      </c>
      <c r="BI37" s="748">
        <f t="shared" ca="1" si="19"/>
        <v>0</v>
      </c>
      <c r="BJ37" s="748">
        <f t="shared" ca="1" si="20"/>
        <v>3</v>
      </c>
      <c r="BK37" s="748">
        <f t="shared" ca="1" si="21"/>
        <v>3</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2</v>
      </c>
      <c r="BT37" s="757" t="str">
        <f ca="1">IF(COUNTIFS($BS$6:$BS$53,BS37,$BC$6:$BC$53,INDEX(T_Equipos[Grupo],MATCH(BD37,T_Equipos[NombreEquipo],0)))=1,"-","P."&amp;BS37&amp;" ("&amp;COUNTIFS($BS$6:$BS$53,BS37,$BC$6:$BC$53,INDEX(T_Equipos[Grupo],MATCH(BD37,T_Equipos[NombreEquipo],0)))&amp;")")</f>
        <v>P.2 (2)</v>
      </c>
      <c r="BU37" s="758">
        <f t="shared" ca="1" si="36"/>
        <v>0</v>
      </c>
      <c r="BV37" s="758">
        <f t="shared" ca="1" si="37"/>
        <v>1</v>
      </c>
      <c r="BW37" s="758">
        <f t="shared" ca="1" si="38"/>
        <v>0</v>
      </c>
      <c r="BX37" s="758">
        <f t="shared" ca="1" si="39"/>
        <v>1</v>
      </c>
      <c r="BY37" s="758">
        <f ca="1">BS37+COUNTIFS($BT$6:$BT$53,BT37,$BX$6:BX$53,"&gt;"&amp;BX37,$BC$6:$BC$53,INDEX(T_Equipos[Grupo],MATCH(BD37,T_Equipos[NombreEquipo],0)))</f>
        <v>2</v>
      </c>
      <c r="BZ37" s="757" t="str">
        <f ca="1">IF(COUNTIFS($BY$6:$BY$53,BY37,$BC$6:$BC$53,INDEX(T_Equipos[Grupo],MATCH(BD37,T_Equipos[NombreEquipo],0)))=1,"-","P."&amp;BY37&amp;" ("&amp;COUNTIFS($BY$6:$BY$53,BY37,$BC$6:$BC$53,INDEX(T_Equipos[Grupo],MATCH(BD37,T_Equipos[NombreEquipo],0)))&amp;")")</f>
        <v>P.2 (2)</v>
      </c>
      <c r="CA37" s="758">
        <f t="shared" ca="1" si="40"/>
        <v>2</v>
      </c>
      <c r="CB37" s="758">
        <f t="shared" ca="1" si="41"/>
        <v>2</v>
      </c>
      <c r="CC37" s="758">
        <f t="shared" ca="1" si="42"/>
        <v>0</v>
      </c>
      <c r="CD37" s="758">
        <f ca="1">BY37+COUNTIFS($BZ$6:$BZ$53,BZ37,$CC$6:CC$53,"&gt;"&amp;CC37,$BC$6:$BC$53,INDEX(T_Equipos[Grupo],MATCH(BD37,T_Equipos[NombreEquipo],0)))</f>
        <v>2</v>
      </c>
      <c r="CE37" s="757" t="str">
        <f ca="1">IF(COUNTIFS($CD$6:$CD$53,CD37,$BC$6:$BC$53,INDEX(T_Equipos[Grupo],MATCH(BD37,T_Equipos[NombreEquipo],0)))=1,"-","P."&amp;CD37&amp;" ("&amp;COUNTIFS($CD$6:$CD$53,CD37,$BC$6:$BC$53,INDEX(T_Equipos[Grupo],MATCH(BD37,T_Equipos[NombreEquipo],0)))&amp;")")</f>
        <v>P.2 (2)</v>
      </c>
      <c r="CF37" s="758">
        <f t="shared" ca="1" si="43"/>
        <v>2</v>
      </c>
      <c r="CG37" s="758">
        <f ca="1">CD37+COUNTIFS($CE$6:$CE$53,CE37,$CF$6:CF$53,"&gt;"&amp;CF37,$BC$6:$BC$53,INDEX(T_Equipos[Grupo],MATCH(BD37,T_Equipos[NombreEquipo],0)))</f>
        <v>2</v>
      </c>
      <c r="CH37" s="757" t="str">
        <f ca="1">IF(COUNTIFS($CG$6:$CG$53,CG37,$BC$6:$BC$53,INDEX(T_Equipos[Grupo],MATCH(BD37,T_Equipos[NombreEquipo],0)))=1,"-","P."&amp;CG37&amp;" ("&amp;COUNTIFS($CG$6:$CG$53,CG37,$BC$6:$BC$53,INDEX(T_Equipos[Grupo],MATCH(BD37,T_Equipos[NombreEquipo],0)))&amp;")")</f>
        <v>P.2 (2)</v>
      </c>
      <c r="CI37" s="758">
        <f t="shared" ca="1" si="44"/>
        <v>0</v>
      </c>
      <c r="CJ37" s="758">
        <f t="shared" ca="1" si="45"/>
        <v>1</v>
      </c>
      <c r="CK37" s="758">
        <f t="shared" ca="1" si="46"/>
        <v>0</v>
      </c>
      <c r="CL37" s="758">
        <f t="shared" ca="1" si="47"/>
        <v>1</v>
      </c>
      <c r="CM37" s="758">
        <f ca="1">CG37+COUNTIFS($CH$6:$CH$53,CH37,$CL$6:CL$53,"&gt;"&amp;CL37,$BC$6:$BC$53,INDEX(T_Equipos[Grupo],MATCH(BD37,T_Equipos[NombreEquipo],0)))</f>
        <v>2</v>
      </c>
      <c r="CN37" s="757" t="str">
        <f ca="1">IF(COUNTIFS($CM$6:$CM$53,CM37,$BC$6:$BC$53,INDEX(T_Equipos[Grupo],MATCH(BD37,T_Equipos[NombreEquipo],0)))=1,"-","P."&amp;CM37&amp;" ("&amp;COUNTIFS($CM$6:$CM$53,CM37,$BC$6:$BC$53,INDEX(T_Equipos[Grupo],MATCH(BD37,T_Equipos[NombreEquipo],0)))&amp;")")</f>
        <v>P.2 (2)</v>
      </c>
      <c r="CO37" s="758">
        <f t="shared" ca="1" si="48"/>
        <v>2</v>
      </c>
      <c r="CP37" s="758">
        <f t="shared" ca="1" si="49"/>
        <v>2</v>
      </c>
      <c r="CQ37" s="758">
        <f t="shared" ca="1" si="50"/>
        <v>0</v>
      </c>
      <c r="CR37" s="758">
        <f ca="1">CM37+COUNTIFS($CN$6:$CN$53,CN37,$CQ$6:CQ$53,"&gt;"&amp;CQ37,$BC$6:$BC$53,INDEX(T_Equipos[Grupo],MATCH(BD37,T_Equipos[NombreEquipo],0)))</f>
        <v>2</v>
      </c>
      <c r="CS37" s="757" t="str">
        <f ca="1">IF(COUNTIFS($CR$6:$CR$53,CR37,$BC$6:$BC$53,INDEX(T_Equipos[Grupo],MATCH(BD37,T_Equipos[NombreEquipo],0)))=1,"-","P."&amp;CR37&amp;" ("&amp;COUNTIFS($CR$6:$CR$53,CR37,$BC$6:$BC$53,INDEX(T_Equipos[Grupo],MATCH(BD37,T_Equipos[NombreEquipo],0)))&amp;")")</f>
        <v>P.2 (2)</v>
      </c>
      <c r="CT37" s="758">
        <f t="shared" ca="1" si="51"/>
        <v>2</v>
      </c>
      <c r="CU37" s="758">
        <f ca="1">CR37+COUNTIFS($CS$6:$CS$53,CS37,$CT$6:CT$53,"&gt;"&amp;CT37,$BC$6:$BC$53,INDEX(T_Equipos[Grupo],MATCH(BD37,T_Equipos[NombreEquipo],0)))</f>
        <v>2</v>
      </c>
      <c r="CV37" s="757" t="str">
        <f ca="1">IF(COUNTIFS($CU$6:$CU$53,CU37,$BC$6:$BC$53,INDEX(T_Equipos[Grupo],MATCH(BD37,T_Equipos[NombreEquipo],0)))=1,"-","P."&amp;CU37&amp;" ("&amp;COUNTIFS($CU$6:$CU$53,CU37,$BC$6:$BC$53,INDEX(T_Equipos[Grupo],MATCH(BD37,T_Equipos[NombreEquipo],0)))&amp;")")</f>
        <v>P.2 (2)</v>
      </c>
      <c r="CW37" s="757">
        <f t="shared" ca="1" si="30"/>
        <v>0</v>
      </c>
      <c r="CX37" s="757">
        <f ca="1">CU37+COUNTIFS($CV$6:$CV$53,CV37,$CW$6:CW$53,"&gt;"&amp;CW37,$BC$6:$BC$53,INDEX(T_Equipos[Grupo],MATCH(BD37,T_Equipos[NombreEquipo],0)))</f>
        <v>2</v>
      </c>
      <c r="CY37" s="757" t="str">
        <f ca="1">IF(COUNTIFS($CX$6:$CX$53,CX37,$BC$6:$BC$53,INDEX(T_Equipos[Grupo],MATCH(BD37,T_Equipos[NombreEquipo],0)))=1,"-","P."&amp;CX37&amp;" ("&amp;COUNTIFS($CX$6:$CX$53,CX37,$BC$6:$BC$53,INDEX(T_Equipos[Grupo],MATCH(BD37,T_Equipos[NombreEquipo],0)))&amp;")")</f>
        <v>P.2 (2)</v>
      </c>
      <c r="CZ37" s="757">
        <f t="shared" ca="1" si="31"/>
        <v>3</v>
      </c>
      <c r="DA37" s="758">
        <f ca="1">CX37+COUNTIFS($CY$6:$CY$53,CY37,$CZ$6:CZ$53,"&gt;"&amp;CZ37,$BC$6:$BC$53,INDEX(T_Equipos[Grupo],MATCH(BD37,T_Equipos[NombreEquipo],0)))</f>
        <v>2</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2</v>
      </c>
      <c r="DE37" s="756"/>
      <c r="DF37" s="756">
        <f t="shared" ca="1" si="52"/>
        <v>2</v>
      </c>
      <c r="DG37" s="756" t="str">
        <f ca="1">IF(DB37="-","-",COUNTIFS(DF$6:DF$53,"&lt;"&amp;DF37,$BC$6:$BC$53,INDEX(T_Equipos[Grupo],MATCH(BD37,T_Equipos[NombreEquipo],0))))</f>
        <v>-</v>
      </c>
      <c r="DH37" s="756">
        <f ca="1">DA37+COUNTIFS(DB$6:DB$53,DB37,DG$6:DG$53,"&lt;"&amp;DG37,$BC$6:$BC$53,INDEX(T_Equipos[Grupo],MATCH(BD37,T_Equipos[NombreEquipo],0)))</f>
        <v>2</v>
      </c>
      <c r="DI37" s="744"/>
      <c r="DJ37" s="744">
        <f t="shared" ca="1" si="53"/>
        <v>4</v>
      </c>
      <c r="DK37" s="744">
        <f t="shared" ca="1" si="24"/>
        <v>8</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05" customHeight="1">
      <c r="A38" s="745" t="str">
        <f ca="1">+Equipos!B19</f>
        <v>Curazao</v>
      </c>
      <c r="B38" s="742"/>
      <c r="C38" s="746"/>
      <c r="D38" s="744" t="str">
        <f t="shared" si="115"/>
        <v>Local</v>
      </c>
      <c r="E38" s="744" t="str">
        <f t="shared" ca="1" si="116"/>
        <v>-</v>
      </c>
      <c r="F38" s="744" t="str">
        <f t="shared" ca="1" si="117"/>
        <v>-</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2</v>
      </c>
      <c r="AO38" s="214">
        <f t="shared" ca="1" si="132"/>
        <v>2</v>
      </c>
      <c r="AP38" s="214">
        <f t="shared" ca="1" si="132"/>
        <v>0</v>
      </c>
      <c r="AQ38" s="214">
        <f t="shared" ca="1" si="132"/>
        <v>0</v>
      </c>
      <c r="AR38" s="214">
        <f t="shared" ca="1" si="132"/>
        <v>9</v>
      </c>
      <c r="AS38" s="214">
        <f t="shared" ca="1" si="132"/>
        <v>2</v>
      </c>
      <c r="AT38" s="215">
        <f t="shared" ca="1" si="132"/>
        <v>7</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3</v>
      </c>
      <c r="BF38" s="748">
        <f t="shared" ca="1" si="26"/>
        <v>1</v>
      </c>
      <c r="BG38" s="748">
        <f t="shared" ca="1" si="17"/>
        <v>1</v>
      </c>
      <c r="BH38" s="748">
        <f t="shared" ca="1" si="18"/>
        <v>0</v>
      </c>
      <c r="BI38" s="748">
        <f t="shared" ca="1" si="19"/>
        <v>0</v>
      </c>
      <c r="BJ38" s="748">
        <f t="shared" ca="1" si="20"/>
        <v>3</v>
      </c>
      <c r="BK38" s="748">
        <f t="shared" ca="1" si="21"/>
        <v>1</v>
      </c>
      <c r="BL38" s="748">
        <f t="shared" ca="1" si="27"/>
        <v>2</v>
      </c>
      <c r="BM38" s="748" t="str">
        <f t="shared" ca="1" si="22"/>
        <v>2I</v>
      </c>
      <c r="BN38" s="748" t="str">
        <f t="shared" ca="1" si="23"/>
        <v>2I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3</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2</v>
      </c>
      <c r="CX38" s="757">
        <f ca="1">CU38+COUNTIFS($CV$6:$CV$53,CV38,$CW$6:CW$53,"&gt;"&amp;CW38,$BC$6:$BC$53,INDEX(T_Equipos[Grupo],MATCH(BD38,T_Equipos[NombreEquipo],0)))</f>
        <v>2</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2</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2</v>
      </c>
      <c r="DE38" s="756"/>
      <c r="DF38" s="756">
        <f t="shared" ca="1" si="52"/>
        <v>2</v>
      </c>
      <c r="DG38" s="756" t="str">
        <f ca="1">IF(DB38="-","-",COUNTIFS(DF$6:DF$53,"&lt;"&amp;DF38,$BC$6:$BC$53,INDEX(T_Equipos[Grupo],MATCH(BD38,T_Equipos[NombreEquipo],0))))</f>
        <v>-</v>
      </c>
      <c r="DH38" s="756">
        <f ca="1">DA38+COUNTIFS(DB$6:DB$53,DB38,DG$6:DG$53,"&lt;"&amp;DG38,$BC$6:$BC$53,INDEX(T_Equipos[Grupo],MATCH(BD38,T_Equipos[NombreEquipo],0)))</f>
        <v>2</v>
      </c>
      <c r="DI38" s="744"/>
      <c r="DJ38" s="744">
        <f t="shared" ca="1" si="53"/>
        <v>1</v>
      </c>
      <c r="DK38" s="744">
        <f t="shared" ca="1" si="24"/>
        <v>4</v>
      </c>
      <c r="DL38" s="744">
        <f t="shared" ca="1" si="33"/>
        <v>1</v>
      </c>
      <c r="DM38" s="738" t="str">
        <f t="shared" ca="1" si="34"/>
        <v>1.1</v>
      </c>
      <c r="DN38" s="744" cm="1">
        <f t="array" aca="1" ref="DN38" ca="1">OFFSET(Horarios!$P$3,DJ38-1,0,DL38,1)</f>
        <v>1</v>
      </c>
      <c r="DO38" s="744"/>
      <c r="DP38" s="744" t="s">
        <v>673</v>
      </c>
      <c r="DQ38" s="744" t="str">
        <f t="shared" ca="1" si="35"/>
        <v>Noruega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Empate</v>
      </c>
      <c r="E39" s="744" t="str">
        <f t="shared" ca="1" si="116"/>
        <v>P.3 (2)</v>
      </c>
      <c r="F39" s="744" t="str">
        <f t="shared" ca="1" si="117"/>
        <v>P.3 (2)</v>
      </c>
      <c r="G39" s="744"/>
      <c r="H39" s="744" t="str">
        <f t="shared" ca="1" si="118"/>
        <v>P.3 (2)</v>
      </c>
      <c r="I39" s="744" t="str">
        <f t="shared" ca="1" si="119"/>
        <v>P.3 (2)</v>
      </c>
      <c r="J39" s="744"/>
      <c r="K39" s="744" t="str">
        <f t="shared" ca="1" si="120"/>
        <v>P.3 (2)</v>
      </c>
      <c r="L39" s="744" t="str">
        <f t="shared" ca="1" si="121"/>
        <v>P.3 (2)</v>
      </c>
      <c r="M39" s="744"/>
      <c r="N39" s="744" t="str">
        <f t="shared" ca="1" si="122"/>
        <v>P.3 (2)</v>
      </c>
      <c r="O39" s="744" t="str">
        <f t="shared" ca="1" si="123"/>
        <v>P.3 (2)</v>
      </c>
      <c r="P39" s="744"/>
      <c r="Q39" s="744" t="str">
        <f t="shared" ca="1" si="124"/>
        <v>P.3 (2)</v>
      </c>
      <c r="R39" s="744" t="str">
        <f t="shared" ca="1" si="125"/>
        <v>P.3 (2)</v>
      </c>
      <c r="S39" s="744"/>
      <c r="T39" s="744" t="str">
        <f t="shared" ca="1" si="126"/>
        <v>P.3 (2)</v>
      </c>
      <c r="U39" s="744" t="str">
        <f t="shared" ca="1" si="127"/>
        <v>P.3 (2)</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2</v>
      </c>
      <c r="AO39" s="224">
        <f t="shared" ca="1" si="132"/>
        <v>1</v>
      </c>
      <c r="AP39" s="224">
        <f t="shared" ca="1" si="132"/>
        <v>0</v>
      </c>
      <c r="AQ39" s="224">
        <f t="shared" ca="1" si="132"/>
        <v>1</v>
      </c>
      <c r="AR39" s="224">
        <f t="shared" ca="1" si="132"/>
        <v>2</v>
      </c>
      <c r="AS39" s="224">
        <f t="shared" ca="1" si="132"/>
        <v>2</v>
      </c>
      <c r="AT39" s="225">
        <f t="shared" ca="1" si="132"/>
        <v>0</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1</v>
      </c>
      <c r="BG39" s="748">
        <f t="shared" ca="1" si="17"/>
        <v>0</v>
      </c>
      <c r="BH39" s="748">
        <f t="shared" ca="1" si="18"/>
        <v>0</v>
      </c>
      <c r="BI39" s="748">
        <f t="shared" ca="1" si="19"/>
        <v>1</v>
      </c>
      <c r="BJ39" s="748">
        <f t="shared" ca="1" si="20"/>
        <v>1</v>
      </c>
      <c r="BK39" s="748">
        <f t="shared" ca="1" si="21"/>
        <v>3</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-2</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4</v>
      </c>
      <c r="DL39" s="744">
        <f t="shared" ca="1" si="33"/>
        <v>1</v>
      </c>
      <c r="DM39" s="738" t="str">
        <f t="shared" ca="1" si="34"/>
        <v>2.1</v>
      </c>
      <c r="DN39" s="744" cm="1">
        <f t="array" aca="1" ref="DN39" ca="1">OFFSET(Horarios!$P$3,DJ39-1,0,DL39,1)</f>
        <v>2</v>
      </c>
      <c r="DO39" s="744"/>
      <c r="DP39" s="744" t="s">
        <v>674</v>
      </c>
      <c r="DQ39" s="744" t="str">
        <f t="shared" ca="1" si="35"/>
        <v>Francia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1</v>
      </c>
      <c r="AN40" s="224">
        <f t="shared" ca="1" si="132"/>
        <v>2</v>
      </c>
      <c r="AO40" s="224">
        <f t="shared" ca="1" si="132"/>
        <v>0</v>
      </c>
      <c r="AP40" s="224">
        <f t="shared" ca="1" si="132"/>
        <v>1</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1</v>
      </c>
      <c r="BG40" s="748">
        <f t="shared" ca="1" si="17"/>
        <v>0</v>
      </c>
      <c r="BH40" s="748">
        <f t="shared" ca="1" si="18"/>
        <v>0</v>
      </c>
      <c r="BI40" s="748">
        <f t="shared" ca="1" si="19"/>
        <v>1</v>
      </c>
      <c r="BJ40" s="748">
        <f t="shared" ca="1" si="20"/>
        <v>1</v>
      </c>
      <c r="BK40" s="748">
        <f t="shared" ca="1" si="21"/>
        <v>4</v>
      </c>
      <c r="BL40" s="748">
        <f t="shared" ca="1" si="27"/>
        <v>-3</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-3</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4</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2</v>
      </c>
      <c r="AO41" s="238">
        <f t="shared" ca="1" si="132"/>
        <v>0</v>
      </c>
      <c r="AP41" s="238">
        <f t="shared" ca="1" si="132"/>
        <v>1</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3</v>
      </c>
      <c r="BF41" s="748">
        <f t="shared" ca="1" si="26"/>
        <v>1</v>
      </c>
      <c r="BG41" s="748">
        <f t="shared" ca="1" si="17"/>
        <v>1</v>
      </c>
      <c r="BH41" s="748">
        <f t="shared" ca="1" si="18"/>
        <v>0</v>
      </c>
      <c r="BI41" s="748">
        <f t="shared" ca="1" si="19"/>
        <v>0</v>
      </c>
      <c r="BJ41" s="748">
        <f t="shared" ca="1" si="20"/>
        <v>4</v>
      </c>
      <c r="BK41" s="748">
        <f t="shared" ca="1" si="21"/>
        <v>1</v>
      </c>
      <c r="BL41" s="748">
        <f t="shared" ca="1" si="27"/>
        <v>3</v>
      </c>
      <c r="BM41" s="748" t="str">
        <f t="shared" ca="1" si="22"/>
        <v>1I</v>
      </c>
      <c r="BN41" s="748" t="str">
        <f t="shared" ca="1" si="23"/>
        <v>1I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3</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3</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1</v>
      </c>
      <c r="DE41" s="756"/>
      <c r="DF41" s="756">
        <f t="shared" ca="1" si="52"/>
        <v>1</v>
      </c>
      <c r="DG41" s="756" t="str">
        <f ca="1">IF(DB41="-","-",COUNTIFS(DF$6:DF$53,"&lt;"&amp;DF41,$BC$6:$BC$53,INDEX(T_Equipos[Grupo],MATCH(BD41,T_Equipos[NombreEquipo],0))))</f>
        <v>-</v>
      </c>
      <c r="DH41" s="756">
        <f ca="1">DA41+COUNTIFS(DB$6:DB$53,DB41,DG$6:DG$53,"&lt;"&amp;DG41,$BC$6:$BC$53,INDEX(T_Equipos[Grupo],MATCH(BD41,T_Equipos[NombreEquipo],0)))</f>
        <v>1</v>
      </c>
      <c r="DI41" s="744"/>
      <c r="DJ41" s="744">
        <f t="shared" ca="1" si="53"/>
        <v>4</v>
      </c>
      <c r="DK41" s="744">
        <f t="shared" ca="1" si="24"/>
        <v>4</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6</v>
      </c>
      <c r="BF42" s="748">
        <f t="shared" ca="1" si="26"/>
        <v>2</v>
      </c>
      <c r="BG42" s="748">
        <f t="shared" ca="1" si="17"/>
        <v>2</v>
      </c>
      <c r="BH42" s="748">
        <f t="shared" ca="1" si="18"/>
        <v>0</v>
      </c>
      <c r="BI42" s="748">
        <f t="shared" ca="1" si="19"/>
        <v>0</v>
      </c>
      <c r="BJ42" s="748">
        <f t="shared" ca="1" si="20"/>
        <v>5</v>
      </c>
      <c r="BK42" s="748">
        <f t="shared" ca="1" si="21"/>
        <v>0</v>
      </c>
      <c r="BL42" s="748">
        <f t="shared" ca="1" si="27"/>
        <v>5</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6</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6</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1</v>
      </c>
      <c r="BG43" s="748">
        <f t="shared" ca="1" si="17"/>
        <v>0</v>
      </c>
      <c r="BH43" s="748">
        <f t="shared" ca="1" si="18"/>
        <v>0</v>
      </c>
      <c r="BI43" s="748">
        <f t="shared" ca="1" si="19"/>
        <v>1</v>
      </c>
      <c r="BJ43" s="748">
        <f t="shared" ca="1" si="20"/>
        <v>0</v>
      </c>
      <c r="BK43" s="748">
        <f t="shared" ca="1" si="21"/>
        <v>3</v>
      </c>
      <c r="BL43" s="748">
        <f t="shared" ca="1" si="27"/>
        <v>-3</v>
      </c>
      <c r="BM43" s="748" t="str">
        <f t="shared" ca="1" si="22"/>
        <v>4J</v>
      </c>
      <c r="BN43" s="748" t="str">
        <f t="shared" ca="1" si="23"/>
        <v>4J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3</v>
      </c>
      <c r="BT43" s="757" t="str">
        <f ca="1">IF(COUNTIFS($BS$6:$BS$53,BS43,$BC$6:$BC$53,INDEX(T_Equipos[Grupo],MATCH(BD43,T_Equipos[NombreEquipo],0)))=1,"-","P."&amp;BS43&amp;" ("&amp;COUNTIFS($BS$6:$BS$53,BS43,$BC$6:$BC$53,INDEX(T_Equipos[Grupo],MATCH(BD43,T_Equipos[NombreEquipo],0)))&amp;")")</f>
        <v>P.3 (2)</v>
      </c>
      <c r="BU43" s="758">
        <f t="shared" ca="1" si="36"/>
        <v>0</v>
      </c>
      <c r="BV43" s="758">
        <f t="shared" ca="1" si="37"/>
        <v>0</v>
      </c>
      <c r="BW43" s="758">
        <f t="shared" ca="1" si="38"/>
        <v>0</v>
      </c>
      <c r="BX43" s="758">
        <f t="shared" ca="1" si="39"/>
        <v>0</v>
      </c>
      <c r="BY43" s="758">
        <f ca="1">BS43+COUNTIFS($BT$6:$BT$53,BT43,$BX$6:BX$53,"&gt;"&amp;BX43,$BC$6:$BC$53,INDEX(T_Equipos[Grupo],MATCH(BD43,T_Equipos[NombreEquipo],0)))</f>
        <v>3</v>
      </c>
      <c r="BZ43" s="757" t="str">
        <f ca="1">IF(COUNTIFS($BY$6:$BY$53,BY43,$BC$6:$BC$53,INDEX(T_Equipos[Grupo],MATCH(BD43,T_Equipos[NombreEquipo],0)))=1,"-","P."&amp;BY43&amp;" ("&amp;COUNTIFS($BY$6:$BY$53,BY43,$BC$6:$BC$53,INDEX(T_Equipos[Grupo],MATCH(BD43,T_Equipos[NombreEquipo],0)))&amp;")")</f>
        <v>P.3 (2)</v>
      </c>
      <c r="CA43" s="758">
        <f t="shared" ca="1" si="40"/>
        <v>0</v>
      </c>
      <c r="CB43" s="758">
        <f t="shared" ca="1" si="41"/>
        <v>0</v>
      </c>
      <c r="CC43" s="758">
        <f t="shared" ca="1" si="42"/>
        <v>0</v>
      </c>
      <c r="CD43" s="758">
        <f ca="1">BY43+COUNTIFS($BZ$6:$BZ$53,BZ43,$CC$6:CC$53,"&gt;"&amp;CC43,$BC$6:$BC$53,INDEX(T_Equipos[Grupo],MATCH(BD43,T_Equipos[NombreEquipo],0)))</f>
        <v>3</v>
      </c>
      <c r="CE43" s="757" t="str">
        <f ca="1">IF(COUNTIFS($CD$6:$CD$53,CD43,$BC$6:$BC$53,INDEX(T_Equipos[Grupo],MATCH(BD43,T_Equipos[NombreEquipo],0)))=1,"-","P."&amp;CD43&amp;" ("&amp;COUNTIFS($CD$6:$CD$53,CD43,$BC$6:$BC$53,INDEX(T_Equipos[Grupo],MATCH(BD43,T_Equipos[NombreEquipo],0)))&amp;")")</f>
        <v>P.3 (2)</v>
      </c>
      <c r="CF43" s="758">
        <f t="shared" ca="1" si="43"/>
        <v>0</v>
      </c>
      <c r="CG43" s="758">
        <f ca="1">CD43+COUNTIFS($CE$6:$CE$53,CE43,$CF$6:CF$53,"&gt;"&amp;CF43,$BC$6:$BC$53,INDEX(T_Equipos[Grupo],MATCH(BD43,T_Equipos[NombreEquipo],0)))</f>
        <v>3</v>
      </c>
      <c r="CH43" s="757" t="str">
        <f ca="1">IF(COUNTIFS($CG$6:$CG$53,CG43,$BC$6:$BC$53,INDEX(T_Equipos[Grupo],MATCH(BD43,T_Equipos[NombreEquipo],0)))=1,"-","P."&amp;CG43&amp;" ("&amp;COUNTIFS($CG$6:$CG$53,CG43,$BC$6:$BC$53,INDEX(T_Equipos[Grupo],MATCH(BD43,T_Equipos[NombreEquipo],0)))&amp;")")</f>
        <v>P.3 (2)</v>
      </c>
      <c r="CI43" s="758">
        <f t="shared" ca="1" si="44"/>
        <v>0</v>
      </c>
      <c r="CJ43" s="758">
        <f t="shared" ca="1" si="45"/>
        <v>0</v>
      </c>
      <c r="CK43" s="758">
        <f t="shared" ca="1" si="46"/>
        <v>0</v>
      </c>
      <c r="CL43" s="758">
        <f t="shared" ca="1" si="47"/>
        <v>0</v>
      </c>
      <c r="CM43" s="758">
        <f ca="1">CG43+COUNTIFS($CH$6:$CH$53,CH43,$CL$6:CL$53,"&gt;"&amp;CL43,$BC$6:$BC$53,INDEX(T_Equipos[Grupo],MATCH(BD43,T_Equipos[NombreEquipo],0)))</f>
        <v>3</v>
      </c>
      <c r="CN43" s="757" t="str">
        <f ca="1">IF(COUNTIFS($CM$6:$CM$53,CM43,$BC$6:$BC$53,INDEX(T_Equipos[Grupo],MATCH(BD43,T_Equipos[NombreEquipo],0)))=1,"-","P."&amp;CM43&amp;" ("&amp;COUNTIFS($CM$6:$CM$53,CM43,$BC$6:$BC$53,INDEX(T_Equipos[Grupo],MATCH(BD43,T_Equipos[NombreEquipo],0)))&amp;")")</f>
        <v>P.3 (2)</v>
      </c>
      <c r="CO43" s="758">
        <f t="shared" ca="1" si="48"/>
        <v>0</v>
      </c>
      <c r="CP43" s="758">
        <f t="shared" ca="1" si="49"/>
        <v>0</v>
      </c>
      <c r="CQ43" s="758">
        <f t="shared" ca="1" si="50"/>
        <v>0</v>
      </c>
      <c r="CR43" s="758">
        <f ca="1">CM43+COUNTIFS($CN$6:$CN$53,CN43,$CQ$6:CQ$53,"&gt;"&amp;CQ43,$BC$6:$BC$53,INDEX(T_Equipos[Grupo],MATCH(BD43,T_Equipos[NombreEquipo],0)))</f>
        <v>3</v>
      </c>
      <c r="CS43" s="757" t="str">
        <f ca="1">IF(COUNTIFS($CR$6:$CR$53,CR43,$BC$6:$BC$53,INDEX(T_Equipos[Grupo],MATCH(BD43,T_Equipos[NombreEquipo],0)))=1,"-","P."&amp;CR43&amp;" ("&amp;COUNTIFS($CR$6:$CR$53,CR43,$BC$6:$BC$53,INDEX(T_Equipos[Grupo],MATCH(BD43,T_Equipos[NombreEquipo],0)))&amp;")")</f>
        <v>P.3 (2)</v>
      </c>
      <c r="CT43" s="758">
        <f t="shared" ca="1" si="51"/>
        <v>0</v>
      </c>
      <c r="CU43" s="758">
        <f ca="1">CR43+COUNTIFS($CS$6:$CS$53,CS43,$CT$6:CT$53,"&gt;"&amp;CT43,$BC$6:$BC$53,INDEX(T_Equipos[Grupo],MATCH(BD43,T_Equipos[NombreEquipo],0)))</f>
        <v>3</v>
      </c>
      <c r="CV43" s="757" t="str">
        <f ca="1">IF(COUNTIFS($CU$6:$CU$53,CU43,$BC$6:$BC$53,INDEX(T_Equipos[Grupo],MATCH(BD43,T_Equipos[NombreEquipo],0)))=1,"-","P."&amp;CU43&amp;" ("&amp;COUNTIFS($CU$6:$CU$53,CU43,$BC$6:$BC$53,INDEX(T_Equipos[Grupo],MATCH(BD43,T_Equipos[NombreEquipo],0)))&amp;")")</f>
        <v>P.3 (2)</v>
      </c>
      <c r="CW43" s="757">
        <f t="shared" ca="1" si="30"/>
        <v>-3</v>
      </c>
      <c r="CX43" s="757">
        <f ca="1">CU43+COUNTIFS($CV$6:$CV$53,CV43,$CW$6:CW$53,"&gt;"&amp;CW43,$BC$6:$BC$53,INDEX(T_Equipos[Grupo],MATCH(BD43,T_Equipos[NombreEquipo],0)))</f>
        <v>4</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4</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4</v>
      </c>
      <c r="DE43" s="756"/>
      <c r="DF43" s="756">
        <f t="shared" ca="1" si="52"/>
        <v>4</v>
      </c>
      <c r="DG43" s="756" t="str">
        <f ca="1">IF(DB43="-","-",COUNTIFS(DF$6:DF$53,"&lt;"&amp;DF43,$BC$6:$BC$53,INDEX(T_Equipos[Grupo],MATCH(BD43,T_Equipos[NombreEquipo],0))))</f>
        <v>-</v>
      </c>
      <c r="DH43" s="756">
        <f ca="1">DA43+COUNTIFS(DB$6:DB$53,DB43,DG$6:DG$53,"&lt;"&amp;DG43,$BC$6:$BC$53,INDEX(T_Equipos[Grupo],MATCH(BD43,T_Equipos[NombreEquipo],0)))</f>
        <v>4</v>
      </c>
      <c r="DI43" s="744"/>
      <c r="DJ43" s="744">
        <f t="shared" ca="1" si="53"/>
        <v>2</v>
      </c>
      <c r="DK43" s="744">
        <f t="shared" ca="1" si="24"/>
        <v>6</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P.1 (2)</v>
      </c>
      <c r="F44" s="744" t="str">
        <f t="shared" ref="F44:F49" ca="1" si="138">IF(D44="Pendiente","-",INDEX($BT$6:$BT$53,MATCH($AF44,$BD$6:$BD$53,0)))</f>
        <v>P.1 (2)</v>
      </c>
      <c r="G44" s="744"/>
      <c r="H44" s="744" t="str">
        <f t="shared" ref="H44:H49" ca="1" si="139">IF(D44="Pendiente","-",INDEX($BZ$6:$BZ$53,MATCH($AA44,$BD$6:$BD$53,0)))</f>
        <v>P.1 (2)</v>
      </c>
      <c r="I44" s="744" t="str">
        <f t="shared" ref="I44:I49" ca="1" si="140">IF(D44="Pendiente","-",INDEX($BZ$6:$BZ$53,MATCH($AF44,$BD$6:$BD$53,0)))</f>
        <v>P.1 (2)</v>
      </c>
      <c r="J44" s="744"/>
      <c r="K44" s="744" t="str">
        <f t="shared" ref="K44:K49" ca="1" si="141">IF(D44="Pendiente","-",INDEX($CE$6:$CE$53,MATCH($AA44,$BD$6:$BD$53,0)))</f>
        <v>P.1 (2)</v>
      </c>
      <c r="L44" s="744" t="str">
        <f t="shared" ref="L44:L49" ca="1" si="142">IF(D44="Pendiente","-",INDEX($CE$6:$CE$53,MATCH($AF44,$BD$6:$BD$53,0)))</f>
        <v>P.1 (2)</v>
      </c>
      <c r="M44" s="744"/>
      <c r="N44" s="744" t="str">
        <f t="shared" ref="N44:N49" ca="1" si="143">IF(D44="Pendiente","-",INDEX($CH$6:$CH$53,MATCH($AA44,$BD$6:$BD$53,0)))</f>
        <v>P.1 (2)</v>
      </c>
      <c r="O44" s="744" t="str">
        <f t="shared" ref="O44:O49" ca="1" si="144">IF(D44="Pendiente","-",INDEX($CH$6:$CH$53,MATCH($AF44,$BD$6:$BD$53,0)))</f>
        <v>P.1 (2)</v>
      </c>
      <c r="P44" s="744"/>
      <c r="Q44" s="744" t="str">
        <f t="shared" ref="Q44:Q49" ca="1" si="145">IF(D44="Pendiente","-",INDEX($CN$6:$CN$53,MATCH($AA44,$BD$6:$BD$53,0)))</f>
        <v>P.1 (2)</v>
      </c>
      <c r="R44" s="744" t="str">
        <f t="shared" ref="R44:R49" ca="1" si="146">IF(D44="Pendiente","-",INDEX($CN$6:$CN$53,MATCH($AF44,$BD$6:$BD$53,0)))</f>
        <v>P.1 (2)</v>
      </c>
      <c r="S44" s="744"/>
      <c r="T44" s="744" t="str">
        <f t="shared" ref="T44:T49" ca="1" si="147">IF(D44="Pendiente","-",INDEX($CS$6:$CS$53,MATCH($AA44,$BD$6:$BD$53,0)))</f>
        <v>P.1 (2)</v>
      </c>
      <c r="U44" s="744" t="str">
        <f t="shared" ref="U44:U49" ca="1" si="148">IF(D44="Pendiente","-",INDEX($CS$6:$CS$53,MATCH($AF44,$BD$6:$BD$53,0)))</f>
        <v>P.1 (2)</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2</v>
      </c>
      <c r="BG44" s="748">
        <f t="shared" ca="1" si="17"/>
        <v>1</v>
      </c>
      <c r="BH44" s="748">
        <f t="shared" ca="1" si="18"/>
        <v>0</v>
      </c>
      <c r="BI44" s="748">
        <f t="shared" ca="1" si="19"/>
        <v>1</v>
      </c>
      <c r="BJ44" s="748">
        <f t="shared" ca="1" si="20"/>
        <v>3</v>
      </c>
      <c r="BK44" s="748">
        <f t="shared" ca="1" si="21"/>
        <v>3</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v>
      </c>
      <c r="BU44" s="758" t="str">
        <f t="shared" ca="1" si="36"/>
        <v>-</v>
      </c>
      <c r="BV44" s="758" t="str">
        <f t="shared" ca="1" si="37"/>
        <v>-</v>
      </c>
      <c r="BW44" s="758" t="str">
        <f t="shared" ca="1" si="38"/>
        <v>-</v>
      </c>
      <c r="BX44" s="758" t="str">
        <f t="shared" ca="1" si="39"/>
        <v>-</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v>
      </c>
      <c r="CA44" s="758" t="str">
        <f t="shared" ca="1" si="40"/>
        <v>-</v>
      </c>
      <c r="CB44" s="758" t="str">
        <f t="shared" ca="1" si="41"/>
        <v>-</v>
      </c>
      <c r="CC44" s="758" t="str">
        <f t="shared" ca="1" si="42"/>
        <v>-</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v>
      </c>
      <c r="CF44" s="758" t="str">
        <f t="shared" ca="1" si="43"/>
        <v>-</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v>
      </c>
      <c r="CI44" s="758" t="str">
        <f t="shared" ca="1" si="44"/>
        <v>-</v>
      </c>
      <c r="CJ44" s="758" t="str">
        <f t="shared" ca="1" si="45"/>
        <v>-</v>
      </c>
      <c r="CK44" s="758" t="str">
        <f t="shared" ca="1" si="46"/>
        <v>-</v>
      </c>
      <c r="CL44" s="758" t="str">
        <f t="shared" ca="1" si="47"/>
        <v>-</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v>
      </c>
      <c r="CO44" s="758" t="str">
        <f t="shared" ca="1" si="48"/>
        <v>-</v>
      </c>
      <c r="CP44" s="758" t="str">
        <f t="shared" ca="1" si="49"/>
        <v>-</v>
      </c>
      <c r="CQ44" s="758" t="str">
        <f t="shared" ca="1" si="50"/>
        <v>-</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v>
      </c>
      <c r="CT44" s="758" t="str">
        <f t="shared" ca="1" si="51"/>
        <v>-</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v>
      </c>
      <c r="CW44" s="757" t="str">
        <f t="shared" ca="1" si="30"/>
        <v>-</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6</v>
      </c>
      <c r="DL44" s="744">
        <f t="shared" ca="1" si="33"/>
        <v>1</v>
      </c>
      <c r="DM44" s="738" t="str">
        <f t="shared" ca="1" si="34"/>
        <v>3.1</v>
      </c>
      <c r="DN44" s="744" cm="1">
        <f t="array" aca="1" ref="DN44" ca="1">OFFSET(Horarios!$P$3,DJ44-1,0,DL44,1)</f>
        <v>3</v>
      </c>
      <c r="DO44" s="744"/>
      <c r="DP44" s="744" t="s">
        <v>441</v>
      </c>
      <c r="DQ44" s="744" t="str">
        <f t="shared" ca="1" si="35"/>
        <v>Jordania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1</v>
      </c>
      <c r="BG45" s="748">
        <f t="shared" ca="1" si="17"/>
        <v>0</v>
      </c>
      <c r="BH45" s="748">
        <f t="shared" ca="1" si="18"/>
        <v>0</v>
      </c>
      <c r="BI45" s="748">
        <f t="shared" ca="1" si="19"/>
        <v>1</v>
      </c>
      <c r="BJ45" s="748">
        <f t="shared" ca="1" si="20"/>
        <v>1</v>
      </c>
      <c r="BK45" s="748">
        <f t="shared" ca="1" si="21"/>
        <v>3</v>
      </c>
      <c r="BL45" s="748">
        <f t="shared" ca="1" si="27"/>
        <v>-2</v>
      </c>
      <c r="BM45" s="748" t="str">
        <f t="shared" ca="1" si="22"/>
        <v>3J</v>
      </c>
      <c r="BN45" s="748" t="str">
        <f t="shared" ca="1" si="23"/>
        <v>3J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3</v>
      </c>
      <c r="BT45" s="757" t="str">
        <f ca="1">IF(COUNTIFS($BS$6:$BS$53,BS45,$BC$6:$BC$53,INDEX(T_Equipos[Grupo],MATCH(BD45,T_Equipos[NombreEquipo],0)))=1,"-","P."&amp;BS45&amp;" ("&amp;COUNTIFS($BS$6:$BS$53,BS45,$BC$6:$BC$53,INDEX(T_Equipos[Grupo],MATCH(BD45,T_Equipos[NombreEquipo],0)))&amp;")")</f>
        <v>P.3 (2)</v>
      </c>
      <c r="BU45" s="758">
        <f t="shared" ca="1" si="36"/>
        <v>0</v>
      </c>
      <c r="BV45" s="758">
        <f t="shared" ca="1" si="37"/>
        <v>0</v>
      </c>
      <c r="BW45" s="758">
        <f t="shared" ca="1" si="38"/>
        <v>0</v>
      </c>
      <c r="BX45" s="758">
        <f t="shared" ca="1" si="39"/>
        <v>0</v>
      </c>
      <c r="BY45" s="758">
        <f ca="1">BS45+COUNTIFS($BT$6:$BT$53,BT45,$BX$6:BX$53,"&gt;"&amp;BX45,$BC$6:$BC$53,INDEX(T_Equipos[Grupo],MATCH(BD45,T_Equipos[NombreEquipo],0)))</f>
        <v>3</v>
      </c>
      <c r="BZ45" s="757" t="str">
        <f ca="1">IF(COUNTIFS($BY$6:$BY$53,BY45,$BC$6:$BC$53,INDEX(T_Equipos[Grupo],MATCH(BD45,T_Equipos[NombreEquipo],0)))=1,"-","P."&amp;BY45&amp;" ("&amp;COUNTIFS($BY$6:$BY$53,BY45,$BC$6:$BC$53,INDEX(T_Equipos[Grupo],MATCH(BD45,T_Equipos[NombreEquipo],0)))&amp;")")</f>
        <v>P.3 (2)</v>
      </c>
      <c r="CA45" s="758">
        <f t="shared" ca="1" si="40"/>
        <v>0</v>
      </c>
      <c r="CB45" s="758">
        <f t="shared" ca="1" si="41"/>
        <v>0</v>
      </c>
      <c r="CC45" s="758">
        <f t="shared" ca="1" si="42"/>
        <v>0</v>
      </c>
      <c r="CD45" s="758">
        <f ca="1">BY45+COUNTIFS($BZ$6:$BZ$53,BZ45,$CC$6:CC$53,"&gt;"&amp;CC45,$BC$6:$BC$53,INDEX(T_Equipos[Grupo],MATCH(BD45,T_Equipos[NombreEquipo],0)))</f>
        <v>3</v>
      </c>
      <c r="CE45" s="757" t="str">
        <f ca="1">IF(COUNTIFS($CD$6:$CD$53,CD45,$BC$6:$BC$53,INDEX(T_Equipos[Grupo],MATCH(BD45,T_Equipos[NombreEquipo],0)))=1,"-","P."&amp;CD45&amp;" ("&amp;COUNTIFS($CD$6:$CD$53,CD45,$BC$6:$BC$53,INDEX(T_Equipos[Grupo],MATCH(BD45,T_Equipos[NombreEquipo],0)))&amp;")")</f>
        <v>P.3 (2)</v>
      </c>
      <c r="CF45" s="758">
        <f t="shared" ca="1" si="43"/>
        <v>0</v>
      </c>
      <c r="CG45" s="758">
        <f ca="1">CD45+COUNTIFS($CE$6:$CE$53,CE45,$CF$6:CF$53,"&gt;"&amp;CF45,$BC$6:$BC$53,INDEX(T_Equipos[Grupo],MATCH(BD45,T_Equipos[NombreEquipo],0)))</f>
        <v>3</v>
      </c>
      <c r="CH45" s="757" t="str">
        <f ca="1">IF(COUNTIFS($CG$6:$CG$53,CG45,$BC$6:$BC$53,INDEX(T_Equipos[Grupo],MATCH(BD45,T_Equipos[NombreEquipo],0)))=1,"-","P."&amp;CG45&amp;" ("&amp;COUNTIFS($CG$6:$CG$53,CG45,$BC$6:$BC$53,INDEX(T_Equipos[Grupo],MATCH(BD45,T_Equipos[NombreEquipo],0)))&amp;")")</f>
        <v>P.3 (2)</v>
      </c>
      <c r="CI45" s="758">
        <f t="shared" ca="1" si="44"/>
        <v>0</v>
      </c>
      <c r="CJ45" s="758">
        <f t="shared" ca="1" si="45"/>
        <v>0</v>
      </c>
      <c r="CK45" s="758">
        <f t="shared" ca="1" si="46"/>
        <v>0</v>
      </c>
      <c r="CL45" s="758">
        <f t="shared" ca="1" si="47"/>
        <v>0</v>
      </c>
      <c r="CM45" s="758">
        <f ca="1">CG45+COUNTIFS($CH$6:$CH$53,CH45,$CL$6:CL$53,"&gt;"&amp;CL45,$BC$6:$BC$53,INDEX(T_Equipos[Grupo],MATCH(BD45,T_Equipos[NombreEquipo],0)))</f>
        <v>3</v>
      </c>
      <c r="CN45" s="757" t="str">
        <f ca="1">IF(COUNTIFS($CM$6:$CM$53,CM45,$BC$6:$BC$53,INDEX(T_Equipos[Grupo],MATCH(BD45,T_Equipos[NombreEquipo],0)))=1,"-","P."&amp;CM45&amp;" ("&amp;COUNTIFS($CM$6:$CM$53,CM45,$BC$6:$BC$53,INDEX(T_Equipos[Grupo],MATCH(BD45,T_Equipos[NombreEquipo],0)))&amp;")")</f>
        <v>P.3 (2)</v>
      </c>
      <c r="CO45" s="758">
        <f t="shared" ca="1" si="48"/>
        <v>0</v>
      </c>
      <c r="CP45" s="758">
        <f t="shared" ca="1" si="49"/>
        <v>0</v>
      </c>
      <c r="CQ45" s="758">
        <f t="shared" ca="1" si="50"/>
        <v>0</v>
      </c>
      <c r="CR45" s="758">
        <f ca="1">CM45+COUNTIFS($CN$6:$CN$53,CN45,$CQ$6:CQ$53,"&gt;"&amp;CQ45,$BC$6:$BC$53,INDEX(T_Equipos[Grupo],MATCH(BD45,T_Equipos[NombreEquipo],0)))</f>
        <v>3</v>
      </c>
      <c r="CS45" s="757" t="str">
        <f ca="1">IF(COUNTIFS($CR$6:$CR$53,CR45,$BC$6:$BC$53,INDEX(T_Equipos[Grupo],MATCH(BD45,T_Equipos[NombreEquipo],0)))=1,"-","P."&amp;CR45&amp;" ("&amp;COUNTIFS($CR$6:$CR$53,CR45,$BC$6:$BC$53,INDEX(T_Equipos[Grupo],MATCH(BD45,T_Equipos[NombreEquipo],0)))&amp;")")</f>
        <v>P.3 (2)</v>
      </c>
      <c r="CT45" s="758">
        <f t="shared" ca="1" si="51"/>
        <v>0</v>
      </c>
      <c r="CU45" s="758">
        <f ca="1">CR45+COUNTIFS($CS$6:$CS$53,CS45,$CT$6:CT$53,"&gt;"&amp;CT45,$BC$6:$BC$53,INDEX(T_Equipos[Grupo],MATCH(BD45,T_Equipos[NombreEquipo],0)))</f>
        <v>3</v>
      </c>
      <c r="CV45" s="757" t="str">
        <f ca="1">IF(COUNTIFS($CU$6:$CU$53,CU45,$BC$6:$BC$53,INDEX(T_Equipos[Grupo],MATCH(BD45,T_Equipos[NombreEquipo],0)))=1,"-","P."&amp;CU45&amp;" ("&amp;COUNTIFS($CU$6:$CU$53,CU45,$BC$6:$BC$53,INDEX(T_Equipos[Grupo],MATCH(BD45,T_Equipos[NombreEquipo],0)))&amp;")")</f>
        <v>P.3 (2)</v>
      </c>
      <c r="CW45" s="757">
        <f t="shared" ca="1" si="30"/>
        <v>-2</v>
      </c>
      <c r="CX45" s="757">
        <f ca="1">CU45+COUNTIFS($CV$6:$CV$53,CV45,$CW$6:CW$53,"&gt;"&amp;CW45,$BC$6:$BC$53,INDEX(T_Equipos[Grupo],MATCH(BD45,T_Equipos[NombreEquipo],0)))</f>
        <v>3</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3</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3</v>
      </c>
      <c r="DE45" s="756"/>
      <c r="DF45" s="756">
        <f t="shared" ca="1" si="52"/>
        <v>3</v>
      </c>
      <c r="DG45" s="756" t="str">
        <f ca="1">IF(DB45="-","-",COUNTIFS(DF$6:DF$53,"&lt;"&amp;DF45,$BC$6:$BC$53,INDEX(T_Equipos[Grupo],MATCH(BD45,T_Equipos[NombreEquipo],0))))</f>
        <v>-</v>
      </c>
      <c r="DH45" s="756">
        <f ca="1">DA45+COUNTIFS(DB$6:DB$53,DB45,DG$6:DG$53,"&lt;"&amp;DG45,$BC$6:$BC$53,INDEX(T_Equipos[Grupo],MATCH(BD45,T_Equipos[NombreEquipo],0)))</f>
        <v>3</v>
      </c>
      <c r="DI45" s="744"/>
      <c r="DJ45" s="744">
        <f t="shared" ca="1" si="53"/>
        <v>4</v>
      </c>
      <c r="DK45" s="744">
        <f t="shared" ca="1" si="24"/>
        <v>6</v>
      </c>
      <c r="DL45" s="744">
        <f t="shared" ca="1" si="33"/>
        <v>1</v>
      </c>
      <c r="DM45" s="738" t="str">
        <f t="shared" ca="1" si="34"/>
        <v>4.1</v>
      </c>
      <c r="DN45" s="744" cm="1">
        <f t="array" aca="1" ref="DN45" ca="1">OFFSET(Horarios!$P$3,DJ45-1,0,DL45,1)</f>
        <v>4</v>
      </c>
      <c r="DO45" s="744"/>
      <c r="DP45" s="744" t="s">
        <v>678</v>
      </c>
      <c r="DQ45" s="744" t="str">
        <f t="shared" ca="1" si="35"/>
        <v>Argelia</v>
      </c>
      <c r="DR45" s="744"/>
      <c r="DS45" s="744"/>
      <c r="DT45" s="744" t="str">
        <f t="shared" ca="1" si="15"/>
        <v>Suecia-Túnez</v>
      </c>
      <c r="DU45" s="744"/>
      <c r="DV45" s="744"/>
      <c r="DW45" s="8"/>
    </row>
    <row r="46" spans="1:127" ht="16.05" customHeight="1">
      <c r="A46" s="745" t="str">
        <f ca="1">+Equipos!B23</f>
        <v>Japón</v>
      </c>
      <c r="B46" s="742"/>
      <c r="C46" s="746"/>
      <c r="D46" s="744" t="str">
        <f t="shared" si="136"/>
        <v>Local</v>
      </c>
      <c r="E46" s="744" t="str">
        <f t="shared" ca="1" si="137"/>
        <v>P.1 (2)</v>
      </c>
      <c r="F46" s="744" t="str">
        <f t="shared" ca="1" si="138"/>
        <v>-</v>
      </c>
      <c r="G46" s="744"/>
      <c r="H46" s="744" t="str">
        <f t="shared" ca="1" si="139"/>
        <v>P.1 (2)</v>
      </c>
      <c r="I46" s="744" t="str">
        <f t="shared" ca="1" si="140"/>
        <v>-</v>
      </c>
      <c r="J46" s="744"/>
      <c r="K46" s="744" t="str">
        <f t="shared" ca="1" si="141"/>
        <v>P.1 (2)</v>
      </c>
      <c r="L46" s="744" t="str">
        <f t="shared" ca="1" si="142"/>
        <v>-</v>
      </c>
      <c r="M46" s="744"/>
      <c r="N46" s="744" t="str">
        <f t="shared" ca="1" si="143"/>
        <v>P.1 (2)</v>
      </c>
      <c r="O46" s="744" t="str">
        <f t="shared" ca="1" si="144"/>
        <v>-</v>
      </c>
      <c r="P46" s="744"/>
      <c r="Q46" s="744" t="str">
        <f t="shared" ca="1" si="145"/>
        <v>P.1 (2)</v>
      </c>
      <c r="R46" s="744" t="str">
        <f t="shared" ca="1" si="146"/>
        <v>-</v>
      </c>
      <c r="S46" s="744"/>
      <c r="T46" s="744" t="str">
        <f t="shared" ca="1" si="147"/>
        <v>P.1 (2)</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4</v>
      </c>
      <c r="AN46" s="214">
        <f t="shared" ca="1" si="153"/>
        <v>2</v>
      </c>
      <c r="AO46" s="214">
        <f t="shared" ca="1" si="153"/>
        <v>1</v>
      </c>
      <c r="AP46" s="214">
        <f t="shared" ca="1" si="153"/>
        <v>1</v>
      </c>
      <c r="AQ46" s="214">
        <f t="shared" ca="1" si="153"/>
        <v>0</v>
      </c>
      <c r="AR46" s="214">
        <f t="shared" ca="1" si="153"/>
        <v>7</v>
      </c>
      <c r="AS46" s="214">
        <f t="shared" ca="1" si="153"/>
        <v>3</v>
      </c>
      <c r="AT46" s="215">
        <f t="shared" ca="1" si="153"/>
        <v>4</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1</v>
      </c>
      <c r="BF46" s="748">
        <f t="shared" ca="1" si="26"/>
        <v>1</v>
      </c>
      <c r="BG46" s="748">
        <f t="shared" ca="1" si="17"/>
        <v>0</v>
      </c>
      <c r="BH46" s="748">
        <f t="shared" ca="1" si="18"/>
        <v>1</v>
      </c>
      <c r="BI46" s="748">
        <f t="shared" ca="1" si="19"/>
        <v>0</v>
      </c>
      <c r="BJ46" s="748">
        <f t="shared" ca="1" si="20"/>
        <v>1</v>
      </c>
      <c r="BK46" s="748">
        <f t="shared" ca="1" si="21"/>
        <v>1</v>
      </c>
      <c r="BL46" s="748">
        <f t="shared" ca="1" si="27"/>
        <v>0</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1</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P.2 (2)</v>
      </c>
      <c r="BU46" s="758">
        <f t="shared" ca="1" si="36"/>
        <v>0</v>
      </c>
      <c r="BV46" s="758">
        <f t="shared" ca="1" si="37"/>
        <v>1</v>
      </c>
      <c r="BW46" s="758">
        <f t="shared" ca="1" si="38"/>
        <v>0</v>
      </c>
      <c r="BX46" s="758">
        <f t="shared" ca="1" si="39"/>
        <v>1</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P.2 (2)</v>
      </c>
      <c r="CA46" s="758">
        <f t="shared" ca="1" si="40"/>
        <v>1</v>
      </c>
      <c r="CB46" s="758">
        <f t="shared" ca="1" si="41"/>
        <v>1</v>
      </c>
      <c r="CC46" s="758">
        <f t="shared" ca="1" si="42"/>
        <v>0</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P.2 (2)</v>
      </c>
      <c r="CF46" s="758">
        <f t="shared" ca="1" si="43"/>
        <v>1</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P.2 (2)</v>
      </c>
      <c r="CI46" s="758">
        <f t="shared" ca="1" si="44"/>
        <v>0</v>
      </c>
      <c r="CJ46" s="758">
        <f t="shared" ca="1" si="45"/>
        <v>1</v>
      </c>
      <c r="CK46" s="758">
        <f t="shared" ca="1" si="46"/>
        <v>0</v>
      </c>
      <c r="CL46" s="758">
        <f t="shared" ca="1" si="47"/>
        <v>1</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P.2 (2)</v>
      </c>
      <c r="CO46" s="758">
        <f t="shared" ca="1" si="48"/>
        <v>1</v>
      </c>
      <c r="CP46" s="758">
        <f t="shared" ca="1" si="49"/>
        <v>1</v>
      </c>
      <c r="CQ46" s="758">
        <f t="shared" ca="1" si="50"/>
        <v>0</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P.2 (2)</v>
      </c>
      <c r="CT46" s="758">
        <f t="shared" ca="1" si="51"/>
        <v>1</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P.2 (2)</v>
      </c>
      <c r="CW46" s="757">
        <f t="shared" ca="1" si="30"/>
        <v>0</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P.2 (2)</v>
      </c>
      <c r="CZ46" s="757">
        <f t="shared" ca="1" si="31"/>
        <v>1</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P.2 (2)</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2</v>
      </c>
      <c r="DE46" s="756"/>
      <c r="DF46" s="756">
        <f t="shared" ca="1" si="52"/>
        <v>2</v>
      </c>
      <c r="DG46" s="756">
        <f ca="1">IF(DB46="-","-",COUNTIFS(DF$6:DF$53,"&lt;"&amp;DF46,$BC$6:$BC$53,INDEX(T_Equipos[Grupo],MATCH(BD46,T_Equipos[NombreEquipo],0))))</f>
        <v>1</v>
      </c>
      <c r="DH46" s="756">
        <f ca="1">DA46+COUNTIFS(DB$6:DB$53,DB46,DG$6:DG$53,"&lt;"&amp;DG46,$BC$6:$BC$53,INDEX(T_Equipos[Grupo],MATCH(BD46,T_Equipos[NombreEquipo],0)))</f>
        <v>2</v>
      </c>
      <c r="DI46" s="744"/>
      <c r="DJ46" s="744">
        <f t="shared" ca="1" si="53"/>
        <v>1</v>
      </c>
      <c r="DK46" s="744">
        <f t="shared" ca="1" si="24"/>
        <v>4</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Visitante</v>
      </c>
      <c r="E47" s="744" t="str">
        <f t="shared" ca="1" si="137"/>
        <v>-</v>
      </c>
      <c r="F47" s="744" t="str">
        <f t="shared" ca="1" si="138"/>
        <v>P.1 (2)</v>
      </c>
      <c r="G47" s="744"/>
      <c r="H47" s="744" t="str">
        <f t="shared" ca="1" si="139"/>
        <v>-</v>
      </c>
      <c r="I47" s="744" t="str">
        <f t="shared" ca="1" si="140"/>
        <v>P.1 (2)</v>
      </c>
      <c r="J47" s="744"/>
      <c r="K47" s="744" t="str">
        <f t="shared" ca="1" si="141"/>
        <v>-</v>
      </c>
      <c r="L47" s="744" t="str">
        <f t="shared" ca="1" si="142"/>
        <v>P.1 (2)</v>
      </c>
      <c r="M47" s="744"/>
      <c r="N47" s="744" t="str">
        <f t="shared" ca="1" si="143"/>
        <v>-</v>
      </c>
      <c r="O47" s="744" t="str">
        <f t="shared" ca="1" si="144"/>
        <v>P.1 (2)</v>
      </c>
      <c r="P47" s="744"/>
      <c r="Q47" s="744" t="str">
        <f t="shared" ca="1" si="145"/>
        <v>-</v>
      </c>
      <c r="R47" s="744" t="str">
        <f t="shared" ca="1" si="146"/>
        <v>P.1 (2)</v>
      </c>
      <c r="S47" s="744"/>
      <c r="T47" s="744" t="str">
        <f t="shared" ca="1" si="147"/>
        <v>-</v>
      </c>
      <c r="U47" s="744" t="str">
        <f t="shared" ca="1" si="148"/>
        <v>P.1 (2)</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4</v>
      </c>
      <c r="AN47" s="224">
        <f t="shared" ca="1" si="153"/>
        <v>2</v>
      </c>
      <c r="AO47" s="224">
        <f t="shared" ca="1" si="153"/>
        <v>1</v>
      </c>
      <c r="AP47" s="224">
        <f t="shared" ca="1" si="153"/>
        <v>1</v>
      </c>
      <c r="AQ47" s="224">
        <f t="shared" ca="1" si="153"/>
        <v>0</v>
      </c>
      <c r="AR47" s="224">
        <f t="shared" ca="1" si="153"/>
        <v>6</v>
      </c>
      <c r="AS47" s="224">
        <f t="shared" ca="1" si="153"/>
        <v>2</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1</v>
      </c>
      <c r="BG47" s="748">
        <f t="shared" ca="1" si="17"/>
        <v>0</v>
      </c>
      <c r="BH47" s="748">
        <f t="shared" ca="1" si="18"/>
        <v>1</v>
      </c>
      <c r="BI47" s="748">
        <f t="shared" ca="1" si="19"/>
        <v>0</v>
      </c>
      <c r="BJ47" s="748">
        <f t="shared" ca="1" si="20"/>
        <v>1</v>
      </c>
      <c r="BK47" s="748">
        <f t="shared" ca="1" si="21"/>
        <v>1</v>
      </c>
      <c r="BL47" s="748">
        <f t="shared" ca="1" si="27"/>
        <v>0</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2</v>
      </c>
      <c r="BT47" s="757" t="str">
        <f ca="1">IF(COUNTIFS($BS$6:$BS$53,BS47,$BC$6:$BC$53,INDEX(T_Equipos[Grupo],MATCH(BD47,T_Equipos[NombreEquipo],0)))=1,"-","P."&amp;BS47&amp;" ("&amp;COUNTIFS($BS$6:$BS$53,BS47,$BC$6:$BC$53,INDEX(T_Equipos[Grupo],MATCH(BD47,T_Equipos[NombreEquipo],0)))&amp;")")</f>
        <v>P.2 (2)</v>
      </c>
      <c r="BU47" s="758">
        <f t="shared" ca="1" si="36"/>
        <v>0</v>
      </c>
      <c r="BV47" s="758">
        <f t="shared" ca="1" si="37"/>
        <v>1</v>
      </c>
      <c r="BW47" s="758">
        <f t="shared" ca="1" si="38"/>
        <v>0</v>
      </c>
      <c r="BX47" s="758">
        <f t="shared" ca="1" si="39"/>
        <v>1</v>
      </c>
      <c r="BY47" s="758">
        <f ca="1">BS47+COUNTIFS($BT$6:$BT$53,BT47,$BX$6:BX$53,"&gt;"&amp;BX47,$BC$6:$BC$53,INDEX(T_Equipos[Grupo],MATCH(BD47,T_Equipos[NombreEquipo],0)))</f>
        <v>2</v>
      </c>
      <c r="BZ47" s="757" t="str">
        <f ca="1">IF(COUNTIFS($BY$6:$BY$53,BY47,$BC$6:$BC$53,INDEX(T_Equipos[Grupo],MATCH(BD47,T_Equipos[NombreEquipo],0)))=1,"-","P."&amp;BY47&amp;" ("&amp;COUNTIFS($BY$6:$BY$53,BY47,$BC$6:$BC$53,INDEX(T_Equipos[Grupo],MATCH(BD47,T_Equipos[NombreEquipo],0)))&amp;")")</f>
        <v>P.2 (2)</v>
      </c>
      <c r="CA47" s="758">
        <f t="shared" ca="1" si="40"/>
        <v>1</v>
      </c>
      <c r="CB47" s="758">
        <f t="shared" ca="1" si="41"/>
        <v>1</v>
      </c>
      <c r="CC47" s="758">
        <f t="shared" ca="1" si="42"/>
        <v>0</v>
      </c>
      <c r="CD47" s="758">
        <f ca="1">BY47+COUNTIFS($BZ$6:$BZ$53,BZ47,$CC$6:CC$53,"&gt;"&amp;CC47,$BC$6:$BC$53,INDEX(T_Equipos[Grupo],MATCH(BD47,T_Equipos[NombreEquipo],0)))</f>
        <v>2</v>
      </c>
      <c r="CE47" s="757" t="str">
        <f ca="1">IF(COUNTIFS($CD$6:$CD$53,CD47,$BC$6:$BC$53,INDEX(T_Equipos[Grupo],MATCH(BD47,T_Equipos[NombreEquipo],0)))=1,"-","P."&amp;CD47&amp;" ("&amp;COUNTIFS($CD$6:$CD$53,CD47,$BC$6:$BC$53,INDEX(T_Equipos[Grupo],MATCH(BD47,T_Equipos[NombreEquipo],0)))&amp;")")</f>
        <v>P.2 (2)</v>
      </c>
      <c r="CF47" s="758">
        <f t="shared" ca="1" si="43"/>
        <v>1</v>
      </c>
      <c r="CG47" s="758">
        <f ca="1">CD47+COUNTIFS($CE$6:$CE$53,CE47,$CF$6:CF$53,"&gt;"&amp;CF47,$BC$6:$BC$53,INDEX(T_Equipos[Grupo],MATCH(BD47,T_Equipos[NombreEquipo],0)))</f>
        <v>2</v>
      </c>
      <c r="CH47" s="757" t="str">
        <f ca="1">IF(COUNTIFS($CG$6:$CG$53,CG47,$BC$6:$BC$53,INDEX(T_Equipos[Grupo],MATCH(BD47,T_Equipos[NombreEquipo],0)))=1,"-","P."&amp;CG47&amp;" ("&amp;COUNTIFS($CG$6:$CG$53,CG47,$BC$6:$BC$53,INDEX(T_Equipos[Grupo],MATCH(BD47,T_Equipos[NombreEquipo],0)))&amp;")")</f>
        <v>P.2 (2)</v>
      </c>
      <c r="CI47" s="758">
        <f t="shared" ca="1" si="44"/>
        <v>0</v>
      </c>
      <c r="CJ47" s="758">
        <f t="shared" ca="1" si="45"/>
        <v>1</v>
      </c>
      <c r="CK47" s="758">
        <f t="shared" ca="1" si="46"/>
        <v>0</v>
      </c>
      <c r="CL47" s="758">
        <f t="shared" ca="1" si="47"/>
        <v>1</v>
      </c>
      <c r="CM47" s="758">
        <f ca="1">CG47+COUNTIFS($CH$6:$CH$53,CH47,$CL$6:CL$53,"&gt;"&amp;CL47,$BC$6:$BC$53,INDEX(T_Equipos[Grupo],MATCH(BD47,T_Equipos[NombreEquipo],0)))</f>
        <v>2</v>
      </c>
      <c r="CN47" s="757" t="str">
        <f ca="1">IF(COUNTIFS($CM$6:$CM$53,CM47,$BC$6:$BC$53,INDEX(T_Equipos[Grupo],MATCH(BD47,T_Equipos[NombreEquipo],0)))=1,"-","P."&amp;CM47&amp;" ("&amp;COUNTIFS($CM$6:$CM$53,CM47,$BC$6:$BC$53,INDEX(T_Equipos[Grupo],MATCH(BD47,T_Equipos[NombreEquipo],0)))&amp;")")</f>
        <v>P.2 (2)</v>
      </c>
      <c r="CO47" s="758">
        <f t="shared" ca="1" si="48"/>
        <v>1</v>
      </c>
      <c r="CP47" s="758">
        <f t="shared" ca="1" si="49"/>
        <v>1</v>
      </c>
      <c r="CQ47" s="758">
        <f t="shared" ca="1" si="50"/>
        <v>0</v>
      </c>
      <c r="CR47" s="758">
        <f ca="1">CM47+COUNTIFS($CN$6:$CN$53,CN47,$CQ$6:CQ$53,"&gt;"&amp;CQ47,$BC$6:$BC$53,INDEX(T_Equipos[Grupo],MATCH(BD47,T_Equipos[NombreEquipo],0)))</f>
        <v>2</v>
      </c>
      <c r="CS47" s="757" t="str">
        <f ca="1">IF(COUNTIFS($CR$6:$CR$53,CR47,$BC$6:$BC$53,INDEX(T_Equipos[Grupo],MATCH(BD47,T_Equipos[NombreEquipo],0)))=1,"-","P."&amp;CR47&amp;" ("&amp;COUNTIFS($CR$6:$CR$53,CR47,$BC$6:$BC$53,INDEX(T_Equipos[Grupo],MATCH(BD47,T_Equipos[NombreEquipo],0)))&amp;")")</f>
        <v>P.2 (2)</v>
      </c>
      <c r="CT47" s="758">
        <f t="shared" ca="1" si="51"/>
        <v>1</v>
      </c>
      <c r="CU47" s="758">
        <f ca="1">CR47+COUNTIFS($CS$6:$CS$53,CS47,$CT$6:CT$53,"&gt;"&amp;CT47,$BC$6:$BC$53,INDEX(T_Equipos[Grupo],MATCH(BD47,T_Equipos[NombreEquipo],0)))</f>
        <v>2</v>
      </c>
      <c r="CV47" s="757" t="str">
        <f ca="1">IF(COUNTIFS($CU$6:$CU$53,CU47,$BC$6:$BC$53,INDEX(T_Equipos[Grupo],MATCH(BD47,T_Equipos[NombreEquipo],0)))=1,"-","P."&amp;CU47&amp;" ("&amp;COUNTIFS($CU$6:$CU$53,CU47,$BC$6:$BC$53,INDEX(T_Equipos[Grupo],MATCH(BD47,T_Equipos[NombreEquipo],0)))&amp;")")</f>
        <v>P.2 (2)</v>
      </c>
      <c r="CW47" s="757">
        <f t="shared" ca="1" si="30"/>
        <v>0</v>
      </c>
      <c r="CX47" s="757">
        <f ca="1">CU47+COUNTIFS($CV$6:$CV$53,CV47,$CW$6:CW$53,"&gt;"&amp;CW47,$BC$6:$BC$53,INDEX(T_Equipos[Grupo],MATCH(BD47,T_Equipos[NombreEquipo],0)))</f>
        <v>2</v>
      </c>
      <c r="CY47" s="757" t="str">
        <f ca="1">IF(COUNTIFS($CX$6:$CX$53,CX47,$BC$6:$BC$53,INDEX(T_Equipos[Grupo],MATCH(BD47,T_Equipos[NombreEquipo],0)))=1,"-","P."&amp;CX47&amp;" ("&amp;COUNTIFS($CX$6:$CX$53,CX47,$BC$6:$BC$53,INDEX(T_Equipos[Grupo],MATCH(BD47,T_Equipos[NombreEquipo],0)))&amp;")")</f>
        <v>P.2 (2)</v>
      </c>
      <c r="CZ47" s="757">
        <f t="shared" ca="1" si="31"/>
        <v>1</v>
      </c>
      <c r="DA47" s="758">
        <f ca="1">CX47+COUNTIFS($CY$6:$CY$53,CY47,$CZ$6:CZ$53,"&gt;"&amp;CZ47,$BC$6:$BC$53,INDEX(T_Equipos[Grupo],MATCH(BD47,T_Equipos[NombreEquipo],0)))</f>
        <v>2</v>
      </c>
      <c r="DB47" s="757" t="str">
        <f ca="1">IF(COUNTIFS($DA$6:$DA$53,DA47,$BC$6:$BC$53,INDEX(T_Equipos[Grupo],MATCH(BD47,T_Equipos[NombreEquipo],0)))=1,"-","P."&amp;DA47&amp;" ("&amp;COUNTIFS($DA$6:$DA$53,DA47,$BC$6:$BC$53,INDEX(T_Equipos[Grupo],MATCH(BD47,T_Equipos[NombreEquipo],0)))&amp;")")</f>
        <v>P.2 (2)</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3</v>
      </c>
      <c r="DE47" s="756"/>
      <c r="DF47" s="756">
        <f t="shared" ca="1" si="52"/>
        <v>3</v>
      </c>
      <c r="DG47" s="756">
        <f ca="1">IF(DB47="-","-",COUNTIFS(DF$6:DF$53,"&lt;"&amp;DF47,$BC$6:$BC$53,INDEX(T_Equipos[Grupo],MATCH(BD47,T_Equipos[NombreEquipo],0))))</f>
        <v>2</v>
      </c>
      <c r="DH47" s="756">
        <f ca="1">DA47+COUNTIFS(DB$6:DB$53,DB47,DG$6:DG$53,"&lt;"&amp;DG47,$BC$6:$BC$53,INDEX(T_Equipos[Grupo],MATCH(BD47,T_Equipos[NombreEquipo],0)))</f>
        <v>3</v>
      </c>
      <c r="DI47" s="744"/>
      <c r="DJ47" s="744">
        <f t="shared" ca="1" si="53"/>
        <v>2</v>
      </c>
      <c r="DK47" s="744">
        <f t="shared" ca="1" si="24"/>
        <v>4</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3</v>
      </c>
      <c r="AN48" s="224">
        <f t="shared" ca="1" si="153"/>
        <v>2</v>
      </c>
      <c r="AO48" s="224">
        <f t="shared" ca="1" si="153"/>
        <v>1</v>
      </c>
      <c r="AP48" s="224">
        <f t="shared" ca="1" si="153"/>
        <v>0</v>
      </c>
      <c r="AQ48" s="224">
        <f t="shared" ca="1" si="153"/>
        <v>1</v>
      </c>
      <c r="AR48" s="224">
        <f t="shared" ca="1" si="153"/>
        <v>6</v>
      </c>
      <c r="AS48" s="224">
        <f t="shared" ca="1" si="153"/>
        <v>6</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1</v>
      </c>
      <c r="BG48" s="748">
        <f t="shared" ca="1" si="17"/>
        <v>0</v>
      </c>
      <c r="BH48" s="748">
        <f t="shared" ca="1" si="18"/>
        <v>0</v>
      </c>
      <c r="BI48" s="748">
        <f t="shared" ca="1" si="19"/>
        <v>1</v>
      </c>
      <c r="BJ48" s="748">
        <f t="shared" ca="1" si="20"/>
        <v>1</v>
      </c>
      <c r="BK48" s="748">
        <f t="shared" ca="1" si="21"/>
        <v>3</v>
      </c>
      <c r="BL48" s="748">
        <f t="shared" ca="1" si="27"/>
        <v>-2</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2</v>
      </c>
      <c r="DK48" s="744">
        <f t="shared" ca="1" si="24"/>
        <v>4</v>
      </c>
      <c r="DL48" s="744">
        <f t="shared" ca="1" si="33"/>
        <v>1</v>
      </c>
      <c r="DM48" s="738" t="str">
        <f t="shared" ca="1" si="34"/>
        <v>2.1</v>
      </c>
      <c r="DN48" s="744" cm="1">
        <f t="array" aca="1" ref="DN48" ca="1">OFFSET(Horarios!$P$3,DJ48-1,0,DL48,1)</f>
        <v>2</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2</v>
      </c>
      <c r="AO49" s="238">
        <f t="shared" ca="1" si="153"/>
        <v>0</v>
      </c>
      <c r="AP49" s="238">
        <f t="shared" ca="1" si="153"/>
        <v>0</v>
      </c>
      <c r="AQ49" s="238">
        <f t="shared" ca="1" si="153"/>
        <v>2</v>
      </c>
      <c r="AR49" s="238">
        <f t="shared" ca="1" si="153"/>
        <v>1</v>
      </c>
      <c r="AS49" s="238">
        <f t="shared" ca="1" si="153"/>
        <v>9</v>
      </c>
      <c r="AT49" s="239">
        <f t="shared" ca="1" si="153"/>
        <v>-8</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3</v>
      </c>
      <c r="BF49" s="748">
        <f t="shared" ca="1" si="26"/>
        <v>1</v>
      </c>
      <c r="BG49" s="748">
        <f t="shared" ca="1" si="17"/>
        <v>1</v>
      </c>
      <c r="BH49" s="748">
        <f t="shared" ca="1" si="18"/>
        <v>0</v>
      </c>
      <c r="BI49" s="748">
        <f t="shared" ca="1" si="19"/>
        <v>0</v>
      </c>
      <c r="BJ49" s="748">
        <f t="shared" ca="1" si="20"/>
        <v>3</v>
      </c>
      <c r="BK49" s="748">
        <f t="shared" ca="1" si="21"/>
        <v>1</v>
      </c>
      <c r="BL49" s="748">
        <f t="shared" ca="1" si="27"/>
        <v>2</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3</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4</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3</v>
      </c>
      <c r="BF50" s="748">
        <f t="shared" ca="1" si="26"/>
        <v>1</v>
      </c>
      <c r="BG50" s="748">
        <f t="shared" ca="1" si="17"/>
        <v>1</v>
      </c>
      <c r="BH50" s="748">
        <f t="shared" ca="1" si="18"/>
        <v>0</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3</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4</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1</v>
      </c>
      <c r="BG51" s="748">
        <f t="shared" ca="1" si="17"/>
        <v>0</v>
      </c>
      <c r="BH51" s="748">
        <f t="shared" ca="1" si="18"/>
        <v>0</v>
      </c>
      <c r="BI51" s="748">
        <f t="shared" ca="1" si="19"/>
        <v>1</v>
      </c>
      <c r="BJ51" s="748">
        <f t="shared" ca="1" si="20"/>
        <v>2</v>
      </c>
      <c r="BK51" s="748">
        <f t="shared" ca="1" si="21"/>
        <v>4</v>
      </c>
      <c r="BL51" s="748">
        <f t="shared" ca="1" si="27"/>
        <v>-2</v>
      </c>
      <c r="BM51" s="748" t="str">
        <f t="shared" ca="1" si="22"/>
        <v>4L</v>
      </c>
      <c r="BN51" s="748" t="str">
        <f t="shared" ca="1" si="23"/>
        <v>4L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P.3 (2)</v>
      </c>
      <c r="BU51" s="758">
        <f t="shared" ca="1" si="36"/>
        <v>0</v>
      </c>
      <c r="BV51" s="758">
        <f t="shared" ca="1" si="37"/>
        <v>0</v>
      </c>
      <c r="BW51" s="758">
        <f t="shared" ca="1" si="38"/>
        <v>0</v>
      </c>
      <c r="BX51" s="758">
        <f t="shared" ca="1" si="39"/>
        <v>0</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P.3 (2)</v>
      </c>
      <c r="CA51" s="758">
        <f t="shared" ca="1" si="40"/>
        <v>0</v>
      </c>
      <c r="CB51" s="758">
        <f t="shared" ca="1" si="41"/>
        <v>0</v>
      </c>
      <c r="CC51" s="758">
        <f t="shared" ca="1" si="42"/>
        <v>0</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P.3 (2)</v>
      </c>
      <c r="CF51" s="758">
        <f t="shared" ca="1" si="43"/>
        <v>0</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P.3 (2)</v>
      </c>
      <c r="CI51" s="758">
        <f t="shared" ca="1" si="44"/>
        <v>0</v>
      </c>
      <c r="CJ51" s="758">
        <f t="shared" ca="1" si="45"/>
        <v>0</v>
      </c>
      <c r="CK51" s="758">
        <f t="shared" ca="1" si="46"/>
        <v>0</v>
      </c>
      <c r="CL51" s="758">
        <f t="shared" ca="1" si="47"/>
        <v>0</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P.3 (2)</v>
      </c>
      <c r="CO51" s="758">
        <f t="shared" ca="1" si="48"/>
        <v>0</v>
      </c>
      <c r="CP51" s="758">
        <f t="shared" ca="1" si="49"/>
        <v>0</v>
      </c>
      <c r="CQ51" s="758">
        <f t="shared" ca="1" si="50"/>
        <v>0</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P.3 (2)</v>
      </c>
      <c r="CT51" s="758">
        <f t="shared" ca="1" si="51"/>
        <v>0</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P.3 (2)</v>
      </c>
      <c r="CW51" s="757">
        <f t="shared" ca="1" si="30"/>
        <v>-2</v>
      </c>
      <c r="CX51" s="757">
        <f ca="1">CU51+COUNTIFS($CV$6:$CV$53,CV51,$CW$6:CW$53,"&gt;"&amp;CW51,$BC$6:$BC$53,INDEX(T_Equipos[Grupo],MATCH(BD51,T_Equipos[NombreEquipo],0)))</f>
        <v>4</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4</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4</v>
      </c>
      <c r="DE51" s="756"/>
      <c r="DF51" s="756">
        <f t="shared" ca="1" si="52"/>
        <v>4</v>
      </c>
      <c r="DG51" s="756" t="str">
        <f ca="1">IF(DB51="-","-",COUNTIFS(DF$6:DF$53,"&lt;"&amp;DF51,$BC$6:$BC$53,INDEX(T_Equipos[Grupo],MATCH(BD51,T_Equipos[NombreEquipo],0))))</f>
        <v>-</v>
      </c>
      <c r="DH51" s="756">
        <f ca="1">DA51+COUNTIFS(DB$6:DB$53,DB51,DG$6:DG$53,"&lt;"&amp;DG51,$BC$6:$BC$53,INDEX(T_Equipos[Grupo],MATCH(BD51,T_Equipos[NombreEquipo],0)))</f>
        <v>4</v>
      </c>
      <c r="DI51" s="744"/>
      <c r="DJ51" s="744">
        <f t="shared" ca="1" si="53"/>
        <v>2</v>
      </c>
      <c r="DK51" s="744">
        <f t="shared" ca="1" si="24"/>
        <v>4</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P.2 (2)</v>
      </c>
      <c r="F52" s="744" t="str">
        <f t="shared" ref="F52:F57" ca="1" si="157">IF(D52="Pendiente","-",INDEX($BT$6:$BT$53,MATCH($AF52,$BD$6:$BD$53,0)))</f>
        <v>-</v>
      </c>
      <c r="G52" s="744"/>
      <c r="H52" s="744" t="str">
        <f t="shared" ref="H52:H57" ca="1" si="158">IF(D52="Pendiente","-",INDEX($BZ$6:$BZ$53,MATCH($AA52,$BD$6:$BD$53,0)))</f>
        <v>P.2 (2)</v>
      </c>
      <c r="I52" s="744" t="str">
        <f t="shared" ref="I52:I57" ca="1" si="159">IF(D52="Pendiente","-",INDEX($BZ$6:$BZ$53,MATCH($AF52,$BD$6:$BD$53,0)))</f>
        <v>-</v>
      </c>
      <c r="J52" s="744"/>
      <c r="K52" s="744" t="str">
        <f t="shared" ref="K52:K57" ca="1" si="160">IF(D52="Pendiente","-",INDEX($CE$6:$CE$53,MATCH($AA52,$BD$6:$BD$53,0)))</f>
        <v>P.2 (2)</v>
      </c>
      <c r="L52" s="744" t="str">
        <f t="shared" ref="L52:L57" ca="1" si="161">IF(D52="Pendiente","-",INDEX($CE$6:$CE$53,MATCH($AF52,$BD$6:$BD$53,0)))</f>
        <v>-</v>
      </c>
      <c r="M52" s="744"/>
      <c r="N52" s="744" t="str">
        <f t="shared" ref="N52:N57" ca="1" si="162">IF(D52="Pendiente","-",INDEX($CH$6:$CH$53,MATCH($AA52,$BD$6:$BD$53,0)))</f>
        <v>P.2 (2)</v>
      </c>
      <c r="O52" s="744" t="str">
        <f t="shared" ref="O52:O57" ca="1" si="163">IF(D52="Pendiente","-",INDEX($CH$6:$CH$53,MATCH($AF52,$BD$6:$BD$53,0)))</f>
        <v>-</v>
      </c>
      <c r="P52" s="744"/>
      <c r="Q52" s="744" t="str">
        <f t="shared" ref="Q52:Q57" ca="1" si="164">IF(D52="Pendiente","-",INDEX($CN$6:$CN$53,MATCH($AA52,$BD$6:$BD$53,0)))</f>
        <v>P.2 (2)</v>
      </c>
      <c r="R52" s="744" t="str">
        <f t="shared" ref="R52:R57" ca="1" si="165">IF(D52="Pendiente","-",INDEX($CN$6:$CN$53,MATCH($AF52,$BD$6:$BD$53,0)))</f>
        <v>-</v>
      </c>
      <c r="S52" s="744"/>
      <c r="T52" s="744" t="str">
        <f t="shared" ref="T52:T57" ca="1" si="166">IF(D52="Pendiente","-",INDEX($CS$6:$CS$53,MATCH($AA52,$BD$6:$BD$53,0)))</f>
        <v>P.2 (2)</v>
      </c>
      <c r="U52" s="744" t="str">
        <f t="shared" ref="U52:U57" ca="1" si="167">IF(D52="Pendiente","-",INDEX($CS$6:$CS$53,MATCH($AF52,$BD$6:$BD$53,0)))</f>
        <v>-</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3</v>
      </c>
      <c r="BF52" s="748">
        <f t="shared" ca="1" si="26"/>
        <v>1</v>
      </c>
      <c r="BG52" s="748">
        <f t="shared" ca="1" si="17"/>
        <v>1</v>
      </c>
      <c r="BH52" s="748">
        <f t="shared" ca="1" si="18"/>
        <v>0</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3</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4</v>
      </c>
      <c r="DL52" s="744">
        <f t="shared" ca="1" si="33"/>
        <v>1</v>
      </c>
      <c r="DM52" s="738" t="str">
        <f t="shared" ca="1" si="34"/>
        <v>3.1</v>
      </c>
      <c r="DN52" s="744" cm="1">
        <f t="array" aca="1" ref="DN52" ca="1">OFFSET(Horarios!$P$3,DJ52-1,0,DL52,1)</f>
        <v>3</v>
      </c>
      <c r="DO52" s="744"/>
      <c r="DP52" s="744" t="s">
        <v>443</v>
      </c>
      <c r="DQ52" s="744" t="str">
        <f t="shared" ca="1" si="35"/>
        <v>Panamá</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P.2 (2)</v>
      </c>
      <c r="F53" s="744" t="str">
        <f t="shared" ca="1" si="157"/>
        <v>-</v>
      </c>
      <c r="G53" s="744"/>
      <c r="H53" s="744" t="str">
        <f t="shared" ca="1" si="158"/>
        <v>P.2 (2)</v>
      </c>
      <c r="I53" s="744" t="str">
        <f t="shared" ca="1" si="159"/>
        <v>-</v>
      </c>
      <c r="J53" s="744"/>
      <c r="K53" s="744" t="str">
        <f t="shared" ca="1" si="160"/>
        <v>P.2 (2)</v>
      </c>
      <c r="L53" s="744" t="str">
        <f t="shared" ca="1" si="161"/>
        <v>-</v>
      </c>
      <c r="M53" s="744"/>
      <c r="N53" s="744" t="str">
        <f t="shared" ca="1" si="162"/>
        <v>P.2 (2)</v>
      </c>
      <c r="O53" s="744" t="str">
        <f t="shared" ca="1" si="163"/>
        <v>-</v>
      </c>
      <c r="P53" s="744"/>
      <c r="Q53" s="744" t="str">
        <f t="shared" ca="1" si="164"/>
        <v>P.2 (2)</v>
      </c>
      <c r="R53" s="744" t="str">
        <f t="shared" ca="1" si="165"/>
        <v>-</v>
      </c>
      <c r="S53" s="744"/>
      <c r="T53" s="744" t="str">
        <f t="shared" ca="1" si="166"/>
        <v>P.2 (2)</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1</v>
      </c>
      <c r="BG53" s="748">
        <f t="shared" ca="1" si="17"/>
        <v>0</v>
      </c>
      <c r="BH53" s="748">
        <f t="shared" ca="1" si="18"/>
        <v>0</v>
      </c>
      <c r="BI53" s="748">
        <f t="shared" ca="1" si="19"/>
        <v>1</v>
      </c>
      <c r="BJ53" s="748">
        <f t="shared" ca="1" si="20"/>
        <v>0</v>
      </c>
      <c r="BK53" s="748">
        <f t="shared" ca="1" si="21"/>
        <v>1</v>
      </c>
      <c r="BL53" s="748">
        <f t="shared" ca="1" si="27"/>
        <v>-1</v>
      </c>
      <c r="BM53" s="748" t="str">
        <f t="shared" ca="1" si="22"/>
        <v>3L</v>
      </c>
      <c r="BN53" s="748" t="str">
        <f t="shared" ca="1" si="23"/>
        <v>3L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3</v>
      </c>
      <c r="BT53" s="757" t="str">
        <f ca="1">IF(COUNTIFS($BS$6:$BS$53,BS53,$BC$6:$BC$53,INDEX(T_Equipos[Grupo],MATCH(BD53,T_Equipos[NombreEquipo],0)))=1,"-","P."&amp;BS53&amp;" ("&amp;COUNTIFS($BS$6:$BS$53,BS53,$BC$6:$BC$53,INDEX(T_Equipos[Grupo],MATCH(BD53,T_Equipos[NombreEquipo],0)))&amp;")")</f>
        <v>P.3 (2)</v>
      </c>
      <c r="BU53" s="758">
        <f t="shared" ca="1" si="36"/>
        <v>0</v>
      </c>
      <c r="BV53" s="758">
        <f t="shared" ca="1" si="37"/>
        <v>0</v>
      </c>
      <c r="BW53" s="758">
        <f t="shared" ca="1" si="38"/>
        <v>0</v>
      </c>
      <c r="BX53" s="758">
        <f t="shared" ca="1" si="39"/>
        <v>0</v>
      </c>
      <c r="BY53" s="758">
        <f ca="1">BS53+COUNTIFS($BT$6:$BT$53,BT53,$BX$6:BX$53,"&gt;"&amp;BX53,$BC$6:$BC$53,INDEX(T_Equipos[Grupo],MATCH(BD53,T_Equipos[NombreEquipo],0)))</f>
        <v>3</v>
      </c>
      <c r="BZ53" s="757" t="str">
        <f ca="1">IF(COUNTIFS($BY$6:$BY$53,BY53,$BC$6:$BC$53,INDEX(T_Equipos[Grupo],MATCH(BD53,T_Equipos[NombreEquipo],0)))=1,"-","P."&amp;BY53&amp;" ("&amp;COUNTIFS($BY$6:$BY$53,BY53,$BC$6:$BC$53,INDEX(T_Equipos[Grupo],MATCH(BD53,T_Equipos[NombreEquipo],0)))&amp;")")</f>
        <v>P.3 (2)</v>
      </c>
      <c r="CA53" s="758">
        <f t="shared" ca="1" si="40"/>
        <v>0</v>
      </c>
      <c r="CB53" s="758">
        <f t="shared" ca="1" si="41"/>
        <v>0</v>
      </c>
      <c r="CC53" s="758">
        <f t="shared" ca="1" si="42"/>
        <v>0</v>
      </c>
      <c r="CD53" s="758">
        <f ca="1">BY53+COUNTIFS($BZ$6:$BZ$53,BZ53,$CC$6:CC$53,"&gt;"&amp;CC53,$BC$6:$BC$53,INDEX(T_Equipos[Grupo],MATCH(BD53,T_Equipos[NombreEquipo],0)))</f>
        <v>3</v>
      </c>
      <c r="CE53" s="757" t="str">
        <f ca="1">IF(COUNTIFS($CD$6:$CD$53,CD53,$BC$6:$BC$53,INDEX(T_Equipos[Grupo],MATCH(BD53,T_Equipos[NombreEquipo],0)))=1,"-","P."&amp;CD53&amp;" ("&amp;COUNTIFS($CD$6:$CD$53,CD53,$BC$6:$BC$53,INDEX(T_Equipos[Grupo],MATCH(BD53,T_Equipos[NombreEquipo],0)))&amp;")")</f>
        <v>P.3 (2)</v>
      </c>
      <c r="CF53" s="758">
        <f t="shared" ca="1" si="43"/>
        <v>0</v>
      </c>
      <c r="CG53" s="758">
        <f ca="1">CD53+COUNTIFS($CE$6:$CE$53,CE53,$CF$6:CF$53,"&gt;"&amp;CF53,$BC$6:$BC$53,INDEX(T_Equipos[Grupo],MATCH(BD53,T_Equipos[NombreEquipo],0)))</f>
        <v>3</v>
      </c>
      <c r="CH53" s="757" t="str">
        <f ca="1">IF(COUNTIFS($CG$6:$CG$53,CG53,$BC$6:$BC$53,INDEX(T_Equipos[Grupo],MATCH(BD53,T_Equipos[NombreEquipo],0)))=1,"-","P."&amp;CG53&amp;" ("&amp;COUNTIFS($CG$6:$CG$53,CG53,$BC$6:$BC$53,INDEX(T_Equipos[Grupo],MATCH(BD53,T_Equipos[NombreEquipo],0)))&amp;")")</f>
        <v>P.3 (2)</v>
      </c>
      <c r="CI53" s="758">
        <f t="shared" ca="1" si="44"/>
        <v>0</v>
      </c>
      <c r="CJ53" s="758">
        <f t="shared" ca="1" si="45"/>
        <v>0</v>
      </c>
      <c r="CK53" s="758">
        <f t="shared" ca="1" si="46"/>
        <v>0</v>
      </c>
      <c r="CL53" s="758">
        <f t="shared" ca="1" si="47"/>
        <v>0</v>
      </c>
      <c r="CM53" s="758">
        <f ca="1">CG53+COUNTIFS($CH$6:$CH$53,CH53,$CL$6:CL$53,"&gt;"&amp;CL53,$BC$6:$BC$53,INDEX(T_Equipos[Grupo],MATCH(BD53,T_Equipos[NombreEquipo],0)))</f>
        <v>3</v>
      </c>
      <c r="CN53" s="757" t="str">
        <f ca="1">IF(COUNTIFS($CM$6:$CM$53,CM53,$BC$6:$BC$53,INDEX(T_Equipos[Grupo],MATCH(BD53,T_Equipos[NombreEquipo],0)))=1,"-","P."&amp;CM53&amp;" ("&amp;COUNTIFS($CM$6:$CM$53,CM53,$BC$6:$BC$53,INDEX(T_Equipos[Grupo],MATCH(BD53,T_Equipos[NombreEquipo],0)))&amp;")")</f>
        <v>P.3 (2)</v>
      </c>
      <c r="CO53" s="758">
        <f t="shared" ca="1" si="48"/>
        <v>0</v>
      </c>
      <c r="CP53" s="758">
        <f t="shared" ca="1" si="49"/>
        <v>0</v>
      </c>
      <c r="CQ53" s="758">
        <f t="shared" ca="1" si="50"/>
        <v>0</v>
      </c>
      <c r="CR53" s="758">
        <f ca="1">CM53+COUNTIFS($CN$6:$CN$53,CN53,$CQ$6:CQ$53,"&gt;"&amp;CQ53,$BC$6:$BC$53,INDEX(T_Equipos[Grupo],MATCH(BD53,T_Equipos[NombreEquipo],0)))</f>
        <v>3</v>
      </c>
      <c r="CS53" s="757" t="str">
        <f ca="1">IF(COUNTIFS($CR$6:$CR$53,CR53,$BC$6:$BC$53,INDEX(T_Equipos[Grupo],MATCH(BD53,T_Equipos[NombreEquipo],0)))=1,"-","P."&amp;CR53&amp;" ("&amp;COUNTIFS($CR$6:$CR$53,CR53,$BC$6:$BC$53,INDEX(T_Equipos[Grupo],MATCH(BD53,T_Equipos[NombreEquipo],0)))&amp;")")</f>
        <v>P.3 (2)</v>
      </c>
      <c r="CT53" s="758">
        <f t="shared" ca="1" si="51"/>
        <v>0</v>
      </c>
      <c r="CU53" s="758">
        <f ca="1">CR53+COUNTIFS($CS$6:$CS$53,CS53,$CT$6:CT$53,"&gt;"&amp;CT53,$BC$6:$BC$53,INDEX(T_Equipos[Grupo],MATCH(BD53,T_Equipos[NombreEquipo],0)))</f>
        <v>3</v>
      </c>
      <c r="CV53" s="757" t="str">
        <f ca="1">IF(COUNTIFS($CU$6:$CU$53,CU53,$BC$6:$BC$53,INDEX(T_Equipos[Grupo],MATCH(BD53,T_Equipos[NombreEquipo],0)))=1,"-","P."&amp;CU53&amp;" ("&amp;COUNTIFS($CU$6:$CU$53,CU53,$BC$6:$BC$53,INDEX(T_Equipos[Grupo],MATCH(BD53,T_Equipos[NombreEquipo],0)))&amp;")")</f>
        <v>P.3 (2)</v>
      </c>
      <c r="CW53" s="757">
        <f t="shared" ca="1" si="30"/>
        <v>-1</v>
      </c>
      <c r="CX53" s="757">
        <f ca="1">CU53+COUNTIFS($CV$6:$CV$53,CV53,$CW$6:CW$53,"&gt;"&amp;CW53,$BC$6:$BC$53,INDEX(T_Equipos[Grupo],MATCH(BD53,T_Equipos[NombreEquipo],0)))</f>
        <v>3</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3</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3</v>
      </c>
      <c r="DE53" s="756"/>
      <c r="DF53" s="756">
        <f t="shared" ca="1" si="52"/>
        <v>3</v>
      </c>
      <c r="DG53" s="756" t="str">
        <f ca="1">IF(DB53="-","-",COUNTIFS(DF$6:DF$53,"&lt;"&amp;DF53,$BC$6:$BC$53,INDEX(T_Equipos[Grupo],MATCH(BD53,T_Equipos[NombreEquipo],0))))</f>
        <v>-</v>
      </c>
      <c r="DH53" s="756">
        <f ca="1">DA53+COUNTIFS(DB$6:DB$53,DB53,DG$6:DG$53,"&lt;"&amp;DG53,$BC$6:$BC$53,INDEX(T_Equipos[Grupo],MATCH(BD53,T_Equipos[NombreEquipo],0)))</f>
        <v>3</v>
      </c>
      <c r="DI53" s="744"/>
      <c r="DJ53" s="744">
        <f t="shared" ca="1" si="53"/>
        <v>4</v>
      </c>
      <c r="DK53" s="744">
        <f t="shared" ca="1" si="24"/>
        <v>4</v>
      </c>
      <c r="DL53" s="744">
        <f t="shared" ca="1" si="33"/>
        <v>1</v>
      </c>
      <c r="DM53" s="738" t="str">
        <f t="shared" ca="1" si="34"/>
        <v>4.1</v>
      </c>
      <c r="DN53" s="744" cm="1">
        <f t="array" aca="1" ref="DN53" ca="1">OFFSET(Horarios!$P$3,DJ53-1,0,DL53,1)</f>
        <v>4</v>
      </c>
      <c r="DO53" s="744"/>
      <c r="DP53" s="744" t="s">
        <v>684</v>
      </c>
      <c r="DQ53" s="744" t="str">
        <f t="shared" ca="1" si="35"/>
        <v>Croacia</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P.2 (2)</v>
      </c>
      <c r="F54" s="744" t="str">
        <f t="shared" ca="1" si="157"/>
        <v>P.2 (2)</v>
      </c>
      <c r="G54" s="744"/>
      <c r="H54" s="744" t="str">
        <f t="shared" ca="1" si="158"/>
        <v>P.2 (2)</v>
      </c>
      <c r="I54" s="744" t="str">
        <f t="shared" ca="1" si="159"/>
        <v>P.2 (2)</v>
      </c>
      <c r="J54" s="744"/>
      <c r="K54" s="744" t="str">
        <f t="shared" ca="1" si="160"/>
        <v>P.2 (2)</v>
      </c>
      <c r="L54" s="744" t="str">
        <f t="shared" ca="1" si="161"/>
        <v>P.2 (2)</v>
      </c>
      <c r="M54" s="744"/>
      <c r="N54" s="744" t="str">
        <f t="shared" ca="1" si="162"/>
        <v>P.2 (2)</v>
      </c>
      <c r="O54" s="744" t="str">
        <f t="shared" ca="1" si="163"/>
        <v>P.2 (2)</v>
      </c>
      <c r="P54" s="744"/>
      <c r="Q54" s="744" t="str">
        <f t="shared" ca="1" si="164"/>
        <v>P.2 (2)</v>
      </c>
      <c r="R54" s="744" t="str">
        <f t="shared" ca="1" si="165"/>
        <v>P.2 (2)</v>
      </c>
      <c r="S54" s="744"/>
      <c r="T54" s="744" t="str">
        <f t="shared" ca="1" si="166"/>
        <v>P.2 (2)</v>
      </c>
      <c r="U54" s="744" t="str">
        <f t="shared" ca="1" si="167"/>
        <v>P.2 (2)</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6">
        <f t="array" aca="1" ref="AK54" ca="1">Ver_flag_visit</f>
        <v>#VALUE!</v>
      </c>
      <c r="AL54" s="212" t="str">
        <f ca="1">IFERROR(INDEX($BD$6:$BD$53,MATCH(AI54,$BN$6:$BN$53,0)),"")</f>
        <v>Egipto</v>
      </c>
      <c r="AM54" s="213">
        <f t="shared" ref="AM54:AT57" ca="1" si="172">INDEX($BE$6:$BN$53,MATCH($AL54,$BD$6:$BD$53,0),MATCH(AM$5,$BE$5:$BN$5,0))</f>
        <v>4</v>
      </c>
      <c r="AN54" s="214">
        <f t="shared" ca="1" si="172"/>
        <v>2</v>
      </c>
      <c r="AO54" s="214">
        <f t="shared" ca="1" si="172"/>
        <v>1</v>
      </c>
      <c r="AP54" s="214">
        <f t="shared" ca="1" si="172"/>
        <v>1</v>
      </c>
      <c r="AQ54" s="214">
        <f t="shared" ca="1" si="172"/>
        <v>0</v>
      </c>
      <c r="AR54" s="214">
        <f t="shared" ca="1" si="172"/>
        <v>4</v>
      </c>
      <c r="AS54" s="214">
        <f t="shared" ca="1" si="172"/>
        <v>2</v>
      </c>
      <c r="AT54" s="215">
        <f t="shared" ca="1" si="172"/>
        <v>2</v>
      </c>
      <c r="AU54" s="420">
        <f ca="1">INDEX($DL$6:$DL$53,MATCH(AI54,$DP$6:$DP$53,0))</f>
        <v>1</v>
      </c>
      <c r="AV54" s="217" t="str">
        <f ca="1">INDEX($BD$6:$BD$53,MATCH(AI54,$BM$6:$BM$53,0))</f>
        <v>Egipto</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v>
      </c>
      <c r="G55" s="744"/>
      <c r="H55" s="744" t="str">
        <f t="shared" ca="1" si="158"/>
        <v>-</v>
      </c>
      <c r="I55" s="744" t="str">
        <f t="shared" ca="1" si="159"/>
        <v>-</v>
      </c>
      <c r="J55" s="744"/>
      <c r="K55" s="744" t="str">
        <f t="shared" ca="1" si="160"/>
        <v>-</v>
      </c>
      <c r="L55" s="744" t="str">
        <f t="shared" ca="1" si="161"/>
        <v>-</v>
      </c>
      <c r="M55" s="744"/>
      <c r="N55" s="744" t="str">
        <f t="shared" ca="1" si="162"/>
        <v>-</v>
      </c>
      <c r="O55" s="744" t="str">
        <f t="shared" ca="1" si="163"/>
        <v>-</v>
      </c>
      <c r="P55" s="744"/>
      <c r="Q55" s="744" t="str">
        <f t="shared" ca="1" si="164"/>
        <v>-</v>
      </c>
      <c r="R55" s="744" t="str">
        <f t="shared" ca="1" si="165"/>
        <v>-</v>
      </c>
      <c r="S55" s="744"/>
      <c r="T55" s="744" t="str">
        <f t="shared" ca="1" si="166"/>
        <v>-</v>
      </c>
      <c r="U55" s="744" t="str">
        <f t="shared" ca="1" si="167"/>
        <v>-</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7">
        <f t="array" aca="1" ref="AK55" ca="1">Ver_flag_visit</f>
        <v>#VALUE!</v>
      </c>
      <c r="AL55" s="222" t="str">
        <f ca="1">IFERROR(INDEX($BD$6:$BD$53,MATCH(AI55,$BN$6:$BN$53,0)),"")</f>
        <v>Irán</v>
      </c>
      <c r="AM55" s="223">
        <f t="shared" ca="1" si="172"/>
        <v>2</v>
      </c>
      <c r="AN55" s="224">
        <f t="shared" ca="1" si="172"/>
        <v>2</v>
      </c>
      <c r="AO55" s="224">
        <f t="shared" ca="1" si="172"/>
        <v>0</v>
      </c>
      <c r="AP55" s="224">
        <f t="shared" ca="1" si="172"/>
        <v>2</v>
      </c>
      <c r="AQ55" s="224">
        <f t="shared" ca="1" si="172"/>
        <v>0</v>
      </c>
      <c r="AR55" s="224">
        <f t="shared" ca="1" si="172"/>
        <v>2</v>
      </c>
      <c r="AS55" s="224">
        <f t="shared" ca="1" si="172"/>
        <v>2</v>
      </c>
      <c r="AT55" s="225">
        <f t="shared" ca="1" si="172"/>
        <v>0</v>
      </c>
      <c r="AU55" s="420">
        <f ca="1">INDEX($DL$6:$DL$53,MATCH(AI55,$DP$6:$DP$53,0))</f>
        <v>1</v>
      </c>
      <c r="AV55" s="217" t="str">
        <f ca="1">INDEX($BD$6:$BD$53,MATCH(AI55,$BM$6:$BM$53,0))</f>
        <v>Irán</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2</v>
      </c>
      <c r="AN56" s="224">
        <f t="shared" ca="1" si="172"/>
        <v>2</v>
      </c>
      <c r="AO56" s="224">
        <f t="shared" ca="1" si="172"/>
        <v>0</v>
      </c>
      <c r="AP56" s="224">
        <f t="shared" ca="1" si="172"/>
        <v>2</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2</v>
      </c>
      <c r="AO57" s="238">
        <f t="shared" ca="1" si="172"/>
        <v>0</v>
      </c>
      <c r="AP57" s="238">
        <f t="shared" ca="1" si="172"/>
        <v>1</v>
      </c>
      <c r="AQ57" s="238">
        <f t="shared" ca="1" si="172"/>
        <v>1</v>
      </c>
      <c r="AR57" s="238">
        <f t="shared" ca="1" si="172"/>
        <v>3</v>
      </c>
      <c r="AS57" s="238">
        <f t="shared" ca="1" si="172"/>
        <v>5</v>
      </c>
      <c r="AT57" s="239">
        <f t="shared" ca="1" si="172"/>
        <v>-2</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1</v>
      </c>
      <c r="BF58" s="748">
        <f ca="1">+BG58+BH58+BI58</f>
        <v>2</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1</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7</v>
      </c>
      <c r="BN58" s="748">
        <f ca="1">CF58</f>
        <v>7</v>
      </c>
      <c r="BO58" s="738" t="str">
        <f>"4"&amp;BC58</f>
        <v>4A</v>
      </c>
      <c r="BP58" s="738"/>
      <c r="BQ58" s="738"/>
      <c r="BR58" s="748">
        <f t="shared" ref="BR58:BR69" ca="1" si="179">+BE58</f>
        <v>1</v>
      </c>
      <c r="BS58" s="748">
        <f ca="1">COUNTIFS(BR$58:BR$69,"&gt;"&amp;BR58)+1</f>
        <v>6</v>
      </c>
      <c r="BT58" s="748" t="str">
        <f ca="1">IF(COUNTIF(BS$58:BS$69,BS58)=1,"-","Pos. "&amp;BS58&amp;" ("&amp;COUNTIF(BS$58:BS$69,BS58)&amp;")")</f>
        <v>Pos. 6 (4)</v>
      </c>
      <c r="BU58" s="748">
        <f t="shared" ref="BU58:BU69" ca="1" si="180">IF(BT58="-","-",BL58)</f>
        <v>-1</v>
      </c>
      <c r="BV58" s="748">
        <f t="shared" ref="BV58:BV69" ca="1" si="181">BS58+COUNTIFS(BT$58:BT$69,BT58,BU$58:BU$69,"&gt;"&amp;BU58)</f>
        <v>7</v>
      </c>
      <c r="BW58" s="748" t="str">
        <f t="shared" ref="BW58:BW69" ca="1" si="182">IF(COUNTIF(BV$58:BV$69,BV58)=1,"-","Pos. "&amp;BV58&amp;" ("&amp;COUNTIF(BV$58:BV$69,BV58)&amp;")")</f>
        <v>Pos. 7 (2)</v>
      </c>
      <c r="BX58" s="748">
        <f t="shared" ref="BX58:BX69" ca="1" si="183">IF(BW58="-","-",BJ58)</f>
        <v>2</v>
      </c>
      <c r="BY58" s="748">
        <f t="shared" ref="BY58:BY69" ca="1" si="184">BV58+COUNTIFS(BW$58:BW$69,BW58,BX$58:BX$69,"&gt;"&amp;BX58)</f>
        <v>7</v>
      </c>
      <c r="BZ58" s="748" t="str">
        <f t="shared" ref="BZ58:BZ69" ca="1" si="185">IF(COUNTIF(BY$58:BY$69,BY58)=1,"-","Pos. "&amp;BY58&amp;" ("&amp;COUNTIF(BY$58:BY$69,BY58)&amp;")")</f>
        <v>-</v>
      </c>
      <c r="CA58" s="748" t="str">
        <f ca="1">IF(BZ58="-","-",COUNTIF($BD$58:$BD$69,"&gt;"&amp;BD58))</f>
        <v>-</v>
      </c>
      <c r="CB58" s="748">
        <f ca="1">BY58+COUNTIFS(BZ$58:BZ$69,BZ58,CA$58:CA$69,"&gt;"&amp;CA58)</f>
        <v>7</v>
      </c>
      <c r="CC58" s="748"/>
      <c r="CD58" s="748">
        <f ca="1">IF(OR(INDEX($AW$102:$AW$113,MATCH($BD58,$AV$102:$AV$113,0))="",BZ58="-"),CB58,INDEX($AW$102:$AW$113,MATCH($BD58,$AV$102:$AV$113,0))+CB58/1000)</f>
        <v>7</v>
      </c>
      <c r="CE58" s="748" t="str">
        <f ca="1">IF(BZ58="-","-",COUNTIF(CD$58:CD$69,"&lt;"&amp;CD58))</f>
        <v>-</v>
      </c>
      <c r="CF58" s="748">
        <f ca="1">BY58+COUNTIFS(BZ$58:BZ$69,BZ58,CE$58:CE$69,"&lt;"&amp;CE58)</f>
        <v>7</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Suecia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2</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2</v>
      </c>
      <c r="BK59" s="748">
        <f t="shared" ca="1" si="178"/>
        <v>5</v>
      </c>
      <c r="BL59" s="748">
        <f t="shared" ref="BL59:BL69" ca="1" si="193">BJ59-BK59</f>
        <v>-3</v>
      </c>
      <c r="BM59" s="748">
        <f t="shared" ref="BM59:BM69" ca="1" si="194">CB59</f>
        <v>9</v>
      </c>
      <c r="BN59" s="748">
        <f t="shared" ref="BN59:BN69" ca="1" si="195">CF59</f>
        <v>9</v>
      </c>
      <c r="BO59" s="738" t="str">
        <f t="shared" ref="BO59:BO69" si="196">"4"&amp;BC59</f>
        <v>4B</v>
      </c>
      <c r="BP59" s="738"/>
      <c r="BQ59" s="738"/>
      <c r="BR59" s="748">
        <f t="shared" ca="1" si="179"/>
        <v>1</v>
      </c>
      <c r="BS59" s="748">
        <f t="shared" ref="BS59:BS69" ca="1" si="197">COUNTIFS(BR$58:BR$69,"&gt;"&amp;BR59)+1</f>
        <v>6</v>
      </c>
      <c r="BT59" s="748" t="str">
        <f t="shared" ref="BT59:BT69" ca="1" si="198">IF(COUNTIF(BS$58:BS$69,BS59)=1,"-","Pos. "&amp;BS59&amp;" ("&amp;COUNTIF(BS$58:BS$69,BS59)&amp;")")</f>
        <v>Pos. 6 (4)</v>
      </c>
      <c r="BU59" s="748">
        <f t="shared" ca="1" si="180"/>
        <v>-3</v>
      </c>
      <c r="BV59" s="748">
        <f t="shared" ca="1" si="181"/>
        <v>9</v>
      </c>
      <c r="BW59" s="748" t="str">
        <f t="shared" ca="1" si="182"/>
        <v>-</v>
      </c>
      <c r="BX59" s="748" t="str">
        <f t="shared" ca="1" si="183"/>
        <v>-</v>
      </c>
      <c r="BY59" s="748">
        <f t="shared" ca="1" si="184"/>
        <v>9</v>
      </c>
      <c r="BZ59" s="748" t="str">
        <f t="shared" ca="1" si="185"/>
        <v>-</v>
      </c>
      <c r="CA59" s="748" t="str">
        <f t="shared" ref="CA59:CA69" ca="1" si="199">IF(BZ59="-","-",COUNTIF($BD$58:$BD$69,"&gt;"&amp;BD59))</f>
        <v>-</v>
      </c>
      <c r="CB59" s="748">
        <f t="shared" ref="CB59:CB68" ca="1" si="200">BY59+COUNTIFS(BZ$58:BZ$69,BZ59,CA$58:CA$69,"&gt;"&amp;CA59)</f>
        <v>9</v>
      </c>
      <c r="CC59" s="748"/>
      <c r="CD59" s="748">
        <f t="shared" ref="CD59:CD69" ca="1" si="201">IF(OR(INDEX($AW$102:$AW$113,MATCH($BD59,$AV$102:$AV$113,0))="",BZ59="-"),CB59,INDEX($AW$102:$AW$113,MATCH($BD59,$AV$102:$AV$113,0))+CB59/1000)</f>
        <v>9</v>
      </c>
      <c r="CE59" s="748" t="str">
        <f t="shared" ref="CE59:CE69" ca="1" si="202">IF(BZ59="-","-",COUNTIF(CD$58:CD$69,"&lt;"&amp;CD59))</f>
        <v>-</v>
      </c>
      <c r="CF59" s="748">
        <f t="shared" ref="CF59:CF69" ca="1" si="203">BY59+COUNTIFS(BZ$58:BZ$69,BZ59,CE$58:CE$69,"&lt;"&amp;CE59)</f>
        <v>9</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Escocia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P.2 (2)</v>
      </c>
      <c r="G60" s="744"/>
      <c r="H60" s="744" t="str">
        <f t="shared" ref="H60:H65" ca="1" si="209">IF(D60="Pendiente","-",INDEX($BZ$6:$BZ$53,MATCH($AA60,$BD$6:$BD$53,0)))</f>
        <v>-</v>
      </c>
      <c r="I60" s="744" t="str">
        <f t="shared" ref="I60:I65" ca="1" si="210">IF(D60="Pendiente","-",INDEX($BZ$6:$BZ$53,MATCH($AF60,$BD$6:$BD$53,0)))</f>
        <v>P.2 (2)</v>
      </c>
      <c r="J60" s="744"/>
      <c r="K60" s="744" t="str">
        <f t="shared" ref="K60:K65" ca="1" si="211">IF(D60="Pendiente","-",INDEX($CE$6:$CE$53,MATCH($AA60,$BD$6:$BD$53,0)))</f>
        <v>-</v>
      </c>
      <c r="L60" s="744" t="str">
        <f t="shared" ref="L60:L65" ca="1" si="212">IF(D60="Pendiente","-",INDEX($CE$6:$CE$53,MATCH($AF60,$BD$6:$BD$53,0)))</f>
        <v>P.2 (2)</v>
      </c>
      <c r="M60" s="744"/>
      <c r="N60" s="744" t="str">
        <f t="shared" ref="N60:N65" ca="1" si="213">IF(D60="Pendiente","-",INDEX($CH$6:$CH$53,MATCH($AA60,$BD$6:$BD$53,0)))</f>
        <v>-</v>
      </c>
      <c r="O60" s="744" t="str">
        <f t="shared" ref="O60:O65" ca="1" si="214">IF(D60="Pendiente","-",INDEX($CH$6:$CH$53,MATCH($AF60,$BD$6:$BD$53,0)))</f>
        <v>P.2 (2)</v>
      </c>
      <c r="P60" s="744"/>
      <c r="Q60" s="744" t="str">
        <f t="shared" ref="Q60:Q65" ca="1" si="215">IF(D60="Pendiente","-",INDEX($CN$6:$CN$53,MATCH($AA60,$BD$6:$BD$53,0)))</f>
        <v>-</v>
      </c>
      <c r="R60" s="744" t="str">
        <f t="shared" ref="R60:R65" ca="1" si="216">IF(D60="Pendiente","-",INDEX($CN$6:$CN$53,MATCH($AF60,$BD$6:$BD$53,0)))</f>
        <v>P.2 (2)</v>
      </c>
      <c r="S60" s="744"/>
      <c r="T60" s="744" t="str">
        <f t="shared" ref="T60:T65" ca="1" si="217">IF(D60="Pendiente","-",INDEX($CS$6:$CS$53,MATCH($AA60,$BD$6:$BD$53,0)))</f>
        <v>-</v>
      </c>
      <c r="U60" s="744" t="str">
        <f t="shared" ref="U60:U65" ca="1" si="218">IF(D60="Pendiente","-",INDEX($CS$6:$CS$53,MATCH($AF60,$BD$6:$BD$53,0)))</f>
        <v>P.2 (2)</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2</v>
      </c>
      <c r="BG60" s="748">
        <f t="shared" ca="1" si="191"/>
        <v>1</v>
      </c>
      <c r="BH60" s="748">
        <f t="shared" ca="1" si="192"/>
        <v>0</v>
      </c>
      <c r="BI60" s="748">
        <f t="shared" ca="1" si="176"/>
        <v>1</v>
      </c>
      <c r="BJ60" s="748">
        <f t="shared" ca="1" si="177"/>
        <v>1</v>
      </c>
      <c r="BK60" s="748">
        <f t="shared" ca="1" si="178"/>
        <v>1</v>
      </c>
      <c r="BL60" s="748">
        <f t="shared" ca="1" si="193"/>
        <v>0</v>
      </c>
      <c r="BM60" s="748">
        <f t="shared" ca="1" si="194"/>
        <v>2</v>
      </c>
      <c r="BN60" s="748">
        <f t="shared" ca="1" si="195"/>
        <v>2</v>
      </c>
      <c r="BO60" s="738" t="str">
        <f t="shared" si="196"/>
        <v>4C</v>
      </c>
      <c r="BP60" s="738"/>
      <c r="BQ60" s="738"/>
      <c r="BR60" s="748">
        <f t="shared" ca="1" si="179"/>
        <v>3</v>
      </c>
      <c r="BS60" s="748">
        <f t="shared" ca="1" si="197"/>
        <v>1</v>
      </c>
      <c r="BT60" s="748" t="str">
        <f t="shared" ca="1" si="198"/>
        <v>Pos. 1 (3)</v>
      </c>
      <c r="BU60" s="748">
        <f t="shared" ca="1" si="180"/>
        <v>0</v>
      </c>
      <c r="BV60" s="748">
        <f t="shared" ca="1" si="181"/>
        <v>1</v>
      </c>
      <c r="BW60" s="748" t="str">
        <f t="shared" ca="1" si="182"/>
        <v>Pos. 1 (2)</v>
      </c>
      <c r="BX60" s="748">
        <f t="shared" ca="1" si="183"/>
        <v>1</v>
      </c>
      <c r="BY60" s="748">
        <f t="shared" ca="1" si="184"/>
        <v>2</v>
      </c>
      <c r="BZ60" s="748" t="str">
        <f t="shared" ca="1" si="185"/>
        <v>-</v>
      </c>
      <c r="CA60" s="748" t="str">
        <f t="shared" ca="1" si="199"/>
        <v>-</v>
      </c>
      <c r="CB60" s="748">
        <f t="shared" ca="1" si="200"/>
        <v>2</v>
      </c>
      <c r="CC60" s="748"/>
      <c r="CD60" s="748">
        <f t="shared" ca="1" si="201"/>
        <v>2</v>
      </c>
      <c r="CE60" s="748" t="str">
        <f t="shared" ca="1" si="202"/>
        <v>-</v>
      </c>
      <c r="CF60" s="748">
        <f t="shared" ca="1" si="203"/>
        <v>2</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Paraguay</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v>
      </c>
      <c r="F61" s="744" t="str">
        <f t="shared" ca="1" si="208"/>
        <v>P.2 (2)</v>
      </c>
      <c r="G61" s="744"/>
      <c r="H61" s="744" t="str">
        <f t="shared" ca="1" si="209"/>
        <v>-</v>
      </c>
      <c r="I61" s="744" t="str">
        <f t="shared" ca="1" si="210"/>
        <v>P.2 (2)</v>
      </c>
      <c r="J61" s="744"/>
      <c r="K61" s="744" t="str">
        <f t="shared" ca="1" si="211"/>
        <v>-</v>
      </c>
      <c r="L61" s="744" t="str">
        <f t="shared" ca="1" si="212"/>
        <v>P.2 (2)</v>
      </c>
      <c r="M61" s="744"/>
      <c r="N61" s="744" t="str">
        <f t="shared" ca="1" si="213"/>
        <v>-</v>
      </c>
      <c r="O61" s="744" t="str">
        <f t="shared" ca="1" si="214"/>
        <v>P.2 (2)</v>
      </c>
      <c r="P61" s="744"/>
      <c r="Q61" s="744" t="str">
        <f t="shared" ca="1" si="215"/>
        <v>-</v>
      </c>
      <c r="R61" s="744" t="str">
        <f t="shared" ca="1" si="216"/>
        <v>P.2 (2)</v>
      </c>
      <c r="S61" s="744"/>
      <c r="T61" s="744" t="str">
        <f t="shared" ca="1" si="217"/>
        <v>-</v>
      </c>
      <c r="U61" s="744" t="str">
        <f t="shared" ca="1" si="218"/>
        <v>P.2 (2)</v>
      </c>
      <c r="V61" s="172"/>
      <c r="W61" s="806"/>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3</v>
      </c>
      <c r="BF61" s="748">
        <f t="shared" ca="1" si="190"/>
        <v>2</v>
      </c>
      <c r="BG61" s="748">
        <f t="shared" ca="1" si="191"/>
        <v>1</v>
      </c>
      <c r="BH61" s="748">
        <f t="shared" ca="1" si="192"/>
        <v>0</v>
      </c>
      <c r="BI61" s="748">
        <f t="shared" ca="1" si="176"/>
        <v>1</v>
      </c>
      <c r="BJ61" s="748">
        <f t="shared" ca="1" si="177"/>
        <v>2</v>
      </c>
      <c r="BK61" s="748">
        <f t="shared" ca="1" si="178"/>
        <v>4</v>
      </c>
      <c r="BL61" s="748">
        <f t="shared" ca="1" si="193"/>
        <v>-2</v>
      </c>
      <c r="BM61" s="748">
        <f t="shared" ca="1" si="194"/>
        <v>3</v>
      </c>
      <c r="BN61" s="748">
        <f t="shared" ca="1" si="195"/>
        <v>3</v>
      </c>
      <c r="BO61" s="738" t="str">
        <f t="shared" si="196"/>
        <v>4D</v>
      </c>
      <c r="BP61" s="738"/>
      <c r="BQ61" s="738"/>
      <c r="BR61" s="748">
        <f t="shared" ca="1" si="179"/>
        <v>3</v>
      </c>
      <c r="BS61" s="748">
        <f t="shared" ca="1" si="197"/>
        <v>1</v>
      </c>
      <c r="BT61" s="748" t="str">
        <f t="shared" ca="1" si="198"/>
        <v>Pos. 1 (3)</v>
      </c>
      <c r="BU61" s="748">
        <f t="shared" ca="1" si="180"/>
        <v>-2</v>
      </c>
      <c r="BV61" s="748">
        <f t="shared" ca="1" si="181"/>
        <v>3</v>
      </c>
      <c r="BW61" s="748" t="str">
        <f t="shared" ca="1" si="182"/>
        <v>-</v>
      </c>
      <c r="BX61" s="748" t="str">
        <f t="shared" ca="1" si="183"/>
        <v>-</v>
      </c>
      <c r="BY61" s="748">
        <f t="shared" ca="1" si="184"/>
        <v>3</v>
      </c>
      <c r="BZ61" s="748" t="str">
        <f t="shared" ca="1" si="185"/>
        <v>-</v>
      </c>
      <c r="CA61" s="748" t="str">
        <f t="shared" ca="1" si="199"/>
        <v>-</v>
      </c>
      <c r="CB61" s="748">
        <f t="shared" ca="1" si="200"/>
        <v>3</v>
      </c>
      <c r="CC61" s="748"/>
      <c r="CD61" s="748">
        <f t="shared" ca="1" si="201"/>
        <v>3</v>
      </c>
      <c r="CE61" s="748" t="str">
        <f t="shared" ca="1" si="202"/>
        <v>-</v>
      </c>
      <c r="CF61" s="748">
        <f t="shared" ca="1" si="203"/>
        <v>3</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4</v>
      </c>
      <c r="DK61" s="744"/>
      <c r="DL61" s="744">
        <f t="shared" ca="1" si="204"/>
        <v>1</v>
      </c>
      <c r="DM61" s="738" t="str">
        <f t="shared" ca="1" si="187"/>
        <v>4.1</v>
      </c>
      <c r="DN61" s="744" cm="1">
        <f t="array" aca="1" ref="DN61" ca="1">OFFSET(Horarios!$P$3,DJ61-1,0,DL61,1)</f>
        <v>4</v>
      </c>
      <c r="DO61" s="744"/>
      <c r="DP61" s="744">
        <v>4</v>
      </c>
      <c r="DQ61" s="744" t="str">
        <f t="shared" ca="1" si="205"/>
        <v>Cabo Verde</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v>
      </c>
      <c r="G62" s="744"/>
      <c r="H62" s="744" t="str">
        <f t="shared" ca="1" si="209"/>
        <v>-</v>
      </c>
      <c r="I62" s="744" t="str">
        <f t="shared" ca="1" si="210"/>
        <v>-</v>
      </c>
      <c r="J62" s="744"/>
      <c r="K62" s="744" t="str">
        <f t="shared" ca="1" si="211"/>
        <v>-</v>
      </c>
      <c r="L62" s="744" t="str">
        <f t="shared" ca="1" si="212"/>
        <v>-</v>
      </c>
      <c r="M62" s="744"/>
      <c r="N62" s="744" t="str">
        <f t="shared" ca="1" si="213"/>
        <v>-</v>
      </c>
      <c r="O62" s="744" t="str">
        <f t="shared" ca="1" si="214"/>
        <v>-</v>
      </c>
      <c r="P62" s="744"/>
      <c r="Q62" s="744" t="str">
        <f t="shared" ca="1" si="215"/>
        <v>-</v>
      </c>
      <c r="R62" s="744" t="str">
        <f t="shared" ca="1" si="216"/>
        <v>-</v>
      </c>
      <c r="S62" s="744"/>
      <c r="T62" s="744" t="str">
        <f t="shared" ca="1" si="217"/>
        <v>-</v>
      </c>
      <c r="U62" s="744" t="str">
        <f t="shared" ca="1" si="218"/>
        <v>-</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1">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4</v>
      </c>
      <c r="AN62" s="214">
        <f t="shared" ca="1" si="223"/>
        <v>2</v>
      </c>
      <c r="AO62" s="214">
        <f t="shared" ca="1" si="223"/>
        <v>1</v>
      </c>
      <c r="AP62" s="214">
        <f t="shared" ca="1" si="223"/>
        <v>1</v>
      </c>
      <c r="AQ62" s="214">
        <f t="shared" ca="1" si="223"/>
        <v>0</v>
      </c>
      <c r="AR62" s="214">
        <f t="shared" ca="1" si="223"/>
        <v>4</v>
      </c>
      <c r="AS62" s="214">
        <f t="shared" ca="1" si="223"/>
        <v>0</v>
      </c>
      <c r="AT62" s="215">
        <f t="shared" ca="1" si="223"/>
        <v>4</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1</v>
      </c>
      <c r="BF62" s="748">
        <f t="shared" ca="1" si="190"/>
        <v>2</v>
      </c>
      <c r="BG62" s="748">
        <f t="shared" ca="1" si="191"/>
        <v>0</v>
      </c>
      <c r="BH62" s="748">
        <f t="shared" ca="1" si="192"/>
        <v>1</v>
      </c>
      <c r="BI62" s="748">
        <f t="shared" ca="1" si="176"/>
        <v>1</v>
      </c>
      <c r="BJ62" s="748">
        <f t="shared" ca="1" si="177"/>
        <v>0</v>
      </c>
      <c r="BK62" s="748">
        <f t="shared" ca="1" si="178"/>
        <v>1</v>
      </c>
      <c r="BL62" s="748">
        <f t="shared" ca="1" si="193"/>
        <v>-1</v>
      </c>
      <c r="BM62" s="748">
        <f t="shared" ca="1" si="194"/>
        <v>8</v>
      </c>
      <c r="BN62" s="748">
        <f t="shared" ca="1" si="195"/>
        <v>8</v>
      </c>
      <c r="BO62" s="738" t="str">
        <f t="shared" si="196"/>
        <v>4E</v>
      </c>
      <c r="BP62" s="738"/>
      <c r="BQ62" s="738"/>
      <c r="BR62" s="748">
        <f t="shared" ca="1" si="179"/>
        <v>1</v>
      </c>
      <c r="BS62" s="748">
        <f t="shared" ca="1" si="197"/>
        <v>6</v>
      </c>
      <c r="BT62" s="748" t="str">
        <f t="shared" ca="1" si="198"/>
        <v>Pos. 6 (4)</v>
      </c>
      <c r="BU62" s="748">
        <f t="shared" ca="1" si="180"/>
        <v>-1</v>
      </c>
      <c r="BV62" s="748">
        <f t="shared" ca="1" si="181"/>
        <v>7</v>
      </c>
      <c r="BW62" s="748" t="str">
        <f t="shared" ca="1" si="182"/>
        <v>Pos. 7 (2)</v>
      </c>
      <c r="BX62" s="748">
        <f t="shared" ca="1" si="183"/>
        <v>0</v>
      </c>
      <c r="BY62" s="748">
        <f t="shared" ca="1" si="184"/>
        <v>8</v>
      </c>
      <c r="BZ62" s="748" t="str">
        <f t="shared" ca="1" si="185"/>
        <v>-</v>
      </c>
      <c r="CA62" s="748" t="str">
        <f t="shared" ca="1" si="199"/>
        <v>-</v>
      </c>
      <c r="CB62" s="748">
        <f t="shared" ca="1" si="200"/>
        <v>8</v>
      </c>
      <c r="CC62" s="748"/>
      <c r="CD62" s="748">
        <f t="shared" ca="1" si="201"/>
        <v>8</v>
      </c>
      <c r="CE62" s="748" t="str">
        <f t="shared" ca="1" si="202"/>
        <v>-</v>
      </c>
      <c r="CF62" s="748">
        <f t="shared" ca="1" si="203"/>
        <v>8</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Bélgica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P.2 (2)</v>
      </c>
      <c r="F63" s="744" t="str">
        <f t="shared" ca="1" si="208"/>
        <v>P.2 (2)</v>
      </c>
      <c r="G63" s="744"/>
      <c r="H63" s="744" t="str">
        <f t="shared" ca="1" si="209"/>
        <v>P.2 (2)</v>
      </c>
      <c r="I63" s="744" t="str">
        <f t="shared" ca="1" si="210"/>
        <v>P.2 (2)</v>
      </c>
      <c r="J63" s="744"/>
      <c r="K63" s="744" t="str">
        <f t="shared" ca="1" si="211"/>
        <v>P.2 (2)</v>
      </c>
      <c r="L63" s="744" t="str">
        <f t="shared" ca="1" si="212"/>
        <v>P.2 (2)</v>
      </c>
      <c r="M63" s="744"/>
      <c r="N63" s="744" t="str">
        <f t="shared" ca="1" si="213"/>
        <v>P.2 (2)</v>
      </c>
      <c r="O63" s="744" t="str">
        <f t="shared" ca="1" si="214"/>
        <v>P.2 (2)</v>
      </c>
      <c r="P63" s="744"/>
      <c r="Q63" s="744" t="str">
        <f t="shared" ca="1" si="215"/>
        <v>P.2 (2)</v>
      </c>
      <c r="R63" s="744" t="str">
        <f t="shared" ca="1" si="216"/>
        <v>P.2 (2)</v>
      </c>
      <c r="S63" s="744"/>
      <c r="T63" s="744" t="str">
        <f t="shared" ca="1" si="217"/>
        <v>P.2 (2)</v>
      </c>
      <c r="U63" s="744" t="str">
        <f t="shared" ca="1" si="218"/>
        <v>P.2 (2)</v>
      </c>
      <c r="V63" s="172"/>
      <c r="W63" s="806"/>
      <c r="X63" s="189">
        <f ca="1">Horarios!C63</f>
        <v>46195</v>
      </c>
      <c r="Y63" s="190">
        <f ca="1">Horarios!C63</f>
        <v>46195</v>
      </c>
      <c r="Z63" s="191" t="str">
        <f>$Z$6</f>
        <v>J2</v>
      </c>
      <c r="AA63" s="192" t="str">
        <f ca="1">A64</f>
        <v>Uruguay</v>
      </c>
      <c r="AB63" s="478" t="e" cm="1" vm="32">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2</v>
      </c>
      <c r="AN63" s="224">
        <f t="shared" ca="1" si="223"/>
        <v>2</v>
      </c>
      <c r="AO63" s="224">
        <f t="shared" ca="1" si="223"/>
        <v>0</v>
      </c>
      <c r="AP63" s="224">
        <f t="shared" ca="1" si="223"/>
        <v>2</v>
      </c>
      <c r="AQ63" s="224">
        <f t="shared" ca="1" si="223"/>
        <v>0</v>
      </c>
      <c r="AR63" s="224">
        <f t="shared" ca="1" si="223"/>
        <v>3</v>
      </c>
      <c r="AS63" s="224">
        <f t="shared" ca="1" si="223"/>
        <v>3</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Suecia</v>
      </c>
      <c r="BE63" s="748">
        <f t="shared" ca="1" si="189"/>
        <v>3</v>
      </c>
      <c r="BF63" s="748">
        <f t="shared" ca="1" si="190"/>
        <v>2</v>
      </c>
      <c r="BG63" s="748">
        <f t="shared" ca="1" si="191"/>
        <v>1</v>
      </c>
      <c r="BH63" s="748">
        <f t="shared" ca="1" si="192"/>
        <v>0</v>
      </c>
      <c r="BI63" s="748">
        <f t="shared" ca="1" si="176"/>
        <v>1</v>
      </c>
      <c r="BJ63" s="748">
        <f t="shared" ca="1" si="177"/>
        <v>6</v>
      </c>
      <c r="BK63" s="748">
        <f t="shared" ca="1" si="178"/>
        <v>6</v>
      </c>
      <c r="BL63" s="748">
        <f t="shared" ca="1" si="193"/>
        <v>0</v>
      </c>
      <c r="BM63" s="748">
        <f t="shared" ca="1" si="194"/>
        <v>1</v>
      </c>
      <c r="BN63" s="748">
        <f t="shared" ca="1" si="195"/>
        <v>1</v>
      </c>
      <c r="BO63" s="738" t="str">
        <f t="shared" si="196"/>
        <v>4F</v>
      </c>
      <c r="BP63" s="738"/>
      <c r="BQ63" s="738"/>
      <c r="BR63" s="748">
        <f t="shared" ca="1" si="179"/>
        <v>3</v>
      </c>
      <c r="BS63" s="748">
        <f t="shared" ca="1" si="197"/>
        <v>1</v>
      </c>
      <c r="BT63" s="748" t="str">
        <f t="shared" ca="1" si="198"/>
        <v>Pos. 1 (3)</v>
      </c>
      <c r="BU63" s="748">
        <f t="shared" ca="1" si="180"/>
        <v>0</v>
      </c>
      <c r="BV63" s="748">
        <f t="shared" ca="1" si="181"/>
        <v>1</v>
      </c>
      <c r="BW63" s="748" t="str">
        <f t="shared" ca="1" si="182"/>
        <v>Pos. 1 (2)</v>
      </c>
      <c r="BX63" s="748">
        <f t="shared" ca="1" si="183"/>
        <v>6</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RD Congo</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0">
        <f t="array" aca="1" ref="AK64" ca="1">Ver_flag_visit</f>
        <v>#VALUE!</v>
      </c>
      <c r="AL64" s="222" t="str">
        <f ca="1">IFERROR(INDEX($BD$6:$BD$53,MATCH(AI64,$BN$6:$BN$53,0)),"")</f>
        <v>Cabo Verde</v>
      </c>
      <c r="AM64" s="223">
        <f t="shared" ca="1" si="223"/>
        <v>2</v>
      </c>
      <c r="AN64" s="224">
        <f t="shared" ca="1" si="223"/>
        <v>2</v>
      </c>
      <c r="AO64" s="224">
        <f t="shared" ca="1" si="223"/>
        <v>0</v>
      </c>
      <c r="AP64" s="224">
        <f t="shared" ca="1" si="223"/>
        <v>2</v>
      </c>
      <c r="AQ64" s="224">
        <f t="shared" ca="1" si="223"/>
        <v>0</v>
      </c>
      <c r="AR64" s="224">
        <f t="shared" ca="1" si="223"/>
        <v>2</v>
      </c>
      <c r="AS64" s="224">
        <f t="shared" ca="1" si="223"/>
        <v>2</v>
      </c>
      <c r="AT64" s="225">
        <f t="shared" ca="1" si="223"/>
        <v>0</v>
      </c>
      <c r="AU64" s="420">
        <f ca="1">INDEX($DL$6:$DL$53,MATCH(AI64,$DP$6:$DP$53,0))</f>
        <v>1</v>
      </c>
      <c r="AV64" s="217" t="str">
        <f ca="1">INDEX($BD$6:$BD$53,MATCH(AI64,$BM$6:$BM$53,0))</f>
        <v>Cabo Verde</v>
      </c>
      <c r="AW64" s="427"/>
      <c r="AX64" s="218"/>
      <c r="AY64" s="219" t="str">
        <f ca="1">+A63</f>
        <v>Arabia Saudita</v>
      </c>
      <c r="AZ64" s="220"/>
      <c r="BA64" s="175"/>
      <c r="BB64" s="759" t="str">
        <f t="shared" si="188"/>
        <v>3G</v>
      </c>
      <c r="BC64" s="756" t="s">
        <v>6</v>
      </c>
      <c r="BD64" s="744" t="str">
        <f t="shared" ca="1" si="175"/>
        <v>Bélgica</v>
      </c>
      <c r="BE64" s="748">
        <f t="shared" ca="1" si="189"/>
        <v>2</v>
      </c>
      <c r="BF64" s="748">
        <f t="shared" ca="1" si="190"/>
        <v>2</v>
      </c>
      <c r="BG64" s="748">
        <f t="shared" ca="1" si="191"/>
        <v>0</v>
      </c>
      <c r="BH64" s="748">
        <f t="shared" ca="1" si="192"/>
        <v>2</v>
      </c>
      <c r="BI64" s="748">
        <f t="shared" ca="1" si="176"/>
        <v>0</v>
      </c>
      <c r="BJ64" s="748">
        <f t="shared" ca="1" si="177"/>
        <v>1</v>
      </c>
      <c r="BK64" s="748">
        <f t="shared" ca="1" si="178"/>
        <v>1</v>
      </c>
      <c r="BL64" s="748">
        <f t="shared" ca="1" si="193"/>
        <v>0</v>
      </c>
      <c r="BM64" s="748">
        <f t="shared" ca="1" si="194"/>
        <v>5</v>
      </c>
      <c r="BN64" s="748">
        <f t="shared" ca="1" si="195"/>
        <v>5</v>
      </c>
      <c r="BO64" s="738" t="str">
        <f t="shared" si="196"/>
        <v>4G</v>
      </c>
      <c r="BP64" s="738"/>
      <c r="BQ64" s="738"/>
      <c r="BR64" s="748">
        <f t="shared" ca="1" si="179"/>
        <v>2</v>
      </c>
      <c r="BS64" s="748">
        <f t="shared" ca="1" si="197"/>
        <v>4</v>
      </c>
      <c r="BT64" s="748" t="str">
        <f t="shared" ca="1" si="198"/>
        <v>Pos. 4 (2)</v>
      </c>
      <c r="BU64" s="748">
        <f t="shared" ca="1" si="180"/>
        <v>0</v>
      </c>
      <c r="BV64" s="748">
        <f t="shared" ca="1" si="181"/>
        <v>4</v>
      </c>
      <c r="BW64" s="748" t="str">
        <f t="shared" ca="1" si="182"/>
        <v>Pos. 4 (2)</v>
      </c>
      <c r="BX64" s="748">
        <f t="shared" ca="1" si="183"/>
        <v>1</v>
      </c>
      <c r="BY64" s="748">
        <f t="shared" ca="1" si="184"/>
        <v>5</v>
      </c>
      <c r="BZ64" s="748" t="str">
        <f t="shared" ca="1" si="185"/>
        <v>-</v>
      </c>
      <c r="CA64" s="748" t="str">
        <f t="shared" ca="1" si="199"/>
        <v>-</v>
      </c>
      <c r="CB64" s="748">
        <f t="shared" ca="1" si="200"/>
        <v>5</v>
      </c>
      <c r="CC64" s="748"/>
      <c r="CD64" s="748">
        <f t="shared" ca="1" si="201"/>
        <v>5</v>
      </c>
      <c r="CE64" s="748" t="str">
        <f t="shared" ca="1" si="202"/>
        <v>-</v>
      </c>
      <c r="CF64" s="748">
        <f t="shared" ca="1" si="203"/>
        <v>5</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República Checa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07"/>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1">
        <f t="array" aca="1" ref="AK65" ca="1">Ver_flag_visit</f>
        <v>#VALUE!</v>
      </c>
      <c r="AL65" s="236" t="str">
        <f ca="1">IFERROR(INDEX($BD$6:$BD$53,MATCH(AI65,$BN$6:$BN$53,0)),"")</f>
        <v>Arabia Saudita</v>
      </c>
      <c r="AM65" s="237">
        <f t="shared" ca="1" si="223"/>
        <v>1</v>
      </c>
      <c r="AN65" s="238">
        <f t="shared" ca="1" si="223"/>
        <v>2</v>
      </c>
      <c r="AO65" s="238">
        <f t="shared" ca="1" si="223"/>
        <v>0</v>
      </c>
      <c r="AP65" s="238">
        <f t="shared" ca="1" si="223"/>
        <v>1</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Cabo Verde</v>
      </c>
      <c r="BE65" s="748">
        <f t="shared" ca="1" si="189"/>
        <v>2</v>
      </c>
      <c r="BF65" s="748">
        <f t="shared" ca="1" si="190"/>
        <v>2</v>
      </c>
      <c r="BG65" s="748">
        <f t="shared" ca="1" si="191"/>
        <v>0</v>
      </c>
      <c r="BH65" s="748">
        <f t="shared" ca="1" si="192"/>
        <v>2</v>
      </c>
      <c r="BI65" s="748">
        <f t="shared" ca="1" si="176"/>
        <v>0</v>
      </c>
      <c r="BJ65" s="748">
        <f t="shared" ca="1" si="177"/>
        <v>2</v>
      </c>
      <c r="BK65" s="748">
        <f t="shared" ca="1" si="178"/>
        <v>2</v>
      </c>
      <c r="BL65" s="748">
        <f t="shared" ca="1" si="193"/>
        <v>0</v>
      </c>
      <c r="BM65" s="748">
        <f t="shared" ca="1" si="194"/>
        <v>4</v>
      </c>
      <c r="BN65" s="748">
        <f t="shared" ca="1" si="195"/>
        <v>4</v>
      </c>
      <c r="BO65" s="738" t="str">
        <f t="shared" si="196"/>
        <v>4H</v>
      </c>
      <c r="BP65" s="738"/>
      <c r="BQ65" s="738"/>
      <c r="BR65" s="748">
        <f t="shared" ca="1" si="179"/>
        <v>2</v>
      </c>
      <c r="BS65" s="748">
        <f t="shared" ca="1" si="197"/>
        <v>4</v>
      </c>
      <c r="BT65" s="748" t="str">
        <f t="shared" ca="1" si="198"/>
        <v>Pos. 4 (2)</v>
      </c>
      <c r="BU65" s="748">
        <f t="shared" ca="1" si="180"/>
        <v>0</v>
      </c>
      <c r="BV65" s="748">
        <f t="shared" ca="1" si="181"/>
        <v>4</v>
      </c>
      <c r="BW65" s="748" t="str">
        <f t="shared" ca="1" si="182"/>
        <v>Pos. 4 (2)</v>
      </c>
      <c r="BX65" s="748">
        <f t="shared" ca="1" si="183"/>
        <v>2</v>
      </c>
      <c r="BY65" s="748">
        <f t="shared" ca="1" si="184"/>
        <v>4</v>
      </c>
      <c r="BZ65" s="748" t="str">
        <f t="shared" ca="1" si="185"/>
        <v>-</v>
      </c>
      <c r="CA65" s="748" t="str">
        <f t="shared" ca="1" si="199"/>
        <v>-</v>
      </c>
      <c r="CB65" s="748">
        <f t="shared" ca="1" si="200"/>
        <v>4</v>
      </c>
      <c r="CC65" s="748"/>
      <c r="CD65" s="748">
        <f t="shared" ca="1" si="201"/>
        <v>4</v>
      </c>
      <c r="CE65" s="748" t="str">
        <f t="shared" ca="1" si="202"/>
        <v>-</v>
      </c>
      <c r="CF65" s="748">
        <f t="shared" ca="1" si="203"/>
        <v>4</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Ecuador</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1</v>
      </c>
      <c r="BG66" s="748">
        <f t="shared" ca="1" si="191"/>
        <v>0</v>
      </c>
      <c r="BH66" s="748">
        <f t="shared" ca="1" si="192"/>
        <v>0</v>
      </c>
      <c r="BI66" s="748">
        <f t="shared" ca="1" si="176"/>
        <v>1</v>
      </c>
      <c r="BJ66" s="748">
        <f t="shared" ca="1" si="177"/>
        <v>1</v>
      </c>
      <c r="BK66" s="748">
        <f t="shared" ca="1" si="178"/>
        <v>3</v>
      </c>
      <c r="BL66" s="748">
        <f t="shared" ca="1" si="193"/>
        <v>-2</v>
      </c>
      <c r="BM66" s="748">
        <f t="shared" ca="1" si="194"/>
        <v>12</v>
      </c>
      <c r="BN66" s="748">
        <f t="shared" ca="1" si="195"/>
        <v>12</v>
      </c>
      <c r="BO66" s="738" t="str">
        <f t="shared" si="196"/>
        <v>4I</v>
      </c>
      <c r="BP66" s="738"/>
      <c r="BQ66" s="738"/>
      <c r="BR66" s="748">
        <f t="shared" ca="1" si="179"/>
        <v>0</v>
      </c>
      <c r="BS66" s="748">
        <f t="shared" ca="1" si="197"/>
        <v>10</v>
      </c>
      <c r="BT66" s="748" t="str">
        <f t="shared" ca="1" si="198"/>
        <v>Pos. 10 (3)</v>
      </c>
      <c r="BU66" s="748">
        <f t="shared" ca="1" si="180"/>
        <v>-2</v>
      </c>
      <c r="BV66" s="748">
        <f t="shared" ca="1" si="181"/>
        <v>11</v>
      </c>
      <c r="BW66" s="748" t="str">
        <f t="shared" ca="1" si="182"/>
        <v>Pos. 11 (2)</v>
      </c>
      <c r="BX66" s="748">
        <f t="shared" ca="1" si="183"/>
        <v>1</v>
      </c>
      <c r="BY66" s="748">
        <f t="shared" ca="1" si="184"/>
        <v>11</v>
      </c>
      <c r="BZ66" s="748" t="str">
        <f t="shared" ca="1" si="185"/>
        <v>Pos. 11 (2)</v>
      </c>
      <c r="CA66" s="748">
        <f t="shared" ca="1" si="199"/>
        <v>1</v>
      </c>
      <c r="CB66" s="748">
        <f t="shared" ca="1" si="200"/>
        <v>12</v>
      </c>
      <c r="CC66" s="748"/>
      <c r="CD66" s="748">
        <f t="shared" ca="1" si="201"/>
        <v>12</v>
      </c>
      <c r="CE66" s="748">
        <f t="shared" ca="1" si="202"/>
        <v>11</v>
      </c>
      <c r="CF66" s="748">
        <f t="shared" ca="1" si="203"/>
        <v>12</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Bosnia y Herzegovina</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Jordania</v>
      </c>
      <c r="BE67" s="748">
        <f t="shared" ca="1" si="189"/>
        <v>0</v>
      </c>
      <c r="BF67" s="748">
        <f t="shared" ca="1" si="190"/>
        <v>1</v>
      </c>
      <c r="BG67" s="748">
        <f t="shared" ca="1" si="191"/>
        <v>0</v>
      </c>
      <c r="BH67" s="748">
        <f t="shared" ca="1" si="192"/>
        <v>0</v>
      </c>
      <c r="BI67" s="748">
        <f t="shared" ca="1" si="176"/>
        <v>1</v>
      </c>
      <c r="BJ67" s="748">
        <f t="shared" ca="1" si="177"/>
        <v>1</v>
      </c>
      <c r="BK67" s="748">
        <f t="shared" ca="1" si="178"/>
        <v>3</v>
      </c>
      <c r="BL67" s="748">
        <f t="shared" ca="1" si="193"/>
        <v>-2</v>
      </c>
      <c r="BM67" s="748">
        <f t="shared" ca="1" si="194"/>
        <v>11</v>
      </c>
      <c r="BN67" s="748">
        <f t="shared" ca="1" si="195"/>
        <v>11</v>
      </c>
      <c r="BO67" s="738" t="str">
        <f t="shared" si="196"/>
        <v>4J</v>
      </c>
      <c r="BP67" s="738"/>
      <c r="BQ67" s="738"/>
      <c r="BR67" s="748">
        <f t="shared" ca="1" si="179"/>
        <v>0</v>
      </c>
      <c r="BS67" s="748">
        <f t="shared" ca="1" si="197"/>
        <v>10</v>
      </c>
      <c r="BT67" s="748" t="str">
        <f t="shared" ca="1" si="198"/>
        <v>Pos. 10 (3)</v>
      </c>
      <c r="BU67" s="748">
        <f t="shared" ca="1" si="180"/>
        <v>-2</v>
      </c>
      <c r="BV67" s="748">
        <f t="shared" ca="1" si="181"/>
        <v>11</v>
      </c>
      <c r="BW67" s="748" t="str">
        <f t="shared" ca="1" si="182"/>
        <v>Pos. 11 (2)</v>
      </c>
      <c r="BX67" s="748">
        <f t="shared" ca="1" si="183"/>
        <v>1</v>
      </c>
      <c r="BY67" s="748">
        <f t="shared" ca="1" si="184"/>
        <v>11</v>
      </c>
      <c r="BZ67" s="748" t="str">
        <f t="shared" ca="1" si="185"/>
        <v>Pos. 11 (2)</v>
      </c>
      <c r="CA67" s="748">
        <f t="shared" ca="1" si="199"/>
        <v>6</v>
      </c>
      <c r="CB67" s="748">
        <f t="shared" ca="1" si="200"/>
        <v>11</v>
      </c>
      <c r="CC67" s="748"/>
      <c r="CD67" s="748">
        <f t="shared" ca="1" si="201"/>
        <v>11</v>
      </c>
      <c r="CE67" s="748">
        <f t="shared" ca="1" si="202"/>
        <v>10</v>
      </c>
      <c r="CF67" s="748">
        <f t="shared" ca="1" si="203"/>
        <v>11</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Panamá</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12"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1</v>
      </c>
      <c r="BG68" s="748">
        <f t="shared" ca="1" si="191"/>
        <v>0</v>
      </c>
      <c r="BH68" s="748">
        <f t="shared" ca="1" si="192"/>
        <v>1</v>
      </c>
      <c r="BI68" s="748">
        <f t="shared" ca="1" si="176"/>
        <v>0</v>
      </c>
      <c r="BJ68" s="748">
        <f t="shared" ca="1" si="177"/>
        <v>1</v>
      </c>
      <c r="BK68" s="748">
        <f t="shared" ca="1" si="178"/>
        <v>1</v>
      </c>
      <c r="BL68" s="748">
        <f t="shared" ca="1" si="193"/>
        <v>0</v>
      </c>
      <c r="BM68" s="748">
        <f t="shared" ca="1" si="194"/>
        <v>6</v>
      </c>
      <c r="BN68" s="748">
        <f t="shared" ca="1" si="195"/>
        <v>6</v>
      </c>
      <c r="BO68" s="738" t="str">
        <f t="shared" si="196"/>
        <v>4K</v>
      </c>
      <c r="BP68" s="738"/>
      <c r="BQ68" s="738"/>
      <c r="BR68" s="748">
        <f t="shared" ca="1" si="179"/>
        <v>1</v>
      </c>
      <c r="BS68" s="748">
        <f t="shared" ca="1" si="197"/>
        <v>6</v>
      </c>
      <c r="BT68" s="748" t="str">
        <f t="shared" ca="1" si="198"/>
        <v>Pos. 6 (4)</v>
      </c>
      <c r="BU68" s="748">
        <f t="shared" ca="1" si="180"/>
        <v>0</v>
      </c>
      <c r="BV68" s="748">
        <f t="shared" ca="1" si="181"/>
        <v>6</v>
      </c>
      <c r="BW68" s="748" t="str">
        <f t="shared" ca="1" si="182"/>
        <v>-</v>
      </c>
      <c r="BX68" s="748" t="str">
        <f t="shared" ca="1" si="183"/>
        <v>-</v>
      </c>
      <c r="BY68" s="748">
        <f t="shared" ca="1" si="184"/>
        <v>6</v>
      </c>
      <c r="BZ68" s="748" t="str">
        <f t="shared" ca="1" si="185"/>
        <v>-</v>
      </c>
      <c r="CA68" s="748" t="str">
        <f t="shared" ca="1" si="199"/>
        <v>-</v>
      </c>
      <c r="CB68" s="748">
        <f t="shared" ca="1" si="200"/>
        <v>6</v>
      </c>
      <c r="CC68" s="748"/>
      <c r="CD68" s="748">
        <f t="shared" ca="1" si="201"/>
        <v>6</v>
      </c>
      <c r="CE68" s="748" t="str">
        <f t="shared" ca="1" si="202"/>
        <v>-</v>
      </c>
      <c r="CF68" s="748">
        <f t="shared" ca="1" si="203"/>
        <v>6</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Jordania</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12"/>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Panamá</v>
      </c>
      <c r="BE69" s="748">
        <f t="shared" ca="1" si="189"/>
        <v>0</v>
      </c>
      <c r="BF69" s="748">
        <f t="shared" ca="1" si="190"/>
        <v>1</v>
      </c>
      <c r="BG69" s="748">
        <f t="shared" ca="1" si="191"/>
        <v>0</v>
      </c>
      <c r="BH69" s="748">
        <f t="shared" ca="1" si="192"/>
        <v>0</v>
      </c>
      <c r="BI69" s="748">
        <f t="shared" ca="1" si="176"/>
        <v>1</v>
      </c>
      <c r="BJ69" s="748">
        <f t="shared" ca="1" si="177"/>
        <v>0</v>
      </c>
      <c r="BK69" s="748">
        <f t="shared" ca="1" si="178"/>
        <v>1</v>
      </c>
      <c r="BL69" s="748">
        <f t="shared" ca="1" si="193"/>
        <v>-1</v>
      </c>
      <c r="BM69" s="748">
        <f t="shared" ca="1" si="194"/>
        <v>10</v>
      </c>
      <c r="BN69" s="748">
        <f t="shared" ca="1" si="195"/>
        <v>10</v>
      </c>
      <c r="BO69" s="738" t="str">
        <f t="shared" si="196"/>
        <v>4L</v>
      </c>
      <c r="BP69" s="738"/>
      <c r="BQ69" s="738"/>
      <c r="BR69" s="748">
        <f t="shared" ca="1" si="179"/>
        <v>0</v>
      </c>
      <c r="BS69" s="748">
        <f t="shared" ca="1" si="197"/>
        <v>10</v>
      </c>
      <c r="BT69" s="748" t="str">
        <f t="shared" ca="1" si="198"/>
        <v>Pos. 10 (3)</v>
      </c>
      <c r="BU69" s="748">
        <f t="shared" ca="1" si="180"/>
        <v>-1</v>
      </c>
      <c r="BV69" s="748">
        <f t="shared" ca="1" si="181"/>
        <v>10</v>
      </c>
      <c r="BW69" s="748" t="str">
        <f t="shared" ca="1" si="182"/>
        <v>-</v>
      </c>
      <c r="BX69" s="748" t="str">
        <f t="shared" ca="1" si="183"/>
        <v>-</v>
      </c>
      <c r="BY69" s="748">
        <f t="shared" ca="1" si="184"/>
        <v>10</v>
      </c>
      <c r="BZ69" s="748" t="str">
        <f t="shared" ca="1" si="185"/>
        <v>-</v>
      </c>
      <c r="CA69" s="748" t="str">
        <f t="shared" ca="1" si="199"/>
        <v>-</v>
      </c>
      <c r="CB69" s="748">
        <f ca="1">BY69+COUNTIFS(BZ$58:BZ$69,BZ69,CA$58:CA$69,"&gt;"&amp;CA69)</f>
        <v>10</v>
      </c>
      <c r="CC69" s="748"/>
      <c r="CD69" s="748">
        <f t="shared" ca="1" si="201"/>
        <v>10</v>
      </c>
      <c r="CE69" s="748" t="str">
        <f t="shared" ca="1" si="202"/>
        <v>-</v>
      </c>
      <c r="CF69" s="748">
        <f t="shared" ca="1" si="203"/>
        <v>10</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11</v>
      </c>
      <c r="DK69" s="744"/>
      <c r="DL69" s="744">
        <f t="shared" ca="1" si="204"/>
        <v>1</v>
      </c>
      <c r="DM69" s="738" t="str">
        <f t="shared" ca="1" si="187"/>
        <v>11.1</v>
      </c>
      <c r="DN69" s="744" cm="1">
        <f t="array" aca="1" ref="DN69" ca="1">OFFSET(Horarios!$P$3,DJ69-1,0,DL69,1)</f>
        <v>11</v>
      </c>
      <c r="DO69" s="744"/>
      <c r="DP69" s="744">
        <v>12</v>
      </c>
      <c r="DQ69" s="744" t="str">
        <f t="shared" ca="1" si="205"/>
        <v>Senegal</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12"/>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6">
        <f t="array" aca="1" ref="AK70" ca="1">Ver_flag_visit</f>
        <v>#VALUE!</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12"/>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3">
        <f t="array" aca="1" ref="AK71" ca="1">Ver_flag_visit</f>
        <v>#VALUE!</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12"/>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13"/>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P.3 (2)</v>
      </c>
      <c r="G76" s="744"/>
      <c r="H76" s="744" t="str">
        <f t="shared" ref="H76:H81" ca="1" si="248">IF(D76="Pendiente","-",INDEX($BZ$6:$BZ$53,MATCH($AA76,$BD$6:$BD$53,0)))</f>
        <v>-</v>
      </c>
      <c r="I76" s="744" t="str">
        <f t="shared" ref="I76:I81" ca="1" si="249">IF(D76="Pendiente","-",INDEX($BZ$6:$BZ$53,MATCH($AF76,$BD$6:$BD$53,0)))</f>
        <v>P.3 (2)</v>
      </c>
      <c r="J76" s="744"/>
      <c r="K76" s="744" t="str">
        <f t="shared" ref="K76:K81" ca="1" si="250">IF(D76="Pendiente","-",INDEX($CE$6:$CE$53,MATCH($AA76,$BD$6:$BD$53,0)))</f>
        <v>-</v>
      </c>
      <c r="L76" s="744" t="str">
        <f t="shared" ref="L76:L81" ca="1" si="251">IF(D76="Pendiente","-",INDEX($CE$6:$CE$53,MATCH($AF76,$BD$6:$BD$53,0)))</f>
        <v>P.3 (2)</v>
      </c>
      <c r="M76" s="744"/>
      <c r="N76" s="744" t="str">
        <f t="shared" ref="N76:N81" ca="1" si="252">IF(D76="Pendiente","-",INDEX($CH$6:$CH$53,MATCH($AA76,$BD$6:$BD$53,0)))</f>
        <v>-</v>
      </c>
      <c r="O76" s="744" t="str">
        <f t="shared" ref="O76:O81" ca="1" si="253">IF(D76="Pendiente","-",INDEX($CH$6:$CH$53,MATCH($AF76,$BD$6:$BD$53,0)))</f>
        <v>P.3 (2)</v>
      </c>
      <c r="P76" s="744"/>
      <c r="Q76" s="744" t="str">
        <f t="shared" ref="Q76:Q81" ca="1" si="254">IF(D76="Pendiente","-",INDEX($CN$6:$CN$53,MATCH($AA76,$BD$6:$BD$53,0)))</f>
        <v>-</v>
      </c>
      <c r="R76" s="744" t="str">
        <f t="shared" ref="R76:R81" ca="1" si="255">IF(D76="Pendiente","-",INDEX($CN$6:$CN$53,MATCH($AF76,$BD$6:$BD$53,0)))</f>
        <v>P.3 (2)</v>
      </c>
      <c r="S76" s="744"/>
      <c r="T76" s="744" t="str">
        <f t="shared" ref="T76:T81" ca="1" si="256">IF(D76="Pendiente","-",INDEX($CS$6:$CS$53,MATCH($AA76,$BD$6:$BD$53,0)))</f>
        <v>-</v>
      </c>
      <c r="U76" s="744" t="str">
        <f t="shared" ref="U76:U81" ca="1" si="257">IF(D76="Pendiente","-",INDEX($CS$6:$CS$53,MATCH($AF76,$BD$6:$BD$53,0)))</f>
        <v>P.3 (2)</v>
      </c>
      <c r="V76" s="172"/>
      <c r="W76" s="808"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v>
      </c>
      <c r="F77" s="744" t="str">
        <f t="shared" ca="1" si="247"/>
        <v>P.3 (2)</v>
      </c>
      <c r="G77" s="744"/>
      <c r="H77" s="744" t="str">
        <f t="shared" ca="1" si="248"/>
        <v>-</v>
      </c>
      <c r="I77" s="744" t="str">
        <f t="shared" ca="1" si="249"/>
        <v>P.3 (2)</v>
      </c>
      <c r="J77" s="744"/>
      <c r="K77" s="744" t="str">
        <f t="shared" ca="1" si="250"/>
        <v>-</v>
      </c>
      <c r="L77" s="744" t="str">
        <f t="shared" ca="1" si="251"/>
        <v>P.3 (2)</v>
      </c>
      <c r="M77" s="744"/>
      <c r="N77" s="744" t="str">
        <f t="shared" ca="1" si="252"/>
        <v>-</v>
      </c>
      <c r="O77" s="744" t="str">
        <f t="shared" ca="1" si="253"/>
        <v>P.3 (2)</v>
      </c>
      <c r="P77" s="744"/>
      <c r="Q77" s="744" t="str">
        <f t="shared" ca="1" si="254"/>
        <v>-</v>
      </c>
      <c r="R77" s="744" t="str">
        <f t="shared" ca="1" si="255"/>
        <v>P.3 (2)</v>
      </c>
      <c r="S77" s="744"/>
      <c r="T77" s="744" t="str">
        <f t="shared" ca="1" si="256"/>
        <v>-</v>
      </c>
      <c r="U77" s="744" t="str">
        <f t="shared" ca="1" si="257"/>
        <v>P.3 (2)</v>
      </c>
      <c r="V77" s="172"/>
      <c r="W77" s="808"/>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Local</v>
      </c>
      <c r="E78" s="744" t="str">
        <f t="shared" ca="1" si="246"/>
        <v>-</v>
      </c>
      <c r="F78" s="744" t="str">
        <f t="shared" ca="1" si="247"/>
        <v>-</v>
      </c>
      <c r="G78" s="744"/>
      <c r="H78" s="744" t="str">
        <f t="shared" ca="1" si="248"/>
        <v>-</v>
      </c>
      <c r="I78" s="744" t="str">
        <f t="shared" ca="1" si="249"/>
        <v>-</v>
      </c>
      <c r="J78" s="744"/>
      <c r="K78" s="744" t="str">
        <f t="shared" ca="1" si="250"/>
        <v>-</v>
      </c>
      <c r="L78" s="744" t="str">
        <f t="shared" ca="1" si="251"/>
        <v>-</v>
      </c>
      <c r="M78" s="744"/>
      <c r="N78" s="744" t="str">
        <f t="shared" ca="1" si="252"/>
        <v>-</v>
      </c>
      <c r="O78" s="744" t="str">
        <f t="shared" ca="1" si="253"/>
        <v>-</v>
      </c>
      <c r="P78" s="744"/>
      <c r="Q78" s="744" t="str">
        <f t="shared" ca="1" si="254"/>
        <v>-</v>
      </c>
      <c r="R78" s="744" t="str">
        <f t="shared" ca="1" si="255"/>
        <v>-</v>
      </c>
      <c r="S78" s="744"/>
      <c r="T78" s="744" t="str">
        <f t="shared" ca="1" si="256"/>
        <v>-</v>
      </c>
      <c r="U78" s="744" t="str">
        <f t="shared" ca="1" si="257"/>
        <v>-</v>
      </c>
      <c r="V78" s="172"/>
      <c r="W78" s="808"/>
      <c r="X78" s="189">
        <f ca="1">Horarios!C78</f>
        <v>46195.791666666664</v>
      </c>
      <c r="Y78" s="190">
        <f ca="1">Horarios!C78</f>
        <v>46195.791666666664</v>
      </c>
      <c r="Z78" s="191" t="str">
        <f>$Z$6</f>
        <v>J2</v>
      </c>
      <c r="AA78" s="192" t="str">
        <f ca="1">A77</f>
        <v>Argentina</v>
      </c>
      <c r="AB78" s="478" t="e" cm="1" vm="37">
        <f t="array" aca="1" ref="AB78" ca="1">Ver_flag_local</f>
        <v>#VALUE!</v>
      </c>
      <c r="AC78" s="193">
        <v>2</v>
      </c>
      <c r="AD78" s="194">
        <v>0</v>
      </c>
      <c r="AE78" s="483" t="e" cm="1" vm="39">
        <f t="array" aca="1" ref="AE78" ca="1">Ver_flag_visit</f>
        <v>#VALUE!</v>
      </c>
      <c r="AF78" s="195" t="str">
        <f ca="1">A79</f>
        <v>Austria</v>
      </c>
      <c r="AG78" s="413">
        <f t="shared" si="258"/>
        <v>1</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6</v>
      </c>
      <c r="AN78" s="214">
        <f t="shared" ca="1" si="262"/>
        <v>2</v>
      </c>
      <c r="AO78" s="214">
        <f t="shared" ca="1" si="262"/>
        <v>2</v>
      </c>
      <c r="AP78" s="214">
        <f t="shared" ca="1" si="262"/>
        <v>0</v>
      </c>
      <c r="AQ78" s="214">
        <f t="shared" ca="1" si="262"/>
        <v>0</v>
      </c>
      <c r="AR78" s="214">
        <f t="shared" ca="1" si="262"/>
        <v>5</v>
      </c>
      <c r="AS78" s="214">
        <f t="shared" ca="1" si="262"/>
        <v>0</v>
      </c>
      <c r="AT78" s="215">
        <f t="shared" ca="1" si="262"/>
        <v>5</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08"/>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2</v>
      </c>
      <c r="AO79" s="224">
        <f t="shared" ca="1" si="262"/>
        <v>1</v>
      </c>
      <c r="AP79" s="224">
        <f t="shared" ca="1" si="262"/>
        <v>0</v>
      </c>
      <c r="AQ79" s="224">
        <f t="shared" ca="1" si="262"/>
        <v>1</v>
      </c>
      <c r="AR79" s="224">
        <f t="shared" ca="1" si="262"/>
        <v>3</v>
      </c>
      <c r="AS79" s="224">
        <f t="shared" ca="1" si="262"/>
        <v>3</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08"/>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40">
        <f t="array" aca="1" ref="AK80" ca="1">Ver_flag_visit</f>
        <v>#VALUE!</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09"/>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38">
        <f t="array" aca="1" ref="AK81" ca="1">Ver_flag_visit</f>
        <v>#VALUE!</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P.2 (2)</v>
      </c>
      <c r="F84" s="744" t="str">
        <f t="shared" ref="F84:F89" ca="1" si="266">IF(D84="Pendiente","-",INDEX($BT$6:$BT$53,MATCH($AF84,$BD$6:$BD$53,0)))</f>
        <v>P.2 (2)</v>
      </c>
      <c r="G84" s="744"/>
      <c r="H84" s="744" t="str">
        <f t="shared" ref="H84:H89" ca="1" si="267">IF(D84="Pendiente","-",INDEX($BZ$6:$BZ$53,MATCH($AA84,$BD$6:$BD$53,0)))</f>
        <v>P.2 (2)</v>
      </c>
      <c r="I84" s="744" t="str">
        <f t="shared" ref="I84:I89" ca="1" si="268">IF(D84="Pendiente","-",INDEX($BZ$6:$BZ$53,MATCH($AF84,$BD$6:$BD$53,0)))</f>
        <v>P.2 (2)</v>
      </c>
      <c r="J84" s="744"/>
      <c r="K84" s="744" t="str">
        <f t="shared" ref="K84:K89" ca="1" si="269">IF(D84="Pendiente","-",INDEX($CE$6:$CE$53,MATCH($AA84,$BD$6:$BD$53,0)))</f>
        <v>P.2 (2)</v>
      </c>
      <c r="L84" s="744" t="str">
        <f t="shared" ref="L84:L89" ca="1" si="270">IF(D84="Pendiente","-",INDEX($CE$6:$CE$53,MATCH($AF84,$BD$6:$BD$53,0)))</f>
        <v>P.2 (2)</v>
      </c>
      <c r="M84" s="744"/>
      <c r="N84" s="744" t="str">
        <f t="shared" ref="N84:N89" ca="1" si="271">IF(D84="Pendiente","-",INDEX($CH$6:$CH$53,MATCH($AA84,$BD$6:$BD$53,0)))</f>
        <v>P.2 (2)</v>
      </c>
      <c r="O84" s="744" t="str">
        <f t="shared" ref="O84:O89" ca="1" si="272">IF(D84="Pendiente","-",INDEX($CH$6:$CH$53,MATCH($AF84,$BD$6:$BD$53,0)))</f>
        <v>P.2 (2)</v>
      </c>
      <c r="P84" s="744"/>
      <c r="Q84" s="744" t="str">
        <f t="shared" ref="Q84:Q89" ca="1" si="273">IF(D84="Pendiente","-",INDEX($CN$6:$CN$53,MATCH($AA84,$BD$6:$BD$53,0)))</f>
        <v>P.2 (2)</v>
      </c>
      <c r="R84" s="744" t="str">
        <f t="shared" ref="R84:R89" ca="1" si="274">IF(D84="Pendiente","-",INDEX($CN$6:$CN$53,MATCH($AF84,$BD$6:$BD$53,0)))</f>
        <v>P.2 (2)</v>
      </c>
      <c r="S84" s="744"/>
      <c r="T84" s="744" t="str">
        <f t="shared" ref="T84:T89" ca="1" si="275">IF(D84="Pendiente","-",INDEX($CS$6:$CS$53,MATCH($AA84,$BD$6:$BD$53,0)))</f>
        <v>P.2 (2)</v>
      </c>
      <c r="U84" s="744" t="str">
        <f t="shared" ref="U84:U89" ca="1" si="276">IF(D84="Pendiente","-",INDEX($CS$6:$CS$53,MATCH($AF84,$BD$6:$BD$53,0)))</f>
        <v>P.2 (2)</v>
      </c>
      <c r="V84" s="172"/>
      <c r="W84" s="814"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14"/>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14"/>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14"/>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15"/>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P.3 (2)</v>
      </c>
      <c r="G92" s="744"/>
      <c r="H92" s="744" t="str">
        <f t="shared" ref="H92:H97" ca="1" si="286">IF(D92="Pendiente","-",INDEX($BZ$6:$BZ$53,MATCH($AA92,$BD$6:$BD$53,0)))</f>
        <v>P.1 (2)</v>
      </c>
      <c r="I92" s="744" t="str">
        <f t="shared" ref="I92:I97" ca="1" si="287">IF(D92="Pendiente","-",INDEX($BZ$6:$BZ$53,MATCH($AF92,$BD$6:$BD$53,0)))</f>
        <v>P.3 (2)</v>
      </c>
      <c r="J92" s="744"/>
      <c r="K92" s="744" t="str">
        <f t="shared" ref="K92:K97" ca="1" si="288">IF(D92="Pendiente","-",INDEX($CE$6:$CE$53,MATCH($AA92,$BD$6:$BD$53,0)))</f>
        <v>P.1 (2)</v>
      </c>
      <c r="L92" s="744" t="str">
        <f t="shared" ref="L92:L97" ca="1" si="289">IF(D92="Pendiente","-",INDEX($CE$6:$CE$53,MATCH($AF92,$BD$6:$BD$53,0)))</f>
        <v>P.3 (2)</v>
      </c>
      <c r="M92" s="744"/>
      <c r="N92" s="744" t="str">
        <f t="shared" ref="N92:N97" ca="1" si="290">IF(D92="Pendiente","-",INDEX($CH$6:$CH$53,MATCH($AA92,$BD$6:$BD$53,0)))</f>
        <v>P.1 (2)</v>
      </c>
      <c r="O92" s="744" t="str">
        <f t="shared" ref="O92:O97" ca="1" si="291">IF(D92="Pendiente","-",INDEX($CH$6:$CH$53,MATCH($AF92,$BD$6:$BD$53,0)))</f>
        <v>P.3 (2)</v>
      </c>
      <c r="P92" s="744"/>
      <c r="Q92" s="744" t="str">
        <f t="shared" ref="Q92:Q97" ca="1" si="292">IF(D92="Pendiente","-",INDEX($CN$6:$CN$53,MATCH($AA92,$BD$6:$BD$53,0)))</f>
        <v>P.1 (2)</v>
      </c>
      <c r="R92" s="744" t="str">
        <f t="shared" ref="R92:R97" ca="1" si="293">IF(D92="Pendiente","-",INDEX($CN$6:$CN$53,MATCH($AF92,$BD$6:$BD$53,0)))</f>
        <v>P.3 (2)</v>
      </c>
      <c r="S92" s="744"/>
      <c r="T92" s="744" t="str">
        <f t="shared" ref="T92:T97" ca="1" si="294">IF(D92="Pendiente","-",INDEX($CS$6:$CS$53,MATCH($AA92,$BD$6:$BD$53,0)))</f>
        <v>P.1 (2)</v>
      </c>
      <c r="U92" s="744" t="str">
        <f t="shared" ref="U92:U97" ca="1" si="295">IF(D92="Pendiente","-",INDEX($CS$6:$CS$53,MATCH($AF92,$BD$6:$BD$53,0)))</f>
        <v>P.3 (2)</v>
      </c>
      <c r="V92" s="172"/>
      <c r="W92" s="810"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P.3 (2)</v>
      </c>
      <c r="G93" s="744"/>
      <c r="H93" s="744" t="str">
        <f t="shared" ca="1" si="286"/>
        <v>P.1 (2)</v>
      </c>
      <c r="I93" s="744" t="str">
        <f t="shared" ca="1" si="287"/>
        <v>P.3 (2)</v>
      </c>
      <c r="J93" s="744"/>
      <c r="K93" s="744" t="str">
        <f t="shared" ca="1" si="288"/>
        <v>P.1 (2)</v>
      </c>
      <c r="L93" s="744" t="str">
        <f t="shared" ca="1" si="289"/>
        <v>P.3 (2)</v>
      </c>
      <c r="M93" s="744"/>
      <c r="N93" s="744" t="str">
        <f t="shared" ca="1" si="290"/>
        <v>P.1 (2)</v>
      </c>
      <c r="O93" s="744" t="str">
        <f t="shared" ca="1" si="291"/>
        <v>P.3 (2)</v>
      </c>
      <c r="P93" s="744"/>
      <c r="Q93" s="744" t="str">
        <f t="shared" ca="1" si="292"/>
        <v>P.1 (2)</v>
      </c>
      <c r="R93" s="744" t="str">
        <f t="shared" ca="1" si="293"/>
        <v>P.3 (2)</v>
      </c>
      <c r="S93" s="744"/>
      <c r="T93" s="744" t="str">
        <f t="shared" ca="1" si="294"/>
        <v>P.1 (2)</v>
      </c>
      <c r="U93" s="744" t="str">
        <f t="shared" ca="1" si="295"/>
        <v>P.3 (2)</v>
      </c>
      <c r="V93" s="172"/>
      <c r="W93" s="810"/>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10"/>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10"/>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10"/>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8">
        <f t="array" aca="1" ref="AK96" ca="1">Ver_flag_visit</f>
        <v>#VALUE!</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11"/>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6">
        <f t="array" aca="1" ref="AK97" ca="1">Ver_flag_visit</f>
        <v>#VALUE!</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8</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ACDEFGHK</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8</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e" cm="1" vm="23">
        <f t="array" aca="1" ref="AK102" ca="1">Ver_flag_visit</f>
        <v>#VALUE!</v>
      </c>
      <c r="AL102" s="283" t="str">
        <f t="shared" ref="AL102:AL113" ca="1" si="310">+IF($H$113&gt;=48,INDEX($BD$58:$BD$69,MATCH(AI102,$BN$58:$BN$69,0)),BB58)</f>
        <v>Suecia</v>
      </c>
      <c r="AM102" s="284">
        <f t="shared" ref="AM102:AT102" ca="1" si="311">+IF($H$113&gt;=48,INDEX($BE$58:$BN$69,MATCH($AL102,$BD$58:$BD$69,0),MATCH(AM$5,$BE$57:$BN$57,0)),$BB58)</f>
        <v>3</v>
      </c>
      <c r="AN102" s="285">
        <f t="shared" ca="1" si="311"/>
        <v>2</v>
      </c>
      <c r="AO102" s="285">
        <f t="shared" ca="1" si="311"/>
        <v>1</v>
      </c>
      <c r="AP102" s="285">
        <f t="shared" ca="1" si="311"/>
        <v>0</v>
      </c>
      <c r="AQ102" s="286">
        <f t="shared" ca="1" si="311"/>
        <v>1</v>
      </c>
      <c r="AR102" s="286">
        <f t="shared" ca="1" si="311"/>
        <v>6</v>
      </c>
      <c r="AS102" s="286">
        <f t="shared" ca="1" si="311"/>
        <v>6</v>
      </c>
      <c r="AT102" s="287">
        <f t="shared" ca="1" si="311"/>
        <v>0</v>
      </c>
      <c r="AU102" s="420" t="str">
        <f t="shared" ref="AU102:AU113" ca="1" si="312">IF($H$113=144,INDEX($DL$58:$DL$69,MATCH(AI102,$DP$58:$DP$69,0)),"")</f>
        <v/>
      </c>
      <c r="AV102" s="217" t="str">
        <f t="shared" ref="AV102:AV113" ca="1" si="313">INDEX($BD$58:$BD$69,MATCH(AI102,$BM$58:$BM$69,0))</f>
        <v>Suecia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8</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e" cm="1" vm="12">
        <f t="array" aca="1" ref="AK103" ca="1">Ver_flag_visit</f>
        <v>#VALUE!</v>
      </c>
      <c r="AL103" s="289" t="str">
        <f t="shared" ca="1" si="310"/>
        <v>Escocia</v>
      </c>
      <c r="AM103" s="290">
        <f t="shared" ref="AM103:AT103" ca="1" si="314">+IF($H$113&gt;=48,INDEX($BE$58:$BN$69,MATCH($AL103,$BD$58:$BD$69,0),MATCH(AM$5,$BE$57:$BN$57,0)),$BB59)</f>
        <v>3</v>
      </c>
      <c r="AN103" s="291">
        <f t="shared" ca="1" si="314"/>
        <v>2</v>
      </c>
      <c r="AO103" s="291">
        <f t="shared" ca="1" si="314"/>
        <v>1</v>
      </c>
      <c r="AP103" s="291">
        <f t="shared" ca="1" si="314"/>
        <v>0</v>
      </c>
      <c r="AQ103" s="291">
        <f t="shared" ca="1" si="314"/>
        <v>1</v>
      </c>
      <c r="AR103" s="291">
        <f t="shared" ca="1" si="314"/>
        <v>1</v>
      </c>
      <c r="AS103" s="291">
        <f t="shared" ca="1" si="314"/>
        <v>1</v>
      </c>
      <c r="AT103" s="292">
        <f t="shared" ca="1" si="314"/>
        <v>0</v>
      </c>
      <c r="AU103" s="420" t="str">
        <f t="shared" ca="1" si="312"/>
        <v/>
      </c>
      <c r="AV103" s="217" t="str">
        <f t="shared" ca="1" si="313"/>
        <v>Escocia</v>
      </c>
      <c r="AW103" s="427"/>
      <c r="AX103" s="288"/>
      <c r="AY103" s="293"/>
      <c r="AZ103" s="294" t="str">
        <f t="shared" ref="AZ103:AZ110" ca="1" si="315">+IF(OR($H$113&gt;=48,$AJ$99=144),BF117&amp;" - "&amp;BG117,"")</f>
        <v>1A - 3H</v>
      </c>
      <c r="BA103" s="175"/>
      <c r="BB103" s="738"/>
      <c r="BC103" s="744"/>
      <c r="BD103" s="738"/>
      <c r="BE103" s="738"/>
      <c r="BF103" s="738" t="str">
        <f t="shared" ref="BF103:BF110" ca="1" si="316">IFERROR(INDEX($BC$6:$BC$53,MATCH(AL102,$BD$6:$BD$53,0)),"")</f>
        <v>F</v>
      </c>
      <c r="BG103" s="738">
        <f t="shared" ref="BG103:BG110" ca="1" si="317">COUNTIF($BF$103:$BF$110,"&lt;="&amp;BF103)</f>
        <v>5</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8</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e" cm="1" vm="14">
        <f t="array" aca="1" ref="AK104" ca="1">Ver_flag_visit</f>
        <v>#VALUE!</v>
      </c>
      <c r="AL104" s="289" t="str">
        <f t="shared" ca="1" si="310"/>
        <v>Paraguay</v>
      </c>
      <c r="AM104" s="290">
        <f t="shared" ref="AM104:AT104" ca="1" si="319">+IF($H$113&gt;=48,INDEX($BE$58:$BN$69,MATCH($AL104,$BD$58:$BD$69,0),MATCH(AM$5,$BE$57:$BN$57,0)),$BB60)</f>
        <v>3</v>
      </c>
      <c r="AN104" s="291">
        <f t="shared" ca="1" si="319"/>
        <v>2</v>
      </c>
      <c r="AO104" s="291">
        <f t="shared" ca="1" si="319"/>
        <v>1</v>
      </c>
      <c r="AP104" s="291">
        <f t="shared" ca="1" si="319"/>
        <v>0</v>
      </c>
      <c r="AQ104" s="291">
        <f t="shared" ca="1" si="319"/>
        <v>1</v>
      </c>
      <c r="AR104" s="291">
        <f t="shared" ca="1" si="319"/>
        <v>2</v>
      </c>
      <c r="AS104" s="291">
        <f t="shared" ca="1" si="319"/>
        <v>4</v>
      </c>
      <c r="AT104" s="292">
        <f t="shared" ca="1" si="319"/>
        <v>-2</v>
      </c>
      <c r="AU104" s="420" t="str">
        <f t="shared" ca="1" si="312"/>
        <v/>
      </c>
      <c r="AV104" s="217" t="str">
        <f t="shared" ca="1" si="313"/>
        <v>Paraguay</v>
      </c>
      <c r="AW104" s="427"/>
      <c r="AX104" s="288"/>
      <c r="AY104" s="293"/>
      <c r="AZ104" s="294" t="str">
        <f t="shared" ca="1" si="315"/>
        <v>1B - 3G</v>
      </c>
      <c r="BA104" s="175"/>
      <c r="BB104" s="738"/>
      <c r="BC104" s="744"/>
      <c r="BD104" s="738"/>
      <c r="BE104" s="738"/>
      <c r="BF104" s="738" t="str">
        <f t="shared" ca="1" si="316"/>
        <v>C</v>
      </c>
      <c r="BG104" s="738">
        <f t="shared" ca="1" si="317"/>
        <v>2</v>
      </c>
      <c r="BH104" s="738"/>
      <c r="BI104" s="744">
        <v>2</v>
      </c>
      <c r="BJ104" s="738" t="str">
        <f t="shared" ca="1" si="318"/>
        <v>C</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8</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e" cm="1" vm="30">
        <f t="array" aca="1" ref="AK105" ca="1">Ver_flag_visit</f>
        <v>#VALUE!</v>
      </c>
      <c r="AL105" s="289" t="str">
        <f t="shared" ca="1" si="310"/>
        <v>Cabo Verde</v>
      </c>
      <c r="AM105" s="290">
        <f t="shared" ref="AM105:AT105" ca="1" si="320">+IF($H$113&gt;=48,INDEX($BE$58:$BN$69,MATCH($AL105,$BD$58:$BD$69,0),MATCH(AM$5,$BE$57:$BN$57,0)),$BB61)</f>
        <v>2</v>
      </c>
      <c r="AN105" s="291">
        <f t="shared" ca="1" si="320"/>
        <v>2</v>
      </c>
      <c r="AO105" s="291">
        <f t="shared" ca="1" si="320"/>
        <v>0</v>
      </c>
      <c r="AP105" s="291">
        <f t="shared" ca="1" si="320"/>
        <v>2</v>
      </c>
      <c r="AQ105" s="291">
        <f t="shared" ca="1" si="320"/>
        <v>0</v>
      </c>
      <c r="AR105" s="291">
        <f t="shared" ca="1" si="320"/>
        <v>2</v>
      </c>
      <c r="AS105" s="291">
        <f t="shared" ca="1" si="320"/>
        <v>2</v>
      </c>
      <c r="AT105" s="292">
        <f t="shared" ca="1" si="320"/>
        <v>0</v>
      </c>
      <c r="AU105" s="420" t="str">
        <f t="shared" ca="1" si="312"/>
        <v/>
      </c>
      <c r="AV105" s="217" t="str">
        <f t="shared" ca="1" si="313"/>
        <v>Cabo Verde</v>
      </c>
      <c r="AW105" s="427"/>
      <c r="AX105" s="288"/>
      <c r="AY105" s="293"/>
      <c r="AZ105" s="294" t="str">
        <f t="shared" ca="1" si="315"/>
        <v>1D - 3E</v>
      </c>
      <c r="BA105" s="175"/>
      <c r="BB105" s="738"/>
      <c r="BC105" s="744"/>
      <c r="BD105" s="738"/>
      <c r="BE105" s="738"/>
      <c r="BF105" s="738" t="str">
        <f t="shared" ca="1" si="316"/>
        <v>D</v>
      </c>
      <c r="BG105" s="738">
        <f t="shared" ca="1" si="317"/>
        <v>3</v>
      </c>
      <c r="BH105" s="738"/>
      <c r="BI105" s="744">
        <v>3</v>
      </c>
      <c r="BJ105" s="738" t="str">
        <f t="shared" ca="1" si="318"/>
        <v>D</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8</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25">
        <f t="array" aca="1" ref="AK106" ca="1">Ver_flag_visit</f>
        <v>#VALUE!</v>
      </c>
      <c r="AL106" s="289" t="str">
        <f t="shared" ca="1" si="310"/>
        <v>Bélgica</v>
      </c>
      <c r="AM106" s="290">
        <f t="shared" ref="AM106:AT106" ca="1" si="321">+IF($H$113&gt;=48,INDEX($BE$58:$BN$69,MATCH($AL106,$BD$58:$BD$69,0),MATCH(AM$5,$BE$57:$BN$57,0)),$BB62)</f>
        <v>2</v>
      </c>
      <c r="AN106" s="291">
        <f t="shared" ca="1" si="321"/>
        <v>2</v>
      </c>
      <c r="AO106" s="291">
        <f t="shared" ca="1" si="321"/>
        <v>0</v>
      </c>
      <c r="AP106" s="291">
        <f t="shared" ca="1" si="321"/>
        <v>2</v>
      </c>
      <c r="AQ106" s="291">
        <f t="shared" ca="1" si="321"/>
        <v>0</v>
      </c>
      <c r="AR106" s="291">
        <f t="shared" ca="1" si="321"/>
        <v>1</v>
      </c>
      <c r="AS106" s="291">
        <f t="shared" ca="1" si="321"/>
        <v>1</v>
      </c>
      <c r="AT106" s="292">
        <f t="shared" ca="1" si="321"/>
        <v>0</v>
      </c>
      <c r="AU106" s="420" t="str">
        <f t="shared" ca="1" si="312"/>
        <v/>
      </c>
      <c r="AV106" s="217" t="str">
        <f t="shared" ca="1" si="313"/>
        <v>Bélgica</v>
      </c>
      <c r="AW106" s="427"/>
      <c r="AX106" s="288"/>
      <c r="AY106" s="293"/>
      <c r="AZ106" s="294" t="str">
        <f t="shared" ca="1" si="315"/>
        <v>1E - 3C</v>
      </c>
      <c r="BA106" s="175"/>
      <c r="BB106" s="738"/>
      <c r="BC106" s="744"/>
      <c r="BD106" s="738"/>
      <c r="BE106" s="738"/>
      <c r="BF106" s="738" t="str">
        <f t="shared" ca="1" si="316"/>
        <v>H</v>
      </c>
      <c r="BG106" s="738">
        <f t="shared" ca="1" si="317"/>
        <v>7</v>
      </c>
      <c r="BH106" s="738"/>
      <c r="BI106" s="744">
        <v>4</v>
      </c>
      <c r="BJ106" s="738" t="str">
        <f t="shared" ca="1" si="318"/>
        <v>E</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8</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e" cm="1" vm="42">
        <f t="array" aca="1" ref="AK107" ca="1">Ver_flag_visit</f>
        <v>#VALUE!</v>
      </c>
      <c r="AL107" s="289" t="str">
        <f t="shared" ca="1" si="310"/>
        <v>RD Congo</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1</v>
      </c>
      <c r="AS107" s="291">
        <f t="shared" ca="1" si="322"/>
        <v>1</v>
      </c>
      <c r="AT107" s="292">
        <f t="shared" ca="1" si="322"/>
        <v>0</v>
      </c>
      <c r="AU107" s="420" t="str">
        <f t="shared" ca="1" si="312"/>
        <v/>
      </c>
      <c r="AV107" s="217" t="str">
        <f ca="1">INDEX($BD$58:$BD$69,MATCH(AI107,$BM$58:$BM$69,0))</f>
        <v>RD Congo</v>
      </c>
      <c r="AW107" s="427"/>
      <c r="AX107" s="288"/>
      <c r="AY107" s="293"/>
      <c r="AZ107" s="294" t="str">
        <f t="shared" ca="1" si="315"/>
        <v>1G - 3A</v>
      </c>
      <c r="BA107" s="175"/>
      <c r="BB107" s="738"/>
      <c r="BC107" s="744"/>
      <c r="BD107" s="738"/>
      <c r="BE107" s="744"/>
      <c r="BF107" s="738" t="str">
        <f t="shared" ca="1" si="316"/>
        <v>G</v>
      </c>
      <c r="BG107" s="738">
        <f t="shared" ca="1" si="317"/>
        <v>6</v>
      </c>
      <c r="BH107" s="738"/>
      <c r="BI107" s="738">
        <v>5</v>
      </c>
      <c r="BJ107" s="738" t="str">
        <f t="shared" ca="1" si="318"/>
        <v>F</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8</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4">
        <f t="array" aca="1" ref="AK108" ca="1">Ver_flag_visit</f>
        <v>#VALUE!</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8"/>
      <c r="BC108" s="738"/>
      <c r="BD108" s="738"/>
      <c r="BE108" s="744"/>
      <c r="BF108" s="738" t="str">
        <f t="shared" ca="1" si="316"/>
        <v>K</v>
      </c>
      <c r="BG108" s="738">
        <f t="shared" ca="1" si="317"/>
        <v>8</v>
      </c>
      <c r="BH108" s="738"/>
      <c r="BI108" s="738">
        <v>6</v>
      </c>
      <c r="BJ108" s="738" t="str">
        <f t="shared" ca="1" si="318"/>
        <v>G</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4</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20">
        <f t="array" aca="1" ref="AK109" ca="1">Ver_flag_visit</f>
        <v>#VALUE!</v>
      </c>
      <c r="AL109" s="289" t="str">
        <f t="shared" ca="1" si="310"/>
        <v>Ecuador</v>
      </c>
      <c r="AM109" s="290">
        <f t="shared" ref="AM109:AT109" ca="1" si="324">+IF($H$113&gt;=48,INDEX($BE$58:$BN$69,MATCH($AL109,$BD$58:$BD$69,0),MATCH(AM$5,$BE$57:$BN$57,0)),$BB65)</f>
        <v>1</v>
      </c>
      <c r="AN109" s="291">
        <f t="shared" ca="1" si="324"/>
        <v>2</v>
      </c>
      <c r="AO109" s="291">
        <f t="shared" ca="1" si="324"/>
        <v>0</v>
      </c>
      <c r="AP109" s="291">
        <f t="shared" ca="1" si="324"/>
        <v>1</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- 3D</v>
      </c>
      <c r="BA109" s="175"/>
      <c r="BB109" s="738"/>
      <c r="BC109" s="738"/>
      <c r="BD109" s="738"/>
      <c r="BE109" s="744"/>
      <c r="BF109" s="738" t="str">
        <f t="shared" ca="1" si="316"/>
        <v>A</v>
      </c>
      <c r="BG109" s="738">
        <f t="shared" ca="1" si="317"/>
        <v>1</v>
      </c>
      <c r="BH109" s="738"/>
      <c r="BI109" s="738">
        <v>7</v>
      </c>
      <c r="BJ109" s="738" t="str">
        <f t="shared" ca="1" si="318"/>
        <v>H</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6</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e" cm="1" vm="6">
        <f t="array" aca="1" ref="AK110" ca="1">Ver_flag_visit</f>
        <v>#VALUE!</v>
      </c>
      <c r="AL110" s="289" t="str">
        <f t="shared" ca="1" si="310"/>
        <v>Bosnia y Herzegovina</v>
      </c>
      <c r="AM110" s="290">
        <f t="shared" ref="AM110:AT110" ca="1" si="325">+IF($H$113&gt;=48,INDEX($BE$58:$BN$69,MATCH($AL110,$BD$58:$BD$69,0),MATCH(AM$5,$BE$57:$BN$57,0)),$BB66)</f>
        <v>1</v>
      </c>
      <c r="AN110" s="291">
        <f t="shared" ca="1" si="325"/>
        <v>2</v>
      </c>
      <c r="AO110" s="291">
        <f t="shared" ca="1" si="325"/>
        <v>0</v>
      </c>
      <c r="AP110" s="291">
        <f t="shared" ca="1" si="325"/>
        <v>1</v>
      </c>
      <c r="AQ110" s="291">
        <f t="shared" ca="1" si="325"/>
        <v>1</v>
      </c>
      <c r="AR110" s="291">
        <f t="shared" ca="1" si="325"/>
        <v>2</v>
      </c>
      <c r="AS110" s="291">
        <f t="shared" ca="1" si="325"/>
        <v>5</v>
      </c>
      <c r="AT110" s="292">
        <f t="shared" ca="1" si="325"/>
        <v>-3</v>
      </c>
      <c r="AU110" s="420" t="str">
        <f t="shared" ca="1" si="312"/>
        <v/>
      </c>
      <c r="AV110" s="217" t="str">
        <f t="shared" ca="1" si="313"/>
        <v>Bosnia y Herzegovina</v>
      </c>
      <c r="AW110" s="427"/>
      <c r="AX110" s="288"/>
      <c r="AY110" s="293"/>
      <c r="AZ110" s="294" t="str">
        <f t="shared" ca="1" si="315"/>
        <v>1L - 3K</v>
      </c>
      <c r="BA110" s="175"/>
      <c r="BB110" s="738"/>
      <c r="BC110" s="738"/>
      <c r="BD110" s="738"/>
      <c r="BE110" s="744"/>
      <c r="BF110" s="738" t="str">
        <f t="shared" ca="1" si="316"/>
        <v>E</v>
      </c>
      <c r="BG110" s="738">
        <f t="shared" ca="1" si="317"/>
        <v>4</v>
      </c>
      <c r="BH110" s="738"/>
      <c r="BI110" s="744">
        <v>8</v>
      </c>
      <c r="BJ110" s="738" t="str">
        <f t="shared" ca="1" si="318"/>
        <v>K</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4</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48">
        <f t="array" aca="1" ref="AK111" ca="1">Ver_flag_visit</f>
        <v>#VALUE!</v>
      </c>
      <c r="AL111" s="289" t="str">
        <f t="shared" ca="1" si="310"/>
        <v>Panamá</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0</v>
      </c>
      <c r="AS111" s="291">
        <f t="shared" ca="1" si="326"/>
        <v>1</v>
      </c>
      <c r="AT111" s="292">
        <f t="shared" ca="1" si="326"/>
        <v>-1</v>
      </c>
      <c r="AU111" s="420" t="str">
        <f t="shared" ca="1" si="312"/>
        <v/>
      </c>
      <c r="AV111" s="217" t="str">
        <f t="shared" ca="1" si="313"/>
        <v>Panamá</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4</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40">
        <f t="array" aca="1" ref="AK112" ca="1">Ver_flag_visit</f>
        <v>#VALUE!</v>
      </c>
      <c r="AL112" s="289" t="str">
        <f t="shared" ca="1" si="310"/>
        <v>Jordania</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Jordania</v>
      </c>
      <c r="AW112" s="427"/>
      <c r="AX112" s="288"/>
      <c r="AY112" s="295"/>
      <c r="AZ112" s="295"/>
      <c r="BA112" s="175"/>
      <c r="BB112" s="738"/>
      <c r="BC112" s="738"/>
      <c r="BD112" s="746"/>
      <c r="BE112" s="738"/>
      <c r="BF112" s="738"/>
      <c r="BG112" s="738"/>
      <c r="BH112" s="738"/>
      <c r="BI112" s="738" t="str">
        <f ca="1">IFERROR(CONCATENATE(BJ103,BJ104,BJ105,BJ106,BJ107,BJ108,BJ109,BJ110),"¿A/B/C/D/E/F/G/H/I/J/K/L?")</f>
        <v>ACDEFGHK</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82</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e" cm="1" vm="34">
        <f t="array" aca="1" ref="AK113" ca="1">Ver_flag_visit</f>
        <v>#VALUE!</v>
      </c>
      <c r="AL113" s="236" t="str">
        <f t="shared" ca="1" si="310"/>
        <v>Senegal</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1</v>
      </c>
      <c r="AS113" s="238">
        <f t="shared" ca="1" si="328"/>
        <v>3</v>
      </c>
      <c r="AT113" s="239">
        <f t="shared" ca="1" si="328"/>
        <v>-2</v>
      </c>
      <c r="AU113" s="420" t="str">
        <f t="shared" ca="1" si="312"/>
        <v/>
      </c>
      <c r="AV113" s="217" t="str">
        <f t="shared" ca="1" si="313"/>
        <v>Senegal</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3H</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3G</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3E</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3C</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3D</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23</v>
      </c>
      <c r="T1" s="87"/>
      <c r="U1" s="65"/>
      <c r="V1" s="87">
        <f ca="1">+IFERROR(RANK(V2,OFFSET($S$2,0,0,1,$D$5*3),0),"-")</f>
        <v>20</v>
      </c>
      <c r="W1" s="87"/>
      <c r="X1" s="65"/>
      <c r="Y1" s="87">
        <f ca="1">+IFERROR(RANK(Y2,OFFSET($S$2,0,0,1,$D$5*3),0),"-")</f>
        <v>6</v>
      </c>
      <c r="Z1" s="87"/>
      <c r="AA1" s="65"/>
      <c r="AB1" s="87">
        <f ca="1">+IFERROR(RANK(AB2,OFFSET($S$2,0,0,1,$D$5*3),0),"-")</f>
        <v>7</v>
      </c>
      <c r="AC1" s="87"/>
      <c r="AD1" s="65"/>
      <c r="AE1" s="87">
        <f ca="1">+IFERROR(RANK(AE2,OFFSET($S$2,0,0,1,$D$5*3),0),"-")</f>
        <v>31</v>
      </c>
      <c r="AF1" s="87"/>
      <c r="AG1" s="65"/>
      <c r="AH1" s="87">
        <f ca="1">+IFERROR(RANK(AH2,OFFSET($S$2,0,0,1,$D$5*3),0),"-")</f>
        <v>13</v>
      </c>
      <c r="AI1" s="87"/>
      <c r="AJ1" s="65"/>
      <c r="AK1" s="87">
        <f ca="1">+IFERROR(RANK(AK2,OFFSET($S$2,0,0,1,$D$5*3),0),"-")</f>
        <v>38</v>
      </c>
      <c r="AL1" s="87"/>
      <c r="AM1" s="65"/>
      <c r="AN1" s="87">
        <f ca="1">+IFERROR(RANK(AN2,OFFSET($S$2,0,0,1,$D$5*3),0),"-")</f>
        <v>18</v>
      </c>
      <c r="AO1" s="87"/>
      <c r="AP1" s="65"/>
      <c r="AQ1" s="87">
        <f ca="1">+IFERROR(RANK(AQ2,OFFSET($S$2,0,0,1,$D$5*3),0),"-")</f>
        <v>1</v>
      </c>
      <c r="AR1" s="87"/>
      <c r="AS1" s="65"/>
      <c r="AT1" s="87">
        <f ca="1">+IFERROR(RANK(AT2,OFFSET($S$2,0,0,1,$D$5*3),0),"-")</f>
        <v>33</v>
      </c>
      <c r="AU1" s="87"/>
      <c r="AV1" s="65"/>
      <c r="AW1" s="87">
        <f ca="1">+IFERROR(RANK(AW2,OFFSET($S$2,0,0,1,$D$5*3),0),"-")</f>
        <v>34</v>
      </c>
      <c r="AX1" s="87"/>
      <c r="AY1" s="65"/>
      <c r="AZ1" s="87">
        <f ca="1">+IFERROR(RANK(AZ2,OFFSET($S$2,0,0,1,$D$5*3),0),"-")</f>
        <v>24</v>
      </c>
      <c r="BA1" s="87"/>
      <c r="BB1" s="65"/>
      <c r="BC1" s="87">
        <f ca="1">+IFERROR(RANK(BC2,OFFSET($S$2,0,0,1,$D$5*3),0),"-")</f>
        <v>29</v>
      </c>
      <c r="BD1" s="87"/>
      <c r="BE1" s="65"/>
      <c r="BF1" s="87">
        <f ca="1">+IFERROR(RANK(BF2,OFFSET($S$2,0,0,1,$D$5*3),0),"-")</f>
        <v>8</v>
      </c>
      <c r="BG1" s="87"/>
      <c r="BH1" s="65"/>
      <c r="BI1" s="87">
        <f ca="1">+IFERROR(RANK(BI2,OFFSET($S$2,0,0,1,$D$5*3),0),"-")</f>
        <v>9</v>
      </c>
      <c r="BJ1" s="87"/>
      <c r="BK1" s="65"/>
      <c r="BL1" s="87">
        <f ca="1">+IFERROR(RANK(BL2,OFFSET($S$2,0,0,1,$D$5*3),0),"-")</f>
        <v>14</v>
      </c>
      <c r="BM1" s="87"/>
      <c r="BN1" s="65"/>
      <c r="BO1" s="87">
        <f ca="1">+IFERROR(RANK(BO2,OFFSET($S$2,0,0,1,$D$5*3),0),"-")</f>
        <v>12</v>
      </c>
      <c r="BP1" s="87"/>
      <c r="BQ1" s="65"/>
      <c r="BR1" s="87">
        <f ca="1">+IFERROR(RANK(BR2,OFFSET($S$2,0,0,1,$D$5*3),0),"-")</f>
        <v>4</v>
      </c>
      <c r="BS1" s="87"/>
      <c r="BT1" s="65"/>
      <c r="BU1" s="87">
        <f ca="1">+IFERROR(RANK(BU2,OFFSET($S$2,0,0,1,$D$5*3),0),"-")</f>
        <v>39</v>
      </c>
      <c r="BV1" s="87"/>
      <c r="BW1" s="65"/>
      <c r="BX1" s="87">
        <f ca="1">+IFERROR(RANK(BX2,OFFSET($S$2,0,0,1,$D$5*3),0),"-")</f>
        <v>25</v>
      </c>
      <c r="BY1" s="87"/>
      <c r="BZ1" s="65"/>
      <c r="CA1" s="87">
        <f ca="1">+IFERROR(RANK(CA2,OFFSET($S$2,0,0,1,$D$5*3),0),"-")</f>
        <v>32</v>
      </c>
      <c r="CB1" s="87"/>
      <c r="CC1" s="65"/>
      <c r="CD1" s="87">
        <f ca="1">+IFERROR(RANK(CD2,OFFSET($S$2,0,0,1,$D$5*3),0),"-")</f>
        <v>3</v>
      </c>
      <c r="CE1" s="87"/>
      <c r="CF1" s="65"/>
      <c r="CG1" s="87">
        <f ca="1">+IFERROR(RANK(CG2,OFFSET($S$2,0,0,1,$D$5*3),0),"-")</f>
        <v>36</v>
      </c>
      <c r="CH1" s="87"/>
      <c r="CI1" s="65"/>
      <c r="CJ1" s="87">
        <f ca="1">+IFERROR(RANK(CJ2,OFFSET($S$2,0,0,1,$D$5*3),0),"-")</f>
        <v>5</v>
      </c>
      <c r="CK1" s="87"/>
      <c r="CL1" s="65"/>
      <c r="CM1" s="87">
        <f ca="1">+IFERROR(RANK(CM2,OFFSET($S$2,0,0,1,$D$5*3),0),"-")</f>
        <v>26</v>
      </c>
      <c r="CN1" s="87"/>
      <c r="CO1" s="65"/>
      <c r="CP1" s="87">
        <f ca="1">+IFERROR(RANK(CP2,OFFSET($S$2,0,0,1,$D$5*3),0),"-")</f>
        <v>21</v>
      </c>
      <c r="CQ1" s="87"/>
      <c r="CR1" s="65"/>
      <c r="CS1" s="87">
        <f ca="1">+IFERROR(RANK(CS2,OFFSET($S$2,0,0,1,$D$5*3),0),"-")</f>
        <v>30</v>
      </c>
      <c r="CT1" s="87"/>
      <c r="CU1" s="65"/>
      <c r="CV1" s="87">
        <f ca="1">+IFERROR(RANK(CV2,OFFSET($S$2,0,0,1,$D$5*3),0),"-")</f>
        <v>10</v>
      </c>
      <c r="CW1" s="87"/>
      <c r="CX1" s="65"/>
      <c r="CY1" s="87">
        <f ca="1">+IFERROR(RANK(CY2,OFFSET($S$2,0,0,1,$D$5*3),0),"-")</f>
        <v>27</v>
      </c>
      <c r="CZ1" s="87"/>
      <c r="DA1" s="65"/>
      <c r="DB1" s="87">
        <f ca="1">+IFERROR(RANK(DB2,OFFSET($S$2,0,0,1,$D$5*3),0),"-")</f>
        <v>15</v>
      </c>
      <c r="DC1" s="87"/>
      <c r="DD1" s="65"/>
      <c r="DE1" s="87">
        <f ca="1">+IFERROR(RANK(DE2,OFFSET($S$2,0,0,1,$D$5*3),0),"-")</f>
        <v>28</v>
      </c>
      <c r="DF1" s="87"/>
      <c r="DG1" s="65"/>
      <c r="DH1" s="87">
        <f ca="1">+IFERROR(RANK(DH2,OFFSET($S$2,0,0,1,$D$5*3),0),"-")</f>
        <v>22</v>
      </c>
      <c r="DI1" s="87"/>
      <c r="DJ1" s="65"/>
      <c r="DK1" s="87">
        <f ca="1">+IFERROR(RANK(DK2,OFFSET($S$2,0,0,1,$D$5*3),0),"-")</f>
        <v>11</v>
      </c>
      <c r="DL1" s="87"/>
      <c r="DM1" s="65"/>
      <c r="DN1" s="87">
        <f ca="1">+IFERROR(RANK(DN2,OFFSET($S$2,0,0,1,$D$5*3),0),"-")</f>
        <v>37</v>
      </c>
      <c r="DO1" s="87"/>
      <c r="DP1" s="65"/>
      <c r="DQ1" s="87">
        <f ca="1">+IFERROR(RANK(DQ2,OFFSET($S$2,0,0,1,$D$5*3),0),"-")</f>
        <v>41</v>
      </c>
      <c r="DR1" s="87"/>
      <c r="DS1" s="65"/>
      <c r="DT1" s="87">
        <f ca="1">+IFERROR(RANK(DT2,OFFSET($S$2,0,0,1,$D$5*3),0),"-")</f>
        <v>17</v>
      </c>
      <c r="DU1" s="87"/>
      <c r="DV1" s="65"/>
      <c r="DW1" s="87">
        <f ca="1">+IFERROR(RANK(DW2,OFFSET($S$2,0,0,1,$D$5*3),0),"-")</f>
        <v>2</v>
      </c>
      <c r="DX1" s="87"/>
      <c r="DY1" s="65"/>
      <c r="DZ1" s="87">
        <f ca="1">+IFERROR(RANK(DZ2,OFFSET($S$2,0,0,1,$D$5*3),0),"-")</f>
        <v>40</v>
      </c>
      <c r="EA1" s="87"/>
      <c r="EB1" s="65"/>
      <c r="EC1" s="87">
        <f ca="1">+IFERROR(RANK(EC2,OFFSET($S$2,0,0,1,$D$5*3),0),"-")</f>
        <v>19</v>
      </c>
      <c r="ED1" s="87"/>
      <c r="EE1" s="65"/>
      <c r="EF1" s="87">
        <f ca="1">+IFERROR(RANK(EF2,OFFSET($S$2,0,0,1,$D$5*3),0),"-")</f>
        <v>35</v>
      </c>
      <c r="EG1" s="87"/>
      <c r="EH1" s="65"/>
      <c r="EI1" s="87">
        <f ca="1">+IFERROR(RANK(EI2,OFFSET($S$2,0,0,1,$D$5*3),0),"-")</f>
        <v>16</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35.998100000000001</v>
      </c>
      <c r="T2" s="87"/>
      <c r="U2" s="65"/>
      <c r="V2" s="87">
        <f t="shared" ref="V2" ca="1" si="0">V4-(COLUMN()/10000)</f>
        <v>36.997799999999998</v>
      </c>
      <c r="W2" s="87"/>
      <c r="X2" s="65"/>
      <c r="Y2" s="87">
        <f t="shared" ref="Y2" ca="1" si="1">Y4-(COLUMN()/10000)</f>
        <v>44.997500000000002</v>
      </c>
      <c r="Z2" s="87"/>
      <c r="AA2" s="65"/>
      <c r="AB2" s="87">
        <f t="shared" ref="AB2" ca="1" si="2">AB4-(COLUMN()/10000)</f>
        <v>44.997199999999999</v>
      </c>
      <c r="AC2" s="87"/>
      <c r="AD2" s="65"/>
      <c r="AE2" s="87">
        <f t="shared" ref="AE2" ca="1" si="3">AE4-(COLUMN()/10000)</f>
        <v>32.996899999999997</v>
      </c>
      <c r="AF2" s="87"/>
      <c r="AG2" s="65"/>
      <c r="AH2" s="87">
        <f t="shared" ref="AH2" ca="1" si="4">AH4-(COLUMN()/10000)</f>
        <v>41.996600000000001</v>
      </c>
      <c r="AI2" s="87"/>
      <c r="AJ2" s="65"/>
      <c r="AK2" s="87">
        <f t="shared" ref="AK2" ca="1" si="5">AK4-(COLUMN()/10000)</f>
        <v>28.996300000000002</v>
      </c>
      <c r="AL2" s="87"/>
      <c r="AM2" s="65"/>
      <c r="AN2" s="87">
        <f t="shared" ref="AN2" ca="1" si="6">AN4-(COLUMN()/10000)</f>
        <v>37.996000000000002</v>
      </c>
      <c r="AO2" s="87"/>
      <c r="AP2" s="65"/>
      <c r="AQ2" s="87">
        <f t="shared" ref="AQ2" ca="1" si="7">AQ4-(COLUMN()/10000)</f>
        <v>59.995699999999999</v>
      </c>
      <c r="AR2" s="87"/>
      <c r="AS2" s="65"/>
      <c r="AT2" s="87">
        <f t="shared" ref="AT2" ca="1" si="8">AT4-(COLUMN()/10000)</f>
        <v>31.9954</v>
      </c>
      <c r="AU2" s="87"/>
      <c r="AV2" s="65"/>
      <c r="AW2" s="87">
        <f t="shared" ref="AW2" ca="1" si="9">AW4-(COLUMN()/10000)</f>
        <v>31.995100000000001</v>
      </c>
      <c r="AX2" s="87"/>
      <c r="AY2" s="65"/>
      <c r="AZ2" s="87">
        <f t="shared" ref="AZ2" ca="1" si="10">AZ4-(COLUMN()/10000)</f>
        <v>35.994799999999998</v>
      </c>
      <c r="BA2" s="87"/>
      <c r="BB2" s="65"/>
      <c r="BC2" s="87">
        <f t="shared" ref="BC2" ca="1" si="11">BC4-(COLUMN()/10000)</f>
        <v>33.994500000000002</v>
      </c>
      <c r="BD2" s="87"/>
      <c r="BE2" s="65"/>
      <c r="BF2" s="87">
        <f t="shared" ref="BF2" ca="1" si="12">BF4-(COLUMN()/10000)</f>
        <v>44.994199999999999</v>
      </c>
      <c r="BG2" s="87"/>
      <c r="BH2" s="65"/>
      <c r="BI2" s="87">
        <f t="shared" ref="BI2" ca="1" si="13">BI4-(COLUMN()/10000)</f>
        <v>44.993899999999996</v>
      </c>
      <c r="BJ2" s="87"/>
      <c r="BK2" s="65"/>
      <c r="BL2" s="87">
        <f t="shared" ref="BL2" ca="1" si="14">BL4-(COLUMN()/10000)</f>
        <v>41.993600000000001</v>
      </c>
      <c r="BM2" s="87"/>
      <c r="BN2" s="65"/>
      <c r="BO2" s="87">
        <f t="shared" ref="BO2" ca="1" si="15">BO4-(COLUMN()/10000)</f>
        <v>42.993299999999998</v>
      </c>
      <c r="BP2" s="87"/>
      <c r="BQ2" s="65"/>
      <c r="BR2" s="87">
        <f t="shared" ref="BR2" ca="1" si="16">BR4-(COLUMN()/10000)</f>
        <v>45.993000000000002</v>
      </c>
      <c r="BS2" s="87"/>
      <c r="BT2" s="65"/>
      <c r="BU2" s="87">
        <f t="shared" ref="BU2" ca="1" si="17">BU4-(COLUMN()/10000)</f>
        <v>28.992699999999999</v>
      </c>
      <c r="BV2" s="87"/>
      <c r="BW2" s="65"/>
      <c r="BX2" s="87">
        <f t="shared" ref="BX2" ca="1" si="18">BX4-(COLUMN()/10000)</f>
        <v>34.992400000000004</v>
      </c>
      <c r="BY2" s="87"/>
      <c r="BZ2" s="65"/>
      <c r="CA2" s="87">
        <f t="shared" ref="CA2" ca="1" si="19">CA4-(COLUMN()/10000)</f>
        <v>32.992100000000001</v>
      </c>
      <c r="CB2" s="87"/>
      <c r="CC2" s="65"/>
      <c r="CD2" s="87">
        <f t="shared" ref="CD2" ca="1" si="20">CD4-(COLUMN()/10000)</f>
        <v>47.991799999999998</v>
      </c>
      <c r="CE2" s="87"/>
      <c r="CF2" s="65"/>
      <c r="CG2" s="87">
        <f t="shared" ref="CG2" ca="1" si="21">CG4-(COLUMN()/10000)</f>
        <v>30.991499999999998</v>
      </c>
      <c r="CH2" s="87"/>
      <c r="CI2" s="65"/>
      <c r="CJ2" s="87">
        <f t="shared" ref="CJ2" ca="1" si="22">CJ4-(COLUMN()/10000)</f>
        <v>45.991199999999999</v>
      </c>
      <c r="CK2" s="87"/>
      <c r="CL2" s="65"/>
      <c r="CM2" s="87">
        <f t="shared" ref="CM2" ca="1" si="23">CM4-(COLUMN()/10000)</f>
        <v>34.990900000000003</v>
      </c>
      <c r="CN2" s="87"/>
      <c r="CO2" s="65"/>
      <c r="CP2" s="87">
        <f t="shared" ref="CP2" ca="1" si="24">CP4-(COLUMN()/10000)</f>
        <v>36.990600000000001</v>
      </c>
      <c r="CQ2" s="87"/>
      <c r="CR2" s="65"/>
      <c r="CS2" s="87">
        <f t="shared" ref="CS2" ca="1" si="25">CS4-(COLUMN()/10000)</f>
        <v>33.990299999999998</v>
      </c>
      <c r="CT2" s="87"/>
      <c r="CU2" s="65"/>
      <c r="CV2" s="87">
        <f t="shared" ref="CV2" ca="1" si="26">CV4-(COLUMN()/10000)</f>
        <v>43.99</v>
      </c>
      <c r="CW2" s="87"/>
      <c r="CX2" s="65"/>
      <c r="CY2" s="87">
        <f t="shared" ref="CY2" ca="1" si="27">CY4-(COLUMN()/10000)</f>
        <v>34.989699999999999</v>
      </c>
      <c r="CZ2" s="87"/>
      <c r="DA2" s="65"/>
      <c r="DB2" s="87">
        <f t="shared" ref="DB2" ca="1" si="28">DB4-(COLUMN()/10000)</f>
        <v>40.989400000000003</v>
      </c>
      <c r="DC2" s="87"/>
      <c r="DD2" s="65"/>
      <c r="DE2" s="87">
        <f t="shared" ref="DE2" ca="1" si="29">DE4-(COLUMN()/10000)</f>
        <v>34.989100000000001</v>
      </c>
      <c r="DF2" s="87"/>
      <c r="DG2" s="65"/>
      <c r="DH2" s="87">
        <f t="shared" ref="DH2" ca="1" si="30">DH4-(COLUMN()/10000)</f>
        <v>36.988799999999998</v>
      </c>
      <c r="DI2" s="87"/>
      <c r="DJ2" s="65"/>
      <c r="DK2" s="87">
        <f t="shared" ref="DK2" ca="1" si="31">DK4-(COLUMN()/10000)</f>
        <v>43.988500000000002</v>
      </c>
      <c r="DL2" s="87"/>
      <c r="DM2" s="65"/>
      <c r="DN2" s="87">
        <f t="shared" ref="DN2" ca="1" si="32">DN4-(COLUMN()/10000)</f>
        <v>29.988199999999999</v>
      </c>
      <c r="DO2" s="87"/>
      <c r="DP2" s="65"/>
      <c r="DQ2" s="87">
        <f t="shared" ref="DQ2" ca="1" si="33">DQ4-(COLUMN()/10000)</f>
        <v>21.9879</v>
      </c>
      <c r="DR2" s="87"/>
      <c r="DS2" s="65"/>
      <c r="DT2" s="87">
        <f t="shared" ref="DT2" ca="1" si="34">DT4-(COLUMN()/10000)</f>
        <v>39.9876</v>
      </c>
      <c r="DU2" s="87"/>
      <c r="DV2" s="65"/>
      <c r="DW2" s="87">
        <f t="shared" ref="DW2" ca="1" si="35">DW4-(COLUMN()/10000)</f>
        <v>54.987299999999998</v>
      </c>
      <c r="DX2" s="87"/>
      <c r="DY2" s="65"/>
      <c r="DZ2" s="87">
        <f t="shared" ref="DZ2" ca="1" si="36">DZ4-(COLUMN()/10000)</f>
        <v>28.986999999999998</v>
      </c>
      <c r="EA2" s="87"/>
      <c r="EB2" s="65"/>
      <c r="EC2" s="87">
        <f t="shared" ref="EC2" ca="1" si="37">EC4-(COLUMN()/10000)</f>
        <v>37.986699999999999</v>
      </c>
      <c r="ED2" s="87"/>
      <c r="EE2" s="65"/>
      <c r="EF2" s="87">
        <f t="shared" ref="EF2" ca="1" si="38">EF4-(COLUMN()/10000)</f>
        <v>31.9864</v>
      </c>
      <c r="EG2" s="87"/>
      <c r="EH2" s="65"/>
      <c r="EI2" s="87">
        <f t="shared" ref="EI2" ca="1" si="39">EI4-(COLUMN()/10000)</f>
        <v>40.9861</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23</v>
      </c>
      <c r="T3" s="87"/>
      <c r="U3" s="65"/>
      <c r="V3" s="87">
        <f ca="1">RANK(V4,OFFSET($S$4,0,0,1,$D$5*3),0)</f>
        <v>20</v>
      </c>
      <c r="W3" s="87"/>
      <c r="X3" s="65"/>
      <c r="Y3" s="87">
        <f ca="1">RANK(Y4,OFFSET($S$4,0,0,1,$D$5*3),0)</f>
        <v>6</v>
      </c>
      <c r="Z3" s="87"/>
      <c r="AA3" s="65"/>
      <c r="AB3" s="87">
        <f ca="1">RANK(AB4,OFFSET($S$4,0,0,1,$D$5*3),0)</f>
        <v>6</v>
      </c>
      <c r="AC3" s="87"/>
      <c r="AD3" s="65"/>
      <c r="AE3" s="87">
        <f ca="1">RANK(AE4,OFFSET($S$4,0,0,1,$D$5*3),0)</f>
        <v>31</v>
      </c>
      <c r="AF3" s="87"/>
      <c r="AG3" s="65"/>
      <c r="AH3" s="87">
        <f ca="1">RANK(AH4,OFFSET($S$4,0,0,1,$D$5*3),0)</f>
        <v>13</v>
      </c>
      <c r="AI3" s="87"/>
      <c r="AJ3" s="65"/>
      <c r="AK3" s="87">
        <f ca="1">RANK(AK4,OFFSET($S$4,0,0,1,$D$5*3),0)</f>
        <v>38</v>
      </c>
      <c r="AL3" s="87"/>
      <c r="AM3" s="65"/>
      <c r="AN3" s="87">
        <f ca="1">RANK(AN4,OFFSET($S$4,0,0,1,$D$5*3),0)</f>
        <v>18</v>
      </c>
      <c r="AO3" s="87"/>
      <c r="AP3" s="65"/>
      <c r="AQ3" s="87">
        <f ca="1">RANK(AQ4,OFFSET($S$4,0,0,1,$D$5*3),0)</f>
        <v>1</v>
      </c>
      <c r="AR3" s="87"/>
      <c r="AS3" s="65"/>
      <c r="AT3" s="87">
        <f ca="1">RANK(AT4,OFFSET($S$4,0,0,1,$D$5*3),0)</f>
        <v>33</v>
      </c>
      <c r="AU3" s="87"/>
      <c r="AV3" s="65"/>
      <c r="AW3" s="87">
        <f ca="1">RANK(AW4,OFFSET($S$4,0,0,1,$D$5*3),0)</f>
        <v>33</v>
      </c>
      <c r="AX3" s="87"/>
      <c r="AY3" s="65"/>
      <c r="AZ3" s="87">
        <f ca="1">RANK(AZ4,OFFSET($S$4,0,0,1,$D$5*3),0)</f>
        <v>23</v>
      </c>
      <c r="BA3" s="87"/>
      <c r="BB3" s="65"/>
      <c r="BC3" s="87">
        <f ca="1">RANK(BC4,OFFSET($S$4,0,0,1,$D$5*3),0)</f>
        <v>29</v>
      </c>
      <c r="BD3" s="87"/>
      <c r="BE3" s="65"/>
      <c r="BF3" s="87">
        <f ca="1">RANK(BF4,OFFSET($S$4,0,0,1,$D$5*3),0)</f>
        <v>6</v>
      </c>
      <c r="BG3" s="87"/>
      <c r="BH3" s="65"/>
      <c r="BI3" s="87">
        <f ca="1">RANK(BI4,OFFSET($S$4,0,0,1,$D$5*3),0)</f>
        <v>6</v>
      </c>
      <c r="BJ3" s="87"/>
      <c r="BK3" s="65"/>
      <c r="BL3" s="87">
        <f ca="1">RANK(BL4,OFFSET($S$4,0,0,1,$D$5*3),0)</f>
        <v>13</v>
      </c>
      <c r="BM3" s="87"/>
      <c r="BN3" s="65"/>
      <c r="BO3" s="87">
        <f ca="1">RANK(BO4,OFFSET($S$4,0,0,1,$D$5*3),0)</f>
        <v>12</v>
      </c>
      <c r="BP3" s="87"/>
      <c r="BQ3" s="65"/>
      <c r="BR3" s="87">
        <f ca="1">RANK(BR4,OFFSET($S$4,0,0,1,$D$5*3),0)</f>
        <v>4</v>
      </c>
      <c r="BS3" s="87"/>
      <c r="BT3" s="65"/>
      <c r="BU3" s="87">
        <f ca="1">RANK(BU4,OFFSET($S$4,0,0,1,$D$5*3),0)</f>
        <v>38</v>
      </c>
      <c r="BV3" s="87"/>
      <c r="BW3" s="65"/>
      <c r="BX3" s="87">
        <f ca="1">RANK(BX4,OFFSET($S$4,0,0,1,$D$5*3),0)</f>
        <v>25</v>
      </c>
      <c r="BY3" s="87"/>
      <c r="BZ3" s="65"/>
      <c r="CA3" s="87">
        <f ca="1">RANK(CA4,OFFSET($S$4,0,0,1,$D$5*3),0)</f>
        <v>31</v>
      </c>
      <c r="CB3" s="87"/>
      <c r="CC3" s="65"/>
      <c r="CD3" s="87">
        <f ca="1">RANK(CD4,OFFSET($S$4,0,0,1,$D$5*3),0)</f>
        <v>3</v>
      </c>
      <c r="CE3" s="87"/>
      <c r="CF3" s="65"/>
      <c r="CG3" s="87">
        <f ca="1">RANK(CG4,OFFSET($S$4,0,0,1,$D$5*3),0)</f>
        <v>36</v>
      </c>
      <c r="CH3" s="87"/>
      <c r="CI3" s="65"/>
      <c r="CJ3" s="87">
        <f ca="1">RANK(CJ4,OFFSET($S$4,0,0,1,$D$5*3),0)</f>
        <v>4</v>
      </c>
      <c r="CK3" s="87"/>
      <c r="CL3" s="65"/>
      <c r="CM3" s="87">
        <f ca="1">RANK(CM4,OFFSET($S$4,0,0,1,$D$5*3),0)</f>
        <v>25</v>
      </c>
      <c r="CN3" s="87"/>
      <c r="CO3" s="65"/>
      <c r="CP3" s="87">
        <f ca="1">RANK(CP4,OFFSET($S$4,0,0,1,$D$5*3),0)</f>
        <v>20</v>
      </c>
      <c r="CQ3" s="87"/>
      <c r="CR3" s="65"/>
      <c r="CS3" s="87">
        <f ca="1">RANK(CS4,OFFSET($S$4,0,0,1,$D$5*3),0)</f>
        <v>29</v>
      </c>
      <c r="CT3" s="87"/>
      <c r="CU3" s="65"/>
      <c r="CV3" s="87">
        <f ca="1">RANK(CV4,OFFSET($S$4,0,0,1,$D$5*3),0)</f>
        <v>10</v>
      </c>
      <c r="CW3" s="87"/>
      <c r="CX3" s="65"/>
      <c r="CY3" s="87">
        <f ca="1">RANK(CY4,OFFSET($S$4,0,0,1,$D$5*3),0)</f>
        <v>25</v>
      </c>
      <c r="CZ3" s="87"/>
      <c r="DA3" s="65"/>
      <c r="DB3" s="87">
        <f ca="1">RANK(DB4,OFFSET($S$4,0,0,1,$D$5*3),0)</f>
        <v>15</v>
      </c>
      <c r="DC3" s="87"/>
      <c r="DD3" s="65"/>
      <c r="DE3" s="87">
        <f ca="1">RANK(DE4,OFFSET($S$4,0,0,1,$D$5*3),0)</f>
        <v>25</v>
      </c>
      <c r="DF3" s="87"/>
      <c r="DG3" s="65"/>
      <c r="DH3" s="87">
        <f ca="1">RANK(DH4,OFFSET($S$4,0,0,1,$D$5*3),0)</f>
        <v>20</v>
      </c>
      <c r="DI3" s="87"/>
      <c r="DJ3" s="65"/>
      <c r="DK3" s="87">
        <f ca="1">RANK(DK4,OFFSET($S$4,0,0,1,$D$5*3),0)</f>
        <v>10</v>
      </c>
      <c r="DL3" s="87"/>
      <c r="DM3" s="65"/>
      <c r="DN3" s="87">
        <f ca="1">RANK(DN4,OFFSET($S$4,0,0,1,$D$5*3),0)</f>
        <v>37</v>
      </c>
      <c r="DO3" s="87"/>
      <c r="DP3" s="65"/>
      <c r="DQ3" s="87">
        <f ca="1">RANK(DQ4,OFFSET($S$4,0,0,1,$D$5*3),0)</f>
        <v>41</v>
      </c>
      <c r="DR3" s="87"/>
      <c r="DS3" s="65"/>
      <c r="DT3" s="87">
        <f ca="1">RANK(DT4,OFFSET($S$4,0,0,1,$D$5*3),0)</f>
        <v>17</v>
      </c>
      <c r="DU3" s="87"/>
      <c r="DV3" s="65"/>
      <c r="DW3" s="87">
        <f ca="1">RANK(DW4,OFFSET($S$4,0,0,1,$D$5*3),0)</f>
        <v>2</v>
      </c>
      <c r="DX3" s="87"/>
      <c r="DY3" s="65"/>
      <c r="DZ3" s="87">
        <f ca="1">RANK(DZ4,OFFSET($S$4,0,0,1,$D$5*3),0)</f>
        <v>38</v>
      </c>
      <c r="EA3" s="87"/>
      <c r="EB3" s="65"/>
      <c r="EC3" s="87">
        <f ca="1">RANK(EC4,OFFSET($S$4,0,0,1,$D$5*3),0)</f>
        <v>18</v>
      </c>
      <c r="ED3" s="87"/>
      <c r="EE3" s="65"/>
      <c r="EF3" s="87">
        <f ca="1">RANK(EF4,OFFSET($S$4,0,0,1,$D$5*3),0)</f>
        <v>33</v>
      </c>
      <c r="EG3" s="87"/>
      <c r="EH3" s="65"/>
      <c r="EI3" s="87">
        <f ca="1">RANK(EI4,OFFSET($S$4,0,0,1,$D$5*3),0)</f>
        <v>15</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36</v>
      </c>
      <c r="T4" s="68"/>
      <c r="U4" s="65"/>
      <c r="V4" s="67">
        <f ca="1">SUM(W6:W259)/2</f>
        <v>37</v>
      </c>
      <c r="W4" s="68"/>
      <c r="X4" s="65"/>
      <c r="Y4" s="67">
        <f ca="1">SUM(Z6:Z259)/2</f>
        <v>45</v>
      </c>
      <c r="Z4" s="68"/>
      <c r="AA4" s="65"/>
      <c r="AB4" s="67">
        <f ca="1">SUM(AC6:AC259)/2</f>
        <v>45</v>
      </c>
      <c r="AC4" s="68"/>
      <c r="AD4" s="65"/>
      <c r="AE4" s="67">
        <f ca="1">SUM(AF6:AF259)/2</f>
        <v>33</v>
      </c>
      <c r="AF4" s="68"/>
      <c r="AG4" s="65"/>
      <c r="AH4" s="67">
        <f ca="1">SUM(AI6:AI259)/2</f>
        <v>42</v>
      </c>
      <c r="AI4" s="68"/>
      <c r="AJ4" s="65"/>
      <c r="AK4" s="67">
        <f ca="1">SUM(AL6:AL259)/2</f>
        <v>29</v>
      </c>
      <c r="AL4" s="68"/>
      <c r="AM4" s="65"/>
      <c r="AN4" s="67">
        <f ca="1">SUM(AO6:AO259)/2</f>
        <v>38</v>
      </c>
      <c r="AO4" s="68"/>
      <c r="AP4" s="65"/>
      <c r="AQ4" s="67">
        <f ca="1">SUM(AR6:AR259)/2</f>
        <v>60</v>
      </c>
      <c r="AR4" s="68"/>
      <c r="AS4" s="65"/>
      <c r="AT4" s="67">
        <f ca="1">SUM(AU6:AU259)/2</f>
        <v>32</v>
      </c>
      <c r="AU4" s="68"/>
      <c r="AV4" s="65"/>
      <c r="AW4" s="67">
        <f ca="1">SUM(AX6:AX259)/2</f>
        <v>32</v>
      </c>
      <c r="AX4" s="68"/>
      <c r="AY4" s="65"/>
      <c r="AZ4" s="67">
        <f ca="1">SUM(BA6:BA259)/2</f>
        <v>36</v>
      </c>
      <c r="BA4" s="68"/>
      <c r="BB4" s="65"/>
      <c r="BC4" s="67">
        <f ca="1">SUM(BD6:BD259)/2</f>
        <v>34</v>
      </c>
      <c r="BD4" s="68"/>
      <c r="BE4" s="65"/>
      <c r="BF4" s="67">
        <f ca="1">SUM(BG6:BG259)/2</f>
        <v>45</v>
      </c>
      <c r="BG4" s="68"/>
      <c r="BH4" s="65"/>
      <c r="BI4" s="67">
        <f ca="1">SUM(BJ6:BJ259)/2</f>
        <v>45</v>
      </c>
      <c r="BJ4" s="68"/>
      <c r="BK4" s="65"/>
      <c r="BL4" s="67">
        <f ca="1">SUM(BM6:BM259)/2</f>
        <v>42</v>
      </c>
      <c r="BM4" s="68"/>
      <c r="BN4" s="65"/>
      <c r="BO4" s="67">
        <f ca="1">SUM(BP6:BP259)/2</f>
        <v>43</v>
      </c>
      <c r="BP4" s="68"/>
      <c r="BQ4" s="65"/>
      <c r="BR4" s="67">
        <f ca="1">SUM(BS6:BS259)/2</f>
        <v>46</v>
      </c>
      <c r="BS4" s="68"/>
      <c r="BT4" s="65"/>
      <c r="BU4" s="67">
        <f ca="1">SUM(BV6:BV259)/2</f>
        <v>29</v>
      </c>
      <c r="BV4" s="68"/>
      <c r="BW4" s="65"/>
      <c r="BX4" s="67">
        <f ca="1">SUM(BY6:BY259)/2</f>
        <v>35</v>
      </c>
      <c r="BY4" s="68"/>
      <c r="BZ4" s="65"/>
      <c r="CA4" s="67">
        <f ca="1">SUM(CB6:CB259)/2</f>
        <v>33</v>
      </c>
      <c r="CB4" s="68"/>
      <c r="CC4" s="65"/>
      <c r="CD4" s="67">
        <f ca="1">SUM(CE6:CE259)/2</f>
        <v>48</v>
      </c>
      <c r="CE4" s="68"/>
      <c r="CF4" s="65"/>
      <c r="CG4" s="67">
        <f ca="1">SUM(CH6:CH259)/2</f>
        <v>31</v>
      </c>
      <c r="CH4" s="68"/>
      <c r="CI4" s="65"/>
      <c r="CJ4" s="67">
        <f ca="1">SUM(CK6:CK259)/2</f>
        <v>46</v>
      </c>
      <c r="CK4" s="68"/>
      <c r="CL4" s="65"/>
      <c r="CM4" s="67">
        <f ca="1">SUM(CN6:CN259)/2</f>
        <v>35</v>
      </c>
      <c r="CN4" s="68"/>
      <c r="CO4" s="65"/>
      <c r="CP4" s="67">
        <f ca="1">SUM(CQ6:CQ259)/2</f>
        <v>37</v>
      </c>
      <c r="CQ4" s="68"/>
      <c r="CR4" s="65"/>
      <c r="CS4" s="67">
        <f ca="1">SUM(CT6:CT259)/2</f>
        <v>34</v>
      </c>
      <c r="CT4" s="68"/>
      <c r="CU4" s="65"/>
      <c r="CV4" s="67">
        <f ca="1">SUM(CW6:CW259)/2</f>
        <v>44</v>
      </c>
      <c r="CW4" s="68"/>
      <c r="CX4" s="65"/>
      <c r="CY4" s="67">
        <f ca="1">SUM(CZ6:CZ259)/2</f>
        <v>35</v>
      </c>
      <c r="CZ4" s="68"/>
      <c r="DA4" s="65"/>
      <c r="DB4" s="67">
        <f ca="1">SUM(DC6:DC259)/2</f>
        <v>41</v>
      </c>
      <c r="DC4" s="68"/>
      <c r="DD4" s="65"/>
      <c r="DE4" s="67">
        <f ca="1">SUM(DF6:DF259)/2</f>
        <v>35</v>
      </c>
      <c r="DF4" s="68"/>
      <c r="DG4" s="65"/>
      <c r="DH4" s="67">
        <f ca="1">SUM(DI6:DI259)/2</f>
        <v>37</v>
      </c>
      <c r="DI4" s="68"/>
      <c r="DJ4" s="65"/>
      <c r="DK4" s="67">
        <f ca="1">SUM(DL6:DL259)/2</f>
        <v>44</v>
      </c>
      <c r="DL4" s="68"/>
      <c r="DM4" s="65"/>
      <c r="DN4" s="67">
        <f ca="1">SUM(DO6:DO259)/2</f>
        <v>30</v>
      </c>
      <c r="DO4" s="68"/>
      <c r="DP4" s="65"/>
      <c r="DQ4" s="67">
        <f ca="1">SUM(DR6:DR259)/2</f>
        <v>22</v>
      </c>
      <c r="DR4" s="68"/>
      <c r="DS4" s="65"/>
      <c r="DT4" s="67">
        <f ca="1">SUM(DU6:DU259)/2</f>
        <v>40</v>
      </c>
      <c r="DU4" s="68"/>
      <c r="DV4" s="65"/>
      <c r="DW4" s="67">
        <f ca="1">SUM(DX6:DX259)/2</f>
        <v>55</v>
      </c>
      <c r="DX4" s="68"/>
      <c r="DY4" s="65"/>
      <c r="DZ4" s="67">
        <f ca="1">SUM(EA6:EA259)/2</f>
        <v>29</v>
      </c>
      <c r="EA4" s="68"/>
      <c r="EB4" s="65"/>
      <c r="EC4" s="67">
        <f ca="1">SUM(ED6:ED259)/2</f>
        <v>38</v>
      </c>
      <c r="ED4" s="68"/>
      <c r="EE4" s="65"/>
      <c r="EF4" s="67">
        <f ca="1">SUM(EG6:EG259)/2</f>
        <v>32</v>
      </c>
      <c r="EG4" s="68"/>
      <c r="EH4" s="65"/>
      <c r="EI4" s="67">
        <f ca="1">SUM(EJ6:EJ259)/2</f>
        <v>41</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t="s">
        <v>2001</v>
      </c>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t="s">
        <v>1949</v>
      </c>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t="s">
        <v>1954</v>
      </c>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t="s">
        <v>1943</v>
      </c>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t="s">
        <v>1960</v>
      </c>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
        <v>1952</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t="s">
        <v>1948</v>
      </c>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t="s">
        <v>1954</v>
      </c>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t="s">
        <v>1960</v>
      </c>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t="s">
        <v>1943</v>
      </c>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t="s">
        <v>1947</v>
      </c>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t="s">
        <v>1944</v>
      </c>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t="s">
        <v>1945</v>
      </c>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t="s">
        <v>1957</v>
      </c>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t="s">
        <v>1949</v>
      </c>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t="s">
        <v>1952</v>
      </c>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t="s">
        <v>1945</v>
      </c>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t="s">
        <v>1954</v>
      </c>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36</v>
      </c>
      <c r="U78" s="64"/>
      <c r="V78" s="82"/>
      <c r="W78" s="83">
        <f>SUM(W6:W77)</f>
        <v>37</v>
      </c>
      <c r="X78" s="64"/>
      <c r="Y78" s="82"/>
      <c r="Z78" s="83">
        <f t="shared" ref="Z78" si="127">SUM(Z6:Z77)</f>
        <v>45</v>
      </c>
      <c r="AA78" s="64"/>
      <c r="AB78" s="82"/>
      <c r="AC78" s="83">
        <f t="shared" ref="AC78" si="128">SUM(AC6:AC77)</f>
        <v>45</v>
      </c>
      <c r="AD78" s="64"/>
      <c r="AE78" s="82"/>
      <c r="AF78" s="83">
        <f t="shared" ref="AF78" si="129">SUM(AF6:AF77)</f>
        <v>33</v>
      </c>
      <c r="AG78" s="64"/>
      <c r="AH78" s="82"/>
      <c r="AI78" s="83">
        <f t="shared" ref="AI78" si="130">SUM(AI6:AI77)</f>
        <v>42</v>
      </c>
      <c r="AJ78" s="64"/>
      <c r="AK78" s="82"/>
      <c r="AL78" s="83">
        <f t="shared" ref="AL78" si="131">SUM(AL6:AL77)</f>
        <v>29</v>
      </c>
      <c r="AM78" s="64"/>
      <c r="AN78" s="82"/>
      <c r="AO78" s="83">
        <f t="shared" ref="AO78" si="132">SUM(AO6:AO77)</f>
        <v>38</v>
      </c>
      <c r="AP78" s="64"/>
      <c r="AQ78" s="82"/>
      <c r="AR78" s="83">
        <f t="shared" ref="AR78" si="133">SUM(AR6:AR77)</f>
        <v>60</v>
      </c>
      <c r="AS78" s="64"/>
      <c r="AT78" s="82"/>
      <c r="AU78" s="83">
        <f t="shared" ref="AU78" si="134">SUM(AU6:AU77)</f>
        <v>32</v>
      </c>
      <c r="AV78" s="64"/>
      <c r="AW78" s="82"/>
      <c r="AX78" s="83">
        <f t="shared" ref="AX78" si="135">SUM(AX6:AX77)</f>
        <v>32</v>
      </c>
      <c r="AY78" s="64"/>
      <c r="AZ78" s="82"/>
      <c r="BA78" s="83">
        <f t="shared" ref="BA78" si="136">SUM(BA6:BA77)</f>
        <v>36</v>
      </c>
      <c r="BB78" s="64"/>
      <c r="BC78" s="82"/>
      <c r="BD78" s="83">
        <f t="shared" ref="BD78" si="137">SUM(BD6:BD77)</f>
        <v>34</v>
      </c>
      <c r="BE78" s="64"/>
      <c r="BF78" s="82"/>
      <c r="BG78" s="83">
        <f t="shared" ref="BG78" si="138">SUM(BG6:BG77)</f>
        <v>45</v>
      </c>
      <c r="BH78" s="64"/>
      <c r="BI78" s="82"/>
      <c r="BJ78" s="83">
        <f t="shared" ref="BJ78" si="139">SUM(BJ6:BJ77)</f>
        <v>45</v>
      </c>
      <c r="BK78" s="64"/>
      <c r="BL78" s="82"/>
      <c r="BM78" s="83">
        <f t="shared" ref="BM78" si="140">SUM(BM6:BM77)</f>
        <v>42</v>
      </c>
      <c r="BN78" s="64"/>
      <c r="BO78" s="82"/>
      <c r="BP78" s="83">
        <f t="shared" ref="BP78" si="141">SUM(BP6:BP77)</f>
        <v>43</v>
      </c>
      <c r="BQ78" s="64"/>
      <c r="BR78" s="82"/>
      <c r="BS78" s="83">
        <f t="shared" ref="BS78" si="142">SUM(BS6:BS77)</f>
        <v>46</v>
      </c>
      <c r="BT78" s="64"/>
      <c r="BU78" s="82"/>
      <c r="BV78" s="83">
        <f t="shared" ref="BV78" si="143">SUM(BV6:BV77)</f>
        <v>29</v>
      </c>
      <c r="BW78" s="64"/>
      <c r="BX78" s="82"/>
      <c r="BY78" s="83">
        <f t="shared" ref="BY78" si="144">SUM(BY6:BY77)</f>
        <v>35</v>
      </c>
      <c r="BZ78" s="64"/>
      <c r="CA78" s="82"/>
      <c r="CB78" s="83">
        <f t="shared" ref="CB78" si="145">SUM(CB6:CB77)</f>
        <v>33</v>
      </c>
      <c r="CC78" s="64"/>
      <c r="CD78" s="82"/>
      <c r="CE78" s="83">
        <f t="shared" ref="CE78" si="146">SUM(CE6:CE77)</f>
        <v>48</v>
      </c>
      <c r="CF78" s="64"/>
      <c r="CG78" s="82"/>
      <c r="CH78" s="83">
        <f t="shared" ref="CH78" si="147">SUM(CH6:CH77)</f>
        <v>31</v>
      </c>
      <c r="CI78" s="64"/>
      <c r="CJ78" s="82"/>
      <c r="CK78" s="83">
        <f t="shared" ref="CK78" si="148">SUM(CK6:CK77)</f>
        <v>46</v>
      </c>
      <c r="CL78" s="64"/>
      <c r="CM78" s="82"/>
      <c r="CN78" s="83">
        <f t="shared" ref="CN78" si="149">SUM(CN6:CN77)</f>
        <v>35</v>
      </c>
      <c r="CO78" s="64"/>
      <c r="CP78" s="82"/>
      <c r="CQ78" s="83">
        <f t="shared" ref="CQ78" si="150">SUM(CQ6:CQ77)</f>
        <v>37</v>
      </c>
      <c r="CR78" s="64"/>
      <c r="CS78" s="82"/>
      <c r="CT78" s="83">
        <f t="shared" ref="CT78" si="151">SUM(CT6:CT77)</f>
        <v>34</v>
      </c>
      <c r="CU78" s="64"/>
      <c r="CV78" s="82"/>
      <c r="CW78" s="83">
        <f t="shared" ref="CW78" si="152">SUM(CW6:CW77)</f>
        <v>44</v>
      </c>
      <c r="CX78" s="64"/>
      <c r="CY78" s="82"/>
      <c r="CZ78" s="83">
        <f t="shared" ref="CZ78" si="153">SUM(CZ6:CZ77)</f>
        <v>35</v>
      </c>
      <c r="DA78" s="64"/>
      <c r="DB78" s="82"/>
      <c r="DC78" s="83">
        <f t="shared" ref="DC78" si="154">SUM(DC6:DC77)</f>
        <v>41</v>
      </c>
      <c r="DD78" s="64"/>
      <c r="DE78" s="82"/>
      <c r="DF78" s="83">
        <f t="shared" ref="DF78" si="155">SUM(DF6:DF77)</f>
        <v>35</v>
      </c>
      <c r="DG78" s="64"/>
      <c r="DH78" s="82"/>
      <c r="DI78" s="83">
        <f t="shared" ref="DI78" si="156">SUM(DI6:DI77)</f>
        <v>37</v>
      </c>
      <c r="DJ78" s="64"/>
      <c r="DK78" s="82"/>
      <c r="DL78" s="83">
        <f t="shared" ref="DL78" si="157">SUM(DL6:DL77)</f>
        <v>44</v>
      </c>
      <c r="DM78" s="64"/>
      <c r="DN78" s="796"/>
      <c r="DO78" s="83">
        <f t="shared" ref="DO78" si="158">SUM(DO6:DO77)</f>
        <v>30</v>
      </c>
      <c r="DP78" s="64"/>
      <c r="DQ78" s="796"/>
      <c r="DR78" s="83">
        <f t="shared" ref="DR78" si="159">SUM(DR6:DR77)</f>
        <v>22</v>
      </c>
      <c r="DS78" s="64"/>
      <c r="DT78" s="82"/>
      <c r="DU78" s="83">
        <f t="shared" ref="DU78" si="160">SUM(DU6:DU77)</f>
        <v>40</v>
      </c>
      <c r="DV78" s="64"/>
      <c r="DW78" s="82"/>
      <c r="DX78" s="83">
        <f t="shared" ref="DX78" si="161">SUM(DX6:DX77)</f>
        <v>55</v>
      </c>
      <c r="DY78" s="64"/>
      <c r="DZ78" s="82"/>
      <c r="EA78" s="83">
        <f t="shared" ref="EA78" si="162">SUM(EA6:EA77)</f>
        <v>29</v>
      </c>
      <c r="EB78" s="64"/>
      <c r="EC78" s="82"/>
      <c r="ED78" s="83">
        <f t="shared" ref="ED78" si="163">SUM(ED6:ED77)</f>
        <v>38</v>
      </c>
      <c r="EE78" s="64"/>
      <c r="EF78" s="82"/>
      <c r="EG78" s="83">
        <f t="shared" ref="EG78" si="164">SUM(EG6:EG77)</f>
        <v>32</v>
      </c>
      <c r="EH78" s="64"/>
      <c r="EI78" s="82"/>
      <c r="EJ78" s="83">
        <f t="shared" ref="EJ78" si="165">SUM(EJ6:EJ77)</f>
        <v>41</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t="s">
        <v>1265</v>
      </c>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t="s">
        <v>75</v>
      </c>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t="s">
        <v>1631</v>
      </c>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t="s">
        <v>1258</v>
      </c>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t="s">
        <v>1321</v>
      </c>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t="s">
        <v>134</v>
      </c>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t="s">
        <v>1728</v>
      </c>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t="s">
        <v>77</v>
      </c>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t="s">
        <v>1726</v>
      </c>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t="s">
        <v>111</v>
      </c>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t="s">
        <v>1263</v>
      </c>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t="s">
        <v>1833</v>
      </c>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t="s">
        <v>1322</v>
      </c>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t="s">
        <v>110</v>
      </c>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t="s">
        <v>1550</v>
      </c>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t="s">
        <v>1262</v>
      </c>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t="s">
        <v>1266</v>
      </c>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t="s">
        <v>38</v>
      </c>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t="s">
        <v>74</v>
      </c>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t="s">
        <v>1757</v>
      </c>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t="s">
        <v>1258</v>
      </c>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t="s">
        <v>77</v>
      </c>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t="s">
        <v>111</v>
      </c>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t="s">
        <v>74</v>
      </c>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t="s">
        <v>1265</v>
      </c>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t="s">
        <v>110</v>
      </c>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t="s">
        <v>38</v>
      </c>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t="s">
        <v>75</v>
      </c>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t="s">
        <v>1263</v>
      </c>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t="s">
        <v>1321</v>
      </c>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t="s">
        <v>1633</v>
      </c>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t="s">
        <v>1259</v>
      </c>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t="s">
        <v>1550</v>
      </c>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t="s">
        <v>1260</v>
      </c>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t="s">
        <v>77</v>
      </c>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t="s">
        <v>1258</v>
      </c>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t="s">
        <v>1265</v>
      </c>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t="s">
        <v>1320</v>
      </c>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t="s">
        <v>1835</v>
      </c>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t="s">
        <v>1256</v>
      </c>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t="s">
        <v>75</v>
      </c>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t="s">
        <v>1321</v>
      </c>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t="s">
        <v>74</v>
      </c>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t="s">
        <v>1634</v>
      </c>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t="s">
        <v>76</v>
      </c>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t="s">
        <v>38</v>
      </c>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t="s">
        <v>110</v>
      </c>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t="s">
        <v>497</v>
      </c>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t="s">
        <v>79</v>
      </c>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t="s">
        <v>2056</v>
      </c>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t="s">
        <v>2798</v>
      </c>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t="s">
        <v>2390</v>
      </c>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t="s">
        <v>2059</v>
      </c>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t="s">
        <v>2304</v>
      </c>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t="s">
        <v>2086</v>
      </c>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t="s">
        <v>2233</v>
      </c>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40</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41</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39</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0.98609999999999998</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40</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40</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24</v>
      </c>
      <c r="EJ265" s="25"/>
      <c r="EK265" s="25"/>
      <c r="EL265" s="25">
        <f ca="1">RANK(EL266,OFFSET($S$266,0,0,1,$D$5*3),0)</f>
        <v>40</v>
      </c>
      <c r="EM265" s="25"/>
      <c r="EN265" s="25"/>
      <c r="EO265" s="25">
        <f ca="1">RANK(EO266,OFFSET($S$266,0,0,1,$D$5*3),0)</f>
        <v>40</v>
      </c>
      <c r="EP265" s="25"/>
      <c r="EQ265" s="25"/>
      <c r="ER265" s="25">
        <f ca="1">RANK(ER266,OFFSET($S$266,0,0,1,$D$5*3),0)</f>
        <v>40</v>
      </c>
      <c r="ES265" s="25"/>
      <c r="ET265" s="25"/>
      <c r="EU265" s="25">
        <f ca="1">RANK(EU266,OFFSET($S$266,0,0,1,$D$5*3),0)</f>
        <v>40</v>
      </c>
      <c r="EV265" s="25"/>
      <c r="EW265" s="25"/>
      <c r="EX265" s="25">
        <f ca="1">RANK(EX266,OFFSET($S$266,0,0,1,$D$5*3),0)</f>
        <v>40</v>
      </c>
      <c r="EY265" s="25"/>
      <c r="EZ265" s="25"/>
      <c r="FA265" s="25">
        <f ca="1">RANK(FA266,OFFSET($S$266,0,0,1,$D$5*3),0)</f>
        <v>40</v>
      </c>
      <c r="FB265" s="25"/>
      <c r="FC265" s="25"/>
      <c r="FD265" s="25">
        <f ca="1">RANK(FD266,OFFSET($S$266,0,0,1,$D$5*3),0)</f>
        <v>40</v>
      </c>
      <c r="FE265" s="25"/>
      <c r="FF265" s="25"/>
      <c r="FG265" s="25">
        <f ca="1">RANK(FG266,OFFSET($S$266,0,0,1,$D$5*3),0)</f>
        <v>40</v>
      </c>
      <c r="FH265" s="25"/>
      <c r="FI265" s="25"/>
      <c r="FJ265" s="25">
        <f ca="1">RANK(FJ266,OFFSET($S$266,0,0,1,$D$5*3),0)</f>
        <v>40</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1</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1"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60</v>
      </c>
      <c r="E5" s="92" cm="1">
        <f t="array" aca="1" ref="E5" ca="1">IFERROR(INDEX(Rango_Admin_Clas_Total,E$2,MATCH($A5,Rango_Admin_Clas_Primera,0)+1),"-")</f>
        <v>60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IGNACIO LAFUENTE</v>
      </c>
      <c r="D6" s="91">
        <f ca="1">IFERROR(HLOOKUP(A6,Rango_Admin_Clas,4,FALSE),"-")</f>
        <v>55</v>
      </c>
      <c r="E6" s="92" cm="1">
        <f t="array" aca="1" ref="E6" ca="1">IFERROR(INDEX(Rango_Admin_Clas_Total,E$2,MATCH($A6,Rango_Admin_Clas_Primera,0)+1),"-")</f>
        <v>55</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bau</v>
      </c>
      <c r="D7" s="91">
        <f ca="1">IFERROR(HLOOKUP(A7,Rango_Admin_Clas,4,FALSE),"-")</f>
        <v>48</v>
      </c>
      <c r="E7" s="92" cm="1">
        <f t="array" aca="1" ref="E7" ca="1">IFERROR(INDEX(Rango_Admin_Clas_Total,E$2,MATCH($A7,Rango_Admin_Clas_Primera,0)+1),"-")</f>
        <v>48</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MURO 204</v>
      </c>
      <c r="D8" s="91">
        <f ca="1">IFERROR(HLOOKUP(A8,Rango_Admin_Clas,4,FALSE),"-")</f>
        <v>46</v>
      </c>
      <c r="E8" s="92" cm="1">
        <f t="array" aca="1" ref="E8" ca="1">IFERROR(INDEX(Rango_Admin_Clas_Total,E$2,MATCH($A8,Rango_Admin_Clas_Primera,0)+1),"-")</f>
        <v>46</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Lucas Oriol</v>
      </c>
      <c r="D9" s="91">
        <f ca="1">IFERROR(HLOOKUP(A9,Rango_Admin_Clas,4,FALSE),"-")</f>
        <v>46</v>
      </c>
      <c r="E9" s="92" cm="1">
        <f t="array" aca="1" ref="E9" ca="1">IFERROR(INDEX(Rango_Admin_Clas_Total,E$2,MATCH($A9,Rango_Admin_Clas_Primera,0)+1),"-")</f>
        <v>46</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Alejandro Lafuente</v>
      </c>
      <c r="D10" s="91">
        <f ca="1">IFERROR(HLOOKUP(A10,Rango_Admin_Clas,4,FALSE),"-")</f>
        <v>45</v>
      </c>
      <c r="E10" s="92" cm="1">
        <f t="array" aca="1" ref="E10" ca="1">IFERROR(INDEX(Rango_Admin_Clas_Total,E$2,MATCH($A10,Rango_Admin_Clas_Primera,0)+1),"-")</f>
        <v>45</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6</v>
      </c>
      <c r="C11" s="18" t="str">
        <f ca="1">IFERROR(HLOOKUP(A11,Rango_Admin_Clas,5,FALSE),"-")</f>
        <v>Jaime Lafuente</v>
      </c>
      <c r="D11" s="91">
        <f ca="1">IFERROR(HLOOKUP(A11,Rango_Admin_Clas,4,FALSE),"-")</f>
        <v>45</v>
      </c>
      <c r="E11" s="92" cm="1">
        <f t="array" aca="1" ref="E11" ca="1">IFERROR(INDEX(Rango_Admin_Clas_Total,E$2,MATCH($A11,Rango_Admin_Clas_Primera,0)+1),"-")</f>
        <v>45</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6</v>
      </c>
      <c r="C12" s="18" t="str">
        <f ca="1">IFERROR(HLOOKUP(A12,Rango_Admin_Clas,5,FALSE),"-")</f>
        <v>JCU</v>
      </c>
      <c r="D12" s="91">
        <f ca="1">IFERROR(HLOOKUP(A12,Rango_Admin_Clas,4,FALSE),"-")</f>
        <v>45</v>
      </c>
      <c r="E12" s="92" cm="1">
        <f t="array" aca="1" ref="E12" ca="1">IFERROR(INDEX(Rango_Admin_Clas_Total,E$2,MATCH($A12,Rango_Admin_Clas_Primera,0)+1),"-")</f>
        <v>45</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6</v>
      </c>
      <c r="C13" s="18" t="str">
        <f ca="1">IFERROR(HLOOKUP(A13,Rango_Admin_Clas,5,FALSE),"-")</f>
        <v>Joserra</v>
      </c>
      <c r="D13" s="91">
        <f ca="1">IFERROR(HLOOKUP(A13,Rango_Admin_Clas,4,FALSE),"-")</f>
        <v>45</v>
      </c>
      <c r="E13" s="92" cm="1">
        <f t="array" aca="1" ref="E13" ca="1">IFERROR(INDEX(Rango_Admin_Clas_Total,E$2,MATCH($A13,Rango_Admin_Clas_Primera,0)+1),"-")</f>
        <v>45</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KIRICOCHO</v>
      </c>
      <c r="D14" s="91">
        <f ca="1">IFERROR(HLOOKUP(A14,Rango_Admin_Clas,4,FALSE),"-")</f>
        <v>44</v>
      </c>
      <c r="E14" s="92" cm="1">
        <f t="array" aca="1" ref="E14" ca="1">IFERROR(INDEX(Rango_Admin_Clas_Total,E$2,MATCH($A14,Rango_Admin_Clas_Primera,0)+1),"-")</f>
        <v>44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Gratacós</v>
      </c>
      <c r="D15" s="91">
        <f ca="1">IFERROR(HLOOKUP(A15,Rango_Admin_Clas,4,FALSE),"-")</f>
        <v>44</v>
      </c>
      <c r="E15" s="92" cm="1">
        <f t="array" aca="1" ref="E15" ca="1">IFERROR(INDEX(Rango_Admin_Clas_Total,E$2,MATCH($A15,Rango_Admin_Clas_Primera,0)+1),"-")</f>
        <v>44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Antonio del Ojo</v>
      </c>
      <c r="D16" s="91">
        <f ca="1">IFERROR(HLOOKUP(A16,Rango_Admin_Clas,4,FALSE),"-")</f>
        <v>43</v>
      </c>
      <c r="E16" s="92" cm="1">
        <f t="array" aca="1" ref="E16" ca="1">IFERROR(INDEX(Rango_Admin_Clas_Total,E$2,MATCH($A16,Rango_Admin_Clas_Primera,0)+1),"-")</f>
        <v>43</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Jaime García de la Riva</v>
      </c>
      <c r="D17" s="91">
        <f ca="1">IFERROR(HLOOKUP(A17,Rango_Admin_Clas,4,FALSE),"-")</f>
        <v>42</v>
      </c>
      <c r="E17" s="92" cm="1">
        <f t="array" aca="1" ref="E17" ca="1">IFERROR(INDEX(Rango_Admin_Clas_Total,E$2,MATCH($A17,Rango_Admin_Clas_Primera,0)+1),"-")</f>
        <v>42</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Migay Marcos</v>
      </c>
      <c r="D18" s="91">
        <f ca="1">IFERROR(HLOOKUP(A18,Rango_Admin_Clas,4,FALSE),"-")</f>
        <v>42</v>
      </c>
      <c r="E18" s="92" cm="1">
        <f t="array" aca="1" ref="E18" ca="1">IFERROR(INDEX(Rango_Admin_Clas_Total,E$2,MATCH($A18,Rango_Admin_Clas_Primera,0)+1),"-")</f>
        <v>42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Fernando Carlos García-Ramos Redondo</v>
      </c>
      <c r="D19" s="91">
        <f ca="1">IFERROR(HLOOKUP(A19,Rango_Admin_Clas,4,FALSE),"-")</f>
        <v>41</v>
      </c>
      <c r="E19" s="92" cm="1">
        <f t="array" aca="1" ref="E19" ca="1">IFERROR(INDEX(Rango_Admin_Clas_Total,E$2,MATCH($A19,Rango_Admin_Clas_Primera,0)+1),"-")</f>
        <v>41</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Alexander Schulte</v>
      </c>
      <c r="D20" s="91">
        <f ca="1">IFERROR(HLOOKUP(A20,Rango_Admin_Clas,4,FALSE),"-")</f>
        <v>41</v>
      </c>
      <c r="E20" s="92" cm="1">
        <f t="array" aca="1" ref="E20" ca="1">IFERROR(INDEX(Rango_Admin_Clas_Total,E$2,MATCH($A20,Rango_Admin_Clas_Primera,0)+1),"-")</f>
        <v>41</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 xml:space="preserve">Martín Matoses </v>
      </c>
      <c r="D21" s="91">
        <f ca="1">IFERROR(HLOOKUP(A21,Rango_Admin_Clas,4,FALSE),"-")</f>
        <v>40</v>
      </c>
      <c r="E21" s="92" cm="1">
        <f t="array" aca="1" ref="E21" ca="1">IFERROR(INDEX(Rango_Admin_Clas_Total,E$2,MATCH($A21,Rango_Admin_Clas_Primera,0)+1),"-")</f>
        <v>40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Antonio Zulueta Ramos</v>
      </c>
      <c r="D22" s="91">
        <f ca="1">IFERROR(HLOOKUP(A22,Rango_Admin_Clas,4,FALSE),"-")</f>
        <v>38</v>
      </c>
      <c r="E22" s="92" cm="1">
        <f t="array" aca="1" ref="E22" ca="1">IFERROR(INDEX(Rango_Admin_Clas_Total,E$2,MATCH($A22,Rango_Admin_Clas_Primera,0)+1),"-")</f>
        <v>38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 xml:space="preserve">Ignacio Núñez </v>
      </c>
      <c r="D23" s="91">
        <f ca="1">IFERROR(HLOOKUP(A23,Rango_Admin_Clas,4,FALSE),"-")</f>
        <v>38</v>
      </c>
      <c r="E23" s="92" cm="1">
        <f t="array" aca="1" ref="E23" ca="1">IFERROR(INDEX(Rango_Admin_Clas_Total,E$2,MATCH($A23,Rango_Admin_Clas_Primera,0)+1),"-")</f>
        <v>38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Luis B</v>
      </c>
      <c r="D24" s="91">
        <f ca="1">IFERROR(HLOOKUP(A24,Rango_Admin_Clas,4,FALSE),"-")</f>
        <v>37</v>
      </c>
      <c r="E24" s="92" cm="1">
        <f t="array" aca="1" ref="E24" ca="1">IFERROR(INDEX(Rango_Admin_Clas_Total,E$2,MATCH($A24,Rango_Admin_Clas_Primera,0)+1),"-")</f>
        <v>37</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William Hartley</v>
      </c>
      <c r="D25" s="91">
        <f ca="1">IFERROR(HLOOKUP(A25,Rango_Admin_Clas,4,FALSE),"-")</f>
        <v>37</v>
      </c>
      <c r="E25" s="92" cm="1">
        <f t="array" aca="1" ref="E25" ca="1">IFERROR(INDEX(Rango_Admin_Clas_Total,E$2,MATCH($A25,Rango_Admin_Clas_Primera,0)+1),"-")</f>
        <v>37</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20</v>
      </c>
      <c r="C26" s="18" t="str">
        <f ca="1">IFERROR(HLOOKUP(A26,Rango_Admin_Clas,5,FALSE),"-")</f>
        <v>Miguel Suárez-Zuloaga</v>
      </c>
      <c r="D26" s="91">
        <f ca="1">IFERROR(HLOOKUP(A26,Rango_Admin_Clas,4,FALSE),"-")</f>
        <v>37</v>
      </c>
      <c r="E26" s="92" cm="1">
        <f t="array" aca="1" ref="E26" ca="1">IFERROR(INDEX(Rango_Admin_Clas_Total,E$2,MATCH($A26,Rango_Admin_Clas_Primera,0)+1),"-")</f>
        <v>37</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Admin</v>
      </c>
      <c r="D27" s="91">
        <f ca="1">IFERROR(HLOOKUP(A27,Rango_Admin_Clas,4,FALSE),"-")</f>
        <v>36</v>
      </c>
      <c r="E27" s="92" cm="1">
        <f t="array" aca="1" ref="E27" ca="1">IFERROR(INDEX(Rango_Admin_Clas_Total,E$2,MATCH($A27,Rango_Admin_Clas_Primera,0)+1),"-")</f>
        <v>36</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Guillermo Murciano</v>
      </c>
      <c r="D28" s="91">
        <f ca="1">IFERROR(HLOOKUP(A28,Rango_Admin_Clas,4,FALSE),"-")</f>
        <v>36</v>
      </c>
      <c r="E28" s="92" cm="1">
        <f t="array" aca="1" ref="E28" ca="1">IFERROR(INDEX(Rango_Admin_Clas_Total,E$2,MATCH($A28,Rango_Admin_Clas_Primera,0)+1),"-")</f>
        <v>36</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Miguel San Martín</v>
      </c>
      <c r="D29" s="91">
        <f ca="1">IFERROR(HLOOKUP(A29,Rango_Admin_Clas,4,FALSE),"-")</f>
        <v>35</v>
      </c>
      <c r="E29" s="92" cm="1">
        <f t="array" aca="1" ref="E29" ca="1">IFERROR(INDEX(Rango_Admin_Clas_Total,E$2,MATCH($A29,Rango_Admin_Clas_Primera,0)+1),"-")</f>
        <v>35</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25</v>
      </c>
      <c r="C30" s="18" t="str">
        <f ca="1">IFERROR(HLOOKUP(A30,Rango_Admin_Clas,5,FALSE),"-")</f>
        <v>YTD</v>
      </c>
      <c r="D30" s="91">
        <f ca="1">IFERROR(HLOOKUP(A30,Rango_Admin_Clas,4,FALSE),"-")</f>
        <v>35</v>
      </c>
      <c r="E30" s="92" cm="1">
        <f t="array" aca="1" ref="E30" ca="1">IFERROR(INDEX(Rango_Admin_Clas_Total,E$2,MATCH($A30,Rango_Admin_Clas_Primera,0)+1),"-")</f>
        <v>35</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25</v>
      </c>
      <c r="C31" s="18" t="str">
        <f ca="1">IFERROR(HLOOKUP(A31,Rango_Admin_Clas,5,FALSE),"-")</f>
        <v>BeliBeltrán</v>
      </c>
      <c r="D31" s="91">
        <f ca="1">IFERROR(HLOOKUP(A31,Rango_Admin_Clas,4,FALSE),"-")</f>
        <v>35</v>
      </c>
      <c r="E31" s="92" cm="1">
        <f t="array" aca="1" ref="E31" ca="1">IFERROR(INDEX(Rango_Admin_Clas_Total,E$2,MATCH($A31,Rango_Admin_Clas_Primera,0)+1),"-")</f>
        <v>35</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25</v>
      </c>
      <c r="C32" s="18" t="str">
        <f ca="1">IFERROR(HLOOKUP(A32,Rango_Admin_Clas,5,FALSE),"-")</f>
        <v>Vicuinho</v>
      </c>
      <c r="D32" s="91">
        <f ca="1">IFERROR(HLOOKUP(A32,Rango_Admin_Clas,4,FALSE),"-")</f>
        <v>35</v>
      </c>
      <c r="E32" s="92" cm="1">
        <f t="array" aca="1" ref="E32" ca="1">IFERROR(INDEX(Rango_Admin_Clas_Total,E$2,MATCH($A32,Rango_Admin_Clas_Primera,0)+1),"-")</f>
        <v>35</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Ignacio de Lecea</v>
      </c>
      <c r="D33" s="91">
        <f ca="1">IFERROR(HLOOKUP(A33,Rango_Admin_Clas,4,FALSE),"-")</f>
        <v>34</v>
      </c>
      <c r="E33" s="92" cm="1">
        <f t="array" aca="1" ref="E33" ca="1">IFERROR(INDEX(Rango_Admin_Clas_Total,E$2,MATCH($A33,Rango_Admin_Clas_Primera,0)+1),"-")</f>
        <v>34</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29</v>
      </c>
      <c r="C34" s="18" t="str">
        <f ca="1">IFERROR(HLOOKUP(A34,Rango_Admin_Clas,5,FALSE),"-")</f>
        <v>Kurtischamp</v>
      </c>
      <c r="D34" s="91">
        <f ca="1">IFERROR(HLOOKUP(A34,Rango_Admin_Clas,4,FALSE),"-")</f>
        <v>34</v>
      </c>
      <c r="E34" s="92" cm="1">
        <f t="array" aca="1" ref="E34" ca="1">IFERROR(INDEX(Rango_Admin_Clas_Total,E$2,MATCH($A34,Rango_Admin_Clas_Primera,0)+1),"-")</f>
        <v>34</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Pastor</v>
      </c>
      <c r="D35" s="91">
        <f ca="1">IFERROR(HLOOKUP(A35,Rango_Admin_Clas,4,FALSE),"-")</f>
        <v>33</v>
      </c>
      <c r="E35" s="92" cm="1">
        <f t="array" aca="1" ref="E35" ca="1">IFERROR(INDEX(Rango_Admin_Clas_Total,E$2,MATCH($A35,Rango_Admin_Clas_Primera,0)+1),"-")</f>
        <v>33</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31</v>
      </c>
      <c r="C36" s="18" t="str">
        <f ca="1">IFERROR(HLOOKUP(A36,Rango_Admin_Clas,5,FALSE),"-")</f>
        <v>Pablo C</v>
      </c>
      <c r="D36" s="91">
        <f ca="1">IFERROR(HLOOKUP(A36,Rango_Admin_Clas,4,FALSE),"-")</f>
        <v>33</v>
      </c>
      <c r="E36" s="92" cm="1">
        <f t="array" aca="1" ref="E36" ca="1">IFERROR(INDEX(Rango_Admin_Clas_Total,E$2,MATCH($A36,Rango_Admin_Clas_Primera,0)+1),"-")</f>
        <v>33</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Chente Muñoz</v>
      </c>
      <c r="D37" s="91">
        <f ca="1">IFERROR(HLOOKUP(A37,Rango_Admin_Clas,4,FALSE),"-")</f>
        <v>32</v>
      </c>
      <c r="E37" s="92" cm="1">
        <f t="array" aca="1" ref="E37" ca="1">IFERROR(INDEX(Rango_Admin_Clas_Total,E$2,MATCH($A37,Rango_Admin_Clas_Primera,0)+1),"-")</f>
        <v>32</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33</v>
      </c>
      <c r="C38" s="18" t="str">
        <f ca="1">IFERROR(HLOOKUP(A38,Rango_Admin_Clas,5,FALSE),"-")</f>
        <v>Fercho Muro Matosex</v>
      </c>
      <c r="D38" s="91">
        <f ca="1">IFERROR(HLOOKUP(A38,Rango_Admin_Clas,4,FALSE),"-")</f>
        <v>32</v>
      </c>
      <c r="E38" s="92" cm="1">
        <f t="array" aca="1" ref="E38" ca="1">IFERROR(INDEX(Rango_Admin_Clas_Total,E$2,MATCH($A38,Rango_Admin_Clas_Primera,0)+1),"-")</f>
        <v>32</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33</v>
      </c>
      <c r="C39" s="18" t="str">
        <f ca="1">IFERROR(HLOOKUP(A39,Rango_Admin_Clas,5,FALSE),"-")</f>
        <v>Ricardo Soto</v>
      </c>
      <c r="D39" s="91">
        <f ca="1">IFERROR(HLOOKUP(A39,Rango_Admin_Clas,4,FALSE),"-")</f>
        <v>32</v>
      </c>
      <c r="E39" s="92" cm="1">
        <f t="array" aca="1" ref="E39" ca="1">IFERROR(INDEX(Rango_Admin_Clas_Total,E$2,MATCH($A39,Rango_Admin_Clas_Primera,0)+1),"-")</f>
        <v>32</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Florentino Netanyahu</v>
      </c>
      <c r="D40" s="91">
        <f ca="1">IFERROR(HLOOKUP(A40,Rango_Admin_Clas,4,FALSE),"-")</f>
        <v>31</v>
      </c>
      <c r="E40" s="92" cm="1">
        <f t="array" aca="1" ref="E40" ca="1">IFERROR(INDEX(Rango_Admin_Clas_Total,E$2,MATCH($A40,Rango_Admin_Clas_Primera,0)+1),"-")</f>
        <v>31</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AD Monchus</v>
      </c>
      <c r="D41" s="91">
        <f ca="1">IFERROR(HLOOKUP(A41,Rango_Admin_Clas,4,FALSE),"-")</f>
        <v>30</v>
      </c>
      <c r="E41" s="92" cm="1">
        <f t="array" aca="1" ref="E41" ca="1">IFERROR(INDEX(Rango_Admin_Clas_Total,E$2,MATCH($A41,Rango_Admin_Clas_Primera,0)+1),"-")</f>
        <v>30</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Nacho Novo</v>
      </c>
      <c r="D42" s="91">
        <f ca="1">IFERROR(HLOOKUP(A42,Rango_Admin_Clas,4,FALSE),"-")</f>
        <v>29</v>
      </c>
      <c r="E42" s="92" cm="1">
        <f t="array" aca="1" ref="E42" ca="1">IFERROR(INDEX(Rango_Admin_Clas_Total,E$2,MATCH($A42,Rango_Admin_Clas_Primera,0)+1),"-")</f>
        <v>29</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Hulk Rexach</v>
      </c>
      <c r="D43" s="91">
        <f ca="1">IFERROR(HLOOKUP(A43,Rango_Admin_Clas,4,FALSE),"-")</f>
        <v>29</v>
      </c>
      <c r="E43" s="92" cm="1">
        <f t="array" aca="1" ref="E43" ca="1">IFERROR(INDEX(Rango_Admin_Clas_Total,E$2,MATCH($A43,Rango_Admin_Clas_Primera,0)+1),"-")</f>
        <v>29</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38</v>
      </c>
      <c r="C44" s="18" t="str">
        <f ca="1">IFERROR(HLOOKUP(A44,Rango_Admin_Clas,5,FALSE),"-")</f>
        <v>DIDI</v>
      </c>
      <c r="D44" s="91">
        <f ca="1">IFERROR(HLOOKUP(A44,Rango_Admin_Clas,4,FALSE),"-")</f>
        <v>29</v>
      </c>
      <c r="E44" s="92" cm="1">
        <f t="array" aca="1" ref="E44" ca="1">IFERROR(INDEX(Rango_Admin_Clas_Total,E$2,MATCH($A44,Rango_Admin_Clas_Primera,0)+1),"-")</f>
        <v>29</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22</v>
      </c>
      <c r="E45" s="92" cm="1">
        <f t="array" aca="1" ref="E45" ca="1">IFERROR(INDEX(Rango_Admin_Clas_Total,E$2,MATCH($A45,Rango_Admin_Clas_Primera,0)+1),"-")</f>
        <v>22</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1|1-0</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24</v>
      </c>
      <c r="F42" s="448" t="str">
        <f ca="1">IFERROR(HLOOKUP(C42,Rango_Admin_DailyClas,5,FALSE),"-")</f>
        <v>Alexander Schulte</v>
      </c>
      <c r="G42" s="22">
        <f ca="1">IFERROR(HLOOKUP(C42,Rango_Admin_DailyClas,4,FALSE),"-")</f>
        <v>1</v>
      </c>
      <c r="H42" s="429">
        <f ca="1">IFERROR(VLOOKUP(H$2,Rango_Admin_DailyPred,MATCH($F42,Rango_Admin_DailyPred_Primera,0)+1,0),"-")</f>
        <v>1</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40</v>
      </c>
      <c r="F43" s="448" t="str">
        <f ca="1">IFERROR(HLOOKUP(C43,Rango_Admin_DailyClas,5,FALSE),"-")</f>
        <v>Migay Marcos</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40</v>
      </c>
      <c r="F44" s="448" t="str">
        <f ca="1">IFERROR(HLOOKUP(C44,Rango_Admin_DailyClas,5,FALSE),"-")</f>
        <v>Pablo C</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40</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40</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40</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40</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40</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40</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40</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40</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40</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0.39423076923076922</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1|2-1</v>
      </c>
      <c r="I9" s="704">
        <f ca="1"/>
        <v>9</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Pegar Valores (J1)</v>
      </c>
      <c r="I10" s="704">
        <f ca="1"/>
        <v>9</v>
      </c>
      <c r="J10" s="706">
        <f ca="1"/>
        <v>0</v>
      </c>
      <c r="K10" s="404">
        <f ca="1"/>
        <v>0</v>
      </c>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6</v>
      </c>
      <c r="J11" s="706">
        <f ca="1"/>
        <v>0</v>
      </c>
      <c r="K11" s="404">
        <f ca="1"/>
        <v>0</v>
      </c>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102</v>
      </c>
      <c r="F13" s="456">
        <f ca="1">IFERROR(E13/E12,0)</f>
        <v>0.51</v>
      </c>
      <c r="G13" s="17"/>
      <c r="H13" s="457" t="str">
        <f ca="1"/>
        <v>1|3-0</v>
      </c>
      <c r="I13" s="704">
        <f ca="1"/>
        <v>1</v>
      </c>
      <c r="J13" s="706">
        <f ca="1"/>
        <v>0</v>
      </c>
      <c r="K13" s="404">
        <f ca="1"/>
        <v>0</v>
      </c>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39</v>
      </c>
      <c r="F15" s="456">
        <f ca="1">IFERROR(E15/ADMIN!$D$5,0)</f>
        <v>0.78</v>
      </c>
      <c r="G15" s="17"/>
      <c r="H15" s="457" t="str">
        <f ca="1"/>
        <v>X|2-2</v>
      </c>
      <c r="I15" s="704">
        <f ca="1"/>
        <v>1</v>
      </c>
      <c r="J15" s="706">
        <f ca="1"/>
        <v>0</v>
      </c>
      <c r="K15" s="404">
        <f ca="1"/>
        <v>0</v>
      </c>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11</v>
      </c>
      <c r="F16" s="456">
        <f ca="1">IFERROR(E16/ADMIN!$D$5,0)</f>
        <v>0.22</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2.04</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39</v>
      </c>
      <c r="F35" s="25">
        <f ca="1">IFERROR(E35/SUM($E$35:E37),0)</f>
        <v>0.95121951219512191</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6</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6</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4.878048780487805E-2</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1|2-1</v>
      </c>
      <c r="AD36" s="11">
        <f ca="1"/>
        <v>9</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Pegar Valores (J1)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6</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9</v>
      </c>
      <c r="X40" s="11" t="str">
        <f ca="1"/>
        <v>Pegar Valores (J1)</v>
      </c>
      <c r="Y40" s="11" t="str">
        <f ca="1"/>
        <v>Pegar Valores (J1)</v>
      </c>
      <c r="Z40" s="11">
        <f ca="1"/>
        <v>9</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123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6</v>
      </c>
      <c r="J4" s="535">
        <f ca="1">+INDEX(WORLDCUP!$AT$6:$AT$97,MATCH(L4,WORLDCUP!$AI$6:$AI$97,0))</f>
        <v>3</v>
      </c>
      <c r="K4" s="536" t="str">
        <f ca="1">+INDEX(WORLDCUP!$AR$6:$AR$97,MATCH(L4,WORLDCUP!$AI$6:$AI$97,0))&amp;"-"&amp;INDEX(WORLDCUP!$AS$6:$AS$97,MATCH(L4,WORLDCUP!$AI$6:$AI$97,0))</f>
        <v>3-0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Egi</v>
      </c>
      <c r="U4" s="534">
        <f ca="1">+INDEX(WORLDCUP!$AM$6:$AM$97,MATCH(X4,WORLDCUP!$AI$6:$AI$97,0))</f>
        <v>4</v>
      </c>
      <c r="V4" s="535">
        <f ca="1">+INDEX(WORLDCUP!$AT$6:$AT$97,MATCH(X4,WORLDCUP!$AI$6:$AI$97,0))</f>
        <v>2</v>
      </c>
      <c r="W4" s="536" t="str">
        <f ca="1">+INDEX(WORLDCUP!$AR$6:$AR$97,MATCH(X4,WORLDCUP!$AI$6:$AI$97,0))&amp;"-"&amp;INDEX(WORLDCUP!$AS$6:$AS$97,MATCH(X4,WORLDCUP!$AI$6:$AI$97,0))</f>
        <v>4-2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0</v>
      </c>
      <c r="K5" s="225" t="str">
        <f ca="1">+INDEX(WORLDCUP!$AR$6:$AR$97,MATCH(L5,WORLDCUP!$AI$6:$AI$97,0))&amp;"-"&amp;INDEX(WORLDCUP!$AS$6:$AS$97,MATCH(L5,WORLDCUP!$AI$6:$AI$97,0))</f>
        <v>2-2</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Irá</v>
      </c>
      <c r="U5" s="223">
        <f ca="1">+INDEX(WORLDCUP!$AM$6:$AM$97,MATCH(X5,WORLDCUP!$AI$6:$AI$97,0))</f>
        <v>2</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Bél</v>
      </c>
      <c r="U6" s="223">
        <f ca="1">+INDEX(WORLDCUP!$AM$6:$AM$97,MATCH(X6,WORLDCUP!$AI$6:$AI$97,0))</f>
        <v>2</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-2</v>
      </c>
      <c r="W7" s="564" t="str">
        <f ca="1">+INDEX(WORLDCUP!$AR$6:$AR$97,MATCH(X7,WORLDCUP!$AI$6:$AI$97,0))&amp;"-"&amp;INDEX(WORLDCUP!$AS$6:$AS$97,MATCH(X7,WORLDCUP!$AI$6:$AI$97,0))</f>
        <v>3-5</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4</v>
      </c>
      <c r="J12" s="535">
        <f ca="1">+INDEX(WORLDCUP!$AT$6:$AT$97,MATCH(L12,WORLDCUP!$AI$6:$AI$97,0))</f>
        <v>6</v>
      </c>
      <c r="K12" s="536" t="str">
        <f ca="1">+INDEX(WORLDCUP!$AR$6:$AR$97,MATCH(L12,WORLDCUP!$AI$6:$AI$97,0))&amp;"-"&amp;INDEX(WORLDCUP!$AS$6:$AS$97,MATCH(L12,WORLDCUP!$AI$6:$AI$97,0))</f>
        <v>7-1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4</v>
      </c>
      <c r="V12" s="535">
        <f ca="1">+INDEX(WORLDCUP!$AT$6:$AT$97,MATCH(X12,WORLDCUP!$AI$6:$AI$97,0))</f>
        <v>4</v>
      </c>
      <c r="W12" s="536" t="str">
        <f ca="1">+INDEX(WORLDCUP!$AR$6:$AR$97,MATCH(X12,WORLDCUP!$AI$6:$AI$97,0))&amp;"-"&amp;INDEX(WORLDCUP!$AS$6:$AS$97,MATCH(X12,WORLDCUP!$AI$6:$AI$97,0))</f>
        <v>4-0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Sui</v>
      </c>
      <c r="I13" s="223">
        <f ca="1">+INDEX(WORLDCUP!$AM$6:$AM$97,MATCH(L13,WORLDCUP!$AI$6:$AI$97,0))</f>
        <v>4</v>
      </c>
      <c r="J13" s="224">
        <f ca="1">+INDEX(WORLDCUP!$AT$6:$AT$97,MATCH(L13,WORLDCUP!$AI$6:$AI$97,0))</f>
        <v>3</v>
      </c>
      <c r="K13" s="225" t="str">
        <f ca="1">+INDEX(WORLDCUP!$AR$6:$AR$97,MATCH(L13,WORLDCUP!$AI$6:$AI$97,0))&amp;"-"&amp;INDEX(WORLDCUP!$AS$6:$AS$97,MATCH(L13,WORLDCUP!$AI$6:$AI$97,0))</f>
        <v>5-2</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Uru</v>
      </c>
      <c r="U13" s="223">
        <f ca="1">+INDEX(WORLDCUP!$AM$6:$AM$97,MATCH(X13,WORLDCUP!$AI$6:$AI$97,0))</f>
        <v>2</v>
      </c>
      <c r="V13" s="224">
        <f ca="1">+INDEX(WORLDCUP!$AT$6:$AT$97,MATCH(X13,WORLDCUP!$AI$6:$AI$97,0))</f>
        <v>0</v>
      </c>
      <c r="W13" s="225" t="str">
        <f ca="1">+INDEX(WORLDCUP!$AR$6:$AR$97,MATCH(X13,WORLDCUP!$AI$6:$AI$97,0))&amp;"-"&amp;INDEX(WORLDCUP!$AS$6:$AS$97,MATCH(X13,WORLDCUP!$AI$6:$AI$97,0))</f>
        <v>3-3</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1</v>
      </c>
      <c r="J14" s="224">
        <f ca="1">+INDEX(WORLDCUP!$AT$6:$AT$97,MATCH(L14,WORLDCUP!$AI$6:$AI$97,0))</f>
        <v>-3</v>
      </c>
      <c r="K14" s="225" t="str">
        <f ca="1">+INDEX(WORLDCUP!$AR$6:$AR$97,MATCH(L14,WORLDCUP!$AI$6:$AI$97,0))&amp;"-"&amp;INDEX(WORLDCUP!$AS$6:$AS$97,MATCH(L14,WORLDCUP!$AI$6:$AI$97,0))</f>
        <v>2-5</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Cab</v>
      </c>
      <c r="U14" s="223">
        <f ca="1">+INDEX(WORLDCUP!$AM$6:$AM$97,MATCH(X14,WORLDCUP!$AI$6:$AI$97,0))</f>
        <v>2</v>
      </c>
      <c r="V14" s="224">
        <f ca="1">+INDEX(WORLDCUP!$AT$6:$AT$97,MATCH(X14,WORLDCUP!$AI$6:$AI$97,0))</f>
        <v>0</v>
      </c>
      <c r="W14" s="225" t="str">
        <f ca="1">+INDEX(WORLDCUP!$AR$6:$AR$97,MATCH(X14,WORLDCUP!$AI$6:$AI$97,0))&amp;"-"&amp;INDEX(WORLDCUP!$AS$6:$AS$97,MATCH(X14,WORLDCUP!$AI$6:$AI$97,0))</f>
        <v>2-2</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-6</v>
      </c>
      <c r="K15" s="564" t="str">
        <f ca="1">+INDEX(WORLDCUP!$AR$6:$AR$97,MATCH(L15,WORLDCUP!$AI$6:$AI$97,0))&amp;"-"&amp;INDEX(WORLDCUP!$AS$6:$AS$97,MATCH(L15,WORLDCUP!$AI$6:$AI$97,0))</f>
        <v>1-7</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Ara</v>
      </c>
      <c r="U15" s="562">
        <f ca="1">+INDEX(WORLDCUP!$AM$6:$AM$97,MATCH(X15,WORLDCUP!$AI$6:$AI$97,0))</f>
        <v>1</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4</v>
      </c>
      <c r="J20" s="535">
        <f ca="1">+INDEX(WORLDCUP!$AT$6:$AT$97,MATCH(L20,WORLDCUP!$AI$6:$AI$97,0))</f>
        <v>3</v>
      </c>
      <c r="K20" s="536" t="str">
        <f ca="1">+INDEX(WORLDCUP!$AR$6:$AR$97,MATCH(L20,WORLDCUP!$AI$6:$AI$97,0))&amp;"-"&amp;INDEX(WORLDCUP!$AS$6:$AS$97,MATCH(L20,WORLDCUP!$AI$6:$AI$97,0))</f>
        <v>4-1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4</v>
      </c>
      <c r="J21" s="224">
        <f ca="1">+INDEX(WORLDCUP!$AT$6:$AT$97,MATCH(L21,WORLDCUP!$AI$6:$AI$97,0))</f>
        <v>1</v>
      </c>
      <c r="K21" s="225" t="str">
        <f ca="1">+INDEX(WORLDCUP!$AR$6:$AR$97,MATCH(L21,WORLDCUP!$AI$6:$AI$97,0))&amp;"-"&amp;INDEX(WORLDCUP!$AS$6:$AS$97,MATCH(L21,WORLDCUP!$AI$6:$AI$97,0))</f>
        <v>2-1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-4</v>
      </c>
      <c r="K23" s="564" t="str">
        <f ca="1">+INDEX(WORLDCUP!$AR$6:$AR$97,MATCH(L23,WORLDCUP!$AI$6:$AI$97,0))&amp;"-"&amp;INDEX(WORLDCUP!$AS$6:$AS$97,MATCH(L23,WORLDCUP!$AI$6:$AI$97,0))</f>
        <v>0-4</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5</v>
      </c>
      <c r="K28" s="536" t="str">
        <f ca="1">+INDEX(WORLDCUP!$AR$6:$AR$97,MATCH(L28,WORLDCUP!$AI$6:$AI$97,0))&amp;"-"&amp;INDEX(WORLDCUP!$AS$6:$AS$97,MATCH(L28,WORLDCUP!$AI$6:$AI$97,0))</f>
        <v>6-1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6</v>
      </c>
      <c r="V28" s="535">
        <f ca="1">+INDEX(WORLDCUP!$AT$6:$AT$97,MATCH(X28,WORLDCUP!$AI$6:$AI$97,0))</f>
        <v>5</v>
      </c>
      <c r="W28" s="536" t="str">
        <f ca="1">+INDEX(WORLDCUP!$AR$6:$AR$97,MATCH(X28,WORLDCUP!$AI$6:$AI$97,0))&amp;"-"&amp;INDEX(WORLDCUP!$AS$6:$AS$97,MATCH(X28,WORLDCUP!$AI$6:$AI$97,0))</f>
        <v>5-0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0</v>
      </c>
      <c r="W29" s="225" t="str">
        <f ca="1">+INDEX(WORLDCUP!$AR$6:$AR$97,MATCH(X29,WORLDCUP!$AI$6:$AI$97,0))&amp;"-"&amp;INDEX(WORLDCUP!$AS$6:$AS$97,MATCH(X29,WORLDCUP!$AI$6:$AI$97,0))</f>
        <v>3-3</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3</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-3</v>
      </c>
      <c r="K31" s="564" t="str">
        <f ca="1">+INDEX(WORLDCUP!$AR$6:$AR$97,MATCH(L31,WORLDCUP!$AI$6:$AI$97,0))&amp;"-"&amp;INDEX(WORLDCUP!$AS$6:$AS$97,MATCH(L31,WORLDCUP!$AI$6:$AI$97,0))</f>
        <v>0-3</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7</v>
      </c>
      <c r="K36" s="536" t="str">
        <f ca="1">+INDEX(WORLDCUP!$AR$6:$AR$97,MATCH(L36,WORLDCUP!$AI$6:$AI$97,0))&amp;"-"&amp;INDEX(WORLDCUP!$AS$6:$AS$97,MATCH(L36,WORLDCUP!$AI$6:$AI$97,0))</f>
        <v>9-2</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0</v>
      </c>
      <c r="K37" s="225" t="str">
        <f ca="1">+INDEX(WORLDCUP!$AR$6:$AR$97,MATCH(L37,WORLDCUP!$AI$6:$AI$97,0))&amp;"-"&amp;INDEX(WORLDCUP!$AS$6:$AS$97,MATCH(L37,WORLDCUP!$AI$6:$AI$97,0))</f>
        <v>2-2</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1</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4</v>
      </c>
      <c r="J44" s="535">
        <f ca="1">+INDEX(WORLDCUP!$AT$6:$AT$97,MATCH(L44,WORLDCUP!$AI$6:$AI$97,0))</f>
        <v>4</v>
      </c>
      <c r="K44" s="536" t="str">
        <f ca="1">+INDEX(WORLDCUP!$AR$6:$AR$97,MATCH(L44,WORLDCUP!$AI$6:$AI$97,0))&amp;"-"&amp;INDEX(WORLDCUP!$AS$6:$AS$97,MATCH(L44,WORLDCUP!$AI$6:$AI$97,0))</f>
        <v>7-3</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4</v>
      </c>
      <c r="J45" s="224">
        <f ca="1">+INDEX(WORLDCUP!$AT$6:$AT$97,MATCH(L45,WORLDCUP!$AI$6:$AI$97,0))</f>
        <v>4</v>
      </c>
      <c r="K45" s="225" t="str">
        <f ca="1">+INDEX(WORLDCUP!$AR$6:$AR$97,MATCH(L45,WORLDCUP!$AI$6:$AI$97,0))&amp;"-"&amp;INDEX(WORLDCUP!$AS$6:$AS$97,MATCH(L45,WORLDCUP!$AI$6:$AI$97,0))</f>
        <v>6-2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3</v>
      </c>
      <c r="J46" s="224">
        <f ca="1">+INDEX(WORLDCUP!$AT$6:$AT$97,MATCH(L46,WORLDCUP!$AI$6:$AI$97,0))</f>
        <v>0</v>
      </c>
      <c r="K46" s="225" t="str">
        <f ca="1">+INDEX(WORLDCUP!$AR$6:$AR$97,MATCH(L46,WORLDCUP!$AI$6:$AI$97,0))&amp;"-"&amp;INDEX(WORLDCUP!$AS$6:$AS$97,MATCH(L46,WORLDCUP!$AI$6:$AI$97,0))</f>
        <v>6-6</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-8</v>
      </c>
      <c r="K47" s="564" t="str">
        <f ca="1">+INDEX(WORLDCUP!$AR$6:$AR$97,MATCH(L47,WORLDCUP!$AI$6:$AI$97,0))&amp;"-"&amp;INDEX(WORLDCUP!$AS$6:$AS$97,MATCH(L47,WORLDCUP!$AI$6:$AI$97,0))</f>
        <v>1-9</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Suecia</v>
      </c>
      <c r="G2" s="11" t="str">
        <f ca="1">+WORLDCUP!BD65</f>
        <v>Cabo Verde</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Cabo Verde</v>
      </c>
      <c r="D3" s="11" t="str">
        <f ca="1">+WORLDCUP!BD64</f>
        <v>Bélgica</v>
      </c>
      <c r="E3" s="11" t="str">
        <f ca="1">+WORLDCUP!BD66</f>
        <v>Senegal</v>
      </c>
      <c r="F3" s="11" t="str">
        <f ca="1">+WORLDCUP!BD61</f>
        <v>Paraguay</v>
      </c>
      <c r="G3" s="11" t="str">
        <f ca="1">+WORLDCUP!BD67</f>
        <v>Jordania</v>
      </c>
      <c r="H3" s="11" t="str">
        <f ca="1">+WORLDCUP!BD63</f>
        <v>Suecia</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Paraguay</v>
      </c>
      <c r="G4" s="11" t="str">
        <f ca="1">+WORLDCUP!BD65</f>
        <v>Cabo Verde</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Paraguay</v>
      </c>
      <c r="G5" s="11" t="str">
        <f ca="1">+WORLDCUP!BD65</f>
        <v>Cabo Verde</v>
      </c>
      <c r="H5" s="11" t="str">
        <f ca="1">+WORLDCUP!BD63</f>
        <v>Suecia</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Paraguay</v>
      </c>
      <c r="G6" s="11" t="str">
        <f ca="1">+WORLDCUP!BD67</f>
        <v>Jordania</v>
      </c>
      <c r="H6" s="11" t="str">
        <f ca="1">+WORLDCUP!BD63</f>
        <v>Suecia</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Paraguay</v>
      </c>
      <c r="G7" s="11" t="str">
        <f ca="1">+WORLDCUP!BD65</f>
        <v>Cabo Verde</v>
      </c>
      <c r="H7" s="11" t="str">
        <f ca="1">+WORLDCUP!BD63</f>
        <v>Suecia</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Paraguay</v>
      </c>
      <c r="G8" s="11" t="str">
        <f ca="1">+WORLDCUP!BD65</f>
        <v>Cabo Verde</v>
      </c>
      <c r="H8" s="11" t="str">
        <f ca="1">+WORLDCUP!BD63</f>
        <v>Suecia</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Paraguay</v>
      </c>
      <c r="G9" s="11" t="str">
        <f ca="1">+WORLDCUP!BD65</f>
        <v>Cabo Verde</v>
      </c>
      <c r="H9" s="11" t="str">
        <f ca="1">+WORLDCUP!BD63</f>
        <v>Suecia</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Paraguay</v>
      </c>
      <c r="G10" s="11" t="str">
        <f ca="1">+WORLDCUP!BD65</f>
        <v>Cabo Verde</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Cabo Verde</v>
      </c>
      <c r="D11" s="11" t="str">
        <f ca="1">+WORLDCUP!BD64</f>
        <v>Bélgica</v>
      </c>
      <c r="E11" s="11" t="str">
        <f ca="1">+WORLDCUP!BD66</f>
        <v>Senegal</v>
      </c>
      <c r="F11" s="11" t="str">
        <f ca="1">+WORLDCUP!BD60</f>
        <v>Escocia</v>
      </c>
      <c r="G11" s="11" t="str">
        <f ca="1">+WORLDCUP!BD67</f>
        <v>Jordania</v>
      </c>
      <c r="H11" s="11" t="str">
        <f ca="1">+WORLDCUP!BD63</f>
        <v>Suecia</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Escocia</v>
      </c>
      <c r="G12" s="11" t="str">
        <f ca="1">+WORLDCUP!BD65</f>
        <v>Cabo Verde</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Escocia</v>
      </c>
      <c r="G13" s="11" t="str">
        <f ca="1">+WORLDCUP!BD65</f>
        <v>Cabo Verde</v>
      </c>
      <c r="H13" s="11" t="str">
        <f ca="1">+WORLDCUP!BD63</f>
        <v>Suecia</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Escocia</v>
      </c>
      <c r="G14" s="11" t="str">
        <f ca="1">+WORLDCUP!BD67</f>
        <v>Jordania</v>
      </c>
      <c r="H14" s="11" t="str">
        <f ca="1">+WORLDCUP!BD63</f>
        <v>Suecia</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Escocia</v>
      </c>
      <c r="G15" s="11" t="str">
        <f ca="1">+WORLDCUP!BD65</f>
        <v>Cabo Verde</v>
      </c>
      <c r="H15" s="11" t="str">
        <f ca="1">+WORLDCUP!BD63</f>
        <v>Suecia</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Escocia</v>
      </c>
      <c r="G16" s="11" t="str">
        <f ca="1">+WORLDCUP!BD65</f>
        <v>Cabo Verde</v>
      </c>
      <c r="H16" s="11" t="str">
        <f ca="1">+WORLDCUP!BD63</f>
        <v>Suecia</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Escocia</v>
      </c>
      <c r="G17" s="11" t="str">
        <f ca="1">+WORLDCUP!BD65</f>
        <v>Cabo Verde</v>
      </c>
      <c r="H17" s="11" t="str">
        <f ca="1">+WORLDCUP!BD63</f>
        <v>Suecia</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Escocia</v>
      </c>
      <c r="G18" s="11" t="str">
        <f ca="1">+WORLDCUP!BD65</f>
        <v>Cabo Verde</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Cabo Verde</v>
      </c>
      <c r="D19" s="11" t="str">
        <f ca="1">+WORLDCUP!BD64</f>
        <v>Bélgica</v>
      </c>
      <c r="E19" s="11" t="str">
        <f ca="1">+WORLDCUP!BD66</f>
        <v>Senegal</v>
      </c>
      <c r="F19" s="11" t="str">
        <f ca="1">+WORLDCUP!BD60</f>
        <v>Escocia</v>
      </c>
      <c r="G19" s="11" t="str">
        <f ca="1">+WORLDCUP!BD67</f>
        <v>Jordania</v>
      </c>
      <c r="H19" s="11" t="str">
        <f ca="1">+WORLDCUP!BD61</f>
        <v>Paraguay</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Jordania</v>
      </c>
      <c r="E20" s="11" t="str">
        <f ca="1">+WORLDCUP!BD66</f>
        <v>Senegal</v>
      </c>
      <c r="F20" s="11" t="str">
        <f ca="1">+WORLDCUP!BD61</f>
        <v>Paraguay</v>
      </c>
      <c r="G20" s="11" t="str">
        <f ca="1">+WORLDCUP!BD65</f>
        <v>Cabo Verde</v>
      </c>
      <c r="H20" s="11" t="str">
        <f ca="1">+WORLDCUP!BD63</f>
        <v>Suecia</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Bélgica</v>
      </c>
      <c r="E21" s="11" t="str">
        <f ca="1">+WORLDCUP!BD66</f>
        <v>Senegal</v>
      </c>
      <c r="F21" s="11" t="str">
        <f ca="1">+WORLDCUP!BD61</f>
        <v>Paraguay</v>
      </c>
      <c r="G21" s="11" t="str">
        <f ca="1">+WORLDCUP!BD67</f>
        <v>Jordania</v>
      </c>
      <c r="H21" s="11" t="str">
        <f ca="1">+WORLDCUP!BD63</f>
        <v>Suecia</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Bélgica</v>
      </c>
      <c r="E22" s="11" t="str">
        <f ca="1">+WORLDCUP!BD67</f>
        <v>Jordania</v>
      </c>
      <c r="F22" s="11" t="str">
        <f ca="1">+WORLDCUP!BD61</f>
        <v>Paraguay</v>
      </c>
      <c r="G22" s="11" t="str">
        <f ca="1">+WORLDCUP!BD65</f>
        <v>Cabo Verde</v>
      </c>
      <c r="H22" s="11" t="str">
        <f ca="1">+WORLDCUP!BD63</f>
        <v>Suecia</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Bélgica</v>
      </c>
      <c r="E23" s="11" t="str">
        <f ca="1">+WORLDCUP!BD66</f>
        <v>Senegal</v>
      </c>
      <c r="F23" s="11" t="str">
        <f ca="1">+WORLDCUP!BD61</f>
        <v>Paraguay</v>
      </c>
      <c r="G23" s="11" t="str">
        <f ca="1">+WORLDCUP!BD65</f>
        <v>Cabo Verde</v>
      </c>
      <c r="H23" s="11" t="str">
        <f ca="1">+WORLDCUP!BD63</f>
        <v>Suecia</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Bélgica</v>
      </c>
      <c r="E24" s="11" t="str">
        <f ca="1">+WORLDCUP!BD67</f>
        <v>Jordania</v>
      </c>
      <c r="F24" s="11" t="str">
        <f ca="1">+WORLDCUP!BD61</f>
        <v>Paraguay</v>
      </c>
      <c r="G24" s="11" t="str">
        <f ca="1">+WORLDCUP!BD65</f>
        <v>Cabo Verde</v>
      </c>
      <c r="H24" s="11" t="str">
        <f ca="1">+WORLDCUP!BD63</f>
        <v>Suecia</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Bélgica</v>
      </c>
      <c r="E25" s="11" t="str">
        <f ca="1">+WORLDCUP!BD67</f>
        <v>Jordania</v>
      </c>
      <c r="F25" s="11" t="str">
        <f ca="1">+WORLDCUP!BD61</f>
        <v>Paraguay</v>
      </c>
      <c r="G25" s="11" t="str">
        <f ca="1">+WORLDCUP!BD65</f>
        <v>Cabo Verde</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Escocia</v>
      </c>
      <c r="G26" s="11" t="str">
        <f ca="1">+WORLDCUP!BD65</f>
        <v>Cabo Verde</v>
      </c>
      <c r="H26" s="11" t="str">
        <f ca="1">+WORLDCUP!BD61</f>
        <v>Paraguay</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Escocia</v>
      </c>
      <c r="G27" s="11" t="str">
        <f ca="1">+WORLDCUP!BD67</f>
        <v>Jordania</v>
      </c>
      <c r="H27" s="11" t="str">
        <f ca="1">+WORLDCUP!BD61</f>
        <v>Paraguay</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Escocia</v>
      </c>
      <c r="G28" s="11" t="str">
        <f ca="1">+WORLDCUP!BD65</f>
        <v>Cabo Verde</v>
      </c>
      <c r="H28" s="11" t="str">
        <f ca="1">+WORLDCUP!BD61</f>
        <v>Paraguay</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Escocia</v>
      </c>
      <c r="G29" s="11" t="str">
        <f ca="1">+WORLDCUP!BD65</f>
        <v>Cabo Verde</v>
      </c>
      <c r="H29" s="11" t="str">
        <f ca="1">+WORLDCUP!BD61</f>
        <v>Paraguay</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Escocia</v>
      </c>
      <c r="G30" s="11" t="str">
        <f ca="1">+WORLDCUP!BD65</f>
        <v>Cabo Verde</v>
      </c>
      <c r="H30" s="11" t="str">
        <f ca="1">+WORLDCUP!BD61</f>
        <v>Paraguay</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Escocia</v>
      </c>
      <c r="G31" s="11" t="str">
        <f ca="1">+WORLDCUP!BD65</f>
        <v>Cabo Verde</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Jordania</v>
      </c>
      <c r="E32" s="11" t="str">
        <f ca="1">+WORLDCUP!BD62</f>
        <v>Ecuador</v>
      </c>
      <c r="F32" s="11" t="str">
        <f ca="1">+WORLDCUP!BD61</f>
        <v>Paraguay</v>
      </c>
      <c r="G32" s="11" t="str">
        <f ca="1">+WORLDCUP!BD66</f>
        <v>Senegal</v>
      </c>
      <c r="H32" s="11" t="str">
        <f ca="1">+WORLDCUP!BD63</f>
        <v>Suecia</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Jordania</v>
      </c>
      <c r="E33" s="11" t="str">
        <f ca="1">+WORLDCUP!BD62</f>
        <v>Ecuador</v>
      </c>
      <c r="F33" s="11" t="str">
        <f ca="1">+WORLDCUP!BD61</f>
        <v>Paraguay</v>
      </c>
      <c r="G33" s="11" t="str">
        <f ca="1">+WORLDCUP!BD65</f>
        <v>Cabo Verde</v>
      </c>
      <c r="H33" s="11" t="str">
        <f ca="1">+WORLDCUP!BD63</f>
        <v>Suecia</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Cabo Verde</v>
      </c>
      <c r="H34" s="11" t="str">
        <f ca="1">+WORLDCUP!BD63</f>
        <v>Suecia</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Jordania</v>
      </c>
      <c r="E35" s="11" t="str">
        <f ca="1">+WORLDCUP!BD62</f>
        <v>Ecuador</v>
      </c>
      <c r="F35" s="11" t="str">
        <f ca="1">+WORLDCUP!BD61</f>
        <v>Paraguay</v>
      </c>
      <c r="G35" s="11" t="str">
        <f ca="1">+WORLDCUP!BD65</f>
        <v>Cabo Verde</v>
      </c>
      <c r="H35" s="11" t="str">
        <f ca="1">+WORLDCUP!BD63</f>
        <v>Suecia</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Jordania</v>
      </c>
      <c r="E36" s="11" t="str">
        <f ca="1">+WORLDCUP!BD62</f>
        <v>Ecuador</v>
      </c>
      <c r="F36" s="11" t="str">
        <f ca="1">+WORLDCUP!BD61</f>
        <v>Paraguay</v>
      </c>
      <c r="G36" s="11" t="str">
        <f ca="1">+WORLDCUP!BD65</f>
        <v>Cabo Verde</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Bélgica</v>
      </c>
      <c r="E37" s="11" t="str">
        <f ca="1">+WORLDCUP!BD62</f>
        <v>Ecuador</v>
      </c>
      <c r="F37" s="11" t="str">
        <f ca="1">+WORLDCUP!BD61</f>
        <v>Paraguay</v>
      </c>
      <c r="G37" s="11" t="str">
        <f ca="1">+WORLDCUP!BD67</f>
        <v>Jordania</v>
      </c>
      <c r="H37" s="11" t="str">
        <f ca="1">+WORLDCUP!BD63</f>
        <v>Suecia</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Bélgica</v>
      </c>
      <c r="E38" s="11" t="str">
        <f ca="1">+WORLDCUP!BD62</f>
        <v>Ecuador</v>
      </c>
      <c r="F38" s="11" t="str">
        <f ca="1">+WORLDCUP!BD61</f>
        <v>Paraguay</v>
      </c>
      <c r="G38" s="11" t="str">
        <f ca="1">+WORLDCUP!BD66</f>
        <v>Senegal</v>
      </c>
      <c r="H38" s="11" t="str">
        <f ca="1">+WORLDCUP!BD63</f>
        <v>Suecia</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Bélgica</v>
      </c>
      <c r="E39" s="11" t="str">
        <f ca="1">+WORLDCUP!BD62</f>
        <v>Ecuador</v>
      </c>
      <c r="F39" s="11" t="str">
        <f ca="1">+WORLDCUP!BD61</f>
        <v>Paraguay</v>
      </c>
      <c r="G39" s="11" t="str">
        <f ca="1">+WORLDCUP!BD67</f>
        <v>Jordania</v>
      </c>
      <c r="H39" s="11" t="str">
        <f ca="1">+WORLDCUP!BD63</f>
        <v>Suecia</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Bélgica</v>
      </c>
      <c r="E40" s="11" t="str">
        <f ca="1">+WORLDCUP!BD62</f>
        <v>Ecuador</v>
      </c>
      <c r="F40" s="11" t="str">
        <f ca="1">+WORLDCUP!BD61</f>
        <v>Paraguay</v>
      </c>
      <c r="G40" s="11" t="str">
        <f ca="1">+WORLDCUP!BD67</f>
        <v>Jordania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Bélgica</v>
      </c>
      <c r="E41" s="11" t="str">
        <f ca="1">+WORLDCUP!BD62</f>
        <v>Ecuador</v>
      </c>
      <c r="F41" s="11" t="str">
        <f ca="1">+WORLDCUP!BD61</f>
        <v>Paraguay</v>
      </c>
      <c r="G41" s="11" t="str">
        <f ca="1">+WORLDCUP!BD65</f>
        <v>Cabo Verde</v>
      </c>
      <c r="H41" s="11" t="str">
        <f ca="1">+WORLDCUP!BD63</f>
        <v>Suecia</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Bélgica</v>
      </c>
      <c r="E42" s="11" t="str">
        <f ca="1">+WORLDCUP!BD67</f>
        <v>Jordania</v>
      </c>
      <c r="F42" s="11" t="str">
        <f ca="1">+WORLDCUP!BD61</f>
        <v>Paraguay</v>
      </c>
      <c r="G42" s="11" t="str">
        <f ca="1">+WORLDCUP!BD65</f>
        <v>Cabo Verde</v>
      </c>
      <c r="H42" s="11" t="str">
        <f ca="1">+WORLDCUP!BD63</f>
        <v>Suecia</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Bélgica</v>
      </c>
      <c r="E43" s="11" t="str">
        <f ca="1">+WORLDCUP!BD67</f>
        <v>Jordania</v>
      </c>
      <c r="F43" s="11" t="str">
        <f ca="1">+WORLDCUP!BD61</f>
        <v>Paraguay</v>
      </c>
      <c r="G43" s="11" t="str">
        <f ca="1">+WORLDCUP!BD65</f>
        <v>Cabo Verde</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Bélgica</v>
      </c>
      <c r="E44" s="11" t="str">
        <f ca="1">+WORLDCUP!BD62</f>
        <v>Ecuador</v>
      </c>
      <c r="F44" s="11" t="str">
        <f ca="1">+WORLDCUP!BD61</f>
        <v>Paraguay</v>
      </c>
      <c r="G44" s="11" t="str">
        <f ca="1">+WORLDCUP!BD65</f>
        <v>Cabo Verde</v>
      </c>
      <c r="H44" s="11" t="str">
        <f ca="1">+WORLDCUP!BD63</f>
        <v>Suecia</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Bélgica</v>
      </c>
      <c r="E45" s="11" t="str">
        <f ca="1">+WORLDCUP!BD62</f>
        <v>Ecuador</v>
      </c>
      <c r="F45" s="11" t="str">
        <f ca="1">+WORLDCUP!BD61</f>
        <v>Paraguay</v>
      </c>
      <c r="G45" s="11" t="str">
        <f ca="1">+WORLDCUP!BD65</f>
        <v>Cabo Verde</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Bélgica</v>
      </c>
      <c r="E46" s="11" t="str">
        <f ca="1">+WORLDCUP!BD67</f>
        <v>Jordania</v>
      </c>
      <c r="F46" s="11" t="str">
        <f ca="1">+WORLDCUP!BD61</f>
        <v>Paraguay</v>
      </c>
      <c r="G46" s="11" t="str">
        <f ca="1">+WORLDCUP!BD65</f>
        <v>Cabo Verde</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Cabo Verde</v>
      </c>
      <c r="D47" s="11" t="str">
        <f ca="1">+WORLDCUP!BD67</f>
        <v>Jordania</v>
      </c>
      <c r="E47" s="11" t="str">
        <f ca="1">+WORLDCUP!BD59</f>
        <v>Bosnia y Herzegovina</v>
      </c>
      <c r="F47" s="11" t="str">
        <f ca="1">+WORLDCUP!BD63</f>
        <v>Suecia</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Bosnia y Herzegovina</v>
      </c>
      <c r="G48" s="11" t="str">
        <f ca="1">+WORLDCUP!BD65</f>
        <v>Cabo Verde</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Bosnia y Herzegovina</v>
      </c>
      <c r="F49" s="11" t="str">
        <f ca="1">+WORLDCUP!BD63</f>
        <v>Suecia</v>
      </c>
      <c r="G49" s="11" t="str">
        <f ca="1">+WORLDCUP!BD66</f>
        <v>Senegal</v>
      </c>
      <c r="H49" s="11" t="str">
        <f ca="1">+WORLDCUP!BD65</f>
        <v>Cabo Verde</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Bosnia y Herzegovina</v>
      </c>
      <c r="F50" s="11" t="str">
        <f ca="1">+WORLDCUP!BD63</f>
        <v>Suecia</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Bosnia y Herzegovina</v>
      </c>
      <c r="F51" s="11" t="str">
        <f ca="1">+WORLDCUP!BD63</f>
        <v>Suecia</v>
      </c>
      <c r="G51" s="11" t="str">
        <f ca="1">+WORLDCUP!BD65</f>
        <v>Cabo Verde</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Bosnia y Herzegovina</v>
      </c>
      <c r="F52" s="11" t="str">
        <f ca="1">+WORLDCUP!BD63</f>
        <v>Suecia</v>
      </c>
      <c r="G52" s="11" t="str">
        <f ca="1">+WORLDCUP!BD66</f>
        <v>Senegal</v>
      </c>
      <c r="H52" s="11" t="str">
        <f ca="1">+WORLDCUP!BD65</f>
        <v>Cabo Verde</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Bosnia y Herzegovina</v>
      </c>
      <c r="F53" s="11" t="str">
        <f ca="1">+WORLDCUP!BD63</f>
        <v>Suecia</v>
      </c>
      <c r="G53" s="11" t="str">
        <f ca="1">+WORLDCUP!BD65</f>
        <v>Cabo Verde</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Bosnia y Herzegovina</v>
      </c>
      <c r="F54" s="11" t="str">
        <f ca="1">+WORLDCUP!BD63</f>
        <v>Suecia</v>
      </c>
      <c r="G54" s="11" t="str">
        <f ca="1">+WORLDCUP!BD65</f>
        <v>Cabo Verde</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Cabo Verde</v>
      </c>
      <c r="D55" s="11" t="str">
        <f ca="1">+WORLDCUP!BD67</f>
        <v>Jordania</v>
      </c>
      <c r="E55" s="11" t="str">
        <f ca="1">+WORLDCUP!BD59</f>
        <v>Bosnia y Herzegovina</v>
      </c>
      <c r="F55" s="11" t="str">
        <f ca="1">+WORLDCUP!BD61</f>
        <v>Paraguay</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Cabo Verde</v>
      </c>
      <c r="D56" s="11" t="str">
        <f ca="1">+WORLDCUP!BD67</f>
        <v>Jordania</v>
      </c>
      <c r="E56" s="11" t="str">
        <f ca="1">+WORLDCUP!BD59</f>
        <v>Bosnia y Herzegovina</v>
      </c>
      <c r="F56" s="11" t="str">
        <f ca="1">+WORLDCUP!BD61</f>
        <v>Paraguay</v>
      </c>
      <c r="G56" s="11" t="str">
        <f ca="1">+WORLDCUP!BD66</f>
        <v>Senegal</v>
      </c>
      <c r="H56" s="11" t="str">
        <f ca="1">+WORLDCUP!BD63</f>
        <v>Suecia</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Bosnia y Herzegovina</v>
      </c>
      <c r="F57" s="11" t="str">
        <f ca="1">+WORLDCUP!BD61</f>
        <v>Paraguay</v>
      </c>
      <c r="G57" s="11" t="str">
        <f ca="1">+WORLDCUP!BD67</f>
        <v>Jordania</v>
      </c>
      <c r="H57" s="11" t="str">
        <f ca="1">+WORLDCUP!BD63</f>
        <v>Suecia</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Cabo Verde</v>
      </c>
      <c r="D58" s="11" t="str">
        <f ca="1">+WORLDCUP!BD64</f>
        <v>Bélgica</v>
      </c>
      <c r="E58" s="11" t="str">
        <f ca="1">+WORLDCUP!BD59</f>
        <v>Bosnia y Herzegovina</v>
      </c>
      <c r="F58" s="11" t="str">
        <f ca="1">+WORLDCUP!BD61</f>
        <v>Paraguay</v>
      </c>
      <c r="G58" s="11" t="str">
        <f ca="1">+WORLDCUP!BD67</f>
        <v>Jordania</v>
      </c>
      <c r="H58" s="11" t="str">
        <f ca="1">+WORLDCUP!BD63</f>
        <v>Suecia</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Cabo Verde</v>
      </c>
      <c r="D59" s="11" t="str">
        <f ca="1">+WORLDCUP!BD64</f>
        <v>Bélgica</v>
      </c>
      <c r="E59" s="11" t="str">
        <f ca="1">+WORLDCUP!BD59</f>
        <v>Bosnia y Herzegovina</v>
      </c>
      <c r="F59" s="11" t="str">
        <f ca="1">+WORLDCUP!BD61</f>
        <v>Paraguay</v>
      </c>
      <c r="G59" s="11" t="str">
        <f ca="1">+WORLDCUP!BD66</f>
        <v>Senegal</v>
      </c>
      <c r="H59" s="11" t="str">
        <f ca="1">+WORLDCUP!BD63</f>
        <v>Suecia</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Cabo Verde</v>
      </c>
      <c r="D60" s="11" t="str">
        <f ca="1">+WORLDCUP!BD64</f>
        <v>Bélgica</v>
      </c>
      <c r="E60" s="11" t="str">
        <f ca="1">+WORLDCUP!BD59</f>
        <v>Bosnia y Herzegovina</v>
      </c>
      <c r="F60" s="11" t="str">
        <f ca="1">+WORLDCUP!BD61</f>
        <v>Paraguay</v>
      </c>
      <c r="G60" s="11" t="str">
        <f ca="1">+WORLDCUP!BD67</f>
        <v>Jordania</v>
      </c>
      <c r="H60" s="11" t="str">
        <f ca="1">+WORLDCUP!BD63</f>
        <v>Suecia</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Cabo Verde</v>
      </c>
      <c r="D61" s="11" t="str">
        <f ca="1">+WORLDCUP!BD64</f>
        <v>Bélgica</v>
      </c>
      <c r="E61" s="11" t="str">
        <f ca="1">+WORLDCUP!BD59</f>
        <v>Bosnia y Herzegovina</v>
      </c>
      <c r="F61" s="11" t="str">
        <f ca="1">+WORLDCUP!BD61</f>
        <v>Paraguay</v>
      </c>
      <c r="G61" s="11" t="str">
        <f ca="1">+WORLDCUP!BD67</f>
        <v>Jordania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Bosnia y Herzegovina</v>
      </c>
      <c r="F62" s="11" t="str">
        <f ca="1">+WORLDCUP!BD61</f>
        <v>Paraguay</v>
      </c>
      <c r="G62" s="11" t="str">
        <f ca="1">+WORLDCUP!BD66</f>
        <v>Senegal</v>
      </c>
      <c r="H62" s="11" t="str">
        <f ca="1">+WORLDCUP!BD65</f>
        <v>Cabo Verde</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Bosnia y Herzegovina</v>
      </c>
      <c r="F63" s="11" t="str">
        <f ca="1">+WORLDCUP!BD61</f>
        <v>Paraguay</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Bosnia y Herzegovina</v>
      </c>
      <c r="F64" s="11" t="str">
        <f ca="1">+WORLDCUP!BD61</f>
        <v>Paraguay</v>
      </c>
      <c r="G64" s="11" t="str">
        <f ca="1">+WORLDCUP!BD65</f>
        <v>Cabo Verde</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Bosnia y Herzegovina</v>
      </c>
      <c r="F65" s="11" t="str">
        <f ca="1">+WORLDCUP!BD61</f>
        <v>Paraguay</v>
      </c>
      <c r="G65" s="11" t="str">
        <f ca="1">+WORLDCUP!BD66</f>
        <v>Senegal</v>
      </c>
      <c r="H65" s="11" t="str">
        <f ca="1">+WORLDCUP!BD65</f>
        <v>Cabo Verde</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Bosnia y Herzegovina</v>
      </c>
      <c r="F66" s="11" t="str">
        <f ca="1">+WORLDCUP!BD61</f>
        <v>Paraguay</v>
      </c>
      <c r="G66" s="11" t="str">
        <f ca="1">+WORLDCUP!BD65</f>
        <v>Cabo Verde</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Bosnia y Herzegovina</v>
      </c>
      <c r="F67" s="11" t="str">
        <f ca="1">+WORLDCUP!BD61</f>
        <v>Paraguay</v>
      </c>
      <c r="G67" s="11" t="str">
        <f ca="1">+WORLDCUP!BD65</f>
        <v>Cabo Verde</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Bosnia y Herzegovina</v>
      </c>
      <c r="F68" s="11" t="str">
        <f ca="1">+WORLDCUP!BD61</f>
        <v>Paraguay</v>
      </c>
      <c r="G68" s="11" t="str">
        <f ca="1">+WORLDCUP!BD66</f>
        <v>Senegal</v>
      </c>
      <c r="H68" s="11" t="str">
        <f ca="1">+WORLDCUP!BD63</f>
        <v>Suecia</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Bosnia y Herzegovina</v>
      </c>
      <c r="F69" s="11" t="str">
        <f ca="1">+WORLDCUP!BD61</f>
        <v>Paraguay</v>
      </c>
      <c r="G69" s="11" t="str">
        <f ca="1">+WORLDCUP!BD65</f>
        <v>Cabo Verde</v>
      </c>
      <c r="H69" s="11" t="str">
        <f ca="1">+WORLDCUP!BD63</f>
        <v>Suecia</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Cabo Verde</v>
      </c>
      <c r="H70" s="11" t="str">
        <f ca="1">+WORLDCUP!BD63</f>
        <v>Suecia</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Bosnia y Herzegovina</v>
      </c>
      <c r="F71" s="11" t="str">
        <f ca="1">+WORLDCUP!BD61</f>
        <v>Paraguay</v>
      </c>
      <c r="G71" s="11" t="str">
        <f ca="1">+WORLDCUP!BD65</f>
        <v>Cabo Verde</v>
      </c>
      <c r="H71" s="11" t="str">
        <f ca="1">+WORLDCUP!BD63</f>
        <v>Suecia</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Bosnia y Herzegovina</v>
      </c>
      <c r="F72" s="11" t="str">
        <f ca="1">+WORLDCUP!BD61</f>
        <v>Paraguay</v>
      </c>
      <c r="G72" s="11" t="str">
        <f ca="1">+WORLDCUP!BD65</f>
        <v>Cabo Verde</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Bosnia y Herzegovina</v>
      </c>
      <c r="F73" s="11" t="str">
        <f ca="1">+WORLDCUP!BD61</f>
        <v>Paraguay</v>
      </c>
      <c r="G73" s="11" t="str">
        <f ca="1">+WORLDCUP!BD67</f>
        <v>Jordania</v>
      </c>
      <c r="H73" s="11" t="str">
        <f ca="1">+WORLDCUP!BD63</f>
        <v>Suecia</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Bosnia y Herzegovina</v>
      </c>
      <c r="F74" s="11" t="str">
        <f ca="1">+WORLDCUP!BD61</f>
        <v>Paraguay</v>
      </c>
      <c r="G74" s="11" t="str">
        <f ca="1">+WORLDCUP!BD66</f>
        <v>Senegal</v>
      </c>
      <c r="H74" s="11" t="str">
        <f ca="1">+WORLDCUP!BD63</f>
        <v>Suecia</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Bosnia y Herzegovina</v>
      </c>
      <c r="F75" s="11" t="str">
        <f ca="1">+WORLDCUP!BD61</f>
        <v>Paraguay</v>
      </c>
      <c r="G75" s="11" t="str">
        <f ca="1">+WORLDCUP!BD67</f>
        <v>Jordania</v>
      </c>
      <c r="H75" s="11" t="str">
        <f ca="1">+WORLDCUP!BD63</f>
        <v>Suecia</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Bosnia y Herzegovina</v>
      </c>
      <c r="F76" s="11" t="str">
        <f ca="1">+WORLDCUP!BD61</f>
        <v>Paraguay</v>
      </c>
      <c r="G76" s="11" t="str">
        <f ca="1">+WORLDCUP!BD67</f>
        <v>Jordania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Bosnia y Herzegovina</v>
      </c>
      <c r="F77" s="11" t="str">
        <f ca="1">+WORLDCUP!BD61</f>
        <v>Paraguay</v>
      </c>
      <c r="G77" s="11" t="str">
        <f ca="1">+WORLDCUP!BD65</f>
        <v>Cabo Verde</v>
      </c>
      <c r="H77" s="11" t="str">
        <f ca="1">+WORLDCUP!BD63</f>
        <v>Suecia</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Cabo Verde</v>
      </c>
      <c r="D78" s="11" t="str">
        <f ca="1">+WORLDCUP!BD64</f>
        <v>Bélgica</v>
      </c>
      <c r="E78" s="11" t="str">
        <f ca="1">+WORLDCUP!BD59</f>
        <v>Bosnia y Herzegovina</v>
      </c>
      <c r="F78" s="11" t="str">
        <f ca="1">+WORLDCUP!BD61</f>
        <v>Paraguay</v>
      </c>
      <c r="G78" s="11" t="str">
        <f ca="1">+WORLDCUP!BD67</f>
        <v>Jordania</v>
      </c>
      <c r="H78" s="11" t="str">
        <f ca="1">+WORLDCUP!BD63</f>
        <v>Suecia</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Cabo Verde</v>
      </c>
      <c r="D79" s="11" t="str">
        <f ca="1">+WORLDCUP!BD64</f>
        <v>Bélgica</v>
      </c>
      <c r="E79" s="11" t="str">
        <f ca="1">+WORLDCUP!BD59</f>
        <v>Bosnia y Herzegovina</v>
      </c>
      <c r="F79" s="11" t="str">
        <f ca="1">+WORLDCUP!BD61</f>
        <v>Paraguay</v>
      </c>
      <c r="G79" s="11" t="str">
        <f ca="1">+WORLDCUP!BD67</f>
        <v>Jordania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Bosnia y Herzegovina</v>
      </c>
      <c r="F80" s="11" t="str">
        <f ca="1">+WORLDCUP!BD61</f>
        <v>Paraguay</v>
      </c>
      <c r="G80" s="11" t="str">
        <f ca="1">+WORLDCUP!BD65</f>
        <v>Cabo Verde</v>
      </c>
      <c r="H80" s="11" t="str">
        <f ca="1">+WORLDCUP!BD63</f>
        <v>Suecia</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Bosnia y Herzegovina</v>
      </c>
      <c r="F81" s="11" t="str">
        <f ca="1">+WORLDCUP!BD61</f>
        <v>Paraguay</v>
      </c>
      <c r="G81" s="11" t="str">
        <f ca="1">+WORLDCUP!BD65</f>
        <v>Cabo Verde</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Cabo Verde</v>
      </c>
      <c r="D82" s="11" t="str">
        <f ca="1">+WORLDCUP!BD64</f>
        <v>Bélgica</v>
      </c>
      <c r="E82" s="11" t="str">
        <f ca="1">+WORLDCUP!BD59</f>
        <v>Bosnia y Herzegovina</v>
      </c>
      <c r="F82" s="11" t="str">
        <f ca="1">+WORLDCUP!BD61</f>
        <v>Paraguay</v>
      </c>
      <c r="G82" s="11" t="str">
        <f ca="1">+WORLDCUP!BD67</f>
        <v>Jordania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Cabo Verde</v>
      </c>
      <c r="D83" s="11" t="str">
        <f ca="1">+WORLDCUP!BD67</f>
        <v>Jordania</v>
      </c>
      <c r="E83" s="11" t="str">
        <f ca="1">+WORLDCUP!BD59</f>
        <v>Bosnia y Herzegovina</v>
      </c>
      <c r="F83" s="11" t="str">
        <f ca="1">+WORLDCUP!BD60</f>
        <v>Escocia</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Cabo Verde</v>
      </c>
      <c r="D84" s="11" t="str">
        <f ca="1">+WORLDCUP!BD67</f>
        <v>Jordania</v>
      </c>
      <c r="E84" s="11" t="str">
        <f ca="1">+WORLDCUP!BD59</f>
        <v>Bosnia y Herzegovina</v>
      </c>
      <c r="F84" s="11" t="str">
        <f ca="1">+WORLDCUP!BD60</f>
        <v>Escocia</v>
      </c>
      <c r="G84" s="11" t="str">
        <f ca="1">+WORLDCUP!BD66</f>
        <v>Senegal</v>
      </c>
      <c r="H84" s="11" t="str">
        <f ca="1">+WORLDCUP!BD63</f>
        <v>Suecia</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Bosnia y Herzegovina</v>
      </c>
      <c r="F85" s="11" t="str">
        <f ca="1">+WORLDCUP!BD60</f>
        <v>Escocia</v>
      </c>
      <c r="G85" s="11" t="str">
        <f ca="1">+WORLDCUP!BD67</f>
        <v>Jordania</v>
      </c>
      <c r="H85" s="11" t="str">
        <f ca="1">+WORLDCUP!BD63</f>
        <v>Suecia</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Cabo Verde</v>
      </c>
      <c r="D86" s="11" t="str">
        <f ca="1">+WORLDCUP!BD64</f>
        <v>Bélgica</v>
      </c>
      <c r="E86" s="11" t="str">
        <f ca="1">+WORLDCUP!BD59</f>
        <v>Bosnia y Herzegovina</v>
      </c>
      <c r="F86" s="11" t="str">
        <f ca="1">+WORLDCUP!BD60</f>
        <v>Escocia</v>
      </c>
      <c r="G86" s="11" t="str">
        <f ca="1">+WORLDCUP!BD67</f>
        <v>Jordania</v>
      </c>
      <c r="H86" s="11" t="str">
        <f ca="1">+WORLDCUP!BD63</f>
        <v>Suecia</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Cabo Verde</v>
      </c>
      <c r="D87" s="11" t="str">
        <f ca="1">+WORLDCUP!BD64</f>
        <v>Bélgica</v>
      </c>
      <c r="E87" s="11" t="str">
        <f ca="1">+WORLDCUP!BD59</f>
        <v>Bosnia y Herzegovina</v>
      </c>
      <c r="F87" s="11" t="str">
        <f ca="1">+WORLDCUP!BD60</f>
        <v>Escocia</v>
      </c>
      <c r="G87" s="11" t="str">
        <f ca="1">+WORLDCUP!BD66</f>
        <v>Senegal</v>
      </c>
      <c r="H87" s="11" t="str">
        <f ca="1">+WORLDCUP!BD63</f>
        <v>Suecia</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Cabo Verde</v>
      </c>
      <c r="D88" s="11" t="str">
        <f ca="1">+WORLDCUP!BD64</f>
        <v>Bélgica</v>
      </c>
      <c r="E88" s="11" t="str">
        <f ca="1">+WORLDCUP!BD59</f>
        <v>Bosnia y Herzegovina</v>
      </c>
      <c r="F88" s="11" t="str">
        <f ca="1">+WORLDCUP!BD60</f>
        <v>Escocia</v>
      </c>
      <c r="G88" s="11" t="str">
        <f ca="1">+WORLDCUP!BD67</f>
        <v>Jordania</v>
      </c>
      <c r="H88" s="11" t="str">
        <f ca="1">+WORLDCUP!BD63</f>
        <v>Suecia</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Cabo Verde</v>
      </c>
      <c r="D89" s="11" t="str">
        <f ca="1">+WORLDCUP!BD64</f>
        <v>Bélgica</v>
      </c>
      <c r="E89" s="11" t="str">
        <f ca="1">+WORLDCUP!BD59</f>
        <v>Bosnia y Herzegovina</v>
      </c>
      <c r="F89" s="11" t="str">
        <f ca="1">+WORLDCUP!BD60</f>
        <v>Escocia</v>
      </c>
      <c r="G89" s="11" t="str">
        <f ca="1">+WORLDCUP!BD67</f>
        <v>Jordania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Bosnia y Herzegovina</v>
      </c>
      <c r="F90" s="11" t="str">
        <f ca="1">+WORLDCUP!BD60</f>
        <v>Escocia</v>
      </c>
      <c r="G90" s="11" t="str">
        <f ca="1">+WORLDCUP!BD66</f>
        <v>Senegal</v>
      </c>
      <c r="H90" s="11" t="str">
        <f ca="1">+WORLDCUP!BD65</f>
        <v>Cabo Verde</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Bosnia y Herzegovina</v>
      </c>
      <c r="F91" s="11" t="str">
        <f ca="1">+WORLDCUP!BD60</f>
        <v>Escocia</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Bosnia y Herzegovina</v>
      </c>
      <c r="F92" s="11" t="str">
        <f ca="1">+WORLDCUP!BD60</f>
        <v>Escocia</v>
      </c>
      <c r="G92" s="11" t="str">
        <f ca="1">+WORLDCUP!BD65</f>
        <v>Cabo Verde</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Bosnia y Herzegovina</v>
      </c>
      <c r="F93" s="11" t="str">
        <f ca="1">+WORLDCUP!BD60</f>
        <v>Escocia</v>
      </c>
      <c r="G93" s="11" t="str">
        <f ca="1">+WORLDCUP!BD66</f>
        <v>Senegal</v>
      </c>
      <c r="H93" s="11" t="str">
        <f ca="1">+WORLDCUP!BD65</f>
        <v>Cabo Verde</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Bosnia y Herzegovina</v>
      </c>
      <c r="F94" s="11" t="str">
        <f ca="1">+WORLDCUP!BD60</f>
        <v>Escocia</v>
      </c>
      <c r="G94" s="11" t="str">
        <f ca="1">+WORLDCUP!BD65</f>
        <v>Cabo Verde</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Bosnia y Herzegovina</v>
      </c>
      <c r="F95" s="11" t="str">
        <f ca="1">+WORLDCUP!BD60</f>
        <v>Escocia</v>
      </c>
      <c r="G95" s="11" t="str">
        <f ca="1">+WORLDCUP!BD65</f>
        <v>Cabo Verde</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Bosnia y Herzegovina</v>
      </c>
      <c r="F96" s="11" t="str">
        <f ca="1">+WORLDCUP!BD60</f>
        <v>Escocia</v>
      </c>
      <c r="G96" s="11" t="str">
        <f ca="1">+WORLDCUP!BD66</f>
        <v>Senegal</v>
      </c>
      <c r="H96" s="11" t="str">
        <f ca="1">+WORLDCUP!BD63</f>
        <v>Suecia</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Bosnia y Herzegovina</v>
      </c>
      <c r="F97" s="11" t="str">
        <f ca="1">+WORLDCUP!BD60</f>
        <v>Escocia</v>
      </c>
      <c r="G97" s="11" t="str">
        <f ca="1">+WORLDCUP!BD65</f>
        <v>Cabo Verde</v>
      </c>
      <c r="H97" s="11" t="str">
        <f ca="1">+WORLDCUP!BD63</f>
        <v>Suecia</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Cabo Verde</v>
      </c>
      <c r="H98" s="11" t="str">
        <f ca="1">+WORLDCUP!BD63</f>
        <v>Suecia</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Bosnia y Herzegovina</v>
      </c>
      <c r="F99" s="11" t="str">
        <f ca="1">+WORLDCUP!BD60</f>
        <v>Escocia</v>
      </c>
      <c r="G99" s="11" t="str">
        <f ca="1">+WORLDCUP!BD65</f>
        <v>Cabo Verde</v>
      </c>
      <c r="H99" s="11" t="str">
        <f ca="1">+WORLDCUP!BD63</f>
        <v>Suecia</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Bosnia y Herzegovina</v>
      </c>
      <c r="F100" s="11" t="str">
        <f ca="1">+WORLDCUP!BD60</f>
        <v>Escocia</v>
      </c>
      <c r="G100" s="11" t="str">
        <f ca="1">+WORLDCUP!BD65</f>
        <v>Cabo Verde</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Bosnia y Herzegovina</v>
      </c>
      <c r="F101" s="11" t="str">
        <f ca="1">+WORLDCUP!BD60</f>
        <v>Escocia</v>
      </c>
      <c r="G101" s="11" t="str">
        <f ca="1">+WORLDCUP!BD67</f>
        <v>Jordania</v>
      </c>
      <c r="H101" s="11" t="str">
        <f ca="1">+WORLDCUP!BD63</f>
        <v>Suecia</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Bosnia y Herzegovina</v>
      </c>
      <c r="F102" s="11" t="str">
        <f ca="1">+WORLDCUP!BD60</f>
        <v>Escocia</v>
      </c>
      <c r="G102" s="11" t="str">
        <f ca="1">+WORLDCUP!BD66</f>
        <v>Senegal</v>
      </c>
      <c r="H102" s="11" t="str">
        <f ca="1">+WORLDCUP!BD63</f>
        <v>Suecia</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Bosnia y Herzegovina</v>
      </c>
      <c r="F103" s="11" t="str">
        <f ca="1">+WORLDCUP!BD60</f>
        <v>Escocia</v>
      </c>
      <c r="G103" s="11" t="str">
        <f ca="1">+WORLDCUP!BD67</f>
        <v>Jordania</v>
      </c>
      <c r="H103" s="11" t="str">
        <f ca="1">+WORLDCUP!BD63</f>
        <v>Suecia</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Bosnia y Herzegovina</v>
      </c>
      <c r="F104" s="11" t="str">
        <f ca="1">+WORLDCUP!BD60</f>
        <v>Escocia</v>
      </c>
      <c r="G104" s="11" t="str">
        <f ca="1">+WORLDCUP!BD67</f>
        <v>Jordania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Bosnia y Herzegovina</v>
      </c>
      <c r="F105" s="11" t="str">
        <f ca="1">+WORLDCUP!BD60</f>
        <v>Escocia</v>
      </c>
      <c r="G105" s="11" t="str">
        <f ca="1">+WORLDCUP!BD65</f>
        <v>Cabo Verde</v>
      </c>
      <c r="H105" s="11" t="str">
        <f ca="1">+WORLDCUP!BD63</f>
        <v>Suecia</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Cabo Verde</v>
      </c>
      <c r="D106" s="11" t="str">
        <f ca="1">+WORLDCUP!BD64</f>
        <v>Bélgica</v>
      </c>
      <c r="E106" s="11" t="str">
        <f ca="1">+WORLDCUP!BD59</f>
        <v>Bosnia y Herzegovina</v>
      </c>
      <c r="F106" s="11" t="str">
        <f ca="1">+WORLDCUP!BD60</f>
        <v>Escocia</v>
      </c>
      <c r="G106" s="11" t="str">
        <f ca="1">+WORLDCUP!BD67</f>
        <v>Jordania</v>
      </c>
      <c r="H106" s="11" t="str">
        <f ca="1">+WORLDCUP!BD63</f>
        <v>Suecia</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Cabo Verde</v>
      </c>
      <c r="D107" s="11" t="str">
        <f ca="1">+WORLDCUP!BD64</f>
        <v>Bélgica</v>
      </c>
      <c r="E107" s="11" t="str">
        <f ca="1">+WORLDCUP!BD59</f>
        <v>Bosnia y Herzegovina</v>
      </c>
      <c r="F107" s="11" t="str">
        <f ca="1">+WORLDCUP!BD60</f>
        <v>Escocia</v>
      </c>
      <c r="G107" s="11" t="str">
        <f ca="1">+WORLDCUP!BD67</f>
        <v>Jordania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Bosnia y Herzegovina</v>
      </c>
      <c r="F108" s="11" t="str">
        <f ca="1">+WORLDCUP!BD60</f>
        <v>Escocia</v>
      </c>
      <c r="G108" s="11" t="str">
        <f ca="1">+WORLDCUP!BD65</f>
        <v>Cabo Verde</v>
      </c>
      <c r="H108" s="11" t="str">
        <f ca="1">+WORLDCUP!BD63</f>
        <v>Suecia</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Bosnia y Herzegovina</v>
      </c>
      <c r="F109" s="11" t="str">
        <f ca="1">+WORLDCUP!BD60</f>
        <v>Escocia</v>
      </c>
      <c r="G109" s="11" t="str">
        <f ca="1">+WORLDCUP!BD65</f>
        <v>Cabo Verde</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Cabo Verde</v>
      </c>
      <c r="D110" s="11" t="str">
        <f ca="1">+WORLDCUP!BD64</f>
        <v>Bélgica</v>
      </c>
      <c r="E110" s="11" t="str">
        <f ca="1">+WORLDCUP!BD59</f>
        <v>Bosnia y Herzegovina</v>
      </c>
      <c r="F110" s="11" t="str">
        <f ca="1">+WORLDCUP!BD60</f>
        <v>Escocia</v>
      </c>
      <c r="G110" s="11" t="str">
        <f ca="1">+WORLDCUP!BD67</f>
        <v>Jordania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Cabo Verde</v>
      </c>
      <c r="D111" s="11" t="str">
        <f ca="1">+WORLDCUP!BD67</f>
        <v>Jordania</v>
      </c>
      <c r="E111" s="11" t="str">
        <f ca="1">+WORLDCUP!BD59</f>
        <v>Bosnia y Herzegovina</v>
      </c>
      <c r="F111" s="11" t="str">
        <f ca="1">+WORLDCUP!BD60</f>
        <v>Escocia</v>
      </c>
      <c r="G111" s="11" t="str">
        <f ca="1">+WORLDCUP!BD66</f>
        <v>Senegal</v>
      </c>
      <c r="H111" s="11" t="str">
        <f ca="1">+WORLDCUP!BD61</f>
        <v>Paraguay</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Bosnia y Herzegovina</v>
      </c>
      <c r="F112" s="11" t="str">
        <f ca="1">+WORLDCUP!BD60</f>
        <v>Escocia</v>
      </c>
      <c r="G112" s="11" t="str">
        <f ca="1">+WORLDCUP!BD67</f>
        <v>Jordania</v>
      </c>
      <c r="H112" s="11" t="str">
        <f ca="1">+WORLDCUP!BD61</f>
        <v>Paraguay</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Cabo Verde</v>
      </c>
      <c r="D113" s="11" t="str">
        <f ca="1">+WORLDCUP!BD64</f>
        <v>Bélgica</v>
      </c>
      <c r="E113" s="11" t="str">
        <f ca="1">+WORLDCUP!BD59</f>
        <v>Bosnia y Herzegovina</v>
      </c>
      <c r="F113" s="11" t="str">
        <f ca="1">+WORLDCUP!BD60</f>
        <v>Escocia</v>
      </c>
      <c r="G113" s="11" t="str">
        <f ca="1">+WORLDCUP!BD67</f>
        <v>Jordania</v>
      </c>
      <c r="H113" s="11" t="str">
        <f ca="1">+WORLDCUP!BD61</f>
        <v>Paraguay</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Cabo Verde</v>
      </c>
      <c r="D114" s="11" t="str">
        <f ca="1">+WORLDCUP!BD64</f>
        <v>Bélgica</v>
      </c>
      <c r="E114" s="11" t="str">
        <f ca="1">+WORLDCUP!BD59</f>
        <v>Bosnia y Herzegovina</v>
      </c>
      <c r="F114" s="11" t="str">
        <f ca="1">+WORLDCUP!BD60</f>
        <v>Escocia</v>
      </c>
      <c r="G114" s="11" t="str">
        <f ca="1">+WORLDCUP!BD66</f>
        <v>Senegal</v>
      </c>
      <c r="H114" s="11" t="str">
        <f ca="1">+WORLDCUP!BD61</f>
        <v>Paraguay</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Cabo Verde</v>
      </c>
      <c r="D115" s="11" t="str">
        <f ca="1">+WORLDCUP!BD64</f>
        <v>Bélgica</v>
      </c>
      <c r="E115" s="11" t="str">
        <f ca="1">+WORLDCUP!BD59</f>
        <v>Bosnia y Herzegovina</v>
      </c>
      <c r="F115" s="11" t="str">
        <f ca="1">+WORLDCUP!BD60</f>
        <v>Escocia</v>
      </c>
      <c r="G115" s="11" t="str">
        <f ca="1">+WORLDCUP!BD67</f>
        <v>Jordania</v>
      </c>
      <c r="H115" s="11" t="str">
        <f ca="1">+WORLDCUP!BD61</f>
        <v>Paraguay</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Cabo Verde</v>
      </c>
      <c r="D116" s="11" t="str">
        <f ca="1">+WORLDCUP!BD64</f>
        <v>Bélgica</v>
      </c>
      <c r="E116" s="11" t="str">
        <f ca="1">+WORLDCUP!BD59</f>
        <v>Bosnia y Herzegovina</v>
      </c>
      <c r="F116" s="11" t="str">
        <f ca="1">+WORLDCUP!BD60</f>
        <v>Escocia</v>
      </c>
      <c r="G116" s="11" t="str">
        <f ca="1">+WORLDCUP!BD67</f>
        <v>Jordania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Jordania</v>
      </c>
      <c r="E117" s="11" t="str">
        <f ca="1">+WORLDCUP!BD59</f>
        <v>Bosnia y Herzegovina</v>
      </c>
      <c r="F117" s="11" t="str">
        <f ca="1">+WORLDCUP!BD61</f>
        <v>Paraguay</v>
      </c>
      <c r="G117" s="11" t="str">
        <f ca="1">+WORLDCUP!BD66</f>
        <v>Senegal</v>
      </c>
      <c r="H117" s="11" t="str">
        <f ca="1">+WORLDCUP!BD63</f>
        <v>Suecia</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Jordania</v>
      </c>
      <c r="E118" s="11" t="str">
        <f ca="1">+WORLDCUP!BD59</f>
        <v>Bosnia y Herzegovina</v>
      </c>
      <c r="F118" s="11" t="str">
        <f ca="1">+WORLDCUP!BD61</f>
        <v>Paraguay</v>
      </c>
      <c r="G118" s="11" t="str">
        <f ca="1">+WORLDCUP!BD65</f>
        <v>Cabo Verde</v>
      </c>
      <c r="H118" s="11" t="str">
        <f ca="1">+WORLDCUP!BD63</f>
        <v>Suecia</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Cabo Verde</v>
      </c>
      <c r="H119" s="11" t="str">
        <f ca="1">+WORLDCUP!BD63</f>
        <v>Suecia</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Jordania</v>
      </c>
      <c r="E120" s="11" t="str">
        <f ca="1">+WORLDCUP!BD59</f>
        <v>Bosnia y Herzegovina</v>
      </c>
      <c r="F120" s="11" t="str">
        <f ca="1">+WORLDCUP!BD61</f>
        <v>Paraguay</v>
      </c>
      <c r="G120" s="11" t="str">
        <f ca="1">+WORLDCUP!BD65</f>
        <v>Cabo Verde</v>
      </c>
      <c r="H120" s="11" t="str">
        <f ca="1">+WORLDCUP!BD63</f>
        <v>Suecia</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Jordania</v>
      </c>
      <c r="E121" s="11" t="str">
        <f ca="1">+WORLDCUP!BD59</f>
        <v>Bosnia y Herzegovina</v>
      </c>
      <c r="F121" s="11" t="str">
        <f ca="1">+WORLDCUP!BD61</f>
        <v>Paraguay</v>
      </c>
      <c r="G121" s="11" t="str">
        <f ca="1">+WORLDCUP!BD65</f>
        <v>Cabo Verde</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Bélgica</v>
      </c>
      <c r="E122" s="11" t="str">
        <f ca="1">+WORLDCUP!BD59</f>
        <v>Bosnia y Herzegovina</v>
      </c>
      <c r="F122" s="11" t="str">
        <f ca="1">+WORLDCUP!BD61</f>
        <v>Paraguay</v>
      </c>
      <c r="G122" s="11" t="str">
        <f ca="1">+WORLDCUP!BD67</f>
        <v>Jordania</v>
      </c>
      <c r="H122" s="11" t="str">
        <f ca="1">+WORLDCUP!BD63</f>
        <v>Suecia</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Bélgica</v>
      </c>
      <c r="E123" s="11" t="str">
        <f ca="1">+WORLDCUP!BD59</f>
        <v>Bosnia y Herzegovina</v>
      </c>
      <c r="F123" s="11" t="str">
        <f ca="1">+WORLDCUP!BD61</f>
        <v>Paraguay</v>
      </c>
      <c r="G123" s="11" t="str">
        <f ca="1">+WORLDCUP!BD66</f>
        <v>Senegal</v>
      </c>
      <c r="H123" s="11" t="str">
        <f ca="1">+WORLDCUP!BD63</f>
        <v>Suecia</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Bélgica</v>
      </c>
      <c r="E124" s="11" t="str">
        <f ca="1">+WORLDCUP!BD59</f>
        <v>Bosnia y Herzegovina</v>
      </c>
      <c r="F124" s="11" t="str">
        <f ca="1">+WORLDCUP!BD61</f>
        <v>Paraguay</v>
      </c>
      <c r="G124" s="11" t="str">
        <f ca="1">+WORLDCUP!BD67</f>
        <v>Jordania</v>
      </c>
      <c r="H124" s="11" t="str">
        <f ca="1">+WORLDCUP!BD63</f>
        <v>Suecia</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Bélgica</v>
      </c>
      <c r="E125" s="11" t="str">
        <f ca="1">+WORLDCUP!BD59</f>
        <v>Bosnia y Herzegovina</v>
      </c>
      <c r="F125" s="11" t="str">
        <f ca="1">+WORLDCUP!BD61</f>
        <v>Paraguay</v>
      </c>
      <c r="G125" s="11" t="str">
        <f ca="1">+WORLDCUP!BD67</f>
        <v>Jordania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Bélgica</v>
      </c>
      <c r="E126" s="11" t="str">
        <f ca="1">+WORLDCUP!BD59</f>
        <v>Bosnia y Herzegovina</v>
      </c>
      <c r="F126" s="11" t="str">
        <f ca="1">+WORLDCUP!BD61</f>
        <v>Paraguay</v>
      </c>
      <c r="G126" s="11" t="str">
        <f ca="1">+WORLDCUP!BD65</f>
        <v>Cabo Verde</v>
      </c>
      <c r="H126" s="11" t="str">
        <f ca="1">+WORLDCUP!BD63</f>
        <v>Suecia</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Bélgica</v>
      </c>
      <c r="E127" s="11" t="str">
        <f ca="1">+WORLDCUP!BD59</f>
        <v>Bosnia y Herzegovina</v>
      </c>
      <c r="F127" s="11" t="str">
        <f ca="1">+WORLDCUP!BD61</f>
        <v>Paraguay</v>
      </c>
      <c r="G127" s="11" t="str">
        <f ca="1">+WORLDCUP!BD65</f>
        <v>Cabo Verde</v>
      </c>
      <c r="H127" s="11" t="str">
        <f ca="1">+WORLDCUP!BD63</f>
        <v>Suecia</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Cabo Verde</v>
      </c>
      <c r="D128" s="11" t="str">
        <f ca="1">+WORLDCUP!BD64</f>
        <v>Bélgica</v>
      </c>
      <c r="E128" s="11" t="str">
        <f ca="1">+WORLDCUP!BD59</f>
        <v>Bosnia y Herzegovina</v>
      </c>
      <c r="F128" s="11" t="str">
        <f ca="1">+WORLDCUP!BD60</f>
        <v>Escocia</v>
      </c>
      <c r="G128" s="11" t="str">
        <f ca="1">+WORLDCUP!BD67</f>
        <v>Jordania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Bélgica</v>
      </c>
      <c r="E129" s="11" t="str">
        <f ca="1">+WORLDCUP!BD59</f>
        <v>Bosnia y Herzegovina</v>
      </c>
      <c r="F129" s="11" t="str">
        <f ca="1">+WORLDCUP!BD61</f>
        <v>Paraguay</v>
      </c>
      <c r="G129" s="11" t="str">
        <f ca="1">+WORLDCUP!BD65</f>
        <v>Cabo Verde</v>
      </c>
      <c r="H129" s="11" t="str">
        <f ca="1">+WORLDCUP!BD63</f>
        <v>Suecia</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Bélgica</v>
      </c>
      <c r="E130" s="11" t="str">
        <f ca="1">+WORLDCUP!BD59</f>
        <v>Bosnia y Herzegovina</v>
      </c>
      <c r="F130" s="11" t="str">
        <f ca="1">+WORLDCUP!BD61</f>
        <v>Paraguay</v>
      </c>
      <c r="G130" s="11" t="str">
        <f ca="1">+WORLDCUP!BD65</f>
        <v>Cabo Verde</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Cabo Verde</v>
      </c>
      <c r="D131" s="11" t="str">
        <f ca="1">+WORLDCUP!BD64</f>
        <v>Bélgica</v>
      </c>
      <c r="E131" s="11" t="str">
        <f ca="1">+WORLDCUP!BD59</f>
        <v>Bosnia y Herzegovina</v>
      </c>
      <c r="F131" s="11" t="str">
        <f ca="1">+WORLDCUP!BD60</f>
        <v>Escocia</v>
      </c>
      <c r="G131" s="11" t="str">
        <f ca="1">+WORLDCUP!BD67</f>
        <v>Jordania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Bosnia y Herzegovina</v>
      </c>
      <c r="F132" s="11" t="str">
        <f ca="1">+WORLDCUP!BD60</f>
        <v>Escocia</v>
      </c>
      <c r="G132" s="11" t="str">
        <f ca="1">+WORLDCUP!BD66</f>
        <v>Senegal</v>
      </c>
      <c r="H132" s="11" t="str">
        <f ca="1">+WORLDCUP!BD61</f>
        <v>Paraguay</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Bosnia y Herzegovina</v>
      </c>
      <c r="F133" s="11" t="str">
        <f ca="1">+WORLDCUP!BD60</f>
        <v>Escocia</v>
      </c>
      <c r="G133" s="11" t="str">
        <f ca="1">+WORLDCUP!BD65</f>
        <v>Cabo Verde</v>
      </c>
      <c r="H133" s="11" t="str">
        <f ca="1">+WORLDCUP!BD61</f>
        <v>Paraguay</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Cabo Verde</v>
      </c>
      <c r="H134" s="11" t="str">
        <f ca="1">+WORLDCUP!BD61</f>
        <v>Paraguay</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Bosnia y Herzegovina</v>
      </c>
      <c r="F135" s="11" t="str">
        <f ca="1">+WORLDCUP!BD60</f>
        <v>Escocia</v>
      </c>
      <c r="G135" s="11" t="str">
        <f ca="1">+WORLDCUP!BD65</f>
        <v>Cabo Verde</v>
      </c>
      <c r="H135" s="11" t="str">
        <f ca="1">+WORLDCUP!BD61</f>
        <v>Paraguay</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Bosnia y Herzegovina</v>
      </c>
      <c r="F136" s="11" t="str">
        <f ca="1">+WORLDCUP!BD60</f>
        <v>Escocia</v>
      </c>
      <c r="G136" s="11" t="str">
        <f ca="1">+WORLDCUP!BD65</f>
        <v>Cabo Verde</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Bosnia y Herzegovina</v>
      </c>
      <c r="F137" s="11" t="str">
        <f ca="1">+WORLDCUP!BD60</f>
        <v>Escocia</v>
      </c>
      <c r="G137" s="11" t="str">
        <f ca="1">+WORLDCUP!BD67</f>
        <v>Jordania</v>
      </c>
      <c r="H137" s="11" t="str">
        <f ca="1">+WORLDCUP!BD61</f>
        <v>Paraguay</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Bosnia y Herzegovina</v>
      </c>
      <c r="F138" s="11" t="str">
        <f ca="1">+WORLDCUP!BD60</f>
        <v>Escocia</v>
      </c>
      <c r="G138" s="11" t="str">
        <f ca="1">+WORLDCUP!BD66</f>
        <v>Senegal</v>
      </c>
      <c r="H138" s="11" t="str">
        <f ca="1">+WORLDCUP!BD61</f>
        <v>Paraguay</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Bosnia y Herzegovina</v>
      </c>
      <c r="F139" s="11" t="str">
        <f ca="1">+WORLDCUP!BD60</f>
        <v>Escocia</v>
      </c>
      <c r="G139" s="11" t="str">
        <f ca="1">+WORLDCUP!BD67</f>
        <v>Jordania</v>
      </c>
      <c r="H139" s="11" t="str">
        <f ca="1">+WORLDCUP!BD61</f>
        <v>Paraguay</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Bosnia y Herzegovina</v>
      </c>
      <c r="F140" s="11" t="str">
        <f ca="1">+WORLDCUP!BD60</f>
        <v>Escocia</v>
      </c>
      <c r="G140" s="11" t="str">
        <f ca="1">+WORLDCUP!BD67</f>
        <v>Jordania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Bosnia y Herzegovina</v>
      </c>
      <c r="F141" s="11" t="str">
        <f ca="1">+WORLDCUP!BD60</f>
        <v>Escocia</v>
      </c>
      <c r="G141" s="11" t="str">
        <f ca="1">+WORLDCUP!BD65</f>
        <v>Cabo Verde</v>
      </c>
      <c r="H141" s="11" t="str">
        <f ca="1">+WORLDCUP!BD61</f>
        <v>Paraguay</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Cabo Verde</v>
      </c>
      <c r="D142" s="11" t="str">
        <f ca="1">+WORLDCUP!BD64</f>
        <v>Bélgica</v>
      </c>
      <c r="E142" s="11" t="str">
        <f ca="1">+WORLDCUP!BD59</f>
        <v>Bosnia y Herzegovina</v>
      </c>
      <c r="F142" s="11" t="str">
        <f ca="1">+WORLDCUP!BD60</f>
        <v>Escocia</v>
      </c>
      <c r="G142" s="11" t="str">
        <f ca="1">+WORLDCUP!BD67</f>
        <v>Jordania</v>
      </c>
      <c r="H142" s="11" t="str">
        <f ca="1">+WORLDCUP!BD61</f>
        <v>Paraguay</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Cabo Verde</v>
      </c>
      <c r="D143" s="11" t="str">
        <f ca="1">+WORLDCUP!BD64</f>
        <v>Bélgica</v>
      </c>
      <c r="E143" s="11" t="str">
        <f ca="1">+WORLDCUP!BD59</f>
        <v>Bosnia y Herzegovina</v>
      </c>
      <c r="F143" s="11" t="str">
        <f ca="1">+WORLDCUP!BD60</f>
        <v>Escocia</v>
      </c>
      <c r="G143" s="11" t="str">
        <f ca="1">+WORLDCUP!BD67</f>
        <v>Jordania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Bosnia y Herzegovina</v>
      </c>
      <c r="F144" s="11" t="str">
        <f ca="1">+WORLDCUP!BD60</f>
        <v>Escocia</v>
      </c>
      <c r="G144" s="11" t="str">
        <f ca="1">+WORLDCUP!BD65</f>
        <v>Cabo Verde</v>
      </c>
      <c r="H144" s="11" t="str">
        <f ca="1">+WORLDCUP!BD61</f>
        <v>Paraguay</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Bosnia y Herzegovina</v>
      </c>
      <c r="F145" s="11" t="str">
        <f ca="1">+WORLDCUP!BD60</f>
        <v>Escocia</v>
      </c>
      <c r="G145" s="11" t="str">
        <f ca="1">+WORLDCUP!BD65</f>
        <v>Cabo Verde</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Cabo Verde</v>
      </c>
      <c r="D146" s="11" t="str">
        <f ca="1">+WORLDCUP!BD64</f>
        <v>Bélgica</v>
      </c>
      <c r="E146" s="11" t="str">
        <f ca="1">+WORLDCUP!BD59</f>
        <v>Bosnia y Herzegovina</v>
      </c>
      <c r="F146" s="11" t="str">
        <f ca="1">+WORLDCUP!BD60</f>
        <v>Escocia</v>
      </c>
      <c r="G146" s="11" t="str">
        <f ca="1">+WORLDCUP!BD67</f>
        <v>Jordania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Jordania</v>
      </c>
      <c r="E147" s="11" t="str">
        <f ca="1">+WORLDCUP!BD59</f>
        <v>Bosnia y Herzegovina</v>
      </c>
      <c r="F147" s="11" t="str">
        <f ca="1">+WORLDCUP!BD61</f>
        <v>Paraguay</v>
      </c>
      <c r="G147" s="11" t="str">
        <f ca="1">+WORLDCUP!BD62</f>
        <v>Ecuador</v>
      </c>
      <c r="H147" s="11" t="str">
        <f ca="1">+WORLDCUP!BD63</f>
        <v>Suecia</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Jordania</v>
      </c>
      <c r="E149" s="11" t="str">
        <f ca="1">+WORLDCUP!BD59</f>
        <v>Bosnia y Herzegovina</v>
      </c>
      <c r="F149" s="11" t="str">
        <f ca="1">+WORLDCUP!BD61</f>
        <v>Paraguay</v>
      </c>
      <c r="G149" s="11" t="str">
        <f ca="1">+WORLDCUP!BD62</f>
        <v>Ecuador</v>
      </c>
      <c r="H149" s="11" t="str">
        <f ca="1">+WORLDCUP!BD63</f>
        <v>Suecia</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Jordania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Cabo Verde</v>
      </c>
      <c r="H151" s="11" t="str">
        <f ca="1">+WORLDCUP!BD63</f>
        <v>Suecia</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Jordania</v>
      </c>
      <c r="E152" s="11" t="str">
        <f ca="1">+WORLDCUP!BD59</f>
        <v>Bosnia y Herzegovina</v>
      </c>
      <c r="F152" s="11" t="str">
        <f ca="1">+WORLDCUP!BD61</f>
        <v>Paraguay</v>
      </c>
      <c r="G152" s="11" t="str">
        <f ca="1">+WORLDCUP!BD65</f>
        <v>Cabo Verde</v>
      </c>
      <c r="H152" s="11" t="str">
        <f ca="1">+WORLDCUP!BD63</f>
        <v>Suecia</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Jordania</v>
      </c>
      <c r="E153" s="11" t="str">
        <f ca="1">+WORLDCUP!BD59</f>
        <v>Bosnia y Herzegovina</v>
      </c>
      <c r="F153" s="11" t="str">
        <f ca="1">+WORLDCUP!BD61</f>
        <v>Paraguay</v>
      </c>
      <c r="G153" s="11" t="str">
        <f ca="1">+WORLDCUP!BD65</f>
        <v>Cabo Verde</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Cabo Verde</v>
      </c>
      <c r="H154" s="11" t="str">
        <f ca="1">+WORLDCUP!BD63</f>
        <v>Suecia</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Cabo Verde</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Jordania</v>
      </c>
      <c r="E156" s="11" t="str">
        <f ca="1">+WORLDCUP!BD59</f>
        <v>Bosnia y Herzegovina</v>
      </c>
      <c r="F156" s="11" t="str">
        <f ca="1">+WORLDCUP!BD61</f>
        <v>Paraguay</v>
      </c>
      <c r="G156" s="11" t="str">
        <f ca="1">+WORLDCUP!BD65</f>
        <v>Cabo Verde</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Bélgica</v>
      </c>
      <c r="E157" s="11" t="str">
        <f ca="1">+WORLDCUP!BD59</f>
        <v>Bosnia y Herzegovina</v>
      </c>
      <c r="F157" s="11" t="str">
        <f ca="1">+WORLDCUP!BD61</f>
        <v>Paraguay</v>
      </c>
      <c r="G157" s="11" t="str">
        <f ca="1">+WORLDCUP!BD62</f>
        <v>Ecuador</v>
      </c>
      <c r="H157" s="11" t="str">
        <f ca="1">+WORLDCUP!BD63</f>
        <v>Suecia</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Bélgica</v>
      </c>
      <c r="E158" s="11" t="str">
        <f ca="1">+WORLDCUP!BD59</f>
        <v>Bosnia y Herzegovina</v>
      </c>
      <c r="F158" s="11" t="str">
        <f ca="1">+WORLDCUP!BD61</f>
        <v>Paraguay</v>
      </c>
      <c r="G158" s="11" t="str">
        <f ca="1">+WORLDCUP!BD67</f>
        <v>Jordania</v>
      </c>
      <c r="H158" s="11" t="str">
        <f ca="1">+WORLDCUP!BD63</f>
        <v>Suecia</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Bélgica</v>
      </c>
      <c r="E159" s="11" t="str">
        <f ca="1">+WORLDCUP!BD59</f>
        <v>Bosnia y Herzegovina</v>
      </c>
      <c r="F159" s="11" t="str">
        <f ca="1">+WORLDCUP!BD61</f>
        <v>Paraguay</v>
      </c>
      <c r="G159" s="11" t="str">
        <f ca="1">+WORLDCUP!BD67</f>
        <v>Jordania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Bélgica</v>
      </c>
      <c r="E160" s="11" t="str">
        <f ca="1">+WORLDCUP!BD59</f>
        <v>Bosnia y Herzegovina</v>
      </c>
      <c r="F160" s="11" t="str">
        <f ca="1">+WORLDCUP!BD61</f>
        <v>Paraguay</v>
      </c>
      <c r="G160" s="11" t="str">
        <f ca="1">+WORLDCUP!BD62</f>
        <v>Ecuador</v>
      </c>
      <c r="H160" s="11" t="str">
        <f ca="1">+WORLDCUP!BD63</f>
        <v>Suecia</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Bélgica</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Bélgica</v>
      </c>
      <c r="E162" s="11" t="str">
        <f ca="1">+WORLDCUP!BD59</f>
        <v>Bosnia y Herzegovina</v>
      </c>
      <c r="F162" s="11" t="str">
        <f ca="1">+WORLDCUP!BD61</f>
        <v>Paraguay</v>
      </c>
      <c r="G162" s="11" t="str">
        <f ca="1">+WORLDCUP!BD67</f>
        <v>Jordania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Bélgica</v>
      </c>
      <c r="E163" s="11" t="str">
        <f ca="1">+WORLDCUP!BD59</f>
        <v>Bosnia y Herzegovina</v>
      </c>
      <c r="F163" s="11" t="str">
        <f ca="1">+WORLDCUP!BD61</f>
        <v>Paraguay</v>
      </c>
      <c r="G163" s="11" t="str">
        <f ca="1">+WORLDCUP!BD65</f>
        <v>Cabo Verde</v>
      </c>
      <c r="H163" s="11" t="str">
        <f ca="1">+WORLDCUP!BD63</f>
        <v>Suecia</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Bélgica</v>
      </c>
      <c r="E164" s="11" t="str">
        <f ca="1">+WORLDCUP!BD59</f>
        <v>Bosnia y Herzegovina</v>
      </c>
      <c r="F164" s="11" t="str">
        <f ca="1">+WORLDCUP!BD61</f>
        <v>Paraguay</v>
      </c>
      <c r="G164" s="11" t="str">
        <f ca="1">+WORLDCUP!BD65</f>
        <v>Cabo Verde</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Cabo Verde</v>
      </c>
      <c r="D165" s="11" t="str">
        <f ca="1">+WORLDCUP!BD64</f>
        <v>Bélgica</v>
      </c>
      <c r="E165" s="11" t="str">
        <f ca="1">+WORLDCUP!BD59</f>
        <v>Bosnia y Herzegovina</v>
      </c>
      <c r="F165" s="11" t="str">
        <f ca="1">+WORLDCUP!BD60</f>
        <v>Escocia</v>
      </c>
      <c r="G165" s="11" t="str">
        <f ca="1">+WORLDCUP!BD67</f>
        <v>Jordania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Bélgica</v>
      </c>
      <c r="E166" s="11" t="str">
        <f ca="1">+WORLDCUP!BD59</f>
        <v>Bosnia y Herzegovina</v>
      </c>
      <c r="F166" s="11" t="str">
        <f ca="1">+WORLDCUP!BD61</f>
        <v>Paraguay</v>
      </c>
      <c r="G166" s="11" t="str">
        <f ca="1">+WORLDCUP!BD65</f>
        <v>Cabo Verde</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Cabo Verde</v>
      </c>
      <c r="D167" s="11" t="str">
        <f ca="1">+WORLDCUP!BD67</f>
        <v>Jordania</v>
      </c>
      <c r="E167" s="11" t="str">
        <f ca="1">+WORLDCUP!BD66</f>
        <v>Senegal</v>
      </c>
      <c r="F167" s="11" t="str">
        <f ca="1">+WORLDCUP!BD63</f>
        <v>Suecia</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Cabo Verde</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Suecia</v>
      </c>
      <c r="G169" s="11" t="str">
        <f ca="1">+WORLDCUP!BD58</f>
        <v>República Checa</v>
      </c>
      <c r="H169" s="11" t="str">
        <f ca="1">+WORLDCUP!BD65</f>
        <v>Cabo Verde</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Suecia</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Suecia</v>
      </c>
      <c r="G171" s="11" t="str">
        <f ca="1">+WORLDCUP!BD58</f>
        <v>República Checa</v>
      </c>
      <c r="H171" s="11" t="str">
        <f ca="1">+WORLDCUP!BD65</f>
        <v>Cabo Verde</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Suecia</v>
      </c>
      <c r="G172" s="11" t="str">
        <f ca="1">+WORLDCUP!BD58</f>
        <v>República Checa</v>
      </c>
      <c r="H172" s="11" t="str">
        <f ca="1">+WORLDCUP!BD65</f>
        <v>Cabo Verde</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Suecia</v>
      </c>
      <c r="G173" s="11" t="str">
        <f ca="1">+WORLDCUP!BD58</f>
        <v>República Checa</v>
      </c>
      <c r="H173" s="11" t="str">
        <f ca="1">+WORLDCUP!BD65</f>
        <v>Cabo Verde</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Suecia</v>
      </c>
      <c r="G174" s="11" t="str">
        <f ca="1">+WORLDCUP!BD58</f>
        <v>República Checa</v>
      </c>
      <c r="H174" s="11" t="str">
        <f ca="1">+WORLDCUP!BD65</f>
        <v>Cabo Verde</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Cabo Verde</v>
      </c>
      <c r="D175" s="11" t="str">
        <f ca="1">+WORLDCUP!BD67</f>
        <v>Jordania</v>
      </c>
      <c r="E175" s="11" t="str">
        <f ca="1">+WORLDCUP!BD66</f>
        <v>Senegal</v>
      </c>
      <c r="F175" s="11" t="str">
        <f ca="1">+WORLDCUP!BD61</f>
        <v>Paraguay</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Cabo Verde</v>
      </c>
      <c r="D176" s="11" t="str">
        <f ca="1">+WORLDCUP!BD67</f>
        <v>Jordania</v>
      </c>
      <c r="E176" s="11" t="str">
        <f ca="1">+WORLDCUP!BD66</f>
        <v>Senegal</v>
      </c>
      <c r="F176" s="11" t="str">
        <f ca="1">+WORLDCUP!BD61</f>
        <v>Paraguay</v>
      </c>
      <c r="G176" s="11" t="str">
        <f ca="1">+WORLDCUP!BD58</f>
        <v>República Checa</v>
      </c>
      <c r="H176" s="11" t="str">
        <f ca="1">+WORLDCUP!BD63</f>
        <v>Suecia</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Paraguay</v>
      </c>
      <c r="G177" s="11" t="str">
        <f ca="1">+WORLDCUP!BD58</f>
        <v>República Checa</v>
      </c>
      <c r="H177" s="11" t="str">
        <f ca="1">+WORLDCUP!BD63</f>
        <v>Suecia</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Cabo Verde</v>
      </c>
      <c r="D178" s="11" t="str">
        <f ca="1">+WORLDCUP!BD64</f>
        <v>Bélgica</v>
      </c>
      <c r="E178" s="11" t="str">
        <f ca="1">+WORLDCUP!BD67</f>
        <v>Jordania</v>
      </c>
      <c r="F178" s="11" t="str">
        <f ca="1">+WORLDCUP!BD61</f>
        <v>Paraguay</v>
      </c>
      <c r="G178" s="11" t="str">
        <f ca="1">+WORLDCUP!BD58</f>
        <v>República Checa</v>
      </c>
      <c r="H178" s="11" t="str">
        <f ca="1">+WORLDCUP!BD63</f>
        <v>Suecia</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Cabo Verde</v>
      </c>
      <c r="D179" s="11" t="str">
        <f ca="1">+WORLDCUP!BD64</f>
        <v>Bélgica</v>
      </c>
      <c r="E179" s="11" t="str">
        <f ca="1">+WORLDCUP!BD66</f>
        <v>Senegal</v>
      </c>
      <c r="F179" s="11" t="str">
        <f ca="1">+WORLDCUP!BD61</f>
        <v>Paraguay</v>
      </c>
      <c r="G179" s="11" t="str">
        <f ca="1">+WORLDCUP!BD58</f>
        <v>República Checa</v>
      </c>
      <c r="H179" s="11" t="str">
        <f ca="1">+WORLDCUP!BD63</f>
        <v>Suecia</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Cabo Verde</v>
      </c>
      <c r="D180" s="11" t="str">
        <f ca="1">+WORLDCUP!BD64</f>
        <v>Bélgica</v>
      </c>
      <c r="E180" s="11" t="str">
        <f ca="1">+WORLDCUP!BD67</f>
        <v>Jordania</v>
      </c>
      <c r="F180" s="11" t="str">
        <f ca="1">+WORLDCUP!BD61</f>
        <v>Paraguay</v>
      </c>
      <c r="G180" s="11" t="str">
        <f ca="1">+WORLDCUP!BD58</f>
        <v>República Checa</v>
      </c>
      <c r="H180" s="11" t="str">
        <f ca="1">+WORLDCUP!BD63</f>
        <v>Suecia</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Cabo Verde</v>
      </c>
      <c r="D181" s="11" t="str">
        <f ca="1">+WORLDCUP!BD64</f>
        <v>Bélgica</v>
      </c>
      <c r="E181" s="11" t="str">
        <f ca="1">+WORLDCUP!BD67</f>
        <v>Jordania</v>
      </c>
      <c r="F181" s="11" t="str">
        <f ca="1">+WORLDCUP!BD61</f>
        <v>Paraguay</v>
      </c>
      <c r="G181" s="11" t="str">
        <f ca="1">+WORLDCUP!BD58</f>
        <v>República Checa</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Paraguay</v>
      </c>
      <c r="G182" s="11" t="str">
        <f ca="1">+WORLDCUP!BD58</f>
        <v>República Checa</v>
      </c>
      <c r="H182" s="11" t="str">
        <f ca="1">+WORLDCUP!BD65</f>
        <v>Cabo Verde</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Paraguay</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Paraguay</v>
      </c>
      <c r="G184" s="11" t="str">
        <f ca="1">+WORLDCUP!BD58</f>
        <v>República Checa</v>
      </c>
      <c r="H184" s="11" t="str">
        <f ca="1">+WORLDCUP!BD65</f>
        <v>Cabo Verde</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Paraguay</v>
      </c>
      <c r="G185" s="11" t="str">
        <f ca="1">+WORLDCUP!BD58</f>
        <v>República Checa</v>
      </c>
      <c r="H185" s="11" t="str">
        <f ca="1">+WORLDCUP!BD65</f>
        <v>Cabo Verde</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Paraguay</v>
      </c>
      <c r="G186" s="11" t="str">
        <f ca="1">+WORLDCUP!BD58</f>
        <v>República Checa</v>
      </c>
      <c r="H186" s="11" t="str">
        <f ca="1">+WORLDCUP!BD65</f>
        <v>Cabo Verde</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Paraguay</v>
      </c>
      <c r="G187" s="11" t="str">
        <f ca="1">+WORLDCUP!BD58</f>
        <v>República Checa</v>
      </c>
      <c r="H187" s="11" t="str">
        <f ca="1">+WORLDCUP!BD65</f>
        <v>Cabo Verde</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Paraguay</v>
      </c>
      <c r="G188" s="11" t="str">
        <f ca="1">+WORLDCUP!BD58</f>
        <v>República Checa</v>
      </c>
      <c r="H188" s="11" t="str">
        <f ca="1">+WORLDCUP!BD63</f>
        <v>Suecia</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Cabo Verde</v>
      </c>
      <c r="D189" s="11" t="str">
        <f ca="1">+WORLDCUP!BD67</f>
        <v>Jordania</v>
      </c>
      <c r="E189" s="11" t="str">
        <f ca="1">+WORLDCUP!BD62</f>
        <v>Ecuador</v>
      </c>
      <c r="F189" s="11" t="str">
        <f ca="1">+WORLDCUP!BD61</f>
        <v>Paraguay</v>
      </c>
      <c r="G189" s="11" t="str">
        <f ca="1">+WORLDCUP!BD58</f>
        <v>República Checa</v>
      </c>
      <c r="H189" s="11" t="str">
        <f ca="1">+WORLDCUP!BD63</f>
        <v>Suecia</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Cabo Verde</v>
      </c>
      <c r="D190" s="11" t="str">
        <f ca="1">+WORLDCUP!BD62</f>
        <v>Ecuador</v>
      </c>
      <c r="E190" s="11" t="str">
        <f ca="1">+WORLDCUP!BD66</f>
        <v>Senegal</v>
      </c>
      <c r="F190" s="11" t="str">
        <f ca="1">+WORLDCUP!BD61</f>
        <v>Paraguay</v>
      </c>
      <c r="G190" s="11" t="str">
        <f ca="1">+WORLDCUP!BD58</f>
        <v>República Checa</v>
      </c>
      <c r="H190" s="11" t="str">
        <f ca="1">+WORLDCUP!BD63</f>
        <v>Suecia</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Cabo Verde</v>
      </c>
      <c r="D191" s="11" t="str">
        <f ca="1">+WORLDCUP!BD67</f>
        <v>Jordania</v>
      </c>
      <c r="E191" s="11" t="str">
        <f ca="1">+WORLDCUP!BD62</f>
        <v>Ecuador</v>
      </c>
      <c r="F191" s="11" t="str">
        <f ca="1">+WORLDCUP!BD61</f>
        <v>Paraguay</v>
      </c>
      <c r="G191" s="11" t="str">
        <f ca="1">+WORLDCUP!BD58</f>
        <v>República Checa</v>
      </c>
      <c r="H191" s="11" t="str">
        <f ca="1">+WORLDCUP!BD63</f>
        <v>Suecia</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Cabo Verde</v>
      </c>
      <c r="D192" s="11" t="str">
        <f ca="1">+WORLDCUP!BD67</f>
        <v>Jordania</v>
      </c>
      <c r="E192" s="11" t="str">
        <f ca="1">+WORLDCUP!BD62</f>
        <v>Ecuador</v>
      </c>
      <c r="F192" s="11" t="str">
        <f ca="1">+WORLDCUP!BD61</f>
        <v>Paraguay</v>
      </c>
      <c r="G192" s="11" t="str">
        <f ca="1">+WORLDCUP!BD58</f>
        <v>República Checa</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Paraguay</v>
      </c>
      <c r="G193" s="11" t="str">
        <f ca="1">+WORLDCUP!BD58</f>
        <v>República Checa</v>
      </c>
      <c r="H193" s="11" t="str">
        <f ca="1">+WORLDCUP!BD63</f>
        <v>Suecia</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Paraguay</v>
      </c>
      <c r="G194" s="11" t="str">
        <f ca="1">+WORLDCUP!BD58</f>
        <v>República Checa</v>
      </c>
      <c r="H194" s="11" t="str">
        <f ca="1">+WORLDCUP!BD63</f>
        <v>Suecia</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Paraguay</v>
      </c>
      <c r="G195" s="11" t="str">
        <f ca="1">+WORLDCUP!BD58</f>
        <v>República Checa</v>
      </c>
      <c r="H195" s="11" t="str">
        <f ca="1">+WORLDCUP!BD63</f>
        <v>Suecia</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Paraguay</v>
      </c>
      <c r="G196" s="11" t="str">
        <f ca="1">+WORLDCUP!BD58</f>
        <v>República Checa</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Cabo Verde</v>
      </c>
      <c r="D197" s="11" t="str">
        <f ca="1">+WORLDCUP!BD64</f>
        <v>Bélgica</v>
      </c>
      <c r="E197" s="11" t="str">
        <f ca="1">+WORLDCUP!BD62</f>
        <v>Ecuador</v>
      </c>
      <c r="F197" s="11" t="str">
        <f ca="1">+WORLDCUP!BD61</f>
        <v>Paraguay</v>
      </c>
      <c r="G197" s="11" t="str">
        <f ca="1">+WORLDCUP!BD58</f>
        <v>República Checa</v>
      </c>
      <c r="H197" s="11" t="str">
        <f ca="1">+WORLDCUP!BD63</f>
        <v>Suecia</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Cabo Verde</v>
      </c>
      <c r="D198" s="11" t="str">
        <f ca="1">+WORLDCUP!BD64</f>
        <v>Bélgica</v>
      </c>
      <c r="E198" s="11" t="str">
        <f ca="1">+WORLDCUP!BD67</f>
        <v>Jordania</v>
      </c>
      <c r="F198" s="11" t="str">
        <f ca="1">+WORLDCUP!BD61</f>
        <v>Paraguay</v>
      </c>
      <c r="G198" s="11" t="str">
        <f ca="1">+WORLDCUP!BD58</f>
        <v>República Checa</v>
      </c>
      <c r="H198" s="11" t="str">
        <f ca="1">+WORLDCUP!BD63</f>
        <v>Suecia</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Cabo Verde</v>
      </c>
      <c r="D199" s="11" t="str">
        <f ca="1">+WORLDCUP!BD64</f>
        <v>Bélgica</v>
      </c>
      <c r="E199" s="11" t="str">
        <f ca="1">+WORLDCUP!BD67</f>
        <v>Jordania</v>
      </c>
      <c r="F199" s="11" t="str">
        <f ca="1">+WORLDCUP!BD61</f>
        <v>Paraguay</v>
      </c>
      <c r="G199" s="11" t="str">
        <f ca="1">+WORLDCUP!BD58</f>
        <v>República Checa</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Cabo Verde</v>
      </c>
      <c r="D200" s="11" t="str">
        <f ca="1">+WORLDCUP!BD64</f>
        <v>Bélgica</v>
      </c>
      <c r="E200" s="11" t="str">
        <f ca="1">+WORLDCUP!BD62</f>
        <v>Ecuador</v>
      </c>
      <c r="F200" s="11" t="str">
        <f ca="1">+WORLDCUP!BD61</f>
        <v>Paraguay</v>
      </c>
      <c r="G200" s="11" t="str">
        <f ca="1">+WORLDCUP!BD58</f>
        <v>República Checa</v>
      </c>
      <c r="H200" s="11" t="str">
        <f ca="1">+WORLDCUP!BD63</f>
        <v>Suecia</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Cabo Verde</v>
      </c>
      <c r="D201" s="11" t="str">
        <f ca="1">+WORLDCUP!BD64</f>
        <v>Bélgica</v>
      </c>
      <c r="E201" s="11" t="str">
        <f ca="1">+WORLDCUP!BD62</f>
        <v>Ecuador</v>
      </c>
      <c r="F201" s="11" t="str">
        <f ca="1">+WORLDCUP!BD61</f>
        <v>Paraguay</v>
      </c>
      <c r="G201" s="11" t="str">
        <f ca="1">+WORLDCUP!BD58</f>
        <v>República Checa</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Cabo Verde</v>
      </c>
      <c r="D202" s="11" t="str">
        <f ca="1">+WORLDCUP!BD64</f>
        <v>Bélgica</v>
      </c>
      <c r="E202" s="11" t="str">
        <f ca="1">+WORLDCUP!BD67</f>
        <v>Jordania</v>
      </c>
      <c r="F202" s="11" t="str">
        <f ca="1">+WORLDCUP!BD61</f>
        <v>Paraguay</v>
      </c>
      <c r="G202" s="11" t="str">
        <f ca="1">+WORLDCUP!BD58</f>
        <v>República Checa</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Cabo Verde</v>
      </c>
      <c r="D203" s="11" t="str">
        <f ca="1">+WORLDCUP!BD67</f>
        <v>Jordania</v>
      </c>
      <c r="E203" s="11" t="str">
        <f ca="1">+WORLDCUP!BD66</f>
        <v>Senegal</v>
      </c>
      <c r="F203" s="11" t="str">
        <f ca="1">+WORLDCUP!BD60</f>
        <v>Escocia</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Cabo Verde</v>
      </c>
      <c r="D204" s="11" t="str">
        <f ca="1">+WORLDCUP!BD67</f>
        <v>Jordania</v>
      </c>
      <c r="E204" s="11" t="str">
        <f ca="1">+WORLDCUP!BD66</f>
        <v>Senegal</v>
      </c>
      <c r="F204" s="11" t="str">
        <f ca="1">+WORLDCUP!BD60</f>
        <v>Escocia</v>
      </c>
      <c r="G204" s="11" t="str">
        <f ca="1">+WORLDCUP!BD58</f>
        <v>República Checa</v>
      </c>
      <c r="H204" s="11" t="str">
        <f ca="1">+WORLDCUP!BD63</f>
        <v>Suecia</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Escocia</v>
      </c>
      <c r="G205" s="11" t="str">
        <f ca="1">+WORLDCUP!BD58</f>
        <v>República Checa</v>
      </c>
      <c r="H205" s="11" t="str">
        <f ca="1">+WORLDCUP!BD63</f>
        <v>Suecia</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Cabo Verde</v>
      </c>
      <c r="D206" s="11" t="str">
        <f ca="1">+WORLDCUP!BD64</f>
        <v>Bélgica</v>
      </c>
      <c r="E206" s="11" t="str">
        <f ca="1">+WORLDCUP!BD67</f>
        <v>Jordania</v>
      </c>
      <c r="F206" s="11" t="str">
        <f ca="1">+WORLDCUP!BD60</f>
        <v>Escocia</v>
      </c>
      <c r="G206" s="11" t="str">
        <f ca="1">+WORLDCUP!BD58</f>
        <v>República Checa</v>
      </c>
      <c r="H206" s="11" t="str">
        <f ca="1">+WORLDCUP!BD63</f>
        <v>Suecia</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Cabo Verde</v>
      </c>
      <c r="D207" s="11" t="str">
        <f ca="1">+WORLDCUP!BD64</f>
        <v>Bélgica</v>
      </c>
      <c r="E207" s="11" t="str">
        <f ca="1">+WORLDCUP!BD66</f>
        <v>Senegal</v>
      </c>
      <c r="F207" s="11" t="str">
        <f ca="1">+WORLDCUP!BD60</f>
        <v>Escocia</v>
      </c>
      <c r="G207" s="11" t="str">
        <f ca="1">+WORLDCUP!BD58</f>
        <v>República Checa</v>
      </c>
      <c r="H207" s="11" t="str">
        <f ca="1">+WORLDCUP!BD63</f>
        <v>Suecia</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Cabo Verde</v>
      </c>
      <c r="D208" s="11" t="str">
        <f ca="1">+WORLDCUP!BD64</f>
        <v>Bélgica</v>
      </c>
      <c r="E208" s="11" t="str">
        <f ca="1">+WORLDCUP!BD67</f>
        <v>Jordania</v>
      </c>
      <c r="F208" s="11" t="str">
        <f ca="1">+WORLDCUP!BD60</f>
        <v>Escocia</v>
      </c>
      <c r="G208" s="11" t="str">
        <f ca="1">+WORLDCUP!BD58</f>
        <v>República Checa</v>
      </c>
      <c r="H208" s="11" t="str">
        <f ca="1">+WORLDCUP!BD63</f>
        <v>Suecia</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Cabo Verde</v>
      </c>
      <c r="D209" s="11" t="str">
        <f ca="1">+WORLDCUP!BD64</f>
        <v>Bélgica</v>
      </c>
      <c r="E209" s="11" t="str">
        <f ca="1">+WORLDCUP!BD67</f>
        <v>Jordania</v>
      </c>
      <c r="F209" s="11" t="str">
        <f ca="1">+WORLDCUP!BD60</f>
        <v>Escocia</v>
      </c>
      <c r="G209" s="11" t="str">
        <f ca="1">+WORLDCUP!BD58</f>
        <v>República Checa</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Escocia</v>
      </c>
      <c r="G210" s="11" t="str">
        <f ca="1">+WORLDCUP!BD58</f>
        <v>República Checa</v>
      </c>
      <c r="H210" s="11" t="str">
        <f ca="1">+WORLDCUP!BD65</f>
        <v>Cabo Verde</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Escocia</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Escocia</v>
      </c>
      <c r="G212" s="11" t="str">
        <f ca="1">+WORLDCUP!BD58</f>
        <v>República Checa</v>
      </c>
      <c r="H212" s="11" t="str">
        <f ca="1">+WORLDCUP!BD65</f>
        <v>Cabo Verde</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Escocia</v>
      </c>
      <c r="G213" s="11" t="str">
        <f ca="1">+WORLDCUP!BD58</f>
        <v>República Checa</v>
      </c>
      <c r="H213" s="11" t="str">
        <f ca="1">+WORLDCUP!BD65</f>
        <v>Cabo Verde</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Escocia</v>
      </c>
      <c r="G214" s="11" t="str">
        <f ca="1">+WORLDCUP!BD58</f>
        <v>República Checa</v>
      </c>
      <c r="H214" s="11" t="str">
        <f ca="1">+WORLDCUP!BD65</f>
        <v>Cabo Verde</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Escocia</v>
      </c>
      <c r="G215" s="11" t="str">
        <f ca="1">+WORLDCUP!BD58</f>
        <v>República Checa</v>
      </c>
      <c r="H215" s="11" t="str">
        <f ca="1">+WORLDCUP!BD65</f>
        <v>Cabo Verde</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Escocia</v>
      </c>
      <c r="G216" s="11" t="str">
        <f ca="1">+WORLDCUP!BD58</f>
        <v>República Checa</v>
      </c>
      <c r="H216" s="11" t="str">
        <f ca="1">+WORLDCUP!BD63</f>
        <v>Suecia</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Cabo Verde</v>
      </c>
      <c r="D217" s="11" t="str">
        <f ca="1">+WORLDCUP!BD67</f>
        <v>Jordania</v>
      </c>
      <c r="E217" s="11" t="str">
        <f ca="1">+WORLDCUP!BD62</f>
        <v>Ecuador</v>
      </c>
      <c r="F217" s="11" t="str">
        <f ca="1">+WORLDCUP!BD60</f>
        <v>Escocia</v>
      </c>
      <c r="G217" s="11" t="str">
        <f ca="1">+WORLDCUP!BD58</f>
        <v>República Checa</v>
      </c>
      <c r="H217" s="11" t="str">
        <f ca="1">+WORLDCUP!BD63</f>
        <v>Suecia</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Cabo Verde</v>
      </c>
      <c r="D218" s="11" t="str">
        <f ca="1">+WORLDCUP!BD62</f>
        <v>Ecuador</v>
      </c>
      <c r="E218" s="11" t="str">
        <f ca="1">+WORLDCUP!BD66</f>
        <v>Senegal</v>
      </c>
      <c r="F218" s="11" t="str">
        <f ca="1">+WORLDCUP!BD60</f>
        <v>Escocia</v>
      </c>
      <c r="G218" s="11" t="str">
        <f ca="1">+WORLDCUP!BD58</f>
        <v>República Checa</v>
      </c>
      <c r="H218" s="11" t="str">
        <f ca="1">+WORLDCUP!BD63</f>
        <v>Suecia</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Cabo Verde</v>
      </c>
      <c r="D219" s="11" t="str">
        <f ca="1">+WORLDCUP!BD67</f>
        <v>Jordania</v>
      </c>
      <c r="E219" s="11" t="str">
        <f ca="1">+WORLDCUP!BD62</f>
        <v>Ecuador</v>
      </c>
      <c r="F219" s="11" t="str">
        <f ca="1">+WORLDCUP!BD60</f>
        <v>Escocia</v>
      </c>
      <c r="G219" s="11" t="str">
        <f ca="1">+WORLDCUP!BD58</f>
        <v>República Checa</v>
      </c>
      <c r="H219" s="11" t="str">
        <f ca="1">+WORLDCUP!BD63</f>
        <v>Suecia</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Cabo Verde</v>
      </c>
      <c r="D220" s="11" t="str">
        <f ca="1">+WORLDCUP!BD67</f>
        <v>Jordania</v>
      </c>
      <c r="E220" s="11" t="str">
        <f ca="1">+WORLDCUP!BD62</f>
        <v>Ecuador</v>
      </c>
      <c r="F220" s="11" t="str">
        <f ca="1">+WORLDCUP!BD60</f>
        <v>Escocia</v>
      </c>
      <c r="G220" s="11" t="str">
        <f ca="1">+WORLDCUP!BD58</f>
        <v>República Checa</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Escocia</v>
      </c>
      <c r="G221" s="11" t="str">
        <f ca="1">+WORLDCUP!BD58</f>
        <v>República Checa</v>
      </c>
      <c r="H221" s="11" t="str">
        <f ca="1">+WORLDCUP!BD63</f>
        <v>Suecia</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Escocia</v>
      </c>
      <c r="G222" s="11" t="str">
        <f ca="1">+WORLDCUP!BD58</f>
        <v>República Checa</v>
      </c>
      <c r="H222" s="11" t="str">
        <f ca="1">+WORLDCUP!BD63</f>
        <v>Suecia</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Escocia</v>
      </c>
      <c r="G223" s="11" t="str">
        <f ca="1">+WORLDCUP!BD58</f>
        <v>República Checa</v>
      </c>
      <c r="H223" s="11" t="str">
        <f ca="1">+WORLDCUP!BD63</f>
        <v>Suecia</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Escocia</v>
      </c>
      <c r="G224" s="11" t="str">
        <f ca="1">+WORLDCUP!BD58</f>
        <v>República Checa</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Cabo Verde</v>
      </c>
      <c r="D225" s="11" t="str">
        <f ca="1">+WORLDCUP!BD64</f>
        <v>Bélgica</v>
      </c>
      <c r="E225" s="11" t="str">
        <f ca="1">+WORLDCUP!BD62</f>
        <v>Ecuador</v>
      </c>
      <c r="F225" s="11" t="str">
        <f ca="1">+WORLDCUP!BD60</f>
        <v>Escocia</v>
      </c>
      <c r="G225" s="11" t="str">
        <f ca="1">+WORLDCUP!BD58</f>
        <v>República Checa</v>
      </c>
      <c r="H225" s="11" t="str">
        <f ca="1">+WORLDCUP!BD63</f>
        <v>Suecia</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Cabo Verde</v>
      </c>
      <c r="D226" s="11" t="str">
        <f ca="1">+WORLDCUP!BD64</f>
        <v>Bélgica</v>
      </c>
      <c r="E226" s="11" t="str">
        <f ca="1">+WORLDCUP!BD67</f>
        <v>Jordania</v>
      </c>
      <c r="F226" s="11" t="str">
        <f ca="1">+WORLDCUP!BD60</f>
        <v>Escocia</v>
      </c>
      <c r="G226" s="11" t="str">
        <f ca="1">+WORLDCUP!BD58</f>
        <v>República Checa</v>
      </c>
      <c r="H226" s="11" t="str">
        <f ca="1">+WORLDCUP!BD63</f>
        <v>Suecia</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Cabo Verde</v>
      </c>
      <c r="D227" s="11" t="str">
        <f ca="1">+WORLDCUP!BD64</f>
        <v>Bélgica</v>
      </c>
      <c r="E227" s="11" t="str">
        <f ca="1">+WORLDCUP!BD67</f>
        <v>Jordania</v>
      </c>
      <c r="F227" s="11" t="str">
        <f ca="1">+WORLDCUP!BD60</f>
        <v>Escocia</v>
      </c>
      <c r="G227" s="11" t="str">
        <f ca="1">+WORLDCUP!BD58</f>
        <v>República Checa</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Cabo Verde</v>
      </c>
      <c r="D228" s="11" t="str">
        <f ca="1">+WORLDCUP!BD64</f>
        <v>Bélgica</v>
      </c>
      <c r="E228" s="11" t="str">
        <f ca="1">+WORLDCUP!BD62</f>
        <v>Ecuador</v>
      </c>
      <c r="F228" s="11" t="str">
        <f ca="1">+WORLDCUP!BD60</f>
        <v>Escocia</v>
      </c>
      <c r="G228" s="11" t="str">
        <f ca="1">+WORLDCUP!BD58</f>
        <v>República Checa</v>
      </c>
      <c r="H228" s="11" t="str">
        <f ca="1">+WORLDCUP!BD63</f>
        <v>Suecia</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Cabo Verde</v>
      </c>
      <c r="D229" s="11" t="str">
        <f ca="1">+WORLDCUP!BD64</f>
        <v>Bélgica</v>
      </c>
      <c r="E229" s="11" t="str">
        <f ca="1">+WORLDCUP!BD62</f>
        <v>Ecuador</v>
      </c>
      <c r="F229" s="11" t="str">
        <f ca="1">+WORLDCUP!BD60</f>
        <v>Escocia</v>
      </c>
      <c r="G229" s="11" t="str">
        <f ca="1">+WORLDCUP!BD58</f>
        <v>República Checa</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Cabo Verde</v>
      </c>
      <c r="D230" s="11" t="str">
        <f ca="1">+WORLDCUP!BD64</f>
        <v>Bélgica</v>
      </c>
      <c r="E230" s="11" t="str">
        <f ca="1">+WORLDCUP!BD67</f>
        <v>Jordania</v>
      </c>
      <c r="F230" s="11" t="str">
        <f ca="1">+WORLDCUP!BD60</f>
        <v>Escocia</v>
      </c>
      <c r="G230" s="11" t="str">
        <f ca="1">+WORLDCUP!BD58</f>
        <v>República Checa</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Cabo Verde</v>
      </c>
      <c r="D231" s="11" t="str">
        <f ca="1">+WORLDCUP!BD67</f>
        <v>Jordania</v>
      </c>
      <c r="E231" s="11" t="str">
        <f ca="1">+WORLDCUP!BD66</f>
        <v>Senegal</v>
      </c>
      <c r="F231" s="11" t="str">
        <f ca="1">+WORLDCUP!BD60</f>
        <v>Escocia</v>
      </c>
      <c r="G231" s="11" t="str">
        <f ca="1">+WORLDCUP!BD58</f>
        <v>República Checa</v>
      </c>
      <c r="H231" s="11" t="str">
        <f ca="1">+WORLDCUP!BD61</f>
        <v>Paraguay</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Escocia</v>
      </c>
      <c r="G232" s="11" t="str">
        <f ca="1">+WORLDCUP!BD58</f>
        <v>República Checa</v>
      </c>
      <c r="H232" s="11" t="str">
        <f ca="1">+WORLDCUP!BD61</f>
        <v>Paraguay</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Cabo Verde</v>
      </c>
      <c r="D233" s="11" t="str">
        <f ca="1">+WORLDCUP!BD64</f>
        <v>Bélgica</v>
      </c>
      <c r="E233" s="11" t="str">
        <f ca="1">+WORLDCUP!BD67</f>
        <v>Jordania</v>
      </c>
      <c r="F233" s="11" t="str">
        <f ca="1">+WORLDCUP!BD60</f>
        <v>Escocia</v>
      </c>
      <c r="G233" s="11" t="str">
        <f ca="1">+WORLDCUP!BD58</f>
        <v>República Checa</v>
      </c>
      <c r="H233" s="11" t="str">
        <f ca="1">+WORLDCUP!BD61</f>
        <v>Paraguay</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Cabo Verde</v>
      </c>
      <c r="D234" s="11" t="str">
        <f ca="1">+WORLDCUP!BD64</f>
        <v>Bélgica</v>
      </c>
      <c r="E234" s="11" t="str">
        <f ca="1">+WORLDCUP!BD66</f>
        <v>Senegal</v>
      </c>
      <c r="F234" s="11" t="str">
        <f ca="1">+WORLDCUP!BD60</f>
        <v>Escocia</v>
      </c>
      <c r="G234" s="11" t="str">
        <f ca="1">+WORLDCUP!BD58</f>
        <v>República Checa</v>
      </c>
      <c r="H234" s="11" t="str">
        <f ca="1">+WORLDCUP!BD61</f>
        <v>Paraguay</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Cabo Verde</v>
      </c>
      <c r="D235" s="11" t="str">
        <f ca="1">+WORLDCUP!BD64</f>
        <v>Bélgica</v>
      </c>
      <c r="E235" s="11" t="str">
        <f ca="1">+WORLDCUP!BD67</f>
        <v>Jordania</v>
      </c>
      <c r="F235" s="11" t="str">
        <f ca="1">+WORLDCUP!BD60</f>
        <v>Escocia</v>
      </c>
      <c r="G235" s="11" t="str">
        <f ca="1">+WORLDCUP!BD58</f>
        <v>República Checa</v>
      </c>
      <c r="H235" s="11" t="str">
        <f ca="1">+WORLDCUP!BD61</f>
        <v>Paraguay</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Cabo Verde</v>
      </c>
      <c r="D236" s="11" t="str">
        <f ca="1">+WORLDCUP!BD64</f>
        <v>Bélgica</v>
      </c>
      <c r="E236" s="11" t="str">
        <f ca="1">+WORLDCUP!BD67</f>
        <v>Jordania</v>
      </c>
      <c r="F236" s="11" t="str">
        <f ca="1">+WORLDCUP!BD60</f>
        <v>Escocia</v>
      </c>
      <c r="G236" s="11" t="str">
        <f ca="1">+WORLDCUP!BD58</f>
        <v>República Checa</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Jordania</v>
      </c>
      <c r="E237" s="11" t="str">
        <f ca="1">+WORLDCUP!BD66</f>
        <v>Senegal</v>
      </c>
      <c r="F237" s="11" t="str">
        <f ca="1">+WORLDCUP!BD61</f>
        <v>Paraguay</v>
      </c>
      <c r="G237" s="11" t="str">
        <f ca="1">+WORLDCUP!BD58</f>
        <v>República Checa</v>
      </c>
      <c r="H237" s="11" t="str">
        <f ca="1">+WORLDCUP!BD63</f>
        <v>Suecia</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Cabo Verde</v>
      </c>
      <c r="D238" s="11" t="str">
        <f ca="1">+WORLDCUP!BD67</f>
        <v>Jordania</v>
      </c>
      <c r="E238" s="11" t="str">
        <f ca="1">+WORLDCUP!BD63</f>
        <v>Suecia</v>
      </c>
      <c r="F238" s="11" t="str">
        <f ca="1">+WORLDCUP!BD60</f>
        <v>Escocia</v>
      </c>
      <c r="G238" s="11" t="str">
        <f ca="1">+WORLDCUP!BD58</f>
        <v>República Checa</v>
      </c>
      <c r="H238" s="11" t="str">
        <f ca="1">+WORLDCUP!BD61</f>
        <v>Paraguay</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Cabo Verde</v>
      </c>
      <c r="D239" s="11" t="str">
        <f ca="1">+WORLDCUP!BD63</f>
        <v>Suecia</v>
      </c>
      <c r="E239" s="11" t="str">
        <f ca="1">+WORLDCUP!BD66</f>
        <v>Senegal</v>
      </c>
      <c r="F239" s="11" t="str">
        <f ca="1">+WORLDCUP!BD60</f>
        <v>Escocia</v>
      </c>
      <c r="G239" s="11" t="str">
        <f ca="1">+WORLDCUP!BD58</f>
        <v>República Checa</v>
      </c>
      <c r="H239" s="11" t="str">
        <f ca="1">+WORLDCUP!BD61</f>
        <v>Paraguay</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Cabo Verde</v>
      </c>
      <c r="D240" s="11" t="str">
        <f ca="1">+WORLDCUP!BD67</f>
        <v>Jordania</v>
      </c>
      <c r="E240" s="11" t="str">
        <f ca="1">+WORLDCUP!BD63</f>
        <v>Suecia</v>
      </c>
      <c r="F240" s="11" t="str">
        <f ca="1">+WORLDCUP!BD60</f>
        <v>Escocia</v>
      </c>
      <c r="G240" s="11" t="str">
        <f ca="1">+WORLDCUP!BD58</f>
        <v>República Checa</v>
      </c>
      <c r="H240" s="11" t="str">
        <f ca="1">+WORLDCUP!BD61</f>
        <v>Paraguay</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Cabo Verde</v>
      </c>
      <c r="D241" s="11" t="str">
        <f ca="1">+WORLDCUP!BD67</f>
        <v>Jordania</v>
      </c>
      <c r="E241" s="11" t="str">
        <f ca="1">+WORLDCUP!BD63</f>
        <v>Suecia</v>
      </c>
      <c r="F241" s="11" t="str">
        <f ca="1">+WORLDCUP!BD60</f>
        <v>Escocia</v>
      </c>
      <c r="G241" s="11" t="str">
        <f ca="1">+WORLDCUP!BD58</f>
        <v>República Checa</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Bélgica</v>
      </c>
      <c r="E242" s="11" t="str">
        <f ca="1">+WORLDCUP!BD67</f>
        <v>Jordania</v>
      </c>
      <c r="F242" s="11" t="str">
        <f ca="1">+WORLDCUP!BD61</f>
        <v>Paraguay</v>
      </c>
      <c r="G242" s="11" t="str">
        <f ca="1">+WORLDCUP!BD58</f>
        <v>República Checa</v>
      </c>
      <c r="H242" s="11" t="str">
        <f ca="1">+WORLDCUP!BD63</f>
        <v>Suecia</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Bélgica</v>
      </c>
      <c r="E243" s="11" t="str">
        <f ca="1">+WORLDCUP!BD66</f>
        <v>Senegal</v>
      </c>
      <c r="F243" s="11" t="str">
        <f ca="1">+WORLDCUP!BD61</f>
        <v>Paraguay</v>
      </c>
      <c r="G243" s="11" t="str">
        <f ca="1">+WORLDCUP!BD58</f>
        <v>República Checa</v>
      </c>
      <c r="H243" s="11" t="str">
        <f ca="1">+WORLDCUP!BD63</f>
        <v>Suecia</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Bélgica</v>
      </c>
      <c r="E244" s="11" t="str">
        <f ca="1">+WORLDCUP!BD67</f>
        <v>Jordania</v>
      </c>
      <c r="F244" s="11" t="str">
        <f ca="1">+WORLDCUP!BD61</f>
        <v>Paraguay</v>
      </c>
      <c r="G244" s="11" t="str">
        <f ca="1">+WORLDCUP!BD58</f>
        <v>República Checa</v>
      </c>
      <c r="H244" s="11" t="str">
        <f ca="1">+WORLDCUP!BD63</f>
        <v>Suecia</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Bélgica</v>
      </c>
      <c r="E245" s="11" t="str">
        <f ca="1">+WORLDCUP!BD67</f>
        <v>Jordania</v>
      </c>
      <c r="F245" s="11" t="str">
        <f ca="1">+WORLDCUP!BD61</f>
        <v>Paraguay</v>
      </c>
      <c r="G245" s="11" t="str">
        <f ca="1">+WORLDCUP!BD58</f>
        <v>República Checa</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Cabo Verde</v>
      </c>
      <c r="D246" s="11" t="str">
        <f ca="1">+WORLDCUP!BD64</f>
        <v>Bélgica</v>
      </c>
      <c r="E246" s="11" t="str">
        <f ca="1">+WORLDCUP!BD63</f>
        <v>Suecia</v>
      </c>
      <c r="F246" s="11" t="str">
        <f ca="1">+WORLDCUP!BD60</f>
        <v>Escocia</v>
      </c>
      <c r="G246" s="11" t="str">
        <f ca="1">+WORLDCUP!BD58</f>
        <v>República Checa</v>
      </c>
      <c r="H246" s="11" t="str">
        <f ca="1">+WORLDCUP!BD61</f>
        <v>Paraguay</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Bélgica</v>
      </c>
      <c r="E247" s="11" t="str">
        <f ca="1">+WORLDCUP!BD67</f>
        <v>Jordania</v>
      </c>
      <c r="F247" s="11" t="str">
        <f ca="1">+WORLDCUP!BD61</f>
        <v>Paraguay</v>
      </c>
      <c r="G247" s="11" t="str">
        <f ca="1">+WORLDCUP!BD58</f>
        <v>República Checa</v>
      </c>
      <c r="H247" s="11" t="str">
        <f ca="1">+WORLDCUP!BD63</f>
        <v>Suecia</v>
      </c>
      <c r="I247" s="11" t="str">
        <f ca="1">+WORLDCUP!BD69</f>
        <v>Panamá</v>
      </c>
      <c r="J247" s="11" t="str">
        <f ca="1">+WORLDCUP!BD65</f>
        <v>Cabo Verde</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Cabo Verde</v>
      </c>
      <c r="D248" s="11" t="str">
        <f ca="1">+WORLDCUP!BD64</f>
        <v>Bélgica</v>
      </c>
      <c r="E248" s="11" t="str">
        <f ca="1">+WORLDCUP!BD67</f>
        <v>Jordania</v>
      </c>
      <c r="F248" s="11" t="str">
        <f ca="1">+WORLDCUP!BD60</f>
        <v>Escocia</v>
      </c>
      <c r="G248" s="11" t="str">
        <f ca="1">+WORLDCUP!BD58</f>
        <v>República Checa</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Cabo Verde</v>
      </c>
      <c r="D249" s="11" t="str">
        <f ca="1">+WORLDCUP!BD64</f>
        <v>Bélgica</v>
      </c>
      <c r="E249" s="11" t="str">
        <f ca="1">+WORLDCUP!BD63</f>
        <v>Suecia</v>
      </c>
      <c r="F249" s="11" t="str">
        <f ca="1">+WORLDCUP!BD60</f>
        <v>Escocia</v>
      </c>
      <c r="G249" s="11" t="str">
        <f ca="1">+WORLDCUP!BD58</f>
        <v>República Checa</v>
      </c>
      <c r="H249" s="11" t="str">
        <f ca="1">+WORLDCUP!BD61</f>
        <v>Paraguay</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Cabo Verde</v>
      </c>
      <c r="D250" s="11" t="str">
        <f ca="1">+WORLDCUP!BD64</f>
        <v>Bélgica</v>
      </c>
      <c r="E250" s="11" t="str">
        <f ca="1">+WORLDCUP!BD63</f>
        <v>Suecia</v>
      </c>
      <c r="F250" s="11" t="str">
        <f ca="1">+WORLDCUP!BD60</f>
        <v>Escocia</v>
      </c>
      <c r="G250" s="11" t="str">
        <f ca="1">+WORLDCUP!BD58</f>
        <v>República Checa</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Cabo Verde</v>
      </c>
      <c r="D251" s="11" t="str">
        <f ca="1">+WORLDCUP!BD64</f>
        <v>Bélgica</v>
      </c>
      <c r="E251" s="11" t="str">
        <f ca="1">+WORLDCUP!BD67</f>
        <v>Jordania</v>
      </c>
      <c r="F251" s="11" t="str">
        <f ca="1">+WORLDCUP!BD60</f>
        <v>Escocia</v>
      </c>
      <c r="G251" s="11" t="str">
        <f ca="1">+WORLDCUP!BD58</f>
        <v>República Checa</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Escocia</v>
      </c>
      <c r="G252" s="11" t="str">
        <f ca="1">+WORLDCUP!BD58</f>
        <v>República Checa</v>
      </c>
      <c r="H252" s="11" t="str">
        <f ca="1">+WORLDCUP!BD61</f>
        <v>Paraguay</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Cabo Verde</v>
      </c>
      <c r="D253" s="11" t="str">
        <f ca="1">+WORLDCUP!BD67</f>
        <v>Jordania</v>
      </c>
      <c r="E253" s="11" t="str">
        <f ca="1">+WORLDCUP!BD62</f>
        <v>Ecuador</v>
      </c>
      <c r="F253" s="11" t="str">
        <f ca="1">+WORLDCUP!BD60</f>
        <v>Escocia</v>
      </c>
      <c r="G253" s="11" t="str">
        <f ca="1">+WORLDCUP!BD58</f>
        <v>República Checa</v>
      </c>
      <c r="H253" s="11" t="str">
        <f ca="1">+WORLDCUP!BD61</f>
        <v>Paraguay</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Cabo Verde</v>
      </c>
      <c r="D254" s="11" t="str">
        <f ca="1">+WORLDCUP!BD62</f>
        <v>Ecuador</v>
      </c>
      <c r="E254" s="11" t="str">
        <f ca="1">+WORLDCUP!BD66</f>
        <v>Senegal</v>
      </c>
      <c r="F254" s="11" t="str">
        <f ca="1">+WORLDCUP!BD60</f>
        <v>Escocia</v>
      </c>
      <c r="G254" s="11" t="str">
        <f ca="1">+WORLDCUP!BD58</f>
        <v>República Checa</v>
      </c>
      <c r="H254" s="11" t="str">
        <f ca="1">+WORLDCUP!BD61</f>
        <v>Paraguay</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Cabo Verde</v>
      </c>
      <c r="D255" s="11" t="str">
        <f ca="1">+WORLDCUP!BD67</f>
        <v>Jordania</v>
      </c>
      <c r="E255" s="11" t="str">
        <f ca="1">+WORLDCUP!BD62</f>
        <v>Ecuador</v>
      </c>
      <c r="F255" s="11" t="str">
        <f ca="1">+WORLDCUP!BD60</f>
        <v>Escocia</v>
      </c>
      <c r="G255" s="11" t="str">
        <f ca="1">+WORLDCUP!BD58</f>
        <v>República Checa</v>
      </c>
      <c r="H255" s="11" t="str">
        <f ca="1">+WORLDCUP!BD61</f>
        <v>Paraguay</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Cabo Verde</v>
      </c>
      <c r="D256" s="11" t="str">
        <f ca="1">+WORLDCUP!BD67</f>
        <v>Jordania</v>
      </c>
      <c r="E256" s="11" t="str">
        <f ca="1">+WORLDCUP!BD62</f>
        <v>Ecuador</v>
      </c>
      <c r="F256" s="11" t="str">
        <f ca="1">+WORLDCUP!BD60</f>
        <v>Escocia</v>
      </c>
      <c r="G256" s="11" t="str">
        <f ca="1">+WORLDCUP!BD58</f>
        <v>República Checa</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Escocia</v>
      </c>
      <c r="G257" s="11" t="str">
        <f ca="1">+WORLDCUP!BD58</f>
        <v>República Checa</v>
      </c>
      <c r="H257" s="11" t="str">
        <f ca="1">+WORLDCUP!BD61</f>
        <v>Paraguay</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Escocia</v>
      </c>
      <c r="G258" s="11" t="str">
        <f ca="1">+WORLDCUP!BD58</f>
        <v>República Checa</v>
      </c>
      <c r="H258" s="11" t="str">
        <f ca="1">+WORLDCUP!BD61</f>
        <v>Paraguay</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Escocia</v>
      </c>
      <c r="G259" s="11" t="str">
        <f ca="1">+WORLDCUP!BD58</f>
        <v>República Checa</v>
      </c>
      <c r="H259" s="11" t="str">
        <f ca="1">+WORLDCUP!BD61</f>
        <v>Paraguay</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Escocia</v>
      </c>
      <c r="G260" s="11" t="str">
        <f ca="1">+WORLDCUP!BD58</f>
        <v>República Checa</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Cabo Verde</v>
      </c>
      <c r="D261" s="11" t="str">
        <f ca="1">+WORLDCUP!BD64</f>
        <v>Bélgica</v>
      </c>
      <c r="E261" s="11" t="str">
        <f ca="1">+WORLDCUP!BD62</f>
        <v>Ecuador</v>
      </c>
      <c r="F261" s="11" t="str">
        <f ca="1">+WORLDCUP!BD60</f>
        <v>Escocia</v>
      </c>
      <c r="G261" s="11" t="str">
        <f ca="1">+WORLDCUP!BD58</f>
        <v>República Checa</v>
      </c>
      <c r="H261" s="11" t="str">
        <f ca="1">+WORLDCUP!BD61</f>
        <v>Paraguay</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Cabo Verde</v>
      </c>
      <c r="D262" s="11" t="str">
        <f ca="1">+WORLDCUP!BD64</f>
        <v>Bélgica</v>
      </c>
      <c r="E262" s="11" t="str">
        <f ca="1">+WORLDCUP!BD67</f>
        <v>Jordania</v>
      </c>
      <c r="F262" s="11" t="str">
        <f ca="1">+WORLDCUP!BD60</f>
        <v>Escocia</v>
      </c>
      <c r="G262" s="11" t="str">
        <f ca="1">+WORLDCUP!BD58</f>
        <v>República Checa</v>
      </c>
      <c r="H262" s="11" t="str">
        <f ca="1">+WORLDCUP!BD61</f>
        <v>Paraguay</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Cabo Verde</v>
      </c>
      <c r="D263" s="11" t="str">
        <f ca="1">+WORLDCUP!BD64</f>
        <v>Bélgica</v>
      </c>
      <c r="E263" s="11" t="str">
        <f ca="1">+WORLDCUP!BD67</f>
        <v>Jordania</v>
      </c>
      <c r="F263" s="11" t="str">
        <f ca="1">+WORLDCUP!BD60</f>
        <v>Escocia</v>
      </c>
      <c r="G263" s="11" t="str">
        <f ca="1">+WORLDCUP!BD58</f>
        <v>República Checa</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Cabo Verde</v>
      </c>
      <c r="D264" s="11" t="str">
        <f ca="1">+WORLDCUP!BD64</f>
        <v>Bélgica</v>
      </c>
      <c r="E264" s="11" t="str">
        <f ca="1">+WORLDCUP!BD62</f>
        <v>Ecuador</v>
      </c>
      <c r="F264" s="11" t="str">
        <f ca="1">+WORLDCUP!BD60</f>
        <v>Escocia</v>
      </c>
      <c r="G264" s="11" t="str">
        <f ca="1">+WORLDCUP!BD58</f>
        <v>República Checa</v>
      </c>
      <c r="H264" s="11" t="str">
        <f ca="1">+WORLDCUP!BD61</f>
        <v>Paraguay</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Cabo Verde</v>
      </c>
      <c r="D265" s="11" t="str">
        <f ca="1">+WORLDCUP!BD64</f>
        <v>Bélgica</v>
      </c>
      <c r="E265" s="11" t="str">
        <f ca="1">+WORLDCUP!BD62</f>
        <v>Ecuador</v>
      </c>
      <c r="F265" s="11" t="str">
        <f ca="1">+WORLDCUP!BD60</f>
        <v>Escocia</v>
      </c>
      <c r="G265" s="11" t="str">
        <f ca="1">+WORLDCUP!BD58</f>
        <v>República Checa</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Cabo Verde</v>
      </c>
      <c r="D266" s="11" t="str">
        <f ca="1">+WORLDCUP!BD64</f>
        <v>Bélgica</v>
      </c>
      <c r="E266" s="11" t="str">
        <f ca="1">+WORLDCUP!BD67</f>
        <v>Jordania</v>
      </c>
      <c r="F266" s="11" t="str">
        <f ca="1">+WORLDCUP!BD60</f>
        <v>Escocia</v>
      </c>
      <c r="G266" s="11" t="str">
        <f ca="1">+WORLDCUP!BD58</f>
        <v>República Checa</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Jordania</v>
      </c>
      <c r="E267" s="11" t="str">
        <f ca="1">+WORLDCUP!BD62</f>
        <v>Ecuador</v>
      </c>
      <c r="F267" s="11" t="str">
        <f ca="1">+WORLDCUP!BD61</f>
        <v>Paraguay</v>
      </c>
      <c r="G267" s="11" t="str">
        <f ca="1">+WORLDCUP!BD58</f>
        <v>República Checa</v>
      </c>
      <c r="H267" s="11" t="str">
        <f ca="1">+WORLDCUP!BD63</f>
        <v>Suecia</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República Checa</v>
      </c>
      <c r="H268" s="11" t="str">
        <f ca="1">+WORLDCUP!BD63</f>
        <v>Suecia</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Jordania</v>
      </c>
      <c r="E269" s="11" t="str">
        <f ca="1">+WORLDCUP!BD62</f>
        <v>Ecuador</v>
      </c>
      <c r="F269" s="11" t="str">
        <f ca="1">+WORLDCUP!BD61</f>
        <v>Paraguay</v>
      </c>
      <c r="G269" s="11" t="str">
        <f ca="1">+WORLDCUP!BD58</f>
        <v>República Checa</v>
      </c>
      <c r="H269" s="11" t="str">
        <f ca="1">+WORLDCUP!BD63</f>
        <v>Suecia</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Jordania</v>
      </c>
      <c r="E270" s="11" t="str">
        <f ca="1">+WORLDCUP!BD62</f>
        <v>Ecuador</v>
      </c>
      <c r="F270" s="11" t="str">
        <f ca="1">+WORLDCUP!BD61</f>
        <v>Paraguay</v>
      </c>
      <c r="G270" s="11" t="str">
        <f ca="1">+WORLDCUP!BD58</f>
        <v>República Checa</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Cabo Verde</v>
      </c>
      <c r="D271" s="11" t="str">
        <f ca="1">+WORLDCUP!BD62</f>
        <v>Ecuador</v>
      </c>
      <c r="E271" s="11" t="str">
        <f ca="1">+WORLDCUP!BD63</f>
        <v>Suecia</v>
      </c>
      <c r="F271" s="11" t="str">
        <f ca="1">+WORLDCUP!BD60</f>
        <v>Escocia</v>
      </c>
      <c r="G271" s="11" t="str">
        <f ca="1">+WORLDCUP!BD58</f>
        <v>República Checa</v>
      </c>
      <c r="H271" s="11" t="str">
        <f ca="1">+WORLDCUP!BD61</f>
        <v>Paraguay</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Cabo Verde</v>
      </c>
      <c r="D272" s="11" t="str">
        <f ca="1">+WORLDCUP!BD67</f>
        <v>Jordania</v>
      </c>
      <c r="E272" s="11" t="str">
        <f ca="1">+WORLDCUP!BD63</f>
        <v>Suecia</v>
      </c>
      <c r="F272" s="11" t="str">
        <f ca="1">+WORLDCUP!BD60</f>
        <v>Escocia</v>
      </c>
      <c r="G272" s="11" t="str">
        <f ca="1">+WORLDCUP!BD58</f>
        <v>República Checa</v>
      </c>
      <c r="H272" s="11" t="str">
        <f ca="1">+WORLDCUP!BD61</f>
        <v>Paraguay</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Cabo Verde</v>
      </c>
      <c r="D273" s="11" t="str">
        <f ca="1">+WORLDCUP!BD67</f>
        <v>Jordania</v>
      </c>
      <c r="E273" s="11" t="str">
        <f ca="1">+WORLDCUP!BD62</f>
        <v>Ecuador</v>
      </c>
      <c r="F273" s="11" t="str">
        <f ca="1">+WORLDCUP!BD60</f>
        <v>Escocia</v>
      </c>
      <c r="G273" s="11" t="str">
        <f ca="1">+WORLDCUP!BD58</f>
        <v>República Checa</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Cabo Verde</v>
      </c>
      <c r="D274" s="11" t="str">
        <f ca="1">+WORLDCUP!BD62</f>
        <v>Ecuador</v>
      </c>
      <c r="E274" s="11" t="str">
        <f ca="1">+WORLDCUP!BD63</f>
        <v>Suecia</v>
      </c>
      <c r="F274" s="11" t="str">
        <f ca="1">+WORLDCUP!BD60</f>
        <v>Escocia</v>
      </c>
      <c r="G274" s="11" t="str">
        <f ca="1">+WORLDCUP!BD58</f>
        <v>República Checa</v>
      </c>
      <c r="H274" s="11" t="str">
        <f ca="1">+WORLDCUP!BD61</f>
        <v>Paraguay</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Cabo Verde</v>
      </c>
      <c r="D275" s="11" t="str">
        <f ca="1">+WORLDCUP!BD62</f>
        <v>Ecuador</v>
      </c>
      <c r="E275" s="11" t="str">
        <f ca="1">+WORLDCUP!BD63</f>
        <v>Suecia</v>
      </c>
      <c r="F275" s="11" t="str">
        <f ca="1">+WORLDCUP!BD60</f>
        <v>Escocia</v>
      </c>
      <c r="G275" s="11" t="str">
        <f ca="1">+WORLDCUP!BD58</f>
        <v>República Checa</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Cabo Verde</v>
      </c>
      <c r="D276" s="11" t="str">
        <f ca="1">+WORLDCUP!BD67</f>
        <v>Jordania</v>
      </c>
      <c r="E276" s="11" t="str">
        <f ca="1">+WORLDCUP!BD62</f>
        <v>Ecuador</v>
      </c>
      <c r="F276" s="11" t="str">
        <f ca="1">+WORLDCUP!BD60</f>
        <v>Escocia</v>
      </c>
      <c r="G276" s="11" t="str">
        <f ca="1">+WORLDCUP!BD58</f>
        <v>República Checa</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Bélgica</v>
      </c>
      <c r="E277" s="11" t="str">
        <f ca="1">+WORLDCUP!BD62</f>
        <v>Ecuador</v>
      </c>
      <c r="F277" s="11" t="str">
        <f ca="1">+WORLDCUP!BD61</f>
        <v>Paraguay</v>
      </c>
      <c r="G277" s="11" t="str">
        <f ca="1">+WORLDCUP!BD58</f>
        <v>República Checa</v>
      </c>
      <c r="H277" s="11" t="str">
        <f ca="1">+WORLDCUP!BD63</f>
        <v>Suecia</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Bélgica</v>
      </c>
      <c r="E278" s="11" t="str">
        <f ca="1">+WORLDCUP!BD67</f>
        <v>Jordania</v>
      </c>
      <c r="F278" s="11" t="str">
        <f ca="1">+WORLDCUP!BD61</f>
        <v>Paraguay</v>
      </c>
      <c r="G278" s="11" t="str">
        <f ca="1">+WORLDCUP!BD58</f>
        <v>República Checa</v>
      </c>
      <c r="H278" s="11" t="str">
        <f ca="1">+WORLDCUP!BD63</f>
        <v>Suecia</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Bélgica</v>
      </c>
      <c r="E279" s="11" t="str">
        <f ca="1">+WORLDCUP!BD67</f>
        <v>Jordania</v>
      </c>
      <c r="F279" s="11" t="str">
        <f ca="1">+WORLDCUP!BD61</f>
        <v>Paraguay</v>
      </c>
      <c r="G279" s="11" t="str">
        <f ca="1">+WORLDCUP!BD58</f>
        <v>República Checa</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Bélgica</v>
      </c>
      <c r="E280" s="11" t="str">
        <f ca="1">+WORLDCUP!BD62</f>
        <v>Ecuador</v>
      </c>
      <c r="F280" s="11" t="str">
        <f ca="1">+WORLDCUP!BD61</f>
        <v>Paraguay</v>
      </c>
      <c r="G280" s="11" t="str">
        <f ca="1">+WORLDCUP!BD58</f>
        <v>República Checa</v>
      </c>
      <c r="H280" s="11" t="str">
        <f ca="1">+WORLDCUP!BD63</f>
        <v>Suecia</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Bélgica</v>
      </c>
      <c r="E281" s="11" t="str">
        <f ca="1">+WORLDCUP!BD62</f>
        <v>Ecuador</v>
      </c>
      <c r="F281" s="11" t="str">
        <f ca="1">+WORLDCUP!BD61</f>
        <v>Paraguay</v>
      </c>
      <c r="G281" s="11" t="str">
        <f ca="1">+WORLDCUP!BD58</f>
        <v>República Checa</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Bélgica</v>
      </c>
      <c r="E282" s="11" t="str">
        <f ca="1">+WORLDCUP!BD67</f>
        <v>Jordania</v>
      </c>
      <c r="F282" s="11" t="str">
        <f ca="1">+WORLDCUP!BD61</f>
        <v>Paraguay</v>
      </c>
      <c r="G282" s="11" t="str">
        <f ca="1">+WORLDCUP!BD58</f>
        <v>República Checa</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Cabo Verde</v>
      </c>
      <c r="D283" s="11" t="str">
        <f ca="1">+WORLDCUP!BD64</f>
        <v>Bélgica</v>
      </c>
      <c r="E283" s="11" t="str">
        <f ca="1">+WORLDCUP!BD63</f>
        <v>Suecia</v>
      </c>
      <c r="F283" s="11" t="str">
        <f ca="1">+WORLDCUP!BD60</f>
        <v>Escocia</v>
      </c>
      <c r="G283" s="11" t="str">
        <f ca="1">+WORLDCUP!BD58</f>
        <v>República Checa</v>
      </c>
      <c r="H283" s="11" t="str">
        <f ca="1">+WORLDCUP!BD61</f>
        <v>Paraguay</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1</v>
      </c>
      <c r="C284" s="11" t="str">
        <f ca="1">+WORLDCUP!BD65</f>
        <v>Cabo Verde</v>
      </c>
      <c r="D284" s="11" t="str">
        <f ca="1">+WORLDCUP!BD64</f>
        <v>Bélgica</v>
      </c>
      <c r="E284" s="11" t="str">
        <f ca="1">+WORLDCUP!BD62</f>
        <v>Ecuador</v>
      </c>
      <c r="F284" s="11" t="str">
        <f ca="1">+WORLDCUP!BD60</f>
        <v>Escocia</v>
      </c>
      <c r="G284" s="11" t="str">
        <f ca="1">+WORLDCUP!BD58</f>
        <v>República Checa</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Cabo Verde</v>
      </c>
      <c r="D285" s="11" t="str">
        <f ca="1">+WORLDCUP!BD64</f>
        <v>Bélgica</v>
      </c>
      <c r="E285" s="11" t="str">
        <f ca="1">+WORLDCUP!BD67</f>
        <v>Jordania</v>
      </c>
      <c r="F285" s="11" t="str">
        <f ca="1">+WORLDCUP!BD60</f>
        <v>Escocia</v>
      </c>
      <c r="G285" s="11" t="str">
        <f ca="1">+WORLDCUP!BD58</f>
        <v>República Checa</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Cabo Verde</v>
      </c>
      <c r="D286" s="11" t="str">
        <f ca="1">+WORLDCUP!BD64</f>
        <v>Bélgica</v>
      </c>
      <c r="E286" s="11" t="str">
        <f ca="1">+WORLDCUP!BD62</f>
        <v>Ecuador</v>
      </c>
      <c r="F286" s="11" t="str">
        <f ca="1">+WORLDCUP!BD60</f>
        <v>Escocia</v>
      </c>
      <c r="G286" s="11" t="str">
        <f ca="1">+WORLDCUP!BD58</f>
        <v>República Checa</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Cabo Verde</v>
      </c>
      <c r="D287" s="11" t="str">
        <f ca="1">+WORLDCUP!BD67</f>
        <v>Jordania</v>
      </c>
      <c r="E287" s="11" t="str">
        <f ca="1">+WORLDCUP!BD59</f>
        <v>Bosnia y Herzegovina</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Cabo Verde</v>
      </c>
      <c r="D288" s="11" t="str">
        <f ca="1">+WORLDCUP!BD67</f>
        <v>Jordania</v>
      </c>
      <c r="E288" s="11" t="str">
        <f ca="1">+WORLDCUP!BD59</f>
        <v>Bosnia y Herzegovina</v>
      </c>
      <c r="F288" s="11" t="str">
        <f ca="1">+WORLDCUP!BD58</f>
        <v>República Checa</v>
      </c>
      <c r="G288" s="11" t="str">
        <f ca="1">+WORLDCUP!BD66</f>
        <v>Senegal</v>
      </c>
      <c r="H288" s="11" t="str">
        <f ca="1">+WORLDCUP!BD63</f>
        <v>Suecia</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Bosnia y Herzegovina</v>
      </c>
      <c r="F289" s="11" t="str">
        <f ca="1">+WORLDCUP!BD63</f>
        <v>Suecia</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Cabo Verde</v>
      </c>
      <c r="D290" s="11" t="str">
        <f ca="1">+WORLDCUP!BD67</f>
        <v>Jordania</v>
      </c>
      <c r="E290" s="11" t="str">
        <f ca="1">+WORLDCUP!BD59</f>
        <v>Bosnia y Herzegovina</v>
      </c>
      <c r="F290" s="11" t="str">
        <f ca="1">+WORLDCUP!BD63</f>
        <v>Suecia</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Cabo Verde</v>
      </c>
      <c r="D291" s="11" t="str">
        <f ca="1">+WORLDCUP!BD64</f>
        <v>Bélgica</v>
      </c>
      <c r="E291" s="11" t="str">
        <f ca="1">+WORLDCUP!BD59</f>
        <v>Bosnia y Herzegovina</v>
      </c>
      <c r="F291" s="11" t="str">
        <f ca="1">+WORLDCUP!BD58</f>
        <v>República Checa</v>
      </c>
      <c r="G291" s="11" t="str">
        <f ca="1">+WORLDCUP!BD66</f>
        <v>Senegal</v>
      </c>
      <c r="H291" s="11" t="str">
        <f ca="1">+WORLDCUP!BD63</f>
        <v>Suecia</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Cabo Verde</v>
      </c>
      <c r="D292" s="11" t="str">
        <f ca="1">+WORLDCUP!BD67</f>
        <v>Jordania</v>
      </c>
      <c r="E292" s="11" t="str">
        <f ca="1">+WORLDCUP!BD59</f>
        <v>Bosnia y Herzegovina</v>
      </c>
      <c r="F292" s="11" t="str">
        <f ca="1">+WORLDCUP!BD63</f>
        <v>Suecia</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Cabo Verde</v>
      </c>
      <c r="D293" s="11" t="str">
        <f ca="1">+WORLDCUP!BD67</f>
        <v>Jordania</v>
      </c>
      <c r="E293" s="11" t="str">
        <f ca="1">+WORLDCUP!BD59</f>
        <v>Bosnia y Herzegovina</v>
      </c>
      <c r="F293" s="11" t="str">
        <f ca="1">+WORLDCUP!BD63</f>
        <v>Suecia</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Bosnia y Herzegovina</v>
      </c>
      <c r="F294" s="11" t="str">
        <f ca="1">+WORLDCUP!BD58</f>
        <v>República Checa</v>
      </c>
      <c r="G294" s="11" t="str">
        <f ca="1">+WORLDCUP!BD66</f>
        <v>Senegal</v>
      </c>
      <c r="H294" s="11" t="str">
        <f ca="1">+WORLDCUP!BD65</f>
        <v>Cabo Verde</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Bosnia y Herzegovina</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Bosnia y Herzegovina</v>
      </c>
      <c r="F296" s="11" t="str">
        <f ca="1">+WORLDCUP!BD58</f>
        <v>República Checa</v>
      </c>
      <c r="G296" s="11" t="str">
        <f ca="1">+WORLDCUP!BD65</f>
        <v>Cabo Verde</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Bosnia y Herzegovina</v>
      </c>
      <c r="F297" s="11" t="str">
        <f ca="1">+WORLDCUP!BD58</f>
        <v>República Checa</v>
      </c>
      <c r="G297" s="11" t="str">
        <f ca="1">+WORLDCUP!BD66</f>
        <v>Senegal</v>
      </c>
      <c r="H297" s="11" t="str">
        <f ca="1">+WORLDCUP!BD65</f>
        <v>Cabo Verde</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Bosnia y Herzegovina</v>
      </c>
      <c r="F298" s="11" t="str">
        <f ca="1">+WORLDCUP!BD58</f>
        <v>República Checa</v>
      </c>
      <c r="G298" s="11" t="str">
        <f ca="1">+WORLDCUP!BD65</f>
        <v>Cabo Verde</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Bosnia y Herzegovina</v>
      </c>
      <c r="F299" s="11" t="str">
        <f ca="1">+WORLDCUP!BD58</f>
        <v>República Checa</v>
      </c>
      <c r="G299" s="11" t="str">
        <f ca="1">+WORLDCUP!BD65</f>
        <v>Cabo Verde</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Bosnia y Herzegovina</v>
      </c>
      <c r="F300" s="11" t="str">
        <f ca="1">+WORLDCUP!BD58</f>
        <v>República Checa</v>
      </c>
      <c r="G300" s="11" t="str">
        <f ca="1">+WORLDCUP!BD66</f>
        <v>Senegal</v>
      </c>
      <c r="H300" s="11" t="str">
        <f ca="1">+WORLDCUP!BD63</f>
        <v>Suecia</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Bosnia y Herzegovina</v>
      </c>
      <c r="F301" s="11" t="str">
        <f ca="1">+WORLDCUP!BD63</f>
        <v>Suecia</v>
      </c>
      <c r="G301" s="11" t="str">
        <f ca="1">+WORLDCUP!BD58</f>
        <v>República Checa</v>
      </c>
      <c r="H301" s="11" t="str">
        <f ca="1">+WORLDCUP!BD65</f>
        <v>Cabo Verde</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República Checa</v>
      </c>
      <c r="H302" s="11" t="str">
        <f ca="1">+WORLDCUP!BD65</f>
        <v>Cabo Verde</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Bosnia y Herzegovina</v>
      </c>
      <c r="F303" s="11" t="str">
        <f ca="1">+WORLDCUP!BD63</f>
        <v>Suecia</v>
      </c>
      <c r="G303" s="11" t="str">
        <f ca="1">+WORLDCUP!BD58</f>
        <v>República Checa</v>
      </c>
      <c r="H303" s="11" t="str">
        <f ca="1">+WORLDCUP!BD65</f>
        <v>Cabo Verde</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Bosnia y Herzegovina</v>
      </c>
      <c r="F304" s="11" t="str">
        <f ca="1">+WORLDCUP!BD63</f>
        <v>Suecia</v>
      </c>
      <c r="G304" s="11" t="str">
        <f ca="1">+WORLDCUP!BD58</f>
        <v>República Checa</v>
      </c>
      <c r="H304" s="11" t="str">
        <f ca="1">+WORLDCUP!BD65</f>
        <v>Cabo Verde</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Bosnia y Herzegovina</v>
      </c>
      <c r="F305" s="11" t="str">
        <f ca="1">+WORLDCUP!BD63</f>
        <v>Suecia</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Bosnia y Herzegovina</v>
      </c>
      <c r="F306" s="11" t="str">
        <f ca="1">+WORLDCUP!BD58</f>
        <v>República Checa</v>
      </c>
      <c r="G306" s="11" t="str">
        <f ca="1">+WORLDCUP!BD66</f>
        <v>Senegal</v>
      </c>
      <c r="H306" s="11" t="str">
        <f ca="1">+WORLDCUP!BD63</f>
        <v>Suecia</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Bosnia y Herzegovina</v>
      </c>
      <c r="F307" s="11" t="str">
        <f ca="1">+WORLDCUP!BD63</f>
        <v>Suecia</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Bosnia y Herzegovina</v>
      </c>
      <c r="F308" s="11" t="str">
        <f ca="1">+WORLDCUP!BD63</f>
        <v>Suecia</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Bosnia y Herzegovina</v>
      </c>
      <c r="F309" s="11" t="str">
        <f ca="1">+WORLDCUP!BD63</f>
        <v>Suecia</v>
      </c>
      <c r="G309" s="11" t="str">
        <f ca="1">+WORLDCUP!BD58</f>
        <v>República Checa</v>
      </c>
      <c r="H309" s="11" t="str">
        <f ca="1">+WORLDCUP!BD65</f>
        <v>Cabo Verde</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Cabo Verde</v>
      </c>
      <c r="D310" s="11" t="str">
        <f ca="1">+WORLDCUP!BD67</f>
        <v>Jordania</v>
      </c>
      <c r="E310" s="11" t="str">
        <f ca="1">+WORLDCUP!BD59</f>
        <v>Bosnia y Herzegovina</v>
      </c>
      <c r="F310" s="11" t="str">
        <f ca="1">+WORLDCUP!BD63</f>
        <v>Suecia</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Cabo Verde</v>
      </c>
      <c r="D311" s="11" t="str">
        <f ca="1">+WORLDCUP!BD67</f>
        <v>Jordania</v>
      </c>
      <c r="E311" s="11" t="str">
        <f ca="1">+WORLDCUP!BD59</f>
        <v>Bosnia y Herzegovina</v>
      </c>
      <c r="F311" s="11" t="str">
        <f ca="1">+WORLDCUP!BD63</f>
        <v>Suecia</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Bosnia y Herzegovina</v>
      </c>
      <c r="F312" s="11" t="str">
        <f ca="1">+WORLDCUP!BD63</f>
        <v>Suecia</v>
      </c>
      <c r="G312" s="11" t="str">
        <f ca="1">+WORLDCUP!BD58</f>
        <v>República Checa</v>
      </c>
      <c r="H312" s="11" t="str">
        <f ca="1">+WORLDCUP!BD65</f>
        <v>Cabo Verde</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Bosnia y Herzegovina</v>
      </c>
      <c r="F313" s="11" t="str">
        <f ca="1">+WORLDCUP!BD63</f>
        <v>Suecia</v>
      </c>
      <c r="G313" s="11" t="str">
        <f ca="1">+WORLDCUP!BD58</f>
        <v>República Checa</v>
      </c>
      <c r="H313" s="11" t="str">
        <f ca="1">+WORLDCUP!BD65</f>
        <v>Cabo Verde</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Cabo Verde</v>
      </c>
      <c r="D314" s="11" t="str">
        <f ca="1">+WORLDCUP!BD67</f>
        <v>Jordania</v>
      </c>
      <c r="E314" s="11" t="str">
        <f ca="1">+WORLDCUP!BD59</f>
        <v>Bosnia y Herzegovina</v>
      </c>
      <c r="F314" s="11" t="str">
        <f ca="1">+WORLDCUP!BD63</f>
        <v>Suecia</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Bosnia y Herzegovina</v>
      </c>
      <c r="F315" s="11" t="str">
        <f ca="1">+WORLDCUP!BD61</f>
        <v>Paraguay</v>
      </c>
      <c r="G315" s="11" t="str">
        <f ca="1">+WORLDCUP!BD58</f>
        <v>República Checa</v>
      </c>
      <c r="H315" s="11" t="str">
        <f ca="1">+WORLDCUP!BD65</f>
        <v>Cabo Verde</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Bosnia y Herzegovina</v>
      </c>
      <c r="F316" s="11" t="str">
        <f ca="1">+WORLDCUP!BD61</f>
        <v>Paraguay</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Cabo Verde</v>
      </c>
      <c r="D317" s="11" t="str">
        <f ca="1">+WORLDCUP!BD67</f>
        <v>Jordania</v>
      </c>
      <c r="E317" s="11" t="str">
        <f ca="1">+WORLDCUP!BD59</f>
        <v>Bosnia y Herzegovina</v>
      </c>
      <c r="F317" s="11" t="str">
        <f ca="1">+WORLDCUP!BD61</f>
        <v>Paraguay</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Bosnia y Herzegovina</v>
      </c>
      <c r="F318" s="11" t="str">
        <f ca="1">+WORLDCUP!BD61</f>
        <v>Paraguay</v>
      </c>
      <c r="G318" s="11" t="str">
        <f ca="1">+WORLDCUP!BD58</f>
        <v>República Checa</v>
      </c>
      <c r="H318" s="11" t="str">
        <f ca="1">+WORLDCUP!BD65</f>
        <v>Cabo Verde</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Cabo Verde</v>
      </c>
      <c r="D319" s="11" t="str">
        <f ca="1">+WORLDCUP!BD67</f>
        <v>Jordania</v>
      </c>
      <c r="E319" s="11" t="str">
        <f ca="1">+WORLDCUP!BD59</f>
        <v>Bosnia y Herzegovina</v>
      </c>
      <c r="F319" s="11" t="str">
        <f ca="1">+WORLDCUP!BD61</f>
        <v>Paraguay</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Cabo Verde</v>
      </c>
      <c r="D320" s="11" t="str">
        <f ca="1">+WORLDCUP!BD67</f>
        <v>Jordania</v>
      </c>
      <c r="E320" s="11" t="str">
        <f ca="1">+WORLDCUP!BD59</f>
        <v>Bosnia y Herzegovina</v>
      </c>
      <c r="F320" s="11" t="str">
        <f ca="1">+WORLDCUP!BD61</f>
        <v>Paraguay</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Bosnia y Herzegovina</v>
      </c>
      <c r="F321" s="11" t="str">
        <f ca="1">+WORLDCUP!BD61</f>
        <v>Paraguay</v>
      </c>
      <c r="G321" s="11" t="str">
        <f ca="1">+WORLDCUP!BD58</f>
        <v>República Checa</v>
      </c>
      <c r="H321" s="11" t="str">
        <f ca="1">+WORLDCUP!BD63</f>
        <v>Suecia</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Cabo Verde</v>
      </c>
      <c r="D322" s="11" t="str">
        <f ca="1">+WORLDCUP!BD67</f>
        <v>Jordania</v>
      </c>
      <c r="E322" s="11" t="str">
        <f ca="1">+WORLDCUP!BD59</f>
        <v>Bosnia y Herzegovina</v>
      </c>
      <c r="F322" s="11" t="str">
        <f ca="1">+WORLDCUP!BD61</f>
        <v>Paraguay</v>
      </c>
      <c r="G322" s="11" t="str">
        <f ca="1">+WORLDCUP!BD58</f>
        <v>República Checa</v>
      </c>
      <c r="H322" s="11" t="str">
        <f ca="1">+WORLDCUP!BD63</f>
        <v>Suecia</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Cabo Verde</v>
      </c>
      <c r="D323" s="11" t="str">
        <f ca="1">+WORLDCUP!BD66</f>
        <v>Senegal</v>
      </c>
      <c r="E323" s="11" t="str">
        <f ca="1">+WORLDCUP!BD59</f>
        <v>Bosnia y Herzegovina</v>
      </c>
      <c r="F323" s="11" t="str">
        <f ca="1">+WORLDCUP!BD61</f>
        <v>Paraguay</v>
      </c>
      <c r="G323" s="11" t="str">
        <f ca="1">+WORLDCUP!BD58</f>
        <v>República Checa</v>
      </c>
      <c r="H323" s="11" t="str">
        <f ca="1">+WORLDCUP!BD63</f>
        <v>Suecia</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Cabo Verde</v>
      </c>
      <c r="D324" s="11" t="str">
        <f ca="1">+WORLDCUP!BD67</f>
        <v>Jordania</v>
      </c>
      <c r="E324" s="11" t="str">
        <f ca="1">+WORLDCUP!BD59</f>
        <v>Bosnia y Herzegovina</v>
      </c>
      <c r="F324" s="11" t="str">
        <f ca="1">+WORLDCUP!BD61</f>
        <v>Paraguay</v>
      </c>
      <c r="G324" s="11" t="str">
        <f ca="1">+WORLDCUP!BD58</f>
        <v>República Checa</v>
      </c>
      <c r="H324" s="11" t="str">
        <f ca="1">+WORLDCUP!BD63</f>
        <v>Suecia</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Cabo Verde</v>
      </c>
      <c r="D325" s="11" t="str">
        <f ca="1">+WORLDCUP!BD67</f>
        <v>Jordania</v>
      </c>
      <c r="E325" s="11" t="str">
        <f ca="1">+WORLDCUP!BD59</f>
        <v>Bosnia y Herzegovina</v>
      </c>
      <c r="F325" s="11" t="str">
        <f ca="1">+WORLDCUP!BD61</f>
        <v>Paraguay</v>
      </c>
      <c r="G325" s="11" t="str">
        <f ca="1">+WORLDCUP!BD58</f>
        <v>República Checa</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Jordania</v>
      </c>
      <c r="E326" s="11" t="str">
        <f ca="1">+WORLDCUP!BD59</f>
        <v>Bosnia y Herzegovina</v>
      </c>
      <c r="F326" s="11" t="str">
        <f ca="1">+WORLDCUP!BD61</f>
        <v>Paraguay</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Bosnia y Herzegovina</v>
      </c>
      <c r="F327" s="11" t="str">
        <f ca="1">+WORLDCUP!BD61</f>
        <v>Paraguay</v>
      </c>
      <c r="G327" s="11" t="str">
        <f ca="1">+WORLDCUP!BD58</f>
        <v>República Checa</v>
      </c>
      <c r="H327" s="11" t="str">
        <f ca="1">+WORLDCUP!BD63</f>
        <v>Suecia</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Jordania</v>
      </c>
      <c r="E328" s="11" t="str">
        <f ca="1">+WORLDCUP!BD59</f>
        <v>Bosnia y Herzegovina</v>
      </c>
      <c r="F328" s="11" t="str">
        <f ca="1">+WORLDCUP!BD61</f>
        <v>Paraguay</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Jordania</v>
      </c>
      <c r="E329" s="11" t="str">
        <f ca="1">+WORLDCUP!BD59</f>
        <v>Bosnia y Herzegovina</v>
      </c>
      <c r="F329" s="11" t="str">
        <f ca="1">+WORLDCUP!BD61</f>
        <v>Paraguay</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Cabo Verde</v>
      </c>
      <c r="D330" s="11" t="str">
        <f ca="1">+WORLDCUP!BD64</f>
        <v>Bélgica</v>
      </c>
      <c r="E330" s="11" t="str">
        <f ca="1">+WORLDCUP!BD59</f>
        <v>Bosnia y Herzegovina</v>
      </c>
      <c r="F330" s="11" t="str">
        <f ca="1">+WORLDCUP!BD61</f>
        <v>Paraguay</v>
      </c>
      <c r="G330" s="11" t="str">
        <f ca="1">+WORLDCUP!BD58</f>
        <v>República Checa</v>
      </c>
      <c r="H330" s="11" t="str">
        <f ca="1">+WORLDCUP!BD63</f>
        <v>Suecia</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Cabo Verde</v>
      </c>
      <c r="D331" s="11" t="str">
        <f ca="1">+WORLDCUP!BD64</f>
        <v>Bélgica</v>
      </c>
      <c r="E331" s="11" t="str">
        <f ca="1">+WORLDCUP!BD59</f>
        <v>Bosnia y Herzegovina</v>
      </c>
      <c r="F331" s="11" t="str">
        <f ca="1">+WORLDCUP!BD61</f>
        <v>Paraguay</v>
      </c>
      <c r="G331" s="11" t="str">
        <f ca="1">+WORLDCUP!BD58</f>
        <v>República Checa</v>
      </c>
      <c r="H331" s="11" t="str">
        <f ca="1">+WORLDCUP!BD63</f>
        <v>Suecia</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Cabo Verde</v>
      </c>
      <c r="D332" s="11" t="str">
        <f ca="1">+WORLDCUP!BD64</f>
        <v>Bélgica</v>
      </c>
      <c r="E332" s="11" t="str">
        <f ca="1">+WORLDCUP!BD59</f>
        <v>Bosnia y Herzegovina</v>
      </c>
      <c r="F332" s="11" t="str">
        <f ca="1">+WORLDCUP!BD61</f>
        <v>Paraguay</v>
      </c>
      <c r="G332" s="11" t="str">
        <f ca="1">+WORLDCUP!BD58</f>
        <v>República Checa</v>
      </c>
      <c r="H332" s="11" t="str">
        <f ca="1">+WORLDCUP!BD63</f>
        <v>Suecia</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Cabo Verde</v>
      </c>
      <c r="D333" s="11" t="str">
        <f ca="1">+WORLDCUP!BD64</f>
        <v>Bélgica</v>
      </c>
      <c r="E333" s="11" t="str">
        <f ca="1">+WORLDCUP!BD59</f>
        <v>Bosnia y Herzegovina</v>
      </c>
      <c r="F333" s="11" t="str">
        <f ca="1">+WORLDCUP!BD61</f>
        <v>Paraguay</v>
      </c>
      <c r="G333" s="11" t="str">
        <f ca="1">+WORLDCUP!BD58</f>
        <v>República Checa</v>
      </c>
      <c r="H333" s="11" t="str">
        <f ca="1">+WORLDCUP!BD63</f>
        <v>Suecia</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Cabo Verde</v>
      </c>
      <c r="D334" s="11" t="str">
        <f ca="1">+WORLDCUP!BD64</f>
        <v>Bélgica</v>
      </c>
      <c r="E334" s="11" t="str">
        <f ca="1">+WORLDCUP!BD59</f>
        <v>Bosnia y Herzegovina</v>
      </c>
      <c r="F334" s="11" t="str">
        <f ca="1">+WORLDCUP!BD61</f>
        <v>Paraguay</v>
      </c>
      <c r="G334" s="11" t="str">
        <f ca="1">+WORLDCUP!BD58</f>
        <v>República Checa</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Cabo Verde</v>
      </c>
      <c r="D335" s="11" t="str">
        <f ca="1">+WORLDCUP!BD64</f>
        <v>Bélgica</v>
      </c>
      <c r="E335" s="11" t="str">
        <f ca="1">+WORLDCUP!BD59</f>
        <v>Bosnia y Herzegovina</v>
      </c>
      <c r="F335" s="11" t="str">
        <f ca="1">+WORLDCUP!BD61</f>
        <v>Paraguay</v>
      </c>
      <c r="G335" s="11" t="str">
        <f ca="1">+WORLDCUP!BD58</f>
        <v>República Checa</v>
      </c>
      <c r="H335" s="11" t="str">
        <f ca="1">+WORLDCUP!BD63</f>
        <v>Suecia</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Bosnia y Herzegovina</v>
      </c>
      <c r="F336" s="11" t="str">
        <f ca="1">+WORLDCUP!BD58</f>
        <v>República Checa</v>
      </c>
      <c r="G336" s="11" t="str">
        <f ca="1">+WORLDCUP!BD66</f>
        <v>Senegal</v>
      </c>
      <c r="H336" s="11" t="str">
        <f ca="1">+WORLDCUP!BD61</f>
        <v>Paraguay</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Bosnia y Herzegovina</v>
      </c>
      <c r="F337" s="11" t="str">
        <f ca="1">+WORLDCUP!BD61</f>
        <v>Paraguay</v>
      </c>
      <c r="G337" s="11" t="str">
        <f ca="1">+WORLDCUP!BD58</f>
        <v>República Checa</v>
      </c>
      <c r="H337" s="11" t="str">
        <f ca="1">+WORLDCUP!BD65</f>
        <v>Cabo Verde</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República Checa</v>
      </c>
      <c r="H338" s="11" t="str">
        <f ca="1">+WORLDCUP!BD65</f>
        <v>Cabo Verde</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Bosnia y Herzegovina</v>
      </c>
      <c r="F339" s="11" t="str">
        <f ca="1">+WORLDCUP!BD61</f>
        <v>Paraguay</v>
      </c>
      <c r="G339" s="11" t="str">
        <f ca="1">+WORLDCUP!BD58</f>
        <v>República Checa</v>
      </c>
      <c r="H339" s="11" t="str">
        <f ca="1">+WORLDCUP!BD65</f>
        <v>Cabo Verde</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Bosnia y Herzegovina</v>
      </c>
      <c r="F340" s="11" t="str">
        <f ca="1">+WORLDCUP!BD61</f>
        <v>Paraguay</v>
      </c>
      <c r="G340" s="11" t="str">
        <f ca="1">+WORLDCUP!BD58</f>
        <v>República Checa</v>
      </c>
      <c r="H340" s="11" t="str">
        <f ca="1">+WORLDCUP!BD65</f>
        <v>Cabo Verde</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Bosnia y Herzegovina</v>
      </c>
      <c r="F341" s="11" t="str">
        <f ca="1">+WORLDCUP!BD61</f>
        <v>Paraguay</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Bosnia y Herzegovina</v>
      </c>
      <c r="F342" s="11" t="str">
        <f ca="1">+WORLDCUP!BD58</f>
        <v>República Checa</v>
      </c>
      <c r="G342" s="11" t="str">
        <f ca="1">+WORLDCUP!BD66</f>
        <v>Senegal</v>
      </c>
      <c r="H342" s="11" t="str">
        <f ca="1">+WORLDCUP!BD61</f>
        <v>Paraguay</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Bosnia y Herzegovina</v>
      </c>
      <c r="F343" s="11" t="str">
        <f ca="1">+WORLDCUP!BD61</f>
        <v>Paraguay</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Bosnia y Herzegovina</v>
      </c>
      <c r="F344" s="11" t="str">
        <f ca="1">+WORLDCUP!BD61</f>
        <v>Paraguay</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Bosnia y Herzegovina</v>
      </c>
      <c r="F345" s="11" t="str">
        <f ca="1">+WORLDCUP!BD61</f>
        <v>Paraguay</v>
      </c>
      <c r="G345" s="11" t="str">
        <f ca="1">+WORLDCUP!BD58</f>
        <v>República Checa</v>
      </c>
      <c r="H345" s="11" t="str">
        <f ca="1">+WORLDCUP!BD65</f>
        <v>Cabo Verde</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Cabo Verde</v>
      </c>
      <c r="D346" s="11" t="str">
        <f ca="1">+WORLDCUP!BD67</f>
        <v>Jordania</v>
      </c>
      <c r="E346" s="11" t="str">
        <f ca="1">+WORLDCUP!BD59</f>
        <v>Bosnia y Herzegovina</v>
      </c>
      <c r="F346" s="11" t="str">
        <f ca="1">+WORLDCUP!BD61</f>
        <v>Paraguay</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Cabo Verde</v>
      </c>
      <c r="D347" s="11" t="str">
        <f ca="1">+WORLDCUP!BD67</f>
        <v>Jordania</v>
      </c>
      <c r="E347" s="11" t="str">
        <f ca="1">+WORLDCUP!BD59</f>
        <v>Bosnia y Herzegovina</v>
      </c>
      <c r="F347" s="11" t="str">
        <f ca="1">+WORLDCUP!BD61</f>
        <v>Paraguay</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Bosnia y Herzegovina</v>
      </c>
      <c r="F348" s="11" t="str">
        <f ca="1">+WORLDCUP!BD61</f>
        <v>Paraguay</v>
      </c>
      <c r="G348" s="11" t="str">
        <f ca="1">+WORLDCUP!BD58</f>
        <v>República Checa</v>
      </c>
      <c r="H348" s="11" t="str">
        <f ca="1">+WORLDCUP!BD65</f>
        <v>Cabo Verde</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Bosnia y Herzegovina</v>
      </c>
      <c r="F349" s="11" t="str">
        <f ca="1">+WORLDCUP!BD61</f>
        <v>Paraguay</v>
      </c>
      <c r="G349" s="11" t="str">
        <f ca="1">+WORLDCUP!BD58</f>
        <v>República Checa</v>
      </c>
      <c r="H349" s="11" t="str">
        <f ca="1">+WORLDCUP!BD65</f>
        <v>Cabo Verde</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Cabo Verde</v>
      </c>
      <c r="D350" s="11" t="str">
        <f ca="1">+WORLDCUP!BD67</f>
        <v>Jordania</v>
      </c>
      <c r="E350" s="11" t="str">
        <f ca="1">+WORLDCUP!BD59</f>
        <v>Bosnia y Herzegovina</v>
      </c>
      <c r="F350" s="11" t="str">
        <f ca="1">+WORLDCUP!BD61</f>
        <v>Paraguay</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Bosnia y Herzegovina</v>
      </c>
      <c r="F351" s="11" t="str">
        <f ca="1">+WORLDCUP!BD61</f>
        <v>Paraguay</v>
      </c>
      <c r="G351" s="11" t="str">
        <f ca="1">+WORLDCUP!BD58</f>
        <v>República Checa</v>
      </c>
      <c r="H351" s="11" t="str">
        <f ca="1">+WORLDCUP!BD63</f>
        <v>Suecia</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República Checa</v>
      </c>
      <c r="H352" s="11" t="str">
        <f ca="1">+WORLDCUP!BD63</f>
        <v>Suecia</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Bosnia y Herzegovina</v>
      </c>
      <c r="F353" s="11" t="str">
        <f ca="1">+WORLDCUP!BD61</f>
        <v>Paraguay</v>
      </c>
      <c r="G353" s="11" t="str">
        <f ca="1">+WORLDCUP!BD58</f>
        <v>República Checa</v>
      </c>
      <c r="H353" s="11" t="str">
        <f ca="1">+WORLDCUP!BD63</f>
        <v>Suecia</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Bosnia y Herzegovina</v>
      </c>
      <c r="F354" s="11" t="str">
        <f ca="1">+WORLDCUP!BD61</f>
        <v>Paraguay</v>
      </c>
      <c r="G354" s="11" t="str">
        <f ca="1">+WORLDCUP!BD58</f>
        <v>República Checa</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Cabo Verde</v>
      </c>
      <c r="D355" s="11" t="str">
        <f ca="1">+WORLDCUP!BD62</f>
        <v>Ecuador</v>
      </c>
      <c r="E355" s="11" t="str">
        <f ca="1">+WORLDCUP!BD59</f>
        <v>Bosnia y Herzegovina</v>
      </c>
      <c r="F355" s="11" t="str">
        <f ca="1">+WORLDCUP!BD61</f>
        <v>Paraguay</v>
      </c>
      <c r="G355" s="11" t="str">
        <f ca="1">+WORLDCUP!BD58</f>
        <v>República Checa</v>
      </c>
      <c r="H355" s="11" t="str">
        <f ca="1">+WORLDCUP!BD63</f>
        <v>Suecia</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Cabo Verde</v>
      </c>
      <c r="D356" s="11" t="str">
        <f ca="1">+WORLDCUP!BD67</f>
        <v>Jordania</v>
      </c>
      <c r="E356" s="11" t="str">
        <f ca="1">+WORLDCUP!BD59</f>
        <v>Bosnia y Herzegovina</v>
      </c>
      <c r="F356" s="11" t="str">
        <f ca="1">+WORLDCUP!BD61</f>
        <v>Paraguay</v>
      </c>
      <c r="G356" s="11" t="str">
        <f ca="1">+WORLDCUP!BD58</f>
        <v>República Checa</v>
      </c>
      <c r="H356" s="11" t="str">
        <f ca="1">+WORLDCUP!BD63</f>
        <v>Suecia</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Cabo Verde</v>
      </c>
      <c r="D357" s="11" t="str">
        <f ca="1">+WORLDCUP!BD67</f>
        <v>Jordania</v>
      </c>
      <c r="E357" s="11" t="str">
        <f ca="1">+WORLDCUP!BD59</f>
        <v>Bosnia y Herzegovina</v>
      </c>
      <c r="F357" s="11" t="str">
        <f ca="1">+WORLDCUP!BD61</f>
        <v>Paraguay</v>
      </c>
      <c r="G357" s="11" t="str">
        <f ca="1">+WORLDCUP!BD58</f>
        <v>República Checa</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Cabo Verde</v>
      </c>
      <c r="D358" s="11" t="str">
        <f ca="1">+WORLDCUP!BD62</f>
        <v>Ecuador</v>
      </c>
      <c r="E358" s="11" t="str">
        <f ca="1">+WORLDCUP!BD59</f>
        <v>Bosnia y Herzegovina</v>
      </c>
      <c r="F358" s="11" t="str">
        <f ca="1">+WORLDCUP!BD61</f>
        <v>Paraguay</v>
      </c>
      <c r="G358" s="11" t="str">
        <f ca="1">+WORLDCUP!BD58</f>
        <v>República Checa</v>
      </c>
      <c r="H358" s="11" t="str">
        <f ca="1">+WORLDCUP!BD63</f>
        <v>Suecia</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Cabo Verde</v>
      </c>
      <c r="D359" s="11" t="str">
        <f ca="1">+WORLDCUP!BD62</f>
        <v>Ecuador</v>
      </c>
      <c r="E359" s="11" t="str">
        <f ca="1">+WORLDCUP!BD59</f>
        <v>Bosnia y Herzegovina</v>
      </c>
      <c r="F359" s="11" t="str">
        <f ca="1">+WORLDCUP!BD61</f>
        <v>Paraguay</v>
      </c>
      <c r="G359" s="11" t="str">
        <f ca="1">+WORLDCUP!BD58</f>
        <v>República Checa</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Cabo Verde</v>
      </c>
      <c r="D360" s="11" t="str">
        <f ca="1">+WORLDCUP!BD67</f>
        <v>Jordania</v>
      </c>
      <c r="E360" s="11" t="str">
        <f ca="1">+WORLDCUP!BD59</f>
        <v>Bosnia y Herzegovina</v>
      </c>
      <c r="F360" s="11" t="str">
        <f ca="1">+WORLDCUP!BD61</f>
        <v>Paraguay</v>
      </c>
      <c r="G360" s="11" t="str">
        <f ca="1">+WORLDCUP!BD58</f>
        <v>República Checa</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Bosnia y Herzegovina</v>
      </c>
      <c r="F361" s="11" t="str">
        <f ca="1">+WORLDCUP!BD61</f>
        <v>Paraguay</v>
      </c>
      <c r="G361" s="11" t="str">
        <f ca="1">+WORLDCUP!BD58</f>
        <v>República Checa</v>
      </c>
      <c r="H361" s="11" t="str">
        <f ca="1">+WORLDCUP!BD63</f>
        <v>Suecia</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Bosnia y Herzegovina</v>
      </c>
      <c r="F362" s="11" t="str">
        <f ca="1">+WORLDCUP!BD61</f>
        <v>Paraguay</v>
      </c>
      <c r="G362" s="11" t="str">
        <f ca="1">+WORLDCUP!BD58</f>
        <v>República Checa</v>
      </c>
      <c r="H362" s="11" t="str">
        <f ca="1">+WORLDCUP!BD63</f>
        <v>Suecia</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Bosnia y Herzegovina</v>
      </c>
      <c r="F363" s="11" t="str">
        <f ca="1">+WORLDCUP!BD61</f>
        <v>Paraguay</v>
      </c>
      <c r="G363" s="11" t="str">
        <f ca="1">+WORLDCUP!BD58</f>
        <v>República Checa</v>
      </c>
      <c r="H363" s="11" t="str">
        <f ca="1">+WORLDCUP!BD63</f>
        <v>Suecia</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Bosnia y Herzegovina</v>
      </c>
      <c r="F364" s="11" t="str">
        <f ca="1">+WORLDCUP!BD61</f>
        <v>Paraguay</v>
      </c>
      <c r="G364" s="11" t="str">
        <f ca="1">+WORLDCUP!BD58</f>
        <v>República Checa</v>
      </c>
      <c r="H364" s="11" t="str">
        <f ca="1">+WORLDCUP!BD63</f>
        <v>Suecia</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Bosnia y Herzegovina</v>
      </c>
      <c r="F365" s="11" t="str">
        <f ca="1">+WORLDCUP!BD61</f>
        <v>Paraguay</v>
      </c>
      <c r="G365" s="11" t="str">
        <f ca="1">+WORLDCUP!BD58</f>
        <v>República Checa</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Bosnia y Herzegovina</v>
      </c>
      <c r="F366" s="11" t="str">
        <f ca="1">+WORLDCUP!BD61</f>
        <v>Paraguay</v>
      </c>
      <c r="G366" s="11" t="str">
        <f ca="1">+WORLDCUP!BD58</f>
        <v>República Checa</v>
      </c>
      <c r="H366" s="11" t="str">
        <f ca="1">+WORLDCUP!BD63</f>
        <v>Suecia</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Cabo Verde</v>
      </c>
      <c r="D367" s="11" t="str">
        <f ca="1">+WORLDCUP!BD64</f>
        <v>Bélgica</v>
      </c>
      <c r="E367" s="11" t="str">
        <f ca="1">+WORLDCUP!BD59</f>
        <v>Bosnia y Herzegovina</v>
      </c>
      <c r="F367" s="11" t="str">
        <f ca="1">+WORLDCUP!BD61</f>
        <v>Paraguay</v>
      </c>
      <c r="G367" s="11" t="str">
        <f ca="1">+WORLDCUP!BD58</f>
        <v>República Checa</v>
      </c>
      <c r="H367" s="11" t="str">
        <f ca="1">+WORLDCUP!BD63</f>
        <v>Suecia</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Cabo Verde</v>
      </c>
      <c r="D368" s="11" t="str">
        <f ca="1">+WORLDCUP!BD64</f>
        <v>Bélgica</v>
      </c>
      <c r="E368" s="11" t="str">
        <f ca="1">+WORLDCUP!BD59</f>
        <v>Bosnia y Herzegovina</v>
      </c>
      <c r="F368" s="11" t="str">
        <f ca="1">+WORLDCUP!BD61</f>
        <v>Paraguay</v>
      </c>
      <c r="G368" s="11" t="str">
        <f ca="1">+WORLDCUP!BD58</f>
        <v>República Checa</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Cabo Verde</v>
      </c>
      <c r="D369" s="11" t="str">
        <f ca="1">+WORLDCUP!BD64</f>
        <v>Bélgica</v>
      </c>
      <c r="E369" s="11" t="str">
        <f ca="1">+WORLDCUP!BD59</f>
        <v>Bosnia y Herzegovina</v>
      </c>
      <c r="F369" s="11" t="str">
        <f ca="1">+WORLDCUP!BD61</f>
        <v>Paraguay</v>
      </c>
      <c r="G369" s="11" t="str">
        <f ca="1">+WORLDCUP!BD58</f>
        <v>República Checa</v>
      </c>
      <c r="H369" s="11" t="str">
        <f ca="1">+WORLDCUP!BD63</f>
        <v>Suecia</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Cabo Verde</v>
      </c>
      <c r="D370" s="11" t="str">
        <f ca="1">+WORLDCUP!BD64</f>
        <v>Bélgica</v>
      </c>
      <c r="E370" s="11" t="str">
        <f ca="1">+WORLDCUP!BD59</f>
        <v>Bosnia y Herzegovina</v>
      </c>
      <c r="F370" s="11" t="str">
        <f ca="1">+WORLDCUP!BD61</f>
        <v>Paraguay</v>
      </c>
      <c r="G370" s="11" t="str">
        <f ca="1">+WORLDCUP!BD58</f>
        <v>República Checa</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Bosnia y Herzegovina</v>
      </c>
      <c r="F371" s="11" t="str">
        <f ca="1">+WORLDCUP!BD60</f>
        <v>Escocia</v>
      </c>
      <c r="G371" s="11" t="str">
        <f ca="1">+WORLDCUP!BD58</f>
        <v>República Checa</v>
      </c>
      <c r="H371" s="11" t="str">
        <f ca="1">+WORLDCUP!BD65</f>
        <v>Cabo Verde</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Bosnia y Herzegovina</v>
      </c>
      <c r="F372" s="11" t="str">
        <f ca="1">+WORLDCUP!BD60</f>
        <v>Escocia</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Cabo Verde</v>
      </c>
      <c r="D373" s="11" t="str">
        <f ca="1">+WORLDCUP!BD67</f>
        <v>Jordania</v>
      </c>
      <c r="E373" s="11" t="str">
        <f ca="1">+WORLDCUP!BD59</f>
        <v>Bosnia y Herzegovina</v>
      </c>
      <c r="F373" s="11" t="str">
        <f ca="1">+WORLDCUP!BD60</f>
        <v>Escocia</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Bosnia y Herzegovina</v>
      </c>
      <c r="F374" s="11" t="str">
        <f ca="1">+WORLDCUP!BD60</f>
        <v>Escocia</v>
      </c>
      <c r="G374" s="11" t="str">
        <f ca="1">+WORLDCUP!BD58</f>
        <v>República Checa</v>
      </c>
      <c r="H374" s="11" t="str">
        <f ca="1">+WORLDCUP!BD65</f>
        <v>Cabo Verde</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Cabo Verde</v>
      </c>
      <c r="D375" s="11" t="str">
        <f ca="1">+WORLDCUP!BD67</f>
        <v>Jordania</v>
      </c>
      <c r="E375" s="11" t="str">
        <f ca="1">+WORLDCUP!BD59</f>
        <v>Bosnia y Herzegovina</v>
      </c>
      <c r="F375" s="11" t="str">
        <f ca="1">+WORLDCUP!BD60</f>
        <v>Escocia</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Cabo Verde</v>
      </c>
      <c r="D376" s="11" t="str">
        <f ca="1">+WORLDCUP!BD67</f>
        <v>Jordania</v>
      </c>
      <c r="E376" s="11" t="str">
        <f ca="1">+WORLDCUP!BD59</f>
        <v>Bosnia y Herzegovina</v>
      </c>
      <c r="F376" s="11" t="str">
        <f ca="1">+WORLDCUP!BD60</f>
        <v>Escocia</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Bosnia y Herzegovina</v>
      </c>
      <c r="F377" s="11" t="str">
        <f ca="1">+WORLDCUP!BD60</f>
        <v>Escocia</v>
      </c>
      <c r="G377" s="11" t="str">
        <f ca="1">+WORLDCUP!BD58</f>
        <v>República Checa</v>
      </c>
      <c r="H377" s="11" t="str">
        <f ca="1">+WORLDCUP!BD63</f>
        <v>Suecia</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Cabo Verde</v>
      </c>
      <c r="D378" s="11" t="str">
        <f ca="1">+WORLDCUP!BD67</f>
        <v>Jordania</v>
      </c>
      <c r="E378" s="11" t="str">
        <f ca="1">+WORLDCUP!BD59</f>
        <v>Bosnia y Herzegovina</v>
      </c>
      <c r="F378" s="11" t="str">
        <f ca="1">+WORLDCUP!BD60</f>
        <v>Escocia</v>
      </c>
      <c r="G378" s="11" t="str">
        <f ca="1">+WORLDCUP!BD58</f>
        <v>República Checa</v>
      </c>
      <c r="H378" s="11" t="str">
        <f ca="1">+WORLDCUP!BD63</f>
        <v>Suecia</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Cabo Verde</v>
      </c>
      <c r="D379" s="11" t="str">
        <f ca="1">+WORLDCUP!BD66</f>
        <v>Senegal</v>
      </c>
      <c r="E379" s="11" t="str">
        <f ca="1">+WORLDCUP!BD59</f>
        <v>Bosnia y Herzegovina</v>
      </c>
      <c r="F379" s="11" t="str">
        <f ca="1">+WORLDCUP!BD60</f>
        <v>Escocia</v>
      </c>
      <c r="G379" s="11" t="str">
        <f ca="1">+WORLDCUP!BD58</f>
        <v>República Checa</v>
      </c>
      <c r="H379" s="11" t="str">
        <f ca="1">+WORLDCUP!BD63</f>
        <v>Suecia</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Cabo Verde</v>
      </c>
      <c r="D380" s="11" t="str">
        <f ca="1">+WORLDCUP!BD67</f>
        <v>Jordania</v>
      </c>
      <c r="E380" s="11" t="str">
        <f ca="1">+WORLDCUP!BD59</f>
        <v>Bosnia y Herzegovina</v>
      </c>
      <c r="F380" s="11" t="str">
        <f ca="1">+WORLDCUP!BD60</f>
        <v>Escocia</v>
      </c>
      <c r="G380" s="11" t="str">
        <f ca="1">+WORLDCUP!BD58</f>
        <v>República Checa</v>
      </c>
      <c r="H380" s="11" t="str">
        <f ca="1">+WORLDCUP!BD63</f>
        <v>Suecia</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Cabo Verde</v>
      </c>
      <c r="D381" s="11" t="str">
        <f ca="1">+WORLDCUP!BD67</f>
        <v>Jordania</v>
      </c>
      <c r="E381" s="11" t="str">
        <f ca="1">+WORLDCUP!BD59</f>
        <v>Bosnia y Herzegovina</v>
      </c>
      <c r="F381" s="11" t="str">
        <f ca="1">+WORLDCUP!BD60</f>
        <v>Escocia</v>
      </c>
      <c r="G381" s="11" t="str">
        <f ca="1">+WORLDCUP!BD58</f>
        <v>República Checa</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Jordania</v>
      </c>
      <c r="E382" s="11" t="str">
        <f ca="1">+WORLDCUP!BD59</f>
        <v>Bosnia y Herzegovina</v>
      </c>
      <c r="F382" s="11" t="str">
        <f ca="1">+WORLDCUP!BD63</f>
        <v>Suecia</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Bosnia y Herzegovina</v>
      </c>
      <c r="F383" s="11" t="str">
        <f ca="1">+WORLDCUP!BD60</f>
        <v>Escocia</v>
      </c>
      <c r="G383" s="11" t="str">
        <f ca="1">+WORLDCUP!BD58</f>
        <v>República Checa</v>
      </c>
      <c r="H383" s="11" t="str">
        <f ca="1">+WORLDCUP!BD63</f>
        <v>Suecia</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Jordania</v>
      </c>
      <c r="E384" s="11" t="str">
        <f ca="1">+WORLDCUP!BD59</f>
        <v>Bosnia y Herzegovina</v>
      </c>
      <c r="F384" s="11" t="str">
        <f ca="1">+WORLDCUP!BD63</f>
        <v>Suecia</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Jordania</v>
      </c>
      <c r="E385" s="11" t="str">
        <f ca="1">+WORLDCUP!BD59</f>
        <v>Bosnia y Herzegovina</v>
      </c>
      <c r="F385" s="11" t="str">
        <f ca="1">+WORLDCUP!BD63</f>
        <v>Suecia</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Cabo Verde</v>
      </c>
      <c r="D386" s="11" t="str">
        <f ca="1">+WORLDCUP!BD64</f>
        <v>Bélgica</v>
      </c>
      <c r="E386" s="11" t="str">
        <f ca="1">+WORLDCUP!BD59</f>
        <v>Bosnia y Herzegovina</v>
      </c>
      <c r="F386" s="11" t="str">
        <f ca="1">+WORLDCUP!BD60</f>
        <v>Escocia</v>
      </c>
      <c r="G386" s="11" t="str">
        <f ca="1">+WORLDCUP!BD58</f>
        <v>República Checa</v>
      </c>
      <c r="H386" s="11" t="str">
        <f ca="1">+WORLDCUP!BD63</f>
        <v>Suecia</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Cabo Verde</v>
      </c>
      <c r="D387" s="11" t="str">
        <f ca="1">+WORLDCUP!BD64</f>
        <v>Bélgica</v>
      </c>
      <c r="E387" s="11" t="str">
        <f ca="1">+WORLDCUP!BD59</f>
        <v>Bosnia y Herzegovina</v>
      </c>
      <c r="F387" s="11" t="str">
        <f ca="1">+WORLDCUP!BD60</f>
        <v>Escocia</v>
      </c>
      <c r="G387" s="11" t="str">
        <f ca="1">+WORLDCUP!BD58</f>
        <v>República Checa</v>
      </c>
      <c r="H387" s="11" t="str">
        <f ca="1">+WORLDCUP!BD63</f>
        <v>Suecia</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Cabo Verde</v>
      </c>
      <c r="D388" s="11" t="str">
        <f ca="1">+WORLDCUP!BD64</f>
        <v>Bélgica</v>
      </c>
      <c r="E388" s="11" t="str">
        <f ca="1">+WORLDCUP!BD59</f>
        <v>Bosnia y Herzegovina</v>
      </c>
      <c r="F388" s="11" t="str">
        <f ca="1">+WORLDCUP!BD60</f>
        <v>Escocia</v>
      </c>
      <c r="G388" s="11" t="str">
        <f ca="1">+WORLDCUP!BD58</f>
        <v>República Checa</v>
      </c>
      <c r="H388" s="11" t="str">
        <f ca="1">+WORLDCUP!BD63</f>
        <v>Suecia</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Cabo Verde</v>
      </c>
      <c r="D389" s="11" t="str">
        <f ca="1">+WORLDCUP!BD64</f>
        <v>Bélgica</v>
      </c>
      <c r="E389" s="11" t="str">
        <f ca="1">+WORLDCUP!BD59</f>
        <v>Bosnia y Herzegovina</v>
      </c>
      <c r="F389" s="11" t="str">
        <f ca="1">+WORLDCUP!BD60</f>
        <v>Escocia</v>
      </c>
      <c r="G389" s="11" t="str">
        <f ca="1">+WORLDCUP!BD58</f>
        <v>República Checa</v>
      </c>
      <c r="H389" s="11" t="str">
        <f ca="1">+WORLDCUP!BD63</f>
        <v>Suecia</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Cabo Verde</v>
      </c>
      <c r="D390" s="11" t="str">
        <f ca="1">+WORLDCUP!BD64</f>
        <v>Bélgica</v>
      </c>
      <c r="E390" s="11" t="str">
        <f ca="1">+WORLDCUP!BD59</f>
        <v>Bosnia y Herzegovina</v>
      </c>
      <c r="F390" s="11" t="str">
        <f ca="1">+WORLDCUP!BD60</f>
        <v>Escocia</v>
      </c>
      <c r="G390" s="11" t="str">
        <f ca="1">+WORLDCUP!BD58</f>
        <v>República Checa</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Cabo Verde</v>
      </c>
      <c r="D391" s="11" t="str">
        <f ca="1">+WORLDCUP!BD64</f>
        <v>Bélgica</v>
      </c>
      <c r="E391" s="11" t="str">
        <f ca="1">+WORLDCUP!BD59</f>
        <v>Bosnia y Herzegovina</v>
      </c>
      <c r="F391" s="11" t="str">
        <f ca="1">+WORLDCUP!BD60</f>
        <v>Escocia</v>
      </c>
      <c r="G391" s="11" t="str">
        <f ca="1">+WORLDCUP!BD58</f>
        <v>República Checa</v>
      </c>
      <c r="H391" s="11" t="str">
        <f ca="1">+WORLDCUP!BD63</f>
        <v>Suecia</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Bosnia y Herzegovina</v>
      </c>
      <c r="F392" s="11" t="str">
        <f ca="1">+WORLDCUP!BD58</f>
        <v>República Checa</v>
      </c>
      <c r="G392" s="11" t="str">
        <f ca="1">+WORLDCUP!BD66</f>
        <v>Senegal</v>
      </c>
      <c r="H392" s="11" t="str">
        <f ca="1">+WORLDCUP!BD60</f>
        <v>Escocia</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Bosnia y Herzegovina</v>
      </c>
      <c r="F393" s="11" t="str">
        <f ca="1">+WORLDCUP!BD60</f>
        <v>Escocia</v>
      </c>
      <c r="G393" s="11" t="str">
        <f ca="1">+WORLDCUP!BD58</f>
        <v>República Checa</v>
      </c>
      <c r="H393" s="11" t="str">
        <f ca="1">+WORLDCUP!BD65</f>
        <v>Cabo Verde</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República Checa</v>
      </c>
      <c r="H394" s="11" t="str">
        <f ca="1">+WORLDCUP!BD65</f>
        <v>Cabo Verde</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Bosnia y Herzegovina</v>
      </c>
      <c r="F395" s="11" t="str">
        <f ca="1">+WORLDCUP!BD60</f>
        <v>Escocia</v>
      </c>
      <c r="G395" s="11" t="str">
        <f ca="1">+WORLDCUP!BD58</f>
        <v>República Checa</v>
      </c>
      <c r="H395" s="11" t="str">
        <f ca="1">+WORLDCUP!BD65</f>
        <v>Cabo Verde</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Bosnia y Herzegovina</v>
      </c>
      <c r="F396" s="11" t="str">
        <f ca="1">+WORLDCUP!BD60</f>
        <v>Escocia</v>
      </c>
      <c r="G396" s="11" t="str">
        <f ca="1">+WORLDCUP!BD58</f>
        <v>República Checa</v>
      </c>
      <c r="H396" s="11" t="str">
        <f ca="1">+WORLDCUP!BD65</f>
        <v>Cabo Verde</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Bosnia y Herzegovina</v>
      </c>
      <c r="F397" s="11" t="str">
        <f ca="1">+WORLDCUP!BD60</f>
        <v>Escocia</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Bosnia y Herzegovina</v>
      </c>
      <c r="F398" s="11" t="str">
        <f ca="1">+WORLDCUP!BD58</f>
        <v>República Checa</v>
      </c>
      <c r="G398" s="11" t="str">
        <f ca="1">+WORLDCUP!BD66</f>
        <v>Senegal</v>
      </c>
      <c r="H398" s="11" t="str">
        <f ca="1">+WORLDCUP!BD60</f>
        <v>Escocia</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Bosnia y Herzegovina</v>
      </c>
      <c r="F399" s="11" t="str">
        <f ca="1">+WORLDCUP!BD60</f>
        <v>Escocia</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Bosnia y Herzegovina</v>
      </c>
      <c r="F400" s="11" t="str">
        <f ca="1">+WORLDCUP!BD60</f>
        <v>Escocia</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Bosnia y Herzegovina</v>
      </c>
      <c r="F401" s="11" t="str">
        <f ca="1">+WORLDCUP!BD60</f>
        <v>Escocia</v>
      </c>
      <c r="G401" s="11" t="str">
        <f ca="1">+WORLDCUP!BD58</f>
        <v>República Checa</v>
      </c>
      <c r="H401" s="11" t="str">
        <f ca="1">+WORLDCUP!BD65</f>
        <v>Cabo Verde</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Cabo Verde</v>
      </c>
      <c r="D402" s="11" t="str">
        <f ca="1">+WORLDCUP!BD67</f>
        <v>Jordania</v>
      </c>
      <c r="E402" s="11" t="str">
        <f ca="1">+WORLDCUP!BD59</f>
        <v>Bosnia y Herzegovina</v>
      </c>
      <c r="F402" s="11" t="str">
        <f ca="1">+WORLDCUP!BD60</f>
        <v>Escocia</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Cabo Verde</v>
      </c>
      <c r="D403" s="11" t="str">
        <f ca="1">+WORLDCUP!BD67</f>
        <v>Jordania</v>
      </c>
      <c r="E403" s="11" t="str">
        <f ca="1">+WORLDCUP!BD59</f>
        <v>Bosnia y Herzegovina</v>
      </c>
      <c r="F403" s="11" t="str">
        <f ca="1">+WORLDCUP!BD60</f>
        <v>Escocia</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Bosnia y Herzegovina</v>
      </c>
      <c r="F404" s="11" t="str">
        <f ca="1">+WORLDCUP!BD60</f>
        <v>Escocia</v>
      </c>
      <c r="G404" s="11" t="str">
        <f ca="1">+WORLDCUP!BD58</f>
        <v>República Checa</v>
      </c>
      <c r="H404" s="11" t="str">
        <f ca="1">+WORLDCUP!BD65</f>
        <v>Cabo Verde</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Bosnia y Herzegovina</v>
      </c>
      <c r="F405" s="11" t="str">
        <f ca="1">+WORLDCUP!BD60</f>
        <v>Escocia</v>
      </c>
      <c r="G405" s="11" t="str">
        <f ca="1">+WORLDCUP!BD58</f>
        <v>República Checa</v>
      </c>
      <c r="H405" s="11" t="str">
        <f ca="1">+WORLDCUP!BD65</f>
        <v>Cabo Verde</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Cabo Verde</v>
      </c>
      <c r="D406" s="11" t="str">
        <f ca="1">+WORLDCUP!BD67</f>
        <v>Jordania</v>
      </c>
      <c r="E406" s="11" t="str">
        <f ca="1">+WORLDCUP!BD59</f>
        <v>Bosnia y Herzegovina</v>
      </c>
      <c r="F406" s="11" t="str">
        <f ca="1">+WORLDCUP!BD60</f>
        <v>Escocia</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Bosnia y Herzegovina</v>
      </c>
      <c r="F407" s="11" t="str">
        <f ca="1">+WORLDCUP!BD60</f>
        <v>Escocia</v>
      </c>
      <c r="G407" s="11" t="str">
        <f ca="1">+WORLDCUP!BD58</f>
        <v>República Checa</v>
      </c>
      <c r="H407" s="11" t="str">
        <f ca="1">+WORLDCUP!BD63</f>
        <v>Suecia</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República Checa</v>
      </c>
      <c r="H408" s="11" t="str">
        <f ca="1">+WORLDCUP!BD63</f>
        <v>Suecia</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Bosnia y Herzegovina</v>
      </c>
      <c r="F409" s="11" t="str">
        <f ca="1">+WORLDCUP!BD60</f>
        <v>Escocia</v>
      </c>
      <c r="G409" s="11" t="str">
        <f ca="1">+WORLDCUP!BD58</f>
        <v>República Checa</v>
      </c>
      <c r="H409" s="11" t="str">
        <f ca="1">+WORLDCUP!BD63</f>
        <v>Suecia</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Bosnia y Herzegovina</v>
      </c>
      <c r="F410" s="11" t="str">
        <f ca="1">+WORLDCUP!BD60</f>
        <v>Escocia</v>
      </c>
      <c r="G410" s="11" t="str">
        <f ca="1">+WORLDCUP!BD58</f>
        <v>República Checa</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Cabo Verde</v>
      </c>
      <c r="D411" s="11" t="str">
        <f ca="1">+WORLDCUP!BD62</f>
        <v>Ecuador</v>
      </c>
      <c r="E411" s="11" t="str">
        <f ca="1">+WORLDCUP!BD59</f>
        <v>Bosnia y Herzegovina</v>
      </c>
      <c r="F411" s="11" t="str">
        <f ca="1">+WORLDCUP!BD60</f>
        <v>Escocia</v>
      </c>
      <c r="G411" s="11" t="str">
        <f ca="1">+WORLDCUP!BD58</f>
        <v>República Checa</v>
      </c>
      <c r="H411" s="11" t="str">
        <f ca="1">+WORLDCUP!BD63</f>
        <v>Suecia</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Cabo Verde</v>
      </c>
      <c r="D412" s="11" t="str">
        <f ca="1">+WORLDCUP!BD67</f>
        <v>Jordania</v>
      </c>
      <c r="E412" s="11" t="str">
        <f ca="1">+WORLDCUP!BD59</f>
        <v>Bosnia y Herzegovina</v>
      </c>
      <c r="F412" s="11" t="str">
        <f ca="1">+WORLDCUP!BD60</f>
        <v>Escocia</v>
      </c>
      <c r="G412" s="11" t="str">
        <f ca="1">+WORLDCUP!BD58</f>
        <v>República Checa</v>
      </c>
      <c r="H412" s="11" t="str">
        <f ca="1">+WORLDCUP!BD63</f>
        <v>Suecia</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Cabo Verde</v>
      </c>
      <c r="D413" s="11" t="str">
        <f ca="1">+WORLDCUP!BD67</f>
        <v>Jordania</v>
      </c>
      <c r="E413" s="11" t="str">
        <f ca="1">+WORLDCUP!BD59</f>
        <v>Bosnia y Herzegovina</v>
      </c>
      <c r="F413" s="11" t="str">
        <f ca="1">+WORLDCUP!BD60</f>
        <v>Escocia</v>
      </c>
      <c r="G413" s="11" t="str">
        <f ca="1">+WORLDCUP!BD58</f>
        <v>República Checa</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Cabo Verde</v>
      </c>
      <c r="D414" s="11" t="str">
        <f ca="1">+WORLDCUP!BD62</f>
        <v>Ecuador</v>
      </c>
      <c r="E414" s="11" t="str">
        <f ca="1">+WORLDCUP!BD59</f>
        <v>Bosnia y Herzegovina</v>
      </c>
      <c r="F414" s="11" t="str">
        <f ca="1">+WORLDCUP!BD60</f>
        <v>Escocia</v>
      </c>
      <c r="G414" s="11" t="str">
        <f ca="1">+WORLDCUP!BD58</f>
        <v>República Checa</v>
      </c>
      <c r="H414" s="11" t="str">
        <f ca="1">+WORLDCUP!BD63</f>
        <v>Suecia</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Cabo Verde</v>
      </c>
      <c r="D415" s="11" t="str">
        <f ca="1">+WORLDCUP!BD62</f>
        <v>Ecuador</v>
      </c>
      <c r="E415" s="11" t="str">
        <f ca="1">+WORLDCUP!BD59</f>
        <v>Bosnia y Herzegovina</v>
      </c>
      <c r="F415" s="11" t="str">
        <f ca="1">+WORLDCUP!BD60</f>
        <v>Escocia</v>
      </c>
      <c r="G415" s="11" t="str">
        <f ca="1">+WORLDCUP!BD58</f>
        <v>República Checa</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Cabo Verde</v>
      </c>
      <c r="D416" s="11" t="str">
        <f ca="1">+WORLDCUP!BD67</f>
        <v>Jordania</v>
      </c>
      <c r="E416" s="11" t="str">
        <f ca="1">+WORLDCUP!BD59</f>
        <v>Bosnia y Herzegovina</v>
      </c>
      <c r="F416" s="11" t="str">
        <f ca="1">+WORLDCUP!BD60</f>
        <v>Escocia</v>
      </c>
      <c r="G416" s="11" t="str">
        <f ca="1">+WORLDCUP!BD58</f>
        <v>República Checa</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Bosnia y Herzegovina</v>
      </c>
      <c r="F417" s="11" t="str">
        <f ca="1">+WORLDCUP!BD60</f>
        <v>Escocia</v>
      </c>
      <c r="G417" s="11" t="str">
        <f ca="1">+WORLDCUP!BD58</f>
        <v>República Checa</v>
      </c>
      <c r="H417" s="11" t="str">
        <f ca="1">+WORLDCUP!BD63</f>
        <v>Suecia</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Bosnia y Herzegovina</v>
      </c>
      <c r="F418" s="11" t="str">
        <f ca="1">+WORLDCUP!BD60</f>
        <v>Escocia</v>
      </c>
      <c r="G418" s="11" t="str">
        <f ca="1">+WORLDCUP!BD58</f>
        <v>República Checa</v>
      </c>
      <c r="H418" s="11" t="str">
        <f ca="1">+WORLDCUP!BD63</f>
        <v>Suecia</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Bosnia y Herzegovina</v>
      </c>
      <c r="F419" s="11" t="str">
        <f ca="1">+WORLDCUP!BD60</f>
        <v>Escocia</v>
      </c>
      <c r="G419" s="11" t="str">
        <f ca="1">+WORLDCUP!BD58</f>
        <v>República Checa</v>
      </c>
      <c r="H419" s="11" t="str">
        <f ca="1">+WORLDCUP!BD63</f>
        <v>Suecia</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Bosnia y Herzegovina</v>
      </c>
      <c r="F420" s="11" t="str">
        <f ca="1">+WORLDCUP!BD60</f>
        <v>Escocia</v>
      </c>
      <c r="G420" s="11" t="str">
        <f ca="1">+WORLDCUP!BD58</f>
        <v>República Checa</v>
      </c>
      <c r="H420" s="11" t="str">
        <f ca="1">+WORLDCUP!BD63</f>
        <v>Suecia</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Bosnia y Herzegovina</v>
      </c>
      <c r="F421" s="11" t="str">
        <f ca="1">+WORLDCUP!BD60</f>
        <v>Escocia</v>
      </c>
      <c r="G421" s="11" t="str">
        <f ca="1">+WORLDCUP!BD58</f>
        <v>República Checa</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Bosnia y Herzegovina</v>
      </c>
      <c r="F422" s="11" t="str">
        <f ca="1">+WORLDCUP!BD60</f>
        <v>Escocia</v>
      </c>
      <c r="G422" s="11" t="str">
        <f ca="1">+WORLDCUP!BD58</f>
        <v>República Checa</v>
      </c>
      <c r="H422" s="11" t="str">
        <f ca="1">+WORLDCUP!BD63</f>
        <v>Suecia</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Cabo Verde</v>
      </c>
      <c r="D423" s="11" t="str">
        <f ca="1">+WORLDCUP!BD64</f>
        <v>Bélgica</v>
      </c>
      <c r="E423" s="11" t="str">
        <f ca="1">+WORLDCUP!BD59</f>
        <v>Bosnia y Herzegovina</v>
      </c>
      <c r="F423" s="11" t="str">
        <f ca="1">+WORLDCUP!BD60</f>
        <v>Escocia</v>
      </c>
      <c r="G423" s="11" t="str">
        <f ca="1">+WORLDCUP!BD58</f>
        <v>República Checa</v>
      </c>
      <c r="H423" s="11" t="str">
        <f ca="1">+WORLDCUP!BD63</f>
        <v>Suecia</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Cabo Verde</v>
      </c>
      <c r="D424" s="11" t="str">
        <f ca="1">+WORLDCUP!BD64</f>
        <v>Bélgica</v>
      </c>
      <c r="E424" s="11" t="str">
        <f ca="1">+WORLDCUP!BD59</f>
        <v>Bosnia y Herzegovina</v>
      </c>
      <c r="F424" s="11" t="str">
        <f ca="1">+WORLDCUP!BD60</f>
        <v>Escocia</v>
      </c>
      <c r="G424" s="11" t="str">
        <f ca="1">+WORLDCUP!BD58</f>
        <v>República Checa</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Cabo Verde</v>
      </c>
      <c r="D425" s="11" t="str">
        <f ca="1">+WORLDCUP!BD64</f>
        <v>Bélgica</v>
      </c>
      <c r="E425" s="11" t="str">
        <f ca="1">+WORLDCUP!BD59</f>
        <v>Bosnia y Herzegovina</v>
      </c>
      <c r="F425" s="11" t="str">
        <f ca="1">+WORLDCUP!BD60</f>
        <v>Escocia</v>
      </c>
      <c r="G425" s="11" t="str">
        <f ca="1">+WORLDCUP!BD58</f>
        <v>República Checa</v>
      </c>
      <c r="H425" s="11" t="str">
        <f ca="1">+WORLDCUP!BD63</f>
        <v>Suecia</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Cabo Verde</v>
      </c>
      <c r="D426" s="11" t="str">
        <f ca="1">+WORLDCUP!BD64</f>
        <v>Bélgica</v>
      </c>
      <c r="E426" s="11" t="str">
        <f ca="1">+WORLDCUP!BD59</f>
        <v>Bosnia y Herzegovina</v>
      </c>
      <c r="F426" s="11" t="str">
        <f ca="1">+WORLDCUP!BD60</f>
        <v>Escocia</v>
      </c>
      <c r="G426" s="11" t="str">
        <f ca="1">+WORLDCUP!BD58</f>
        <v>República Checa</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Bosnia y Herzegovina</v>
      </c>
      <c r="F427" s="11" t="str">
        <f ca="1">+WORLDCUP!BD60</f>
        <v>Escocia</v>
      </c>
      <c r="G427" s="11" t="str">
        <f ca="1">+WORLDCUP!BD58</f>
        <v>República Checa</v>
      </c>
      <c r="H427" s="11" t="str">
        <f ca="1">+WORLDCUP!BD61</f>
        <v>Paraguay</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Cabo Verde</v>
      </c>
      <c r="D428" s="11" t="str">
        <f ca="1">+WORLDCUP!BD67</f>
        <v>Jordania</v>
      </c>
      <c r="E428" s="11" t="str">
        <f ca="1">+WORLDCUP!BD59</f>
        <v>Bosnia y Herzegovina</v>
      </c>
      <c r="F428" s="11" t="str">
        <f ca="1">+WORLDCUP!BD60</f>
        <v>Escocia</v>
      </c>
      <c r="G428" s="11" t="str">
        <f ca="1">+WORLDCUP!BD58</f>
        <v>República Checa</v>
      </c>
      <c r="H428" s="11" t="str">
        <f ca="1">+WORLDCUP!BD61</f>
        <v>Paraguay</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Cabo Verde</v>
      </c>
      <c r="D429" s="11" t="str">
        <f ca="1">+WORLDCUP!BD66</f>
        <v>Senegal</v>
      </c>
      <c r="E429" s="11" t="str">
        <f ca="1">+WORLDCUP!BD59</f>
        <v>Bosnia y Herzegovina</v>
      </c>
      <c r="F429" s="11" t="str">
        <f ca="1">+WORLDCUP!BD60</f>
        <v>Escocia</v>
      </c>
      <c r="G429" s="11" t="str">
        <f ca="1">+WORLDCUP!BD58</f>
        <v>República Checa</v>
      </c>
      <c r="H429" s="11" t="str">
        <f ca="1">+WORLDCUP!BD61</f>
        <v>Paraguay</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Cabo Verde</v>
      </c>
      <c r="D430" s="11" t="str">
        <f ca="1">+WORLDCUP!BD67</f>
        <v>Jordania</v>
      </c>
      <c r="E430" s="11" t="str">
        <f ca="1">+WORLDCUP!BD59</f>
        <v>Bosnia y Herzegovina</v>
      </c>
      <c r="F430" s="11" t="str">
        <f ca="1">+WORLDCUP!BD60</f>
        <v>Escocia</v>
      </c>
      <c r="G430" s="11" t="str">
        <f ca="1">+WORLDCUP!BD58</f>
        <v>República Checa</v>
      </c>
      <c r="H430" s="11" t="str">
        <f ca="1">+WORLDCUP!BD61</f>
        <v>Paraguay</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Cabo Verde</v>
      </c>
      <c r="D431" s="11" t="str">
        <f ca="1">+WORLDCUP!BD67</f>
        <v>Jordania</v>
      </c>
      <c r="E431" s="11" t="str">
        <f ca="1">+WORLDCUP!BD59</f>
        <v>Bosnia y Herzegovina</v>
      </c>
      <c r="F431" s="11" t="str">
        <f ca="1">+WORLDCUP!BD60</f>
        <v>Escocia</v>
      </c>
      <c r="G431" s="11" t="str">
        <f ca="1">+WORLDCUP!BD58</f>
        <v>República Checa</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Jordania</v>
      </c>
      <c r="E432" s="11" t="str">
        <f ca="1">+WORLDCUP!BD59</f>
        <v>Bosnia y Herzegovina</v>
      </c>
      <c r="F432" s="11" t="str">
        <f ca="1">+WORLDCUP!BD61</f>
        <v>Paraguay</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Bosnia y Herzegovina</v>
      </c>
      <c r="F433" s="11" t="str">
        <f ca="1">+WORLDCUP!BD60</f>
        <v>Escocia</v>
      </c>
      <c r="G433" s="11" t="str">
        <f ca="1">+WORLDCUP!BD58</f>
        <v>República Checa</v>
      </c>
      <c r="H433" s="11" t="str">
        <f ca="1">+WORLDCUP!BD61</f>
        <v>Paraguay</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Jordania</v>
      </c>
      <c r="E434" s="11" t="str">
        <f ca="1">+WORLDCUP!BD59</f>
        <v>Bosnia y Herzegovina</v>
      </c>
      <c r="F434" s="11" t="str">
        <f ca="1">+WORLDCUP!BD61</f>
        <v>Paraguay</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Jordania</v>
      </c>
      <c r="E435" s="11" t="str">
        <f ca="1">+WORLDCUP!BD59</f>
        <v>Bosnia y Herzegovina</v>
      </c>
      <c r="F435" s="11" t="str">
        <f ca="1">+WORLDCUP!BD61</f>
        <v>Paraguay</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Cabo Verde</v>
      </c>
      <c r="D436" s="11" t="str">
        <f ca="1">+WORLDCUP!BD64</f>
        <v>Bélgica</v>
      </c>
      <c r="E436" s="11" t="str">
        <f ca="1">+WORLDCUP!BD59</f>
        <v>Bosnia y Herzegovina</v>
      </c>
      <c r="F436" s="11" t="str">
        <f ca="1">+WORLDCUP!BD60</f>
        <v>Escocia</v>
      </c>
      <c r="G436" s="11" t="str">
        <f ca="1">+WORLDCUP!BD58</f>
        <v>República Checa</v>
      </c>
      <c r="H436" s="11" t="str">
        <f ca="1">+WORLDCUP!BD61</f>
        <v>Paraguay</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Cabo Verde</v>
      </c>
      <c r="D437" s="11" t="str">
        <f ca="1">+WORLDCUP!BD64</f>
        <v>Bélgica</v>
      </c>
      <c r="E437" s="11" t="str">
        <f ca="1">+WORLDCUP!BD59</f>
        <v>Bosnia y Herzegovina</v>
      </c>
      <c r="F437" s="11" t="str">
        <f ca="1">+WORLDCUP!BD60</f>
        <v>Escocia</v>
      </c>
      <c r="G437" s="11" t="str">
        <f ca="1">+WORLDCUP!BD58</f>
        <v>República Checa</v>
      </c>
      <c r="H437" s="11" t="str">
        <f ca="1">+WORLDCUP!BD61</f>
        <v>Paraguay</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Cabo Verde</v>
      </c>
      <c r="D438" s="11" t="str">
        <f ca="1">+WORLDCUP!BD64</f>
        <v>Bélgica</v>
      </c>
      <c r="E438" s="11" t="str">
        <f ca="1">+WORLDCUP!BD59</f>
        <v>Bosnia y Herzegovina</v>
      </c>
      <c r="F438" s="11" t="str">
        <f ca="1">+WORLDCUP!BD60</f>
        <v>Escocia</v>
      </c>
      <c r="G438" s="11" t="str">
        <f ca="1">+WORLDCUP!BD58</f>
        <v>República Checa</v>
      </c>
      <c r="H438" s="11" t="str">
        <f ca="1">+WORLDCUP!BD61</f>
        <v>Paraguay</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Cabo Verde</v>
      </c>
      <c r="D439" s="11" t="str">
        <f ca="1">+WORLDCUP!BD64</f>
        <v>Bélgica</v>
      </c>
      <c r="E439" s="11" t="str">
        <f ca="1">+WORLDCUP!BD59</f>
        <v>Bosnia y Herzegovina</v>
      </c>
      <c r="F439" s="11" t="str">
        <f ca="1">+WORLDCUP!BD60</f>
        <v>Escocia</v>
      </c>
      <c r="G439" s="11" t="str">
        <f ca="1">+WORLDCUP!BD58</f>
        <v>República Checa</v>
      </c>
      <c r="H439" s="11" t="str">
        <f ca="1">+WORLDCUP!BD61</f>
        <v>Paraguay</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Cabo Verde</v>
      </c>
      <c r="D440" s="11" t="str">
        <f ca="1">+WORLDCUP!BD64</f>
        <v>Bélgica</v>
      </c>
      <c r="E440" s="11" t="str">
        <f ca="1">+WORLDCUP!BD59</f>
        <v>Bosnia y Herzegovina</v>
      </c>
      <c r="F440" s="11" t="str">
        <f ca="1">+WORLDCUP!BD60</f>
        <v>Escocia</v>
      </c>
      <c r="G440" s="11" t="str">
        <f ca="1">+WORLDCUP!BD58</f>
        <v>República Checa</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Cabo Verde</v>
      </c>
      <c r="D441" s="11" t="str">
        <f ca="1">+WORLDCUP!BD64</f>
        <v>Bélgica</v>
      </c>
      <c r="E441" s="11" t="str">
        <f ca="1">+WORLDCUP!BD59</f>
        <v>Bosnia y Herzegovina</v>
      </c>
      <c r="F441" s="11" t="str">
        <f ca="1">+WORLDCUP!BD60</f>
        <v>Escocia</v>
      </c>
      <c r="G441" s="11" t="str">
        <f ca="1">+WORLDCUP!BD58</f>
        <v>República Checa</v>
      </c>
      <c r="H441" s="11" t="str">
        <f ca="1">+WORLDCUP!BD61</f>
        <v>Paraguay</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Jordania</v>
      </c>
      <c r="E442" s="11" t="str">
        <f ca="1">+WORLDCUP!BD59</f>
        <v>Bosnia y Herzegovina</v>
      </c>
      <c r="F442" s="11" t="str">
        <f ca="1">+WORLDCUP!BD61</f>
        <v>Paraguay</v>
      </c>
      <c r="G442" s="11" t="str">
        <f ca="1">+WORLDCUP!BD58</f>
        <v>República Checa</v>
      </c>
      <c r="H442" s="11" t="str">
        <f ca="1">+WORLDCUP!BD63</f>
        <v>Suecia</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República Checa</v>
      </c>
      <c r="H443" s="11" t="str">
        <f ca="1">+WORLDCUP!BD63</f>
        <v>Suecia</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Jordania</v>
      </c>
      <c r="E444" s="11" t="str">
        <f ca="1">+WORLDCUP!BD59</f>
        <v>Bosnia y Herzegovina</v>
      </c>
      <c r="F444" s="11" t="str">
        <f ca="1">+WORLDCUP!BD61</f>
        <v>Paraguay</v>
      </c>
      <c r="G444" s="11" t="str">
        <f ca="1">+WORLDCUP!BD58</f>
        <v>República Checa</v>
      </c>
      <c r="H444" s="11" t="str">
        <f ca="1">+WORLDCUP!BD63</f>
        <v>Suecia</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Jordania</v>
      </c>
      <c r="E445" s="11" t="str">
        <f ca="1">+WORLDCUP!BD59</f>
        <v>Bosnia y Herzegovina</v>
      </c>
      <c r="F445" s="11" t="str">
        <f ca="1">+WORLDCUP!BD61</f>
        <v>Paraguay</v>
      </c>
      <c r="G445" s="11" t="str">
        <f ca="1">+WORLDCUP!BD58</f>
        <v>República Checa</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Cabo Verde</v>
      </c>
      <c r="D446" s="11" t="str">
        <f ca="1">+WORLDCUP!BD63</f>
        <v>Suecia</v>
      </c>
      <c r="E446" s="11" t="str">
        <f ca="1">+WORLDCUP!BD59</f>
        <v>Bosnia y Herzegovina</v>
      </c>
      <c r="F446" s="11" t="str">
        <f ca="1">+WORLDCUP!BD60</f>
        <v>Escocia</v>
      </c>
      <c r="G446" s="11" t="str">
        <f ca="1">+WORLDCUP!BD58</f>
        <v>República Checa</v>
      </c>
      <c r="H446" s="11" t="str">
        <f ca="1">+WORLDCUP!BD61</f>
        <v>Paraguay</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Jordania</v>
      </c>
      <c r="E447" s="11" t="str">
        <f ca="1">+WORLDCUP!BD59</f>
        <v>Bosnia y Herzegovina</v>
      </c>
      <c r="F447" s="11" t="str">
        <f ca="1">+WORLDCUP!BD61</f>
        <v>Paraguay</v>
      </c>
      <c r="G447" s="11" t="str">
        <f ca="1">+WORLDCUP!BD58</f>
        <v>República Checa</v>
      </c>
      <c r="H447" s="11" t="str">
        <f ca="1">+WORLDCUP!BD63</f>
        <v>Suecia</v>
      </c>
      <c r="I447" s="11" t="str">
        <f ca="1">+WORLDCUP!BD69</f>
        <v>Panamá</v>
      </c>
      <c r="J447" s="11" t="str">
        <f ca="1">+WORLDCUP!BD65</f>
        <v>Cabo Verde</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Cabo Verde</v>
      </c>
      <c r="D448" s="11" t="str">
        <f ca="1">+WORLDCUP!BD67</f>
        <v>Jordania</v>
      </c>
      <c r="E448" s="11" t="str">
        <f ca="1">+WORLDCUP!BD59</f>
        <v>Bosnia y Herzegovina</v>
      </c>
      <c r="F448" s="11" t="str">
        <f ca="1">+WORLDCUP!BD60</f>
        <v>Escocia</v>
      </c>
      <c r="G448" s="11" t="str">
        <f ca="1">+WORLDCUP!BD58</f>
        <v>República Checa</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Cabo Verde</v>
      </c>
      <c r="D449" s="11" t="str">
        <f ca="1">+WORLDCUP!BD63</f>
        <v>Suecia</v>
      </c>
      <c r="E449" s="11" t="str">
        <f ca="1">+WORLDCUP!BD59</f>
        <v>Bosnia y Herzegovina</v>
      </c>
      <c r="F449" s="11" t="str">
        <f ca="1">+WORLDCUP!BD60</f>
        <v>Escocia</v>
      </c>
      <c r="G449" s="11" t="str">
        <f ca="1">+WORLDCUP!BD58</f>
        <v>República Checa</v>
      </c>
      <c r="H449" s="11" t="str">
        <f ca="1">+WORLDCUP!BD61</f>
        <v>Paraguay</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Cabo Verde</v>
      </c>
      <c r="D450" s="11" t="str">
        <f ca="1">+WORLDCUP!BD63</f>
        <v>Suecia</v>
      </c>
      <c r="E450" s="11" t="str">
        <f ca="1">+WORLDCUP!BD59</f>
        <v>Bosnia y Herzegovina</v>
      </c>
      <c r="F450" s="11" t="str">
        <f ca="1">+WORLDCUP!BD60</f>
        <v>Escocia</v>
      </c>
      <c r="G450" s="11" t="str">
        <f ca="1">+WORLDCUP!BD58</f>
        <v>República Checa</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Cabo Verde</v>
      </c>
      <c r="D451" s="11" t="str">
        <f ca="1">+WORLDCUP!BD67</f>
        <v>Jordania</v>
      </c>
      <c r="E451" s="11" t="str">
        <f ca="1">+WORLDCUP!BD59</f>
        <v>Bosnia y Herzegovina</v>
      </c>
      <c r="F451" s="11" t="str">
        <f ca="1">+WORLDCUP!BD60</f>
        <v>Escocia</v>
      </c>
      <c r="G451" s="11" t="str">
        <f ca="1">+WORLDCUP!BD58</f>
        <v>República Checa</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Bélgica</v>
      </c>
      <c r="E452" s="11" t="str">
        <f ca="1">+WORLDCUP!BD59</f>
        <v>Bosnia y Herzegovina</v>
      </c>
      <c r="F452" s="11" t="str">
        <f ca="1">+WORLDCUP!BD61</f>
        <v>Paraguay</v>
      </c>
      <c r="G452" s="11" t="str">
        <f ca="1">+WORLDCUP!BD58</f>
        <v>República Checa</v>
      </c>
      <c r="H452" s="11" t="str">
        <f ca="1">+WORLDCUP!BD63</f>
        <v>Suecia</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Bélgica</v>
      </c>
      <c r="E453" s="11" t="str">
        <f ca="1">+WORLDCUP!BD59</f>
        <v>Bosnia y Herzegovina</v>
      </c>
      <c r="F453" s="11" t="str">
        <f ca="1">+WORLDCUP!BD61</f>
        <v>Paraguay</v>
      </c>
      <c r="G453" s="11" t="str">
        <f ca="1">+WORLDCUP!BD58</f>
        <v>República Checa</v>
      </c>
      <c r="H453" s="11" t="str">
        <f ca="1">+WORLDCUP!BD63</f>
        <v>Suecia</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Bélgica</v>
      </c>
      <c r="E454" s="11" t="str">
        <f ca="1">+WORLDCUP!BD59</f>
        <v>Bosnia y Herzegovina</v>
      </c>
      <c r="F454" s="11" t="str">
        <f ca="1">+WORLDCUP!BD61</f>
        <v>Paraguay</v>
      </c>
      <c r="G454" s="11" t="str">
        <f ca="1">+WORLDCUP!BD58</f>
        <v>República Checa</v>
      </c>
      <c r="H454" s="11" t="str">
        <f ca="1">+WORLDCUP!BD63</f>
        <v>Suecia</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Bélgica</v>
      </c>
      <c r="E455" s="11" t="str">
        <f ca="1">+WORLDCUP!BD59</f>
        <v>Bosnia y Herzegovina</v>
      </c>
      <c r="F455" s="11" t="str">
        <f ca="1">+WORLDCUP!BD61</f>
        <v>Paraguay</v>
      </c>
      <c r="G455" s="11" t="str">
        <f ca="1">+WORLDCUP!BD58</f>
        <v>República Checa</v>
      </c>
      <c r="H455" s="11" t="str">
        <f ca="1">+WORLDCUP!BD63</f>
        <v>Suecia</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Bélgica</v>
      </c>
      <c r="E456" s="11" t="str">
        <f ca="1">+WORLDCUP!BD59</f>
        <v>Bosnia y Herzegovina</v>
      </c>
      <c r="F456" s="11" t="str">
        <f ca="1">+WORLDCUP!BD61</f>
        <v>Paraguay</v>
      </c>
      <c r="G456" s="11" t="str">
        <f ca="1">+WORLDCUP!BD58</f>
        <v>República Checa</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Bélgica</v>
      </c>
      <c r="E457" s="11" t="str">
        <f ca="1">+WORLDCUP!BD59</f>
        <v>Bosnia y Herzegovina</v>
      </c>
      <c r="F457" s="11" t="str">
        <f ca="1">+WORLDCUP!BD61</f>
        <v>Paraguay</v>
      </c>
      <c r="G457" s="11" t="str">
        <f ca="1">+WORLDCUP!BD58</f>
        <v>República Checa</v>
      </c>
      <c r="H457" s="11" t="str">
        <f ca="1">+WORLDCUP!BD63</f>
        <v>Suecia</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Bélgica</v>
      </c>
      <c r="E458" s="11" t="str">
        <f ca="1">+WORLDCUP!BD59</f>
        <v>Bosnia y Herzegovina</v>
      </c>
      <c r="F458" s="11" t="str">
        <f ca="1">+WORLDCUP!BD61</f>
        <v>Paraguay</v>
      </c>
      <c r="G458" s="11" t="str">
        <f ca="1">+WORLDCUP!BD58</f>
        <v>República Checa</v>
      </c>
      <c r="H458" s="11" t="str">
        <f ca="1">+WORLDCUP!BD63</f>
        <v>Suecia</v>
      </c>
      <c r="I458" s="11" t="str">
        <f ca="1">+WORLDCUP!BD69</f>
        <v>Panamá</v>
      </c>
      <c r="J458" s="11" t="str">
        <f ca="1">+WORLDCUP!BD65</f>
        <v>Cabo Verde</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Cabo Verde</v>
      </c>
      <c r="D459" s="11" t="str">
        <f ca="1">+WORLDCUP!BD64</f>
        <v>Bélgica</v>
      </c>
      <c r="E459" s="11" t="str">
        <f ca="1">+WORLDCUP!BD59</f>
        <v>Bosnia y Herzegovina</v>
      </c>
      <c r="F459" s="11" t="str">
        <f ca="1">+WORLDCUP!BD60</f>
        <v>Escocia</v>
      </c>
      <c r="G459" s="11" t="str">
        <f ca="1">+WORLDCUP!BD58</f>
        <v>República Checa</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Cabo Verde</v>
      </c>
      <c r="D460" s="11" t="str">
        <f ca="1">+WORLDCUP!BD64</f>
        <v>Bélgica</v>
      </c>
      <c r="E460" s="11" t="str">
        <f ca="1">+WORLDCUP!BD59</f>
        <v>Bosnia y Herzegovina</v>
      </c>
      <c r="F460" s="11" t="str">
        <f ca="1">+WORLDCUP!BD60</f>
        <v>Escocia</v>
      </c>
      <c r="G460" s="11" t="str">
        <f ca="1">+WORLDCUP!BD58</f>
        <v>República Checa</v>
      </c>
      <c r="H460" s="11" t="str">
        <f ca="1">+WORLDCUP!BD63</f>
        <v>Suecia</v>
      </c>
      <c r="I460" s="11" t="str">
        <f ca="1">+WORLDCUP!BD61</f>
        <v>Paraguay</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Cabo Verde</v>
      </c>
      <c r="D461" s="11" t="str">
        <f ca="1">+WORLDCUP!BD64</f>
        <v>Bélgica</v>
      </c>
      <c r="E461" s="11" t="str">
        <f ca="1">+WORLDCUP!BD59</f>
        <v>Bosnia y Herzegovina</v>
      </c>
      <c r="F461" s="11" t="str">
        <f ca="1">+WORLDCUP!BD60</f>
        <v>Escocia</v>
      </c>
      <c r="G461" s="11" t="str">
        <f ca="1">+WORLDCUP!BD58</f>
        <v>República Checa</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Bosnia y Herzegovina</v>
      </c>
      <c r="F462" s="11" t="str">
        <f ca="1">+WORLDCUP!BD60</f>
        <v>Escocia</v>
      </c>
      <c r="G462" s="11" t="str">
        <f ca="1">+WORLDCUP!BD58</f>
        <v>República Checa</v>
      </c>
      <c r="H462" s="11" t="str">
        <f ca="1">+WORLDCUP!BD61</f>
        <v>Paraguay</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República Checa</v>
      </c>
      <c r="H463" s="11" t="str">
        <f ca="1">+WORLDCUP!BD61</f>
        <v>Paraguay</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Bosnia y Herzegovina</v>
      </c>
      <c r="F464" s="11" t="str">
        <f ca="1">+WORLDCUP!BD60</f>
        <v>Escocia</v>
      </c>
      <c r="G464" s="11" t="str">
        <f ca="1">+WORLDCUP!BD58</f>
        <v>República Checa</v>
      </c>
      <c r="H464" s="11" t="str">
        <f ca="1">+WORLDCUP!BD61</f>
        <v>Paraguay</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Bosnia y Herzegovina</v>
      </c>
      <c r="F465" s="11" t="str">
        <f ca="1">+WORLDCUP!BD60</f>
        <v>Escocia</v>
      </c>
      <c r="G465" s="11" t="str">
        <f ca="1">+WORLDCUP!BD58</f>
        <v>República Checa</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Cabo Verde</v>
      </c>
      <c r="D466" s="11" t="str">
        <f ca="1">+WORLDCUP!BD62</f>
        <v>Ecuador</v>
      </c>
      <c r="E466" s="11" t="str">
        <f ca="1">+WORLDCUP!BD59</f>
        <v>Bosnia y Herzegovina</v>
      </c>
      <c r="F466" s="11" t="str">
        <f ca="1">+WORLDCUP!BD60</f>
        <v>Escocia</v>
      </c>
      <c r="G466" s="11" t="str">
        <f ca="1">+WORLDCUP!BD58</f>
        <v>República Checa</v>
      </c>
      <c r="H466" s="11" t="str">
        <f ca="1">+WORLDCUP!BD61</f>
        <v>Paraguay</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Cabo Verde</v>
      </c>
      <c r="D467" s="11" t="str">
        <f ca="1">+WORLDCUP!BD67</f>
        <v>Jordania</v>
      </c>
      <c r="E467" s="11" t="str">
        <f ca="1">+WORLDCUP!BD59</f>
        <v>Bosnia y Herzegovina</v>
      </c>
      <c r="F467" s="11" t="str">
        <f ca="1">+WORLDCUP!BD60</f>
        <v>Escocia</v>
      </c>
      <c r="G467" s="11" t="str">
        <f ca="1">+WORLDCUP!BD58</f>
        <v>República Checa</v>
      </c>
      <c r="H467" s="11" t="str">
        <f ca="1">+WORLDCUP!BD61</f>
        <v>Paraguay</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Cabo Verde</v>
      </c>
      <c r="D468" s="11" t="str">
        <f ca="1">+WORLDCUP!BD67</f>
        <v>Jordania</v>
      </c>
      <c r="E468" s="11" t="str">
        <f ca="1">+WORLDCUP!BD59</f>
        <v>Bosnia y Herzegovina</v>
      </c>
      <c r="F468" s="11" t="str">
        <f ca="1">+WORLDCUP!BD60</f>
        <v>Escocia</v>
      </c>
      <c r="G468" s="11" t="str">
        <f ca="1">+WORLDCUP!BD58</f>
        <v>República Checa</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Cabo Verde</v>
      </c>
      <c r="D469" s="11" t="str">
        <f ca="1">+WORLDCUP!BD62</f>
        <v>Ecuador</v>
      </c>
      <c r="E469" s="11" t="str">
        <f ca="1">+WORLDCUP!BD59</f>
        <v>Bosnia y Herzegovina</v>
      </c>
      <c r="F469" s="11" t="str">
        <f ca="1">+WORLDCUP!BD60</f>
        <v>Escocia</v>
      </c>
      <c r="G469" s="11" t="str">
        <f ca="1">+WORLDCUP!BD58</f>
        <v>República Checa</v>
      </c>
      <c r="H469" s="11" t="str">
        <f ca="1">+WORLDCUP!BD61</f>
        <v>Paraguay</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Cabo Verde</v>
      </c>
      <c r="D470" s="11" t="str">
        <f ca="1">+WORLDCUP!BD62</f>
        <v>Ecuador</v>
      </c>
      <c r="E470" s="11" t="str">
        <f ca="1">+WORLDCUP!BD59</f>
        <v>Bosnia y Herzegovina</v>
      </c>
      <c r="F470" s="11" t="str">
        <f ca="1">+WORLDCUP!BD60</f>
        <v>Escocia</v>
      </c>
      <c r="G470" s="11" t="str">
        <f ca="1">+WORLDCUP!BD58</f>
        <v>República Checa</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Cabo Verde</v>
      </c>
      <c r="D471" s="11" t="str">
        <f ca="1">+WORLDCUP!BD67</f>
        <v>Jordania</v>
      </c>
      <c r="E471" s="11" t="str">
        <f ca="1">+WORLDCUP!BD59</f>
        <v>Bosnia y Herzegovina</v>
      </c>
      <c r="F471" s="11" t="str">
        <f ca="1">+WORLDCUP!BD60</f>
        <v>Escocia</v>
      </c>
      <c r="G471" s="11" t="str">
        <f ca="1">+WORLDCUP!BD58</f>
        <v>República Checa</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Bosnia y Herzegovina</v>
      </c>
      <c r="F472" s="11" t="str">
        <f ca="1">+WORLDCUP!BD60</f>
        <v>Escocia</v>
      </c>
      <c r="G472" s="11" t="str">
        <f ca="1">+WORLDCUP!BD58</f>
        <v>República Checa</v>
      </c>
      <c r="H472" s="11" t="str">
        <f ca="1">+WORLDCUP!BD61</f>
        <v>Paraguay</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Bosnia y Herzegovina</v>
      </c>
      <c r="F473" s="11" t="str">
        <f ca="1">+WORLDCUP!BD60</f>
        <v>Escocia</v>
      </c>
      <c r="G473" s="11" t="str">
        <f ca="1">+WORLDCUP!BD58</f>
        <v>República Checa</v>
      </c>
      <c r="H473" s="11" t="str">
        <f ca="1">+WORLDCUP!BD61</f>
        <v>Paraguay</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Bosnia y Herzegovina</v>
      </c>
      <c r="F474" s="11" t="str">
        <f ca="1">+WORLDCUP!BD60</f>
        <v>Escocia</v>
      </c>
      <c r="G474" s="11" t="str">
        <f ca="1">+WORLDCUP!BD58</f>
        <v>República Checa</v>
      </c>
      <c r="H474" s="11" t="str">
        <f ca="1">+WORLDCUP!BD61</f>
        <v>Paraguay</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Bosnia y Herzegovina</v>
      </c>
      <c r="F475" s="11" t="str">
        <f ca="1">+WORLDCUP!BD60</f>
        <v>Escocia</v>
      </c>
      <c r="G475" s="11" t="str">
        <f ca="1">+WORLDCUP!BD58</f>
        <v>República Checa</v>
      </c>
      <c r="H475" s="11" t="str">
        <f ca="1">+WORLDCUP!BD61</f>
        <v>Paraguay</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Bosnia y Herzegovina</v>
      </c>
      <c r="F476" s="11" t="str">
        <f ca="1">+WORLDCUP!BD60</f>
        <v>Escocia</v>
      </c>
      <c r="G476" s="11" t="str">
        <f ca="1">+WORLDCUP!BD58</f>
        <v>República Checa</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Bosnia y Herzegovina</v>
      </c>
      <c r="F477" s="11" t="str">
        <f ca="1">+WORLDCUP!BD60</f>
        <v>Escocia</v>
      </c>
      <c r="G477" s="11" t="str">
        <f ca="1">+WORLDCUP!BD58</f>
        <v>República Checa</v>
      </c>
      <c r="H477" s="11" t="str">
        <f ca="1">+WORLDCUP!BD61</f>
        <v>Paraguay</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Cabo Verde</v>
      </c>
      <c r="D478" s="11" t="str">
        <f ca="1">+WORLDCUP!BD64</f>
        <v>Bélgica</v>
      </c>
      <c r="E478" s="11" t="str">
        <f ca="1">+WORLDCUP!BD59</f>
        <v>Bosnia y Herzegovina</v>
      </c>
      <c r="F478" s="11" t="str">
        <f ca="1">+WORLDCUP!BD60</f>
        <v>Escocia</v>
      </c>
      <c r="G478" s="11" t="str">
        <f ca="1">+WORLDCUP!BD58</f>
        <v>República Checa</v>
      </c>
      <c r="H478" s="11" t="str">
        <f ca="1">+WORLDCUP!BD61</f>
        <v>Paraguay</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Cabo Verde</v>
      </c>
      <c r="D479" s="11" t="str">
        <f ca="1">+WORLDCUP!BD64</f>
        <v>Bélgica</v>
      </c>
      <c r="E479" s="11" t="str">
        <f ca="1">+WORLDCUP!BD59</f>
        <v>Bosnia y Herzegovina</v>
      </c>
      <c r="F479" s="11" t="str">
        <f ca="1">+WORLDCUP!BD60</f>
        <v>Escocia</v>
      </c>
      <c r="G479" s="11" t="str">
        <f ca="1">+WORLDCUP!BD58</f>
        <v>República Checa</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Cabo Verde</v>
      </c>
      <c r="D480" s="11" t="str">
        <f ca="1">+WORLDCUP!BD64</f>
        <v>Bélgica</v>
      </c>
      <c r="E480" s="11" t="str">
        <f ca="1">+WORLDCUP!BD59</f>
        <v>Bosnia y Herzegovina</v>
      </c>
      <c r="F480" s="11" t="str">
        <f ca="1">+WORLDCUP!BD60</f>
        <v>Escocia</v>
      </c>
      <c r="G480" s="11" t="str">
        <f ca="1">+WORLDCUP!BD58</f>
        <v>República Checa</v>
      </c>
      <c r="H480" s="11" t="str">
        <f ca="1">+WORLDCUP!BD61</f>
        <v>Paraguay</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Cabo Verde</v>
      </c>
      <c r="D481" s="11" t="str">
        <f ca="1">+WORLDCUP!BD64</f>
        <v>Bélgica</v>
      </c>
      <c r="E481" s="11" t="str">
        <f ca="1">+WORLDCUP!BD59</f>
        <v>Bosnia y Herzegovina</v>
      </c>
      <c r="F481" s="11" t="str">
        <f ca="1">+WORLDCUP!BD60</f>
        <v>Escocia</v>
      </c>
      <c r="G481" s="11" t="str">
        <f ca="1">+WORLDCUP!BD58</f>
        <v>República Checa</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República Checa</v>
      </c>
      <c r="H482" s="11" t="str">
        <f ca="1">+WORLDCUP!BD63</f>
        <v>Suecia</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Jordania</v>
      </c>
      <c r="E483" s="11" t="str">
        <f ca="1">+WORLDCUP!BD59</f>
        <v>Bosnia y Herzegovina</v>
      </c>
      <c r="F483" s="11" t="str">
        <f ca="1">+WORLDCUP!BD61</f>
        <v>Paraguay</v>
      </c>
      <c r="G483" s="11" t="str">
        <f ca="1">+WORLDCUP!BD58</f>
        <v>República Checa</v>
      </c>
      <c r="H483" s="11" t="str">
        <f ca="1">+WORLDCUP!BD63</f>
        <v>Suecia</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Jordania</v>
      </c>
      <c r="E484" s="11" t="str">
        <f ca="1">+WORLDCUP!BD59</f>
        <v>Bosnia y Herzegovina</v>
      </c>
      <c r="F484" s="11" t="str">
        <f ca="1">+WORLDCUP!BD61</f>
        <v>Paraguay</v>
      </c>
      <c r="G484" s="11" t="str">
        <f ca="1">+WORLDCUP!BD58</f>
        <v>República Checa</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República Checa</v>
      </c>
      <c r="H485" s="11" t="str">
        <f ca="1">+WORLDCUP!BD63</f>
        <v>Suecia</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República Checa</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Jordania</v>
      </c>
      <c r="E487" s="11" t="str">
        <f ca="1">+WORLDCUP!BD59</f>
        <v>Bosnia y Herzegovina</v>
      </c>
      <c r="F487" s="11" t="str">
        <f ca="1">+WORLDCUP!BD61</f>
        <v>Paraguay</v>
      </c>
      <c r="G487" s="11" t="str">
        <f ca="1">+WORLDCUP!BD58</f>
        <v>República Checa</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Cabo Verde</v>
      </c>
      <c r="D488" s="11" t="str">
        <f ca="1">+WORLDCUP!BD63</f>
        <v>Suecia</v>
      </c>
      <c r="E488" s="11" t="str">
        <f ca="1">+WORLDCUP!BD59</f>
        <v>Bosnia y Herzegovina</v>
      </c>
      <c r="F488" s="11" t="str">
        <f ca="1">+WORLDCUP!BD60</f>
        <v>Escocia</v>
      </c>
      <c r="G488" s="11" t="str">
        <f ca="1">+WORLDCUP!BD58</f>
        <v>República Checa</v>
      </c>
      <c r="H488" s="11" t="str">
        <f ca="1">+WORLDCUP!BD61</f>
        <v>Paraguay</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Cabo Verde</v>
      </c>
      <c r="D489" s="11" t="str">
        <f ca="1">+WORLDCUP!BD62</f>
        <v>Ecuador</v>
      </c>
      <c r="E489" s="11" t="str">
        <f ca="1">+WORLDCUP!BD59</f>
        <v>Bosnia y Herzegovina</v>
      </c>
      <c r="F489" s="11" t="str">
        <f ca="1">+WORLDCUP!BD60</f>
        <v>Escocia</v>
      </c>
      <c r="G489" s="11" t="str">
        <f ca="1">+WORLDCUP!BD58</f>
        <v>República Checa</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Cabo Verde</v>
      </c>
      <c r="D490" s="11" t="str">
        <f ca="1">+WORLDCUP!BD67</f>
        <v>Jordania</v>
      </c>
      <c r="E490" s="11" t="str">
        <f ca="1">+WORLDCUP!BD59</f>
        <v>Bosnia y Herzegovina</v>
      </c>
      <c r="F490" s="11" t="str">
        <f ca="1">+WORLDCUP!BD60</f>
        <v>Escocia</v>
      </c>
      <c r="G490" s="11" t="str">
        <f ca="1">+WORLDCUP!BD58</f>
        <v>República Checa</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Cabo Verde</v>
      </c>
      <c r="D491" s="11" t="str">
        <f ca="1">+WORLDCUP!BD62</f>
        <v>Ecuador</v>
      </c>
      <c r="E491" s="11" t="str">
        <f ca="1">+WORLDCUP!BD59</f>
        <v>Bosnia y Herzegovina</v>
      </c>
      <c r="F491" s="11" t="str">
        <f ca="1">+WORLDCUP!BD60</f>
        <v>Escocia</v>
      </c>
      <c r="G491" s="11" t="str">
        <f ca="1">+WORLDCUP!BD58</f>
        <v>República Checa</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Bélgica</v>
      </c>
      <c r="E492" s="11" t="str">
        <f ca="1">+WORLDCUP!BD59</f>
        <v>Bosnia y Herzegovina</v>
      </c>
      <c r="F492" s="11" t="str">
        <f ca="1">+WORLDCUP!BD61</f>
        <v>Paraguay</v>
      </c>
      <c r="G492" s="11" t="str">
        <f ca="1">+WORLDCUP!BD58</f>
        <v>República Checa</v>
      </c>
      <c r="H492" s="11" t="str">
        <f ca="1">+WORLDCUP!BD63</f>
        <v>Suecia</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Bélgica</v>
      </c>
      <c r="E493" s="11" t="str">
        <f ca="1">+WORLDCUP!BD59</f>
        <v>Bosnia y Herzegovina</v>
      </c>
      <c r="F493" s="11" t="str">
        <f ca="1">+WORLDCUP!BD61</f>
        <v>Paraguay</v>
      </c>
      <c r="G493" s="11" t="str">
        <f ca="1">+WORLDCUP!BD58</f>
        <v>República Checa</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Bélgica</v>
      </c>
      <c r="E494" s="11" t="str">
        <f ca="1">+WORLDCUP!BD59</f>
        <v>Bosnia y Herzegovina</v>
      </c>
      <c r="F494" s="11" t="str">
        <f ca="1">+WORLDCUP!BD61</f>
        <v>Paraguay</v>
      </c>
      <c r="G494" s="11" t="str">
        <f ca="1">+WORLDCUP!BD58</f>
        <v>República Checa</v>
      </c>
      <c r="H494" s="11" t="str">
        <f ca="1">+WORLDCUP!BD63</f>
        <v>Suecia</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Bélgica</v>
      </c>
      <c r="E495" s="11" t="str">
        <f ca="1">+WORLDCUP!BD59</f>
        <v>Bosnia y Herzegovina</v>
      </c>
      <c r="F495" s="11" t="str">
        <f ca="1">+WORLDCUP!BD61</f>
        <v>Paraguay</v>
      </c>
      <c r="G495" s="11" t="str">
        <f ca="1">+WORLDCUP!BD58</f>
        <v>República Checa</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Cabo Verde</v>
      </c>
      <c r="D496" s="11" t="str">
        <f ca="1">+WORLDCUP!BD64</f>
        <v>Bélgica</v>
      </c>
      <c r="E496" s="11" t="str">
        <f ca="1">+WORLDCUP!BD59</f>
        <v>Bosnia y Herzegovina</v>
      </c>
      <c r="F496" s="11" t="str">
        <f ca="1">+WORLDCUP!BD60</f>
        <v>Escocia</v>
      </c>
      <c r="G496" s="11" t="str">
        <f ca="1">+WORLDCUP!BD58</f>
        <v>República Checa</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2026-06-22T19:52:27Z</dcterms:modified>
  <cp:category/>
</cp:coreProperties>
</file>