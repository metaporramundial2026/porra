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03" documentId="13_ncr:1_{AF5F34E1-3CEA-4E5C-856E-DF27FFEF07FE}" xr6:coauthVersionLast="47" xr6:coauthVersionMax="47" xr10:uidLastSave="{FFC4F750-43E6-4C55-9242-B22041EC7ED7}"/>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A202" i="46"/>
  <c r="Q202" i="46" s="1"/>
  <c r="E202" i="46"/>
  <c r="B201" i="46"/>
  <c r="A201" i="46"/>
  <c r="E201" i="46"/>
  <c r="B200" i="46"/>
  <c r="A200" i="46"/>
  <c r="O207" i="46"/>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205" i="46"/>
  <c r="Q205"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E200" i="46"/>
  <c r="M206" i="46"/>
  <c r="M205"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24" i="3"/>
  <c r="D126" i="3"/>
  <c r="AG126" i="3" s="1"/>
  <c r="D134" i="3"/>
  <c r="N139" i="3" s="1"/>
  <c r="AF139" i="3" s="1"/>
  <c r="AF143" i="3"/>
  <c r="AQ32" i="45" s="1"/>
  <c r="H139" i="3"/>
  <c r="D127" i="3"/>
  <c r="N134" i="3" s="1"/>
  <c r="AF134" i="3" s="1"/>
  <c r="D125" i="3"/>
  <c r="N132" i="3" s="1"/>
  <c r="AF132"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M201" i="46" l="1"/>
  <c r="P177" i="46"/>
  <c r="M177" i="46"/>
  <c r="P176" i="46"/>
  <c r="M175" i="46"/>
  <c r="F5" i="48" a="1"/>
  <c r="F5" i="48" s="1"/>
  <c r="P173" i="46"/>
  <c r="Q173" i="46"/>
  <c r="E171" i="46"/>
  <c r="E170" i="46"/>
  <c r="Q168" i="46"/>
  <c r="K247" i="46"/>
  <c r="BA21" i="45"/>
  <c r="M250" i="46"/>
  <c r="FK250" i="46" s="1"/>
  <c r="M143" i="3"/>
  <c r="AG151" i="3"/>
  <c r="AG134" i="3"/>
  <c r="BB23" i="45"/>
  <c r="M134" i="3"/>
  <c r="AA134" i="3" s="1"/>
  <c r="K223" i="46" s="1"/>
  <c r="M165" i="46"/>
  <c r="E7" i="48"/>
  <c r="F6" i="48" a="1"/>
  <c r="F6" i="48" s="1"/>
  <c r="K244" i="46"/>
  <c r="C244" i="46"/>
  <c r="M147" i="3"/>
  <c r="DT143" i="3"/>
  <c r="AG125" i="3"/>
  <c r="C247" i="46"/>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M237" i="46"/>
  <c r="M241" i="46"/>
  <c r="AZ25" i="45"/>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17" i="46"/>
  <c r="AI44" i="45"/>
  <c r="M240" i="46"/>
  <c r="AU25" i="45"/>
  <c r="M132" i="3"/>
  <c r="AA132" i="3" s="1"/>
  <c r="C221" i="46" s="1"/>
  <c r="AG124" i="3"/>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AI19" i="45"/>
  <c r="M211" i="46"/>
  <c r="K221" i="46"/>
  <c r="DT132" i="3"/>
  <c r="BD33" i="3"/>
  <c r="A56" i="3"/>
  <c r="AI47" i="32"/>
  <c r="AI35" i="32"/>
  <c r="A37" i="3"/>
  <c r="BD22" i="3"/>
  <c r="BC20" i="3"/>
  <c r="A6" i="3"/>
  <c r="BD7" i="3"/>
  <c r="BD21" i="3"/>
  <c r="A32" i="3"/>
  <c r="A63" i="3"/>
  <c r="BD36" i="3"/>
  <c r="BA238" i="46" l="1"/>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BJ234" i="46"/>
  <c r="CW234" i="46"/>
  <c r="AR234" i="46"/>
  <c r="DF230" i="46"/>
  <c r="DC230" i="46"/>
  <c r="FB230" i="46"/>
  <c r="EA234" i="46"/>
  <c r="DX234" i="46"/>
  <c r="AO234" i="46"/>
  <c r="E10" i="48"/>
  <c r="F9" i="48" a="1"/>
  <c r="F9" i="48" s="1"/>
  <c r="EP234" i="46"/>
  <c r="FE234" i="46"/>
  <c r="DO234" i="46"/>
  <c r="O37" i="45"/>
  <c r="DT86" i="3"/>
  <c r="EG230" i="46"/>
  <c r="AI230" i="46"/>
  <c r="F29" i="45"/>
  <c r="AC234" i="46"/>
  <c r="EV234" i="46"/>
  <c r="BA230" i="46"/>
  <c r="AU230" i="46"/>
  <c r="AX230" i="46"/>
  <c r="CN234" i="46"/>
  <c r="BA234" i="46"/>
  <c r="BJ230" i="46"/>
  <c r="Z234" i="46"/>
  <c r="BS234" i="46"/>
  <c r="DC234" i="46"/>
  <c r="CH234" i="46"/>
  <c r="CH230" i="46"/>
  <c r="CT234" i="46"/>
  <c r="AU234" i="46"/>
  <c r="DU234" i="46"/>
  <c r="DL230"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BS230" i="46"/>
  <c r="K12" i="46"/>
  <c r="C27" i="45"/>
  <c r="AB28" i="3" a="1"/>
  <c r="AB28" i="3" s="1"/>
  <c r="DT28" i="3"/>
  <c r="AL234" i="46"/>
  <c r="CB234" i="46"/>
  <c r="ES234" i="46"/>
  <c r="CZ234" i="46"/>
  <c r="FB234" i="46"/>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BV230" i="46"/>
  <c r="BG230" i="46"/>
  <c r="CQ230" i="46"/>
  <c r="CK230" i="46"/>
  <c r="ED230" i="46"/>
  <c r="DT5" i="3"/>
  <c r="K7" i="46"/>
  <c r="C4" i="45"/>
  <c r="AB5" i="3" a="1"/>
  <c r="AB5" i="3" s="1"/>
  <c r="DI234" i="46"/>
  <c r="BD234" i="46"/>
  <c r="EY234" i="46"/>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EJ230" i="46"/>
  <c r="BY230" i="46"/>
  <c r="AE56" i="3" a="1"/>
  <c r="AE56" i="3" s="1"/>
  <c r="R7" i="45"/>
  <c r="DT56" i="3"/>
  <c r="K66" i="46"/>
  <c r="FH234" i="46"/>
  <c r="T234" i="46"/>
  <c r="BV234"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O14" i="45"/>
  <c r="DT63" i="3"/>
  <c r="K45" i="46"/>
  <c r="AB63" i="3" a="1"/>
  <c r="AB63" i="3" s="1"/>
  <c r="K23" i="46"/>
  <c r="DT69" i="3"/>
  <c r="AB69" i="3" a="1"/>
  <c r="AB69" i="3" s="1"/>
  <c r="O20" i="45"/>
  <c r="AB41" i="3" a="1"/>
  <c r="AB41" i="3" s="1"/>
  <c r="K63" i="46"/>
  <c r="DT41" i="3"/>
  <c r="C40" i="45"/>
  <c r="BG34" i="3"/>
  <c r="W230" i="46"/>
  <c r="CE230" i="46"/>
  <c r="BD230" i="46"/>
  <c r="EV230" i="46"/>
  <c r="FK230" i="46"/>
  <c r="DO230" i="46"/>
  <c r="EM234" i="46"/>
  <c r="BH6" i="3"/>
  <c r="F7" i="45"/>
  <c r="AE8" i="3" a="1"/>
  <c r="AE8" i="3" s="1"/>
  <c r="AE37" i="3" a="1"/>
  <c r="AE37" i="3" s="1"/>
  <c r="F36" i="45"/>
  <c r="K15" i="46"/>
  <c r="DT37" i="3"/>
  <c r="AC230" i="46"/>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DR230" i="46"/>
  <c r="Z230" i="46"/>
  <c r="AX234" i="46"/>
  <c r="CQ234" i="46"/>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CW230" i="46"/>
  <c r="CZ230" i="46"/>
  <c r="W234" i="46"/>
  <c r="ED234" i="46"/>
  <c r="DF234" i="46"/>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DU230" i="46"/>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F11" i="48" a="1"/>
  <c r="F11" i="48" s="1"/>
  <c r="E12" i="48"/>
  <c r="Q40" i="51"/>
  <c r="Q38" i="51"/>
  <c r="Q23" i="51"/>
  <c r="Q19" i="51"/>
  <c r="BL6" i="45"/>
  <c r="Q27" i="51"/>
  <c r="Q21" i="51"/>
  <c r="Q24" i="51"/>
  <c r="BL22" i="45"/>
  <c r="BL31" i="45"/>
  <c r="BL41" i="45"/>
  <c r="Q28" i="51"/>
  <c r="Q10" i="51"/>
  <c r="Q33" i="51"/>
  <c r="BL15" i="45"/>
  <c r="BL25" i="45"/>
  <c r="BL37" i="45"/>
  <c r="Q12" i="51"/>
  <c r="BL23" i="45"/>
  <c r="BL42" i="45"/>
  <c r="BL26" i="45"/>
  <c r="Q25" i="51"/>
  <c r="BL11" i="45"/>
  <c r="Q41" i="51"/>
  <c r="Q18" i="51"/>
  <c r="BL24" i="45"/>
  <c r="Q29" i="51"/>
  <c r="Q16" i="51"/>
  <c r="BL30" i="45"/>
  <c r="Q9" i="51"/>
  <c r="BL18" i="45"/>
  <c r="Q44" i="51"/>
  <c r="BL46" i="45"/>
  <c r="BL39" i="45"/>
  <c r="BL16" i="45"/>
  <c r="Q20" i="51"/>
  <c r="BL13" i="45"/>
  <c r="Q47" i="51"/>
  <c r="Q52" i="51"/>
  <c r="BL9" i="45"/>
  <c r="BL44" i="45"/>
  <c r="BL51" i="45"/>
  <c r="Q39" i="51"/>
  <c r="Q54" i="51"/>
  <c r="BL40" i="45"/>
  <c r="Q8" i="51"/>
  <c r="BL19" i="45"/>
  <c r="Q53" i="51"/>
  <c r="BL21" i="45"/>
  <c r="BL12" i="45"/>
  <c r="BL47" i="45"/>
  <c r="Q13" i="51"/>
  <c r="BL35" i="45"/>
  <c r="BL50" i="45"/>
  <c r="BL5" i="45"/>
  <c r="Q32" i="51"/>
  <c r="BL28" i="45"/>
  <c r="Q36" i="51"/>
  <c r="Q49" i="51"/>
  <c r="Q35" i="51"/>
  <c r="BL34" i="45"/>
  <c r="Q15" i="51"/>
  <c r="BL29" i="45"/>
  <c r="BL27" i="45"/>
  <c r="BL32" i="45"/>
  <c r="Q22" i="51"/>
  <c r="Q26" i="51"/>
  <c r="BL33" i="45"/>
  <c r="BL43" i="45"/>
  <c r="BL49" i="45"/>
  <c r="Q43" i="51"/>
  <c r="BL48" i="45"/>
  <c r="Q14" i="51"/>
  <c r="Q46" i="51"/>
  <c r="BL8" i="45"/>
  <c r="Q42" i="51"/>
  <c r="Q37" i="51"/>
  <c r="BL36" i="45"/>
  <c r="Q55" i="51"/>
  <c r="BL10" i="45"/>
  <c r="Q45" i="51"/>
  <c r="BL20" i="45"/>
  <c r="BL4" i="45"/>
  <c r="Q48" i="51"/>
  <c r="BL17" i="45"/>
  <c r="Q17" i="51"/>
  <c r="BL45" i="45"/>
  <c r="Q50" i="51"/>
  <c r="Q31" i="51"/>
  <c r="Q34" i="51"/>
  <c r="BL38" i="45"/>
  <c r="BL7" i="45"/>
  <c r="Q11" i="51"/>
  <c r="Q30" i="51"/>
  <c r="BL14" i="45"/>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R36" i="3" s="1"/>
  <c r="CQ10" i="3"/>
  <c r="CQ11" i="3"/>
  <c r="CQ19" i="3"/>
  <c r="CQ37" i="3"/>
  <c r="F36" i="48" a="1"/>
  <c r="F36" i="48" s="1"/>
  <c r="E37" i="48"/>
  <c r="CQ20" i="3"/>
  <c r="CQ15" i="3"/>
  <c r="CQ14" i="3"/>
  <c r="CQ43" i="3"/>
  <c r="CQ44" i="3"/>
  <c r="CQ31" i="3"/>
  <c r="CR37" i="3" l="1"/>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N127" i="3" l="1"/>
  <c r="AF127" i="3" s="1"/>
  <c r="AG116" i="3"/>
  <c r="M188" i="46"/>
  <c r="AE40" i="45"/>
  <c r="AG114" i="3"/>
  <c r="N126" i="3"/>
  <c r="AF126" i="3" s="1"/>
  <c r="AG113" i="3"/>
  <c r="M127" i="3"/>
  <c r="AA127" i="3" s="1"/>
  <c r="AG112" i="3"/>
  <c r="M124" i="3"/>
  <c r="AA124" i="3" s="1"/>
  <c r="N124" i="3"/>
  <c r="AF124" i="3" s="1"/>
  <c r="AG111" i="3"/>
  <c r="DM45" i="3"/>
  <c r="DN45" i="3" a="1"/>
  <c r="DN45" i="3" s="1"/>
  <c r="M125" i="3"/>
  <c r="AA125" i="3" s="1"/>
  <c r="AG110" i="3"/>
  <c r="AG109" i="3"/>
  <c r="N125" i="3"/>
  <c r="AF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3" i="3" l="1"/>
  <c r="AF133" i="3" s="1"/>
  <c r="AG123" i="3"/>
  <c r="M133" i="3"/>
  <c r="AA133" i="3" s="1"/>
  <c r="AG122" i="3"/>
  <c r="M131" i="3"/>
  <c r="AA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24" i="50" l="1"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G216" i="46" l="1"/>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K14" i="45"/>
  <c r="BK34" i="45"/>
  <c r="BK45" i="45"/>
  <c r="BK32" i="45"/>
  <c r="BK44" i="45"/>
  <c r="BK19" i="45"/>
  <c r="BK25" i="45"/>
  <c r="BK13" i="45"/>
  <c r="BK51" i="45"/>
  <c r="BK24" i="45"/>
  <c r="BK46" i="45"/>
  <c r="BK12" i="45"/>
  <c r="BK48" i="45"/>
  <c r="BK35" i="45"/>
  <c r="BK39" i="45"/>
  <c r="BK23" i="45"/>
  <c r="BK40" i="45"/>
  <c r="BK31" i="45"/>
  <c r="BK15" i="45"/>
  <c r="BK42" i="45"/>
  <c r="BK6" i="45"/>
  <c r="BK18" i="45"/>
  <c r="BK7" i="45"/>
  <c r="BK49" i="45"/>
  <c r="BK33" i="45"/>
  <c r="BK11" i="45"/>
  <c r="BK37" i="45"/>
  <c r="BK20" i="45"/>
  <c r="BK30" i="45"/>
  <c r="BK43" i="45"/>
  <c r="BK41" i="45"/>
  <c r="BK22" i="45"/>
  <c r="BK29" i="45"/>
  <c r="BK10" i="45"/>
  <c r="BK47" i="45"/>
  <c r="BK50" i="45"/>
  <c r="BK38" i="45"/>
  <c r="BK36" i="45"/>
  <c r="BK28" i="45"/>
  <c r="BK9" i="45"/>
  <c r="BK4" i="45"/>
  <c r="BK27" i="45"/>
  <c r="BK26" i="45"/>
  <c r="BK8" i="45"/>
  <c r="BK5" i="45"/>
  <c r="BK17" i="45"/>
  <c r="BK21" i="45"/>
  <c r="BK16" i="45"/>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CZ224" i="46" s="1"/>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DR224" i="46" s="1"/>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DX224" i="46" l="1"/>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P42" i="51"/>
  <c r="P9" i="51"/>
  <c r="P11" i="51"/>
  <c r="P31" i="51"/>
  <c r="P45" i="51"/>
  <c r="P15" i="51"/>
  <c r="P14" i="51"/>
  <c r="P29" i="51"/>
  <c r="P17" i="51"/>
  <c r="P26" i="51"/>
  <c r="P53" i="51"/>
  <c r="P49" i="51"/>
  <c r="P38" i="51"/>
  <c r="P10" i="51"/>
  <c r="P46" i="51"/>
  <c r="P36" i="51"/>
  <c r="P22" i="51"/>
  <c r="P48" i="51"/>
  <c r="P40" i="51"/>
  <c r="P52" i="51"/>
  <c r="P35" i="51"/>
  <c r="P18" i="51"/>
  <c r="P27" i="51"/>
  <c r="P13" i="51"/>
  <c r="P50" i="51"/>
  <c r="P32" i="51"/>
  <c r="P20" i="51"/>
  <c r="P34" i="51"/>
  <c r="P47" i="51"/>
  <c r="P23" i="51"/>
  <c r="P55" i="51"/>
  <c r="P12" i="51"/>
  <c r="P43" i="51"/>
  <c r="P16" i="51"/>
  <c r="P8" i="51"/>
  <c r="P28" i="51"/>
  <c r="P25" i="51"/>
  <c r="P24" i="51"/>
  <c r="P19" i="51"/>
  <c r="P33" i="51"/>
  <c r="P37" i="51"/>
  <c r="P30" i="51"/>
  <c r="P21" i="51"/>
  <c r="P44" i="51"/>
  <c r="P54" i="51"/>
  <c r="P41" i="51"/>
  <c r="P39" i="51"/>
  <c r="P51" i="51"/>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V32" i="50"/>
  <c r="Q32" i="50"/>
  <c r="U38" i="50"/>
  <c r="N38" i="50"/>
  <c r="R49" i="50"/>
  <c r="AK49" i="50"/>
  <c r="AA49" i="50"/>
  <c r="Z49" i="50"/>
  <c r="AH49" i="50"/>
  <c r="M49" i="50"/>
  <c r="S49"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G38" i="50" l="1"/>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<sst xmlns="http://schemas.openxmlformats.org/spreadsheetml/2006/main" count="16874" uniqueCount="2800">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</sst>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2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26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13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46209</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01" zoomScaleNormal="100" workbookViewId="0">
      <selection activeCell="AD124" sqref="AD124"/>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c r="AD124" s="307"/>
      <c r="AE124" s="279"/>
      <c r="AF124" s="280" t="str">
        <f t="shared" ca="1" si="333"/>
        <v>España</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c r="AD126" s="309"/>
      <c r="AE126" s="278"/>
      <c r="AF126" s="280" t="str">
        <f t="shared" ca="1" si="333"/>
        <v>Egipto</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c r="AC127" s="310"/>
      <c r="AD127" s="310"/>
      <c r="AE127" s="301"/>
      <c r="AF127" s="303" t="str">
        <f t="shared" ca="1" si="333"/>
        <v>Colombia</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c r="AD131" s="305"/>
      <c r="AE131" s="279"/>
      <c r="AF131" s="312" t="str">
        <f ca="1">+INDEX($N$101:$N$147,MATCH(AH131,$J$101:$J$147,0))</f>
        <v>Marruecos</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ca="1" si="337"/>
        <v>Noruega</v>
      </c>
      <c r="AB133" s="278"/>
      <c r="AC133" s="309"/>
      <c r="AD133" s="309"/>
      <c r="AE133" s="278"/>
      <c r="AF133" s="312" t="str">
        <f ca="1">+INDEX($N$101:$N$147,MATCH(AH133,$J$101:$J$147,0))</f>
        <v>Inglaterra</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20</v>
      </c>
      <c r="T1" s="87"/>
      <c r="U1" s="65"/>
      <c r="V1" s="87">
        <f ca="1">+IFERROR(RANK(V2,OFFSET($S$2,0,0,1,$D$5*3),0),"-")</f>
        <v>22</v>
      </c>
      <c r="W1" s="87"/>
      <c r="X1" s="65"/>
      <c r="Y1" s="87">
        <f ca="1">+IFERROR(RANK(Y2,OFFSET($S$2,0,0,1,$D$5*3),0),"-")</f>
        <v>16</v>
      </c>
      <c r="Z1" s="87"/>
      <c r="AA1" s="65"/>
      <c r="AB1" s="87">
        <f ca="1">+IFERROR(RANK(AB2,OFFSET($S$2,0,0,1,$D$5*3),0),"-")</f>
        <v>10</v>
      </c>
      <c r="AC1" s="87"/>
      <c r="AD1" s="65"/>
      <c r="AE1" s="87">
        <f ca="1">+IFERROR(RANK(AE2,OFFSET($S$2,0,0,1,$D$5*3),0),"-")</f>
        <v>11</v>
      </c>
      <c r="AF1" s="87"/>
      <c r="AG1" s="65"/>
      <c r="AH1" s="87">
        <f ca="1">+IFERROR(RANK(AH2,OFFSET($S$2,0,0,1,$D$5*3),0),"-")</f>
        <v>28</v>
      </c>
      <c r="AI1" s="87"/>
      <c r="AJ1" s="65"/>
      <c r="AK1" s="87">
        <f ca="1">+IFERROR(RANK(AK2,OFFSET($S$2,0,0,1,$D$5*3),0),"-")</f>
        <v>21</v>
      </c>
      <c r="AL1" s="87"/>
      <c r="AM1" s="65"/>
      <c r="AN1" s="87">
        <f ca="1">+IFERROR(RANK(AN2,OFFSET($S$2,0,0,1,$D$5*3),0),"-")</f>
        <v>14</v>
      </c>
      <c r="AO1" s="87"/>
      <c r="AP1" s="65"/>
      <c r="AQ1" s="87">
        <f ca="1">+IFERROR(RANK(AQ2,OFFSET($S$2,0,0,1,$D$5*3),0),"-")</f>
        <v>1</v>
      </c>
      <c r="AR1" s="87"/>
      <c r="AS1" s="65"/>
      <c r="AT1" s="87">
        <f ca="1">+IFERROR(RANK(AT2,OFFSET($S$2,0,0,1,$D$5*3),0),"-")</f>
        <v>30</v>
      </c>
      <c r="AU1" s="87"/>
      <c r="AV1" s="65"/>
      <c r="AW1" s="87">
        <f ca="1">+IFERROR(RANK(AW2,OFFSET($S$2,0,0,1,$D$5*3),0),"-")</f>
        <v>34</v>
      </c>
      <c r="AX1" s="87"/>
      <c r="AY1" s="65"/>
      <c r="AZ1" s="87">
        <f ca="1">+IFERROR(RANK(AZ2,OFFSET($S$2,0,0,1,$D$5*3),0),"-")</f>
        <v>24</v>
      </c>
      <c r="BA1" s="87"/>
      <c r="BB1" s="65"/>
      <c r="BC1" s="87">
        <f ca="1">+IFERROR(RANK(BC2,OFFSET($S$2,0,0,1,$D$5*3),0),"-")</f>
        <v>27</v>
      </c>
      <c r="BD1" s="87"/>
      <c r="BE1" s="65"/>
      <c r="BF1" s="87">
        <f ca="1">+IFERROR(RANK(BF2,OFFSET($S$2,0,0,1,$D$5*3),0),"-")</f>
        <v>13</v>
      </c>
      <c r="BG1" s="87"/>
      <c r="BH1" s="65"/>
      <c r="BI1" s="87">
        <f ca="1">+IFERROR(RANK(BI2,OFFSET($S$2,0,0,1,$D$5*3),0),"-")</f>
        <v>15</v>
      </c>
      <c r="BJ1" s="87"/>
      <c r="BK1" s="65"/>
      <c r="BL1" s="87">
        <f ca="1">+IFERROR(RANK(BL2,OFFSET($S$2,0,0,1,$D$5*3),0),"-")</f>
        <v>2</v>
      </c>
      <c r="BM1" s="87"/>
      <c r="BN1" s="65"/>
      <c r="BO1" s="87">
        <f ca="1">+IFERROR(RANK(BO2,OFFSET($S$2,0,0,1,$D$5*3),0),"-")</f>
        <v>19</v>
      </c>
      <c r="BP1" s="87"/>
      <c r="BQ1" s="65"/>
      <c r="BR1" s="87">
        <f ca="1">+IFERROR(RANK(BR2,OFFSET($S$2,0,0,1,$D$5*3),0),"-")</f>
        <v>12</v>
      </c>
      <c r="BS1" s="87"/>
      <c r="BT1" s="65"/>
      <c r="BU1" s="87">
        <f ca="1">+IFERROR(RANK(BU2,OFFSET($S$2,0,0,1,$D$5*3),0),"-")</f>
        <v>31</v>
      </c>
      <c r="BV1" s="87"/>
      <c r="BW1" s="65"/>
      <c r="BX1" s="87">
        <f ca="1">+IFERROR(RANK(BX2,OFFSET($S$2,0,0,1,$D$5*3),0),"-")</f>
        <v>8</v>
      </c>
      <c r="BY1" s="87"/>
      <c r="BZ1" s="65"/>
      <c r="CA1" s="87">
        <f ca="1">+IFERROR(RANK(CA2,OFFSET($S$2,0,0,1,$D$5*3),0),"-")</f>
        <v>38</v>
      </c>
      <c r="CB1" s="87"/>
      <c r="CC1" s="65"/>
      <c r="CD1" s="87">
        <f ca="1">+IFERROR(RANK(CD2,OFFSET($S$2,0,0,1,$D$5*3),0),"-")</f>
        <v>36</v>
      </c>
      <c r="CE1" s="87"/>
      <c r="CF1" s="65"/>
      <c r="CG1" s="87">
        <f ca="1">+IFERROR(RANK(CG2,OFFSET($S$2,0,0,1,$D$5*3),0),"-")</f>
        <v>25</v>
      </c>
      <c r="CH1" s="87"/>
      <c r="CI1" s="65"/>
      <c r="CJ1" s="87">
        <f ca="1">+IFERROR(RANK(CJ2,OFFSET($S$2,0,0,1,$D$5*3),0),"-")</f>
        <v>17</v>
      </c>
      <c r="CK1" s="87"/>
      <c r="CL1" s="65"/>
      <c r="CM1" s="87">
        <f ca="1">+IFERROR(RANK(CM2,OFFSET($S$2,0,0,1,$D$5*3),0),"-")</f>
        <v>26</v>
      </c>
      <c r="CN1" s="87"/>
      <c r="CO1" s="65"/>
      <c r="CP1" s="87">
        <f ca="1">+IFERROR(RANK(CP2,OFFSET($S$2,0,0,1,$D$5*3),0),"-")</f>
        <v>7</v>
      </c>
      <c r="CQ1" s="87"/>
      <c r="CR1" s="65"/>
      <c r="CS1" s="87">
        <f ca="1">+IFERROR(RANK(CS2,OFFSET($S$2,0,0,1,$D$5*3),0),"-")</f>
        <v>6</v>
      </c>
      <c r="CT1" s="87"/>
      <c r="CU1" s="65"/>
      <c r="CV1" s="87">
        <f ca="1">+IFERROR(RANK(CV2,OFFSET($S$2,0,0,1,$D$5*3),0),"-")</f>
        <v>5</v>
      </c>
      <c r="CW1" s="87"/>
      <c r="CX1" s="65"/>
      <c r="CY1" s="87">
        <f ca="1">+IFERROR(RANK(CY2,OFFSET($S$2,0,0,1,$D$5*3),0),"-")</f>
        <v>33</v>
      </c>
      <c r="CZ1" s="87"/>
      <c r="DA1" s="65"/>
      <c r="DB1" s="87">
        <f ca="1">+IFERROR(RANK(DB2,OFFSET($S$2,0,0,1,$D$5*3),0),"-")</f>
        <v>3</v>
      </c>
      <c r="DC1" s="87"/>
      <c r="DD1" s="65"/>
      <c r="DE1" s="87">
        <f ca="1">+IFERROR(RANK(DE2,OFFSET($S$2,0,0,1,$D$5*3),0),"-")</f>
        <v>29</v>
      </c>
      <c r="DF1" s="87"/>
      <c r="DG1" s="65"/>
      <c r="DH1" s="87">
        <f ca="1">+IFERROR(RANK(DH2,OFFSET($S$2,0,0,1,$D$5*3),0),"-")</f>
        <v>18</v>
      </c>
      <c r="DI1" s="87"/>
      <c r="DJ1" s="65"/>
      <c r="DK1" s="87">
        <f ca="1">+IFERROR(RANK(DK2,OFFSET($S$2,0,0,1,$D$5*3),0),"-")</f>
        <v>35</v>
      </c>
      <c r="DL1" s="87"/>
      <c r="DM1" s="65"/>
      <c r="DN1" s="87">
        <f ca="1">+IFERROR(RANK(DN2,OFFSET($S$2,0,0,1,$D$5*3),0),"-")</f>
        <v>23</v>
      </c>
      <c r="DO1" s="87"/>
      <c r="DP1" s="65"/>
      <c r="DQ1" s="87">
        <f ca="1">+IFERROR(RANK(DQ2,OFFSET($S$2,0,0,1,$D$5*3),0),"-")</f>
        <v>41</v>
      </c>
      <c r="DR1" s="87"/>
      <c r="DS1" s="65"/>
      <c r="DT1" s="87">
        <f ca="1">+IFERROR(RANK(DT2,OFFSET($S$2,0,0,1,$D$5*3),0),"-")</f>
        <v>40</v>
      </c>
      <c r="DU1" s="87"/>
      <c r="DV1" s="65"/>
      <c r="DW1" s="87">
        <f ca="1">+IFERROR(RANK(DW2,OFFSET($S$2,0,0,1,$D$5*3),0),"-")</f>
        <v>4</v>
      </c>
      <c r="DX1" s="87"/>
      <c r="DY1" s="65"/>
      <c r="DZ1" s="87">
        <f ca="1">+IFERROR(RANK(DZ2,OFFSET($S$2,0,0,1,$D$5*3),0),"-")</f>
        <v>32</v>
      </c>
      <c r="EA1" s="87"/>
      <c r="EB1" s="65"/>
      <c r="EC1" s="87">
        <f ca="1">+IFERROR(RANK(EC2,OFFSET($S$2,0,0,1,$D$5*3),0),"-")</f>
        <v>39</v>
      </c>
      <c r="ED1" s="87"/>
      <c r="EE1" s="65"/>
      <c r="EF1" s="87">
        <f ca="1">+IFERROR(RANK(EF2,OFFSET($S$2,0,0,1,$D$5*3),0),"-")</f>
        <v>37</v>
      </c>
      <c r="EG1" s="87"/>
      <c r="EH1" s="65"/>
      <c r="EI1" s="87">
        <f ca="1">+IFERROR(RANK(EI2,OFFSET($S$2,0,0,1,$D$5*3),0),"-")</f>
        <v>9</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268.99810000000002</v>
      </c>
      <c r="T2" s="87"/>
      <c r="U2" s="65"/>
      <c r="V2" s="87">
        <f t="shared" ref="V2" ca="1" si="0">V4-(COLUMN()/10000)</f>
        <v>266.99779999999998</v>
      </c>
      <c r="W2" s="87"/>
      <c r="X2" s="65"/>
      <c r="Y2" s="87">
        <f t="shared" ref="Y2" ca="1" si="1">Y4-(COLUMN()/10000)</f>
        <v>275.9975</v>
      </c>
      <c r="Z2" s="87"/>
      <c r="AA2" s="65"/>
      <c r="AB2" s="87">
        <f t="shared" ref="AB2" ca="1" si="2">AB4-(COLUMN()/10000)</f>
        <v>285.99720000000002</v>
      </c>
      <c r="AC2" s="87"/>
      <c r="AD2" s="65"/>
      <c r="AE2" s="87">
        <f t="shared" ref="AE2" ca="1" si="3">AE4-(COLUMN()/10000)</f>
        <v>285.99689999999998</v>
      </c>
      <c r="AF2" s="87"/>
      <c r="AG2" s="65"/>
      <c r="AH2" s="87">
        <f t="shared" ref="AH2" ca="1" si="4">AH4-(COLUMN()/10000)</f>
        <v>259.9966</v>
      </c>
      <c r="AI2" s="87"/>
      <c r="AJ2" s="65"/>
      <c r="AK2" s="87">
        <f t="shared" ref="AK2" ca="1" si="5">AK4-(COLUMN()/10000)</f>
        <v>267.99630000000002</v>
      </c>
      <c r="AL2" s="87"/>
      <c r="AM2" s="65"/>
      <c r="AN2" s="87">
        <f t="shared" ref="AN2" ca="1" si="6">AN4-(COLUMN()/10000)</f>
        <v>279.99599999999998</v>
      </c>
      <c r="AO2" s="87"/>
      <c r="AP2" s="65"/>
      <c r="AQ2" s="87">
        <f t="shared" ref="AQ2" ca="1" si="7">AQ4-(COLUMN()/10000)</f>
        <v>318.9957</v>
      </c>
      <c r="AR2" s="87"/>
      <c r="AS2" s="65"/>
      <c r="AT2" s="87">
        <f t="shared" ref="AT2" ca="1" si="8">AT4-(COLUMN()/10000)</f>
        <v>256.99540000000002</v>
      </c>
      <c r="AU2" s="87"/>
      <c r="AV2" s="65"/>
      <c r="AW2" s="87">
        <f t="shared" ref="AW2" ca="1" si="9">AW4-(COLUMN()/10000)</f>
        <v>254.99510000000001</v>
      </c>
      <c r="AX2" s="87"/>
      <c r="AY2" s="65"/>
      <c r="AZ2" s="87">
        <f t="shared" ref="AZ2" ca="1" si="10">AZ4-(COLUMN()/10000)</f>
        <v>261.9948</v>
      </c>
      <c r="BA2" s="87"/>
      <c r="BB2" s="65"/>
      <c r="BC2" s="87">
        <f t="shared" ref="BC2" ca="1" si="11">BC4-(COLUMN()/10000)</f>
        <v>260.99450000000002</v>
      </c>
      <c r="BD2" s="87"/>
      <c r="BE2" s="65"/>
      <c r="BF2" s="87">
        <f t="shared" ref="BF2" ca="1" si="12">BF4-(COLUMN()/10000)</f>
        <v>280.99419999999998</v>
      </c>
      <c r="BG2" s="87"/>
      <c r="BH2" s="65"/>
      <c r="BI2" s="87">
        <f t="shared" ref="BI2" ca="1" si="13">BI4-(COLUMN()/10000)</f>
        <v>277.9939</v>
      </c>
      <c r="BJ2" s="87"/>
      <c r="BK2" s="65"/>
      <c r="BL2" s="87">
        <f t="shared" ref="BL2" ca="1" si="14">BL4-(COLUMN()/10000)</f>
        <v>308.99360000000001</v>
      </c>
      <c r="BM2" s="87"/>
      <c r="BN2" s="65"/>
      <c r="BO2" s="87">
        <f t="shared" ref="BO2" ca="1" si="15">BO4-(COLUMN()/10000)</f>
        <v>271.99329999999998</v>
      </c>
      <c r="BP2" s="87"/>
      <c r="BQ2" s="65"/>
      <c r="BR2" s="87">
        <f t="shared" ref="BR2" ca="1" si="16">BR4-(COLUMN()/10000)</f>
        <v>284.99299999999999</v>
      </c>
      <c r="BS2" s="87"/>
      <c r="BT2" s="65"/>
      <c r="BU2" s="87">
        <f t="shared" ref="BU2" ca="1" si="17">BU4-(COLUMN()/10000)</f>
        <v>256.99270000000001</v>
      </c>
      <c r="BV2" s="87"/>
      <c r="BW2" s="65"/>
      <c r="BX2" s="87">
        <f t="shared" ref="BX2" ca="1" si="18">BX4-(COLUMN()/10000)</f>
        <v>289.99239999999998</v>
      </c>
      <c r="BY2" s="87"/>
      <c r="BZ2" s="65"/>
      <c r="CA2" s="87">
        <f t="shared" ref="CA2" ca="1" si="19">CA4-(COLUMN()/10000)</f>
        <v>249.99209999999999</v>
      </c>
      <c r="CB2" s="87"/>
      <c r="CC2" s="65"/>
      <c r="CD2" s="87">
        <f t="shared" ref="CD2" ca="1" si="20">CD4-(COLUMN()/10000)</f>
        <v>251.99180000000001</v>
      </c>
      <c r="CE2" s="87"/>
      <c r="CF2" s="65"/>
      <c r="CG2" s="87">
        <f t="shared" ref="CG2" ca="1" si="21">CG4-(COLUMN()/10000)</f>
        <v>261.99149999999997</v>
      </c>
      <c r="CH2" s="87"/>
      <c r="CI2" s="65"/>
      <c r="CJ2" s="87">
        <f t="shared" ref="CJ2" ca="1" si="22">CJ4-(COLUMN()/10000)</f>
        <v>275.99119999999999</v>
      </c>
      <c r="CK2" s="87"/>
      <c r="CL2" s="65"/>
      <c r="CM2" s="87">
        <f t="shared" ref="CM2" ca="1" si="23">CM4-(COLUMN()/10000)</f>
        <v>261.99090000000001</v>
      </c>
      <c r="CN2" s="87"/>
      <c r="CO2" s="65"/>
      <c r="CP2" s="87">
        <f t="shared" ref="CP2" ca="1" si="24">CP4-(COLUMN()/10000)</f>
        <v>292.99059999999997</v>
      </c>
      <c r="CQ2" s="87"/>
      <c r="CR2" s="65"/>
      <c r="CS2" s="87">
        <f t="shared" ref="CS2" ca="1" si="25">CS4-(COLUMN()/10000)</f>
        <v>293.99029999999999</v>
      </c>
      <c r="CT2" s="87"/>
      <c r="CU2" s="65"/>
      <c r="CV2" s="87">
        <f t="shared" ref="CV2" ca="1" si="26">CV4-(COLUMN()/10000)</f>
        <v>294.99</v>
      </c>
      <c r="CW2" s="87"/>
      <c r="CX2" s="65"/>
      <c r="CY2" s="87">
        <f t="shared" ref="CY2" ca="1" si="27">CY4-(COLUMN()/10000)</f>
        <v>255.9897</v>
      </c>
      <c r="CZ2" s="87"/>
      <c r="DA2" s="65"/>
      <c r="DB2" s="87">
        <f t="shared" ref="DB2" ca="1" si="28">DB4-(COLUMN()/10000)</f>
        <v>305.98939999999999</v>
      </c>
      <c r="DC2" s="87"/>
      <c r="DD2" s="65"/>
      <c r="DE2" s="87">
        <f t="shared" ref="DE2" ca="1" si="29">DE4-(COLUMN()/10000)</f>
        <v>258.98910000000001</v>
      </c>
      <c r="DF2" s="87"/>
      <c r="DG2" s="65"/>
      <c r="DH2" s="87">
        <f t="shared" ref="DH2" ca="1" si="30">DH4-(COLUMN()/10000)</f>
        <v>274.98880000000003</v>
      </c>
      <c r="DI2" s="87"/>
      <c r="DJ2" s="65"/>
      <c r="DK2" s="87">
        <f t="shared" ref="DK2" ca="1" si="31">DK4-(COLUMN()/10000)</f>
        <v>252.98849999999999</v>
      </c>
      <c r="DL2" s="87"/>
      <c r="DM2" s="65"/>
      <c r="DN2" s="87">
        <f t="shared" ref="DN2" ca="1" si="32">DN4-(COLUMN()/10000)</f>
        <v>265.98820000000001</v>
      </c>
      <c r="DO2" s="87"/>
      <c r="DP2" s="65"/>
      <c r="DQ2" s="87">
        <f t="shared" ref="DQ2" ca="1" si="33">DQ4-(COLUMN()/10000)</f>
        <v>208.9879</v>
      </c>
      <c r="DR2" s="87"/>
      <c r="DS2" s="65"/>
      <c r="DT2" s="87">
        <f t="shared" ref="DT2" ca="1" si="34">DT4-(COLUMN()/10000)</f>
        <v>246.98759999999999</v>
      </c>
      <c r="DU2" s="87"/>
      <c r="DV2" s="65"/>
      <c r="DW2" s="87">
        <f t="shared" ref="DW2" ca="1" si="35">DW4-(COLUMN()/10000)</f>
        <v>303.9873</v>
      </c>
      <c r="DX2" s="87"/>
      <c r="DY2" s="65"/>
      <c r="DZ2" s="87">
        <f t="shared" ref="DZ2" ca="1" si="36">DZ4-(COLUMN()/10000)</f>
        <v>256.98700000000002</v>
      </c>
      <c r="EA2" s="87"/>
      <c r="EB2" s="65"/>
      <c r="EC2" s="87">
        <f t="shared" ref="EC2" ca="1" si="37">EC4-(COLUMN()/10000)</f>
        <v>249.98670000000001</v>
      </c>
      <c r="ED2" s="87"/>
      <c r="EE2" s="65"/>
      <c r="EF2" s="87">
        <f t="shared" ref="EF2" ca="1" si="38">EF4-(COLUMN()/10000)</f>
        <v>250.9864</v>
      </c>
      <c r="EG2" s="87"/>
      <c r="EH2" s="65"/>
      <c r="EI2" s="87">
        <f t="shared" ref="EI2" ca="1" si="39">EI4-(COLUMN()/10000)</f>
        <v>287.98610000000002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20</v>
      </c>
      <c r="T3" s="87"/>
      <c r="U3" s="65"/>
      <c r="V3" s="87">
        <f ca="1">RANK(V4,OFFSET($S$4,0,0,1,$D$5*3),0)</f>
        <v>22</v>
      </c>
      <c r="W3" s="87"/>
      <c r="X3" s="65"/>
      <c r="Y3" s="87">
        <f ca="1">RANK(Y4,OFFSET($S$4,0,0,1,$D$5*3),0)</f>
        <v>16</v>
      </c>
      <c r="Z3" s="87"/>
      <c r="AA3" s="65"/>
      <c r="AB3" s="87">
        <f ca="1">RANK(AB4,OFFSET($S$4,0,0,1,$D$5*3),0)</f>
        <v>10</v>
      </c>
      <c r="AC3" s="87"/>
      <c r="AD3" s="65"/>
      <c r="AE3" s="87">
        <f ca="1">RANK(AE4,OFFSET($S$4,0,0,1,$D$5*3),0)</f>
        <v>10</v>
      </c>
      <c r="AF3" s="87"/>
      <c r="AG3" s="65"/>
      <c r="AH3" s="87">
        <f ca="1">RANK(AH4,OFFSET($S$4,0,0,1,$D$5*3),0)</f>
        <v>28</v>
      </c>
      <c r="AI3" s="87"/>
      <c r="AJ3" s="65"/>
      <c r="AK3" s="87">
        <f ca="1">RANK(AK4,OFFSET($S$4,0,0,1,$D$5*3),0)</f>
        <v>21</v>
      </c>
      <c r="AL3" s="87"/>
      <c r="AM3" s="65"/>
      <c r="AN3" s="87">
        <f ca="1">RANK(AN4,OFFSET($S$4,0,0,1,$D$5*3),0)</f>
        <v>14</v>
      </c>
      <c r="AO3" s="87"/>
      <c r="AP3" s="65"/>
      <c r="AQ3" s="87">
        <f ca="1">RANK(AQ4,OFFSET($S$4,0,0,1,$D$5*3),0)</f>
        <v>1</v>
      </c>
      <c r="AR3" s="87"/>
      <c r="AS3" s="65"/>
      <c r="AT3" s="87">
        <f ca="1">RANK(AT4,OFFSET($S$4,0,0,1,$D$5*3),0)</f>
        <v>30</v>
      </c>
      <c r="AU3" s="87"/>
      <c r="AV3" s="65"/>
      <c r="AW3" s="87">
        <f ca="1">RANK(AW4,OFFSET($S$4,0,0,1,$D$5*3),0)</f>
        <v>34</v>
      </c>
      <c r="AX3" s="87"/>
      <c r="AY3" s="65"/>
      <c r="AZ3" s="87">
        <f ca="1">RANK(AZ4,OFFSET($S$4,0,0,1,$D$5*3),0)</f>
        <v>24</v>
      </c>
      <c r="BA3" s="87"/>
      <c r="BB3" s="65"/>
      <c r="BC3" s="87">
        <f ca="1">RANK(BC4,OFFSET($S$4,0,0,1,$D$5*3),0)</f>
        <v>27</v>
      </c>
      <c r="BD3" s="87"/>
      <c r="BE3" s="65"/>
      <c r="BF3" s="87">
        <f ca="1">RANK(BF4,OFFSET($S$4,0,0,1,$D$5*3),0)</f>
        <v>13</v>
      </c>
      <c r="BG3" s="87"/>
      <c r="BH3" s="65"/>
      <c r="BI3" s="87">
        <f ca="1">RANK(BI4,OFFSET($S$4,0,0,1,$D$5*3),0)</f>
        <v>15</v>
      </c>
      <c r="BJ3" s="87"/>
      <c r="BK3" s="65"/>
      <c r="BL3" s="87">
        <f ca="1">RANK(BL4,OFFSET($S$4,0,0,1,$D$5*3),0)</f>
        <v>2</v>
      </c>
      <c r="BM3" s="87"/>
      <c r="BN3" s="65"/>
      <c r="BO3" s="87">
        <f ca="1">RANK(BO4,OFFSET($S$4,0,0,1,$D$5*3),0)</f>
        <v>19</v>
      </c>
      <c r="BP3" s="87"/>
      <c r="BQ3" s="65"/>
      <c r="BR3" s="87">
        <f ca="1">RANK(BR4,OFFSET($S$4,0,0,1,$D$5*3),0)</f>
        <v>12</v>
      </c>
      <c r="BS3" s="87"/>
      <c r="BT3" s="65"/>
      <c r="BU3" s="87">
        <f ca="1">RANK(BU4,OFFSET($S$4,0,0,1,$D$5*3),0)</f>
        <v>30</v>
      </c>
      <c r="BV3" s="87"/>
      <c r="BW3" s="65"/>
      <c r="BX3" s="87">
        <f ca="1">RANK(BX4,OFFSET($S$4,0,0,1,$D$5*3),0)</f>
        <v>8</v>
      </c>
      <c r="BY3" s="87"/>
      <c r="BZ3" s="65"/>
      <c r="CA3" s="87">
        <f ca="1">RANK(CA4,OFFSET($S$4,0,0,1,$D$5*3),0)</f>
        <v>38</v>
      </c>
      <c r="CB3" s="87"/>
      <c r="CC3" s="65"/>
      <c r="CD3" s="87">
        <f ca="1">RANK(CD4,OFFSET($S$4,0,0,1,$D$5*3),0)</f>
        <v>36</v>
      </c>
      <c r="CE3" s="87"/>
      <c r="CF3" s="65"/>
      <c r="CG3" s="87">
        <f ca="1">RANK(CG4,OFFSET($S$4,0,0,1,$D$5*3),0)</f>
        <v>24</v>
      </c>
      <c r="CH3" s="87"/>
      <c r="CI3" s="65"/>
      <c r="CJ3" s="87">
        <f ca="1">RANK(CJ4,OFFSET($S$4,0,0,1,$D$5*3),0)</f>
        <v>16</v>
      </c>
      <c r="CK3" s="87"/>
      <c r="CL3" s="65"/>
      <c r="CM3" s="87">
        <f ca="1">RANK(CM4,OFFSET($S$4,0,0,1,$D$5*3),0)</f>
        <v>24</v>
      </c>
      <c r="CN3" s="87"/>
      <c r="CO3" s="65"/>
      <c r="CP3" s="87">
        <f ca="1">RANK(CP4,OFFSET($S$4,0,0,1,$D$5*3),0)</f>
        <v>7</v>
      </c>
      <c r="CQ3" s="87"/>
      <c r="CR3" s="65"/>
      <c r="CS3" s="87">
        <f ca="1">RANK(CS4,OFFSET($S$4,0,0,1,$D$5*3),0)</f>
        <v>6</v>
      </c>
      <c r="CT3" s="87"/>
      <c r="CU3" s="65"/>
      <c r="CV3" s="87">
        <f ca="1">RANK(CV4,OFFSET($S$4,0,0,1,$D$5*3),0)</f>
        <v>5</v>
      </c>
      <c r="CW3" s="87"/>
      <c r="CX3" s="65"/>
      <c r="CY3" s="87">
        <f ca="1">RANK(CY4,OFFSET($S$4,0,0,1,$D$5*3),0)</f>
        <v>33</v>
      </c>
      <c r="CZ3" s="87"/>
      <c r="DA3" s="65"/>
      <c r="DB3" s="87">
        <f ca="1">RANK(DB4,OFFSET($S$4,0,0,1,$D$5*3),0)</f>
        <v>3</v>
      </c>
      <c r="DC3" s="87"/>
      <c r="DD3" s="65"/>
      <c r="DE3" s="87">
        <f ca="1">RANK(DE4,OFFSET($S$4,0,0,1,$D$5*3),0)</f>
        <v>29</v>
      </c>
      <c r="DF3" s="87"/>
      <c r="DG3" s="65"/>
      <c r="DH3" s="87">
        <f ca="1">RANK(DH4,OFFSET($S$4,0,0,1,$D$5*3),0)</f>
        <v>18</v>
      </c>
      <c r="DI3" s="87"/>
      <c r="DJ3" s="65"/>
      <c r="DK3" s="87">
        <f ca="1">RANK(DK4,OFFSET($S$4,0,0,1,$D$5*3),0)</f>
        <v>35</v>
      </c>
      <c r="DL3" s="87"/>
      <c r="DM3" s="65"/>
      <c r="DN3" s="87">
        <f ca="1">RANK(DN4,OFFSET($S$4,0,0,1,$D$5*3),0)</f>
        <v>23</v>
      </c>
      <c r="DO3" s="87"/>
      <c r="DP3" s="65"/>
      <c r="DQ3" s="87">
        <f ca="1">RANK(DQ4,OFFSET($S$4,0,0,1,$D$5*3),0)</f>
        <v>41</v>
      </c>
      <c r="DR3" s="87"/>
      <c r="DS3" s="65"/>
      <c r="DT3" s="87">
        <f ca="1">RANK(DT4,OFFSET($S$4,0,0,1,$D$5*3),0)</f>
        <v>40</v>
      </c>
      <c r="DU3" s="87"/>
      <c r="DV3" s="65"/>
      <c r="DW3" s="87">
        <f ca="1">RANK(DW4,OFFSET($S$4,0,0,1,$D$5*3),0)</f>
        <v>4</v>
      </c>
      <c r="DX3" s="87"/>
      <c r="DY3" s="65"/>
      <c r="DZ3" s="87">
        <f ca="1">RANK(DZ4,OFFSET($S$4,0,0,1,$D$5*3),0)</f>
        <v>30</v>
      </c>
      <c r="EA3" s="87"/>
      <c r="EB3" s="65"/>
      <c r="EC3" s="87">
        <f ca="1">RANK(EC4,OFFSET($S$4,0,0,1,$D$5*3),0)</f>
        <v>38</v>
      </c>
      <c r="ED3" s="87"/>
      <c r="EE3" s="65"/>
      <c r="EF3" s="87">
        <f ca="1">RANK(EF4,OFFSET($S$4,0,0,1,$D$5*3),0)</f>
        <v>37</v>
      </c>
      <c r="EG3" s="87"/>
      <c r="EH3" s="65"/>
      <c r="EI3" s="87">
        <f ca="1">RANK(EI4,OFFSET($S$4,0,0,1,$D$5*3),0)</f>
        <v>9</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269</v>
      </c>
      <c r="T4" s="68"/>
      <c r="U4" s="65"/>
      <c r="V4" s="67">
        <f ca="1">SUM(W6:W259)/2</f>
        <v>267</v>
      </c>
      <c r="W4" s="68"/>
      <c r="X4" s="65"/>
      <c r="Y4" s="67">
        <f ca="1">SUM(Z6:Z259)/2</f>
        <v>276</v>
      </c>
      <c r="Z4" s="68"/>
      <c r="AA4" s="65"/>
      <c r="AB4" s="67">
        <f ca="1">SUM(AC6:AC259)/2</f>
        <v>286</v>
      </c>
      <c r="AC4" s="68"/>
      <c r="AD4" s="65"/>
      <c r="AE4" s="67">
        <f ca="1">SUM(AF6:AF259)/2</f>
        <v>286</v>
      </c>
      <c r="AF4" s="68"/>
      <c r="AG4" s="65"/>
      <c r="AH4" s="67">
        <f ca="1">SUM(AI6:AI259)/2</f>
        <v>260</v>
      </c>
      <c r="AI4" s="68"/>
      <c r="AJ4" s="65"/>
      <c r="AK4" s="67">
        <f ca="1">SUM(AL6:AL259)/2</f>
        <v>268</v>
      </c>
      <c r="AL4" s="68"/>
      <c r="AM4" s="65"/>
      <c r="AN4" s="67">
        <f ca="1">SUM(AO6:AO259)/2</f>
        <v>280</v>
      </c>
      <c r="AO4" s="68"/>
      <c r="AP4" s="65"/>
      <c r="AQ4" s="67">
        <f ca="1">SUM(AR6:AR259)/2</f>
        <v>319</v>
      </c>
      <c r="AR4" s="68"/>
      <c r="AS4" s="65"/>
      <c r="AT4" s="67">
        <f ca="1">SUM(AU6:AU259)/2</f>
        <v>257</v>
      </c>
      <c r="AU4" s="68"/>
      <c r="AV4" s="65"/>
      <c r="AW4" s="67">
        <f ca="1">SUM(AX6:AX259)/2</f>
        <v>255</v>
      </c>
      <c r="AX4" s="68"/>
      <c r="AY4" s="65"/>
      <c r="AZ4" s="67">
        <f ca="1">SUM(BA6:BA259)/2</f>
        <v>262</v>
      </c>
      <c r="BA4" s="68"/>
      <c r="BB4" s="65"/>
      <c r="BC4" s="67">
        <f ca="1">SUM(BD6:BD259)/2</f>
        <v>261</v>
      </c>
      <c r="BD4" s="68"/>
      <c r="BE4" s="65"/>
      <c r="BF4" s="67">
        <f ca="1">SUM(BG6:BG259)/2</f>
        <v>281</v>
      </c>
      <c r="BG4" s="68"/>
      <c r="BH4" s="65"/>
      <c r="BI4" s="67">
        <f ca="1">SUM(BJ6:BJ259)/2</f>
        <v>278</v>
      </c>
      <c r="BJ4" s="68"/>
      <c r="BK4" s="65"/>
      <c r="BL4" s="67">
        <f ca="1">SUM(BM6:BM259)/2</f>
        <v>309</v>
      </c>
      <c r="BM4" s="68"/>
      <c r="BN4" s="65"/>
      <c r="BO4" s="67">
        <f ca="1">SUM(BP6:BP259)/2</f>
        <v>272</v>
      </c>
      <c r="BP4" s="68"/>
      <c r="BQ4" s="65"/>
      <c r="BR4" s="67">
        <f ca="1">SUM(BS6:BS259)/2</f>
        <v>285</v>
      </c>
      <c r="BS4" s="68"/>
      <c r="BT4" s="65"/>
      <c r="BU4" s="67">
        <f ca="1">SUM(BV6:BV259)/2</f>
        <v>257</v>
      </c>
      <c r="BV4" s="68"/>
      <c r="BW4" s="65"/>
      <c r="BX4" s="67">
        <f ca="1">SUM(BY6:BY259)/2</f>
        <v>290</v>
      </c>
      <c r="BY4" s="68"/>
      <c r="BZ4" s="65"/>
      <c r="CA4" s="67">
        <f ca="1">SUM(CB6:CB259)/2</f>
        <v>250</v>
      </c>
      <c r="CB4" s="68"/>
      <c r="CC4" s="65"/>
      <c r="CD4" s="67">
        <f ca="1">SUM(CE6:CE259)/2</f>
        <v>252</v>
      </c>
      <c r="CE4" s="68"/>
      <c r="CF4" s="65"/>
      <c r="CG4" s="67">
        <f ca="1">SUM(CH6:CH259)/2</f>
        <v>262</v>
      </c>
      <c r="CH4" s="68"/>
      <c r="CI4" s="65"/>
      <c r="CJ4" s="67">
        <f ca="1">SUM(CK6:CK259)/2</f>
        <v>276</v>
      </c>
      <c r="CK4" s="68"/>
      <c r="CL4" s="65"/>
      <c r="CM4" s="67">
        <f ca="1">SUM(CN6:CN259)/2</f>
        <v>262</v>
      </c>
      <c r="CN4" s="68"/>
      <c r="CO4" s="65"/>
      <c r="CP4" s="67">
        <f ca="1">SUM(CQ6:CQ259)/2</f>
        <v>293</v>
      </c>
      <c r="CQ4" s="68"/>
      <c r="CR4" s="65"/>
      <c r="CS4" s="67">
        <f ca="1">SUM(CT6:CT259)/2</f>
        <v>294</v>
      </c>
      <c r="CT4" s="68"/>
      <c r="CU4" s="65"/>
      <c r="CV4" s="67">
        <f ca="1">SUM(CW6:CW259)/2</f>
        <v>295</v>
      </c>
      <c r="CW4" s="68"/>
      <c r="CX4" s="65"/>
      <c r="CY4" s="67">
        <f ca="1">SUM(CZ6:CZ259)/2</f>
        <v>256</v>
      </c>
      <c r="CZ4" s="68"/>
      <c r="DA4" s="65"/>
      <c r="DB4" s="67">
        <f ca="1">SUM(DC6:DC259)/2</f>
        <v>306</v>
      </c>
      <c r="DC4" s="68"/>
      <c r="DD4" s="65"/>
      <c r="DE4" s="67">
        <f ca="1">SUM(DF6:DF259)/2</f>
        <v>259</v>
      </c>
      <c r="DF4" s="68"/>
      <c r="DG4" s="65"/>
      <c r="DH4" s="67">
        <f ca="1">SUM(DI6:DI259)/2</f>
        <v>275</v>
      </c>
      <c r="DI4" s="68"/>
      <c r="DJ4" s="65"/>
      <c r="DK4" s="67">
        <f ca="1">SUM(DL6:DL259)/2</f>
        <v>253</v>
      </c>
      <c r="DL4" s="68"/>
      <c r="DM4" s="65"/>
      <c r="DN4" s="67">
        <f ca="1">SUM(DO6:DO259)/2</f>
        <v>266</v>
      </c>
      <c r="DO4" s="68"/>
      <c r="DP4" s="65"/>
      <c r="DQ4" s="67">
        <f ca="1">SUM(DR6:DR259)/2</f>
        <v>209</v>
      </c>
      <c r="DR4" s="68"/>
      <c r="DS4" s="65"/>
      <c r="DT4" s="67">
        <f ca="1">SUM(DU6:DU259)/2</f>
        <v>247</v>
      </c>
      <c r="DU4" s="68"/>
      <c r="DV4" s="65"/>
      <c r="DW4" s="67">
        <f ca="1">SUM(DX6:DX259)/2</f>
        <v>304</v>
      </c>
      <c r="DX4" s="68"/>
      <c r="DY4" s="65"/>
      <c r="DZ4" s="67">
        <f ca="1">SUM(EA6:EA259)/2</f>
        <v>257</v>
      </c>
      <c r="EA4" s="68"/>
      <c r="EB4" s="65"/>
      <c r="EC4" s="67">
        <f ca="1">SUM(ED6:ED259)/2</f>
        <v>250</v>
      </c>
      <c r="ED4" s="68"/>
      <c r="EE4" s="65"/>
      <c r="EF4" s="67">
        <f ca="1">SUM(EG6:EG259)/2</f>
        <v>251</v>
      </c>
      <c r="EG4" s="68"/>
      <c r="EH4" s="65"/>
      <c r="EI4" s="67">
        <f ca="1">SUM(EJ6:EJ259)/2</f>
        <v>288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 ca="1">CONCATENATE(WORLDCUP!AF124,"-",WORLDCUP!AA124)</f>
        <v>España-Portugal</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 ca="1">CONCATENATE(WORLDCUP!AA124,"-",WORLDCUP!AF124)</f>
        <v>Portugal-España</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 ca="1">CONCATENATE(WORLDCUP!AA125,"-",WORLDCUP!AF125)</f>
        <v>Estados Unidos-Bélgica</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 ca="1">CONCATENATE(WORLDCUP!AF126,"-",WORLDCUP!AA126)</f>
        <v>Egipto-Argentina</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 ca="1">CONCATENATE(WORLDCUP!AA126,"-",WORLDCUP!AF126)</f>
        <v>Argentina-Egipto</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 ca="1">CONCATENATE(WORLDCUP!AA127,"-",WORLDCUP!AF127)</f>
        <v>Suiza-Colombia</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4</v>
      </c>
      <c r="U208" s="49"/>
      <c r="V208" s="84"/>
      <c r="W208" s="71">
        <f t="shared" ref="W208" ca="1" si="1001">SUM(W200:W207)</f>
        <v>0</v>
      </c>
      <c r="X208" s="49"/>
      <c r="Y208" s="84"/>
      <c r="Z208" s="71">
        <f t="shared" ref="Z208" ca="1" si="1002">SUM(Z200:Z207)</f>
        <v>2</v>
      </c>
      <c r="AA208" s="49"/>
      <c r="AB208" s="84"/>
      <c r="AC208" s="71">
        <f t="shared" ref="AC208" ca="1" si="1003">SUM(AC200:AC207)</f>
        <v>1</v>
      </c>
      <c r="AD208" s="49"/>
      <c r="AE208" s="84"/>
      <c r="AF208" s="71">
        <f t="shared" ref="AF208" ca="1" si="1004">SUM(AF200:AF207)</f>
        <v>4</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1</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1</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2</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1</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5</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t="s">
        <v>38</v>
      </c>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t="s">
        <v>1256</v>
      </c>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ca="1" si="1050"/>
        <v>0</v>
      </c>
      <c r="U215" s="110"/>
      <c r="V215" s="74" t="s">
        <v>135</v>
      </c>
      <c r="W215" s="73">
        <f t="shared" ca="1" si="1051"/>
        <v>5</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5</v>
      </c>
      <c r="BZ215" s="110"/>
      <c r="CA215" s="74" t="s">
        <v>110</v>
      </c>
      <c r="CB215" s="73">
        <f t="shared" ca="1" si="1070"/>
        <v>0</v>
      </c>
      <c r="CC215" s="110"/>
      <c r="CD215" s="74" t="s">
        <v>1835</v>
      </c>
      <c r="CE215" s="73">
        <f t="shared" ca="1" si="1071"/>
        <v>0</v>
      </c>
      <c r="CF215" s="110"/>
      <c r="CG215" s="74" t="s">
        <v>135</v>
      </c>
      <c r="CH215" s="73">
        <f t="shared" ca="1" si="1072"/>
        <v>5</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10</v>
      </c>
      <c r="U218" s="49"/>
      <c r="V218" s="84"/>
      <c r="W218" s="71">
        <f t="shared" ref="W218" ca="1" si="1101">SUM(W210:W217)</f>
        <v>15</v>
      </c>
      <c r="X218" s="49"/>
      <c r="Y218" s="84"/>
      <c r="Z218" s="71">
        <f t="shared" ref="Z218" ca="1" si="1102">SUM(Z210:Z217)</f>
        <v>10</v>
      </c>
      <c r="AA218" s="49"/>
      <c r="AB218" s="84"/>
      <c r="AC218" s="71">
        <f t="shared" ref="AC218" ca="1" si="1103">SUM(AC210:AC217)</f>
        <v>10</v>
      </c>
      <c r="AD218" s="49"/>
      <c r="AE218" s="84"/>
      <c r="AF218" s="71">
        <f t="shared" ref="AF218" ca="1" si="1104">SUM(AF210:AF217)</f>
        <v>15</v>
      </c>
      <c r="AG218" s="49"/>
      <c r="AH218" s="84"/>
      <c r="AI218" s="71">
        <f t="shared" ref="AI218" ca="1" si="1105">SUM(AI210:AI217)</f>
        <v>10</v>
      </c>
      <c r="AJ218" s="49"/>
      <c r="AK218" s="84"/>
      <c r="AL218" s="71">
        <f t="shared" ref="AL218" ca="1" si="1106">SUM(AL210:AL217)</f>
        <v>10</v>
      </c>
      <c r="AM218" s="49"/>
      <c r="AN218" s="84"/>
      <c r="AO218" s="71">
        <f t="shared" ref="AO218" ca="1" si="1107">SUM(AO210:AO217)</f>
        <v>15</v>
      </c>
      <c r="AP218" s="49"/>
      <c r="AQ218" s="84"/>
      <c r="AR218" s="71">
        <f t="shared" ref="AR218" ca="1" si="1108">SUM(AR210:AR217)</f>
        <v>15</v>
      </c>
      <c r="AS218" s="49"/>
      <c r="AT218" s="84"/>
      <c r="AU218" s="71">
        <f t="shared" ref="AU218" ca="1" si="1109">SUM(AU210:AU217)</f>
        <v>10</v>
      </c>
      <c r="AV218" s="49"/>
      <c r="AW218" s="84"/>
      <c r="AX218" s="71">
        <f t="shared" ref="AX218" ca="1" si="1110">SUM(AX210:AX217)</f>
        <v>10</v>
      </c>
      <c r="AY218" s="49"/>
      <c r="AZ218" s="84"/>
      <c r="BA218" s="71">
        <f t="shared" ref="BA218" ca="1" si="1111">SUM(BA210:BA217)</f>
        <v>10</v>
      </c>
      <c r="BB218" s="49"/>
      <c r="BC218" s="84"/>
      <c r="BD218" s="71">
        <f t="shared" ref="BD218" ca="1" si="1112">SUM(BD210:BD217)</f>
        <v>5</v>
      </c>
      <c r="BE218" s="49"/>
      <c r="BF218" s="84"/>
      <c r="BG218" s="71">
        <f t="shared" ref="BG218" ca="1" si="1113">SUM(BG210:BG217)</f>
        <v>10</v>
      </c>
      <c r="BH218" s="49"/>
      <c r="BI218" s="84"/>
      <c r="BJ218" s="71">
        <f t="shared" ref="BJ218" ca="1" si="1114">SUM(BJ210:BJ217)</f>
        <v>10</v>
      </c>
      <c r="BK218" s="49"/>
      <c r="BL218" s="84"/>
      <c r="BM218" s="71">
        <f t="shared" ref="BM218" ca="1" si="1115">SUM(BM210:BM217)</f>
        <v>15</v>
      </c>
      <c r="BN218" s="49"/>
      <c r="BO218" s="84"/>
      <c r="BP218" s="71">
        <f t="shared" ref="BP218" ca="1" si="1116">SUM(BP210:BP217)</f>
        <v>15</v>
      </c>
      <c r="BQ218" s="49"/>
      <c r="BR218" s="84"/>
      <c r="BS218" s="71">
        <f t="shared" ref="BS218" ca="1" si="1117">SUM(BS210:BS217)</f>
        <v>15</v>
      </c>
      <c r="BT218" s="49"/>
      <c r="BU218" s="84"/>
      <c r="BV218" s="71">
        <f t="shared" ref="BV218" ca="1" si="1118">SUM(BV210:BV217)</f>
        <v>10</v>
      </c>
      <c r="BW218" s="49"/>
      <c r="BX218" s="84"/>
      <c r="BY218" s="71">
        <f t="shared" ref="BY218" ca="1" si="1119">SUM(BY210:BY217)</f>
        <v>20</v>
      </c>
      <c r="BZ218" s="49"/>
      <c r="CA218" s="84"/>
      <c r="CB218" s="71">
        <f t="shared" ref="CB218" ca="1" si="1120">SUM(CB210:CB217)</f>
        <v>5</v>
      </c>
      <c r="CC218" s="49"/>
      <c r="CD218" s="84"/>
      <c r="CE218" s="71">
        <f t="shared" ref="CE218" ca="1" si="1121">SUM(CE210:CE217)</f>
        <v>5</v>
      </c>
      <c r="CF218" s="49"/>
      <c r="CG218" s="84"/>
      <c r="CH218" s="71">
        <f t="shared" ref="CH218" ca="1" si="1122">SUM(CH210:CH217)</f>
        <v>10</v>
      </c>
      <c r="CI218" s="49"/>
      <c r="CJ218" s="84"/>
      <c r="CK218" s="71">
        <f t="shared" ref="CK218" ca="1" si="1123">SUM(CK210:CK217)</f>
        <v>10</v>
      </c>
      <c r="CL218" s="49"/>
      <c r="CM218" s="84"/>
      <c r="CN218" s="71">
        <f t="shared" ref="CN218" ca="1" si="1124">SUM(CN210:CN217)</f>
        <v>15</v>
      </c>
      <c r="CO218" s="49"/>
      <c r="CP218" s="84"/>
      <c r="CQ218" s="71">
        <f t="shared" ref="CQ218" ca="1" si="1125">SUM(CQ210:CQ217)</f>
        <v>15</v>
      </c>
      <c r="CR218" s="49"/>
      <c r="CS218" s="84"/>
      <c r="CT218" s="71">
        <f t="shared" ref="CT218" ca="1" si="1126">SUM(CT210:CT217)</f>
        <v>15</v>
      </c>
      <c r="CU218" s="49"/>
      <c r="CV218" s="84"/>
      <c r="CW218" s="71">
        <f t="shared" ref="CW218" ca="1" si="1127">SUM(CW210:CW217)</f>
        <v>15</v>
      </c>
      <c r="CX218" s="49"/>
      <c r="CY218" s="84"/>
      <c r="CZ218" s="71">
        <f t="shared" ref="CZ218" ca="1" si="1128">SUM(CZ210:CZ217)</f>
        <v>15</v>
      </c>
      <c r="DA218" s="49"/>
      <c r="DB218" s="84"/>
      <c r="DC218" s="71">
        <f t="shared" ref="DC218" ca="1" si="1129">SUM(DC210:DC217)</f>
        <v>15</v>
      </c>
      <c r="DD218" s="49"/>
      <c r="DE218" s="84"/>
      <c r="DF218" s="71">
        <f t="shared" ref="DF218" ca="1" si="1130">SUM(DF210:DF217)</f>
        <v>5</v>
      </c>
      <c r="DG218" s="49"/>
      <c r="DH218" s="84"/>
      <c r="DI218" s="71">
        <f t="shared" ref="DI218" ca="1" si="1131">SUM(DI210:DI217)</f>
        <v>10</v>
      </c>
      <c r="DJ218" s="49"/>
      <c r="DK218" s="84"/>
      <c r="DL218" s="71">
        <f t="shared" ref="DL218" ca="1" si="1132">SUM(DL210:DL217)</f>
        <v>5</v>
      </c>
      <c r="DM218" s="49"/>
      <c r="DN218" s="796"/>
      <c r="DO218" s="71">
        <f t="shared" ref="DO218" ca="1" si="1133">SUM(DO210:DO217)</f>
        <v>5</v>
      </c>
      <c r="DP218" s="49"/>
      <c r="DQ218" s="796"/>
      <c r="DR218" s="71">
        <f t="shared" ref="DR218" ca="1" si="1134">SUM(DR210:DR217)</f>
        <v>10</v>
      </c>
      <c r="DS218" s="49"/>
      <c r="DT218" s="84"/>
      <c r="DU218" s="71">
        <f t="shared" ref="DU218" ca="1" si="1135">SUM(DU210:DU217)</f>
        <v>5</v>
      </c>
      <c r="DV218" s="49"/>
      <c r="DW218" s="84"/>
      <c r="DX218" s="71">
        <f t="shared" ref="DX218" ca="1" si="1136">SUM(DX210:DX217)</f>
        <v>15</v>
      </c>
      <c r="DY218" s="49"/>
      <c r="DZ218" s="84"/>
      <c r="EA218" s="71">
        <f t="shared" ref="EA218" ca="1" si="1137">SUM(EA210:EA217)</f>
        <v>0</v>
      </c>
      <c r="EB218" s="49"/>
      <c r="EC218" s="84"/>
      <c r="ED218" s="71">
        <f t="shared" ref="ED218" ca="1" si="1138">SUM(ED210:ED217)</f>
        <v>5</v>
      </c>
      <c r="EE218" s="49"/>
      <c r="EF218" s="84"/>
      <c r="EG218" s="71">
        <f t="shared" ref="EG218" ca="1" si="1139">SUM(EG210:EG217)</f>
        <v>5</v>
      </c>
      <c r="EH218" s="49"/>
      <c r="EI218" s="84"/>
      <c r="EJ218" s="71">
        <f t="shared" ref="EJ218" ca="1" si="1140">SUM(EJ210:EJ217)</f>
        <v>15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 ca="1">CONCATENATE(WORLDCUP!AA131,"-",WORLDCUP!AF131)</f>
        <v>Francia-Marruecos</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0</v>
      </c>
      <c r="B222" s="25">
        <f>WORLDCUP!AC133</f>
        <v>0</v>
      </c>
      <c r="C222" s="25" t="str">
        <f ca="1">CONCATENATE(WORLDCUP!AF133,"-",WORLDCUP!AA133)</f>
        <v>Inglaterra-Noruega</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 ca="1">CONCATENATE(WORLDCUP!AA133,"-",WORLDCUP!AF133)</f>
        <v>Noruega-Inglaterra</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319</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1</v>
      </c>
      <c r="K5" s="92" cm="1">
        <f t="array" aca="1" ref="K5" ca="1">IFERROR(INDEX(Rango_Admin_Clas_Total,K$2,MATCH($A5,Rango_Admin_Clas_Primera,0)+1),"-")</f>
        <v>15</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309</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15</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306</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15</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304</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15</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KIRICOCHO</v>
      </c>
      <c r="D9" s="91">
        <f ca="1">IFERROR(HLOOKUP(A9,Rango_Admin_Clas,4,FALSE),"-")</f>
        <v>295</v>
      </c>
      <c r="E9" s="92" cm="1">
        <f t="array" aca="1" ref="E9" ca="1">IFERROR(INDEX(Rango_Admin_Clas_Total,E$2,MATCH($A9,Rango_Admin_Clas_Primera,0)+1),"-")</f>
        <v>80</v>
      </c>
      <c r="F9" s="92" cm="1">
        <f t="array" aca="1" ref="F9" ca="1">IFERROR(INDEX(Rango_Admin_Clas_Total,F$2,MATCH($A9,Rango_Admin_Clas_Primera,0)+1),"-")</f>
        <v>62</v>
      </c>
      <c r="G9" s="92" cm="1">
        <f t="array" aca="1" ref="G9" ca="1">IFERROR(INDEX(Rango_Admin_Clas_Total,G$2,MATCH($A9,Rango_Admin_Clas_Primera,0)+1),"-")</f>
        <v>78</v>
      </c>
      <c r="H9" s="92" cm="1">
        <f t="array" aca="1" ref="H9" ca="1">IFERROR(INDEX(Rango_Admin_Clas_Total,H$2,MATCH($A9,Rango_Admin_Clas_Primera,0)+1),"-")</f>
        <v>7</v>
      </c>
      <c r="I9" s="92" cm="1">
        <f t="array" aca="1" ref="I9" ca="1">IFERROR(INDEX(Rango_Admin_Clas_Total,I$2,MATCH($A9,Rango_Admin_Clas_Primera,0)+1),"-")</f>
        <v>52</v>
      </c>
      <c r="J9" s="92" cm="1">
        <f t="array" aca="1" ref="J9" ca="1">IFERROR(INDEX(Rango_Admin_Clas_Total,J$2,MATCH($A9,Rango_Admin_Clas_Primera,0)+1),"-")</f>
        <v>1</v>
      </c>
      <c r="K9" s="92" cm="1">
        <f t="array" aca="1" ref="K9" ca="1">IFERROR(INDEX(Rango_Admin_Clas_Total,K$2,MATCH($A9,Rango_Admin_Clas_Primera,0)+1),"-")</f>
        <v>15</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Kurtischamp</v>
      </c>
      <c r="D10" s="91">
        <f ca="1">IFERROR(HLOOKUP(A10,Rango_Admin_Clas,4,FALSE),"-")</f>
        <v>294</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4</v>
      </c>
      <c r="I10" s="92" cm="1">
        <f t="array" aca="1" ref="I10" ca="1">IFERROR(INDEX(Rango_Admin_Clas_Total,I$2,MATCH($A10,Rango_Admin_Clas_Primera,0)+1),"-")</f>
        <v>48</v>
      </c>
      <c r="J10" s="92" cm="1">
        <f t="array" aca="1" ref="J10" ca="1">IFERROR(INDEX(Rango_Admin_Clas_Total,J$2,MATCH($A10,Rango_Admin_Clas_Primera,0)+1),"-")</f>
        <v>3</v>
      </c>
      <c r="K10" s="92" cm="1">
        <f t="array" aca="1" ref="K10" ca="1">IFERROR(INDEX(Rango_Admin_Clas_Total,K$2,MATCH($A10,Rango_Admin_Clas_Primera,0)+1),"-")</f>
        <v>15</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William Hartley</v>
      </c>
      <c r="D11" s="91">
        <f ca="1">IFERROR(HLOOKUP(A11,Rango_Admin_Clas,4,FALSE),"-")</f>
        <v>293</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1</v>
      </c>
      <c r="I11" s="92" cm="1">
        <f t="array" aca="1" ref="I11" ca="1">IFERROR(INDEX(Rango_Admin_Clas_Total,I$2,MATCH($A11,Rango_Admin_Clas_Primera,0)+1),"-")</f>
        <v>56</v>
      </c>
      <c r="J11" s="92" cm="1">
        <f t="array" aca="1" ref="J11" ca="1">IFERROR(INDEX(Rango_Admin_Clas_Total,J$2,MATCH($A11,Rango_Admin_Clas_Primera,0)+1),"-")</f>
        <v>3</v>
      </c>
      <c r="K11" s="92" cm="1">
        <f t="array" aca="1" ref="K11" ca="1">IFERROR(INDEX(Rango_Admin_Clas_Total,K$2,MATCH($A11,Rango_Admin_Clas_Primera,0)+1),"-")</f>
        <v>15</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Miguel San Martín</v>
      </c>
      <c r="D12" s="91">
        <f ca="1">IFERROR(HLOOKUP(A12,Rango_Admin_Clas,4,FALSE),"-")</f>
        <v>290</v>
      </c>
      <c r="E12" s="92" cm="1">
        <f t="array" aca="1" ref="E12" ca="1">IFERROR(INDEX(Rango_Admin_Clas_Total,E$2,MATCH($A12,Rango_Admin_Clas_Primera,0)+1),"-")</f>
        <v>74</v>
      </c>
      <c r="F12" s="92" cm="1">
        <f t="array" aca="1" ref="F12" ca="1">IFERROR(INDEX(Rango_Admin_Clas_Total,F$2,MATCH($A12,Rango_Admin_Clas_Primera,0)+1),"-")</f>
        <v>58</v>
      </c>
      <c r="G12" s="92" cm="1">
        <f t="array" aca="1" ref="G12" ca="1">IFERROR(INDEX(Rango_Admin_Clas_Total,G$2,MATCH($A12,Rango_Admin_Clas_Primera,0)+1),"-")</f>
        <v>81</v>
      </c>
      <c r="H12" s="92" cm="1">
        <f t="array" aca="1" ref="H12" ca="1">IFERROR(INDEX(Rango_Admin_Clas_Total,H$2,MATCH($A12,Rango_Admin_Clas_Primera,0)+1),"-")</f>
        <v>7</v>
      </c>
      <c r="I12" s="92" cm="1">
        <f t="array" aca="1" ref="I12" ca="1">IFERROR(INDEX(Rango_Admin_Clas_Total,I$2,MATCH($A12,Rango_Admin_Clas_Primera,0)+1),"-")</f>
        <v>48</v>
      </c>
      <c r="J12" s="92" cm="1">
        <f t="array" aca="1" ref="J12" ca="1">IFERROR(INDEX(Rango_Admin_Clas_Total,J$2,MATCH($A12,Rango_Admin_Clas_Primera,0)+1),"-")</f>
        <v>2</v>
      </c>
      <c r="K12" s="92" cm="1">
        <f t="array" aca="1" ref="K12" ca="1">IFERROR(INDEX(Rango_Admin_Clas_Total,K$2,MATCH($A12,Rango_Admin_Clas_Primera,0)+1),"-")</f>
        <v>20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Alexander Schulte</v>
      </c>
      <c r="D13" s="91">
        <f ca="1">IFERROR(HLOOKUP(A13,Rango_Admin_Clas,4,FALSE),"-")</f>
        <v>288</v>
      </c>
      <c r="E13" s="92" cm="1">
        <f t="array" aca="1" ref="E13" ca="1">IFERROR(INDEX(Rango_Admin_Clas_Total,E$2,MATCH($A13,Rango_Admin_Clas_Primera,0)+1),"-")</f>
        <v>78</v>
      </c>
      <c r="F13" s="92" cm="1">
        <f t="array" aca="1" ref="F13" ca="1">IFERROR(INDEX(Rango_Admin_Clas_Total,F$2,MATCH($A13,Rango_Admin_Clas_Primera,0)+1),"-")</f>
        <v>62</v>
      </c>
      <c r="G13" s="92" cm="1">
        <f t="array" aca="1" ref="G13" ca="1">IFERROR(INDEX(Rango_Admin_Clas_Total,G$2,MATCH($A13,Rango_Admin_Clas_Primera,0)+1),"-")</f>
        <v>78</v>
      </c>
      <c r="H13" s="92" cm="1">
        <f t="array" aca="1" ref="H13" ca="1">IFERROR(INDEX(Rango_Admin_Clas_Total,H$2,MATCH($A13,Rango_Admin_Clas_Primera,0)+1),"-")</f>
        <v>5</v>
      </c>
      <c r="I13" s="92" cm="1">
        <f t="array" aca="1" ref="I13" ca="1">IFERROR(INDEX(Rango_Admin_Clas_Total,I$2,MATCH($A13,Rango_Admin_Clas_Primera,0)+1),"-")</f>
        <v>48</v>
      </c>
      <c r="J13" s="92" cm="1">
        <f t="array" aca="1" ref="J13" ca="1">IFERROR(INDEX(Rango_Admin_Clas_Total,J$2,MATCH($A13,Rango_Admin_Clas_Primera,0)+1),"-")</f>
        <v>2</v>
      </c>
      <c r="K13" s="92" cm="1">
        <f t="array" aca="1" ref="K13" ca="1">IFERROR(INDEX(Rango_Admin_Clas_Total,K$2,MATCH($A13,Rango_Admin_Clas_Primera,0)+1),"-")</f>
        <v>15</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Jaime Lafuente</v>
      </c>
      <c r="D14" s="91">
        <f ca="1">IFERROR(HLOOKUP(A14,Rango_Admin_Clas,4,FALSE),"-")</f>
        <v>286</v>
      </c>
      <c r="E14" s="92" cm="1">
        <f t="array" aca="1" ref="E14" ca="1">IFERROR(INDEX(Rango_Admin_Clas_Total,E$2,MATCH($A14,Rango_Admin_Clas_Primera,0)+1),"-")</f>
        <v>87</v>
      </c>
      <c r="F14" s="92" cm="1">
        <f t="array" aca="1" ref="F14" ca="1">IFERROR(INDEX(Rango_Admin_Clas_Total,F$2,MATCH($A14,Rango_Admin_Clas_Primera,0)+1),"-")</f>
        <v>62</v>
      </c>
      <c r="G14" s="92" cm="1">
        <f t="array" aca="1" ref="G14" ca="1">IFERROR(INDEX(Rango_Admin_Clas_Total,G$2,MATCH($A14,Rango_Admin_Clas_Primera,0)+1),"-")</f>
        <v>75</v>
      </c>
      <c r="H14" s="92" cm="1">
        <f t="array" aca="1" ref="H14" ca="1">IFERROR(INDEX(Rango_Admin_Clas_Total,H$2,MATCH($A14,Rango_Admin_Clas_Primera,0)+1),"-")</f>
        <v>3</v>
      </c>
      <c r="I14" s="92" cm="1">
        <f t="array" aca="1" ref="I14" ca="1">IFERROR(INDEX(Rango_Admin_Clas_Total,I$2,MATCH($A14,Rango_Admin_Clas_Primera,0)+1),"-")</f>
        <v>48</v>
      </c>
      <c r="J14" s="92" cm="1">
        <f t="array" aca="1" ref="J14" ca="1">IFERROR(INDEX(Rango_Admin_Clas_Total,J$2,MATCH($A14,Rango_Admin_Clas_Primera,0)+1),"-")</f>
        <v>1</v>
      </c>
      <c r="K14" s="92" cm="1">
        <f t="array" aca="1" ref="K14" ca="1">IFERROR(INDEX(Rango_Admin_Clas_Total,K$2,MATCH($A14,Rango_Admin_Clas_Primera,0)+1),"-")</f>
        <v>10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Pastor</v>
      </c>
      <c r="D15" s="91">
        <f ca="1">IFERROR(HLOOKUP(A15,Rango_Admin_Clas,4,FALSE),"-")</f>
        <v>286</v>
      </c>
      <c r="E15" s="92" cm="1">
        <f t="array" aca="1" ref="E15" ca="1">IFERROR(INDEX(Rango_Admin_Clas_Total,E$2,MATCH($A15,Rango_Admin_Clas_Primera,0)+1),"-")</f>
        <v>70</v>
      </c>
      <c r="F15" s="92" cm="1">
        <f t="array" aca="1" ref="F15" ca="1">IFERROR(INDEX(Rango_Admin_Clas_Total,F$2,MATCH($A15,Rango_Admin_Clas_Primera,0)+1),"-")</f>
        <v>64</v>
      </c>
      <c r="G15" s="92" cm="1">
        <f t="array" aca="1" ref="G15" ca="1">IFERROR(INDEX(Rango_Admin_Clas_Total,G$2,MATCH($A15,Rango_Admin_Clas_Primera,0)+1),"-")</f>
        <v>75</v>
      </c>
      <c r="H15" s="92" cm="1">
        <f t="array" aca="1" ref="H15" ca="1">IFERROR(INDEX(Rango_Admin_Clas_Total,H$2,MATCH($A15,Rango_Admin_Clas_Primera,0)+1),"-")</f>
        <v>2</v>
      </c>
      <c r="I15" s="92" cm="1">
        <f t="array" aca="1" ref="I15" ca="1">IFERROR(INDEX(Rango_Admin_Clas_Total,I$2,MATCH($A15,Rango_Admin_Clas_Primera,0)+1),"-")</f>
        <v>56</v>
      </c>
      <c r="J15" s="92" cm="1">
        <f t="array" aca="1" ref="J15" ca="1">IFERROR(INDEX(Rango_Admin_Clas_Total,J$2,MATCH($A15,Rango_Admin_Clas_Primera,0)+1),"-")</f>
        <v>4</v>
      </c>
      <c r="K15" s="92" cm="1">
        <f t="array" aca="1" ref="K15" ca="1">IFERROR(INDEX(Rango_Admin_Clas_Total,K$2,MATCH($A15,Rango_Admin_Clas_Primera,0)+1),"-")</f>
        <v>15</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285</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15</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JCU</v>
      </c>
      <c r="D17" s="91">
        <f ca="1">IFERROR(HLOOKUP(A17,Rango_Admin_Clas,4,FALSE),"-")</f>
        <v>281</v>
      </c>
      <c r="E17" s="92" cm="1">
        <f t="array" aca="1" ref="E17" ca="1">IFERROR(INDEX(Rango_Admin_Clas_Total,E$2,MATCH($A17,Rango_Admin_Clas_Primera,0)+1),"-")</f>
        <v>75</v>
      </c>
      <c r="F17" s="92" cm="1">
        <f t="array" aca="1" ref="F17" ca="1">IFERROR(INDEX(Rango_Admin_Clas_Total,F$2,MATCH($A17,Rango_Admin_Clas_Primera,0)+1),"-")</f>
        <v>66</v>
      </c>
      <c r="G17" s="92" cm="1">
        <f t="array" aca="1" ref="G17" ca="1">IFERROR(INDEX(Rango_Admin_Clas_Total,G$2,MATCH($A17,Rango_Admin_Clas_Primera,0)+1),"-")</f>
        <v>72</v>
      </c>
      <c r="H17" s="92" cm="1">
        <f t="array" aca="1" ref="H17" ca="1">IFERROR(INDEX(Rango_Admin_Clas_Total,H$2,MATCH($A17,Rango_Admin_Clas_Primera,0)+1),"-")</f>
        <v>5</v>
      </c>
      <c r="I17" s="92" cm="1">
        <f t="array" aca="1" ref="I17" ca="1">IFERROR(INDEX(Rango_Admin_Clas_Total,I$2,MATCH($A17,Rango_Admin_Clas_Primera,0)+1),"-")</f>
        <v>52</v>
      </c>
      <c r="J17" s="92" cm="1">
        <f t="array" aca="1" ref="J17" ca="1">IFERROR(INDEX(Rango_Admin_Clas_Total,J$2,MATCH($A17,Rango_Admin_Clas_Primera,0)+1),"-")</f>
        <v>1</v>
      </c>
      <c r="K17" s="92" cm="1">
        <f t="array" aca="1" ref="K17" ca="1">IFERROR(INDEX(Rango_Admin_Clas_Total,K$2,MATCH($A17,Rango_Admin_Clas_Primera,0)+1),"-")</f>
        <v>10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Antonio Zulueta Ramos</v>
      </c>
      <c r="D18" s="91">
        <f ca="1">IFERROR(HLOOKUP(A18,Rango_Admin_Clas,4,FALSE),"-")</f>
        <v>280</v>
      </c>
      <c r="E18" s="92" cm="1">
        <f t="array" aca="1" ref="E18" ca="1">IFERROR(INDEX(Rango_Admin_Clas_Total,E$2,MATCH($A18,Rango_Admin_Clas_Primera,0)+1),"-")</f>
        <v>72</v>
      </c>
      <c r="F18" s="92" cm="1">
        <f t="array" aca="1" ref="F18" ca="1">IFERROR(INDEX(Rango_Admin_Clas_Total,F$2,MATCH($A18,Rango_Admin_Clas_Primera,0)+1),"-")</f>
        <v>64</v>
      </c>
      <c r="G18" s="92" cm="1">
        <f t="array" aca="1" ref="G18" ca="1">IFERROR(INDEX(Rango_Admin_Clas_Total,G$2,MATCH($A18,Rango_Admin_Clas_Primera,0)+1),"-")</f>
        <v>78</v>
      </c>
      <c r="H18" s="92" cm="1">
        <f t="array" aca="1" ref="H18" ca="1">IFERROR(INDEX(Rango_Admin_Clas_Total,H$2,MATCH($A18,Rango_Admin_Clas_Primera,0)+1),"-")</f>
        <v>11</v>
      </c>
      <c r="I18" s="92" cm="1">
        <f t="array" aca="1" ref="I18" ca="1">IFERROR(INDEX(Rango_Admin_Clas_Total,I$2,MATCH($A18,Rango_Admin_Clas_Primera,0)+1),"-")</f>
        <v>40</v>
      </c>
      <c r="J18" s="92" cm="1">
        <f t="array" aca="1" ref="J18" ca="1">IFERROR(INDEX(Rango_Admin_Clas_Total,J$2,MATCH($A18,Rango_Admin_Clas_Primera,0)+1),"-")</f>
        <v>0</v>
      </c>
      <c r="K18" s="92" cm="1">
        <f t="array" aca="1" ref="K18" ca="1">IFERROR(INDEX(Rango_Admin_Clas_Total,K$2,MATCH($A18,Rango_Admin_Clas_Primera,0)+1),"-")</f>
        <v>15</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Joserra</v>
      </c>
      <c r="D19" s="91">
        <f ca="1">IFERROR(HLOOKUP(A19,Rango_Admin_Clas,4,FALSE),"-")</f>
        <v>278</v>
      </c>
      <c r="E19" s="92" cm="1">
        <f t="array" aca="1" ref="E19" ca="1">IFERROR(INDEX(Rango_Admin_Clas_Total,E$2,MATCH($A19,Rango_Admin_Clas_Primera,0)+1),"-")</f>
        <v>72</v>
      </c>
      <c r="F19" s="92" cm="1">
        <f t="array" aca="1" ref="F19" ca="1">IFERROR(INDEX(Rango_Admin_Clas_Total,F$2,MATCH($A19,Rango_Admin_Clas_Primera,0)+1),"-")</f>
        <v>62</v>
      </c>
      <c r="G19" s="92" cm="1">
        <f t="array" aca="1" ref="G19" ca="1">IFERROR(INDEX(Rango_Admin_Clas_Total,G$2,MATCH($A19,Rango_Admin_Clas_Primera,0)+1),"-")</f>
        <v>78</v>
      </c>
      <c r="H19" s="92" cm="1">
        <f t="array" aca="1" ref="H19" ca="1">IFERROR(INDEX(Rango_Admin_Clas_Total,H$2,MATCH($A19,Rango_Admin_Clas_Primera,0)+1),"-")</f>
        <v>7</v>
      </c>
      <c r="I19" s="92" cm="1">
        <f t="array" aca="1" ref="I19" ca="1">IFERROR(INDEX(Rango_Admin_Clas_Total,I$2,MATCH($A19,Rango_Admin_Clas_Primera,0)+1),"-")</f>
        <v>48</v>
      </c>
      <c r="J19" s="92" cm="1">
        <f t="array" aca="1" ref="J19" ca="1">IFERROR(INDEX(Rango_Admin_Clas_Total,J$2,MATCH($A19,Rango_Admin_Clas_Primera,0)+1),"-")</f>
        <v>1</v>
      </c>
      <c r="K19" s="92" cm="1">
        <f t="array" aca="1" ref="K19" ca="1">IFERROR(INDEX(Rango_Admin_Clas_Total,K$2,MATCH($A19,Rango_Admin_Clas_Primera,0)+1),"-")</f>
        <v>10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Alejandro Lafuente</v>
      </c>
      <c r="D20" s="91">
        <f ca="1">IFERROR(HLOOKUP(A20,Rango_Admin_Clas,4,FALSE),"-")</f>
        <v>276</v>
      </c>
      <c r="E20" s="92" cm="1">
        <f t="array" aca="1" ref="E20" ca="1">IFERROR(INDEX(Rango_Admin_Clas_Total,E$2,MATCH($A20,Rango_Admin_Clas_Primera,0)+1),"-")</f>
        <v>75</v>
      </c>
      <c r="F20" s="92" cm="1">
        <f t="array" aca="1" ref="F20" ca="1">IFERROR(INDEX(Rango_Admin_Clas_Total,F$2,MATCH($A20,Rango_Admin_Clas_Primera,0)+1),"-")</f>
        <v>64</v>
      </c>
      <c r="G20" s="92" cm="1">
        <f t="array" aca="1" ref="G20" ca="1">IFERROR(INDEX(Rango_Admin_Clas_Total,G$2,MATCH($A20,Rango_Admin_Clas_Primera,0)+1),"-")</f>
        <v>78</v>
      </c>
      <c r="H20" s="92" cm="1">
        <f t="array" aca="1" ref="H20" ca="1">IFERROR(INDEX(Rango_Admin_Clas_Total,H$2,MATCH($A20,Rango_Admin_Clas_Primera,0)+1),"-")</f>
        <v>3</v>
      </c>
      <c r="I20" s="92" cm="1">
        <f t="array" aca="1" ref="I20" ca="1">IFERROR(INDEX(Rango_Admin_Clas_Total,I$2,MATCH($A20,Rango_Admin_Clas_Primera,0)+1),"-")</f>
        <v>44</v>
      </c>
      <c r="J20" s="92" cm="1">
        <f t="array" aca="1" ref="J20" ca="1">IFERROR(INDEX(Rango_Admin_Clas_Total,J$2,MATCH($A20,Rango_Admin_Clas_Primera,0)+1),"-")</f>
        <v>2</v>
      </c>
      <c r="K20" s="92" cm="1">
        <f t="array" aca="1" ref="K20" ca="1">IFERROR(INDEX(Rango_Admin_Clas_Total,K$2,MATCH($A20,Rango_Admin_Clas_Primera,0)+1),"-")</f>
        <v>10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Lucas Oriol</v>
      </c>
      <c r="D21" s="91">
        <f ca="1">IFERROR(HLOOKUP(A21,Rango_Admin_Clas,4,FALSE),"-")</f>
        <v>276</v>
      </c>
      <c r="E21" s="92" cm="1">
        <f t="array" aca="1" ref="E21" ca="1">IFERROR(INDEX(Rango_Admin_Clas_Total,E$2,MATCH($A21,Rango_Admin_Clas_Primera,0)+1),"-")</f>
        <v>83</v>
      </c>
      <c r="F21" s="92" cm="1">
        <f t="array" aca="1" ref="F21" ca="1">IFERROR(INDEX(Rango_Admin_Clas_Total,F$2,MATCH($A21,Rango_Admin_Clas_Primera,0)+1),"-")</f>
        <v>56</v>
      </c>
      <c r="G21" s="92" cm="1">
        <f t="array" aca="1" ref="G21" ca="1">IFERROR(INDEX(Rango_Admin_Clas_Total,G$2,MATCH($A21,Rango_Admin_Clas_Primera,0)+1),"-")</f>
        <v>72</v>
      </c>
      <c r="H21" s="92" cm="1">
        <f t="array" aca="1" ref="H21" ca="1">IFERROR(INDEX(Rango_Admin_Clas_Total,H$2,MATCH($A21,Rango_Admin_Clas_Primera,0)+1),"-")</f>
        <v>9</v>
      </c>
      <c r="I21" s="92" cm="1">
        <f t="array" aca="1" ref="I21" ca="1">IFERROR(INDEX(Rango_Admin_Clas_Total,I$2,MATCH($A21,Rango_Admin_Clas_Primera,0)+1),"-")</f>
        <v>44</v>
      </c>
      <c r="J21" s="92" cm="1">
        <f t="array" aca="1" ref="J21" ca="1">IFERROR(INDEX(Rango_Admin_Clas_Total,J$2,MATCH($A21,Rango_Admin_Clas_Primera,0)+1),"-")</f>
        <v>2</v>
      </c>
      <c r="K21" s="92" cm="1">
        <f t="array" aca="1" ref="K21" ca="1">IFERROR(INDEX(Rango_Admin_Clas_Total,K$2,MATCH($A21,Rango_Admin_Clas_Primera,0)+1),"-")</f>
        <v>10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Miguel Suárez-Zuloaga</v>
      </c>
      <c r="D22" s="91">
        <f ca="1">IFERROR(HLOOKUP(A22,Rango_Admin_Clas,4,FALSE),"-")</f>
        <v>275</v>
      </c>
      <c r="E22" s="92" cm="1">
        <f t="array" aca="1" ref="E22" ca="1">IFERROR(INDEX(Rango_Admin_Clas_Total,E$2,MATCH($A22,Rango_Admin_Clas_Primera,0)+1),"-")</f>
        <v>78</v>
      </c>
      <c r="F22" s="92" cm="1">
        <f t="array" aca="1" ref="F22" ca="1">IFERROR(INDEX(Rango_Admin_Clas_Total,F$2,MATCH($A22,Rango_Admin_Clas_Primera,0)+1),"-")</f>
        <v>56</v>
      </c>
      <c r="G22" s="92" cm="1">
        <f t="array" aca="1" ref="G22" ca="1">IFERROR(INDEX(Rango_Admin_Clas_Total,G$2,MATCH($A22,Rango_Admin_Clas_Primera,0)+1),"-")</f>
        <v>78</v>
      </c>
      <c r="H22" s="92" cm="1">
        <f t="array" aca="1" ref="H22" ca="1">IFERROR(INDEX(Rango_Admin_Clas_Total,H$2,MATCH($A22,Rango_Admin_Clas_Primera,0)+1),"-")</f>
        <v>9</v>
      </c>
      <c r="I22" s="92" cm="1">
        <f t="array" aca="1" ref="I22" ca="1">IFERROR(INDEX(Rango_Admin_Clas_Total,I$2,MATCH($A22,Rango_Admin_Clas_Primera,0)+1),"-")</f>
        <v>44</v>
      </c>
      <c r="J22" s="92" cm="1">
        <f t="array" aca="1" ref="J22" ca="1">IFERROR(INDEX(Rango_Admin_Clas_Total,J$2,MATCH($A22,Rango_Admin_Clas_Primera,0)+1),"-")</f>
        <v>0</v>
      </c>
      <c r="K22" s="92" cm="1">
        <f t="array" aca="1" ref="K22" ca="1">IFERROR(INDEX(Rango_Admin_Clas_Total,K$2,MATCH($A22,Rango_Admin_Clas_Primera,0)+1),"-")</f>
        <v>10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del Ojo</v>
      </c>
      <c r="D23" s="91">
        <f ca="1">IFERROR(HLOOKUP(A23,Rango_Admin_Clas,4,FALSE),"-")</f>
        <v>272</v>
      </c>
      <c r="E23" s="92" cm="1">
        <f t="array" aca="1" ref="E23" ca="1">IFERROR(INDEX(Rango_Admin_Clas_Total,E$2,MATCH($A23,Rango_Admin_Clas_Primera,0)+1),"-")</f>
        <v>81</v>
      </c>
      <c r="F23" s="92" cm="1">
        <f t="array" aca="1" ref="F23" ca="1">IFERROR(INDEX(Rango_Admin_Clas_Total,F$2,MATCH($A23,Rango_Admin_Clas_Primera,0)+1),"-")</f>
        <v>50</v>
      </c>
      <c r="G23" s="92" cm="1">
        <f t="array" aca="1" ref="G23" ca="1">IFERROR(INDEX(Rango_Admin_Clas_Total,G$2,MATCH($A23,Rango_Admin_Clas_Primera,0)+1),"-")</f>
        <v>75</v>
      </c>
      <c r="H23" s="92" cm="1">
        <f t="array" aca="1" ref="H23" ca="1">IFERROR(INDEX(Rango_Admin_Clas_Total,H$2,MATCH($A23,Rango_Admin_Clas_Primera,0)+1),"-")</f>
        <v>5</v>
      </c>
      <c r="I23" s="92" cm="1">
        <f t="array" aca="1" ref="I23" ca="1">IFERROR(INDEX(Rango_Admin_Clas_Total,I$2,MATCH($A23,Rango_Admin_Clas_Primera,0)+1),"-")</f>
        <v>44</v>
      </c>
      <c r="J23" s="92" cm="1">
        <f t="array" aca="1" ref="J23" ca="1">IFERROR(INDEX(Rango_Admin_Clas_Total,J$2,MATCH($A23,Rango_Admin_Clas_Primera,0)+1),"-")</f>
        <v>2</v>
      </c>
      <c r="K23" s="92" cm="1">
        <f t="array" aca="1" ref="K23" ca="1">IFERROR(INDEX(Rango_Admin_Clas_Total,K$2,MATCH($A23,Rango_Admin_Clas_Primera,0)+1),"-")</f>
        <v>15</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Admin</v>
      </c>
      <c r="D24" s="91">
        <f ca="1">IFERROR(HLOOKUP(A24,Rango_Admin_Clas,4,FALSE),"-")</f>
        <v>269</v>
      </c>
      <c r="E24" s="92" cm="1">
        <f t="array" aca="1" ref="E24" ca="1">IFERROR(INDEX(Rango_Admin_Clas_Total,E$2,MATCH($A24,Rango_Admin_Clas_Primera,0)+1),"-")</f>
        <v>63</v>
      </c>
      <c r="F24" s="92" cm="1">
        <f t="array" aca="1" ref="F24" ca="1">IFERROR(INDEX(Rango_Admin_Clas_Total,F$2,MATCH($A24,Rango_Admin_Clas_Primera,0)+1),"-")</f>
        <v>62</v>
      </c>
      <c r="G24" s="92" cm="1">
        <f t="array" aca="1" ref="G24" ca="1">IFERROR(INDEX(Rango_Admin_Clas_Total,G$2,MATCH($A24,Rango_Admin_Clas_Primera,0)+1),"-")</f>
        <v>78</v>
      </c>
      <c r="H24" s="92" cm="1">
        <f t="array" aca="1" ref="H24" ca="1">IFERROR(INDEX(Rango_Admin_Clas_Total,H$2,MATCH($A24,Rango_Admin_Clas_Primera,0)+1),"-")</f>
        <v>8</v>
      </c>
      <c r="I24" s="92" cm="1">
        <f t="array" aca="1" ref="I24" ca="1">IFERROR(INDEX(Rango_Admin_Clas_Total,I$2,MATCH($A24,Rango_Admin_Clas_Primera,0)+1),"-")</f>
        <v>44</v>
      </c>
      <c r="J24" s="92" cm="1">
        <f t="array" aca="1" ref="J24" ca="1">IFERROR(INDEX(Rango_Admin_Clas_Total,J$2,MATCH($A24,Rango_Admin_Clas_Primera,0)+1),"-")</f>
        <v>4</v>
      </c>
      <c r="K24" s="92" cm="1">
        <f t="array" aca="1" ref="K24" ca="1">IFERROR(INDEX(Rango_Admin_Clas_Total,K$2,MATCH($A24,Rango_Admin_Clas_Primera,0)+1),"-")</f>
        <v>10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Nacho Novo</v>
      </c>
      <c r="D25" s="91">
        <f ca="1">IFERROR(HLOOKUP(A25,Rango_Admin_Clas,4,FALSE),"-")</f>
        <v>268</v>
      </c>
      <c r="E25" s="92" cm="1">
        <f t="array" aca="1" ref="E25" ca="1">IFERROR(INDEX(Rango_Admin_Clas_Total,E$2,MATCH($A25,Rango_Admin_Clas_Primera,0)+1),"-")</f>
        <v>65</v>
      </c>
      <c r="F25" s="92" cm="1">
        <f t="array" aca="1" ref="F25" ca="1">IFERROR(INDEX(Rango_Admin_Clas_Total,F$2,MATCH($A25,Rango_Admin_Clas_Primera,0)+1),"-")</f>
        <v>58</v>
      </c>
      <c r="G25" s="92" cm="1">
        <f t="array" aca="1" ref="G25" ca="1">IFERROR(INDEX(Rango_Admin_Clas_Total,G$2,MATCH($A25,Rango_Admin_Clas_Primera,0)+1),"-")</f>
        <v>81</v>
      </c>
      <c r="H25" s="92" cm="1">
        <f t="array" aca="1" ref="H25" ca="1">IFERROR(INDEX(Rango_Admin_Clas_Total,H$2,MATCH($A25,Rango_Admin_Clas_Primera,0)+1),"-")</f>
        <v>14</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10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Luis B</v>
      </c>
      <c r="D26" s="91">
        <f ca="1">IFERROR(HLOOKUP(A26,Rango_Admin_Clas,4,FALSE),"-")</f>
        <v>267</v>
      </c>
      <c r="E26" s="92" cm="1">
        <f t="array" aca="1" ref="E26" ca="1">IFERROR(INDEX(Rango_Admin_Clas_Total,E$2,MATCH($A26,Rango_Admin_Clas_Primera,0)+1),"-")</f>
        <v>58</v>
      </c>
      <c r="F26" s="92" cm="1">
        <f t="array" aca="1" ref="F26" ca="1">IFERROR(INDEX(Rango_Admin_Clas_Total,F$2,MATCH($A26,Rango_Admin_Clas_Primera,0)+1),"-")</f>
        <v>64</v>
      </c>
      <c r="G26" s="92" cm="1">
        <f t="array" aca="1" ref="G26" ca="1">IFERROR(INDEX(Rango_Admin_Clas_Total,G$2,MATCH($A26,Rango_Admin_Clas_Primera,0)+1),"-")</f>
        <v>81</v>
      </c>
      <c r="H26" s="92" cm="1">
        <f t="array" aca="1" ref="H26" ca="1">IFERROR(INDEX(Rango_Admin_Clas_Total,H$2,MATCH($A26,Rango_Admin_Clas_Primera,0)+1),"-")</f>
        <v>9</v>
      </c>
      <c r="I26" s="92" cm="1">
        <f t="array" aca="1" ref="I26" ca="1">IFERROR(INDEX(Rango_Admin_Clas_Total,I$2,MATCH($A26,Rango_Admin_Clas_Primera,0)+1),"-")</f>
        <v>40</v>
      </c>
      <c r="J26" s="92" cm="1">
        <f t="array" aca="1" ref="J26" ca="1">IFERROR(INDEX(Rango_Admin_Clas_Total,J$2,MATCH($A26,Rango_Admin_Clas_Primera,0)+1),"-")</f>
        <v>0</v>
      </c>
      <c r="K26" s="92" cm="1">
        <f t="array" aca="1" ref="K26" ca="1">IFERROR(INDEX(Rango_Admin_Clas_Total,K$2,MATCH($A26,Rango_Admin_Clas_Primera,0)+1),"-")</f>
        <v>15</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 Monchus</v>
      </c>
      <c r="D27" s="91">
        <f ca="1">IFERROR(HLOOKUP(A27,Rango_Admin_Clas,4,FALSE),"-")</f>
        <v>266</v>
      </c>
      <c r="E27" s="92" cm="1">
        <f t="array" aca="1" ref="E27" ca="1">IFERROR(INDEX(Rango_Admin_Clas_Total,E$2,MATCH($A27,Rango_Admin_Clas_Primera,0)+1),"-")</f>
        <v>67</v>
      </c>
      <c r="F27" s="92" cm="1">
        <f t="array" aca="1" ref="F27" ca="1">IFERROR(INDEX(Rango_Admin_Clas_Total,F$2,MATCH($A27,Rango_Admin_Clas_Primera,0)+1),"-")</f>
        <v>64</v>
      </c>
      <c r="G27" s="92" cm="1">
        <f t="array" aca="1" ref="G27" ca="1">IFERROR(INDEX(Rango_Admin_Clas_Total,G$2,MATCH($A27,Rango_Admin_Clas_Primera,0)+1),"-")</f>
        <v>78</v>
      </c>
      <c r="H27" s="92" cm="1">
        <f t="array" aca="1" ref="H27" ca="1">IFERROR(INDEX(Rango_Admin_Clas_Total,H$2,MATCH($A27,Rango_Admin_Clas_Primera,0)+1),"-")</f>
        <v>4</v>
      </c>
      <c r="I27" s="92" cm="1">
        <f t="array" aca="1" ref="I27" ca="1">IFERROR(INDEX(Rango_Admin_Clas_Total,I$2,MATCH($A27,Rango_Admin_Clas_Primera,0)+1),"-")</f>
        <v>48</v>
      </c>
      <c r="J27" s="92" cm="1">
        <f t="array" aca="1" ref="J27" ca="1">IFERROR(INDEX(Rango_Admin_Clas_Total,J$2,MATCH($A27,Rango_Admin_Clas_Primera,0)+1),"-")</f>
        <v>0</v>
      </c>
      <c r="K27" s="92" cm="1">
        <f t="array" aca="1" ref="K27" ca="1">IFERROR(INDEX(Rango_Admin_Clas_Total,K$2,MATCH($A27,Rango_Admin_Clas_Primera,0)+1),"-")</f>
        <v>5</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Guillermo Murciano</v>
      </c>
      <c r="D28" s="91">
        <f ca="1">IFERROR(HLOOKUP(A28,Rango_Admin_Clas,4,FALSE),"-")</f>
        <v>262</v>
      </c>
      <c r="E28" s="92" cm="1">
        <f t="array" aca="1" ref="E28" ca="1">IFERROR(INDEX(Rango_Admin_Clas_Total,E$2,MATCH($A28,Rango_Admin_Clas_Primera,0)+1),"-")</f>
        <v>64</v>
      </c>
      <c r="F28" s="92" cm="1">
        <f t="array" aca="1" ref="F28" ca="1">IFERROR(INDEX(Rango_Admin_Clas_Total,F$2,MATCH($A28,Rango_Admin_Clas_Primera,0)+1),"-")</f>
        <v>64</v>
      </c>
      <c r="G28" s="92" cm="1">
        <f t="array" aca="1" ref="G28" ca="1">IFERROR(INDEX(Rango_Admin_Clas_Total,G$2,MATCH($A28,Rango_Admin_Clas_Primera,0)+1),"-")</f>
        <v>78</v>
      </c>
      <c r="H28" s="92" cm="1">
        <f t="array" aca="1" ref="H28" ca="1">IFERROR(INDEX(Rango_Admin_Clas_Total,H$2,MATCH($A28,Rango_Admin_Clas_Primera,0)+1),"-")</f>
        <v>6</v>
      </c>
      <c r="I28" s="92" cm="1">
        <f t="array" aca="1" ref="I28" ca="1">IFERROR(INDEX(Rango_Admin_Clas_Total,I$2,MATCH($A28,Rango_Admin_Clas_Primera,0)+1),"-")</f>
        <v>40</v>
      </c>
      <c r="J28" s="92" cm="1">
        <f t="array" aca="1" ref="J28" ca="1">IFERROR(INDEX(Rango_Admin_Clas_Total,J$2,MATCH($A28,Rango_Admin_Clas_Primera,0)+1),"-")</f>
        <v>0</v>
      </c>
      <c r="K28" s="92" cm="1">
        <f t="array" aca="1" ref="K28" ca="1">IFERROR(INDEX(Rango_Admin_Clas_Total,K$2,MATCH($A28,Rango_Admin_Clas_Primera,0)+1),"-")</f>
        <v>10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Florentino Netanyahu</v>
      </c>
      <c r="D29" s="91">
        <f ca="1">IFERROR(HLOOKUP(A29,Rango_Admin_Clas,4,FALSE),"-")</f>
        <v>262</v>
      </c>
      <c r="E29" s="92" cm="1">
        <f t="array" aca="1" ref="E29" ca="1">IFERROR(INDEX(Rango_Admin_Clas_Total,E$2,MATCH($A29,Rango_Admin_Clas_Primera,0)+1),"-")</f>
        <v>67</v>
      </c>
      <c r="F29" s="92" cm="1">
        <f t="array" aca="1" ref="F29" ca="1">IFERROR(INDEX(Rango_Admin_Clas_Total,F$2,MATCH($A29,Rango_Admin_Clas_Primera,0)+1),"-")</f>
        <v>54</v>
      </c>
      <c r="G29" s="92" cm="1">
        <f t="array" aca="1" ref="G29" ca="1">IFERROR(INDEX(Rango_Admin_Clas_Total,G$2,MATCH($A29,Rango_Admin_Clas_Primera,0)+1),"-")</f>
        <v>75</v>
      </c>
      <c r="H29" s="92" cm="1">
        <f t="array" aca="1" ref="H29" ca="1">IFERROR(INDEX(Rango_Admin_Clas_Total,H$2,MATCH($A29,Rango_Admin_Clas_Primera,0)+1),"-")</f>
        <v>12</v>
      </c>
      <c r="I29" s="92" cm="1">
        <f t="array" aca="1" ref="I29" ca="1">IFERROR(INDEX(Rango_Admin_Clas_Total,I$2,MATCH($A29,Rango_Admin_Clas_Primera,0)+1),"-")</f>
        <v>44</v>
      </c>
      <c r="J29" s="92" cm="1">
        <f t="array" aca="1" ref="J29" ca="1">IFERROR(INDEX(Rango_Admin_Clas_Total,J$2,MATCH($A29,Rango_Admin_Clas_Primera,0)+1),"-")</f>
        <v>0</v>
      </c>
      <c r="K29" s="92" cm="1">
        <f t="array" aca="1" ref="K29" ca="1">IFERROR(INDEX(Rango_Admin_Clas_Total,K$2,MATCH($A29,Rango_Admin_Clas_Primera,0)+1),"-")</f>
        <v>10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YTD</v>
      </c>
      <c r="D30" s="91">
        <f ca="1">IFERROR(HLOOKUP(A30,Rango_Admin_Clas,4,FALSE),"-")</f>
        <v>262</v>
      </c>
      <c r="E30" s="92" cm="1">
        <f t="array" aca="1" ref="E30" ca="1">IFERROR(INDEX(Rango_Admin_Clas_Total,E$2,MATCH($A30,Rango_Admin_Clas_Primera,0)+1),"-")</f>
        <v>65</v>
      </c>
      <c r="F30" s="92" cm="1">
        <f t="array" aca="1" ref="F30" ca="1">IFERROR(INDEX(Rango_Admin_Clas_Total,F$2,MATCH($A30,Rango_Admin_Clas_Primera,0)+1),"-")</f>
        <v>58</v>
      </c>
      <c r="G30" s="92" cm="1">
        <f t="array" aca="1" ref="G30" ca="1">IFERROR(INDEX(Rango_Admin_Clas_Total,G$2,MATCH($A30,Rango_Admin_Clas_Primera,0)+1),"-")</f>
        <v>75</v>
      </c>
      <c r="H30" s="92" cm="1">
        <f t="array" aca="1" ref="H30" ca="1">IFERROR(INDEX(Rango_Admin_Clas_Total,H$2,MATCH($A30,Rango_Admin_Clas_Primera,0)+1),"-")</f>
        <v>4</v>
      </c>
      <c r="I30" s="92" cm="1">
        <f t="array" aca="1" ref="I30" ca="1">IFERROR(INDEX(Rango_Admin_Clas_Total,I$2,MATCH($A30,Rango_Admin_Clas_Primera,0)+1),"-")</f>
        <v>44</v>
      </c>
      <c r="J30" s="92" cm="1">
        <f t="array" aca="1" ref="J30" ca="1">IFERROR(INDEX(Rango_Admin_Clas_Total,J$2,MATCH($A30,Rango_Admin_Clas_Primera,0)+1),"-")</f>
        <v>1</v>
      </c>
      <c r="K30" s="92" cm="1">
        <f t="array" aca="1" ref="K30" ca="1">IFERROR(INDEX(Rango_Admin_Clas_Total,K$2,MATCH($A30,Rango_Admin_Clas_Primera,0)+1),"-")</f>
        <v>15</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Ignacio de Lecea</v>
      </c>
      <c r="D31" s="91">
        <f ca="1">IFERROR(HLOOKUP(A31,Rango_Admin_Clas,4,FALSE),"-")</f>
        <v>261</v>
      </c>
      <c r="E31" s="92" cm="1">
        <f t="array" aca="1" ref="E31" ca="1">IFERROR(INDEX(Rango_Admin_Clas_Total,E$2,MATCH($A31,Rango_Admin_Clas_Primera,0)+1),"-")</f>
        <v>74</v>
      </c>
      <c r="F31" s="92" cm="1">
        <f t="array" aca="1" ref="F31" ca="1">IFERROR(INDEX(Rango_Admin_Clas_Total,F$2,MATCH($A31,Rango_Admin_Clas_Primera,0)+1),"-")</f>
        <v>56</v>
      </c>
      <c r="G31" s="92" cm="1">
        <f t="array" aca="1" ref="G31" ca="1">IFERROR(INDEX(Rango_Admin_Clas_Total,G$2,MATCH($A31,Rango_Admin_Clas_Primera,0)+1),"-")</f>
        <v>81</v>
      </c>
      <c r="H31" s="92" cm="1">
        <f t="array" aca="1" ref="H31" ca="1">IFERROR(INDEX(Rango_Admin_Clas_Total,H$2,MATCH($A31,Rango_Admin_Clas_Primera,0)+1),"-")</f>
        <v>1</v>
      </c>
      <c r="I31" s="92" cm="1">
        <f t="array" aca="1" ref="I31" ca="1">IFERROR(INDEX(Rango_Admin_Clas_Total,I$2,MATCH($A31,Rango_Admin_Clas_Primera,0)+1),"-")</f>
        <v>44</v>
      </c>
      <c r="J31" s="92" cm="1">
        <f t="array" aca="1" ref="J31" ca="1">IFERROR(INDEX(Rango_Admin_Clas_Total,J$2,MATCH($A31,Rango_Admin_Clas_Primera,0)+1),"-")</f>
        <v>0</v>
      </c>
      <c r="K31" s="92" cm="1">
        <f t="array" aca="1" ref="K31" ca="1">IFERROR(INDEX(Rango_Admin_Clas_Total,K$2,MATCH($A31,Rango_Admin_Clas_Primera,0)+1),"-")</f>
        <v>5</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Jaime García de la Riva</v>
      </c>
      <c r="D32" s="91">
        <f ca="1">IFERROR(HLOOKUP(A32,Rango_Admin_Clas,4,FALSE),"-")</f>
        <v>260</v>
      </c>
      <c r="E32" s="92" cm="1">
        <f t="array" aca="1" ref="E32" ca="1">IFERROR(INDEX(Rango_Admin_Clas_Total,E$2,MATCH($A32,Rango_Admin_Clas_Primera,0)+1),"-")</f>
        <v>71</v>
      </c>
      <c r="F32" s="92" cm="1">
        <f t="array" aca="1" ref="F32" ca="1">IFERROR(INDEX(Rango_Admin_Clas_Total,F$2,MATCH($A32,Rango_Admin_Clas_Primera,0)+1),"-")</f>
        <v>50</v>
      </c>
      <c r="G32" s="92" cm="1">
        <f t="array" aca="1" ref="G32" ca="1">IFERROR(INDEX(Rango_Admin_Clas_Total,G$2,MATCH($A32,Rango_Admin_Clas_Primera,0)+1),"-")</f>
        <v>75</v>
      </c>
      <c r="H32" s="92" cm="1">
        <f t="array" aca="1" ref="H32" ca="1">IFERROR(INDEX(Rango_Admin_Clas_Total,H$2,MATCH($A32,Rango_Admin_Clas_Primera,0)+1),"-")</f>
        <v>2</v>
      </c>
      <c r="I32" s="92" cm="1">
        <f t="array" aca="1" ref="I32" ca="1">IFERROR(INDEX(Rango_Admin_Clas_Total,I$2,MATCH($A32,Rango_Admin_Clas_Primera,0)+1),"-")</f>
        <v>52</v>
      </c>
      <c r="J32" s="92" cm="1">
        <f t="array" aca="1" ref="J32" ca="1">IFERROR(INDEX(Rango_Admin_Clas_Total,J$2,MATCH($A32,Rango_Admin_Clas_Primera,0)+1),"-")</f>
        <v>0</v>
      </c>
      <c r="K32" s="92" cm="1">
        <f t="array" aca="1" ref="K32" ca="1">IFERROR(INDEX(Rango_Admin_Clas_Total,K$2,MATCH($A32,Rango_Admin_Clas_Primera,0)+1),"-")</f>
        <v>10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Vicuinho</v>
      </c>
      <c r="D33" s="91">
        <f ca="1">IFERROR(HLOOKUP(A33,Rango_Admin_Clas,4,FALSE),"-")</f>
        <v>259</v>
      </c>
      <c r="E33" s="92" cm="1">
        <f t="array" aca="1" ref="E33" ca="1">IFERROR(INDEX(Rango_Admin_Clas_Total,E$2,MATCH($A33,Rango_Admin_Clas_Primera,0)+1),"-")</f>
        <v>63</v>
      </c>
      <c r="F33" s="92" cm="1">
        <f t="array" aca="1" ref="F33" ca="1">IFERROR(INDEX(Rango_Admin_Clas_Total,F$2,MATCH($A33,Rango_Admin_Clas_Primera,0)+1),"-")</f>
        <v>66</v>
      </c>
      <c r="G33" s="92" cm="1">
        <f t="array" aca="1" ref="G33" ca="1">IFERROR(INDEX(Rango_Admin_Clas_Total,G$2,MATCH($A33,Rango_Admin_Clas_Primera,0)+1),"-")</f>
        <v>75</v>
      </c>
      <c r="H33" s="92" cm="1">
        <f t="array" aca="1" ref="H33" ca="1">IFERROR(INDEX(Rango_Admin_Clas_Total,H$2,MATCH($A33,Rango_Admin_Clas_Primera,0)+1),"-")</f>
        <v>6</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5</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Chente Muñoz</v>
      </c>
      <c r="D34" s="91">
        <f ca="1">IFERROR(HLOOKUP(A34,Rango_Admin_Clas,4,FALSE),"-")</f>
        <v>257</v>
      </c>
      <c r="E34" s="92" cm="1">
        <f t="array" aca="1" ref="E34" ca="1">IFERROR(INDEX(Rango_Admin_Clas_Total,E$2,MATCH($A34,Rango_Admin_Clas_Primera,0)+1),"-")</f>
        <v>60</v>
      </c>
      <c r="F34" s="92" cm="1">
        <f t="array" aca="1" ref="F34" ca="1">IFERROR(INDEX(Rango_Admin_Clas_Total,F$2,MATCH($A34,Rango_Admin_Clas_Primera,0)+1),"-")</f>
        <v>66</v>
      </c>
      <c r="G34" s="92" cm="1">
        <f t="array" aca="1" ref="G34" ca="1">IFERROR(INDEX(Rango_Admin_Clas_Total,G$2,MATCH($A34,Rango_Admin_Clas_Primera,0)+1),"-")</f>
        <v>81</v>
      </c>
      <c r="H34" s="92" cm="1">
        <f t="array" aca="1" ref="H34" ca="1">IFERROR(INDEX(Rango_Admin_Clas_Total,H$2,MATCH($A34,Rango_Admin_Clas_Primera,0)+1),"-")</f>
        <v>4</v>
      </c>
      <c r="I34" s="92" cm="1">
        <f t="array" aca="1" ref="I34" ca="1">IFERROR(INDEX(Rango_Admin_Clas_Total,I$2,MATCH($A34,Rango_Admin_Clas_Primera,0)+1),"-")</f>
        <v>36</v>
      </c>
      <c r="J34" s="92" cm="1">
        <f t="array" aca="1" ref="J34" ca="1">IFERROR(INDEX(Rango_Admin_Clas_Total,J$2,MATCH($A34,Rango_Admin_Clas_Primera,0)+1),"-")</f>
        <v>0</v>
      </c>
      <c r="K34" s="92" cm="1">
        <f t="array" aca="1" ref="K34" ca="1">IFERROR(INDEX(Rango_Admin_Clas_Total,K$2,MATCH($A34,Rango_Admin_Clas_Primera,0)+1),"-")</f>
        <v>10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Hulk Rexach</v>
      </c>
      <c r="D35" s="91">
        <f ca="1">IFERROR(HLOOKUP(A35,Rango_Admin_Clas,4,FALSE),"-")</f>
        <v>257</v>
      </c>
      <c r="E35" s="92" cm="1">
        <f t="array" aca="1" ref="E35" ca="1">IFERROR(INDEX(Rango_Admin_Clas_Total,E$2,MATCH($A35,Rango_Admin_Clas_Primera,0)+1),"-")</f>
        <v>66</v>
      </c>
      <c r="F35" s="92" cm="1">
        <f t="array" aca="1" ref="F35" ca="1">IFERROR(INDEX(Rango_Admin_Clas_Total,F$2,MATCH($A35,Rango_Admin_Clas_Primera,0)+1),"-")</f>
        <v>56</v>
      </c>
      <c r="G35" s="92" cm="1">
        <f t="array" aca="1" ref="G35" ca="1">IFERROR(INDEX(Rango_Admin_Clas_Total,G$2,MATCH($A35,Rango_Admin_Clas_Primera,0)+1),"-")</f>
        <v>78</v>
      </c>
      <c r="H35" s="92" cm="1">
        <f t="array" aca="1" ref="H35" ca="1">IFERROR(INDEX(Rango_Admin_Clas_Total,H$2,MATCH($A35,Rango_Admin_Clas_Primera,0)+1),"-")</f>
        <v>3</v>
      </c>
      <c r="I35" s="92" cm="1">
        <f t="array" aca="1" ref="I35" ca="1">IFERROR(INDEX(Rango_Admin_Clas_Total,I$2,MATCH($A35,Rango_Admin_Clas_Primera,0)+1),"-")</f>
        <v>44</v>
      </c>
      <c r="J35" s="92" cm="1">
        <f t="array" aca="1" ref="J35" ca="1">IFERROR(INDEX(Rango_Admin_Clas_Total,J$2,MATCH($A35,Rango_Admin_Clas_Primera,0)+1),"-")</f>
        <v>0</v>
      </c>
      <c r="K35" s="92" cm="1">
        <f t="array" aca="1" ref="K35" ca="1">IFERROR(INDEX(Rango_Admin_Clas_Total,K$2,MATCH($A35,Rango_Admin_Clas_Primera,0)+1),"-")</f>
        <v>10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30</v>
      </c>
      <c r="C36" s="18" t="str">
        <f ca="1">IFERROR(HLOOKUP(A36,Rango_Admin_Clas,5,FALSE),"-")</f>
        <v>DIDI</v>
      </c>
      <c r="D36" s="91">
        <f ca="1">IFERROR(HLOOKUP(A36,Rango_Admin_Clas,4,FALSE),"-")</f>
        <v>257</v>
      </c>
      <c r="E36" s="92" cm="1">
        <f t="array" aca="1" ref="E36" ca="1">IFERROR(INDEX(Rango_Admin_Clas_Total,E$2,MATCH($A36,Rango_Admin_Clas_Primera,0)+1),"-")</f>
        <v>67</v>
      </c>
      <c r="F36" s="92" cm="1">
        <f t="array" aca="1" ref="F36" ca="1">IFERROR(INDEX(Rango_Admin_Clas_Total,F$2,MATCH($A36,Rango_Admin_Clas_Primera,0)+1),"-")</f>
        <v>58</v>
      </c>
      <c r="G36" s="92" cm="1">
        <f t="array" aca="1" ref="G36" ca="1">IFERROR(INDEX(Rango_Admin_Clas_Total,G$2,MATCH($A36,Rango_Admin_Clas_Primera,0)+1),"-")</f>
        <v>78</v>
      </c>
      <c r="H36" s="92" cm="1">
        <f t="array" aca="1" ref="H36" ca="1">IFERROR(INDEX(Rango_Admin_Clas_Total,H$2,MATCH($A36,Rango_Admin_Clas_Primera,0)+1),"-")</f>
        <v>6</v>
      </c>
      <c r="I36" s="92" cm="1">
        <f t="array" aca="1" ref="I36" ca="1">IFERROR(INDEX(Rango_Admin_Clas_Total,I$2,MATCH($A36,Rango_Admin_Clas_Primera,0)+1),"-")</f>
        <v>48</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BeliBeltrán</v>
      </c>
      <c r="D37" s="91">
        <f ca="1">IFERROR(HLOOKUP(A37,Rango_Admin_Clas,4,FALSE),"-")</f>
        <v>256</v>
      </c>
      <c r="E37" s="92" cm="1">
        <f t="array" aca="1" ref="E37" ca="1">IFERROR(INDEX(Rango_Admin_Clas_Total,E$2,MATCH($A37,Rango_Admin_Clas_Primera,0)+1),"-")</f>
        <v>58</v>
      </c>
      <c r="F37" s="92" cm="1">
        <f t="array" aca="1" ref="F37" ca="1">IFERROR(INDEX(Rango_Admin_Clas_Total,F$2,MATCH($A37,Rango_Admin_Clas_Primera,0)+1),"-")</f>
        <v>54</v>
      </c>
      <c r="G37" s="92" cm="1">
        <f t="array" aca="1" ref="G37" ca="1">IFERROR(INDEX(Rango_Admin_Clas_Total,G$2,MATCH($A37,Rango_Admin_Clas_Primera,0)+1),"-")</f>
        <v>72</v>
      </c>
      <c r="H37" s="92" cm="1">
        <f t="array" aca="1" ref="H37" ca="1">IFERROR(INDEX(Rango_Admin_Clas_Total,H$2,MATCH($A37,Rango_Admin_Clas_Primera,0)+1),"-")</f>
        <v>5</v>
      </c>
      <c r="I37" s="92" cm="1">
        <f t="array" aca="1" ref="I37" ca="1">IFERROR(INDEX(Rango_Admin_Clas_Total,I$2,MATCH($A37,Rango_Admin_Clas_Primera,0)+1),"-")</f>
        <v>48</v>
      </c>
      <c r="J37" s="92" cm="1">
        <f t="array" aca="1" ref="J37" ca="1">IFERROR(INDEX(Rango_Admin_Clas_Total,J$2,MATCH($A37,Rango_Admin_Clas_Primera,0)+1),"-")</f>
        <v>4</v>
      </c>
      <c r="K37" s="92" cm="1">
        <f t="array" aca="1" ref="K37" ca="1">IFERROR(INDEX(Rango_Admin_Clas_Total,K$2,MATCH($A37,Rango_Admin_Clas_Primera,0)+1),"-")</f>
        <v>15</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Fercho Muro Matosex</v>
      </c>
      <c r="D38" s="91">
        <f ca="1">IFERROR(HLOOKUP(A38,Rango_Admin_Clas,4,FALSE),"-")</f>
        <v>255</v>
      </c>
      <c r="E38" s="92" cm="1">
        <f t="array" aca="1" ref="E38" ca="1">IFERROR(INDEX(Rango_Admin_Clas_Total,E$2,MATCH($A38,Rango_Admin_Clas_Primera,0)+1),"-")</f>
        <v>62</v>
      </c>
      <c r="F38" s="92" cm="1">
        <f t="array" aca="1" ref="F38" ca="1">IFERROR(INDEX(Rango_Admin_Clas_Total,F$2,MATCH($A38,Rango_Admin_Clas_Primera,0)+1),"-")</f>
        <v>56</v>
      </c>
      <c r="G38" s="92" cm="1">
        <f t="array" aca="1" ref="G38" ca="1">IFERROR(INDEX(Rango_Admin_Clas_Total,G$2,MATCH($A38,Rango_Admin_Clas_Primera,0)+1),"-")</f>
        <v>84</v>
      </c>
      <c r="H38" s="92" cm="1">
        <f t="array" aca="1" ref="H38" ca="1">IFERROR(INDEX(Rango_Admin_Clas_Total,H$2,MATCH($A38,Rango_Admin_Clas_Primera,0)+1),"-")</f>
        <v>11</v>
      </c>
      <c r="I38" s="92" cm="1">
        <f t="array" aca="1" ref="I38" ca="1">IFERROR(INDEX(Rango_Admin_Clas_Total,I$2,MATCH($A38,Rango_Admin_Clas_Primera,0)+1),"-")</f>
        <v>32</v>
      </c>
      <c r="J38" s="92" cm="1">
        <f t="array" aca="1" ref="J38" ca="1">IFERROR(INDEX(Rango_Admin_Clas_Total,J$2,MATCH($A38,Rango_Admin_Clas_Primera,0)+1),"-")</f>
        <v>0</v>
      </c>
      <c r="K38" s="92" cm="1">
        <f t="array" aca="1" ref="K38" ca="1">IFERROR(INDEX(Rango_Admin_Clas_Total,K$2,MATCH($A38,Rango_Admin_Clas_Primera,0)+1),"-")</f>
        <v>10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253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5</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bau</v>
      </c>
      <c r="D40" s="91">
        <f ca="1">IFERROR(HLOOKUP(A40,Rango_Admin_Clas,4,FALSE),"-")</f>
        <v>252</v>
      </c>
      <c r="E40" s="92" cm="1">
        <f t="array" aca="1" ref="E40" ca="1">IFERROR(INDEX(Rango_Admin_Clas_Total,E$2,MATCH($A40,Rango_Admin_Clas_Primera,0)+1),"-")</f>
        <v>69</v>
      </c>
      <c r="F40" s="92" cm="1">
        <f t="array" aca="1" ref="F40" ca="1">IFERROR(INDEX(Rango_Admin_Clas_Total,F$2,MATCH($A40,Rango_Admin_Clas_Primera,0)+1),"-")</f>
        <v>50</v>
      </c>
      <c r="G40" s="92" cm="1">
        <f t="array" aca="1" ref="G40" ca="1">IFERROR(INDEX(Rango_Admin_Clas_Total,G$2,MATCH($A40,Rango_Admin_Clas_Primera,0)+1),"-")</f>
        <v>78</v>
      </c>
      <c r="H40" s="92" cm="1">
        <f t="array" aca="1" ref="H40" ca="1">IFERROR(INDEX(Rango_Admin_Clas_Total,H$2,MATCH($A40,Rango_Admin_Clas_Primera,0)+1),"-")</f>
        <v>2</v>
      </c>
      <c r="I40" s="92" cm="1">
        <f t="array" aca="1" ref="I40" ca="1">IFERROR(INDEX(Rango_Admin_Clas_Total,I$2,MATCH($A40,Rango_Admin_Clas_Primera,0)+1),"-")</f>
        <v>48</v>
      </c>
      <c r="J40" s="92" cm="1">
        <f t="array" aca="1" ref="J40" ca="1">IFERROR(INDEX(Rango_Admin_Clas_Total,J$2,MATCH($A40,Rango_Admin_Clas_Primera,0)+1),"-")</f>
        <v>0</v>
      </c>
      <c r="K40" s="92" cm="1">
        <f t="array" aca="1" ref="K40" ca="1">IFERROR(INDEX(Rango_Admin_Clas_Total,K$2,MATCH($A40,Rango_Admin_Clas_Primera,0)+1),"-")</f>
        <v>5</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Ricardo Soto</v>
      </c>
      <c r="D41" s="91">
        <f ca="1">IFERROR(HLOOKUP(A41,Rango_Admin_Clas,4,FALSE),"-")</f>
        <v>251</v>
      </c>
      <c r="E41" s="92" cm="1">
        <f t="array" aca="1" ref="E41" ca="1">IFERROR(INDEX(Rango_Admin_Clas_Total,E$2,MATCH($A41,Rango_Admin_Clas_Primera,0)+1),"-")</f>
        <v>71</v>
      </c>
      <c r="F41" s="92" cm="1">
        <f t="array" aca="1" ref="F41" ca="1">IFERROR(INDEX(Rango_Admin_Clas_Total,F$2,MATCH($A41,Rango_Admin_Clas_Primera,0)+1),"-")</f>
        <v>52</v>
      </c>
      <c r="G41" s="92" cm="1">
        <f t="array" aca="1" ref="G41" ca="1">IFERROR(INDEX(Rango_Admin_Clas_Total,G$2,MATCH($A41,Rango_Admin_Clas_Primera,0)+1),"-")</f>
        <v>78</v>
      </c>
      <c r="H41" s="92" cm="1">
        <f t="array" aca="1" ref="H41" ca="1">IFERROR(INDEX(Rango_Admin_Clas_Total,H$2,MATCH($A41,Rango_Admin_Clas_Primera,0)+1),"-")</f>
        <v>3</v>
      </c>
      <c r="I41" s="92" cm="1">
        <f t="array" aca="1" ref="I41" ca="1">IFERROR(INDEX(Rango_Admin_Clas_Total,I$2,MATCH($A41,Rango_Admin_Clas_Primera,0)+1),"-")</f>
        <v>40</v>
      </c>
      <c r="J41" s="92" cm="1">
        <f t="array" aca="1" ref="J41" ca="1">IFERROR(INDEX(Rango_Admin_Clas_Total,J$2,MATCH($A41,Rango_Admin_Clas_Primera,0)+1),"-")</f>
        <v>2</v>
      </c>
      <c r="K41" s="92" cm="1">
        <f t="array" aca="1" ref="K41" ca="1">IFERROR(INDEX(Rango_Admin_Clas_Total,K$2,MATCH($A41,Rango_Admin_Clas_Primera,0)+1),"-")</f>
        <v>5</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Pablo C</v>
      </c>
      <c r="D42" s="91">
        <f ca="1">IFERROR(HLOOKUP(A42,Rango_Admin_Clas,4,FALSE),"-")</f>
        <v>250</v>
      </c>
      <c r="E42" s="92" cm="1">
        <f t="array" aca="1" ref="E42" ca="1">IFERROR(INDEX(Rango_Admin_Clas_Total,E$2,MATCH($A42,Rango_Admin_Clas_Primera,0)+1),"-")</f>
        <v>67</v>
      </c>
      <c r="F42" s="92" cm="1">
        <f t="array" aca="1" ref="F42" ca="1">IFERROR(INDEX(Rango_Admin_Clas_Total,F$2,MATCH($A42,Rango_Admin_Clas_Primera,0)+1),"-")</f>
        <v>56</v>
      </c>
      <c r="G42" s="92" cm="1">
        <f t="array" aca="1" ref="G42" ca="1">IFERROR(INDEX(Rango_Admin_Clas_Total,G$2,MATCH($A42,Rango_Admin_Clas_Primera,0)+1),"-")</f>
        <v>81</v>
      </c>
      <c r="H42" s="92" cm="1">
        <f t="array" aca="1" ref="H42" ca="1">IFERROR(INDEX(Rango_Admin_Clas_Total,H$2,MATCH($A42,Rango_Admin_Clas_Primera,0)+1),"-")</f>
        <v>1</v>
      </c>
      <c r="I42" s="92" cm="1">
        <f t="array" aca="1" ref="I42" ca="1">IFERROR(INDEX(Rango_Admin_Clas_Total,I$2,MATCH($A42,Rango_Admin_Clas_Primera,0)+1),"-")</f>
        <v>40</v>
      </c>
      <c r="J42" s="92" cm="1">
        <f t="array" aca="1" ref="J42" ca="1">IFERROR(INDEX(Rango_Admin_Clas_Total,J$2,MATCH($A42,Rango_Admin_Clas_Primera,0)+1),"-")</f>
        <v>0</v>
      </c>
      <c r="K42" s="92" cm="1">
        <f t="array" aca="1" ref="K42" ca="1">IFERROR(INDEX(Rango_Admin_Clas_Total,K$2,MATCH($A42,Rango_Admin_Clas_Primera,0)+1),"-")</f>
        <v>5</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250</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5</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 xml:space="preserve">Martín Matoses </v>
      </c>
      <c r="D44" s="91">
        <f ca="1">IFERROR(HLOOKUP(A44,Rango_Admin_Clas,4,FALSE),"-")</f>
        <v>247</v>
      </c>
      <c r="E44" s="92" cm="1">
        <f t="array" aca="1" ref="E44" ca="1">IFERROR(INDEX(Rango_Admin_Clas_Total,E$2,MATCH($A44,Rango_Admin_Clas_Primera,0)+1),"-")</f>
        <v>68</v>
      </c>
      <c r="F44" s="92" cm="1">
        <f t="array" aca="1" ref="F44" ca="1">IFERROR(INDEX(Rango_Admin_Clas_Total,F$2,MATCH($A44,Rango_Admin_Clas_Primera,0)+1),"-")</f>
        <v>44</v>
      </c>
      <c r="G44" s="92" cm="1">
        <f t="array" aca="1" ref="G44" ca="1">IFERROR(INDEX(Rango_Admin_Clas_Total,G$2,MATCH($A44,Rango_Admin_Clas_Primera,0)+1),"-")</f>
        <v>84</v>
      </c>
      <c r="H44" s="92" cm="1">
        <f t="array" aca="1" ref="H44" ca="1">IFERROR(INDEX(Rango_Admin_Clas_Total,H$2,MATCH($A44,Rango_Admin_Clas_Primera,0)+1),"-")</f>
        <v>2</v>
      </c>
      <c r="I44" s="92" cm="1">
        <f t="array" aca="1" ref="I44" ca="1">IFERROR(INDEX(Rango_Admin_Clas_Total,I$2,MATCH($A44,Rango_Admin_Clas_Primera,0)+1),"-")</f>
        <v>44</v>
      </c>
      <c r="J44" s="92" cm="1">
        <f t="array" aca="1" ref="J44" ca="1">IFERROR(INDEX(Rango_Admin_Clas_Total,J$2,MATCH($A44,Rango_Admin_Clas_Primera,0)+1),"-")</f>
        <v>0</v>
      </c>
      <c r="K44" s="92" cm="1">
        <f t="array" aca="1" ref="K44" ca="1">IFERROR(INDEX(Rango_Admin_Clas_Total,K$2,MATCH($A44,Rango_Admin_Clas_Primera,0)+1),"-")</f>
        <v>5</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209</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0.88461538461538458</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269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1</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1</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1</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1</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2026-07-06T05:38:34Z</dcterms:modified>
  <cp:category/>
</cp:coreProperties>
</file>