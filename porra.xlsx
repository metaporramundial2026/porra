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41" documentId="13_ncr:1_{AF5F34E1-3CEA-4E5C-856E-DF27FFEF07FE}" xr6:coauthVersionLast="47" xr6:coauthVersionMax="47" xr10:uidLastSave="{1B8F9B4B-EEB9-415C-A08F-D8C1BD0655A9}"/>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5" i="46"/>
  <c r="EI267" i="46" s="1"/>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M33" i="46"/>
  <c r="Q244" i="46"/>
  <c r="Q179" i="46"/>
  <c r="E221" i="46"/>
  <c r="Q45" i="46"/>
  <c r="Q76" i="46"/>
  <c r="E233" i="46"/>
  <c r="M61" i="46"/>
  <c r="M45" i="46"/>
  <c r="M69" i="46"/>
  <c r="M29" i="46"/>
  <c r="Q201" i="46"/>
  <c r="M221" i="46"/>
  <c r="M49" i="46"/>
  <c r="M77" i="46"/>
  <c r="M57" i="46"/>
  <c r="E223" i="46"/>
  <c r="M26" i="46"/>
  <c r="M36" i="46"/>
  <c r="M50" i="46"/>
  <c r="M47" i="46"/>
  <c r="M62" i="46"/>
  <c r="M44" i="46"/>
  <c r="M53" i="46"/>
  <c r="M14" i="46"/>
  <c r="M17" i="46"/>
  <c r="D107" i="36"/>
  <c r="M84" i="34" s="1"/>
  <c r="S267" i="46"/>
  <c r="M20" i="46" l="1"/>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Q40" i="46"/>
  <c r="Q44" i="46"/>
  <c r="T44" i="46" s="1"/>
  <c r="Q30" i="46"/>
  <c r="P203" i="46"/>
  <c r="Q203" i="46"/>
  <c r="Q207" i="46"/>
  <c r="Q65" i="46"/>
  <c r="Q232" i="46"/>
  <c r="Q33" i="46"/>
  <c r="Q37" i="46"/>
  <c r="Q41" i="46"/>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I54" i="46"/>
  <c r="EL54" i="46"/>
  <c r="EO54" i="46"/>
  <c r="EX54" i="46"/>
  <c r="FA54" i="46"/>
  <c r="FD54" i="46"/>
  <c r="D367" i="36"/>
  <c r="H244" i="46"/>
  <c r="H201" i="46"/>
  <c r="H214" i="46"/>
  <c r="H155" i="46"/>
  <c r="H140" i="46"/>
  <c r="H138" i="46"/>
  <c r="K193" i="46"/>
  <c r="K183" i="46"/>
  <c r="FD220" i="46"/>
  <c r="EI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36" i="46"/>
  <c r="W52" i="46"/>
  <c r="W44" i="46"/>
  <c r="W26" i="46"/>
  <c r="W75" i="46"/>
  <c r="W33"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AI33" i="46"/>
  <c r="BG33" i="46"/>
  <c r="CE33" i="46"/>
  <c r="AI26" i="46"/>
  <c r="AL33" i="46"/>
  <c r="BJ33" i="46"/>
  <c r="BJ26" i="46"/>
  <c r="AO33" i="46"/>
  <c r="BM33" i="46"/>
  <c r="BV17" i="46"/>
  <c r="CH26" i="46"/>
  <c r="AR33" i="46"/>
  <c r="BP33" i="46"/>
  <c r="AU33" i="46"/>
  <c r="BS33" i="46"/>
  <c r="AC33" i="46"/>
  <c r="AI36" i="46"/>
  <c r="BG36" i="46"/>
  <c r="CE36" i="46"/>
  <c r="AF33" i="46"/>
  <c r="AL36" i="46"/>
  <c r="BJ36" i="46"/>
  <c r="CH36" i="46"/>
  <c r="AX33" i="46"/>
  <c r="AO36" i="46"/>
  <c r="BM36" i="46"/>
  <c r="CK36" i="46"/>
  <c r="BA33"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BY33" i="46"/>
  <c r="Z36" i="46"/>
  <c r="BY37" i="46"/>
  <c r="AF41" i="46"/>
  <c r="BJ41" i="46"/>
  <c r="AO44" i="46"/>
  <c r="BP44" i="46"/>
  <c r="Z45" i="46"/>
  <c r="BA45" i="46"/>
  <c r="CB45" i="46"/>
  <c r="AU47" i="46"/>
  <c r="BS47" i="46"/>
  <c r="CQ47" i="46"/>
  <c r="AC49" i="46"/>
  <c r="BA49" i="46"/>
  <c r="BY49" i="46"/>
  <c r="CB33"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K154" i="46" l="1"/>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EI244" i="46"/>
  <c r="K148" i="46"/>
  <c r="AZ29" i="3"/>
  <c r="K155" i="46"/>
  <c r="FJ232" i="46"/>
  <c r="FD244" i="46"/>
  <c r="FG232" i="46"/>
  <c r="FA244" i="46"/>
  <c r="K134" i="46"/>
  <c r="K159" i="46"/>
  <c r="K161" i="46"/>
  <c r="EI232" i="46"/>
  <c r="K151" i="46"/>
  <c r="K145" i="46"/>
  <c r="K152" i="46"/>
  <c r="EO244" i="46"/>
  <c r="K147" i="46"/>
  <c r="EX232" i="46"/>
  <c r="K133" i="46"/>
  <c r="EU200" i="46"/>
  <c r="FD232" i="46"/>
  <c r="EU244" i="46"/>
  <c r="EX244" i="46"/>
  <c r="AZ93" i="3"/>
  <c r="ER244" i="46"/>
  <c r="K143" i="46"/>
  <c r="E4" i="47"/>
  <c r="J5" i="46"/>
  <c r="K228" i="46"/>
  <c r="AJ53" i="3"/>
  <c r="Z33" i="3"/>
  <c r="EI200" i="46"/>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I6" i="46"/>
  <c r="EJ6" i="46" s="1"/>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I253" i="46"/>
  <c r="EJ253" i="46" s="1"/>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I30" i="46"/>
  <c r="EJ30" i="46" s="1"/>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EI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F18" i="48" a="1"/>
  <c r="F18" i="48" s="1"/>
  <c r="E19" i="48"/>
  <c r="BX39" i="3" l="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CB27" i="3" s="1"/>
  <c r="I81" i="3"/>
  <c r="CB45" i="3" s="1"/>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H28" i="3"/>
  <c r="CA19" i="3" s="1"/>
  <c r="I93" i="3"/>
  <c r="CA52" i="3" s="1"/>
  <c r="H52" i="3"/>
  <c r="I28" i="3"/>
  <c r="H54" i="3"/>
  <c r="I40" i="3"/>
  <c r="CB23" i="3" s="1"/>
  <c r="I71" i="3"/>
  <c r="I76" i="3"/>
  <c r="CB42" i="3" s="1"/>
  <c r="H96" i="3"/>
  <c r="CA50" i="3" s="1"/>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B31" i="3" l="1"/>
  <c r="CA34" i="3"/>
  <c r="CA36" i="3"/>
  <c r="CC36" i="3" s="1"/>
  <c r="CA27" i="3"/>
  <c r="CC27" i="3" s="1"/>
  <c r="CB37" i="3"/>
  <c r="CA45" i="3"/>
  <c r="CC45" i="3" s="1"/>
  <c r="CA43" i="3"/>
  <c r="CC43" i="3" s="1"/>
  <c r="CB26" i="3"/>
  <c r="CB9" i="3"/>
  <c r="CA42" i="3"/>
  <c r="CC42" i="3" s="1"/>
  <c r="CB44" i="3"/>
  <c r="CA18" i="3"/>
  <c r="CB20" i="3"/>
  <c r="CB18" i="3"/>
  <c r="CA53" i="3"/>
  <c r="CB12" i="3"/>
  <c r="CA44" i="3"/>
  <c r="CA31" i="3"/>
  <c r="CA12" i="3"/>
  <c r="CA20" i="3"/>
  <c r="CA11" i="3"/>
  <c r="CB53" i="3"/>
  <c r="CA46" i="3"/>
  <c r="CC46" i="3" s="1"/>
  <c r="CA14" i="3"/>
  <c r="CB14" i="3"/>
  <c r="CA15" i="3"/>
  <c r="CB17" i="3"/>
  <c r="CB15" i="3"/>
  <c r="CA17" i="3"/>
  <c r="CB6" i="3"/>
  <c r="CC6" i="3" s="1"/>
  <c r="CB39" i="3"/>
  <c r="CB50" i="3"/>
  <c r="CC50" i="3" s="1"/>
  <c r="CA48" i="3"/>
  <c r="CC48" i="3" s="1"/>
  <c r="CA49" i="3"/>
  <c r="CC49" i="3" s="1"/>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1" i="3" l="1"/>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CF14" i="3" s="1"/>
  <c r="L25" i="3"/>
  <c r="K24" i="3"/>
  <c r="L46" i="3"/>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CF33" i="3" s="1"/>
  <c r="L4" i="3"/>
  <c r="L64" i="3"/>
  <c r="CF35" i="3" s="1"/>
  <c r="L54" i="3"/>
  <c r="K88" i="3"/>
  <c r="K87" i="3"/>
  <c r="CF47" i="3" s="1"/>
  <c r="K61" i="3"/>
  <c r="CF37" i="3" s="1"/>
  <c r="L47" i="3"/>
  <c r="CF29" i="3" s="1"/>
  <c r="CF49" i="3"/>
  <c r="CF45" i="3"/>
  <c r="CF16" i="3"/>
  <c r="E9" i="51"/>
  <c r="CF22" i="3"/>
  <c r="CF27" i="3"/>
  <c r="CF26" i="3"/>
  <c r="B46" i="51"/>
  <c r="B47" i="51" s="1"/>
  <c r="E10" i="51"/>
  <c r="E28" i="48"/>
  <c r="F27" i="48" a="1"/>
  <c r="F27" i="48" s="1"/>
  <c r="E12" i="51"/>
  <c r="E11" i="51"/>
  <c r="CF25" i="3" l="1"/>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E31" i="48"/>
  <c r="F30" i="48" a="1"/>
  <c r="F30" i="48" s="1"/>
  <c r="O88" i="3" l="1"/>
  <c r="O93" i="3"/>
  <c r="O78" i="3"/>
  <c r="O53" i="3"/>
  <c r="CJ32" i="3" s="1"/>
  <c r="N96" i="3"/>
  <c r="O80" i="3"/>
  <c r="N47" i="3"/>
  <c r="O22" i="3"/>
  <c r="CJ17" i="3" s="1"/>
  <c r="N84" i="3"/>
  <c r="O97" i="3"/>
  <c r="O16" i="3"/>
  <c r="N15" i="3"/>
  <c r="O15" i="3"/>
  <c r="O61" i="3"/>
  <c r="CJ36" i="3" s="1"/>
  <c r="CJ37" i="3"/>
  <c r="N13" i="3"/>
  <c r="CJ13" i="3" s="1"/>
  <c r="N65" i="3"/>
  <c r="O69" i="3"/>
  <c r="CK40" i="3" s="1"/>
  <c r="O62" i="3"/>
  <c r="N55" i="3"/>
  <c r="O20" i="3"/>
  <c r="CI14" i="3" s="1"/>
  <c r="O64" i="3"/>
  <c r="N5" i="3"/>
  <c r="CK9" i="3" s="1"/>
  <c r="O14" i="3"/>
  <c r="N93" i="3"/>
  <c r="N33" i="3"/>
  <c r="N52" i="3"/>
  <c r="CJ31" i="3" s="1"/>
  <c r="O57" i="3"/>
  <c r="N17" i="3"/>
  <c r="O31" i="3"/>
  <c r="O84" i="3"/>
  <c r="O45" i="3"/>
  <c r="N9" i="3"/>
  <c r="O52" i="3"/>
  <c r="CJ30" i="3" s="1"/>
  <c r="N80" i="3"/>
  <c r="O55" i="3"/>
  <c r="O81" i="3"/>
  <c r="N76" i="3"/>
  <c r="CK43" i="3" s="1"/>
  <c r="O29" i="3"/>
  <c r="O71" i="3"/>
  <c r="N69" i="3"/>
  <c r="CI41" i="3" s="1"/>
  <c r="O37" i="3"/>
  <c r="CI24" i="3" s="1"/>
  <c r="O60" i="3"/>
  <c r="O47" i="3"/>
  <c r="N8" i="3"/>
  <c r="N31" i="3"/>
  <c r="N48" i="3"/>
  <c r="O54" i="3"/>
  <c r="CK30" i="3" s="1"/>
  <c r="N16" i="3"/>
  <c r="O56" i="3"/>
  <c r="O38" i="3"/>
  <c r="N73" i="3"/>
  <c r="N24" i="3"/>
  <c r="N64" i="3"/>
  <c r="O5" i="3"/>
  <c r="CI8" i="3" s="1"/>
  <c r="O70" i="3"/>
  <c r="CJ38" i="3" s="1"/>
  <c r="N39" i="3"/>
  <c r="O40" i="3"/>
  <c r="O13" i="3"/>
  <c r="N22" i="3"/>
  <c r="N89" i="3"/>
  <c r="O4" i="3"/>
  <c r="N62" i="3"/>
  <c r="O92" i="3"/>
  <c r="N60" i="3"/>
  <c r="CJ35" i="3" s="1"/>
  <c r="O41" i="3"/>
  <c r="N36" i="3"/>
  <c r="CK23" i="3" s="1"/>
  <c r="N4" i="3"/>
  <c r="CK7" i="3" s="1"/>
  <c r="N92" i="3"/>
  <c r="O76" i="3"/>
  <c r="CI42" i="3" s="1"/>
  <c r="N79" i="3"/>
  <c r="N81" i="3"/>
  <c r="N46" i="3"/>
  <c r="N68" i="3"/>
  <c r="CK39" i="3" s="1"/>
  <c r="O49" i="3"/>
  <c r="O32" i="3"/>
  <c r="N23" i="3"/>
  <c r="N70" i="3"/>
  <c r="N20" i="3"/>
  <c r="CK15" i="3" s="1"/>
  <c r="N30" i="3"/>
  <c r="O39" i="3"/>
  <c r="N29" i="3"/>
  <c r="CK21" i="3" s="1"/>
  <c r="N40" i="3"/>
  <c r="O8" i="3"/>
  <c r="CK27" i="3" s="1"/>
  <c r="O33" i="3"/>
  <c r="N94" i="3"/>
  <c r="O9" i="3"/>
  <c r="O23" i="3"/>
  <c r="O95" i="3"/>
  <c r="N87" i="3"/>
  <c r="N88" i="3"/>
  <c r="CJ28" i="3"/>
  <c r="CJ51" i="3"/>
  <c r="CJ19" i="3"/>
  <c r="CI12" i="3"/>
  <c r="CK35" i="3"/>
  <c r="CK45" i="3"/>
  <c r="CJ45" i="3"/>
  <c r="CJ42" i="3"/>
  <c r="CI10" i="3"/>
  <c r="CK6" i="3"/>
  <c r="CK33" i="3"/>
  <c r="CJ52" i="3"/>
  <c r="CJ53" i="3"/>
  <c r="CI15" i="3"/>
  <c r="CK48" i="3"/>
  <c r="CJ29" i="3"/>
  <c r="CK50" i="3"/>
  <c r="CI33" i="3"/>
  <c r="CK37" i="3"/>
  <c r="CK44" i="3"/>
  <c r="CK28" i="3"/>
  <c r="CK51" i="3"/>
  <c r="CJ10" i="3"/>
  <c r="CJ21" i="3"/>
  <c r="CJ49" i="3"/>
  <c r="CI32" i="3"/>
  <c r="CJ43" i="3"/>
  <c r="CI47" i="3"/>
  <c r="CK18" i="3"/>
  <c r="CK36" i="3"/>
  <c r="CI49" i="3"/>
  <c r="CI17" i="3"/>
  <c r="CK53" i="3"/>
  <c r="CI31" i="3"/>
  <c r="CJ11" i="3"/>
  <c r="CK13" i="3"/>
  <c r="CI35" i="3"/>
  <c r="CI18" i="3"/>
  <c r="CK19" i="3"/>
  <c r="CI46" i="3"/>
  <c r="CK24" i="3"/>
  <c r="CI20" i="3"/>
  <c r="CI26" i="3"/>
  <c r="CK42" i="3"/>
  <c r="CI25" i="3"/>
  <c r="CI40" i="3"/>
  <c r="CJ12" i="3"/>
  <c r="CK41" i="3"/>
  <c r="CI27" i="3"/>
  <c r="CK26" i="3"/>
  <c r="CI23" i="3"/>
  <c r="CJ20" i="3"/>
  <c r="CI16" i="3"/>
  <c r="CI51" i="3"/>
  <c r="CI43" i="3"/>
  <c r="CI38" i="3"/>
  <c r="CI45" i="3"/>
  <c r="CK31" i="3"/>
  <c r="CK22" i="3"/>
  <c r="CJ33" i="3"/>
  <c r="CI22" i="3"/>
  <c r="CI11" i="3"/>
  <c r="CI7" i="3"/>
  <c r="CK52" i="3"/>
  <c r="CJ44" i="3"/>
  <c r="CK25" i="3"/>
  <c r="CI44" i="3"/>
  <c r="CK47" i="3"/>
  <c r="CI53" i="3"/>
  <c r="CK46" i="3"/>
  <c r="CJ46" i="3"/>
  <c r="CK49" i="3"/>
  <c r="CI9" i="3"/>
  <c r="CK38" i="3"/>
  <c r="CK17" i="3"/>
  <c r="CK8" i="3"/>
  <c r="CI29" i="3"/>
  <c r="CJ9" i="3"/>
  <c r="CK10" i="3"/>
  <c r="CJ50" i="3"/>
  <c r="CJ47" i="3"/>
  <c r="CK16" i="3"/>
  <c r="CJ18" i="3"/>
  <c r="CI36" i="3"/>
  <c r="CK20" i="3"/>
  <c r="CI21" i="3"/>
  <c r="CI19" i="3"/>
  <c r="CJ22" i="3"/>
  <c r="CK29" i="3"/>
  <c r="CK14" i="3"/>
  <c r="CI28" i="3"/>
  <c r="CI34" i="3"/>
  <c r="CK12" i="3"/>
  <c r="CJ16" i="3"/>
  <c r="CI6" i="3"/>
  <c r="CJ48" i="3"/>
  <c r="CI50" i="3"/>
  <c r="CI39" i="3"/>
  <c r="CI37" i="3"/>
  <c r="CI30" i="3"/>
  <c r="CK11" i="3"/>
  <c r="CI52" i="3"/>
  <c r="CK34" i="3"/>
  <c r="CK32" i="3"/>
  <c r="CI48" i="3"/>
  <c r="CI13" i="3"/>
  <c r="CJ6" i="3"/>
  <c r="CJ24" i="3"/>
  <c r="CJ8" i="3"/>
  <c r="CJ7" i="3"/>
  <c r="CJ39" i="3"/>
  <c r="CJ23" i="3"/>
  <c r="CJ25" i="3"/>
  <c r="CJ34" i="3"/>
  <c r="CJ27" i="3"/>
  <c r="CJ26" i="3"/>
  <c r="CJ41" i="3"/>
  <c r="E32" i="48"/>
  <c r="F31" i="48" a="1"/>
  <c r="F31" i="48" s="1"/>
  <c r="CJ15" i="3" l="1"/>
  <c r="CL15" i="3" s="1"/>
  <c r="CL32" i="3"/>
  <c r="CL42" i="3"/>
  <c r="CL41" i="3"/>
  <c r="CL53" i="3"/>
  <c r="CJ14" i="3"/>
  <c r="CL14" i="3" s="1"/>
  <c r="CL30"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F34" i="48" a="1"/>
  <c r="F34" i="48" s="1"/>
  <c r="E35" i="48"/>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F35" i="48" a="1"/>
  <c r="F35" i="48" s="1"/>
  <c r="E36" i="48"/>
  <c r="CP30" i="3" l="1"/>
  <c r="CP9" i="3"/>
  <c r="CO38" i="3"/>
  <c r="CO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s="1"/>
  <c r="CO31" i="3"/>
  <c r="CO28" i="3"/>
  <c r="CO48" i="3"/>
  <c r="CP28" i="3"/>
  <c r="CP29" i="3"/>
  <c r="CO37" i="3"/>
  <c r="CO47" i="3"/>
  <c r="CP42" i="3"/>
  <c r="CO14" i="3"/>
  <c r="CO33" i="3"/>
  <c r="E37" i="48"/>
  <c r="F36" i="48" a="1"/>
  <c r="F36" i="48" s="1"/>
  <c r="CQ9" i="3" l="1"/>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s="1"/>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s="1"/>
  <c r="E39" i="48"/>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<sst xmlns="http://schemas.openxmlformats.org/spreadsheetml/2006/main" count="16647" uniqueCount="2794">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</sst>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Pegar Valores (J1)</c:v>
                </c:pt>
                <c:pt idx="2">
                  <c:v>1|2-1</c:v>
                </c:pt>
                <c:pt idx="3">
                  <c:v>1|1-0</c:v>
                </c:pt>
                <c:pt idx="4">
                  <c:v>1|3-1</c:v>
                </c:pt>
                <c:pt idx="5">
                  <c:v>1|3-0</c:v>
                </c:pt>
                <c:pt idx="6">
                  <c:v>X|1-1</c:v>
                </c:pt>
                <c:pt idx="7">
                  <c:v>X|2-2</c:v>
                </c:pt>
              </c:strCache>
            </c:strRef>
          </c:cat>
          <c:val>
            <c:numRef>
              <c:f>Stats!$I$8:$I$31</c:f>
              <c:numCache>
                <c:formatCode>General</c:formatCode>
                <c:ptCount val="24"/>
                <c:pt idx="0">
                  <c:v>20</c:v>
                </c:pt>
                <c:pt idx="1">
                  <c:v>10</c:v>
                </c:pt>
                <c:pt idx="2">
                  <c:v>9</c:v>
                </c:pt>
                <c:pt idx="3">
                  <c:v>5</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c:v>
                </c:pt>
                <c:pt idx="1">
                  <c:v>0.05</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4"/>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7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32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46190</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W48" zoomScaleNormal="100" workbookViewId="0">
      <selection activeCell="AD78" sqref="AD78"/>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P.1 (2)</v>
      </c>
      <c r="F4" s="744" t="str">
        <f t="shared" ref="F4:F9" ca="1" si="2">IF(D4="Pendiente","-",INDEX($BT$6:$BT$53,MATCH($AF4,$BD$6:$BD$53,0)))</f>
        <v>P.3 (2)</v>
      </c>
      <c r="G4" s="744"/>
      <c r="H4" s="744" t="str">
        <f t="shared" ref="H4:H9" ca="1" si="3">IF(D4="Pendiente","-",INDEX($BZ$6:$BZ$53,MATCH($AA4,$BD$6:$BD$53,0)))</f>
        <v>P.1 (2)</v>
      </c>
      <c r="I4" s="744" t="str">
        <f t="shared" ref="I4:I9" ca="1" si="4">IF(D4="Pendiente","-",INDEX($BZ$6:$BZ$53,MATCH($AF4,$BD$6:$BD$53,0)))</f>
        <v>P.3 (2)</v>
      </c>
      <c r="J4" s="744"/>
      <c r="K4" s="744" t="str">
        <f t="shared" ref="K4:K9" ca="1" si="5">IF(D4="Pendiente","-",INDEX($CE$6:$CE$53,MATCH($AA4,$BD$6:$BD$53,0)))</f>
        <v>P.1 (2)</v>
      </c>
      <c r="L4" s="744" t="str">
        <f t="shared" ref="L4:L9" ca="1" si="6">IF(D4="Pendiente","-",INDEX($CE$6:$CE$53,MATCH($AF4,$BD$6:$BD$53,0)))</f>
        <v>P.3 (2)</v>
      </c>
      <c r="M4" s="744"/>
      <c r="N4" s="744" t="str">
        <f t="shared" ref="N4:N9" ca="1" si="7">IF(D4="Pendiente","-",INDEX($CH$6:$CH$53,MATCH($AA4,$BD$6:$BD$53,0)))</f>
        <v>P.1 (2)</v>
      </c>
      <c r="O4" s="744" t="str">
        <f t="shared" ref="O4:O9" ca="1" si="8">IF(D4="Pendiente","-",INDEX($CH$6:$CH$53,MATCH($AF4,$BD$6:$BD$53,0)))</f>
        <v>P.3 (2)</v>
      </c>
      <c r="P4" s="744"/>
      <c r="Q4" s="744" t="str">
        <f t="shared" ref="Q4:Q9" ca="1" si="9">IF(D4="Pendiente","-",INDEX($CN$6:$CN$53,MATCH($AA4,$BD$6:$BD$53,0)))</f>
        <v>P.1 (2)</v>
      </c>
      <c r="R4" s="744" t="str">
        <f t="shared" ref="R4:R9" ca="1" si="10">IF(D4="Pendiente","-",INDEX($CN$6:$CN$53,MATCH($AF4,$BD$6:$BD$53,0)))</f>
        <v>P.3 (2)</v>
      </c>
      <c r="S4" s="744"/>
      <c r="T4" s="744" t="str">
        <f t="shared" ref="T4:T9" ca="1" si="11">IF(D4="Pendiente","-",INDEX($CS$6:$CS$53,MATCH($AA4,$BD$6:$BD$53,0)))</f>
        <v>P.1 (2)</v>
      </c>
      <c r="U4" s="744" t="str">
        <f t="shared" ref="U4:U9" ca="1" si="12">IF(D4="Pendiente","-",INDEX($CS$6:$CS$53,MATCH($AF4,$BD$6:$BD$53,0)))</f>
        <v>P.3 (2)</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P.1 (2)</v>
      </c>
      <c r="F5" s="744" t="str">
        <f t="shared" ca="1" si="2"/>
        <v>P.3 (2)</v>
      </c>
      <c r="G5" s="744"/>
      <c r="H5" s="744" t="str">
        <f t="shared" ca="1" si="3"/>
        <v>P.1 (2)</v>
      </c>
      <c r="I5" s="744" t="str">
        <f t="shared" ca="1" si="4"/>
        <v>P.3 (2)</v>
      </c>
      <c r="J5" s="744"/>
      <c r="K5" s="744" t="str">
        <f t="shared" ca="1" si="5"/>
        <v>P.1 (2)</v>
      </c>
      <c r="L5" s="744" t="str">
        <f t="shared" ca="1" si="6"/>
        <v>P.3 (2)</v>
      </c>
      <c r="M5" s="744"/>
      <c r="N5" s="744" t="str">
        <f t="shared" ca="1" si="7"/>
        <v>P.1 (2)</v>
      </c>
      <c r="O5" s="744" t="str">
        <f t="shared" ca="1" si="8"/>
        <v>P.3 (2)</v>
      </c>
      <c r="P5" s="744"/>
      <c r="Q5" s="744" t="str">
        <f t="shared" ca="1" si="9"/>
        <v>P.1 (2)</v>
      </c>
      <c r="R5" s="744" t="str">
        <f t="shared" ca="1" si="10"/>
        <v>P.3 (2)</v>
      </c>
      <c r="S5" s="744"/>
      <c r="T5" s="744" t="str">
        <f t="shared" ca="1" si="11"/>
        <v>P.1 (2)</v>
      </c>
      <c r="U5" s="744" t="str">
        <f t="shared" ca="1" si="12"/>
        <v>P.3 (2)</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Pendiente</v>
      </c>
      <c r="E6" s="744" t="str">
        <f t="shared" si="1"/>
        <v>-</v>
      </c>
      <c r="F6" s="744" t="str">
        <f t="shared" si="2"/>
        <v>-</v>
      </c>
      <c r="G6" s="744"/>
      <c r="H6" s="744" t="str">
        <f t="shared" si="3"/>
        <v>-</v>
      </c>
      <c r="I6" s="744" t="str">
        <f t="shared" si="4"/>
        <v>-</v>
      </c>
      <c r="J6" s="744"/>
      <c r="K6" s="744" t="str">
        <f t="shared" si="5"/>
        <v>-</v>
      </c>
      <c r="L6" s="744" t="str">
        <f t="shared" si="6"/>
        <v>-</v>
      </c>
      <c r="M6" s="744"/>
      <c r="N6" s="744" t="str">
        <f t="shared" si="7"/>
        <v>-</v>
      </c>
      <c r="O6" s="744" t="str">
        <f t="shared" si="8"/>
        <v>-</v>
      </c>
      <c r="P6" s="744"/>
      <c r="Q6" s="744" t="str">
        <f t="shared" si="9"/>
        <v>-</v>
      </c>
      <c r="R6" s="744" t="str">
        <f t="shared" si="10"/>
        <v>-</v>
      </c>
      <c r="S6" s="744"/>
      <c r="T6" s="744" t="str">
        <f t="shared" si="11"/>
        <v>-</v>
      </c>
      <c r="U6" s="744" t="str">
        <f t="shared"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c r="AD6" s="194"/>
      <c r="AE6" s="483" t="e" cm="1" vm="2">
        <f t="array" aca="1" ref="AE6" ca="1">Ver_flag_visit</f>
        <v>#VALUE!</v>
      </c>
      <c r="AF6" s="195" t="str">
        <f ca="1">A6</f>
        <v>Sudáfrica</v>
      </c>
      <c r="AG6" s="413">
        <f t="shared" si="13"/>
        <v>0</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3</v>
      </c>
      <c r="BF6" s="748">
        <f ca="1">+BG6+BH6+BI6</f>
        <v>1</v>
      </c>
      <c r="BG6" s="748">
        <f t="shared" ref="BG6:BG53" ca="1" si="17">+COUNTIFS(FGLocal,BD6,Ganador,"Local")+COUNTIFS(FGVisitante,BD6,Ganador,"Visitante")</f>
        <v>1</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2</v>
      </c>
      <c r="BK6" s="748">
        <f t="shared" ref="BK6:BK53" ca="1" si="21">+SUMIFS(FG_GolesLocal,FGVisitante,BD6,Ganador,"&lt;&gt;"&amp;"Pendiente",FG_GolesLocal,"&lt;&gt;"&amp;"",FG_GolesVisitante,"&lt;&gt;"&amp;"")+SUMIFS(FG_GolesVisitante,FGLocal,BD6,Ganador,"&lt;&gt;"&amp;"Pendiente",FG_GolesLocal,"&lt;&gt;"&amp;"",FG_GolesVisitante,"&lt;&gt;"&amp;"")</f>
        <v>0</v>
      </c>
      <c r="BL6" s="748">
        <f ca="1">+BJ6-BK6</f>
        <v>2</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3</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P.1 (2)</v>
      </c>
      <c r="BU6" s="758">
        <f ca="1">IF($BT6="-","-",COUNTIFS(FGLocal,$BD6,Ganador,"Local",Part1Empate1V,$BT6)+COUNTIFS(FGVisitante,$BD6,Ganador,"Visitante",Part1Empate1L,$BT6))</f>
        <v>0</v>
      </c>
      <c r="BV6" s="758">
        <f ca="1">IF($BT6="-","-",COUNTIFS(FGLocal,$BD6,Ganador,"Empate",Part1Empate1V,$BT6)+COUNTIFS(FGVisitante,$BD6,Ganador,"Empate",Part1Empate1L,$BT6))</f>
        <v>0</v>
      </c>
      <c r="BW6" s="758">
        <f ca="1">IF($BT6="-","-",COUNTIFS(FGLocal,$BD6,Ganador,"Visitante",Part1Empate1V,$BT6)+COUNTIFS(FGVisitante,$BD6,Ganador,"Local",Part1Empate1L,$BT6))</f>
        <v>0</v>
      </c>
      <c r="BX6" s="758">
        <f ca="1">IF($BT6="-","-",BU6*3+BV6)</f>
        <v>0</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P.1 (2)</v>
      </c>
      <c r="CA6" s="758">
        <f ca="1">IF($BZ6="-","-",SUMIFS(FG_GolesLocal,FGLocal,$BD6,Part1Empate2V,$BZ6)+SUMIFS(FG_GolesVisitante,FGVisitante,$BD6,Part1Empate2L,$BZ6))</f>
        <v>0</v>
      </c>
      <c r="CB6" s="758">
        <f ca="1">IF($BZ6="-","-",SUMIFS(FG_GolesVisitante,FGLocal,$BD6,Part1Empate2V,$BZ6)+SUMIFS(FG_GolesLocal,FGVisitante,$BD6,Part1Empate2L,$BZ6))</f>
        <v>0</v>
      </c>
      <c r="CC6" s="758">
        <f ca="1">IF($BZ6="-","-",CA6-CB6)</f>
        <v>0</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P.1 (2)</v>
      </c>
      <c r="CF6" s="758">
        <f ca="1">IF($CE6="-","-",SUMIFS(FG_GolesLocal,FGLocal,$BD6,Part1Empate3V,$CE6)+SUMIFS(FG_GolesVisitante,FGVisitante,$BD6,Part1Empate3L,$CE6))</f>
        <v>0</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P.1 (2)</v>
      </c>
      <c r="CI6" s="758">
        <f ca="1">IF($CH6="-","-",COUNTIFS(FGLocal,$BD6,Ganador,"Local",Part2Empate4V,$CH6)+COUNTIFS(FGVisitante,$BD6,Ganador,"Visitante",Part2Empate4L,$CH6))</f>
        <v>0</v>
      </c>
      <c r="CJ6" s="758">
        <f ca="1">IF($CH6="-","-",COUNTIFS(FGLocal,$BD6,Ganador,"Empate",Part2Empate4V,$CH6)+COUNTIFS(FGVisitante,$BD6,Ganador,"Empate",Part2Empate4L,$CH6))</f>
        <v>0</v>
      </c>
      <c r="CK6" s="758">
        <f ca="1">IF($CH6="-","-",COUNTIFS(FGLocal,$BD6,Ganador,"Visitante",Part2Empate4V,$CH6)+COUNTIFS(FGVisitante,$BD6,Ganador,"Local",Part2Empate4L,$CH6))</f>
        <v>0</v>
      </c>
      <c r="CL6" s="758">
        <f ca="1">IF($CH6="-","-",CI6*3+CJ6)</f>
        <v>0</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P.1 (2)</v>
      </c>
      <c r="CO6" s="758">
        <f ca="1">IF($CN6="-","-",SUMIFS(FG_GolesLocal,FGLocal,$BD6,Part2Empate5V,$CN6)+SUMIFS(FG_GolesVisitante,FGVisitante,$BD6,Part2Empate5L,$CN6))</f>
        <v>0</v>
      </c>
      <c r="CP6" s="758">
        <f ca="1">IF($CN6="-","-",SUMIFS(FG_GolesVisitante,FGLocal,$BD6,Part2Empate5V,$CN6)+SUMIFS(FG_GolesLocal,FGVisitante,$BD6,Part2Empate5L,$CN6))</f>
        <v>0</v>
      </c>
      <c r="CQ6" s="758">
        <f ca="1">IF($CN6="-","-",CO6-CP6)</f>
        <v>0</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P.1 (2)</v>
      </c>
      <c r="CT6" s="758">
        <f ca="1">IF($CS6="-","-",SUMIFS(FG_GolesLocal,FGLocal,$BD6,Part2Empate6V,$CS6)+SUMIFS(FG_GolesVisitante,FGVisitante,$BD6,Part2Empate6L,$CS6))</f>
        <v>0</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P.1 (2)</v>
      </c>
      <c r="CW6" s="757">
        <f ca="1">IF(CV6="-","-",BL6)</f>
        <v>2</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4</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Pendiente</v>
      </c>
      <c r="E7" s="744" t="str">
        <f t="shared" si="1"/>
        <v>-</v>
      </c>
      <c r="F7" s="744" t="str">
        <f t="shared" si="2"/>
        <v>-</v>
      </c>
      <c r="G7" s="744"/>
      <c r="H7" s="744" t="str">
        <f t="shared" si="3"/>
        <v>-</v>
      </c>
      <c r="I7" s="744" t="str">
        <f t="shared" si="4"/>
        <v>-</v>
      </c>
      <c r="J7" s="744"/>
      <c r="K7" s="744" t="str">
        <f t="shared" si="5"/>
        <v>-</v>
      </c>
      <c r="L7" s="744" t="str">
        <f t="shared" si="6"/>
        <v>-</v>
      </c>
      <c r="M7" s="744"/>
      <c r="N7" s="744" t="str">
        <f t="shared" si="7"/>
        <v>-</v>
      </c>
      <c r="O7" s="744" t="str">
        <f t="shared" si="8"/>
        <v>-</v>
      </c>
      <c r="P7" s="744"/>
      <c r="Q7" s="744" t="str">
        <f t="shared" si="9"/>
        <v>-</v>
      </c>
      <c r="R7" s="744" t="str">
        <f t="shared" si="10"/>
        <v>-</v>
      </c>
      <c r="S7" s="744"/>
      <c r="T7" s="744" t="str">
        <f t="shared" si="11"/>
        <v>-</v>
      </c>
      <c r="U7" s="744" t="str">
        <f t="shared" si="12"/>
        <v>-</v>
      </c>
      <c r="V7" s="172"/>
      <c r="W7" s="826"/>
      <c r="X7" s="189">
        <f ca="1">Horarios!C7</f>
        <v>46192.125</v>
      </c>
      <c r="Y7" s="190">
        <f ca="1">Horarios!C7</f>
        <v>46192.125</v>
      </c>
      <c r="Z7" s="191" t="str">
        <f>$Z$6</f>
        <v>J2</v>
      </c>
      <c r="AA7" s="192" t="str">
        <f ca="1">A5</f>
        <v>México</v>
      </c>
      <c r="AB7" s="480" t="e" cm="1" vm="1">
        <f t="array" aca="1" ref="AB7" ca="1">Ver_flag_local</f>
        <v>#VALUE!</v>
      </c>
      <c r="AC7" s="193"/>
      <c r="AD7" s="194"/>
      <c r="AE7" s="483" t="e" cm="1" vm="3">
        <f t="array" aca="1" ref="AE7" ca="1">Ver_flag_visit</f>
        <v>#VALUE!</v>
      </c>
      <c r="AF7" s="195" t="str">
        <f ca="1">A7</f>
        <v>Corea del Sur</v>
      </c>
      <c r="AG7" s="413">
        <f t="shared" si="13"/>
        <v>0</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0</v>
      </c>
      <c r="BF7" s="748">
        <f t="shared" ref="BF7:BF53" ca="1" si="26">+BG7+BH7+BI7</f>
        <v>1</v>
      </c>
      <c r="BG7" s="748">
        <f t="shared" ca="1" si="17"/>
        <v>0</v>
      </c>
      <c r="BH7" s="748">
        <f t="shared" ca="1" si="18"/>
        <v>0</v>
      </c>
      <c r="BI7" s="748">
        <f t="shared" ca="1" si="19"/>
        <v>1</v>
      </c>
      <c r="BJ7" s="748">
        <f t="shared" ca="1" si="20"/>
        <v>0</v>
      </c>
      <c r="BK7" s="748">
        <f t="shared" ca="1" si="21"/>
        <v>2</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0</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0</v>
      </c>
      <c r="BW7" s="758">
        <f ca="1">IF($BT7="-","-",COUNTIFS(FGLocal,$BD7,Ganador,"Visitante",Part1Empate1V,$BT7)+COUNTIFS(FGVisitante,$BD7,Ganador,"Local",Part1Empate1L,$BT7))</f>
        <v>0</v>
      </c>
      <c r="BX7" s="758">
        <f ca="1">IF($BT7="-","-",BU7*3+BV7)</f>
        <v>0</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0</v>
      </c>
      <c r="CB7" s="758">
        <f ca="1">IF($BZ7="-","-",SUMIFS(FG_GolesVisitante,FGLocal,$BD7,Part1Empate2V,$BZ7)+SUMIFS(FG_GolesLocal,FGVisitante,$BD7,Part1Empate2L,$BZ7))</f>
        <v>0</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0</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0</v>
      </c>
      <c r="CK7" s="758">
        <f ca="1">IF($CH7="-","-",COUNTIFS(FGLocal,$BD7,Ganador,"Visitante",Part2Empate4V,$CH7)+COUNTIFS(FGVisitante,$BD7,Ganador,"Local",Part2Empate4L,$CH7))</f>
        <v>0</v>
      </c>
      <c r="CL7" s="758">
        <f ca="1">IF($CH7="-","-",CI7*3+CJ7)</f>
        <v>0</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0</v>
      </c>
      <c r="CP7" s="758">
        <f ca="1">IF($CN7="-","-",SUMIFS(FG_GolesVisitante,FGLocal,$BD7,Part2Empate5V,$CN7)+SUMIFS(FG_GolesLocal,FGVisitante,$BD7,Part2Empate5L,$CN7))</f>
        <v>0</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0</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4</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1</v>
      </c>
      <c r="BG8" s="748">
        <f t="shared" ca="1" si="17"/>
        <v>1</v>
      </c>
      <c r="BH8" s="748">
        <f t="shared" ca="1" si="18"/>
        <v>0</v>
      </c>
      <c r="BI8" s="748">
        <f t="shared" ca="1" si="19"/>
        <v>0</v>
      </c>
      <c r="BJ8" s="748">
        <f t="shared" ca="1" si="20"/>
        <v>2</v>
      </c>
      <c r="BK8" s="748">
        <f t="shared" ca="1" si="21"/>
        <v>1</v>
      </c>
      <c r="BL8" s="748">
        <f t="shared" ca="1" si="27"/>
        <v>1</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1</v>
      </c>
      <c r="BT8" s="757" t="str">
        <f ca="1">IF(COUNTIFS($BS$6:$BS$53,BS8,$BC$6:$BC$53,INDEX(T_Equipos[Grupo],MATCH(BD8,T_Equipos[NombreEquipo],0)))=1,"-","P."&amp;BS8&amp;" ("&amp;COUNTIFS($BS$6:$BS$53,BS8,$BC$6:$BC$53,INDEX(T_Equipos[Grupo],MATCH(BD8,T_Equipos[NombreEquipo],0)))&amp;")")</f>
        <v>P.1 (2)</v>
      </c>
      <c r="BU8" s="758">
        <f ca="1">IF($BT8="-","-",COUNTIFS(FGLocal,$BD8,Ganador,"Local",Part1Empate1V,$BT8)+COUNTIFS(FGVisitante,$BD8,Ganador,"Visitante",Part1Empate1L,$BT8))</f>
        <v>0</v>
      </c>
      <c r="BV8" s="758">
        <f ca="1">IF($BT8="-","-",COUNTIFS(FGLocal,$BD8,Ganador,"Empate",Part1Empate1V,$BT8)+COUNTIFS(FGVisitante,$BD8,Ganador,"Empate",Part1Empate1L,$BT8))</f>
        <v>0</v>
      </c>
      <c r="BW8" s="758">
        <f ca="1">IF($BT8="-","-",COUNTIFS(FGLocal,$BD8,Ganador,"Visitante",Part1Empate1V,$BT8)+COUNTIFS(FGVisitante,$BD8,Ganador,"Local",Part1Empate1L,$BT8))</f>
        <v>0</v>
      </c>
      <c r="BX8" s="758">
        <f ca="1">IF($BT8="-","-",BU8*3+BV8)</f>
        <v>0</v>
      </c>
      <c r="BY8" s="758">
        <f ca="1">BS8+COUNTIFS($BT$6:$BT$53,BT8,$BX$6:BX$53,"&gt;"&amp;BX8,$BC$6:$BC$53,INDEX(T_Equipos[Grupo],MATCH(BD8,T_Equipos[NombreEquipo],0)))</f>
        <v>1</v>
      </c>
      <c r="BZ8" s="757" t="str">
        <f ca="1">IF(COUNTIFS($BY$6:$BY$53,BY8,$BC$6:$BC$53,INDEX(T_Equipos[Grupo],MATCH(BD8,T_Equipos[NombreEquipo],0)))=1,"-","P."&amp;BY8&amp;" ("&amp;COUNTIFS($BY$6:$BY$53,BY8,$BC$6:$BC$53,INDEX(T_Equipos[Grupo],MATCH(BD8,T_Equipos[NombreEquipo],0)))&amp;")")</f>
        <v>P.1 (2)</v>
      </c>
      <c r="CA8" s="758">
        <f ca="1">IF($BZ8="-","-",SUMIFS(FG_GolesLocal,FGLocal,$BD8,Part1Empate2V,$BZ8)+SUMIFS(FG_GolesVisitante,FGVisitante,$BD8,Part1Empate2L,$BZ8))</f>
        <v>0</v>
      </c>
      <c r="CB8" s="758">
        <f ca="1">IF($BZ8="-","-",SUMIFS(FG_GolesVisitante,FGLocal,$BD8,Part1Empate2V,$BZ8)+SUMIFS(FG_GolesLocal,FGVisitante,$BD8,Part1Empate2L,$BZ8))</f>
        <v>0</v>
      </c>
      <c r="CC8" s="758">
        <f ca="1">IF($BZ8="-","-",CA8-CB8)</f>
        <v>0</v>
      </c>
      <c r="CD8" s="758">
        <f ca="1">BY8+COUNTIFS($BZ$6:$BZ$53,BZ8,$CC$6:CC$53,"&gt;"&amp;CC8,$BC$6:$BC$53,INDEX(T_Equipos[Grupo],MATCH(BD8,T_Equipos[NombreEquipo],0)))</f>
        <v>1</v>
      </c>
      <c r="CE8" s="757" t="str">
        <f ca="1">IF(COUNTIFS($CD$6:$CD$53,CD8,$BC$6:$BC$53,INDEX(T_Equipos[Grupo],MATCH(BD8,T_Equipos[NombreEquipo],0)))=1,"-","P."&amp;CD8&amp;" ("&amp;COUNTIFS($CD$6:$CD$53,CD8,$BC$6:$BC$53,INDEX(T_Equipos[Grupo],MATCH(BD8,T_Equipos[NombreEquipo],0)))&amp;")")</f>
        <v>P.1 (2)</v>
      </c>
      <c r="CF8" s="758">
        <f ca="1">IF($CE8="-","-",SUMIFS(FG_GolesLocal,FGLocal,$BD8,Part1Empate3V,$CE8)+SUMIFS(FG_GolesVisitante,FGVisitante,$BD8,Part1Empate3L,$CE8))</f>
        <v>0</v>
      </c>
      <c r="CG8" s="758">
        <f ca="1">CD8+COUNTIFS($CE$6:$CE$53,CE8,$CF$6:CF$53,"&gt;"&amp;CF8,$BC$6:$BC$53,INDEX(T_Equipos[Grupo],MATCH(BD8,T_Equipos[NombreEquipo],0)))</f>
        <v>1</v>
      </c>
      <c r="CH8" s="757" t="str">
        <f ca="1">IF(COUNTIFS($CG$6:$CG$53,CG8,$BC$6:$BC$53,INDEX(T_Equipos[Grupo],MATCH(BD8,T_Equipos[NombreEquipo],0)))=1,"-","P."&amp;CG8&amp;" ("&amp;COUNTIFS($CG$6:$CG$53,CG8,$BC$6:$BC$53,INDEX(T_Equipos[Grupo],MATCH(BD8,T_Equipos[NombreEquipo],0)))&amp;")")</f>
        <v>P.1 (2)</v>
      </c>
      <c r="CI8" s="758">
        <f ca="1">IF($CH8="-","-",COUNTIFS(FGLocal,$BD8,Ganador,"Local",Part2Empate4V,$CH8)+COUNTIFS(FGVisitante,$BD8,Ganador,"Visitante",Part2Empate4L,$CH8))</f>
        <v>0</v>
      </c>
      <c r="CJ8" s="758">
        <f ca="1">IF($CH8="-","-",COUNTIFS(FGLocal,$BD8,Ganador,"Empate",Part2Empate4V,$CH8)+COUNTIFS(FGVisitante,$BD8,Ganador,"Empate",Part2Empate4L,$CH8))</f>
        <v>0</v>
      </c>
      <c r="CK8" s="758">
        <f ca="1">IF($CH8="-","-",COUNTIFS(FGLocal,$BD8,Ganador,"Visitante",Part2Empate4V,$CH8)+COUNTIFS(FGVisitante,$BD8,Ganador,"Local",Part2Empate4L,$CH8))</f>
        <v>0</v>
      </c>
      <c r="CL8" s="758">
        <f ca="1">IF($CH8="-","-",CI8*3+CJ8)</f>
        <v>0</v>
      </c>
      <c r="CM8" s="758">
        <f ca="1">CG8+COUNTIFS($CH$6:$CH$53,CH8,$CL$6:CL$53,"&gt;"&amp;CL8,$BC$6:$BC$53,INDEX(T_Equipos[Grupo],MATCH(BD8,T_Equipos[NombreEquipo],0)))</f>
        <v>1</v>
      </c>
      <c r="CN8" s="757" t="str">
        <f ca="1">IF(COUNTIFS($CM$6:$CM$53,CM8,$BC$6:$BC$53,INDEX(T_Equipos[Grupo],MATCH(BD8,T_Equipos[NombreEquipo],0)))=1,"-","P."&amp;CM8&amp;" ("&amp;COUNTIFS($CM$6:$CM$53,CM8,$BC$6:$BC$53,INDEX(T_Equipos[Grupo],MATCH(BD8,T_Equipos[NombreEquipo],0)))&amp;")")</f>
        <v>P.1 (2)</v>
      </c>
      <c r="CO8" s="758">
        <f ca="1">IF($CN8="-","-",SUMIFS(FG_GolesLocal,FGLocal,$BD8,Part2Empate5V,$CN8)+SUMIFS(FG_GolesVisitante,FGVisitante,$BD8,Part2Empate5L,$CN8))</f>
        <v>0</v>
      </c>
      <c r="CP8" s="758">
        <f ca="1">IF($CN8="-","-",SUMIFS(FG_GolesVisitante,FGLocal,$BD8,Part2Empate5V,$CN8)+SUMIFS(FG_GolesLocal,FGVisitante,$BD8,Part2Empate5L,$CN8))</f>
        <v>0</v>
      </c>
      <c r="CQ8" s="758">
        <f ca="1">IF($CN8="-","-",CO8-CP8)</f>
        <v>0</v>
      </c>
      <c r="CR8" s="758">
        <f ca="1">CM8+COUNTIFS($CN$6:$CN$53,CN8,$CQ$6:CQ$53,"&gt;"&amp;CQ8,$BC$6:$BC$53,INDEX(T_Equipos[Grupo],MATCH(BD8,T_Equipos[NombreEquipo],0)))</f>
        <v>1</v>
      </c>
      <c r="CS8" s="757" t="str">
        <f ca="1">IF(COUNTIFS($CR$6:$CR$53,CR8,$BC$6:$BC$53,INDEX(T_Equipos[Grupo],MATCH(BD8,T_Equipos[NombreEquipo],0)))=1,"-","P."&amp;CR8&amp;" ("&amp;COUNTIFS($CR$6:$CR$53,CR8,$BC$6:$BC$53,INDEX(T_Equipos[Grupo],MATCH(BD8,T_Equipos[NombreEquipo],0)))&amp;")")</f>
        <v>P.1 (2)</v>
      </c>
      <c r="CT8" s="758">
        <f ca="1">IF($CS8="-","-",SUMIFS(FG_GolesLocal,FGLocal,$BD8,Part2Empate6V,$CS8)+SUMIFS(FG_GolesVisitante,FGVisitante,$BD8,Part2Empate6L,$CS8))</f>
        <v>0</v>
      </c>
      <c r="CU8" s="758">
        <f ca="1">CR8+COUNTIFS($CS$6:$CS$53,CS8,$CT$6:CT$53,"&gt;"&amp;CT8,$BC$6:$BC$53,INDEX(T_Equipos[Grupo],MATCH(BD8,T_Equipos[NombreEquipo],0)))</f>
        <v>1</v>
      </c>
      <c r="CV8" s="757" t="str">
        <f ca="1">IF(COUNTIFS($CU$6:$CU$53,CU8,$BC$6:$BC$53,INDEX(T_Equipos[Grupo],MATCH(BD8,T_Equipos[NombreEquipo],0)))=1,"-","P."&amp;CU8&amp;" ("&amp;COUNTIFS($CU$6:$CU$53,CU8,$BC$6:$BC$53,INDEX(T_Equipos[Grupo],MATCH(BD8,T_Equipos[NombreEquipo],0)))&amp;")")</f>
        <v>P.1 (2)</v>
      </c>
      <c r="CW8" s="757">
        <f t="shared" ca="1" si="30"/>
        <v>1</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4</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27"/>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0</v>
      </c>
      <c r="BF9" s="748">
        <f t="shared" ca="1" si="26"/>
        <v>1</v>
      </c>
      <c r="BG9" s="748">
        <f t="shared" ca="1" si="17"/>
        <v>0</v>
      </c>
      <c r="BH9" s="748">
        <f t="shared" ca="1" si="18"/>
        <v>0</v>
      </c>
      <c r="BI9" s="748">
        <f t="shared" ca="1" si="19"/>
        <v>1</v>
      </c>
      <c r="BJ9" s="748">
        <f t="shared" ca="1" si="20"/>
        <v>1</v>
      </c>
      <c r="BK9" s="748">
        <f t="shared" ca="1" si="21"/>
        <v>2</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0</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0</v>
      </c>
      <c r="BW9" s="758">
        <f ca="1">IF($BT9="-","-",COUNTIFS(FGLocal,$BD9,Ganador,"Visitante",Part1Empate1V,$BT9)+COUNTIFS(FGVisitante,$BD9,Ganador,"Local",Part1Empate1L,$BT9))</f>
        <v>0</v>
      </c>
      <c r="BX9" s="758">
        <f ca="1">IF($BT9="-","-",BU9*3+BV9)</f>
        <v>0</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0</v>
      </c>
      <c r="CB9" s="758">
        <f ca="1">IF($BZ9="-","-",SUMIFS(FG_GolesVisitante,FGLocal,$BD9,Part1Empate2V,$BZ9)+SUMIFS(FG_GolesLocal,FGVisitante,$BD9,Part1Empate2L,$BZ9))</f>
        <v>0</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0</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0</v>
      </c>
      <c r="CK9" s="758">
        <f ca="1">IF($CH9="-","-",COUNTIFS(FGLocal,$BD9,Ganador,"Visitante",Part2Empate4V,$CH9)+COUNTIFS(FGVisitante,$BD9,Ganador,"Local",Part2Empate4L,$CH9))</f>
        <v>0</v>
      </c>
      <c r="CL9" s="758">
        <f ca="1">IF($CH9="-","-",CI9*3+CJ9)</f>
        <v>0</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0</v>
      </c>
      <c r="CP9" s="758">
        <f ca="1">IF($CN9="-","-",SUMIFS(FG_GolesVisitante,FGLocal,$BD9,Part2Empate5V,$CN9)+SUMIFS(FG_GolesLocal,FGVisitante,$BD9,Part2Empate5L,$CN9))</f>
        <v>0</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0</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4</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1</v>
      </c>
      <c r="BF10" s="748">
        <f t="shared" ca="1" si="26"/>
        <v>1</v>
      </c>
      <c r="BG10" s="748">
        <f t="shared" ca="1" si="17"/>
        <v>0</v>
      </c>
      <c r="BH10" s="748">
        <f t="shared" ca="1" si="18"/>
        <v>1</v>
      </c>
      <c r="BI10" s="748">
        <f t="shared" ca="1" si="19"/>
        <v>0</v>
      </c>
      <c r="BJ10" s="748">
        <f t="shared" ca="1" si="20"/>
        <v>1</v>
      </c>
      <c r="BK10" s="748">
        <f t="shared" ca="1" si="21"/>
        <v>1</v>
      </c>
      <c r="BL10" s="748">
        <f t="shared" ca="1" si="27"/>
        <v>0</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1</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(4)</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(4)</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(4)</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(4)</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(4)</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(4)</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(4)</v>
      </c>
      <c r="CW10" s="757">
        <f t="shared" ca="1" si="30"/>
        <v>0</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P.1 (4)</v>
      </c>
      <c r="CZ10" s="757">
        <f t="shared" ca="1" si="31"/>
        <v>1</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P.1 (4)</v>
      </c>
      <c r="DC10" s="756">
        <f ca="1">IF(DB10="-","-",COUNTIFS(T_Equipos[Rank],"&lt;"&amp;INDEX(T_Equipos[Rank],MATCH(BD10,T_Equipos[NombreEquipo],0)),$BC$6:$BC$53,INDEX(T_Equipos[Grupo],MATCH(BD10,T_Equipos[NombreEquipo],0)))+1)</f>
        <v>1</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f ca="1">IF(DB10="-","-",COUNTIFS(DF$6:DF$53,"&lt;"&amp;DF10,$BC$6:$BC$53,INDEX(T_Equipos[Grupo],MATCH(BD10,T_Equipos[NombreEquipo],0))))</f>
        <v>0</v>
      </c>
      <c r="DH10" s="756">
        <f ca="1">DA10+COUNTIFS(DB$6:DB$53,DB10,DG$6:DG$53,"&lt;"&amp;DG10,$BC$6:$BC$53,INDEX(T_Equipos[Grupo],MATCH(BD10,T_Equipos[NombreEquipo],0)))</f>
        <v>1</v>
      </c>
      <c r="DI10" s="744"/>
      <c r="DJ10" s="744">
        <f t="shared" ref="DJ10:DJ53" ca="1" si="53">INDEX($DA$6:$DA$53,MATCH($DQ10,$BD$6:$BD$53,0))</f>
        <v>1</v>
      </c>
      <c r="DK10" s="744">
        <f t="shared" ca="1" si="24"/>
        <v>4</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1</v>
      </c>
      <c r="BG11" s="748">
        <f t="shared" ca="1" si="17"/>
        <v>0</v>
      </c>
      <c r="BH11" s="748">
        <f t="shared" ca="1" si="18"/>
        <v>1</v>
      </c>
      <c r="BI11" s="748">
        <f t="shared" ca="1" si="19"/>
        <v>0</v>
      </c>
      <c r="BJ11" s="748">
        <f t="shared" ca="1" si="20"/>
        <v>1</v>
      </c>
      <c r="BK11" s="748">
        <f t="shared" ca="1" si="21"/>
        <v>1</v>
      </c>
      <c r="BL11" s="748">
        <f t="shared" ca="1" si="27"/>
        <v>0</v>
      </c>
      <c r="BM11" s="748" t="str">
        <f t="shared" ca="1" si="22"/>
        <v>2B</v>
      </c>
      <c r="BN11" s="748" t="str">
        <f t="shared" ca="1" si="23"/>
        <v>2B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1</v>
      </c>
      <c r="BT11" s="757" t="str">
        <f ca="1">IF(COUNTIFS($BS$6:$BS$53,BS11,$BC$6:$BC$53,INDEX(T_Equipos[Grupo],MATCH(BD11,T_Equipos[NombreEquipo],0)))=1,"-","P."&amp;BS11&amp;" ("&amp;COUNTIFS($BS$6:$BS$53,BS11,$BC$6:$BC$53,INDEX(T_Equipos[Grupo],MATCH(BD11,T_Equipos[NombreEquipo],0)))&amp;")")</f>
        <v>P.1 (4)</v>
      </c>
      <c r="BU11" s="758">
        <f t="shared" ca="1" si="36"/>
        <v>0</v>
      </c>
      <c r="BV11" s="758">
        <f t="shared" ca="1" si="37"/>
        <v>1</v>
      </c>
      <c r="BW11" s="758">
        <f t="shared" ca="1" si="38"/>
        <v>0</v>
      </c>
      <c r="BX11" s="758">
        <f t="shared" ca="1" si="39"/>
        <v>1</v>
      </c>
      <c r="BY11" s="758">
        <f ca="1">BS11+COUNTIFS($BT$6:$BT$53,BT11,$BX$6:BX$53,"&gt;"&amp;BX11,$BC$6:$BC$53,INDEX(T_Equipos[Grupo],MATCH(BD11,T_Equipos[NombreEquipo],0)))</f>
        <v>1</v>
      </c>
      <c r="BZ11" s="757" t="str">
        <f ca="1">IF(COUNTIFS($BY$6:$BY$53,BY11,$BC$6:$BC$53,INDEX(T_Equipos[Grupo],MATCH(BD11,T_Equipos[NombreEquipo],0)))=1,"-","P."&amp;BY11&amp;" ("&amp;COUNTIFS($BY$6:$BY$53,BY11,$BC$6:$BC$53,INDEX(T_Equipos[Grupo],MATCH(BD11,T_Equipos[NombreEquipo],0)))&amp;")")</f>
        <v>P.1 (4)</v>
      </c>
      <c r="CA11" s="758">
        <f t="shared" ca="1" si="40"/>
        <v>1</v>
      </c>
      <c r="CB11" s="758">
        <f t="shared" ca="1" si="41"/>
        <v>1</v>
      </c>
      <c r="CC11" s="758">
        <f t="shared" ca="1" si="42"/>
        <v>0</v>
      </c>
      <c r="CD11" s="758">
        <f ca="1">BY11+COUNTIFS($BZ$6:$BZ$53,BZ11,$CC$6:CC$53,"&gt;"&amp;CC11,$BC$6:$BC$53,INDEX(T_Equipos[Grupo],MATCH(BD11,T_Equipos[NombreEquipo],0)))</f>
        <v>1</v>
      </c>
      <c r="CE11" s="757" t="str">
        <f ca="1">IF(COUNTIFS($CD$6:$CD$53,CD11,$BC$6:$BC$53,INDEX(T_Equipos[Grupo],MATCH(BD11,T_Equipos[NombreEquipo],0)))=1,"-","P."&amp;CD11&amp;" ("&amp;COUNTIFS($CD$6:$CD$53,CD11,$BC$6:$BC$53,INDEX(T_Equipos[Grupo],MATCH(BD11,T_Equipos[NombreEquipo],0)))&amp;")")</f>
        <v>P.1 (4)</v>
      </c>
      <c r="CF11" s="758">
        <f t="shared" ca="1" si="43"/>
        <v>1</v>
      </c>
      <c r="CG11" s="758">
        <f ca="1">CD11+COUNTIFS($CE$6:$CE$53,CE11,$CF$6:CF$53,"&gt;"&amp;CF11,$BC$6:$BC$53,INDEX(T_Equipos[Grupo],MATCH(BD11,T_Equipos[NombreEquipo],0)))</f>
        <v>1</v>
      </c>
      <c r="CH11" s="757" t="str">
        <f ca="1">IF(COUNTIFS($CG$6:$CG$53,CG11,$BC$6:$BC$53,INDEX(T_Equipos[Grupo],MATCH(BD11,T_Equipos[NombreEquipo],0)))=1,"-","P."&amp;CG11&amp;" ("&amp;COUNTIFS($CG$6:$CG$53,CG11,$BC$6:$BC$53,INDEX(T_Equipos[Grupo],MATCH(BD11,T_Equipos[NombreEquipo],0)))&amp;")")</f>
        <v>P.1 (4)</v>
      </c>
      <c r="CI11" s="758">
        <f t="shared" ca="1" si="44"/>
        <v>0</v>
      </c>
      <c r="CJ11" s="758">
        <f t="shared" ca="1" si="45"/>
        <v>1</v>
      </c>
      <c r="CK11" s="758">
        <f t="shared" ca="1" si="46"/>
        <v>0</v>
      </c>
      <c r="CL11" s="758">
        <f t="shared" ca="1" si="47"/>
        <v>1</v>
      </c>
      <c r="CM11" s="758">
        <f ca="1">CG11+COUNTIFS($CH$6:$CH$53,CH11,$CL$6:CL$53,"&gt;"&amp;CL11,$BC$6:$BC$53,INDEX(T_Equipos[Grupo],MATCH(BD11,T_Equipos[NombreEquipo],0)))</f>
        <v>1</v>
      </c>
      <c r="CN11" s="757" t="str">
        <f ca="1">IF(COUNTIFS($CM$6:$CM$53,CM11,$BC$6:$BC$53,INDEX(T_Equipos[Grupo],MATCH(BD11,T_Equipos[NombreEquipo],0)))=1,"-","P."&amp;CM11&amp;" ("&amp;COUNTIFS($CM$6:$CM$53,CM11,$BC$6:$BC$53,INDEX(T_Equipos[Grupo],MATCH(BD11,T_Equipos[NombreEquipo],0)))&amp;")")</f>
        <v>P.1 (4)</v>
      </c>
      <c r="CO11" s="758">
        <f t="shared" ca="1" si="48"/>
        <v>1</v>
      </c>
      <c r="CP11" s="758">
        <f t="shared" ca="1" si="49"/>
        <v>1</v>
      </c>
      <c r="CQ11" s="758">
        <f t="shared" ca="1" si="50"/>
        <v>0</v>
      </c>
      <c r="CR11" s="758">
        <f ca="1">CM11+COUNTIFS($CN$6:$CN$53,CN11,$CQ$6:CQ$53,"&gt;"&amp;CQ11,$BC$6:$BC$53,INDEX(T_Equipos[Grupo],MATCH(BD11,T_Equipos[NombreEquipo],0)))</f>
        <v>1</v>
      </c>
      <c r="CS11" s="757" t="str">
        <f ca="1">IF(COUNTIFS($CR$6:$CR$53,CR11,$BC$6:$BC$53,INDEX(T_Equipos[Grupo],MATCH(BD11,T_Equipos[NombreEquipo],0)))=1,"-","P."&amp;CR11&amp;" ("&amp;COUNTIFS($CR$6:$CR$53,CR11,$BC$6:$BC$53,INDEX(T_Equipos[Grupo],MATCH(BD11,T_Equipos[NombreEquipo],0)))&amp;")")</f>
        <v>P.1 (4)</v>
      </c>
      <c r="CT11" s="758">
        <f t="shared" ca="1" si="51"/>
        <v>1</v>
      </c>
      <c r="CU11" s="758">
        <f ca="1">CR11+COUNTIFS($CS$6:$CS$53,CS11,$CT$6:CT$53,"&gt;"&amp;CT11,$BC$6:$BC$53,INDEX(T_Equipos[Grupo],MATCH(BD11,T_Equipos[NombreEquipo],0)))</f>
        <v>1</v>
      </c>
      <c r="CV11" s="757" t="str">
        <f ca="1">IF(COUNTIFS($CU$6:$CU$53,CU11,$BC$6:$BC$53,INDEX(T_Equipos[Grupo],MATCH(BD11,T_Equipos[NombreEquipo],0)))=1,"-","P."&amp;CU11&amp;" ("&amp;COUNTIFS($CU$6:$CU$53,CU11,$BC$6:$BC$53,INDEX(T_Equipos[Grupo],MATCH(BD11,T_Equipos[NombreEquipo],0)))&amp;")")</f>
        <v>P.1 (4)</v>
      </c>
      <c r="CW11" s="757">
        <f t="shared" ca="1" si="30"/>
        <v>0</v>
      </c>
      <c r="CX11" s="757">
        <f ca="1">CU11+COUNTIFS($CV$6:$CV$53,CV11,$CW$6:CW$53,"&gt;"&amp;CW11,$BC$6:$BC$53,INDEX(T_Equipos[Grupo],MATCH(BD11,T_Equipos[NombreEquipo],0)))</f>
        <v>1</v>
      </c>
      <c r="CY11" s="757" t="str">
        <f ca="1">IF(COUNTIFS($CX$6:$CX$53,CX11,$BC$6:$BC$53,INDEX(T_Equipos[Grupo],MATCH(BD11,T_Equipos[NombreEquipo],0)))=1,"-","P."&amp;CX11&amp;" ("&amp;COUNTIFS($CX$6:$CX$53,CX11,$BC$6:$BC$53,INDEX(T_Equipos[Grupo],MATCH(BD11,T_Equipos[NombreEquipo],0)))&amp;")")</f>
        <v>P.1 (4)</v>
      </c>
      <c r="CZ11" s="757">
        <f t="shared" ca="1" si="31"/>
        <v>1</v>
      </c>
      <c r="DA11" s="758">
        <f ca="1">CX11+COUNTIFS($CY$6:$CY$53,CY11,$CZ$6:CZ$53,"&gt;"&amp;CZ11,$BC$6:$BC$53,INDEX(T_Equipos[Grupo],MATCH(BD11,T_Equipos[NombreEquipo],0)))</f>
        <v>1</v>
      </c>
      <c r="DB11" s="757" t="str">
        <f ca="1">IF(COUNTIFS($DA$6:$DA$53,DA11,$BC$6:$BC$53,INDEX(T_Equipos[Grupo],MATCH(BD11,T_Equipos[NombreEquipo],0)))=1,"-","P."&amp;DA11&amp;" ("&amp;COUNTIFS($DA$6:$DA$53,DA11,$BC$6:$BC$53,INDEX(T_Equipos[Grupo],MATCH(BD11,T_Equipos[NombreEquipo],0)))&amp;")")</f>
        <v>P.1 (4)</v>
      </c>
      <c r="DC11" s="756">
        <f ca="1">IF(DB11="-","-",COUNTIFS(T_Equipos[Rank],"&lt;"&amp;INDEX(T_Equipos[Rank],MATCH(BD11,T_Equipos[NombreEquipo],0)),$BC$6:$BC$53,INDEX(T_Equipos[Grupo],MATCH(BD11,T_Equipos[NombreEquipo],0)))+1)</f>
        <v>2</v>
      </c>
      <c r="DD11" s="756">
        <f ca="1">DA11+COUNTIFS($DB$6:$DB$53,DB11,$DC$6:DC$53,"&lt;"&amp;DC11,$BC$6:$BC$53,INDEX(T_Equipos[Grupo],MATCH(BD11,T_Equipos[NombreEquipo],0)))</f>
        <v>2</v>
      </c>
      <c r="DE11" s="756"/>
      <c r="DF11" s="756">
        <f t="shared" ca="1" si="52"/>
        <v>2</v>
      </c>
      <c r="DG11" s="756">
        <f ca="1">IF(DB11="-","-",COUNTIFS(DF$6:DF$53,"&lt;"&amp;DF11,$BC$6:$BC$53,INDEX(T_Equipos[Grupo],MATCH(BD11,T_Equipos[NombreEquipo],0))))</f>
        <v>1</v>
      </c>
      <c r="DH11" s="756">
        <f ca="1">DA11+COUNTIFS(DB$6:DB$53,DB11,DG$6:DG$53,"&lt;"&amp;DG11,$BC$6:$BC$53,INDEX(T_Equipos[Grupo],MATCH(BD11,T_Equipos[NombreEquipo],0)))</f>
        <v>2</v>
      </c>
      <c r="DI11" s="744"/>
      <c r="DJ11" s="744">
        <f t="shared" ca="1" si="53"/>
        <v>1</v>
      </c>
      <c r="DK11" s="744">
        <f t="shared" ca="1" si="24"/>
        <v>4</v>
      </c>
      <c r="DL11" s="744">
        <f t="shared" ca="1" si="33"/>
        <v>1</v>
      </c>
      <c r="DM11" s="738" t="str">
        <f t="shared" ca="1" si="34"/>
        <v>1.1</v>
      </c>
      <c r="DN11" s="744" cm="1">
        <f t="array" aca="1" ref="DN11" ca="1">OFFSET(Horarios!$P$3,DJ11-1,0,DL11,1)</f>
        <v>1</v>
      </c>
      <c r="DO11" s="744"/>
      <c r="DP11" s="744" t="s">
        <v>649</v>
      </c>
      <c r="DQ11" s="744" t="str">
        <f t="shared" ca="1" si="35"/>
        <v>Bosnia y Herzegovina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(4)</v>
      </c>
      <c r="F12" s="744" t="str">
        <f t="shared" ref="F12:F17" ca="1" si="56">IF(D12="Pendiente","-",INDEX($BT$6:$BT$53,MATCH($AF12,$BD$6:$BD$53,0)))</f>
        <v>P.1 (4)</v>
      </c>
      <c r="G12" s="744"/>
      <c r="H12" s="744" t="str">
        <f t="shared" ref="H12:H17" ca="1" si="57">IF(D12="Pendiente","-",INDEX($BZ$6:$BZ$53,MATCH($AA12,$BD$6:$BD$53,0)))</f>
        <v>P.1 (4)</v>
      </c>
      <c r="I12" s="744" t="str">
        <f t="shared" ref="I12:I17" ca="1" si="58">IF(D12="Pendiente","-",INDEX($BZ$6:$BZ$53,MATCH($AF12,$BD$6:$BD$53,0)))</f>
        <v>P.1 (4)</v>
      </c>
      <c r="J12" s="744"/>
      <c r="K12" s="744" t="str">
        <f t="shared" ref="K12:K17" ca="1" si="59">IF(D12="Pendiente","-",INDEX($CE$6:$CE$53,MATCH($AA12,$BD$6:$BD$53,0)))</f>
        <v>P.1 (4)</v>
      </c>
      <c r="L12" s="744" t="str">
        <f t="shared" ref="L12:L17" ca="1" si="60">IF(D12="Pendiente","-",INDEX($CE$6:$CE$53,MATCH($AF12,$BD$6:$BD$53,0)))</f>
        <v>P.1 (4)</v>
      </c>
      <c r="M12" s="744"/>
      <c r="N12" s="744" t="str">
        <f t="shared" ref="N12:N17" ca="1" si="61">IF(D12="Pendiente","-",INDEX($CH$6:$CH$53,MATCH($AA12,$BD$6:$BD$53,0)))</f>
        <v>P.1 (4)</v>
      </c>
      <c r="O12" s="744" t="str">
        <f t="shared" ref="O12:O17" ca="1" si="62">IF(D12="Pendiente","-",INDEX($CH$6:$CH$53,MATCH($AF12,$BD$6:$BD$53,0)))</f>
        <v>P.1 (4)</v>
      </c>
      <c r="P12" s="744"/>
      <c r="Q12" s="744" t="str">
        <f t="shared" ref="Q12:Q17" ca="1" si="63">IF(D12="Pendiente","-",INDEX($CN$6:$CN$53,MATCH($AA12,$BD$6:$BD$53,0)))</f>
        <v>P.1 (4)</v>
      </c>
      <c r="R12" s="744" t="str">
        <f t="shared" ref="R12:R17" ca="1" si="64">IF(D12="Pendiente","-",INDEX($CN$6:$CN$53,MATCH($AF12,$BD$6:$BD$53,0)))</f>
        <v>P.1 (4)</v>
      </c>
      <c r="S12" s="744"/>
      <c r="T12" s="744" t="str">
        <f t="shared" ref="T12:T17" ca="1" si="65">IF(D12="Pendiente","-",INDEX($CS$6:$CS$53,MATCH($AA12,$BD$6:$BD$53,0)))</f>
        <v>P.1 (4)</v>
      </c>
      <c r="U12" s="744" t="str">
        <f t="shared" ref="U12:U17" ca="1" si="66">IF(D12="Pendiente","-",INDEX($CS$6:$CS$53,MATCH($AF12,$BD$6:$BD$53,0)))</f>
        <v>P.1 (4)</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1</v>
      </c>
      <c r="BG12" s="748">
        <f t="shared" ca="1" si="17"/>
        <v>0</v>
      </c>
      <c r="BH12" s="748">
        <f t="shared" ca="1" si="18"/>
        <v>1</v>
      </c>
      <c r="BI12" s="748">
        <f t="shared" ca="1" si="19"/>
        <v>0</v>
      </c>
      <c r="BJ12" s="748">
        <f t="shared" ca="1" si="20"/>
        <v>1</v>
      </c>
      <c r="BK12" s="748">
        <f t="shared" ca="1" si="21"/>
        <v>1</v>
      </c>
      <c r="BL12" s="748">
        <f t="shared" ca="1" si="27"/>
        <v>0</v>
      </c>
      <c r="BM12" s="748" t="str">
        <f t="shared" ca="1" si="22"/>
        <v>3B</v>
      </c>
      <c r="BN12" s="748" t="str">
        <f t="shared" ca="1" si="23"/>
        <v>3B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1</v>
      </c>
      <c r="BT12" s="757" t="str">
        <f ca="1">IF(COUNTIFS($BS$6:$BS$53,BS12,$BC$6:$BC$53,INDEX(T_Equipos[Grupo],MATCH(BD12,T_Equipos[NombreEquipo],0)))=1,"-","P."&amp;BS12&amp;" ("&amp;COUNTIFS($BS$6:$BS$53,BS12,$BC$6:$BC$53,INDEX(T_Equipos[Grupo],MATCH(BD12,T_Equipos[NombreEquipo],0)))&amp;")")</f>
        <v>P.1 (4)</v>
      </c>
      <c r="BU12" s="758">
        <f t="shared" ca="1" si="36"/>
        <v>0</v>
      </c>
      <c r="BV12" s="758">
        <f t="shared" ca="1" si="37"/>
        <v>1</v>
      </c>
      <c r="BW12" s="758">
        <f t="shared" ca="1" si="38"/>
        <v>0</v>
      </c>
      <c r="BX12" s="758">
        <f t="shared" ca="1" si="39"/>
        <v>1</v>
      </c>
      <c r="BY12" s="758">
        <f ca="1">BS12+COUNTIFS($BT$6:$BT$53,BT12,$BX$6:BX$53,"&gt;"&amp;BX12,$BC$6:$BC$53,INDEX(T_Equipos[Grupo],MATCH(BD12,T_Equipos[NombreEquipo],0)))</f>
        <v>1</v>
      </c>
      <c r="BZ12" s="757" t="str">
        <f ca="1">IF(COUNTIFS($BY$6:$BY$53,BY12,$BC$6:$BC$53,INDEX(T_Equipos[Grupo],MATCH(BD12,T_Equipos[NombreEquipo],0)))=1,"-","P."&amp;BY12&amp;" ("&amp;COUNTIFS($BY$6:$BY$53,BY12,$BC$6:$BC$53,INDEX(T_Equipos[Grupo],MATCH(BD12,T_Equipos[NombreEquipo],0)))&amp;")")</f>
        <v>P.1 (4)</v>
      </c>
      <c r="CA12" s="758">
        <f t="shared" ca="1" si="40"/>
        <v>1</v>
      </c>
      <c r="CB12" s="758">
        <f t="shared" ca="1" si="41"/>
        <v>1</v>
      </c>
      <c r="CC12" s="758">
        <f t="shared" ca="1" si="42"/>
        <v>0</v>
      </c>
      <c r="CD12" s="758">
        <f ca="1">BY12+COUNTIFS($BZ$6:$BZ$53,BZ12,$CC$6:CC$53,"&gt;"&amp;CC12,$BC$6:$BC$53,INDEX(T_Equipos[Grupo],MATCH(BD12,T_Equipos[NombreEquipo],0)))</f>
        <v>1</v>
      </c>
      <c r="CE12" s="757" t="str">
        <f ca="1">IF(COUNTIFS($CD$6:$CD$53,CD12,$BC$6:$BC$53,INDEX(T_Equipos[Grupo],MATCH(BD12,T_Equipos[NombreEquipo],0)))=1,"-","P."&amp;CD12&amp;" ("&amp;COUNTIFS($CD$6:$CD$53,CD12,$BC$6:$BC$53,INDEX(T_Equipos[Grupo],MATCH(BD12,T_Equipos[NombreEquipo],0)))&amp;")")</f>
        <v>P.1 (4)</v>
      </c>
      <c r="CF12" s="758">
        <f t="shared" ca="1" si="43"/>
        <v>1</v>
      </c>
      <c r="CG12" s="758">
        <f ca="1">CD12+COUNTIFS($CE$6:$CE$53,CE12,$CF$6:CF$53,"&gt;"&amp;CF12,$BC$6:$BC$53,INDEX(T_Equipos[Grupo],MATCH(BD12,T_Equipos[NombreEquipo],0)))</f>
        <v>1</v>
      </c>
      <c r="CH12" s="757" t="str">
        <f ca="1">IF(COUNTIFS($CG$6:$CG$53,CG12,$BC$6:$BC$53,INDEX(T_Equipos[Grupo],MATCH(BD12,T_Equipos[NombreEquipo],0)))=1,"-","P."&amp;CG12&amp;" ("&amp;COUNTIFS($CG$6:$CG$53,CG12,$BC$6:$BC$53,INDEX(T_Equipos[Grupo],MATCH(BD12,T_Equipos[NombreEquipo],0)))&amp;")")</f>
        <v>P.1 (4)</v>
      </c>
      <c r="CI12" s="758">
        <f t="shared" ca="1" si="44"/>
        <v>0</v>
      </c>
      <c r="CJ12" s="758">
        <f t="shared" ca="1" si="45"/>
        <v>1</v>
      </c>
      <c r="CK12" s="758">
        <f t="shared" ca="1" si="46"/>
        <v>0</v>
      </c>
      <c r="CL12" s="758">
        <f t="shared" ca="1" si="47"/>
        <v>1</v>
      </c>
      <c r="CM12" s="758">
        <f ca="1">CG12+COUNTIFS($CH$6:$CH$53,CH12,$CL$6:CL$53,"&gt;"&amp;CL12,$BC$6:$BC$53,INDEX(T_Equipos[Grupo],MATCH(BD12,T_Equipos[NombreEquipo],0)))</f>
        <v>1</v>
      </c>
      <c r="CN12" s="757" t="str">
        <f ca="1">IF(COUNTIFS($CM$6:$CM$53,CM12,$BC$6:$BC$53,INDEX(T_Equipos[Grupo],MATCH(BD12,T_Equipos[NombreEquipo],0)))=1,"-","P."&amp;CM12&amp;" ("&amp;COUNTIFS($CM$6:$CM$53,CM12,$BC$6:$BC$53,INDEX(T_Equipos[Grupo],MATCH(BD12,T_Equipos[NombreEquipo],0)))&amp;")")</f>
        <v>P.1 (4)</v>
      </c>
      <c r="CO12" s="758">
        <f t="shared" ca="1" si="48"/>
        <v>1</v>
      </c>
      <c r="CP12" s="758">
        <f t="shared" ca="1" si="49"/>
        <v>1</v>
      </c>
      <c r="CQ12" s="758">
        <f t="shared" ca="1" si="50"/>
        <v>0</v>
      </c>
      <c r="CR12" s="758">
        <f ca="1">CM12+COUNTIFS($CN$6:$CN$53,CN12,$CQ$6:CQ$53,"&gt;"&amp;CQ12,$BC$6:$BC$53,INDEX(T_Equipos[Grupo],MATCH(BD12,T_Equipos[NombreEquipo],0)))</f>
        <v>1</v>
      </c>
      <c r="CS12" s="757" t="str">
        <f ca="1">IF(COUNTIFS($CR$6:$CR$53,CR12,$BC$6:$BC$53,INDEX(T_Equipos[Grupo],MATCH(BD12,T_Equipos[NombreEquipo],0)))=1,"-","P."&amp;CR12&amp;" ("&amp;COUNTIFS($CR$6:$CR$53,CR12,$BC$6:$BC$53,INDEX(T_Equipos[Grupo],MATCH(BD12,T_Equipos[NombreEquipo],0)))&amp;")")</f>
        <v>P.1 (4)</v>
      </c>
      <c r="CT12" s="758">
        <f t="shared" ca="1" si="51"/>
        <v>1</v>
      </c>
      <c r="CU12" s="758">
        <f ca="1">CR12+COUNTIFS($CS$6:$CS$53,CS12,$CT$6:CT$53,"&gt;"&amp;CT12,$BC$6:$BC$53,INDEX(T_Equipos[Grupo],MATCH(BD12,T_Equipos[NombreEquipo],0)))</f>
        <v>1</v>
      </c>
      <c r="CV12" s="757" t="str">
        <f ca="1">IF(COUNTIFS($CU$6:$CU$53,CU12,$BC$6:$BC$53,INDEX(T_Equipos[Grupo],MATCH(BD12,T_Equipos[NombreEquipo],0)))=1,"-","P."&amp;CU12&amp;" ("&amp;COUNTIFS($CU$6:$CU$53,CU12,$BC$6:$BC$53,INDEX(T_Equipos[Grupo],MATCH(BD12,T_Equipos[NombreEquipo],0)))&amp;")")</f>
        <v>P.1 (4)</v>
      </c>
      <c r="CW12" s="757">
        <f t="shared" ca="1" si="30"/>
        <v>0</v>
      </c>
      <c r="CX12" s="757">
        <f ca="1">CU12+COUNTIFS($CV$6:$CV$53,CV12,$CW$6:CW$53,"&gt;"&amp;CW12,$BC$6:$BC$53,INDEX(T_Equipos[Grupo],MATCH(BD12,T_Equipos[NombreEquipo],0)))</f>
        <v>1</v>
      </c>
      <c r="CY12" s="757" t="str">
        <f ca="1">IF(COUNTIFS($CX$6:$CX$53,CX12,$BC$6:$BC$53,INDEX(T_Equipos[Grupo],MATCH(BD12,T_Equipos[NombreEquipo],0)))=1,"-","P."&amp;CX12&amp;" ("&amp;COUNTIFS($CX$6:$CX$53,CX12,$BC$6:$BC$53,INDEX(T_Equipos[Grupo],MATCH(BD12,T_Equipos[NombreEquipo],0)))&amp;")")</f>
        <v>P.1 (4)</v>
      </c>
      <c r="CZ12" s="757">
        <f t="shared" ca="1" si="31"/>
        <v>1</v>
      </c>
      <c r="DA12" s="758">
        <f ca="1">CX12+COUNTIFS($CY$6:$CY$53,CY12,$CZ$6:CZ$53,"&gt;"&amp;CZ12,$BC$6:$BC$53,INDEX(T_Equipos[Grupo],MATCH(BD12,T_Equipos[NombreEquipo],0)))</f>
        <v>1</v>
      </c>
      <c r="DB12" s="757" t="str">
        <f ca="1">IF(COUNTIFS($DA$6:$DA$53,DA12,$BC$6:$BC$53,INDEX(T_Equipos[Grupo],MATCH(BD12,T_Equipos[NombreEquipo],0)))=1,"-","P."&amp;DA12&amp;" ("&amp;COUNTIFS($DA$6:$DA$53,DA12,$BC$6:$BC$53,INDEX(T_Equipos[Grupo],MATCH(BD12,T_Equipos[NombreEquipo],0)))&amp;")")</f>
        <v>P.1 (4)</v>
      </c>
      <c r="DC12" s="756">
        <f ca="1">IF(DB12="-","-",COUNTIFS(T_Equipos[Rank],"&lt;"&amp;INDEX(T_Equipos[Rank],MATCH(BD12,T_Equipos[NombreEquipo],0)),$BC$6:$BC$53,INDEX(T_Equipos[Grupo],MATCH(BD12,T_Equipos[NombreEquipo],0)))+1)</f>
        <v>3</v>
      </c>
      <c r="DD12" s="756">
        <f ca="1">DA12+COUNTIFS($DB$6:$DB$53,DB12,$DC$6:DC$53,"&lt;"&amp;DC12,$BC$6:$BC$53,INDEX(T_Equipos[Grupo],MATCH(BD12,T_Equipos[NombreEquipo],0)))</f>
        <v>3</v>
      </c>
      <c r="DE12" s="756"/>
      <c r="DF12" s="756">
        <f t="shared" ca="1" si="52"/>
        <v>3</v>
      </c>
      <c r="DG12" s="756">
        <f ca="1">IF(DB12="-","-",COUNTIFS(DF$6:DF$53,"&lt;"&amp;DF12,$BC$6:$BC$53,INDEX(T_Equipos[Grupo],MATCH(BD12,T_Equipos[NombreEquipo],0))))</f>
        <v>2</v>
      </c>
      <c r="DH12" s="756">
        <f ca="1">DA12+COUNTIFS(DB$6:DB$53,DB12,DG$6:DG$53,"&lt;"&amp;DG12,$BC$6:$BC$53,INDEX(T_Equipos[Grupo],MATCH(BD12,T_Equipos[NombreEquipo],0)))</f>
        <v>3</v>
      </c>
      <c r="DI12" s="744"/>
      <c r="DJ12" s="744">
        <f t="shared" ca="1" si="53"/>
        <v>1</v>
      </c>
      <c r="DK12" s="744">
        <f t="shared" ca="1" si="24"/>
        <v>4</v>
      </c>
      <c r="DL12" s="744">
        <f t="shared" ca="1" si="33"/>
        <v>1</v>
      </c>
      <c r="DM12" s="738" t="str">
        <f t="shared" ca="1" si="34"/>
        <v>1.1</v>
      </c>
      <c r="DN12" s="744" cm="1">
        <f t="array" aca="1" ref="DN12" ca="1">OFFSET(Horarios!$P$3,DJ12-1,0,DL12,1)</f>
        <v>1</v>
      </c>
      <c r="DO12" s="744"/>
      <c r="DP12" s="744" t="s">
        <v>90</v>
      </c>
      <c r="DQ12" s="744" t="str">
        <f t="shared" ca="1" si="35"/>
        <v>Catar</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P.1 (4)</v>
      </c>
      <c r="F13" s="744" t="str">
        <f t="shared" ca="1" si="56"/>
        <v>P.1 (4)</v>
      </c>
      <c r="G13" s="744"/>
      <c r="H13" s="744" t="str">
        <f t="shared" ca="1" si="57"/>
        <v>P.1 (4)</v>
      </c>
      <c r="I13" s="744" t="str">
        <f t="shared" ca="1" si="58"/>
        <v>P.1 (4)</v>
      </c>
      <c r="J13" s="744"/>
      <c r="K13" s="744" t="str">
        <f t="shared" ca="1" si="59"/>
        <v>P.1 (4)</v>
      </c>
      <c r="L13" s="744" t="str">
        <f t="shared" ca="1" si="60"/>
        <v>P.1 (4)</v>
      </c>
      <c r="M13" s="744"/>
      <c r="N13" s="744" t="str">
        <f t="shared" ca="1" si="61"/>
        <v>P.1 (4)</v>
      </c>
      <c r="O13" s="744" t="str">
        <f t="shared" ca="1" si="62"/>
        <v>P.1 (4)</v>
      </c>
      <c r="P13" s="744"/>
      <c r="Q13" s="744" t="str">
        <f t="shared" ca="1" si="63"/>
        <v>P.1 (4)</v>
      </c>
      <c r="R13" s="744" t="str">
        <f t="shared" ca="1" si="64"/>
        <v>P.1 (4)</v>
      </c>
      <c r="S13" s="744"/>
      <c r="T13" s="744" t="str">
        <f t="shared" ca="1" si="65"/>
        <v>P.1 (4)</v>
      </c>
      <c r="U13" s="744" t="str">
        <f t="shared" ca="1" si="66"/>
        <v>P.1 (4)</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1</v>
      </c>
      <c r="BF13" s="748">
        <f t="shared" ca="1" si="26"/>
        <v>1</v>
      </c>
      <c r="BG13" s="748">
        <f t="shared" ca="1" si="17"/>
        <v>0</v>
      </c>
      <c r="BH13" s="748">
        <f t="shared" ca="1" si="18"/>
        <v>1</v>
      </c>
      <c r="BI13" s="748">
        <f t="shared" ca="1" si="19"/>
        <v>0</v>
      </c>
      <c r="BJ13" s="748">
        <f t="shared" ca="1" si="20"/>
        <v>1</v>
      </c>
      <c r="BK13" s="748">
        <f t="shared" ca="1" si="21"/>
        <v>1</v>
      </c>
      <c r="BL13" s="748">
        <f t="shared" ca="1" si="27"/>
        <v>0</v>
      </c>
      <c r="BM13" s="748" t="str">
        <f t="shared" ca="1" si="22"/>
        <v>4B</v>
      </c>
      <c r="BN13" s="748" t="str">
        <f t="shared" ca="1" si="23"/>
        <v>4B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1</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(4)</v>
      </c>
      <c r="BU13" s="758">
        <f t="shared" ca="1" si="36"/>
        <v>0</v>
      </c>
      <c r="BV13" s="758">
        <f t="shared" ca="1" si="37"/>
        <v>1</v>
      </c>
      <c r="BW13" s="758">
        <f t="shared" ca="1" si="38"/>
        <v>0</v>
      </c>
      <c r="BX13" s="758">
        <f t="shared" ca="1" si="39"/>
        <v>1</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(4)</v>
      </c>
      <c r="CA13" s="758">
        <f t="shared" ca="1" si="40"/>
        <v>1</v>
      </c>
      <c r="CB13" s="758">
        <f t="shared" ca="1" si="41"/>
        <v>1</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(4)</v>
      </c>
      <c r="CF13" s="758">
        <f t="shared" ca="1" si="43"/>
        <v>1</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(4)</v>
      </c>
      <c r="CI13" s="758">
        <f t="shared" ca="1" si="44"/>
        <v>0</v>
      </c>
      <c r="CJ13" s="758">
        <f t="shared" ca="1" si="45"/>
        <v>1</v>
      </c>
      <c r="CK13" s="758">
        <f t="shared" ca="1" si="46"/>
        <v>0</v>
      </c>
      <c r="CL13" s="758">
        <f t="shared" ca="1" si="47"/>
        <v>1</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(4)</v>
      </c>
      <c r="CO13" s="758">
        <f t="shared" ca="1" si="48"/>
        <v>1</v>
      </c>
      <c r="CP13" s="758">
        <f t="shared" ca="1" si="49"/>
        <v>1</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(4)</v>
      </c>
      <c r="CT13" s="758">
        <f t="shared" ca="1" si="51"/>
        <v>1</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(4)</v>
      </c>
      <c r="CW13" s="757">
        <f t="shared" ca="1" si="30"/>
        <v>0</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P.1 (4)</v>
      </c>
      <c r="CZ13" s="757">
        <f t="shared" ca="1" si="31"/>
        <v>1</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P.1 (4)</v>
      </c>
      <c r="DC13" s="756">
        <f ca="1">IF(DB13="-","-",COUNTIFS(T_Equipos[Rank],"&lt;"&amp;INDEX(T_Equipos[Rank],MATCH(BD13,T_Equipos[NombreEquipo],0)),$BC$6:$BC$53,INDEX(T_Equipos[Grupo],MATCH(BD13,T_Equipos[NombreEquipo],0)))+1)</f>
        <v>4</v>
      </c>
      <c r="DD13" s="756">
        <f ca="1">DA13+COUNTIFS($DB$6:$DB$53,DB13,$DC$6:DC$53,"&lt;"&amp;DC13,$BC$6:$BC$53,INDEX(T_Equipos[Grupo],MATCH(BD13,T_Equipos[NombreEquipo],0)))</f>
        <v>4</v>
      </c>
      <c r="DE13" s="756"/>
      <c r="DF13" s="756">
        <f t="shared" ca="1" si="52"/>
        <v>4</v>
      </c>
      <c r="DG13" s="756">
        <f ca="1">IF(DB13="-","-",COUNTIFS(DF$6:DF$53,"&lt;"&amp;DF13,$BC$6:$BC$53,INDEX(T_Equipos[Grupo],MATCH(BD13,T_Equipos[NombreEquipo],0))))</f>
        <v>3</v>
      </c>
      <c r="DH13" s="756">
        <f ca="1">DA13+COUNTIFS(DB$6:DB$53,DB13,DG$6:DG$53,"&lt;"&amp;DG13,$BC$6:$BC$53,INDEX(T_Equipos[Grupo],MATCH(BD13,T_Equipos[NombreEquipo],0)))</f>
        <v>4</v>
      </c>
      <c r="DI13" s="744"/>
      <c r="DJ13" s="744">
        <f t="shared" ca="1" si="53"/>
        <v>1</v>
      </c>
      <c r="DK13" s="744">
        <f t="shared" ca="1" si="24"/>
        <v>4</v>
      </c>
      <c r="DL13" s="744">
        <f t="shared" ca="1" si="33"/>
        <v>1</v>
      </c>
      <c r="DM13" s="738" t="str">
        <f t="shared" ca="1" si="34"/>
        <v>1.1</v>
      </c>
      <c r="DN13" s="744" cm="1">
        <f t="array" aca="1" ref="DN13" ca="1">OFFSET(Horarios!$P$3,DJ13-1,0,DL13,1)</f>
        <v>1</v>
      </c>
      <c r="DO13" s="744"/>
      <c r="DP13" s="744" t="s">
        <v>650</v>
      </c>
      <c r="DQ13" s="744" t="str">
        <f t="shared" ca="1" si="35"/>
        <v>Suiza</v>
      </c>
      <c r="DR13" s="744"/>
      <c r="DS13" s="744"/>
      <c r="DT13" s="744" t="str">
        <f t="shared" ca="1" si="15"/>
        <v>Catar-Suiza</v>
      </c>
      <c r="DU13" s="744"/>
      <c r="DV13" s="744"/>
      <c r="DW13" s="8"/>
    </row>
    <row r="14" spans="1:127" ht="16.95" customHeight="1">
      <c r="A14" s="745" t="str">
        <f ca="1">+Equipos!B7</f>
        <v>Bosnia y Herzegovina</v>
      </c>
      <c r="B14" s="742"/>
      <c r="C14" s="746"/>
      <c r="D14" s="744" t="str">
        <f t="shared" si="54"/>
        <v>Pendiente</v>
      </c>
      <c r="E14" s="744" t="str">
        <f t="shared" si="55"/>
        <v>-</v>
      </c>
      <c r="F14" s="744" t="str">
        <f t="shared" si="56"/>
        <v>-</v>
      </c>
      <c r="G14" s="744"/>
      <c r="H14" s="744" t="str">
        <f t="shared" si="57"/>
        <v>-</v>
      </c>
      <c r="I14" s="744" t="str">
        <f t="shared" si="58"/>
        <v>-</v>
      </c>
      <c r="J14" s="744"/>
      <c r="K14" s="744" t="str">
        <f t="shared" si="59"/>
        <v>-</v>
      </c>
      <c r="L14" s="744" t="str">
        <f t="shared" si="60"/>
        <v>-</v>
      </c>
      <c r="M14" s="744"/>
      <c r="N14" s="744" t="str">
        <f t="shared" si="61"/>
        <v>-</v>
      </c>
      <c r="O14" s="744" t="str">
        <f t="shared" si="62"/>
        <v>-</v>
      </c>
      <c r="P14" s="744"/>
      <c r="Q14" s="744" t="str">
        <f t="shared" si="63"/>
        <v>-</v>
      </c>
      <c r="R14" s="744" t="str">
        <f t="shared" si="64"/>
        <v>-</v>
      </c>
      <c r="S14" s="744"/>
      <c r="T14" s="744" t="str">
        <f t="shared" si="65"/>
        <v>-</v>
      </c>
      <c r="U14" s="744" t="str">
        <f t="shared" si="66"/>
        <v>-</v>
      </c>
      <c r="V14" s="172"/>
      <c r="W14" s="828"/>
      <c r="X14" s="189">
        <f ca="1">Horarios!C14</f>
        <v>46191.875</v>
      </c>
      <c r="Y14" s="190">
        <f ca="1">Horarios!C14</f>
        <v>46191.875</v>
      </c>
      <c r="Z14" s="191" t="str">
        <f>$Z$6</f>
        <v>J2</v>
      </c>
      <c r="AA14" s="192" t="str">
        <f ca="1">A16</f>
        <v>Suiza</v>
      </c>
      <c r="AB14" s="478" t="e" cm="1" vm="8">
        <f t="array" aca="1" ref="AB14" ca="1">Ver_flag_local</f>
        <v>#VALUE!</v>
      </c>
      <c r="AC14" s="193"/>
      <c r="AD14" s="194"/>
      <c r="AE14" s="483" t="e" cm="1" vm="6">
        <f t="array" aca="1" ref="AE14" ca="1">Ver_flag_visit</f>
        <v>#VALUE!</v>
      </c>
      <c r="AF14" s="195" t="str">
        <f ca="1">A14</f>
        <v>Bosnia y Herzegovina</v>
      </c>
      <c r="AG14" s="413">
        <f t="shared" si="67"/>
        <v>0</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1</v>
      </c>
      <c r="BF14" s="748">
        <f t="shared" ca="1" si="26"/>
        <v>1</v>
      </c>
      <c r="BG14" s="748">
        <f t="shared" ca="1" si="17"/>
        <v>0</v>
      </c>
      <c r="BH14" s="748">
        <f t="shared" ca="1" si="18"/>
        <v>1</v>
      </c>
      <c r="BI14" s="748">
        <f t="shared" ca="1" si="19"/>
        <v>0</v>
      </c>
      <c r="BJ14" s="748">
        <f t="shared" ca="1" si="20"/>
        <v>1</v>
      </c>
      <c r="BK14" s="748">
        <f t="shared" ca="1" si="21"/>
        <v>1</v>
      </c>
      <c r="BL14" s="748">
        <f t="shared" ca="1" si="27"/>
        <v>0</v>
      </c>
      <c r="BM14" s="748" t="str">
        <f t="shared" ca="1" si="22"/>
        <v>2C</v>
      </c>
      <c r="BN14" s="748" t="str">
        <f t="shared" ca="1" si="23"/>
        <v>2C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1</v>
      </c>
      <c r="BS14" s="757">
        <f ca="1">BP14+COUNTIFS($BQ$6:$BQ$53,BQ14,$BR$6:BR$53,"&gt;"&amp;BR14,$BC$6:$BC$53,INDEX(T_Equipos[Grupo],MATCH(BD14,T_Equipos[NombreEquipo],0)))</f>
        <v>2</v>
      </c>
      <c r="BT14" s="757" t="str">
        <f ca="1">IF(COUNTIFS($BS$6:$BS$53,BS14,$BC$6:$BC$53,INDEX(T_Equipos[Grupo],MATCH(BD14,T_Equipos[NombreEquipo],0)))=1,"-","P."&amp;BS14&amp;" ("&amp;COUNTIFS($BS$6:$BS$53,BS14,$BC$6:$BC$53,INDEX(T_Equipos[Grupo],MATCH(BD14,T_Equipos[NombreEquipo],0)))&amp;")")</f>
        <v>P.2 (2)</v>
      </c>
      <c r="BU14" s="758">
        <f t="shared" ca="1" si="36"/>
        <v>0</v>
      </c>
      <c r="BV14" s="758">
        <f t="shared" ca="1" si="37"/>
        <v>1</v>
      </c>
      <c r="BW14" s="758">
        <f t="shared" ca="1" si="38"/>
        <v>0</v>
      </c>
      <c r="BX14" s="758">
        <f t="shared" ca="1" si="39"/>
        <v>1</v>
      </c>
      <c r="BY14" s="758">
        <f ca="1">BS14+COUNTIFS($BT$6:$BT$53,BT14,$BX$6:BX$53,"&gt;"&amp;BX14,$BC$6:$BC$53,INDEX(T_Equipos[Grupo],MATCH(BD14,T_Equipos[NombreEquipo],0)))</f>
        <v>2</v>
      </c>
      <c r="BZ14" s="757" t="str">
        <f ca="1">IF(COUNTIFS($BY$6:$BY$53,BY14,$BC$6:$BC$53,INDEX(T_Equipos[Grupo],MATCH(BD14,T_Equipos[NombreEquipo],0)))=1,"-","P."&amp;BY14&amp;" ("&amp;COUNTIFS($BY$6:$BY$53,BY14,$BC$6:$BC$53,INDEX(T_Equipos[Grupo],MATCH(BD14,T_Equipos[NombreEquipo],0)))&amp;")")</f>
        <v>P.2 (2)</v>
      </c>
      <c r="CA14" s="758">
        <f t="shared" ca="1" si="40"/>
        <v>1</v>
      </c>
      <c r="CB14" s="758">
        <f t="shared" ca="1" si="41"/>
        <v>1</v>
      </c>
      <c r="CC14" s="758">
        <f t="shared" ca="1" si="42"/>
        <v>0</v>
      </c>
      <c r="CD14" s="758">
        <f ca="1">BY14+COUNTIFS($BZ$6:$BZ$53,BZ14,$CC$6:CC$53,"&gt;"&amp;CC14,$BC$6:$BC$53,INDEX(T_Equipos[Grupo],MATCH(BD14,T_Equipos[NombreEquipo],0)))</f>
        <v>2</v>
      </c>
      <c r="CE14" s="757" t="str">
        <f ca="1">IF(COUNTIFS($CD$6:$CD$53,CD14,$BC$6:$BC$53,INDEX(T_Equipos[Grupo],MATCH(BD14,T_Equipos[NombreEquipo],0)))=1,"-","P."&amp;CD14&amp;" ("&amp;COUNTIFS($CD$6:$CD$53,CD14,$BC$6:$BC$53,INDEX(T_Equipos[Grupo],MATCH(BD14,T_Equipos[NombreEquipo],0)))&amp;")")</f>
        <v>P.2 (2)</v>
      </c>
      <c r="CF14" s="758">
        <f t="shared" ca="1" si="43"/>
        <v>1</v>
      </c>
      <c r="CG14" s="758">
        <f ca="1">CD14+COUNTIFS($CE$6:$CE$53,CE14,$CF$6:CF$53,"&gt;"&amp;CF14,$BC$6:$BC$53,INDEX(T_Equipos[Grupo],MATCH(BD14,T_Equipos[NombreEquipo],0)))</f>
        <v>2</v>
      </c>
      <c r="CH14" s="757" t="str">
        <f ca="1">IF(COUNTIFS($CG$6:$CG$53,CG14,$BC$6:$BC$53,INDEX(T_Equipos[Grupo],MATCH(BD14,T_Equipos[NombreEquipo],0)))=1,"-","P."&amp;CG14&amp;" ("&amp;COUNTIFS($CG$6:$CG$53,CG14,$BC$6:$BC$53,INDEX(T_Equipos[Grupo],MATCH(BD14,T_Equipos[NombreEquipo],0)))&amp;")")</f>
        <v>P.2 (2)</v>
      </c>
      <c r="CI14" s="758">
        <f t="shared" ca="1" si="44"/>
        <v>0</v>
      </c>
      <c r="CJ14" s="758">
        <f t="shared" ca="1" si="45"/>
        <v>1</v>
      </c>
      <c r="CK14" s="758">
        <f t="shared" ca="1" si="46"/>
        <v>0</v>
      </c>
      <c r="CL14" s="758">
        <f t="shared" ca="1" si="47"/>
        <v>1</v>
      </c>
      <c r="CM14" s="758">
        <f ca="1">CG14+COUNTIFS($CH$6:$CH$53,CH14,$CL$6:CL$53,"&gt;"&amp;CL14,$BC$6:$BC$53,INDEX(T_Equipos[Grupo],MATCH(BD14,T_Equipos[NombreEquipo],0)))</f>
        <v>2</v>
      </c>
      <c r="CN14" s="757" t="str">
        <f ca="1">IF(COUNTIFS($CM$6:$CM$53,CM14,$BC$6:$BC$53,INDEX(T_Equipos[Grupo],MATCH(BD14,T_Equipos[NombreEquipo],0)))=1,"-","P."&amp;CM14&amp;" ("&amp;COUNTIFS($CM$6:$CM$53,CM14,$BC$6:$BC$53,INDEX(T_Equipos[Grupo],MATCH(BD14,T_Equipos[NombreEquipo],0)))&amp;")")</f>
        <v>P.2 (2)</v>
      </c>
      <c r="CO14" s="758">
        <f t="shared" ca="1" si="48"/>
        <v>1</v>
      </c>
      <c r="CP14" s="758">
        <f t="shared" ca="1" si="49"/>
        <v>1</v>
      </c>
      <c r="CQ14" s="758">
        <f t="shared" ca="1" si="50"/>
        <v>0</v>
      </c>
      <c r="CR14" s="758">
        <f ca="1">CM14+COUNTIFS($CN$6:$CN$53,CN14,$CQ$6:CQ$53,"&gt;"&amp;CQ14,$BC$6:$BC$53,INDEX(T_Equipos[Grupo],MATCH(BD14,T_Equipos[NombreEquipo],0)))</f>
        <v>2</v>
      </c>
      <c r="CS14" s="757" t="str">
        <f ca="1">IF(COUNTIFS($CR$6:$CR$53,CR14,$BC$6:$BC$53,INDEX(T_Equipos[Grupo],MATCH(BD14,T_Equipos[NombreEquipo],0)))=1,"-","P."&amp;CR14&amp;" ("&amp;COUNTIFS($CR$6:$CR$53,CR14,$BC$6:$BC$53,INDEX(T_Equipos[Grupo],MATCH(BD14,T_Equipos[NombreEquipo],0)))&amp;")")</f>
        <v>P.2 (2)</v>
      </c>
      <c r="CT14" s="758">
        <f t="shared" ca="1" si="51"/>
        <v>1</v>
      </c>
      <c r="CU14" s="758">
        <f ca="1">CR14+COUNTIFS($CS$6:$CS$53,CS14,$CT$6:CT$53,"&gt;"&amp;CT14,$BC$6:$BC$53,INDEX(T_Equipos[Grupo],MATCH(BD14,T_Equipos[NombreEquipo],0)))</f>
        <v>2</v>
      </c>
      <c r="CV14" s="757" t="str">
        <f ca="1">IF(COUNTIFS($CU$6:$CU$53,CU14,$BC$6:$BC$53,INDEX(T_Equipos[Grupo],MATCH(BD14,T_Equipos[NombreEquipo],0)))=1,"-","P."&amp;CU14&amp;" ("&amp;COUNTIFS($CU$6:$CU$53,CU14,$BC$6:$BC$53,INDEX(T_Equipos[Grupo],MATCH(BD14,T_Equipos[NombreEquipo],0)))&amp;")")</f>
        <v>P.2 (2)</v>
      </c>
      <c r="CW14" s="757">
        <f t="shared" ca="1" si="30"/>
        <v>0</v>
      </c>
      <c r="CX14" s="757">
        <f ca="1">CU14+COUNTIFS($CV$6:$CV$53,CV14,$CW$6:CW$53,"&gt;"&amp;CW14,$BC$6:$BC$53,INDEX(T_Equipos[Grupo],MATCH(BD14,T_Equipos[NombreEquipo],0)))</f>
        <v>2</v>
      </c>
      <c r="CY14" s="757" t="str">
        <f ca="1">IF(COUNTIFS($CX$6:$CX$53,CX14,$BC$6:$BC$53,INDEX(T_Equipos[Grupo],MATCH(BD14,T_Equipos[NombreEquipo],0)))=1,"-","P."&amp;CX14&amp;" ("&amp;COUNTIFS($CX$6:$CX$53,CX14,$BC$6:$BC$53,INDEX(T_Equipos[Grupo],MATCH(BD14,T_Equipos[NombreEquipo],0)))&amp;")")</f>
        <v>P.2 (2)</v>
      </c>
      <c r="CZ14" s="757">
        <f t="shared" ca="1" si="31"/>
        <v>1</v>
      </c>
      <c r="DA14" s="758">
        <f ca="1">CX14+COUNTIFS($CY$6:$CY$53,CY14,$CZ$6:CZ$53,"&gt;"&amp;CZ14,$BC$6:$BC$53,INDEX(T_Equipos[Grupo],MATCH(BD14,T_Equipos[NombreEquipo],0)))</f>
        <v>2</v>
      </c>
      <c r="DB14" s="757" t="str">
        <f ca="1">IF(COUNTIFS($DA$6:$DA$53,DA14,$BC$6:$BC$53,INDEX(T_Equipos[Grupo],MATCH(BD14,T_Equipos[NombreEquipo],0)))=1,"-","P."&amp;DA14&amp;" ("&amp;COUNTIFS($DA$6:$DA$53,DA14,$BC$6:$BC$53,INDEX(T_Equipos[Grupo],MATCH(BD14,T_Equipos[NombreEquipo],0)))&amp;")")</f>
        <v>P.2 (2)</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2</v>
      </c>
      <c r="DE14" s="756"/>
      <c r="DF14" s="756">
        <f t="shared" ca="1" si="52"/>
        <v>2</v>
      </c>
      <c r="DG14" s="756">
        <f ca="1">IF(DB14="-","-",COUNTIFS(DF$6:DF$53,"&lt;"&amp;DF14,$BC$6:$BC$53,INDEX(T_Equipos[Grupo],MATCH(BD14,T_Equipos[NombreEquipo],0))))</f>
        <v>1</v>
      </c>
      <c r="DH14" s="756">
        <f ca="1">DA14+COUNTIFS(DB$6:DB$53,DB14,DG$6:DG$53,"&lt;"&amp;DG14,$BC$6:$BC$53,INDEX(T_Equipos[Grupo],MATCH(BD14,T_Equipos[NombreEquipo],0)))</f>
        <v>2</v>
      </c>
      <c r="DI14" s="744"/>
      <c r="DJ14" s="744">
        <f t="shared" ca="1" si="53"/>
        <v>1</v>
      </c>
      <c r="DK14" s="744">
        <f t="shared" ca="1" si="24"/>
        <v>4</v>
      </c>
      <c r="DL14" s="744">
        <f t="shared" ca="1" si="33"/>
        <v>1</v>
      </c>
      <c r="DM14" s="738" t="str">
        <f t="shared" ca="1" si="34"/>
        <v>1.1</v>
      </c>
      <c r="DN14" s="744" cm="1">
        <f t="array" aca="1" ref="DN14" ca="1">OFFSET(Horarios!$P$3,DJ14-1,0,DL14,1)</f>
        <v>1</v>
      </c>
      <c r="DO14" s="744"/>
      <c r="DP14" s="744" t="s">
        <v>651</v>
      </c>
      <c r="DQ14" s="744" t="str">
        <f t="shared" ca="1" si="35"/>
        <v>Escocia</v>
      </c>
      <c r="DR14" s="744"/>
      <c r="DS14" s="744"/>
      <c r="DT14" s="744" t="str">
        <f t="shared" ca="1" si="15"/>
        <v>Suiza-Bosnia y Herzegovina</v>
      </c>
      <c r="DU14" s="744"/>
      <c r="DV14" s="744"/>
      <c r="DW14" s="8"/>
    </row>
    <row r="15" spans="1:127">
      <c r="A15" s="745" t="str">
        <f ca="1">+Equipos!B8</f>
        <v>Catar</v>
      </c>
      <c r="B15" s="742"/>
      <c r="C15" s="744"/>
      <c r="D15" s="744" t="str">
        <f t="shared" si="54"/>
        <v>Pendiente</v>
      </c>
      <c r="E15" s="744" t="str">
        <f t="shared" si="55"/>
        <v>-</v>
      </c>
      <c r="F15" s="744" t="str">
        <f t="shared" si="56"/>
        <v>-</v>
      </c>
      <c r="G15" s="744"/>
      <c r="H15" s="744" t="str">
        <f t="shared" si="57"/>
        <v>-</v>
      </c>
      <c r="I15" s="744" t="str">
        <f t="shared" si="58"/>
        <v>-</v>
      </c>
      <c r="J15" s="744"/>
      <c r="K15" s="744" t="str">
        <f t="shared" si="59"/>
        <v>-</v>
      </c>
      <c r="L15" s="744" t="str">
        <f t="shared" si="60"/>
        <v>-</v>
      </c>
      <c r="M15" s="744"/>
      <c r="N15" s="744" t="str">
        <f t="shared" si="61"/>
        <v>-</v>
      </c>
      <c r="O15" s="744" t="str">
        <f t="shared" si="62"/>
        <v>-</v>
      </c>
      <c r="P15" s="744"/>
      <c r="Q15" s="744" t="str">
        <f t="shared" si="63"/>
        <v>-</v>
      </c>
      <c r="R15" s="744" t="str">
        <f t="shared" si="64"/>
        <v>-</v>
      </c>
      <c r="S15" s="744"/>
      <c r="T15" s="744" t="str">
        <f t="shared" si="65"/>
        <v>-</v>
      </c>
      <c r="U15" s="744" t="str">
        <f t="shared" si="66"/>
        <v>-</v>
      </c>
      <c r="V15" s="172"/>
      <c r="W15" s="828"/>
      <c r="X15" s="189">
        <f ca="1">Horarios!C15</f>
        <v>46192</v>
      </c>
      <c r="Y15" s="190">
        <f ca="1">Horarios!C15</f>
        <v>46192</v>
      </c>
      <c r="Z15" s="191" t="str">
        <f>$Z$6</f>
        <v>J2</v>
      </c>
      <c r="AA15" s="192" t="str">
        <f ca="1">A13</f>
        <v>Canadá</v>
      </c>
      <c r="AB15" s="478" t="e" cm="1" vm="5">
        <f t="array" aca="1" ref="AB15" ca="1">Ver_flag_local</f>
        <v>#VALUE!</v>
      </c>
      <c r="AC15" s="193"/>
      <c r="AD15" s="194"/>
      <c r="AE15" s="483" t="e" cm="1" vm="7">
        <f t="array" aca="1" ref="AE15" ca="1">Ver_flag_visit</f>
        <v>#VALUE!</v>
      </c>
      <c r="AF15" s="195" t="str">
        <f ca="1">A15</f>
        <v>Catar</v>
      </c>
      <c r="AG15" s="413">
        <f t="shared" si="67"/>
        <v>0</v>
      </c>
      <c r="AH15" s="196">
        <v>27</v>
      </c>
      <c r="AI15" s="19" t="str">
        <f t="shared" ref="AI15:AI17" si="72">AJ15&amp;$B$12</f>
        <v>2B</v>
      </c>
      <c r="AJ15" s="258">
        <v>2</v>
      </c>
      <c r="AK15" s="486" t="e" cm="1" vm="6">
        <f t="array" aca="1" ref="AK15" ca="1">Ver_flag_visit</f>
        <v>#VALUE!</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1</v>
      </c>
      <c r="BF15" s="748">
        <f t="shared" ca="1" si="26"/>
        <v>1</v>
      </c>
      <c r="BG15" s="748">
        <f t="shared" ca="1" si="17"/>
        <v>0</v>
      </c>
      <c r="BH15" s="748">
        <f t="shared" ca="1" si="18"/>
        <v>1</v>
      </c>
      <c r="BI15" s="748">
        <f t="shared" ca="1" si="19"/>
        <v>0</v>
      </c>
      <c r="BJ15" s="748">
        <f t="shared" ca="1" si="20"/>
        <v>1</v>
      </c>
      <c r="BK15" s="748">
        <f t="shared" ca="1" si="21"/>
        <v>1</v>
      </c>
      <c r="BL15" s="748">
        <f t="shared" ca="1" si="27"/>
        <v>0</v>
      </c>
      <c r="BM15" s="748" t="str">
        <f t="shared" ca="1" si="22"/>
        <v>3C</v>
      </c>
      <c r="BN15" s="748" t="str">
        <f t="shared" ca="1" si="23"/>
        <v>3C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1</v>
      </c>
      <c r="BS15" s="757">
        <f ca="1">BP15+COUNTIFS($BQ$6:$BQ$53,BQ15,$BR$6:BR$53,"&gt;"&amp;BR15,$BC$6:$BC$53,INDEX(T_Equipos[Grupo],MATCH(BD15,T_Equipos[NombreEquipo],0)))</f>
        <v>2</v>
      </c>
      <c r="BT15" s="757" t="str">
        <f ca="1">IF(COUNTIFS($BS$6:$BS$53,BS15,$BC$6:$BC$53,INDEX(T_Equipos[Grupo],MATCH(BD15,T_Equipos[NombreEquipo],0)))=1,"-","P."&amp;BS15&amp;" ("&amp;COUNTIFS($BS$6:$BS$53,BS15,$BC$6:$BC$53,INDEX(T_Equipos[Grupo],MATCH(BD15,T_Equipos[NombreEquipo],0)))&amp;")")</f>
        <v>P.2 (2)</v>
      </c>
      <c r="BU15" s="758">
        <f t="shared" ca="1" si="36"/>
        <v>0</v>
      </c>
      <c r="BV15" s="758">
        <f t="shared" ca="1" si="37"/>
        <v>1</v>
      </c>
      <c r="BW15" s="758">
        <f t="shared" ca="1" si="38"/>
        <v>0</v>
      </c>
      <c r="BX15" s="758">
        <f t="shared" ca="1" si="39"/>
        <v>1</v>
      </c>
      <c r="BY15" s="758">
        <f ca="1">BS15+COUNTIFS($BT$6:$BT$53,BT15,$BX$6:BX$53,"&gt;"&amp;BX15,$BC$6:$BC$53,INDEX(T_Equipos[Grupo],MATCH(BD15,T_Equipos[NombreEquipo],0)))</f>
        <v>2</v>
      </c>
      <c r="BZ15" s="757" t="str">
        <f ca="1">IF(COUNTIFS($BY$6:$BY$53,BY15,$BC$6:$BC$53,INDEX(T_Equipos[Grupo],MATCH(BD15,T_Equipos[NombreEquipo],0)))=1,"-","P."&amp;BY15&amp;" ("&amp;COUNTIFS($BY$6:$BY$53,BY15,$BC$6:$BC$53,INDEX(T_Equipos[Grupo],MATCH(BD15,T_Equipos[NombreEquipo],0)))&amp;")")</f>
        <v>P.2 (2)</v>
      </c>
      <c r="CA15" s="758">
        <f t="shared" ca="1" si="40"/>
        <v>1</v>
      </c>
      <c r="CB15" s="758">
        <f t="shared" ca="1" si="41"/>
        <v>1</v>
      </c>
      <c r="CC15" s="758">
        <f t="shared" ca="1" si="42"/>
        <v>0</v>
      </c>
      <c r="CD15" s="758">
        <f ca="1">BY15+COUNTIFS($BZ$6:$BZ$53,BZ15,$CC$6:CC$53,"&gt;"&amp;CC15,$BC$6:$BC$53,INDEX(T_Equipos[Grupo],MATCH(BD15,T_Equipos[NombreEquipo],0)))</f>
        <v>2</v>
      </c>
      <c r="CE15" s="757" t="str">
        <f ca="1">IF(COUNTIFS($CD$6:$CD$53,CD15,$BC$6:$BC$53,INDEX(T_Equipos[Grupo],MATCH(BD15,T_Equipos[NombreEquipo],0)))=1,"-","P."&amp;CD15&amp;" ("&amp;COUNTIFS($CD$6:$CD$53,CD15,$BC$6:$BC$53,INDEX(T_Equipos[Grupo],MATCH(BD15,T_Equipos[NombreEquipo],0)))&amp;")")</f>
        <v>P.2 (2)</v>
      </c>
      <c r="CF15" s="758">
        <f t="shared" ca="1" si="43"/>
        <v>1</v>
      </c>
      <c r="CG15" s="758">
        <f ca="1">CD15+COUNTIFS($CE$6:$CE$53,CE15,$CF$6:CF$53,"&gt;"&amp;CF15,$BC$6:$BC$53,INDEX(T_Equipos[Grupo],MATCH(BD15,T_Equipos[NombreEquipo],0)))</f>
        <v>2</v>
      </c>
      <c r="CH15" s="757" t="str">
        <f ca="1">IF(COUNTIFS($CG$6:$CG$53,CG15,$BC$6:$BC$53,INDEX(T_Equipos[Grupo],MATCH(BD15,T_Equipos[NombreEquipo],0)))=1,"-","P."&amp;CG15&amp;" ("&amp;COUNTIFS($CG$6:$CG$53,CG15,$BC$6:$BC$53,INDEX(T_Equipos[Grupo],MATCH(BD15,T_Equipos[NombreEquipo],0)))&amp;")")</f>
        <v>P.2 (2)</v>
      </c>
      <c r="CI15" s="758">
        <f t="shared" ca="1" si="44"/>
        <v>0</v>
      </c>
      <c r="CJ15" s="758">
        <f t="shared" ca="1" si="45"/>
        <v>1</v>
      </c>
      <c r="CK15" s="758">
        <f t="shared" ca="1" si="46"/>
        <v>0</v>
      </c>
      <c r="CL15" s="758">
        <f t="shared" ca="1" si="47"/>
        <v>1</v>
      </c>
      <c r="CM15" s="758">
        <f ca="1">CG15+COUNTIFS($CH$6:$CH$53,CH15,$CL$6:CL$53,"&gt;"&amp;CL15,$BC$6:$BC$53,INDEX(T_Equipos[Grupo],MATCH(BD15,T_Equipos[NombreEquipo],0)))</f>
        <v>2</v>
      </c>
      <c r="CN15" s="757" t="str">
        <f ca="1">IF(COUNTIFS($CM$6:$CM$53,CM15,$BC$6:$BC$53,INDEX(T_Equipos[Grupo],MATCH(BD15,T_Equipos[NombreEquipo],0)))=1,"-","P."&amp;CM15&amp;" ("&amp;COUNTIFS($CM$6:$CM$53,CM15,$BC$6:$BC$53,INDEX(T_Equipos[Grupo],MATCH(BD15,T_Equipos[NombreEquipo],0)))&amp;")")</f>
        <v>P.2 (2)</v>
      </c>
      <c r="CO15" s="758">
        <f t="shared" ca="1" si="48"/>
        <v>1</v>
      </c>
      <c r="CP15" s="758">
        <f t="shared" ca="1" si="49"/>
        <v>1</v>
      </c>
      <c r="CQ15" s="758">
        <f t="shared" ca="1" si="50"/>
        <v>0</v>
      </c>
      <c r="CR15" s="758">
        <f ca="1">CM15+COUNTIFS($CN$6:$CN$53,CN15,$CQ$6:CQ$53,"&gt;"&amp;CQ15,$BC$6:$BC$53,INDEX(T_Equipos[Grupo],MATCH(BD15,T_Equipos[NombreEquipo],0)))</f>
        <v>2</v>
      </c>
      <c r="CS15" s="757" t="str">
        <f ca="1">IF(COUNTIFS($CR$6:$CR$53,CR15,$BC$6:$BC$53,INDEX(T_Equipos[Grupo],MATCH(BD15,T_Equipos[NombreEquipo],0)))=1,"-","P."&amp;CR15&amp;" ("&amp;COUNTIFS($CR$6:$CR$53,CR15,$BC$6:$BC$53,INDEX(T_Equipos[Grupo],MATCH(BD15,T_Equipos[NombreEquipo],0)))&amp;")")</f>
        <v>P.2 (2)</v>
      </c>
      <c r="CT15" s="758">
        <f t="shared" ca="1" si="51"/>
        <v>1</v>
      </c>
      <c r="CU15" s="758">
        <f ca="1">CR15+COUNTIFS($CS$6:$CS$53,CS15,$CT$6:CT$53,"&gt;"&amp;CT15,$BC$6:$BC$53,INDEX(T_Equipos[Grupo],MATCH(BD15,T_Equipos[NombreEquipo],0)))</f>
        <v>2</v>
      </c>
      <c r="CV15" s="757" t="str">
        <f ca="1">IF(COUNTIFS($CU$6:$CU$53,CU15,$BC$6:$BC$53,INDEX(T_Equipos[Grupo],MATCH(BD15,T_Equipos[NombreEquipo],0)))=1,"-","P."&amp;CU15&amp;" ("&amp;COUNTIFS($CU$6:$CU$53,CU15,$BC$6:$BC$53,INDEX(T_Equipos[Grupo],MATCH(BD15,T_Equipos[NombreEquipo],0)))&amp;")")</f>
        <v>P.2 (2)</v>
      </c>
      <c r="CW15" s="757">
        <f t="shared" ca="1" si="30"/>
        <v>0</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P.2 (2)</v>
      </c>
      <c r="CZ15" s="757">
        <f t="shared" ca="1" si="31"/>
        <v>1</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P.2 (2)</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3</v>
      </c>
      <c r="DE15" s="756"/>
      <c r="DF15" s="756">
        <f t="shared" ca="1" si="52"/>
        <v>3</v>
      </c>
      <c r="DG15" s="756">
        <f ca="1">IF(DB15="-","-",COUNTIFS(DF$6:DF$53,"&lt;"&amp;DF15,$BC$6:$BC$53,INDEX(T_Equipos[Grupo],MATCH(BD15,T_Equipos[NombreEquipo],0))))</f>
        <v>2</v>
      </c>
      <c r="DH15" s="756">
        <f ca="1">DA15+COUNTIFS(DB$6:DB$53,DB15,DG$6:DG$53,"&lt;"&amp;DG15,$BC$6:$BC$53,INDEX(T_Equipos[Grupo],MATCH(BD15,T_Equipos[NombreEquipo],0)))</f>
        <v>3</v>
      </c>
      <c r="DI15" s="744"/>
      <c r="DJ15" s="744">
        <f t="shared" ca="1" si="53"/>
        <v>2</v>
      </c>
      <c r="DK15" s="744">
        <f t="shared" ca="1" si="24"/>
        <v>4</v>
      </c>
      <c r="DL15" s="744">
        <f t="shared" ca="1" si="33"/>
        <v>1</v>
      </c>
      <c r="DM15" s="738" t="str">
        <f t="shared" ca="1" si="34"/>
        <v>2.1</v>
      </c>
      <c r="DN15" s="744" cm="1">
        <f t="array" aca="1" ref="DN15" ca="1">OFFSET(Horarios!$P$3,DJ15-1,0,DL15,1)</f>
        <v>2</v>
      </c>
      <c r="DO15" s="744"/>
      <c r="DP15" s="744" t="s">
        <v>656</v>
      </c>
      <c r="DQ15" s="744" t="str">
        <f t="shared" ca="1" si="35"/>
        <v>Brasil</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28"/>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7">
        <f t="array" aca="1" ref="AK16" ca="1">Ver_flag_visit</f>
        <v>#VALUE!</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1</v>
      </c>
      <c r="BG16" s="748">
        <f t="shared" ca="1" si="17"/>
        <v>0</v>
      </c>
      <c r="BH16" s="748">
        <f t="shared" ca="1" si="18"/>
        <v>0</v>
      </c>
      <c r="BI16" s="748">
        <f t="shared" ca="1" si="19"/>
        <v>1</v>
      </c>
      <c r="BJ16" s="748">
        <f t="shared" ca="1" si="20"/>
        <v>0</v>
      </c>
      <c r="BK16" s="748">
        <f t="shared" ca="1" si="21"/>
        <v>1</v>
      </c>
      <c r="BL16" s="748">
        <f t="shared" ca="1" si="27"/>
        <v>-1</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2</v>
      </c>
      <c r="DK16" s="744">
        <f t="shared" ca="1" si="24"/>
        <v>4</v>
      </c>
      <c r="DL16" s="744">
        <f t="shared" ca="1" si="33"/>
        <v>1</v>
      </c>
      <c r="DM16" s="738" t="str">
        <f t="shared" ca="1" si="34"/>
        <v>2.1</v>
      </c>
      <c r="DN16" s="744" cm="1">
        <f t="array" aca="1" ref="DN16" ca="1">OFFSET(Horarios!$P$3,DJ16-1,0,DL16,1)</f>
        <v>2</v>
      </c>
      <c r="DO16" s="744"/>
      <c r="DP16" s="744" t="s">
        <v>91</v>
      </c>
      <c r="DQ16" s="744" t="str">
        <f t="shared" ca="1" si="35"/>
        <v>Marruecos</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8">
        <f t="array" aca="1" ref="AK17" ca="1">Ver_flag_visit</f>
        <v>#VALUE!</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1</v>
      </c>
      <c r="BG17" s="748">
        <f t="shared" ca="1" si="17"/>
        <v>1</v>
      </c>
      <c r="BH17" s="748">
        <f t="shared" ca="1" si="18"/>
        <v>0</v>
      </c>
      <c r="BI17" s="748">
        <f t="shared" ca="1" si="19"/>
        <v>0</v>
      </c>
      <c r="BJ17" s="748">
        <f t="shared" ca="1" si="20"/>
        <v>1</v>
      </c>
      <c r="BK17" s="748">
        <f t="shared" ca="1" si="21"/>
        <v>0</v>
      </c>
      <c r="BL17" s="748">
        <f t="shared" ca="1" si="27"/>
        <v>1</v>
      </c>
      <c r="BM17" s="748" t="str">
        <f t="shared" ca="1" si="22"/>
        <v>1C</v>
      </c>
      <c r="BN17" s="748" t="str">
        <f t="shared" ca="1" si="23"/>
        <v>1C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1</v>
      </c>
      <c r="DE17" s="756"/>
      <c r="DF17" s="756">
        <f t="shared" ca="1" si="52"/>
        <v>1</v>
      </c>
      <c r="DG17" s="756" t="str">
        <f ca="1">IF(DB17="-","-",COUNTIFS(DF$6:DF$53,"&lt;"&amp;DF17,$BC$6:$BC$53,INDEX(T_Equipos[Grupo],MATCH(BD17,T_Equipos[NombreEquipo],0))))</f>
        <v>-</v>
      </c>
      <c r="DH17" s="756">
        <f ca="1">DA17+COUNTIFS(DB$6:DB$53,DB17,DG$6:DG$53,"&lt;"&amp;DG17,$BC$6:$BC$53,INDEX(T_Equipos[Grupo],MATCH(BD17,T_Equipos[NombreEquipo],0)))</f>
        <v>1</v>
      </c>
      <c r="DI17" s="744"/>
      <c r="DJ17" s="744">
        <f t="shared" ca="1" si="53"/>
        <v>4</v>
      </c>
      <c r="DK17" s="744">
        <f t="shared" ca="1" si="24"/>
        <v>4</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3</v>
      </c>
      <c r="BF18" s="748">
        <f t="shared" ca="1" si="26"/>
        <v>1</v>
      </c>
      <c r="BG18" s="748">
        <f t="shared" ca="1" si="17"/>
        <v>1</v>
      </c>
      <c r="BH18" s="748">
        <f t="shared" ca="1" si="18"/>
        <v>0</v>
      </c>
      <c r="BI18" s="748">
        <f t="shared" ca="1" si="19"/>
        <v>0</v>
      </c>
      <c r="BJ18" s="748">
        <f t="shared" ca="1" si="20"/>
        <v>4</v>
      </c>
      <c r="BK18" s="748">
        <f t="shared" ca="1" si="21"/>
        <v>1</v>
      </c>
      <c r="BL18" s="748">
        <f t="shared" ca="1" si="27"/>
        <v>3</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3</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P.1 (2)</v>
      </c>
      <c r="BU18" s="758">
        <f t="shared" ca="1" si="36"/>
        <v>0</v>
      </c>
      <c r="BV18" s="758">
        <f t="shared" ca="1" si="37"/>
        <v>0</v>
      </c>
      <c r="BW18" s="758">
        <f t="shared" ca="1" si="38"/>
        <v>0</v>
      </c>
      <c r="BX18" s="758">
        <f t="shared" ca="1" si="39"/>
        <v>0</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P.1 (2)</v>
      </c>
      <c r="CA18" s="758">
        <f t="shared" ca="1" si="40"/>
        <v>0</v>
      </c>
      <c r="CB18" s="758">
        <f t="shared" ca="1" si="41"/>
        <v>0</v>
      </c>
      <c r="CC18" s="758">
        <f t="shared" ca="1" si="42"/>
        <v>0</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P.1 (2)</v>
      </c>
      <c r="CF18" s="758">
        <f t="shared" ca="1" si="43"/>
        <v>0</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P.1 (2)</v>
      </c>
      <c r="CI18" s="758">
        <f t="shared" ca="1" si="44"/>
        <v>0</v>
      </c>
      <c r="CJ18" s="758">
        <f t="shared" ca="1" si="45"/>
        <v>0</v>
      </c>
      <c r="CK18" s="758">
        <f t="shared" ca="1" si="46"/>
        <v>0</v>
      </c>
      <c r="CL18" s="758">
        <f t="shared" ca="1" si="47"/>
        <v>0</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P.1 (2)</v>
      </c>
      <c r="CO18" s="758">
        <f t="shared" ca="1" si="48"/>
        <v>0</v>
      </c>
      <c r="CP18" s="758">
        <f t="shared" ca="1" si="49"/>
        <v>0</v>
      </c>
      <c r="CQ18" s="758">
        <f t="shared" ca="1" si="50"/>
        <v>0</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P.1 (2)</v>
      </c>
      <c r="CT18" s="758">
        <f t="shared" ca="1" si="51"/>
        <v>0</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P.1 (2)</v>
      </c>
      <c r="CW18" s="757">
        <f t="shared" ca="1" si="30"/>
        <v>3</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4</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1</v>
      </c>
      <c r="BG19" s="748">
        <f t="shared" ca="1" si="17"/>
        <v>0</v>
      </c>
      <c r="BH19" s="748">
        <f t="shared" ca="1" si="18"/>
        <v>0</v>
      </c>
      <c r="BI19" s="748">
        <f t="shared" ca="1" si="19"/>
        <v>1</v>
      </c>
      <c r="BJ19" s="748">
        <f t="shared" ca="1" si="20"/>
        <v>1</v>
      </c>
      <c r="BK19" s="748">
        <f t="shared" ca="1" si="21"/>
        <v>4</v>
      </c>
      <c r="BL19" s="748">
        <f t="shared" ca="1" si="27"/>
        <v>-3</v>
      </c>
      <c r="BM19" s="748" t="str">
        <f t="shared" ca="1" si="22"/>
        <v>4D</v>
      </c>
      <c r="BN19" s="748" t="str">
        <f t="shared" ca="1" si="23"/>
        <v>4D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3</v>
      </c>
      <c r="BT19" s="757" t="str">
        <f ca="1">IF(COUNTIFS($BS$6:$BS$53,BS19,$BC$6:$BC$53,INDEX(T_Equipos[Grupo],MATCH(BD19,T_Equipos[NombreEquipo],0)))=1,"-","P."&amp;BS19&amp;" ("&amp;COUNTIFS($BS$6:$BS$53,BS19,$BC$6:$BC$53,INDEX(T_Equipos[Grupo],MATCH(BD19,T_Equipos[NombreEquipo],0)))&amp;")")</f>
        <v>P.3 (2)</v>
      </c>
      <c r="BU19" s="758">
        <f t="shared" ca="1" si="36"/>
        <v>0</v>
      </c>
      <c r="BV19" s="758">
        <f t="shared" ca="1" si="37"/>
        <v>0</v>
      </c>
      <c r="BW19" s="758">
        <f t="shared" ca="1" si="38"/>
        <v>0</v>
      </c>
      <c r="BX19" s="758">
        <f t="shared" ca="1" si="39"/>
        <v>0</v>
      </c>
      <c r="BY19" s="758">
        <f ca="1">BS19+COUNTIFS($BT$6:$BT$53,BT19,$BX$6:BX$53,"&gt;"&amp;BX19,$BC$6:$BC$53,INDEX(T_Equipos[Grupo],MATCH(BD19,T_Equipos[NombreEquipo],0)))</f>
        <v>3</v>
      </c>
      <c r="BZ19" s="757" t="str">
        <f ca="1">IF(COUNTIFS($BY$6:$BY$53,BY19,$BC$6:$BC$53,INDEX(T_Equipos[Grupo],MATCH(BD19,T_Equipos[NombreEquipo],0)))=1,"-","P."&amp;BY19&amp;" ("&amp;COUNTIFS($BY$6:$BY$53,BY19,$BC$6:$BC$53,INDEX(T_Equipos[Grupo],MATCH(BD19,T_Equipos[NombreEquipo],0)))&amp;")")</f>
        <v>P.3 (2)</v>
      </c>
      <c r="CA19" s="758">
        <f t="shared" ca="1" si="40"/>
        <v>0</v>
      </c>
      <c r="CB19" s="758">
        <f t="shared" ca="1" si="41"/>
        <v>0</v>
      </c>
      <c r="CC19" s="758">
        <f t="shared" ca="1" si="42"/>
        <v>0</v>
      </c>
      <c r="CD19" s="758">
        <f ca="1">BY19+COUNTIFS($BZ$6:$BZ$53,BZ19,$CC$6:CC$53,"&gt;"&amp;CC19,$BC$6:$BC$53,INDEX(T_Equipos[Grupo],MATCH(BD19,T_Equipos[NombreEquipo],0)))</f>
        <v>3</v>
      </c>
      <c r="CE19" s="757" t="str">
        <f ca="1">IF(COUNTIFS($CD$6:$CD$53,CD19,$BC$6:$BC$53,INDEX(T_Equipos[Grupo],MATCH(BD19,T_Equipos[NombreEquipo],0)))=1,"-","P."&amp;CD19&amp;" ("&amp;COUNTIFS($CD$6:$CD$53,CD19,$BC$6:$BC$53,INDEX(T_Equipos[Grupo],MATCH(BD19,T_Equipos[NombreEquipo],0)))&amp;")")</f>
        <v>P.3 (2)</v>
      </c>
      <c r="CF19" s="758">
        <f t="shared" ca="1" si="43"/>
        <v>0</v>
      </c>
      <c r="CG19" s="758">
        <f ca="1">CD19+COUNTIFS($CE$6:$CE$53,CE19,$CF$6:CF$53,"&gt;"&amp;CF19,$BC$6:$BC$53,INDEX(T_Equipos[Grupo],MATCH(BD19,T_Equipos[NombreEquipo],0)))</f>
        <v>3</v>
      </c>
      <c r="CH19" s="757" t="str">
        <f ca="1">IF(COUNTIFS($CG$6:$CG$53,CG19,$BC$6:$BC$53,INDEX(T_Equipos[Grupo],MATCH(BD19,T_Equipos[NombreEquipo],0)))=1,"-","P."&amp;CG19&amp;" ("&amp;COUNTIFS($CG$6:$CG$53,CG19,$BC$6:$BC$53,INDEX(T_Equipos[Grupo],MATCH(BD19,T_Equipos[NombreEquipo],0)))&amp;")")</f>
        <v>P.3 (2)</v>
      </c>
      <c r="CI19" s="758">
        <f t="shared" ca="1" si="44"/>
        <v>0</v>
      </c>
      <c r="CJ19" s="758">
        <f t="shared" ca="1" si="45"/>
        <v>0</v>
      </c>
      <c r="CK19" s="758">
        <f t="shared" ca="1" si="46"/>
        <v>0</v>
      </c>
      <c r="CL19" s="758">
        <f t="shared" ca="1" si="47"/>
        <v>0</v>
      </c>
      <c r="CM19" s="758">
        <f ca="1">CG19+COUNTIFS($CH$6:$CH$53,CH19,$CL$6:CL$53,"&gt;"&amp;CL19,$BC$6:$BC$53,INDEX(T_Equipos[Grupo],MATCH(BD19,T_Equipos[NombreEquipo],0)))</f>
        <v>3</v>
      </c>
      <c r="CN19" s="757" t="str">
        <f ca="1">IF(COUNTIFS($CM$6:$CM$53,CM19,$BC$6:$BC$53,INDEX(T_Equipos[Grupo],MATCH(BD19,T_Equipos[NombreEquipo],0)))=1,"-","P."&amp;CM19&amp;" ("&amp;COUNTIFS($CM$6:$CM$53,CM19,$BC$6:$BC$53,INDEX(T_Equipos[Grupo],MATCH(BD19,T_Equipos[NombreEquipo],0)))&amp;")")</f>
        <v>P.3 (2)</v>
      </c>
      <c r="CO19" s="758">
        <f t="shared" ca="1" si="48"/>
        <v>0</v>
      </c>
      <c r="CP19" s="758">
        <f t="shared" ca="1" si="49"/>
        <v>0</v>
      </c>
      <c r="CQ19" s="758">
        <f t="shared" ca="1" si="50"/>
        <v>0</v>
      </c>
      <c r="CR19" s="758">
        <f ca="1">CM19+COUNTIFS($CN$6:$CN$53,CN19,$CQ$6:CQ$53,"&gt;"&amp;CQ19,$BC$6:$BC$53,INDEX(T_Equipos[Grupo],MATCH(BD19,T_Equipos[NombreEquipo],0)))</f>
        <v>3</v>
      </c>
      <c r="CS19" s="757" t="str">
        <f ca="1">IF(COUNTIFS($CR$6:$CR$53,CR19,$BC$6:$BC$53,INDEX(T_Equipos[Grupo],MATCH(BD19,T_Equipos[NombreEquipo],0)))=1,"-","P."&amp;CR19&amp;" ("&amp;COUNTIFS($CR$6:$CR$53,CR19,$BC$6:$BC$53,INDEX(T_Equipos[Grupo],MATCH(BD19,T_Equipos[NombreEquipo],0)))&amp;")")</f>
        <v>P.3 (2)</v>
      </c>
      <c r="CT19" s="758">
        <f t="shared" ca="1" si="51"/>
        <v>0</v>
      </c>
      <c r="CU19" s="758">
        <f ca="1">CR19+COUNTIFS($CS$6:$CS$53,CS19,$CT$6:CT$53,"&gt;"&amp;CT19,$BC$6:$BC$53,INDEX(T_Equipos[Grupo],MATCH(BD19,T_Equipos[NombreEquipo],0)))</f>
        <v>3</v>
      </c>
      <c r="CV19" s="757" t="str">
        <f ca="1">IF(COUNTIFS($CU$6:$CU$53,CU19,$BC$6:$BC$53,INDEX(T_Equipos[Grupo],MATCH(BD19,T_Equipos[NombreEquipo],0)))=1,"-","P."&amp;CU19&amp;" ("&amp;COUNTIFS($CU$6:$CU$53,CU19,$BC$6:$BC$53,INDEX(T_Equipos[Grupo],MATCH(BD19,T_Equipos[NombreEquipo],0)))&amp;")")</f>
        <v>P.3 (2)</v>
      </c>
      <c r="CW19" s="757">
        <f t="shared" ca="1" si="30"/>
        <v>-3</v>
      </c>
      <c r="CX19" s="757">
        <f ca="1">CU19+COUNTIFS($CV$6:$CV$53,CV19,$CW$6:CW$53,"&gt;"&amp;CW19,$BC$6:$BC$53,INDEX(T_Equipos[Grupo],MATCH(BD19,T_Equipos[NombreEquipo],0)))</f>
        <v>4</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4</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4</v>
      </c>
      <c r="DE19" s="756"/>
      <c r="DF19" s="756">
        <f t="shared" ca="1" si="52"/>
        <v>4</v>
      </c>
      <c r="DG19" s="756" t="str">
        <f ca="1">IF(DB19="-","-",COUNTIFS(DF$6:DF$53,"&lt;"&amp;DF19,$BC$6:$BC$53,INDEX(T_Equipos[Grupo],MATCH(BD19,T_Equipos[NombreEquipo],0))))</f>
        <v>-</v>
      </c>
      <c r="DH19" s="756">
        <f ca="1">DA19+COUNTIFS(DB$6:DB$53,DB19,DG$6:DG$53,"&lt;"&amp;DG19,$BC$6:$BC$53,INDEX(T_Equipos[Grupo],MATCH(BD19,T_Equipos[NombreEquipo],0)))</f>
        <v>4</v>
      </c>
      <c r="DI19" s="744"/>
      <c r="DJ19" s="744">
        <f t="shared" ca="1" si="53"/>
        <v>2</v>
      </c>
      <c r="DK19" s="744">
        <f t="shared" ca="1" si="24"/>
        <v>4</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P.2 (2)</v>
      </c>
      <c r="F20" s="744" t="str">
        <f t="shared" ref="F20:F25" ca="1" si="75">IF(D20="Pendiente","-",INDEX($BT$6:$BT$53,MATCH($AF20,$BD$6:$BD$53,0)))</f>
        <v>P.2 (2)</v>
      </c>
      <c r="G20" s="744"/>
      <c r="H20" s="744" t="str">
        <f t="shared" ref="H20:H25" ca="1" si="76">IF(D20="Pendiente","-",INDEX($BZ$6:$BZ$53,MATCH($AA20,$BD$6:$BD$53,0)))</f>
        <v>P.2 (2)</v>
      </c>
      <c r="I20" s="744" t="str">
        <f t="shared" ref="I20:I25" ca="1" si="77">IF(D20="Pendiente","-",INDEX($BZ$6:$BZ$53,MATCH($AF20,$BD$6:$BD$53,0)))</f>
        <v>P.2 (2)</v>
      </c>
      <c r="J20" s="744"/>
      <c r="K20" s="744" t="str">
        <f t="shared" ref="K20:K25" ca="1" si="78">IF(D20="Pendiente","-",INDEX($CE$6:$CE$53,MATCH($AA20,$BD$6:$BD$53,0)))</f>
        <v>P.2 (2)</v>
      </c>
      <c r="L20" s="744" t="str">
        <f t="shared" ref="L20:L25" ca="1" si="79">IF(D20="Pendiente","-",INDEX($CE$6:$CE$53,MATCH($AF20,$BD$6:$BD$53,0)))</f>
        <v>P.2 (2)</v>
      </c>
      <c r="M20" s="744"/>
      <c r="N20" s="744" t="str">
        <f t="shared" ref="N20:N25" ca="1" si="80">IF(D20="Pendiente","-",INDEX($CH$6:$CH$53,MATCH($AA20,$BD$6:$BD$53,0)))</f>
        <v>P.2 (2)</v>
      </c>
      <c r="O20" s="744" t="str">
        <f t="shared" ref="O20:O25" ca="1" si="81">IF(D20="Pendiente","-",INDEX($CH$6:$CH$53,MATCH($AF20,$BD$6:$BD$53,0)))</f>
        <v>P.2 (2)</v>
      </c>
      <c r="P20" s="744"/>
      <c r="Q20" s="744" t="str">
        <f t="shared" ref="Q20:Q25" ca="1" si="82">IF(D20="Pendiente","-",INDEX($CN$6:$CN$53,MATCH($AA20,$BD$6:$BD$53,0)))</f>
        <v>P.2 (2)</v>
      </c>
      <c r="R20" s="744" t="str">
        <f t="shared" ref="R20:R25" ca="1" si="83">IF(D20="Pendiente","-",INDEX($CN$6:$CN$53,MATCH($AF20,$BD$6:$BD$53,0)))</f>
        <v>P.2 (2)</v>
      </c>
      <c r="S20" s="744"/>
      <c r="T20" s="744" t="str">
        <f t="shared" ref="T20:T25" ca="1" si="84">IF(D20="Pendiente","-",INDEX($CS$6:$CS$53,MATCH($AA20,$BD$6:$BD$53,0)))</f>
        <v>P.2 (2)</v>
      </c>
      <c r="U20" s="744" t="str">
        <f t="shared" ref="U20:U25" ca="1" si="85">IF(D20="Pendiente","-",INDEX($CS$6:$CS$53,MATCH($AF20,$BD$6:$BD$53,0)))</f>
        <v>P.2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1</v>
      </c>
      <c r="BG20" s="748">
        <f t="shared" ca="1" si="17"/>
        <v>1</v>
      </c>
      <c r="BH20" s="748">
        <f t="shared" ca="1" si="18"/>
        <v>0</v>
      </c>
      <c r="BI20" s="748">
        <f t="shared" ca="1" si="19"/>
        <v>0</v>
      </c>
      <c r="BJ20" s="748">
        <f t="shared" ca="1" si="20"/>
        <v>2</v>
      </c>
      <c r="BK20" s="748">
        <f t="shared" ca="1" si="21"/>
        <v>0</v>
      </c>
      <c r="BL20" s="748">
        <f t="shared" ca="1" si="27"/>
        <v>2</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1</v>
      </c>
      <c r="BT20" s="757" t="str">
        <f ca="1">IF(COUNTIFS($BS$6:$BS$53,BS20,$BC$6:$BC$53,INDEX(T_Equipos[Grupo],MATCH(BD20,T_Equipos[NombreEquipo],0)))=1,"-","P."&amp;BS20&amp;" ("&amp;COUNTIFS($BS$6:$BS$53,BS20,$BC$6:$BC$53,INDEX(T_Equipos[Grupo],MATCH(BD20,T_Equipos[NombreEquipo],0)))&amp;")")</f>
        <v>P.1 (2)</v>
      </c>
      <c r="BU20" s="758">
        <f t="shared" ca="1" si="36"/>
        <v>0</v>
      </c>
      <c r="BV20" s="758">
        <f t="shared" ca="1" si="37"/>
        <v>0</v>
      </c>
      <c r="BW20" s="758">
        <f t="shared" ca="1" si="38"/>
        <v>0</v>
      </c>
      <c r="BX20" s="758">
        <f t="shared" ca="1" si="39"/>
        <v>0</v>
      </c>
      <c r="BY20" s="758">
        <f ca="1">BS20+COUNTIFS($BT$6:$BT$53,BT20,$BX$6:BX$53,"&gt;"&amp;BX20,$BC$6:$BC$53,INDEX(T_Equipos[Grupo],MATCH(BD20,T_Equipos[NombreEquipo],0)))</f>
        <v>1</v>
      </c>
      <c r="BZ20" s="757" t="str">
        <f ca="1">IF(COUNTIFS($BY$6:$BY$53,BY20,$BC$6:$BC$53,INDEX(T_Equipos[Grupo],MATCH(BD20,T_Equipos[NombreEquipo],0)))=1,"-","P."&amp;BY20&amp;" ("&amp;COUNTIFS($BY$6:$BY$53,BY20,$BC$6:$BC$53,INDEX(T_Equipos[Grupo],MATCH(BD20,T_Equipos[NombreEquipo],0)))&amp;")")</f>
        <v>P.1 (2)</v>
      </c>
      <c r="CA20" s="758">
        <f t="shared" ca="1" si="40"/>
        <v>0</v>
      </c>
      <c r="CB20" s="758">
        <f t="shared" ca="1" si="41"/>
        <v>0</v>
      </c>
      <c r="CC20" s="758">
        <f t="shared" ca="1" si="42"/>
        <v>0</v>
      </c>
      <c r="CD20" s="758">
        <f ca="1">BY20+COUNTIFS($BZ$6:$BZ$53,BZ20,$CC$6:CC$53,"&gt;"&amp;CC20,$BC$6:$BC$53,INDEX(T_Equipos[Grupo],MATCH(BD20,T_Equipos[NombreEquipo],0)))</f>
        <v>1</v>
      </c>
      <c r="CE20" s="757" t="str">
        <f ca="1">IF(COUNTIFS($CD$6:$CD$53,CD20,$BC$6:$BC$53,INDEX(T_Equipos[Grupo],MATCH(BD20,T_Equipos[NombreEquipo],0)))=1,"-","P."&amp;CD20&amp;" ("&amp;COUNTIFS($CD$6:$CD$53,CD20,$BC$6:$BC$53,INDEX(T_Equipos[Grupo],MATCH(BD20,T_Equipos[NombreEquipo],0)))&amp;")")</f>
        <v>P.1 (2)</v>
      </c>
      <c r="CF20" s="758">
        <f t="shared" ca="1" si="43"/>
        <v>0</v>
      </c>
      <c r="CG20" s="758">
        <f ca="1">CD20+COUNTIFS($CE$6:$CE$53,CE20,$CF$6:CF$53,"&gt;"&amp;CF20,$BC$6:$BC$53,INDEX(T_Equipos[Grupo],MATCH(BD20,T_Equipos[NombreEquipo],0)))</f>
        <v>1</v>
      </c>
      <c r="CH20" s="757" t="str">
        <f ca="1">IF(COUNTIFS($CG$6:$CG$53,CG20,$BC$6:$BC$53,INDEX(T_Equipos[Grupo],MATCH(BD20,T_Equipos[NombreEquipo],0)))=1,"-","P."&amp;CG20&amp;" ("&amp;COUNTIFS($CG$6:$CG$53,CG20,$BC$6:$BC$53,INDEX(T_Equipos[Grupo],MATCH(BD20,T_Equipos[NombreEquipo],0)))&amp;")")</f>
        <v>P.1 (2)</v>
      </c>
      <c r="CI20" s="758">
        <f t="shared" ca="1" si="44"/>
        <v>0</v>
      </c>
      <c r="CJ20" s="758">
        <f t="shared" ca="1" si="45"/>
        <v>0</v>
      </c>
      <c r="CK20" s="758">
        <f t="shared" ca="1" si="46"/>
        <v>0</v>
      </c>
      <c r="CL20" s="758">
        <f t="shared" ca="1" si="47"/>
        <v>0</v>
      </c>
      <c r="CM20" s="758">
        <f ca="1">CG20+COUNTIFS($CH$6:$CH$53,CH20,$CL$6:CL$53,"&gt;"&amp;CL20,$BC$6:$BC$53,INDEX(T_Equipos[Grupo],MATCH(BD20,T_Equipos[NombreEquipo],0)))</f>
        <v>1</v>
      </c>
      <c r="CN20" s="757" t="str">
        <f ca="1">IF(COUNTIFS($CM$6:$CM$53,CM20,$BC$6:$BC$53,INDEX(T_Equipos[Grupo],MATCH(BD20,T_Equipos[NombreEquipo],0)))=1,"-","P."&amp;CM20&amp;" ("&amp;COUNTIFS($CM$6:$CM$53,CM20,$BC$6:$BC$53,INDEX(T_Equipos[Grupo],MATCH(BD20,T_Equipos[NombreEquipo],0)))&amp;")")</f>
        <v>P.1 (2)</v>
      </c>
      <c r="CO20" s="758">
        <f t="shared" ca="1" si="48"/>
        <v>0</v>
      </c>
      <c r="CP20" s="758">
        <f t="shared" ca="1" si="49"/>
        <v>0</v>
      </c>
      <c r="CQ20" s="758">
        <f t="shared" ca="1" si="50"/>
        <v>0</v>
      </c>
      <c r="CR20" s="758">
        <f ca="1">CM20+COUNTIFS($CN$6:$CN$53,CN20,$CQ$6:CQ$53,"&gt;"&amp;CQ20,$BC$6:$BC$53,INDEX(T_Equipos[Grupo],MATCH(BD20,T_Equipos[NombreEquipo],0)))</f>
        <v>1</v>
      </c>
      <c r="CS20" s="757" t="str">
        <f ca="1">IF(COUNTIFS($CR$6:$CR$53,CR20,$BC$6:$BC$53,INDEX(T_Equipos[Grupo],MATCH(BD20,T_Equipos[NombreEquipo],0)))=1,"-","P."&amp;CR20&amp;" ("&amp;COUNTIFS($CR$6:$CR$53,CR20,$BC$6:$BC$53,INDEX(T_Equipos[Grupo],MATCH(BD20,T_Equipos[NombreEquipo],0)))&amp;")")</f>
        <v>P.1 (2)</v>
      </c>
      <c r="CT20" s="758">
        <f t="shared" ca="1" si="51"/>
        <v>0</v>
      </c>
      <c r="CU20" s="758">
        <f ca="1">CR20+COUNTIFS($CS$6:$CS$53,CS20,$CT$6:CT$53,"&gt;"&amp;CT20,$BC$6:$BC$53,INDEX(T_Equipos[Grupo],MATCH(BD20,T_Equipos[NombreEquipo],0)))</f>
        <v>1</v>
      </c>
      <c r="CV20" s="757" t="str">
        <f ca="1">IF(COUNTIFS($CU$6:$CU$53,CU20,$BC$6:$BC$53,INDEX(T_Equipos[Grupo],MATCH(BD20,T_Equipos[NombreEquipo],0)))=1,"-","P."&amp;CU20&amp;" ("&amp;COUNTIFS($CU$6:$CU$53,CU20,$BC$6:$BC$53,INDEX(T_Equipos[Grupo],MATCH(BD20,T_Equipos[NombreEquipo],0)))&amp;")")</f>
        <v>P.1 (2)</v>
      </c>
      <c r="CW20" s="757">
        <f t="shared" ca="1" si="30"/>
        <v>2</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4</v>
      </c>
      <c r="DL20" s="744">
        <f t="shared" ca="1" si="33"/>
        <v>1</v>
      </c>
      <c r="DM20" s="738" t="str">
        <f t="shared" ca="1" si="34"/>
        <v>3.1</v>
      </c>
      <c r="DN20" s="744" cm="1">
        <f t="array" aca="1" ref="DN20" ca="1">OFFSET(Horarios!$P$3,DJ20-1,0,DL20,1)</f>
        <v>3</v>
      </c>
      <c r="DO20" s="744"/>
      <c r="DP20" s="744" t="s">
        <v>92</v>
      </c>
      <c r="DQ20" s="744" t="str">
        <f t="shared" ca="1" si="35"/>
        <v>Turquía</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1</v>
      </c>
      <c r="BG21" s="748">
        <f t="shared" ca="1" si="17"/>
        <v>0</v>
      </c>
      <c r="BH21" s="748">
        <f t="shared" ca="1" si="18"/>
        <v>0</v>
      </c>
      <c r="BI21" s="748">
        <f t="shared" ca="1" si="19"/>
        <v>1</v>
      </c>
      <c r="BJ21" s="748">
        <f t="shared" ca="1" si="20"/>
        <v>0</v>
      </c>
      <c r="BK21" s="748">
        <f t="shared" ca="1" si="21"/>
        <v>2</v>
      </c>
      <c r="BL21" s="748">
        <f t="shared" ca="1" si="27"/>
        <v>-2</v>
      </c>
      <c r="BM21" s="748" t="str">
        <f t="shared" ca="1" si="22"/>
        <v>3D</v>
      </c>
      <c r="BN21" s="748" t="str">
        <f t="shared" ca="1" si="23"/>
        <v>3D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3</v>
      </c>
      <c r="BT21" s="757" t="str">
        <f ca="1">IF(COUNTIFS($BS$6:$BS$53,BS21,$BC$6:$BC$53,INDEX(T_Equipos[Grupo],MATCH(BD21,T_Equipos[NombreEquipo],0)))=1,"-","P."&amp;BS21&amp;" ("&amp;COUNTIFS($BS$6:$BS$53,BS21,$BC$6:$BC$53,INDEX(T_Equipos[Grupo],MATCH(BD21,T_Equipos[NombreEquipo],0)))&amp;")")</f>
        <v>P.3 (2)</v>
      </c>
      <c r="BU21" s="758">
        <f t="shared" ca="1" si="36"/>
        <v>0</v>
      </c>
      <c r="BV21" s="758">
        <f t="shared" ca="1" si="37"/>
        <v>0</v>
      </c>
      <c r="BW21" s="758">
        <f t="shared" ca="1" si="38"/>
        <v>0</v>
      </c>
      <c r="BX21" s="758">
        <f t="shared" ca="1" si="39"/>
        <v>0</v>
      </c>
      <c r="BY21" s="758">
        <f ca="1">BS21+COUNTIFS($BT$6:$BT$53,BT21,$BX$6:BX$53,"&gt;"&amp;BX21,$BC$6:$BC$53,INDEX(T_Equipos[Grupo],MATCH(BD21,T_Equipos[NombreEquipo],0)))</f>
        <v>3</v>
      </c>
      <c r="BZ21" s="757" t="str">
        <f ca="1">IF(COUNTIFS($BY$6:$BY$53,BY21,$BC$6:$BC$53,INDEX(T_Equipos[Grupo],MATCH(BD21,T_Equipos[NombreEquipo],0)))=1,"-","P."&amp;BY21&amp;" ("&amp;COUNTIFS($BY$6:$BY$53,BY21,$BC$6:$BC$53,INDEX(T_Equipos[Grupo],MATCH(BD21,T_Equipos[NombreEquipo],0)))&amp;")")</f>
        <v>P.3 (2)</v>
      </c>
      <c r="CA21" s="758">
        <f t="shared" ca="1" si="40"/>
        <v>0</v>
      </c>
      <c r="CB21" s="758">
        <f t="shared" ca="1" si="41"/>
        <v>0</v>
      </c>
      <c r="CC21" s="758">
        <f t="shared" ca="1" si="42"/>
        <v>0</v>
      </c>
      <c r="CD21" s="758">
        <f ca="1">BY21+COUNTIFS($BZ$6:$BZ$53,BZ21,$CC$6:CC$53,"&gt;"&amp;CC21,$BC$6:$BC$53,INDEX(T_Equipos[Grupo],MATCH(BD21,T_Equipos[NombreEquipo],0)))</f>
        <v>3</v>
      </c>
      <c r="CE21" s="757" t="str">
        <f ca="1">IF(COUNTIFS($CD$6:$CD$53,CD21,$BC$6:$BC$53,INDEX(T_Equipos[Grupo],MATCH(BD21,T_Equipos[NombreEquipo],0)))=1,"-","P."&amp;CD21&amp;" ("&amp;COUNTIFS($CD$6:$CD$53,CD21,$BC$6:$BC$53,INDEX(T_Equipos[Grupo],MATCH(BD21,T_Equipos[NombreEquipo],0)))&amp;")")</f>
        <v>P.3 (2)</v>
      </c>
      <c r="CF21" s="758">
        <f t="shared" ca="1" si="43"/>
        <v>0</v>
      </c>
      <c r="CG21" s="758">
        <f ca="1">CD21+COUNTIFS($CE$6:$CE$53,CE21,$CF$6:CF$53,"&gt;"&amp;CF21,$BC$6:$BC$53,INDEX(T_Equipos[Grupo],MATCH(BD21,T_Equipos[NombreEquipo],0)))</f>
        <v>3</v>
      </c>
      <c r="CH21" s="757" t="str">
        <f ca="1">IF(COUNTIFS($CG$6:$CG$53,CG21,$BC$6:$BC$53,INDEX(T_Equipos[Grupo],MATCH(BD21,T_Equipos[NombreEquipo],0)))=1,"-","P."&amp;CG21&amp;" ("&amp;COUNTIFS($CG$6:$CG$53,CG21,$BC$6:$BC$53,INDEX(T_Equipos[Grupo],MATCH(BD21,T_Equipos[NombreEquipo],0)))&amp;")")</f>
        <v>P.3 (2)</v>
      </c>
      <c r="CI21" s="758">
        <f t="shared" ca="1" si="44"/>
        <v>0</v>
      </c>
      <c r="CJ21" s="758">
        <f t="shared" ca="1" si="45"/>
        <v>0</v>
      </c>
      <c r="CK21" s="758">
        <f t="shared" ca="1" si="46"/>
        <v>0</v>
      </c>
      <c r="CL21" s="758">
        <f t="shared" ca="1" si="47"/>
        <v>0</v>
      </c>
      <c r="CM21" s="758">
        <f ca="1">CG21+COUNTIFS($CH$6:$CH$53,CH21,$CL$6:CL$53,"&gt;"&amp;CL21,$BC$6:$BC$53,INDEX(T_Equipos[Grupo],MATCH(BD21,T_Equipos[NombreEquipo],0)))</f>
        <v>3</v>
      </c>
      <c r="CN21" s="757" t="str">
        <f ca="1">IF(COUNTIFS($CM$6:$CM$53,CM21,$BC$6:$BC$53,INDEX(T_Equipos[Grupo],MATCH(BD21,T_Equipos[NombreEquipo],0)))=1,"-","P."&amp;CM21&amp;" ("&amp;COUNTIFS($CM$6:$CM$53,CM21,$BC$6:$BC$53,INDEX(T_Equipos[Grupo],MATCH(BD21,T_Equipos[NombreEquipo],0)))&amp;")")</f>
        <v>P.3 (2)</v>
      </c>
      <c r="CO21" s="758">
        <f t="shared" ca="1" si="48"/>
        <v>0</v>
      </c>
      <c r="CP21" s="758">
        <f t="shared" ca="1" si="49"/>
        <v>0</v>
      </c>
      <c r="CQ21" s="758">
        <f t="shared" ca="1" si="50"/>
        <v>0</v>
      </c>
      <c r="CR21" s="758">
        <f ca="1">CM21+COUNTIFS($CN$6:$CN$53,CN21,$CQ$6:CQ$53,"&gt;"&amp;CQ21,$BC$6:$BC$53,INDEX(T_Equipos[Grupo],MATCH(BD21,T_Equipos[NombreEquipo],0)))</f>
        <v>3</v>
      </c>
      <c r="CS21" s="757" t="str">
        <f ca="1">IF(COUNTIFS($CR$6:$CR$53,CR21,$BC$6:$BC$53,INDEX(T_Equipos[Grupo],MATCH(BD21,T_Equipos[NombreEquipo],0)))=1,"-","P."&amp;CR21&amp;" ("&amp;COUNTIFS($CR$6:$CR$53,CR21,$BC$6:$BC$53,INDEX(T_Equipos[Grupo],MATCH(BD21,T_Equipos[NombreEquipo],0)))&amp;")")</f>
        <v>P.3 (2)</v>
      </c>
      <c r="CT21" s="758">
        <f t="shared" ca="1" si="51"/>
        <v>0</v>
      </c>
      <c r="CU21" s="758">
        <f ca="1">CR21+COUNTIFS($CS$6:$CS$53,CS21,$CT$6:CT$53,"&gt;"&amp;CT21,$BC$6:$BC$53,INDEX(T_Equipos[Grupo],MATCH(BD21,T_Equipos[NombreEquipo],0)))</f>
        <v>3</v>
      </c>
      <c r="CV21" s="757" t="str">
        <f ca="1">IF(COUNTIFS($CU$6:$CU$53,CU21,$BC$6:$BC$53,INDEX(T_Equipos[Grupo],MATCH(BD21,T_Equipos[NombreEquipo],0)))=1,"-","P."&amp;CU21&amp;" ("&amp;COUNTIFS($CU$6:$CU$53,CU21,$BC$6:$BC$53,INDEX(T_Equipos[Grupo],MATCH(BD21,T_Equipos[NombreEquipo],0)))&amp;")")</f>
        <v>P.3 (2)</v>
      </c>
      <c r="CW21" s="757">
        <f t="shared" ca="1" si="30"/>
        <v>-2</v>
      </c>
      <c r="CX21" s="757">
        <f ca="1">CU21+COUNTIFS($CV$6:$CV$53,CV21,$CW$6:CW$53,"&gt;"&amp;CW21,$BC$6:$BC$53,INDEX(T_Equipos[Grupo],MATCH(BD21,T_Equipos[NombreEquipo],0)))</f>
        <v>3</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3</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3</v>
      </c>
      <c r="DE21" s="756"/>
      <c r="DF21" s="756">
        <f t="shared" ca="1" si="52"/>
        <v>3</v>
      </c>
      <c r="DG21" s="756" t="str">
        <f ca="1">IF(DB21="-","-",COUNTIFS(DF$6:DF$53,"&lt;"&amp;DF21,$BC$6:$BC$53,INDEX(T_Equipos[Grupo],MATCH(BD21,T_Equipos[NombreEquipo],0))))</f>
        <v>-</v>
      </c>
      <c r="DH21" s="756">
        <f ca="1">DA21+COUNTIFS(DB$6:DB$53,DB21,DG$6:DG$53,"&lt;"&amp;DG21,$BC$6:$BC$53,INDEX(T_Equipos[Grupo],MATCH(BD21,T_Equipos[NombreEquipo],0)))</f>
        <v>3</v>
      </c>
      <c r="DI21" s="744"/>
      <c r="DJ21" s="744">
        <f t="shared" ca="1" si="53"/>
        <v>4</v>
      </c>
      <c r="DK21" s="744">
        <f t="shared" ca="1" si="24"/>
        <v>4</v>
      </c>
      <c r="DL21" s="744">
        <f t="shared" ca="1" si="33"/>
        <v>1</v>
      </c>
      <c r="DM21" s="738" t="str">
        <f t="shared" ca="1" si="34"/>
        <v>4.1</v>
      </c>
      <c r="DN21" s="744" cm="1">
        <f t="array" aca="1" ref="DN21" ca="1">OFFSET(Horarios!$P$3,DJ21-1,0,DL21,1)</f>
        <v>4</v>
      </c>
      <c r="DO21" s="744"/>
      <c r="DP21" s="744" t="s">
        <v>660</v>
      </c>
      <c r="DQ21" s="744" t="str">
        <f t="shared" ca="1" si="35"/>
        <v>Paraguay</v>
      </c>
      <c r="DR21" s="744"/>
      <c r="DS21" s="744"/>
      <c r="DT21" s="744" t="str">
        <f t="shared" ca="1" si="15"/>
        <v>Haití-Escocia</v>
      </c>
      <c r="DU21" s="744"/>
      <c r="DV21" s="744"/>
      <c r="DW21" s="8"/>
    </row>
    <row r="22" spans="1:127" ht="16.05" customHeight="1">
      <c r="A22" s="745" t="str">
        <f ca="1">+Equipos!B11</f>
        <v>Marruecos</v>
      </c>
      <c r="B22" s="742"/>
      <c r="C22" s="746"/>
      <c r="D22" s="744" t="str">
        <f t="shared" si="73"/>
        <v>Pendiente</v>
      </c>
      <c r="E22" s="744" t="str">
        <f t="shared" si="74"/>
        <v>-</v>
      </c>
      <c r="F22" s="744" t="str">
        <f t="shared" si="75"/>
        <v>-</v>
      </c>
      <c r="G22" s="744"/>
      <c r="H22" s="744" t="str">
        <f t="shared" si="76"/>
        <v>-</v>
      </c>
      <c r="I22" s="744" t="str">
        <f t="shared" si="77"/>
        <v>-</v>
      </c>
      <c r="J22" s="744"/>
      <c r="K22" s="744" t="str">
        <f t="shared" si="78"/>
        <v>-</v>
      </c>
      <c r="L22" s="744" t="str">
        <f t="shared" si="79"/>
        <v>-</v>
      </c>
      <c r="M22" s="744"/>
      <c r="N22" s="744" t="str">
        <f t="shared" si="80"/>
        <v>-</v>
      </c>
      <c r="O22" s="744" t="str">
        <f t="shared" si="81"/>
        <v>-</v>
      </c>
      <c r="P22" s="744"/>
      <c r="Q22" s="744" t="str">
        <f t="shared" si="82"/>
        <v>-</v>
      </c>
      <c r="R22" s="744" t="str">
        <f t="shared" si="83"/>
        <v>-</v>
      </c>
      <c r="S22" s="744"/>
      <c r="T22" s="744" t="str">
        <f t="shared" si="84"/>
        <v>-</v>
      </c>
      <c r="U22" s="744" t="str">
        <f t="shared" si="85"/>
        <v>-</v>
      </c>
      <c r="V22" s="172"/>
      <c r="W22" s="837"/>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12">
        <f t="array" aca="1" ref="AK22" ca="1">Ver_flag_visit</f>
        <v>#VALUE!</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4"/>
      <c r="BC22" s="756" t="str">
        <f ca="1">+INDEX(T_Equipos[Grupo],MATCH(WORLDCUP!BD22,T_Equipos[NombreEquipo],0))</f>
        <v>E</v>
      </c>
      <c r="BD22" s="744" t="str">
        <f ca="1">+Equipos!B18</f>
        <v>Alemania</v>
      </c>
      <c r="BE22" s="748">
        <f t="shared" ca="1" si="25"/>
        <v>3</v>
      </c>
      <c r="BF22" s="748">
        <f t="shared" ca="1" si="26"/>
        <v>1</v>
      </c>
      <c r="BG22" s="748">
        <f t="shared" ca="1" si="17"/>
        <v>1</v>
      </c>
      <c r="BH22" s="748">
        <f t="shared" ca="1" si="18"/>
        <v>0</v>
      </c>
      <c r="BI22" s="748">
        <f t="shared" ca="1" si="19"/>
        <v>0</v>
      </c>
      <c r="BJ22" s="748">
        <f t="shared" ca="1" si="20"/>
        <v>7</v>
      </c>
      <c r="BK22" s="748">
        <f t="shared" ca="1" si="21"/>
        <v>1</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3</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(2)</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(2)</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(2)</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(2)</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(2)</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(2)</v>
      </c>
      <c r="CW22" s="757">
        <f t="shared" ca="1" si="30"/>
        <v>6</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4</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Pendiente</v>
      </c>
      <c r="E23" s="744" t="str">
        <f t="shared" si="74"/>
        <v>-</v>
      </c>
      <c r="F23" s="744" t="str">
        <f t="shared" si="75"/>
        <v>-</v>
      </c>
      <c r="G23" s="744"/>
      <c r="H23" s="744" t="str">
        <f t="shared" si="76"/>
        <v>-</v>
      </c>
      <c r="I23" s="744" t="str">
        <f t="shared" si="77"/>
        <v>-</v>
      </c>
      <c r="J23" s="744"/>
      <c r="K23" s="744" t="str">
        <f t="shared" si="78"/>
        <v>-</v>
      </c>
      <c r="L23" s="744" t="str">
        <f t="shared" si="79"/>
        <v>-</v>
      </c>
      <c r="M23" s="744"/>
      <c r="N23" s="744" t="str">
        <f t="shared" si="80"/>
        <v>-</v>
      </c>
      <c r="O23" s="744" t="str">
        <f t="shared" si="81"/>
        <v>-</v>
      </c>
      <c r="P23" s="744"/>
      <c r="Q23" s="744" t="str">
        <f t="shared" si="82"/>
        <v>-</v>
      </c>
      <c r="R23" s="744" t="str">
        <f t="shared" si="83"/>
        <v>-</v>
      </c>
      <c r="S23" s="744"/>
      <c r="T23" s="744" t="str">
        <f t="shared" si="84"/>
        <v>-</v>
      </c>
      <c r="U23" s="744" t="str">
        <f t="shared"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9">
        <f t="array" aca="1" ref="AK23" ca="1">Ver_flag_visit</f>
        <v>#VALUE!</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1</v>
      </c>
      <c r="BG23" s="748">
        <f t="shared" ca="1" si="17"/>
        <v>0</v>
      </c>
      <c r="BH23" s="748">
        <f t="shared" ca="1" si="18"/>
        <v>0</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0</v>
      </c>
      <c r="BW23" s="758">
        <f t="shared" ca="1" si="38"/>
        <v>0</v>
      </c>
      <c r="BX23" s="758">
        <f t="shared" ca="1" si="39"/>
        <v>0</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0</v>
      </c>
      <c r="CK23" s="758">
        <f t="shared" ca="1" si="46"/>
        <v>0</v>
      </c>
      <c r="CL23" s="758">
        <f t="shared" ca="1" si="47"/>
        <v>0</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4</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37"/>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0">
        <f t="array" aca="1" ref="AK24" ca="1">Ver_flag_visit</f>
        <v>#VALUE!</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1</v>
      </c>
      <c r="BG24" s="748">
        <f t="shared" ca="1" si="17"/>
        <v>1</v>
      </c>
      <c r="BH24" s="748">
        <f t="shared" ca="1" si="18"/>
        <v>0</v>
      </c>
      <c r="BI24" s="748">
        <f t="shared" ca="1" si="19"/>
        <v>0</v>
      </c>
      <c r="BJ24" s="748">
        <f t="shared" ca="1" si="20"/>
        <v>1</v>
      </c>
      <c r="BK24" s="748">
        <f t="shared" ca="1" si="21"/>
        <v>0</v>
      </c>
      <c r="BL24" s="748">
        <f t="shared" ca="1" si="27"/>
        <v>1</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(2)</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(2)</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(2)</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(2)</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(2)</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(2)</v>
      </c>
      <c r="CW24" s="757">
        <f t="shared" ca="1" si="30"/>
        <v>1</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4</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38"/>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1</v>
      </c>
      <c r="BG25" s="748">
        <f t="shared" ca="1" si="17"/>
        <v>0</v>
      </c>
      <c r="BH25" s="748">
        <f t="shared" ca="1" si="18"/>
        <v>0</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0</v>
      </c>
      <c r="BW25" s="758">
        <f t="shared" ca="1" si="38"/>
        <v>0</v>
      </c>
      <c r="BX25" s="758">
        <f t="shared" ca="1" si="39"/>
        <v>0</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0</v>
      </c>
      <c r="CK25" s="758">
        <f t="shared" ca="1" si="46"/>
        <v>0</v>
      </c>
      <c r="CL25" s="758">
        <f t="shared" ca="1" si="47"/>
        <v>0</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4</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1</v>
      </c>
      <c r="BF26" s="748">
        <f t="shared" ca="1" si="26"/>
        <v>1</v>
      </c>
      <c r="BG26" s="748">
        <f t="shared" ca="1" si="17"/>
        <v>0</v>
      </c>
      <c r="BH26" s="748">
        <f t="shared" ca="1" si="18"/>
        <v>1</v>
      </c>
      <c r="BI26" s="748">
        <f t="shared" ca="1" si="19"/>
        <v>0</v>
      </c>
      <c r="BJ26" s="748">
        <f t="shared" ca="1" si="20"/>
        <v>2</v>
      </c>
      <c r="BK26" s="748">
        <f t="shared" ca="1" si="21"/>
        <v>2</v>
      </c>
      <c r="BL26" s="748">
        <f t="shared" ca="1" si="27"/>
        <v>0</v>
      </c>
      <c r="BM26" s="748" t="str">
        <f t="shared" ca="1" si="22"/>
        <v>2F</v>
      </c>
      <c r="BN26" s="748" t="str">
        <f t="shared" ca="1" si="23"/>
        <v>2F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1</v>
      </c>
      <c r="BS26" s="757">
        <f ca="1">BP26+COUNTIFS($BQ$6:$BQ$53,BQ26,$BR$6:BR$53,"&gt;"&amp;BR26,$BC$6:$BC$53,INDEX(T_Equipos[Grupo],MATCH(BD26,T_Equipos[NombreEquipo],0)))</f>
        <v>2</v>
      </c>
      <c r="BT26" s="757" t="str">
        <f ca="1">IF(COUNTIFS($BS$6:$BS$53,BS26,$BC$6:$BC$53,INDEX(T_Equipos[Grupo],MATCH(BD26,T_Equipos[NombreEquipo],0)))=1,"-","P."&amp;BS26&amp;" ("&amp;COUNTIFS($BS$6:$BS$53,BS26,$BC$6:$BC$53,INDEX(T_Equipos[Grupo],MATCH(BD26,T_Equipos[NombreEquipo],0)))&amp;")")</f>
        <v>P.2 (2)</v>
      </c>
      <c r="BU26" s="758">
        <f t="shared" ca="1" si="36"/>
        <v>0</v>
      </c>
      <c r="BV26" s="758">
        <f t="shared" ca="1" si="37"/>
        <v>1</v>
      </c>
      <c r="BW26" s="758">
        <f t="shared" ca="1" si="38"/>
        <v>0</v>
      </c>
      <c r="BX26" s="758">
        <f t="shared" ca="1" si="39"/>
        <v>1</v>
      </c>
      <c r="BY26" s="758">
        <f ca="1">BS26+COUNTIFS($BT$6:$BT$53,BT26,$BX$6:BX$53,"&gt;"&amp;BX26,$BC$6:$BC$53,INDEX(T_Equipos[Grupo],MATCH(BD26,T_Equipos[NombreEquipo],0)))</f>
        <v>2</v>
      </c>
      <c r="BZ26" s="757" t="str">
        <f ca="1">IF(COUNTIFS($BY$6:$BY$53,BY26,$BC$6:$BC$53,INDEX(T_Equipos[Grupo],MATCH(BD26,T_Equipos[NombreEquipo],0)))=1,"-","P."&amp;BY26&amp;" ("&amp;COUNTIFS($BY$6:$BY$53,BY26,$BC$6:$BC$53,INDEX(T_Equipos[Grupo],MATCH(BD26,T_Equipos[NombreEquipo],0)))&amp;")")</f>
        <v>P.2 (2)</v>
      </c>
      <c r="CA26" s="758">
        <f t="shared" ca="1" si="40"/>
        <v>2</v>
      </c>
      <c r="CB26" s="758">
        <f t="shared" ca="1" si="41"/>
        <v>2</v>
      </c>
      <c r="CC26" s="758">
        <f t="shared" ca="1" si="42"/>
        <v>0</v>
      </c>
      <c r="CD26" s="758">
        <f ca="1">BY26+COUNTIFS($BZ$6:$BZ$53,BZ26,$CC$6:CC$53,"&gt;"&amp;CC26,$BC$6:$BC$53,INDEX(T_Equipos[Grupo],MATCH(BD26,T_Equipos[NombreEquipo],0)))</f>
        <v>2</v>
      </c>
      <c r="CE26" s="757" t="str">
        <f ca="1">IF(COUNTIFS($CD$6:$CD$53,CD26,$BC$6:$BC$53,INDEX(T_Equipos[Grupo],MATCH(BD26,T_Equipos[NombreEquipo],0)))=1,"-","P."&amp;CD26&amp;" ("&amp;COUNTIFS($CD$6:$CD$53,CD26,$BC$6:$BC$53,INDEX(T_Equipos[Grupo],MATCH(BD26,T_Equipos[NombreEquipo],0)))&amp;")")</f>
        <v>P.2 (2)</v>
      </c>
      <c r="CF26" s="758">
        <f t="shared" ca="1" si="43"/>
        <v>2</v>
      </c>
      <c r="CG26" s="758">
        <f ca="1">CD26+COUNTIFS($CE$6:$CE$53,CE26,$CF$6:CF$53,"&gt;"&amp;CF26,$BC$6:$BC$53,INDEX(T_Equipos[Grupo],MATCH(BD26,T_Equipos[NombreEquipo],0)))</f>
        <v>2</v>
      </c>
      <c r="CH26" s="757" t="str">
        <f ca="1">IF(COUNTIFS($CG$6:$CG$53,CG26,$BC$6:$BC$53,INDEX(T_Equipos[Grupo],MATCH(BD26,T_Equipos[NombreEquipo],0)))=1,"-","P."&amp;CG26&amp;" ("&amp;COUNTIFS($CG$6:$CG$53,CG26,$BC$6:$BC$53,INDEX(T_Equipos[Grupo],MATCH(BD26,T_Equipos[NombreEquipo],0)))&amp;")")</f>
        <v>P.2 (2)</v>
      </c>
      <c r="CI26" s="758">
        <f t="shared" ca="1" si="44"/>
        <v>0</v>
      </c>
      <c r="CJ26" s="758">
        <f t="shared" ca="1" si="45"/>
        <v>1</v>
      </c>
      <c r="CK26" s="758">
        <f t="shared" ca="1" si="46"/>
        <v>0</v>
      </c>
      <c r="CL26" s="758">
        <f t="shared" ca="1" si="47"/>
        <v>1</v>
      </c>
      <c r="CM26" s="758">
        <f ca="1">CG26+COUNTIFS($CH$6:$CH$53,CH26,$CL$6:CL$53,"&gt;"&amp;CL26,$BC$6:$BC$53,INDEX(T_Equipos[Grupo],MATCH(BD26,T_Equipos[NombreEquipo],0)))</f>
        <v>2</v>
      </c>
      <c r="CN26" s="757" t="str">
        <f ca="1">IF(COUNTIFS($CM$6:$CM$53,CM26,$BC$6:$BC$53,INDEX(T_Equipos[Grupo],MATCH(BD26,T_Equipos[NombreEquipo],0)))=1,"-","P."&amp;CM26&amp;" ("&amp;COUNTIFS($CM$6:$CM$53,CM26,$BC$6:$BC$53,INDEX(T_Equipos[Grupo],MATCH(BD26,T_Equipos[NombreEquipo],0)))&amp;")")</f>
        <v>P.2 (2)</v>
      </c>
      <c r="CO26" s="758">
        <f t="shared" ca="1" si="48"/>
        <v>2</v>
      </c>
      <c r="CP26" s="758">
        <f t="shared" ca="1" si="49"/>
        <v>2</v>
      </c>
      <c r="CQ26" s="758">
        <f t="shared" ca="1" si="50"/>
        <v>0</v>
      </c>
      <c r="CR26" s="758">
        <f ca="1">CM26+COUNTIFS($CN$6:$CN$53,CN26,$CQ$6:CQ$53,"&gt;"&amp;CQ26,$BC$6:$BC$53,INDEX(T_Equipos[Grupo],MATCH(BD26,T_Equipos[NombreEquipo],0)))</f>
        <v>2</v>
      </c>
      <c r="CS26" s="757" t="str">
        <f ca="1">IF(COUNTIFS($CR$6:$CR$53,CR26,$BC$6:$BC$53,INDEX(T_Equipos[Grupo],MATCH(BD26,T_Equipos[NombreEquipo],0)))=1,"-","P."&amp;CR26&amp;" ("&amp;COUNTIFS($CR$6:$CR$53,CR26,$BC$6:$BC$53,INDEX(T_Equipos[Grupo],MATCH(BD26,T_Equipos[NombreEquipo],0)))&amp;")")</f>
        <v>P.2 (2)</v>
      </c>
      <c r="CT26" s="758">
        <f t="shared" ca="1" si="51"/>
        <v>2</v>
      </c>
      <c r="CU26" s="758">
        <f ca="1">CR26+COUNTIFS($CS$6:$CS$53,CS26,$CT$6:CT$53,"&gt;"&amp;CT26,$BC$6:$BC$53,INDEX(T_Equipos[Grupo],MATCH(BD26,T_Equipos[NombreEquipo],0)))</f>
        <v>2</v>
      </c>
      <c r="CV26" s="757" t="str">
        <f ca="1">IF(COUNTIFS($CU$6:$CU$53,CU26,$BC$6:$BC$53,INDEX(T_Equipos[Grupo],MATCH(BD26,T_Equipos[NombreEquipo],0)))=1,"-","P."&amp;CU26&amp;" ("&amp;COUNTIFS($CU$6:$CU$53,CU26,$BC$6:$BC$53,INDEX(T_Equipos[Grupo],MATCH(BD26,T_Equipos[NombreEquipo],0)))&amp;")")</f>
        <v>P.2 (2)</v>
      </c>
      <c r="CW26" s="757">
        <f t="shared" ca="1" si="30"/>
        <v>0</v>
      </c>
      <c r="CX26" s="757">
        <f ca="1">CU26+COUNTIFS($CV$6:$CV$53,CV26,$CW$6:CW$53,"&gt;"&amp;CW26,$BC$6:$BC$53,INDEX(T_Equipos[Grupo],MATCH(BD26,T_Equipos[NombreEquipo],0)))</f>
        <v>2</v>
      </c>
      <c r="CY26" s="757" t="str">
        <f ca="1">IF(COUNTIFS($CX$6:$CX$53,CX26,$BC$6:$BC$53,INDEX(T_Equipos[Grupo],MATCH(BD26,T_Equipos[NombreEquipo],0)))=1,"-","P."&amp;CX26&amp;" ("&amp;COUNTIFS($CX$6:$CX$53,CX26,$BC$6:$BC$53,INDEX(T_Equipos[Grupo],MATCH(BD26,T_Equipos[NombreEquipo],0)))&amp;")")</f>
        <v>P.2 (2)</v>
      </c>
      <c r="CZ26" s="757">
        <f t="shared" ca="1" si="31"/>
        <v>2</v>
      </c>
      <c r="DA26" s="758">
        <f ca="1">CX26+COUNTIFS($CY$6:$CY$53,CY26,$CZ$6:CZ$53,"&gt;"&amp;CZ26,$BC$6:$BC$53,INDEX(T_Equipos[Grupo],MATCH(BD26,T_Equipos[NombreEquipo],0)))</f>
        <v>2</v>
      </c>
      <c r="DB26" s="757" t="str">
        <f ca="1">IF(COUNTIFS($DA$6:$DA$53,DA26,$BC$6:$BC$53,INDEX(T_Equipos[Grupo],MATCH(BD26,T_Equipos[NombreEquipo],0)))=1,"-","P."&amp;DA26&amp;" ("&amp;COUNTIFS($DA$6:$DA$53,DA26,$BC$6:$BC$53,INDEX(T_Equipos[Grupo],MATCH(BD26,T_Equipos[NombreEquipo],0)))&amp;")")</f>
        <v>P.2 (2)</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2</v>
      </c>
      <c r="DE26" s="756"/>
      <c r="DF26" s="756">
        <f t="shared" ca="1" si="52"/>
        <v>2</v>
      </c>
      <c r="DG26" s="756">
        <f ca="1">IF(DB26="-","-",COUNTIFS(DF$6:DF$53,"&lt;"&amp;DF26,$BC$6:$BC$53,INDEX(T_Equipos[Grupo],MATCH(BD26,T_Equipos[NombreEquipo],0))))</f>
        <v>1</v>
      </c>
      <c r="DH26" s="756">
        <f ca="1">DA26+COUNTIFS(DB$6:DB$53,DB26,DG$6:DG$53,"&lt;"&amp;DG26,$BC$6:$BC$53,INDEX(T_Equipos[Grupo],MATCH(BD26,T_Equipos[NombreEquipo],0)))</f>
        <v>2</v>
      </c>
      <c r="DI26" s="744"/>
      <c r="DJ26" s="744">
        <f t="shared" ca="1" si="53"/>
        <v>1</v>
      </c>
      <c r="DK26" s="744">
        <f t="shared" ca="1" si="24"/>
        <v>4</v>
      </c>
      <c r="DL26" s="744">
        <f t="shared" ca="1" si="33"/>
        <v>1</v>
      </c>
      <c r="DM26" s="738" t="str">
        <f t="shared" ca="1" si="34"/>
        <v>1.1</v>
      </c>
      <c r="DN26" s="744" cm="1">
        <f t="array" aca="1" ref="DN26" ca="1">OFFSET(Horarios!$P$3,DJ26-1,0,DL26,1)</f>
        <v>1</v>
      </c>
      <c r="DO26" s="744"/>
      <c r="DP26" s="744" t="s">
        <v>664</v>
      </c>
      <c r="DQ26" s="744" t="str">
        <f t="shared" ca="1" si="35"/>
        <v>Suecia</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1</v>
      </c>
      <c r="BF27" s="748">
        <f t="shared" ca="1" si="26"/>
        <v>1</v>
      </c>
      <c r="BG27" s="748">
        <f t="shared" ca="1" si="17"/>
        <v>0</v>
      </c>
      <c r="BH27" s="748">
        <f t="shared" ca="1" si="18"/>
        <v>1</v>
      </c>
      <c r="BI27" s="748">
        <f t="shared" ca="1" si="19"/>
        <v>0</v>
      </c>
      <c r="BJ27" s="748">
        <f t="shared" ca="1" si="20"/>
        <v>2</v>
      </c>
      <c r="BK27" s="748">
        <f t="shared" ca="1" si="21"/>
        <v>2</v>
      </c>
      <c r="BL27" s="748">
        <f t="shared" ca="1" si="27"/>
        <v>0</v>
      </c>
      <c r="BM27" s="748" t="str">
        <f t="shared" ca="1" si="22"/>
        <v>3F</v>
      </c>
      <c r="BN27" s="748" t="str">
        <f t="shared" ca="1" si="23"/>
        <v>3F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1</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P.2 (2)</v>
      </c>
      <c r="BU27" s="758">
        <f t="shared" ca="1" si="36"/>
        <v>0</v>
      </c>
      <c r="BV27" s="758">
        <f t="shared" ca="1" si="37"/>
        <v>1</v>
      </c>
      <c r="BW27" s="758">
        <f t="shared" ca="1" si="38"/>
        <v>0</v>
      </c>
      <c r="BX27" s="758">
        <f t="shared" ca="1" si="39"/>
        <v>1</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P.2 (2)</v>
      </c>
      <c r="CA27" s="758">
        <f t="shared" ca="1" si="40"/>
        <v>2</v>
      </c>
      <c r="CB27" s="758">
        <f t="shared" ca="1" si="41"/>
        <v>2</v>
      </c>
      <c r="CC27" s="758">
        <f t="shared" ca="1" si="42"/>
        <v>0</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P.2 (2)</v>
      </c>
      <c r="CF27" s="758">
        <f t="shared" ca="1" si="43"/>
        <v>2</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P.2 (2)</v>
      </c>
      <c r="CI27" s="758">
        <f t="shared" ca="1" si="44"/>
        <v>0</v>
      </c>
      <c r="CJ27" s="758">
        <f t="shared" ca="1" si="45"/>
        <v>1</v>
      </c>
      <c r="CK27" s="758">
        <f t="shared" ca="1" si="46"/>
        <v>0</v>
      </c>
      <c r="CL27" s="758">
        <f t="shared" ca="1" si="47"/>
        <v>1</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P.2 (2)</v>
      </c>
      <c r="CO27" s="758">
        <f t="shared" ca="1" si="48"/>
        <v>2</v>
      </c>
      <c r="CP27" s="758">
        <f t="shared" ca="1" si="49"/>
        <v>2</v>
      </c>
      <c r="CQ27" s="758">
        <f t="shared" ca="1" si="50"/>
        <v>0</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P.2 (2)</v>
      </c>
      <c r="CT27" s="758">
        <f t="shared" ca="1" si="51"/>
        <v>2</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P.2 (2)</v>
      </c>
      <c r="CW27" s="757">
        <f t="shared" ca="1" si="30"/>
        <v>0</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P.2 (2)</v>
      </c>
      <c r="CZ27" s="757">
        <f t="shared" ca="1" si="31"/>
        <v>2</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P.2 (2)</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3</v>
      </c>
      <c r="DE27" s="756"/>
      <c r="DF27" s="756">
        <f t="shared" ca="1" si="52"/>
        <v>3</v>
      </c>
      <c r="DG27" s="756">
        <f ca="1">IF(DB27="-","-",COUNTIFS(DF$6:DF$53,"&lt;"&amp;DF27,$BC$6:$BC$53,INDEX(T_Equipos[Grupo],MATCH(BD27,T_Equipos[NombreEquipo],0))))</f>
        <v>2</v>
      </c>
      <c r="DH27" s="756">
        <f ca="1">DA27+COUNTIFS(DB$6:DB$53,DB27,DG$6:DG$53,"&lt;"&amp;DG27,$BC$6:$BC$53,INDEX(T_Equipos[Grupo],MATCH(BD27,T_Equipos[NombreEquipo],0)))</f>
        <v>3</v>
      </c>
      <c r="DI27" s="744"/>
      <c r="DJ27" s="744">
        <f t="shared" ca="1" si="53"/>
        <v>2</v>
      </c>
      <c r="DK27" s="744">
        <f t="shared" ca="1" si="24"/>
        <v>4</v>
      </c>
      <c r="DL27" s="744">
        <f t="shared" ca="1" si="33"/>
        <v>1</v>
      </c>
      <c r="DM27" s="738" t="str">
        <f t="shared" ca="1" si="34"/>
        <v>2.1</v>
      </c>
      <c r="DN27" s="744" cm="1">
        <f t="array" aca="1" ref="DN27" ca="1">OFFSET(Horarios!$P$3,DJ27-1,0,DL27,1)</f>
        <v>2</v>
      </c>
      <c r="DO27" s="744"/>
      <c r="DP27" s="744" t="s">
        <v>665</v>
      </c>
      <c r="DQ27" s="744" t="str">
        <f t="shared" ca="1" si="35"/>
        <v>Países Bajos</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P.1 (2)</v>
      </c>
      <c r="F28" s="744" t="str">
        <f t="shared" ref="F28:F33" ca="1" si="96">IF(D28="Pendiente","-",INDEX($BT$6:$BT$53,MATCH($AF28,$BD$6:$BD$53,0)))</f>
        <v>P.3 (2)</v>
      </c>
      <c r="G28" s="744"/>
      <c r="H28" s="744" t="str">
        <f t="shared" ref="H28:H33" ca="1" si="97">IF(D28="Pendiente","-",INDEX($BZ$6:$BZ$53,MATCH($AA28,$BD$6:$BD$53,0)))</f>
        <v>P.1 (2)</v>
      </c>
      <c r="I28" s="744" t="str">
        <f t="shared" ref="I28:I33" ca="1" si="98">IF(D28="Pendiente","-",INDEX($BZ$6:$BZ$53,MATCH($AF28,$BD$6:$BD$53,0)))</f>
        <v>P.3 (2)</v>
      </c>
      <c r="J28" s="744"/>
      <c r="K28" s="744" t="str">
        <f t="shared" ref="K28:K33" ca="1" si="99">IF(D28="Pendiente","-",INDEX($CE$6:$CE$53,MATCH($AA28,$BD$6:$BD$53,0)))</f>
        <v>P.1 (2)</v>
      </c>
      <c r="L28" s="744" t="str">
        <f t="shared" ref="L28:L33" ca="1" si="100">IF(D28="Pendiente","-",INDEX($CE$6:$CE$53,MATCH($AF28,$BD$6:$BD$53,0)))</f>
        <v>P.3 (2)</v>
      </c>
      <c r="M28" s="744"/>
      <c r="N28" s="744" t="str">
        <f t="shared" ref="N28:N33" ca="1" si="101">IF(D28="Pendiente","-",INDEX($CH$6:$CH$53,MATCH($AA28,$BD$6:$BD$53,0)))</f>
        <v>P.1 (2)</v>
      </c>
      <c r="O28" s="744" t="str">
        <f t="shared" ref="O28:O33" ca="1" si="102">IF(D28="Pendiente","-",INDEX($CH$6:$CH$53,MATCH($AF28,$BD$6:$BD$53,0)))</f>
        <v>P.3 (2)</v>
      </c>
      <c r="P28" s="744"/>
      <c r="Q28" s="744" t="str">
        <f t="shared" ref="Q28:Q33" ca="1" si="103">IF(D28="Pendiente","-",INDEX($CN$6:$CN$53,MATCH($AA28,$BD$6:$BD$53,0)))</f>
        <v>P.1 (2)</v>
      </c>
      <c r="R28" s="744" t="str">
        <f t="shared" ref="R28:R33" ca="1" si="104">IF(D28="Pendiente","-",INDEX($CN$6:$CN$53,MATCH($AF28,$BD$6:$BD$53,0)))</f>
        <v>P.3 (2)</v>
      </c>
      <c r="S28" s="744"/>
      <c r="T28" s="744" t="str">
        <f t="shared" ref="T28:T33" ca="1" si="105">IF(D28="Pendiente","-",INDEX($CS$6:$CS$53,MATCH($AA28,$BD$6:$BD$53,0)))</f>
        <v>P.1 (2)</v>
      </c>
      <c r="U28" s="744" t="str">
        <f t="shared" ref="U28:U33" ca="1" si="106">IF(D28="Pendiente","-",INDEX($CS$6:$CS$53,MATCH($AF28,$BD$6:$BD$53,0)))</f>
        <v>P.3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1</v>
      </c>
      <c r="BG28" s="748">
        <f t="shared" ca="1" si="17"/>
        <v>1</v>
      </c>
      <c r="BH28" s="748">
        <f t="shared" ca="1" si="18"/>
        <v>0</v>
      </c>
      <c r="BI28" s="748">
        <f t="shared" ca="1" si="19"/>
        <v>0</v>
      </c>
      <c r="BJ28" s="748">
        <f t="shared" ca="1" si="20"/>
        <v>5</v>
      </c>
      <c r="BK28" s="748">
        <f t="shared" ca="1" si="21"/>
        <v>1</v>
      </c>
      <c r="BL28" s="748">
        <f t="shared" ca="1" si="27"/>
        <v>4</v>
      </c>
      <c r="BM28" s="748" t="str">
        <f t="shared" ca="1" si="22"/>
        <v>1F</v>
      </c>
      <c r="BN28" s="748" t="str">
        <f t="shared" ca="1" si="23"/>
        <v>1F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1</v>
      </c>
      <c r="DE28" s="756"/>
      <c r="DF28" s="756">
        <f t="shared" ca="1" si="52"/>
        <v>1</v>
      </c>
      <c r="DG28" s="756" t="str">
        <f ca="1">IF(DB28="-","-",COUNTIFS(DF$6:DF$53,"&lt;"&amp;DF28,$BC$6:$BC$53,INDEX(T_Equipos[Grupo],MATCH(BD28,T_Equipos[NombreEquipo],0))))</f>
        <v>-</v>
      </c>
      <c r="DH28" s="756">
        <f ca="1">DA28+COUNTIFS(DB$6:DB$53,DB28,DG$6:DG$53,"&lt;"&amp;DG28,$BC$6:$BC$53,INDEX(T_Equipos[Grupo],MATCH(BD28,T_Equipos[NombreEquipo],0)))</f>
        <v>1</v>
      </c>
      <c r="DI28" s="744"/>
      <c r="DJ28" s="744">
        <f t="shared" ca="1" si="53"/>
        <v>2</v>
      </c>
      <c r="DK28" s="744">
        <f t="shared" ca="1" si="24"/>
        <v>4</v>
      </c>
      <c r="DL28" s="744">
        <f t="shared" ca="1" si="33"/>
        <v>1</v>
      </c>
      <c r="DM28" s="738" t="str">
        <f t="shared" ca="1" si="34"/>
        <v>2.1</v>
      </c>
      <c r="DN28" s="744" cm="1">
        <f t="array" aca="1" ref="DN28" ca="1">OFFSET(Horarios!$P$3,DJ28-1,0,DL28,1)</f>
        <v>2</v>
      </c>
      <c r="DO28" s="744"/>
      <c r="DP28" s="744" t="s">
        <v>94</v>
      </c>
      <c r="DQ28" s="744" t="str">
        <f t="shared" ca="1" si="35"/>
        <v>Japón</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P.1 (2)</v>
      </c>
      <c r="F29" s="744" t="str">
        <f t="shared" ca="1" si="96"/>
        <v>P.3 (2)</v>
      </c>
      <c r="G29" s="744"/>
      <c r="H29" s="744" t="str">
        <f t="shared" ca="1" si="97"/>
        <v>P.1 (2)</v>
      </c>
      <c r="I29" s="744" t="str">
        <f t="shared" ca="1" si="98"/>
        <v>P.3 (2)</v>
      </c>
      <c r="J29" s="744"/>
      <c r="K29" s="744" t="str">
        <f t="shared" ca="1" si="99"/>
        <v>P.1 (2)</v>
      </c>
      <c r="L29" s="744" t="str">
        <f t="shared" ca="1" si="100"/>
        <v>P.3 (2)</v>
      </c>
      <c r="M29" s="744"/>
      <c r="N29" s="744" t="str">
        <f t="shared" ca="1" si="101"/>
        <v>P.1 (2)</v>
      </c>
      <c r="O29" s="744" t="str">
        <f t="shared" ca="1" si="102"/>
        <v>P.3 (2)</v>
      </c>
      <c r="P29" s="744"/>
      <c r="Q29" s="744" t="str">
        <f t="shared" ca="1" si="103"/>
        <v>P.1 (2)</v>
      </c>
      <c r="R29" s="744" t="str">
        <f t="shared" ca="1" si="104"/>
        <v>P.3 (2)</v>
      </c>
      <c r="S29" s="744"/>
      <c r="T29" s="744" t="str">
        <f t="shared" ca="1" si="105"/>
        <v>P.1 (2)</v>
      </c>
      <c r="U29" s="744" t="str">
        <f t="shared" ca="1" si="106"/>
        <v>P.3 (2)</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1</v>
      </c>
      <c r="BG29" s="748">
        <f t="shared" ca="1" si="17"/>
        <v>0</v>
      </c>
      <c r="BH29" s="748">
        <f t="shared" ca="1" si="18"/>
        <v>0</v>
      </c>
      <c r="BI29" s="748">
        <f t="shared" ca="1" si="19"/>
        <v>1</v>
      </c>
      <c r="BJ29" s="748">
        <f t="shared" ca="1" si="20"/>
        <v>1</v>
      </c>
      <c r="BK29" s="748">
        <f t="shared" ca="1" si="21"/>
        <v>5</v>
      </c>
      <c r="BL29" s="748">
        <f t="shared" ca="1" si="27"/>
        <v>-4</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4</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Pendiente</v>
      </c>
      <c r="E30" s="744" t="str">
        <f t="shared" si="95"/>
        <v>-</v>
      </c>
      <c r="F30" s="744" t="str">
        <f t="shared" si="96"/>
        <v>-</v>
      </c>
      <c r="G30" s="744"/>
      <c r="H30" s="744" t="str">
        <f t="shared" si="97"/>
        <v>-</v>
      </c>
      <c r="I30" s="744" t="str">
        <f t="shared" si="98"/>
        <v>-</v>
      </c>
      <c r="J30" s="744"/>
      <c r="K30" s="744" t="str">
        <f t="shared" si="99"/>
        <v>-</v>
      </c>
      <c r="L30" s="744" t="str">
        <f t="shared" si="100"/>
        <v>-</v>
      </c>
      <c r="M30" s="744"/>
      <c r="N30" s="744" t="str">
        <f t="shared" si="101"/>
        <v>-</v>
      </c>
      <c r="O30" s="744" t="str">
        <f t="shared" si="102"/>
        <v>-</v>
      </c>
      <c r="P30" s="744"/>
      <c r="Q30" s="744" t="str">
        <f t="shared" si="103"/>
        <v>-</v>
      </c>
      <c r="R30" s="744" t="str">
        <f t="shared" si="104"/>
        <v>-</v>
      </c>
      <c r="S30" s="744"/>
      <c r="T30" s="744" t="str">
        <f t="shared" si="105"/>
        <v>-</v>
      </c>
      <c r="U30" s="744" t="str">
        <f t="shared" si="106"/>
        <v>-</v>
      </c>
      <c r="V30" s="172"/>
      <c r="W30" s="839"/>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1</v>
      </c>
      <c r="BF30" s="748">
        <f t="shared" ca="1" si="26"/>
        <v>1</v>
      </c>
      <c r="BG30" s="748">
        <f t="shared" ca="1" si="17"/>
        <v>0</v>
      </c>
      <c r="BH30" s="748">
        <f t="shared" ca="1" si="18"/>
        <v>1</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1</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1</v>
      </c>
      <c r="CG30" s="758">
        <f ca="1">CD30+COUNTIFS($CE$6:$CE$53,CE30,$CF$6:CF$53,"&gt;"&amp;CF30,$BC$6:$BC$53,INDEX(T_Equipos[Grupo],MATCH(BD30,T_Equipos[NombreEquipo],0)))</f>
        <v>3</v>
      </c>
      <c r="CH30" s="757" t="str">
        <f ca="1">IF(COUNTIFS($CG$6:$CG$53,CG30,$BC$6:$BC$53,INDEX(T_Equipos[Grupo],MATCH(BD30,T_Equipos[NombreEquipo],0)))=1,"-","P."&amp;CG30&amp;" ("&amp;COUNTIFS($CG$6:$CG$53,CG30,$BC$6:$BC$53,INDEX(T_Equipos[Grupo],MATCH(BD30,T_Equipos[NombreEquipo],0)))&amp;")")</f>
        <v>P.3 (2)</v>
      </c>
      <c r="CI30" s="758">
        <f t="shared" ca="1" si="44"/>
        <v>0</v>
      </c>
      <c r="CJ30" s="758">
        <f t="shared" ca="1" si="45"/>
        <v>1</v>
      </c>
      <c r="CK30" s="758">
        <f t="shared" ca="1" si="46"/>
        <v>0</v>
      </c>
      <c r="CL30" s="758">
        <f t="shared" ca="1" si="47"/>
        <v>1</v>
      </c>
      <c r="CM30" s="758">
        <f ca="1">CG30+COUNTIFS($CH$6:$CH$53,CH30,$CL$6:CL$53,"&gt;"&amp;CL30,$BC$6:$BC$53,INDEX(T_Equipos[Grupo],MATCH(BD30,T_Equipos[NombreEquipo],0)))</f>
        <v>3</v>
      </c>
      <c r="CN30" s="757" t="str">
        <f ca="1">IF(COUNTIFS($CM$6:$CM$53,CM30,$BC$6:$BC$53,INDEX(T_Equipos[Grupo],MATCH(BD30,T_Equipos[NombreEquipo],0)))=1,"-","P."&amp;CM30&amp;" ("&amp;COUNTIFS($CM$6:$CM$53,CM30,$BC$6:$BC$53,INDEX(T_Equipos[Grupo],MATCH(BD30,T_Equipos[NombreEquipo],0)))&amp;")")</f>
        <v>P.3 (2)</v>
      </c>
      <c r="CO30" s="758">
        <f t="shared" ca="1" si="48"/>
        <v>1</v>
      </c>
      <c r="CP30" s="758">
        <f t="shared" ca="1" si="49"/>
        <v>1</v>
      </c>
      <c r="CQ30" s="758">
        <f t="shared" ca="1" si="50"/>
        <v>0</v>
      </c>
      <c r="CR30" s="758">
        <f ca="1">CM30+COUNTIFS($CN$6:$CN$53,CN30,$CQ$6:CQ$53,"&gt;"&amp;CQ30,$BC$6:$BC$53,INDEX(T_Equipos[Grupo],MATCH(BD30,T_Equipos[NombreEquipo],0)))</f>
        <v>3</v>
      </c>
      <c r="CS30" s="757" t="str">
        <f ca="1">IF(COUNTIFS($CR$6:$CR$53,CR30,$BC$6:$BC$53,INDEX(T_Equipos[Grupo],MATCH(BD30,T_Equipos[NombreEquipo],0)))=1,"-","P."&amp;CR30&amp;" ("&amp;COUNTIFS($CR$6:$CR$53,CR30,$BC$6:$BC$53,INDEX(T_Equipos[Grupo],MATCH(BD30,T_Equipos[NombreEquipo],0)))&amp;")")</f>
        <v>P.3 (2)</v>
      </c>
      <c r="CT30" s="758">
        <f t="shared" ca="1" si="51"/>
        <v>1</v>
      </c>
      <c r="CU30" s="758">
        <f ca="1">CR30+COUNTIFS($CS$6:$CS$53,CS30,$CT$6:CT$53,"&gt;"&amp;CT30,$BC$6:$BC$53,INDEX(T_Equipos[Grupo],MATCH(BD30,T_Equipos[NombreEquipo],0)))</f>
        <v>3</v>
      </c>
      <c r="CV30" s="757" t="str">
        <f ca="1">IF(COUNTIFS($CU$6:$CU$53,CU30,$BC$6:$BC$53,INDEX(T_Equipos[Grupo],MATCH(BD30,T_Equipos[NombreEquipo],0)))=1,"-","P."&amp;CU30&amp;" ("&amp;COUNTIFS($CU$6:$CU$53,CU30,$BC$6:$BC$53,INDEX(T_Equipos[Grupo],MATCH(BD30,T_Equipos[NombreEquipo],0)))&amp;")")</f>
        <v>P.3 (2)</v>
      </c>
      <c r="CW30" s="757">
        <f t="shared" ca="1" si="30"/>
        <v>0</v>
      </c>
      <c r="CX30" s="757">
        <f ca="1">CU30+COUNTIFS($CV$6:$CV$53,CV30,$CW$6:CW$53,"&gt;"&amp;CW30,$BC$6:$BC$53,INDEX(T_Equipos[Grupo],MATCH(BD30,T_Equipos[NombreEquipo],0)))</f>
        <v>3</v>
      </c>
      <c r="CY30" s="757" t="str">
        <f ca="1">IF(COUNTIFS($CX$6:$CX$53,CX30,$BC$6:$BC$53,INDEX(T_Equipos[Grupo],MATCH(BD30,T_Equipos[NombreEquipo],0)))=1,"-","P."&amp;CX30&amp;" ("&amp;COUNTIFS($CX$6:$CX$53,CX30,$BC$6:$BC$53,INDEX(T_Equipos[Grupo],MATCH(BD30,T_Equipos[NombreEquipo],0)))&amp;")")</f>
        <v>P.3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P.3 (2)</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3</v>
      </c>
      <c r="DE30" s="756"/>
      <c r="DF30" s="756">
        <f t="shared" ca="1" si="52"/>
        <v>3</v>
      </c>
      <c r="DG30" s="756">
        <f ca="1">IF(DB30="-","-",COUNTIFS(DF$6:DF$53,"&lt;"&amp;DF30,$BC$6:$BC$53,INDEX(T_Equipos[Grupo],MATCH(BD30,T_Equipos[NombreEquipo],0))))</f>
        <v>2</v>
      </c>
      <c r="DH30" s="756">
        <f ca="1">DA30+COUNTIFS(DB$6:DB$53,DB30,DG$6:DG$53,"&lt;"&amp;DG30,$BC$6:$BC$53,INDEX(T_Equipos[Grupo],MATCH(BD30,T_Equipos[NombreEquipo],0)))</f>
        <v>3</v>
      </c>
      <c r="DI30" s="744"/>
      <c r="DJ30" s="744">
        <f t="shared" ca="1" si="53"/>
        <v>1</v>
      </c>
      <c r="DK30" s="744">
        <f t="shared" ca="1" si="24"/>
        <v>4</v>
      </c>
      <c r="DL30" s="744">
        <f t="shared" ca="1" si="33"/>
        <v>1</v>
      </c>
      <c r="DM30" s="738" t="str">
        <f t="shared" ca="1" si="34"/>
        <v>1.1</v>
      </c>
      <c r="DN30" s="744" cm="1">
        <f t="array" aca="1" ref="DN30" ca="1">OFFSET(Horarios!$P$3,DJ30-1,0,DL30,1)</f>
        <v>1</v>
      </c>
      <c r="DO30" s="744"/>
      <c r="DP30" s="744" t="s">
        <v>667</v>
      </c>
      <c r="DQ30" s="744" t="str">
        <f t="shared" ca="1" si="35"/>
        <v>Irán</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Pendiente</v>
      </c>
      <c r="E31" s="744" t="str">
        <f t="shared" si="95"/>
        <v>-</v>
      </c>
      <c r="F31" s="744" t="str">
        <f t="shared" si="96"/>
        <v>-</v>
      </c>
      <c r="G31" s="744"/>
      <c r="H31" s="744" t="str">
        <f t="shared" si="97"/>
        <v>-</v>
      </c>
      <c r="I31" s="744" t="str">
        <f t="shared" si="98"/>
        <v>-</v>
      </c>
      <c r="J31" s="744"/>
      <c r="K31" s="744" t="str">
        <f t="shared" si="99"/>
        <v>-</v>
      </c>
      <c r="L31" s="744" t="str">
        <f t="shared" si="100"/>
        <v>-</v>
      </c>
      <c r="M31" s="744"/>
      <c r="N31" s="744" t="str">
        <f t="shared" si="101"/>
        <v>-</v>
      </c>
      <c r="O31" s="744" t="str">
        <f t="shared" si="102"/>
        <v>-</v>
      </c>
      <c r="P31" s="744"/>
      <c r="Q31" s="744" t="str">
        <f t="shared" si="103"/>
        <v>-</v>
      </c>
      <c r="R31" s="744" t="str">
        <f t="shared" si="104"/>
        <v>-</v>
      </c>
      <c r="S31" s="744"/>
      <c r="T31" s="744" t="str">
        <f t="shared" si="105"/>
        <v>-</v>
      </c>
      <c r="U31" s="744" t="str">
        <f t="shared" si="106"/>
        <v>-</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1</v>
      </c>
      <c r="BF31" s="748">
        <f t="shared" ca="1" si="26"/>
        <v>1</v>
      </c>
      <c r="BG31" s="748">
        <f t="shared" ca="1" si="17"/>
        <v>0</v>
      </c>
      <c r="BH31" s="748">
        <f t="shared" ca="1" si="18"/>
        <v>1</v>
      </c>
      <c r="BI31" s="748">
        <f t="shared" ca="1" si="19"/>
        <v>0</v>
      </c>
      <c r="BJ31" s="748">
        <f t="shared" ca="1" si="20"/>
        <v>1</v>
      </c>
      <c r="BK31" s="748">
        <f t="shared" ca="1" si="21"/>
        <v>1</v>
      </c>
      <c r="BL31" s="748">
        <f t="shared" ca="1" si="27"/>
        <v>0</v>
      </c>
      <c r="BM31" s="748" t="str">
        <f t="shared" ca="1" si="22"/>
        <v>4G</v>
      </c>
      <c r="BN31" s="748" t="str">
        <f t="shared" ca="1" si="23"/>
        <v>4G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1</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1</v>
      </c>
      <c r="CG31" s="758">
        <f ca="1">CD31+COUNTIFS($CE$6:$CE$53,CE31,$CF$6:CF$53,"&gt;"&amp;CF31,$BC$6:$BC$53,INDEX(T_Equipos[Grupo],MATCH(BD31,T_Equipos[NombreEquipo],0)))</f>
        <v>3</v>
      </c>
      <c r="CH31" s="757" t="str">
        <f ca="1">IF(COUNTIFS($CG$6:$CG$53,CG31,$BC$6:$BC$53,INDEX(T_Equipos[Grupo],MATCH(BD31,T_Equipos[NombreEquipo],0)))=1,"-","P."&amp;CG31&amp;" ("&amp;COUNTIFS($CG$6:$CG$53,CG31,$BC$6:$BC$53,INDEX(T_Equipos[Grupo],MATCH(BD31,T_Equipos[NombreEquipo],0)))&amp;")")</f>
        <v>P.3 (2)</v>
      </c>
      <c r="CI31" s="758">
        <f t="shared" ca="1" si="44"/>
        <v>0</v>
      </c>
      <c r="CJ31" s="758">
        <f t="shared" ca="1" si="45"/>
        <v>1</v>
      </c>
      <c r="CK31" s="758">
        <f t="shared" ca="1" si="46"/>
        <v>0</v>
      </c>
      <c r="CL31" s="758">
        <f t="shared" ca="1" si="47"/>
        <v>1</v>
      </c>
      <c r="CM31" s="758">
        <f ca="1">CG31+COUNTIFS($CH$6:$CH$53,CH31,$CL$6:CL$53,"&gt;"&amp;CL31,$BC$6:$BC$53,INDEX(T_Equipos[Grupo],MATCH(BD31,T_Equipos[NombreEquipo],0)))</f>
        <v>3</v>
      </c>
      <c r="CN31" s="757" t="str">
        <f ca="1">IF(COUNTIFS($CM$6:$CM$53,CM31,$BC$6:$BC$53,INDEX(T_Equipos[Grupo],MATCH(BD31,T_Equipos[NombreEquipo],0)))=1,"-","P."&amp;CM31&amp;" ("&amp;COUNTIFS($CM$6:$CM$53,CM31,$BC$6:$BC$53,INDEX(T_Equipos[Grupo],MATCH(BD31,T_Equipos[NombreEquipo],0)))&amp;")")</f>
        <v>P.3 (2)</v>
      </c>
      <c r="CO31" s="758">
        <f t="shared" ca="1" si="48"/>
        <v>1</v>
      </c>
      <c r="CP31" s="758">
        <f t="shared" ca="1" si="49"/>
        <v>1</v>
      </c>
      <c r="CQ31" s="758">
        <f t="shared" ca="1" si="50"/>
        <v>0</v>
      </c>
      <c r="CR31" s="758">
        <f ca="1">CM31+COUNTIFS($CN$6:$CN$53,CN31,$CQ$6:CQ$53,"&gt;"&amp;CQ31,$BC$6:$BC$53,INDEX(T_Equipos[Grupo],MATCH(BD31,T_Equipos[NombreEquipo],0)))</f>
        <v>3</v>
      </c>
      <c r="CS31" s="757" t="str">
        <f ca="1">IF(COUNTIFS($CR$6:$CR$53,CR31,$BC$6:$BC$53,INDEX(T_Equipos[Grupo],MATCH(BD31,T_Equipos[NombreEquipo],0)))=1,"-","P."&amp;CR31&amp;" ("&amp;COUNTIFS($CR$6:$CR$53,CR31,$BC$6:$BC$53,INDEX(T_Equipos[Grupo],MATCH(BD31,T_Equipos[NombreEquipo],0)))&amp;")")</f>
        <v>P.3 (2)</v>
      </c>
      <c r="CT31" s="758">
        <f t="shared" ca="1" si="51"/>
        <v>1</v>
      </c>
      <c r="CU31" s="758">
        <f ca="1">CR31+COUNTIFS($CS$6:$CS$53,CS31,$CT$6:CT$53,"&gt;"&amp;CT31,$BC$6:$BC$53,INDEX(T_Equipos[Grupo],MATCH(BD31,T_Equipos[NombreEquipo],0)))</f>
        <v>3</v>
      </c>
      <c r="CV31" s="757" t="str">
        <f ca="1">IF(COUNTIFS($CU$6:$CU$53,CU31,$BC$6:$BC$53,INDEX(T_Equipos[Grupo],MATCH(BD31,T_Equipos[NombreEquipo],0)))=1,"-","P."&amp;CU31&amp;" ("&amp;COUNTIFS($CU$6:$CU$53,CU31,$BC$6:$BC$53,INDEX(T_Equipos[Grupo],MATCH(BD31,T_Equipos[NombreEquipo],0)))&amp;")")</f>
        <v>P.3 (2)</v>
      </c>
      <c r="CW31" s="757">
        <f t="shared" ca="1" si="30"/>
        <v>0</v>
      </c>
      <c r="CX31" s="757">
        <f ca="1">CU31+COUNTIFS($CV$6:$CV$53,CV31,$CW$6:CW$53,"&gt;"&amp;CW31,$BC$6:$BC$53,INDEX(T_Equipos[Grupo],MATCH(BD31,T_Equipos[NombreEquipo],0)))</f>
        <v>3</v>
      </c>
      <c r="CY31" s="757" t="str">
        <f ca="1">IF(COUNTIFS($CX$6:$CX$53,CX31,$BC$6:$BC$53,INDEX(T_Equipos[Grupo],MATCH(BD31,T_Equipos[NombreEquipo],0)))=1,"-","P."&amp;CX31&amp;" ("&amp;COUNTIFS($CX$6:$CX$53,CX31,$BC$6:$BC$53,INDEX(T_Equipos[Grupo],MATCH(BD31,T_Equipos[NombreEquipo],0)))&amp;")")</f>
        <v>P.3 (2)</v>
      </c>
      <c r="CZ31" s="757">
        <f t="shared" ca="1" si="31"/>
        <v>1</v>
      </c>
      <c r="DA31" s="758">
        <f ca="1">CX31+COUNTIFS($CY$6:$CY$53,CY31,$CZ$6:CZ$53,"&gt;"&amp;CZ31,$BC$6:$BC$53,INDEX(T_Equipos[Grupo],MATCH(BD31,T_Equipos[NombreEquipo],0)))</f>
        <v>3</v>
      </c>
      <c r="DB31" s="757" t="str">
        <f ca="1">IF(COUNTIFS($DA$6:$DA$53,DA31,$BC$6:$BC$53,INDEX(T_Equipos[Grupo],MATCH(BD31,T_Equipos[NombreEquipo],0)))=1,"-","P."&amp;DA31&amp;" ("&amp;COUNTIFS($DA$6:$DA$53,DA31,$BC$6:$BC$53,INDEX(T_Equipos[Grupo],MATCH(BD31,T_Equipos[NombreEquipo],0)))&amp;")")</f>
        <v>P.3 (2)</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4</v>
      </c>
      <c r="DE31" s="756"/>
      <c r="DF31" s="756">
        <f t="shared" ca="1" si="52"/>
        <v>4</v>
      </c>
      <c r="DG31" s="756">
        <f ca="1">IF(DB31="-","-",COUNTIFS(DF$6:DF$53,"&lt;"&amp;DF31,$BC$6:$BC$53,INDEX(T_Equipos[Grupo],MATCH(BD31,T_Equipos[NombreEquipo],0))))</f>
        <v>3</v>
      </c>
      <c r="DH31" s="756">
        <f ca="1">DA31+COUNTIFS(DB$6:DB$53,DB31,DG$6:DG$53,"&lt;"&amp;DG31,$BC$6:$BC$53,INDEX(T_Equipos[Grupo],MATCH(BD31,T_Equipos[NombreEquipo],0)))</f>
        <v>4</v>
      </c>
      <c r="DI31" s="744"/>
      <c r="DJ31" s="744">
        <f t="shared" ca="1" si="53"/>
        <v>1</v>
      </c>
      <c r="DK31" s="744">
        <f t="shared" ca="1" si="24"/>
        <v>4</v>
      </c>
      <c r="DL31" s="744">
        <f t="shared" ca="1" si="33"/>
        <v>1</v>
      </c>
      <c r="DM31" s="738" t="str">
        <f t="shared" ca="1" si="34"/>
        <v>1.1</v>
      </c>
      <c r="DN31" s="744" cm="1">
        <f t="array" aca="1" ref="DN31" ca="1">OFFSET(Horarios!$P$3,DJ31-1,0,DL31,1)</f>
        <v>1</v>
      </c>
      <c r="DO31" s="744"/>
      <c r="DP31" s="744" t="s">
        <v>668</v>
      </c>
      <c r="DQ31" s="744" t="str">
        <f t="shared" ca="1" si="35"/>
        <v>Nueva Zelanda</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6">
        <f t="array" aca="1" ref="AK32" ca="1">Ver_flag_visit</f>
        <v>#VALUE!</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4"/>
      <c r="BC32" s="756" t="str">
        <f ca="1">+INDEX(T_Equipos[Grupo],MATCH(WORLDCUP!BD32,T_Equipos[NombreEquipo],0))</f>
        <v>G</v>
      </c>
      <c r="BD32" s="744" t="str">
        <f ca="1">+Equipos!B28</f>
        <v>Irán</v>
      </c>
      <c r="BE32" s="748">
        <f t="shared" ca="1" si="25"/>
        <v>1</v>
      </c>
      <c r="BF32" s="748">
        <f t="shared" ca="1" si="26"/>
        <v>1</v>
      </c>
      <c r="BG32" s="748">
        <f t="shared" ca="1" si="17"/>
        <v>0</v>
      </c>
      <c r="BH32" s="748">
        <f t="shared" ca="1" si="18"/>
        <v>1</v>
      </c>
      <c r="BI32" s="748">
        <f t="shared" ca="1" si="19"/>
        <v>0</v>
      </c>
      <c r="BJ32" s="748">
        <f t="shared" ca="1" si="20"/>
        <v>2</v>
      </c>
      <c r="BK32" s="748">
        <f t="shared" ca="1" si="21"/>
        <v>2</v>
      </c>
      <c r="BL32" s="748">
        <f t="shared" ca="1" si="27"/>
        <v>0</v>
      </c>
      <c r="BM32" s="748" t="str">
        <f t="shared" ca="1" si="22"/>
        <v>1G</v>
      </c>
      <c r="BN32" s="748" t="str">
        <f t="shared" ca="1" si="23"/>
        <v>1G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1</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1</v>
      </c>
      <c r="BW32" s="758">
        <f t="shared" ca="1" si="38"/>
        <v>0</v>
      </c>
      <c r="BX32" s="758">
        <f t="shared" ca="1" si="39"/>
        <v>1</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2</v>
      </c>
      <c r="CB32" s="758">
        <f t="shared" ca="1" si="41"/>
        <v>2</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2</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(2)</v>
      </c>
      <c r="CI32" s="758">
        <f t="shared" ca="1" si="44"/>
        <v>0</v>
      </c>
      <c r="CJ32" s="758">
        <f t="shared" ca="1" si="45"/>
        <v>1</v>
      </c>
      <c r="CK32" s="758">
        <f t="shared" ca="1" si="46"/>
        <v>0</v>
      </c>
      <c r="CL32" s="758">
        <f t="shared" ca="1" si="47"/>
        <v>1</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(2)</v>
      </c>
      <c r="CO32" s="758">
        <f t="shared" ca="1" si="48"/>
        <v>2</v>
      </c>
      <c r="CP32" s="758">
        <f t="shared" ca="1" si="49"/>
        <v>2</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(2)</v>
      </c>
      <c r="CT32" s="758">
        <f t="shared" ca="1" si="51"/>
        <v>2</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(2)</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(2)</v>
      </c>
      <c r="CZ32" s="757">
        <f t="shared" ca="1" si="31"/>
        <v>2</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(2)</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1</v>
      </c>
      <c r="DE32" s="756"/>
      <c r="DF32" s="756">
        <f t="shared" ca="1" si="52"/>
        <v>1</v>
      </c>
      <c r="DG32" s="756">
        <f ca="1">IF(DB32="-","-",COUNTIFS(DF$6:DF$53,"&lt;"&amp;DF32,$BC$6:$BC$53,INDEX(T_Equipos[Grupo],MATCH(BD32,T_Equipos[NombreEquipo],0))))</f>
        <v>0</v>
      </c>
      <c r="DH32" s="756">
        <f ca="1">DA32+COUNTIFS(DB$6:DB$53,DB32,DG$6:DG$53,"&lt;"&amp;DG32,$BC$6:$BC$53,INDEX(T_Equipos[Grupo],MATCH(BD32,T_Equipos[NombreEquipo],0)))</f>
        <v>1</v>
      </c>
      <c r="DI32" s="744"/>
      <c r="DJ32" s="744">
        <f t="shared" ca="1" si="53"/>
        <v>3</v>
      </c>
      <c r="DK32" s="744">
        <f t="shared" ca="1" si="24"/>
        <v>4</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4">
        <f t="array" aca="1" ref="AK33" ca="1">Ver_flag_visit</f>
        <v>#VALUE!</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1</v>
      </c>
      <c r="BG33" s="748">
        <f t="shared" ca="1" si="17"/>
        <v>0</v>
      </c>
      <c r="BH33" s="748">
        <f t="shared" ca="1" si="18"/>
        <v>1</v>
      </c>
      <c r="BI33" s="748">
        <f t="shared" ca="1" si="19"/>
        <v>0</v>
      </c>
      <c r="BJ33" s="748">
        <f t="shared" ca="1" si="20"/>
        <v>2</v>
      </c>
      <c r="BK33" s="748">
        <f t="shared" ca="1" si="21"/>
        <v>2</v>
      </c>
      <c r="BL33" s="748">
        <f t="shared" ca="1" si="27"/>
        <v>0</v>
      </c>
      <c r="BM33" s="748" t="str">
        <f t="shared" ca="1" si="22"/>
        <v>2G</v>
      </c>
      <c r="BN33" s="748" t="str">
        <f t="shared" ca="1" si="23"/>
        <v>2G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1</v>
      </c>
      <c r="BW33" s="758">
        <f t="shared" ca="1" si="38"/>
        <v>0</v>
      </c>
      <c r="BX33" s="758">
        <f t="shared" ca="1" si="39"/>
        <v>1</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2</v>
      </c>
      <c r="CB33" s="758">
        <f t="shared" ca="1" si="41"/>
        <v>2</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2</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(2)</v>
      </c>
      <c r="CI33" s="758">
        <f t="shared" ca="1" si="44"/>
        <v>0</v>
      </c>
      <c r="CJ33" s="758">
        <f t="shared" ca="1" si="45"/>
        <v>1</v>
      </c>
      <c r="CK33" s="758">
        <f t="shared" ca="1" si="46"/>
        <v>0</v>
      </c>
      <c r="CL33" s="758">
        <f t="shared" ca="1" si="47"/>
        <v>1</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(2)</v>
      </c>
      <c r="CO33" s="758">
        <f t="shared" ca="1" si="48"/>
        <v>2</v>
      </c>
      <c r="CP33" s="758">
        <f t="shared" ca="1" si="49"/>
        <v>2</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(2)</v>
      </c>
      <c r="CT33" s="758">
        <f t="shared" ca="1" si="51"/>
        <v>2</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(2)</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(2)</v>
      </c>
      <c r="CZ33" s="757">
        <f t="shared" ca="1" si="31"/>
        <v>2</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(2)</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2</v>
      </c>
      <c r="DE33" s="756"/>
      <c r="DF33" s="756">
        <f t="shared" ca="1" si="52"/>
        <v>2</v>
      </c>
      <c r="DG33" s="756">
        <f ca="1">IF(DB33="-","-",COUNTIFS(DF$6:DF$53,"&lt;"&amp;DF33,$BC$6:$BC$53,INDEX(T_Equipos[Grupo],MATCH(BD33,T_Equipos[NombreEquipo],0))))</f>
        <v>1</v>
      </c>
      <c r="DH33" s="756">
        <f ca="1">DA33+COUNTIFS(DB$6:DB$53,DB33,DG$6:DG$53,"&lt;"&amp;DG33,$BC$6:$BC$53,INDEX(T_Equipos[Grupo],MATCH(BD33,T_Equipos[NombreEquipo],0)))</f>
        <v>2</v>
      </c>
      <c r="DI33" s="744"/>
      <c r="DJ33" s="744">
        <f t="shared" ca="1" si="53"/>
        <v>3</v>
      </c>
      <c r="DK33" s="744">
        <f t="shared" ca="1" si="24"/>
        <v>4</v>
      </c>
      <c r="DL33" s="744">
        <f t="shared" ca="1" si="33"/>
        <v>1</v>
      </c>
      <c r="DM33" s="738" t="str">
        <f t="shared" ca="1" si="34"/>
        <v>3.1</v>
      </c>
      <c r="DN33" s="744" cm="1">
        <f t="array" aca="1" ref="DN33" ca="1">OFFSET(Horarios!$P$3,DJ33-1,0,DL33,1)</f>
        <v>3</v>
      </c>
      <c r="DO33" s="744"/>
      <c r="DP33" s="744" t="s">
        <v>669</v>
      </c>
      <c r="DQ33" s="744" t="str">
        <f t="shared" ca="1" si="35"/>
        <v>Egipto</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1</v>
      </c>
      <c r="BF34" s="748">
        <f t="shared" ca="1" si="26"/>
        <v>1</v>
      </c>
      <c r="BG34" s="748">
        <f t="shared" ca="1" si="17"/>
        <v>0</v>
      </c>
      <c r="BH34" s="748">
        <f t="shared" ca="1" si="18"/>
        <v>1</v>
      </c>
      <c r="BI34" s="748">
        <f t="shared" ca="1" si="19"/>
        <v>0</v>
      </c>
      <c r="BJ34" s="748">
        <f t="shared" ca="1" si="20"/>
        <v>0</v>
      </c>
      <c r="BK34" s="748">
        <f t="shared" ca="1" si="21"/>
        <v>0</v>
      </c>
      <c r="BL34" s="748">
        <f t="shared" ca="1" si="27"/>
        <v>0</v>
      </c>
      <c r="BM34" s="748" t="str">
        <f t="shared" ca="1" si="22"/>
        <v>3H</v>
      </c>
      <c r="BN34" s="748" t="str">
        <f t="shared" ca="1" si="23"/>
        <v>3H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1</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1</v>
      </c>
      <c r="BW34" s="758">
        <f t="shared" ca="1" si="38"/>
        <v>0</v>
      </c>
      <c r="BX34" s="758">
        <f t="shared" ca="1" si="39"/>
        <v>1</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3</v>
      </c>
      <c r="CH34" s="757" t="str">
        <f ca="1">IF(COUNTIFS($CG$6:$CG$53,CG34,$BC$6:$BC$53,INDEX(T_Equipos[Grupo],MATCH(BD34,T_Equipos[NombreEquipo],0)))=1,"-","P."&amp;CG34&amp;" ("&amp;COUNTIFS($CG$6:$CG$53,CG34,$BC$6:$BC$53,INDEX(T_Equipos[Grupo],MATCH(BD34,T_Equipos[NombreEquipo],0)))&amp;")")</f>
        <v>P.3 (2)</v>
      </c>
      <c r="CI34" s="758">
        <f t="shared" ca="1" si="44"/>
        <v>0</v>
      </c>
      <c r="CJ34" s="758">
        <f t="shared" ca="1" si="45"/>
        <v>1</v>
      </c>
      <c r="CK34" s="758">
        <f t="shared" ca="1" si="46"/>
        <v>0</v>
      </c>
      <c r="CL34" s="758">
        <f t="shared" ca="1" si="47"/>
        <v>1</v>
      </c>
      <c r="CM34" s="758">
        <f ca="1">CG34+COUNTIFS($CH$6:$CH$53,CH34,$CL$6:CL$53,"&gt;"&amp;CL34,$BC$6:$BC$53,INDEX(T_Equipos[Grupo],MATCH(BD34,T_Equipos[NombreEquipo],0)))</f>
        <v>3</v>
      </c>
      <c r="CN34" s="757" t="str">
        <f ca="1">IF(COUNTIFS($CM$6:$CM$53,CM34,$BC$6:$BC$53,INDEX(T_Equipos[Grupo],MATCH(BD34,T_Equipos[NombreEquipo],0)))=1,"-","P."&amp;CM34&amp;" ("&amp;COUNTIFS($CM$6:$CM$53,CM34,$BC$6:$BC$53,INDEX(T_Equipos[Grupo],MATCH(BD34,T_Equipos[NombreEquipo],0)))&amp;")")</f>
        <v>P.3 (2)</v>
      </c>
      <c r="CO34" s="758">
        <f t="shared" ca="1" si="48"/>
        <v>0</v>
      </c>
      <c r="CP34" s="758">
        <f t="shared" ca="1" si="49"/>
        <v>0</v>
      </c>
      <c r="CQ34" s="758">
        <f t="shared" ca="1" si="50"/>
        <v>0</v>
      </c>
      <c r="CR34" s="758">
        <f ca="1">CM34+COUNTIFS($CN$6:$CN$53,CN34,$CQ$6:CQ$53,"&gt;"&amp;CQ34,$BC$6:$BC$53,INDEX(T_Equipos[Grupo],MATCH(BD34,T_Equipos[NombreEquipo],0)))</f>
        <v>3</v>
      </c>
      <c r="CS34" s="757" t="str">
        <f ca="1">IF(COUNTIFS($CR$6:$CR$53,CR34,$BC$6:$BC$53,INDEX(T_Equipos[Grupo],MATCH(BD34,T_Equipos[NombreEquipo],0)))=1,"-","P."&amp;CR34&amp;" ("&amp;COUNTIFS($CR$6:$CR$53,CR34,$BC$6:$BC$53,INDEX(T_Equipos[Grupo],MATCH(BD34,T_Equipos[NombreEquipo],0)))&amp;")")</f>
        <v>P.3 (2)</v>
      </c>
      <c r="CT34" s="758">
        <f t="shared" ca="1" si="51"/>
        <v>0</v>
      </c>
      <c r="CU34" s="758">
        <f ca="1">CR34+COUNTIFS($CS$6:$CS$53,CS34,$CT$6:CT$53,"&gt;"&amp;CT34,$BC$6:$BC$53,INDEX(T_Equipos[Grupo],MATCH(BD34,T_Equipos[NombreEquipo],0)))</f>
        <v>3</v>
      </c>
      <c r="CV34" s="757" t="str">
        <f ca="1">IF(COUNTIFS($CU$6:$CU$53,CU34,$BC$6:$BC$53,INDEX(T_Equipos[Grupo],MATCH(BD34,T_Equipos[NombreEquipo],0)))=1,"-","P."&amp;CU34&amp;" ("&amp;COUNTIFS($CU$6:$CU$53,CU34,$BC$6:$BC$53,INDEX(T_Equipos[Grupo],MATCH(BD34,T_Equipos[NombreEquipo],0)))&amp;")")</f>
        <v>P.3 (2)</v>
      </c>
      <c r="CW34" s="757">
        <f t="shared" ca="1" si="30"/>
        <v>0</v>
      </c>
      <c r="CX34" s="757">
        <f ca="1">CU34+COUNTIFS($CV$6:$CV$53,CV34,$CW$6:CW$53,"&gt;"&amp;CW34,$BC$6:$BC$53,INDEX(T_Equipos[Grupo],MATCH(BD34,T_Equipos[NombreEquipo],0)))</f>
        <v>3</v>
      </c>
      <c r="CY34" s="757" t="str">
        <f ca="1">IF(COUNTIFS($CX$6:$CX$53,CX34,$BC$6:$BC$53,INDEX(T_Equipos[Grupo],MATCH(BD34,T_Equipos[NombreEquipo],0)))=1,"-","P."&amp;CX34&amp;" ("&amp;COUNTIFS($CX$6:$CX$53,CX34,$BC$6:$BC$53,INDEX(T_Equipos[Grupo],MATCH(BD34,T_Equipos[NombreEquipo],0)))&amp;")")</f>
        <v>P.3 (2)</v>
      </c>
      <c r="CZ34" s="757">
        <f t="shared" ca="1" si="31"/>
        <v>0</v>
      </c>
      <c r="DA34" s="758">
        <f ca="1">CX34+COUNTIFS($CY$6:$CY$53,CY34,$CZ$6:CZ$53,"&gt;"&amp;CZ34,$BC$6:$BC$53,INDEX(T_Equipos[Grupo],MATCH(BD34,T_Equipos[NombreEquipo],0)))</f>
        <v>3</v>
      </c>
      <c r="DB34" s="757" t="str">
        <f ca="1">IF(COUNTIFS($DA$6:$DA$53,DA34,$BC$6:$BC$53,INDEX(T_Equipos[Grupo],MATCH(BD34,T_Equipos[NombreEquipo],0)))=1,"-","P."&amp;DA34&amp;" ("&amp;COUNTIFS($DA$6:$DA$53,DA34,$BC$6:$BC$53,INDEX(T_Equipos[Grupo],MATCH(BD34,T_Equipos[NombreEquipo],0)))&amp;")")</f>
        <v>P.3 (2)</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3</v>
      </c>
      <c r="DE34" s="756"/>
      <c r="DF34" s="756">
        <f t="shared" ca="1" si="52"/>
        <v>3</v>
      </c>
      <c r="DG34" s="756">
        <f ca="1">IF(DB34="-","-",COUNTIFS(DF$6:DF$53,"&lt;"&amp;DF34,$BC$6:$BC$53,INDEX(T_Equipos[Grupo],MATCH(BD34,T_Equipos[NombreEquipo],0))))</f>
        <v>2</v>
      </c>
      <c r="DH34" s="756">
        <f ca="1">DA34+COUNTIFS(DB$6:DB$53,DB34,DG$6:DG$53,"&lt;"&amp;DG34,$BC$6:$BC$53,INDEX(T_Equipos[Grupo],MATCH(BD34,T_Equipos[NombreEquipo],0)))</f>
        <v>3</v>
      </c>
      <c r="DI34" s="744"/>
      <c r="DJ34" s="744">
        <f t="shared" ca="1" si="53"/>
        <v>1</v>
      </c>
      <c r="DK34" s="744">
        <f t="shared" ca="1" si="24"/>
        <v>4</v>
      </c>
      <c r="DL34" s="744">
        <f t="shared" ca="1" si="33"/>
        <v>1</v>
      </c>
      <c r="DM34" s="738" t="str">
        <f t="shared" ca="1" si="34"/>
        <v>1.1</v>
      </c>
      <c r="DN34" s="744" cm="1">
        <f t="array" aca="1" ref="DN34" ca="1">OFFSET(Horarios!$P$3,DJ34-1,0,DL34,1)</f>
        <v>1</v>
      </c>
      <c r="DO34" s="744"/>
      <c r="DP34" s="744" t="s">
        <v>670</v>
      </c>
      <c r="DQ34" s="744" t="str">
        <f t="shared" ca="1" si="35"/>
        <v>Arabia Saudita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1</v>
      </c>
      <c r="BF35" s="748">
        <f t="shared" ca="1" si="26"/>
        <v>1</v>
      </c>
      <c r="BG35" s="748">
        <f t="shared" ca="1" si="17"/>
        <v>0</v>
      </c>
      <c r="BH35" s="748">
        <f t="shared" ca="1" si="18"/>
        <v>1</v>
      </c>
      <c r="BI35" s="748">
        <f t="shared" ca="1" si="19"/>
        <v>0</v>
      </c>
      <c r="BJ35" s="748">
        <f t="shared" ca="1" si="20"/>
        <v>0</v>
      </c>
      <c r="BK35" s="748">
        <f t="shared" ca="1" si="21"/>
        <v>0</v>
      </c>
      <c r="BL35" s="748">
        <f t="shared" ca="1" si="27"/>
        <v>0</v>
      </c>
      <c r="BM35" s="748" t="str">
        <f t="shared" ca="1" si="22"/>
        <v>4H</v>
      </c>
      <c r="BN35" s="748" t="str">
        <f t="shared" ca="1" si="23"/>
        <v>4H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1</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1</v>
      </c>
      <c r="BW35" s="758">
        <f t="shared" ca="1" si="38"/>
        <v>0</v>
      </c>
      <c r="BX35" s="758">
        <f t="shared" ca="1" si="39"/>
        <v>1</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3</v>
      </c>
      <c r="CH35" s="757" t="str">
        <f ca="1">IF(COUNTIFS($CG$6:$CG$53,CG35,$BC$6:$BC$53,INDEX(T_Equipos[Grupo],MATCH(BD35,T_Equipos[NombreEquipo],0)))=1,"-","P."&amp;CG35&amp;" ("&amp;COUNTIFS($CG$6:$CG$53,CG35,$BC$6:$BC$53,INDEX(T_Equipos[Grupo],MATCH(BD35,T_Equipos[NombreEquipo],0)))&amp;")")</f>
        <v>P.3 (2)</v>
      </c>
      <c r="CI35" s="758">
        <f t="shared" ca="1" si="44"/>
        <v>0</v>
      </c>
      <c r="CJ35" s="758">
        <f t="shared" ca="1" si="45"/>
        <v>1</v>
      </c>
      <c r="CK35" s="758">
        <f t="shared" ca="1" si="46"/>
        <v>0</v>
      </c>
      <c r="CL35" s="758">
        <f t="shared" ca="1" si="47"/>
        <v>1</v>
      </c>
      <c r="CM35" s="758">
        <f ca="1">CG35+COUNTIFS($CH$6:$CH$53,CH35,$CL$6:CL$53,"&gt;"&amp;CL35,$BC$6:$BC$53,INDEX(T_Equipos[Grupo],MATCH(BD35,T_Equipos[NombreEquipo],0)))</f>
        <v>3</v>
      </c>
      <c r="CN35" s="757" t="str">
        <f ca="1">IF(COUNTIFS($CM$6:$CM$53,CM35,$BC$6:$BC$53,INDEX(T_Equipos[Grupo],MATCH(BD35,T_Equipos[NombreEquipo],0)))=1,"-","P."&amp;CM35&amp;" ("&amp;COUNTIFS($CM$6:$CM$53,CM35,$BC$6:$BC$53,INDEX(T_Equipos[Grupo],MATCH(BD35,T_Equipos[NombreEquipo],0)))&amp;")")</f>
        <v>P.3 (2)</v>
      </c>
      <c r="CO35" s="758">
        <f t="shared" ca="1" si="48"/>
        <v>0</v>
      </c>
      <c r="CP35" s="758">
        <f t="shared" ca="1" si="49"/>
        <v>0</v>
      </c>
      <c r="CQ35" s="758">
        <f t="shared" ca="1" si="50"/>
        <v>0</v>
      </c>
      <c r="CR35" s="758">
        <f ca="1">CM35+COUNTIFS($CN$6:$CN$53,CN35,$CQ$6:CQ$53,"&gt;"&amp;CQ35,$BC$6:$BC$53,INDEX(T_Equipos[Grupo],MATCH(BD35,T_Equipos[NombreEquipo],0)))</f>
        <v>3</v>
      </c>
      <c r="CS35" s="757" t="str">
        <f ca="1">IF(COUNTIFS($CR$6:$CR$53,CR35,$BC$6:$BC$53,INDEX(T_Equipos[Grupo],MATCH(BD35,T_Equipos[NombreEquipo],0)))=1,"-","P."&amp;CR35&amp;" ("&amp;COUNTIFS($CR$6:$CR$53,CR35,$BC$6:$BC$53,INDEX(T_Equipos[Grupo],MATCH(BD35,T_Equipos[NombreEquipo],0)))&amp;")")</f>
        <v>P.3 (2)</v>
      </c>
      <c r="CT35" s="758">
        <f t="shared" ca="1" si="51"/>
        <v>0</v>
      </c>
      <c r="CU35" s="758">
        <f ca="1">CR35+COUNTIFS($CS$6:$CS$53,CS35,$CT$6:CT$53,"&gt;"&amp;CT35,$BC$6:$BC$53,INDEX(T_Equipos[Grupo],MATCH(BD35,T_Equipos[NombreEquipo],0)))</f>
        <v>3</v>
      </c>
      <c r="CV35" s="757" t="str">
        <f ca="1">IF(COUNTIFS($CU$6:$CU$53,CU35,$BC$6:$BC$53,INDEX(T_Equipos[Grupo],MATCH(BD35,T_Equipos[NombreEquipo],0)))=1,"-","P."&amp;CU35&amp;" ("&amp;COUNTIFS($CU$6:$CU$53,CU35,$BC$6:$BC$53,INDEX(T_Equipos[Grupo],MATCH(BD35,T_Equipos[NombreEquipo],0)))&amp;")")</f>
        <v>P.3 (2)</v>
      </c>
      <c r="CW35" s="757">
        <f t="shared" ca="1" si="30"/>
        <v>0</v>
      </c>
      <c r="CX35" s="757">
        <f ca="1">CU35+COUNTIFS($CV$6:$CV$53,CV35,$CW$6:CW$53,"&gt;"&amp;CW35,$BC$6:$BC$53,INDEX(T_Equipos[Grupo],MATCH(BD35,T_Equipos[NombreEquipo],0)))</f>
        <v>3</v>
      </c>
      <c r="CY35" s="757" t="str">
        <f ca="1">IF(COUNTIFS($CX$6:$CX$53,CX35,$BC$6:$BC$53,INDEX(T_Equipos[Grupo],MATCH(BD35,T_Equipos[NombreEquipo],0)))=1,"-","P."&amp;CX35&amp;" ("&amp;COUNTIFS($CX$6:$CX$53,CX35,$BC$6:$BC$53,INDEX(T_Equipos[Grupo],MATCH(BD35,T_Equipos[NombreEquipo],0)))&amp;")")</f>
        <v>P.3 (2)</v>
      </c>
      <c r="CZ35" s="757">
        <f t="shared" ca="1" si="31"/>
        <v>0</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P.3 (2)</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4</v>
      </c>
      <c r="DE35" s="756"/>
      <c r="DF35" s="756">
        <f t="shared" ca="1" si="52"/>
        <v>4</v>
      </c>
      <c r="DG35" s="756">
        <f ca="1">IF(DB35="-","-",COUNTIFS(DF$6:DF$53,"&lt;"&amp;DF35,$BC$6:$BC$53,INDEX(T_Equipos[Grupo],MATCH(BD35,T_Equipos[NombreEquipo],0))))</f>
        <v>3</v>
      </c>
      <c r="DH35" s="756">
        <f ca="1">DA35+COUNTIFS(DB$6:DB$53,DB35,DG$6:DG$53,"&lt;"&amp;DG35,$BC$6:$BC$53,INDEX(T_Equipos[Grupo],MATCH(BD35,T_Equipos[NombreEquipo],0)))</f>
        <v>4</v>
      </c>
      <c r="DI35" s="744"/>
      <c r="DJ35" s="744">
        <f t="shared" ca="1" si="53"/>
        <v>1</v>
      </c>
      <c r="DK35" s="744">
        <f t="shared" ca="1" si="24"/>
        <v>4</v>
      </c>
      <c r="DL35" s="744">
        <f t="shared" ca="1" si="33"/>
        <v>1</v>
      </c>
      <c r="DM35" s="738" t="str">
        <f t="shared" ca="1" si="34"/>
        <v>1.1</v>
      </c>
      <c r="DN35" s="744" cm="1">
        <f t="array" aca="1" ref="DN35" ca="1">OFFSET(Horarios!$P$3,DJ35-1,0,DL35,1)</f>
        <v>1</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P.3 (2)</v>
      </c>
      <c r="G36" s="744"/>
      <c r="H36" s="744" t="str">
        <f t="shared" ref="H36:H41" ca="1" si="118">IF(D36="Pendiente","-",INDEX($BZ$6:$BZ$53,MATCH($AA36,$BD$6:$BD$53,0)))</f>
        <v>P.1 (2)</v>
      </c>
      <c r="I36" s="744" t="str">
        <f t="shared" ref="I36:I41" ca="1" si="119">IF(D36="Pendiente","-",INDEX($BZ$6:$BZ$53,MATCH($AF36,$BD$6:$BD$53,0)))</f>
        <v>P.3 (2)</v>
      </c>
      <c r="J36" s="744"/>
      <c r="K36" s="744" t="str">
        <f t="shared" ref="K36:K41" ca="1" si="120">IF(D36="Pendiente","-",INDEX($CE$6:$CE$53,MATCH($AA36,$BD$6:$BD$53,0)))</f>
        <v>P.1 (2)</v>
      </c>
      <c r="L36" s="744" t="str">
        <f t="shared" ref="L36:L41" ca="1" si="121">IF(D36="Pendiente","-",INDEX($CE$6:$CE$53,MATCH($AF36,$BD$6:$BD$53,0)))</f>
        <v>P.3 (2)</v>
      </c>
      <c r="M36" s="744"/>
      <c r="N36" s="744" t="str">
        <f t="shared" ref="N36:N41" ca="1" si="122">IF(D36="Pendiente","-",INDEX($CH$6:$CH$53,MATCH($AA36,$BD$6:$BD$53,0)))</f>
        <v>P.1 (2)</v>
      </c>
      <c r="O36" s="744" t="str">
        <f t="shared" ref="O36:O41" ca="1" si="123">IF(D36="Pendiente","-",INDEX($CH$6:$CH$53,MATCH($AF36,$BD$6:$BD$53,0)))</f>
        <v>P.3 (2)</v>
      </c>
      <c r="P36" s="744"/>
      <c r="Q36" s="744" t="str">
        <f t="shared" ref="Q36:Q41" ca="1" si="124">IF(D36="Pendiente","-",INDEX($CN$6:$CN$53,MATCH($AA36,$BD$6:$BD$53,0)))</f>
        <v>P.1 (2)</v>
      </c>
      <c r="R36" s="744" t="str">
        <f t="shared" ref="R36:R41" ca="1" si="125">IF(D36="Pendiente","-",INDEX($CN$6:$CN$53,MATCH($AF36,$BD$6:$BD$53,0)))</f>
        <v>P.3 (2)</v>
      </c>
      <c r="S36" s="744"/>
      <c r="T36" s="744" t="str">
        <f t="shared" ref="T36:T41" ca="1" si="126">IF(D36="Pendiente","-",INDEX($CS$6:$CS$53,MATCH($AA36,$BD$6:$BD$53,0)))</f>
        <v>P.1 (2)</v>
      </c>
      <c r="U36" s="744" t="str">
        <f t="shared" ref="U36:U41" ca="1" si="127">IF(D36="Pendiente","-",INDEX($CS$6:$CS$53,MATCH($AF36,$BD$6:$BD$53,0)))</f>
        <v>P.3 (2)</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1</v>
      </c>
      <c r="BG36" s="748">
        <f t="shared" ca="1" si="17"/>
        <v>0</v>
      </c>
      <c r="BH36" s="748">
        <f t="shared" ca="1" si="18"/>
        <v>1</v>
      </c>
      <c r="BI36" s="748">
        <f t="shared" ca="1" si="19"/>
        <v>0</v>
      </c>
      <c r="BJ36" s="748">
        <f t="shared" ca="1" si="20"/>
        <v>1</v>
      </c>
      <c r="BK36" s="748">
        <f t="shared" ca="1" si="21"/>
        <v>1</v>
      </c>
      <c r="BL36" s="748">
        <f t="shared" ca="1" si="27"/>
        <v>0</v>
      </c>
      <c r="BM36" s="748" t="str">
        <f t="shared" ca="1" si="22"/>
        <v>1H</v>
      </c>
      <c r="BN36" s="748" t="str">
        <f t="shared" ca="1" si="23"/>
        <v>1H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1</v>
      </c>
      <c r="BW36" s="758">
        <f t="shared" ca="1" si="38"/>
        <v>0</v>
      </c>
      <c r="BX36" s="758">
        <f t="shared" ca="1" si="39"/>
        <v>1</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1</v>
      </c>
      <c r="CB36" s="758">
        <f t="shared" ca="1" si="41"/>
        <v>1</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1</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(2)</v>
      </c>
      <c r="CI36" s="758">
        <f t="shared" ca="1" si="44"/>
        <v>0</v>
      </c>
      <c r="CJ36" s="758">
        <f t="shared" ca="1" si="45"/>
        <v>1</v>
      </c>
      <c r="CK36" s="758">
        <f t="shared" ca="1" si="46"/>
        <v>0</v>
      </c>
      <c r="CL36" s="758">
        <f t="shared" ca="1" si="47"/>
        <v>1</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(2)</v>
      </c>
      <c r="CO36" s="758">
        <f t="shared" ca="1" si="48"/>
        <v>1</v>
      </c>
      <c r="CP36" s="758">
        <f t="shared" ca="1" si="49"/>
        <v>1</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(2)</v>
      </c>
      <c r="CT36" s="758">
        <f t="shared" ca="1" si="51"/>
        <v>1</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(2)</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(2)</v>
      </c>
      <c r="CZ36" s="757">
        <f t="shared" ca="1" si="31"/>
        <v>1</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(2)</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1</v>
      </c>
      <c r="DE36" s="756"/>
      <c r="DF36" s="756">
        <f t="shared" ca="1" si="52"/>
        <v>1</v>
      </c>
      <c r="DG36" s="756">
        <f ca="1">IF(DB36="-","-",COUNTIFS(DF$6:DF$53,"&lt;"&amp;DF36,$BC$6:$BC$53,INDEX(T_Equipos[Grupo],MATCH(BD36,T_Equipos[NombreEquipo],0))))</f>
        <v>0</v>
      </c>
      <c r="DH36" s="756">
        <f ca="1">DA36+COUNTIFS(DB$6:DB$53,DB36,DG$6:DG$53,"&lt;"&amp;DG36,$BC$6:$BC$53,INDEX(T_Equipos[Grupo],MATCH(BD36,T_Equipos[NombreEquipo],0)))</f>
        <v>1</v>
      </c>
      <c r="DI36" s="744"/>
      <c r="DJ36" s="744">
        <f t="shared" ca="1" si="53"/>
        <v>3</v>
      </c>
      <c r="DK36" s="744">
        <f t="shared" ca="1" si="24"/>
        <v>4</v>
      </c>
      <c r="DL36" s="744">
        <f t="shared" ca="1" si="33"/>
        <v>1</v>
      </c>
      <c r="DM36" s="738" t="str">
        <f t="shared" ca="1" si="34"/>
        <v>3.1</v>
      </c>
      <c r="DN36" s="744" cm="1">
        <f t="array" aca="1" ref="DN36" ca="1">OFFSET(Horarios!$P$3,DJ36-1,0,DL36,1)</f>
        <v>3</v>
      </c>
      <c r="DO36" s="744"/>
      <c r="DP36" s="744" t="s">
        <v>436</v>
      </c>
      <c r="DQ36" s="744" t="str">
        <f t="shared" ca="1" si="35"/>
        <v>España</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P.1 (2)</v>
      </c>
      <c r="F37" s="744" t="str">
        <f t="shared" ca="1" si="117"/>
        <v>P.3 (2)</v>
      </c>
      <c r="G37" s="744"/>
      <c r="H37" s="744" t="str">
        <f t="shared" ca="1" si="118"/>
        <v>P.1 (2)</v>
      </c>
      <c r="I37" s="744" t="str">
        <f t="shared" ca="1" si="119"/>
        <v>P.3 (2)</v>
      </c>
      <c r="J37" s="744"/>
      <c r="K37" s="744" t="str">
        <f t="shared" ca="1" si="120"/>
        <v>P.1 (2)</v>
      </c>
      <c r="L37" s="744" t="str">
        <f t="shared" ca="1" si="121"/>
        <v>P.3 (2)</v>
      </c>
      <c r="M37" s="744"/>
      <c r="N37" s="744" t="str">
        <f t="shared" ca="1" si="122"/>
        <v>P.1 (2)</v>
      </c>
      <c r="O37" s="744" t="str">
        <f t="shared" ca="1" si="123"/>
        <v>P.3 (2)</v>
      </c>
      <c r="P37" s="744"/>
      <c r="Q37" s="744" t="str">
        <f t="shared" ca="1" si="124"/>
        <v>P.1 (2)</v>
      </c>
      <c r="R37" s="744" t="str">
        <f t="shared" ca="1" si="125"/>
        <v>P.3 (2)</v>
      </c>
      <c r="S37" s="744"/>
      <c r="T37" s="744" t="str">
        <f t="shared" ca="1" si="126"/>
        <v>P.1 (2)</v>
      </c>
      <c r="U37" s="744" t="str">
        <f t="shared" ca="1" si="127"/>
        <v>P.3 (2)</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1</v>
      </c>
      <c r="BF37" s="748">
        <f t="shared" ca="1" si="26"/>
        <v>1</v>
      </c>
      <c r="BG37" s="748">
        <f t="shared" ca="1" si="17"/>
        <v>0</v>
      </c>
      <c r="BH37" s="748">
        <f t="shared" ca="1" si="18"/>
        <v>1</v>
      </c>
      <c r="BI37" s="748">
        <f t="shared" ca="1" si="19"/>
        <v>0</v>
      </c>
      <c r="BJ37" s="748">
        <f t="shared" ca="1" si="20"/>
        <v>1</v>
      </c>
      <c r="BK37" s="748">
        <f t="shared" ca="1" si="21"/>
        <v>1</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1</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1</v>
      </c>
      <c r="BW37" s="758">
        <f t="shared" ca="1" si="38"/>
        <v>0</v>
      </c>
      <c r="BX37" s="758">
        <f t="shared" ca="1" si="39"/>
        <v>1</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1</v>
      </c>
      <c r="CB37" s="758">
        <f t="shared" ca="1" si="41"/>
        <v>1</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1</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(2)</v>
      </c>
      <c r="CI37" s="758">
        <f t="shared" ca="1" si="44"/>
        <v>0</v>
      </c>
      <c r="CJ37" s="758">
        <f t="shared" ca="1" si="45"/>
        <v>1</v>
      </c>
      <c r="CK37" s="758">
        <f t="shared" ca="1" si="46"/>
        <v>0</v>
      </c>
      <c r="CL37" s="758">
        <f t="shared" ca="1" si="47"/>
        <v>1</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(2)</v>
      </c>
      <c r="CO37" s="758">
        <f t="shared" ca="1" si="48"/>
        <v>1</v>
      </c>
      <c r="CP37" s="758">
        <f t="shared" ca="1" si="49"/>
        <v>1</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(2)</v>
      </c>
      <c r="CT37" s="758">
        <f t="shared" ca="1" si="51"/>
        <v>1</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(2)</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(2)</v>
      </c>
      <c r="CZ37" s="757">
        <f t="shared" ca="1" si="31"/>
        <v>1</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(2)</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2</v>
      </c>
      <c r="DE37" s="756"/>
      <c r="DF37" s="756">
        <f t="shared" ca="1" si="52"/>
        <v>2</v>
      </c>
      <c r="DG37" s="756">
        <f ca="1">IF(DB37="-","-",COUNTIFS(DF$6:DF$53,"&lt;"&amp;DF37,$BC$6:$BC$53,INDEX(T_Equipos[Grupo],MATCH(BD37,T_Equipos[NombreEquipo],0))))</f>
        <v>1</v>
      </c>
      <c r="DH37" s="756">
        <f ca="1">DA37+COUNTIFS(DB$6:DB$53,DB37,DG$6:DG$53,"&lt;"&amp;DG37,$BC$6:$BC$53,INDEX(T_Equipos[Grupo],MATCH(BD37,T_Equipos[NombreEquipo],0)))</f>
        <v>2</v>
      </c>
      <c r="DI37" s="744"/>
      <c r="DJ37" s="744">
        <f t="shared" ca="1" si="53"/>
        <v>3</v>
      </c>
      <c r="DK37" s="744">
        <f t="shared" ca="1" si="24"/>
        <v>4</v>
      </c>
      <c r="DL37" s="744">
        <f t="shared" ca="1" si="33"/>
        <v>1</v>
      </c>
      <c r="DM37" s="738" t="str">
        <f t="shared" ca="1" si="34"/>
        <v>3.1</v>
      </c>
      <c r="DN37" s="744" cm="1">
        <f t="array" aca="1" ref="DN37" ca="1">OFFSET(Horarios!$P$3,DJ37-1,0,DL37,1)</f>
        <v>3</v>
      </c>
      <c r="DO37" s="744"/>
      <c r="DP37" s="744" t="s">
        <v>672</v>
      </c>
      <c r="DQ37" s="744" t="str">
        <f t="shared" ca="1" si="35"/>
        <v>Cabo Verde</v>
      </c>
      <c r="DR37" s="744"/>
      <c r="DS37" s="744"/>
      <c r="DT37" s="744" t="str">
        <f t="shared" ca="1" si="15"/>
        <v>Costa de Marfil-Ecuador</v>
      </c>
      <c r="DU37" s="744"/>
      <c r="DV37" s="744"/>
      <c r="DW37" s="8"/>
    </row>
    <row r="38" spans="1:127" ht="16.05" customHeight="1">
      <c r="A38" s="745" t="str">
        <f ca="1">+Equipos!B19</f>
        <v>Curazao</v>
      </c>
      <c r="B38" s="742"/>
      <c r="C38" s="746"/>
      <c r="D38" s="744" t="str">
        <f t="shared" si="115"/>
        <v>Pendiente</v>
      </c>
      <c r="E38" s="744" t="str">
        <f t="shared" si="116"/>
        <v>-</v>
      </c>
      <c r="F38" s="744" t="str">
        <f t="shared" si="117"/>
        <v>-</v>
      </c>
      <c r="G38" s="744"/>
      <c r="H38" s="744" t="str">
        <f t="shared" si="118"/>
        <v>-</v>
      </c>
      <c r="I38" s="744" t="str">
        <f t="shared" si="119"/>
        <v>-</v>
      </c>
      <c r="J38" s="744"/>
      <c r="K38" s="744" t="str">
        <f t="shared" si="120"/>
        <v>-</v>
      </c>
      <c r="L38" s="744" t="str">
        <f t="shared" si="121"/>
        <v>-</v>
      </c>
      <c r="M38" s="744"/>
      <c r="N38" s="744" t="str">
        <f t="shared" si="122"/>
        <v>-</v>
      </c>
      <c r="O38" s="744" t="str">
        <f t="shared" si="123"/>
        <v>-</v>
      </c>
      <c r="P38" s="744"/>
      <c r="Q38" s="744" t="str">
        <f t="shared" si="124"/>
        <v>-</v>
      </c>
      <c r="R38" s="744" t="str">
        <f t="shared" si="125"/>
        <v>-</v>
      </c>
      <c r="S38" s="744"/>
      <c r="T38" s="744" t="str">
        <f t="shared" si="126"/>
        <v>-</v>
      </c>
      <c r="U38" s="744" t="str">
        <f t="shared"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3</v>
      </c>
      <c r="BF38" s="748">
        <f t="shared" ca="1" si="26"/>
        <v>1</v>
      </c>
      <c r="BG38" s="748">
        <f t="shared" ca="1" si="17"/>
        <v>1</v>
      </c>
      <c r="BH38" s="748">
        <f t="shared" ca="1" si="18"/>
        <v>0</v>
      </c>
      <c r="BI38" s="748">
        <f t="shared" ca="1" si="19"/>
        <v>0</v>
      </c>
      <c r="BJ38" s="748">
        <f t="shared" ca="1" si="20"/>
        <v>3</v>
      </c>
      <c r="BK38" s="748">
        <f t="shared" ca="1" si="21"/>
        <v>1</v>
      </c>
      <c r="BL38" s="748">
        <f t="shared" ca="1" si="27"/>
        <v>2</v>
      </c>
      <c r="BM38" s="748" t="str">
        <f t="shared" ca="1" si="22"/>
        <v>2I</v>
      </c>
      <c r="BN38" s="748" t="str">
        <f t="shared" ca="1" si="23"/>
        <v>2I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3</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(2)</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(2)</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(2)</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(2)</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(2)</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(2)</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(2)</v>
      </c>
      <c r="CW38" s="757">
        <f t="shared" ca="1" si="30"/>
        <v>2</v>
      </c>
      <c r="CX38" s="757">
        <f ca="1">CU38+COUNTIFS($CV$6:$CV$53,CV38,$CW$6:CW$53,"&gt;"&amp;CW38,$BC$6:$BC$53,INDEX(T_Equipos[Grupo],MATCH(BD38,T_Equipos[NombreEquipo],0)))</f>
        <v>2</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2</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2</v>
      </c>
      <c r="DE38" s="756"/>
      <c r="DF38" s="756">
        <f t="shared" ca="1" si="52"/>
        <v>2</v>
      </c>
      <c r="DG38" s="756" t="str">
        <f ca="1">IF(DB38="-","-",COUNTIFS(DF$6:DF$53,"&lt;"&amp;DF38,$BC$6:$BC$53,INDEX(T_Equipos[Grupo],MATCH(BD38,T_Equipos[NombreEquipo],0))))</f>
        <v>-</v>
      </c>
      <c r="DH38" s="756">
        <f ca="1">DA38+COUNTIFS(DB$6:DB$53,DB38,DG$6:DG$53,"&lt;"&amp;DG38,$BC$6:$BC$53,INDEX(T_Equipos[Grupo],MATCH(BD38,T_Equipos[NombreEquipo],0)))</f>
        <v>2</v>
      </c>
      <c r="DI38" s="744"/>
      <c r="DJ38" s="744">
        <f t="shared" ca="1" si="53"/>
        <v>1</v>
      </c>
      <c r="DK38" s="744">
        <f t="shared" ca="1" si="24"/>
        <v>4</v>
      </c>
      <c r="DL38" s="744">
        <f t="shared" ca="1" si="33"/>
        <v>1</v>
      </c>
      <c r="DM38" s="738" t="str">
        <f t="shared" ca="1" si="34"/>
        <v>1.1</v>
      </c>
      <c r="DN38" s="744" cm="1">
        <f t="array" aca="1" ref="DN38" ca="1">OFFSET(Horarios!$P$3,DJ38-1,0,DL38,1)</f>
        <v>1</v>
      </c>
      <c r="DO38" s="744"/>
      <c r="DP38" s="744" t="s">
        <v>673</v>
      </c>
      <c r="DQ38" s="744" t="str">
        <f t="shared" ca="1" si="35"/>
        <v>Noruega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Pendiente</v>
      </c>
      <c r="E39" s="744" t="str">
        <f t="shared" si="116"/>
        <v>-</v>
      </c>
      <c r="F39" s="744" t="str">
        <f t="shared" si="117"/>
        <v>-</v>
      </c>
      <c r="G39" s="744"/>
      <c r="H39" s="744" t="str">
        <f t="shared" si="118"/>
        <v>-</v>
      </c>
      <c r="I39" s="744" t="str">
        <f t="shared" si="119"/>
        <v>-</v>
      </c>
      <c r="J39" s="744"/>
      <c r="K39" s="744" t="str">
        <f t="shared" si="120"/>
        <v>-</v>
      </c>
      <c r="L39" s="744" t="str">
        <f t="shared" si="121"/>
        <v>-</v>
      </c>
      <c r="M39" s="744"/>
      <c r="N39" s="744" t="str">
        <f t="shared" si="122"/>
        <v>-</v>
      </c>
      <c r="O39" s="744" t="str">
        <f t="shared" si="123"/>
        <v>-</v>
      </c>
      <c r="P39" s="744"/>
      <c r="Q39" s="744" t="str">
        <f t="shared" si="124"/>
        <v>-</v>
      </c>
      <c r="R39" s="744" t="str">
        <f t="shared" si="125"/>
        <v>-</v>
      </c>
      <c r="S39" s="744"/>
      <c r="T39" s="744" t="str">
        <f t="shared" si="126"/>
        <v>-</v>
      </c>
      <c r="U39" s="744" t="str">
        <f t="shared"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1</v>
      </c>
      <c r="BG39" s="748">
        <f t="shared" ca="1" si="17"/>
        <v>0</v>
      </c>
      <c r="BH39" s="748">
        <f t="shared" ca="1" si="18"/>
        <v>0</v>
      </c>
      <c r="BI39" s="748">
        <f t="shared" ca="1" si="19"/>
        <v>1</v>
      </c>
      <c r="BJ39" s="748">
        <f t="shared" ca="1" si="20"/>
        <v>1</v>
      </c>
      <c r="BK39" s="748">
        <f t="shared" ca="1" si="21"/>
        <v>3</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P.3 (2)</v>
      </c>
      <c r="BU39" s="758">
        <f t="shared" ca="1" si="36"/>
        <v>0</v>
      </c>
      <c r="BV39" s="758">
        <f t="shared" ca="1" si="37"/>
        <v>0</v>
      </c>
      <c r="BW39" s="758">
        <f t="shared" ca="1" si="38"/>
        <v>0</v>
      </c>
      <c r="BX39" s="758">
        <f t="shared" ca="1" si="39"/>
        <v>0</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P.3 (2)</v>
      </c>
      <c r="CA39" s="758">
        <f t="shared" ca="1" si="40"/>
        <v>0</v>
      </c>
      <c r="CB39" s="758">
        <f t="shared" ca="1" si="41"/>
        <v>0</v>
      </c>
      <c r="CC39" s="758">
        <f t="shared" ca="1" si="42"/>
        <v>0</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P.3 (2)</v>
      </c>
      <c r="CF39" s="758">
        <f t="shared" ca="1" si="43"/>
        <v>0</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P.3 (2)</v>
      </c>
      <c r="CI39" s="758">
        <f t="shared" ca="1" si="44"/>
        <v>0</v>
      </c>
      <c r="CJ39" s="758">
        <f t="shared" ca="1" si="45"/>
        <v>0</v>
      </c>
      <c r="CK39" s="758">
        <f t="shared" ca="1" si="46"/>
        <v>0</v>
      </c>
      <c r="CL39" s="758">
        <f t="shared" ca="1" si="47"/>
        <v>0</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P.3 (2)</v>
      </c>
      <c r="CO39" s="758">
        <f t="shared" ca="1" si="48"/>
        <v>0</v>
      </c>
      <c r="CP39" s="758">
        <f t="shared" ca="1" si="49"/>
        <v>0</v>
      </c>
      <c r="CQ39" s="758">
        <f t="shared" ca="1" si="50"/>
        <v>0</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P.3 (2)</v>
      </c>
      <c r="CT39" s="758">
        <f t="shared" ca="1" si="51"/>
        <v>0</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P.3 (2)</v>
      </c>
      <c r="CW39" s="757">
        <f t="shared" ca="1" si="30"/>
        <v>-2</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4</v>
      </c>
      <c r="DL39" s="744">
        <f t="shared" ca="1" si="33"/>
        <v>1</v>
      </c>
      <c r="DM39" s="738" t="str">
        <f t="shared" ca="1" si="34"/>
        <v>2.1</v>
      </c>
      <c r="DN39" s="744" cm="1">
        <f t="array" aca="1" ref="DN39" ca="1">OFFSET(Horarios!$P$3,DJ39-1,0,DL39,1)</f>
        <v>2</v>
      </c>
      <c r="DO39" s="744"/>
      <c r="DP39" s="744" t="s">
        <v>674</v>
      </c>
      <c r="DQ39" s="744" t="str">
        <f t="shared" ca="1" si="35"/>
        <v>Francia</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1</v>
      </c>
      <c r="BG40" s="748">
        <f t="shared" ca="1" si="17"/>
        <v>0</v>
      </c>
      <c r="BH40" s="748">
        <f t="shared" ca="1" si="18"/>
        <v>0</v>
      </c>
      <c r="BI40" s="748">
        <f t="shared" ca="1" si="19"/>
        <v>1</v>
      </c>
      <c r="BJ40" s="748">
        <f t="shared" ca="1" si="20"/>
        <v>1</v>
      </c>
      <c r="BK40" s="748">
        <f t="shared" ca="1" si="21"/>
        <v>4</v>
      </c>
      <c r="BL40" s="748">
        <f t="shared" ca="1" si="27"/>
        <v>-3</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3</v>
      </c>
      <c r="BT40" s="757" t="str">
        <f ca="1">IF(COUNTIFS($BS$6:$BS$53,BS40,$BC$6:$BC$53,INDEX(T_Equipos[Grupo],MATCH(BD40,T_Equipos[NombreEquipo],0)))=1,"-","P."&amp;BS40&amp;" ("&amp;COUNTIFS($BS$6:$BS$53,BS40,$BC$6:$BC$53,INDEX(T_Equipos[Grupo],MATCH(BD40,T_Equipos[NombreEquipo],0)))&amp;")")</f>
        <v>P.3 (2)</v>
      </c>
      <c r="BU40" s="758">
        <f t="shared" ca="1" si="36"/>
        <v>0</v>
      </c>
      <c r="BV40" s="758">
        <f t="shared" ca="1" si="37"/>
        <v>0</v>
      </c>
      <c r="BW40" s="758">
        <f t="shared" ca="1" si="38"/>
        <v>0</v>
      </c>
      <c r="BX40" s="758">
        <f t="shared" ca="1" si="39"/>
        <v>0</v>
      </c>
      <c r="BY40" s="758">
        <f ca="1">BS40+COUNTIFS($BT$6:$BT$53,BT40,$BX$6:BX$53,"&gt;"&amp;BX40,$BC$6:$BC$53,INDEX(T_Equipos[Grupo],MATCH(BD40,T_Equipos[NombreEquipo],0)))</f>
        <v>3</v>
      </c>
      <c r="BZ40" s="757" t="str">
        <f ca="1">IF(COUNTIFS($BY$6:$BY$53,BY40,$BC$6:$BC$53,INDEX(T_Equipos[Grupo],MATCH(BD40,T_Equipos[NombreEquipo],0)))=1,"-","P."&amp;BY40&amp;" ("&amp;COUNTIFS($BY$6:$BY$53,BY40,$BC$6:$BC$53,INDEX(T_Equipos[Grupo],MATCH(BD40,T_Equipos[NombreEquipo],0)))&amp;")")</f>
        <v>P.3 (2)</v>
      </c>
      <c r="CA40" s="758">
        <f t="shared" ca="1" si="40"/>
        <v>0</v>
      </c>
      <c r="CB40" s="758">
        <f t="shared" ca="1" si="41"/>
        <v>0</v>
      </c>
      <c r="CC40" s="758">
        <f t="shared" ca="1" si="42"/>
        <v>0</v>
      </c>
      <c r="CD40" s="758">
        <f ca="1">BY40+COUNTIFS($BZ$6:$BZ$53,BZ40,$CC$6:CC$53,"&gt;"&amp;CC40,$BC$6:$BC$53,INDEX(T_Equipos[Grupo],MATCH(BD40,T_Equipos[NombreEquipo],0)))</f>
        <v>3</v>
      </c>
      <c r="CE40" s="757" t="str">
        <f ca="1">IF(COUNTIFS($CD$6:$CD$53,CD40,$BC$6:$BC$53,INDEX(T_Equipos[Grupo],MATCH(BD40,T_Equipos[NombreEquipo],0)))=1,"-","P."&amp;CD40&amp;" ("&amp;COUNTIFS($CD$6:$CD$53,CD40,$BC$6:$BC$53,INDEX(T_Equipos[Grupo],MATCH(BD40,T_Equipos[NombreEquipo],0)))&amp;")")</f>
        <v>P.3 (2)</v>
      </c>
      <c r="CF40" s="758">
        <f t="shared" ca="1" si="43"/>
        <v>0</v>
      </c>
      <c r="CG40" s="758">
        <f ca="1">CD40+COUNTIFS($CE$6:$CE$53,CE40,$CF$6:CF$53,"&gt;"&amp;CF40,$BC$6:$BC$53,INDEX(T_Equipos[Grupo],MATCH(BD40,T_Equipos[NombreEquipo],0)))</f>
        <v>3</v>
      </c>
      <c r="CH40" s="757" t="str">
        <f ca="1">IF(COUNTIFS($CG$6:$CG$53,CG40,$BC$6:$BC$53,INDEX(T_Equipos[Grupo],MATCH(BD40,T_Equipos[NombreEquipo],0)))=1,"-","P."&amp;CG40&amp;" ("&amp;COUNTIFS($CG$6:$CG$53,CG40,$BC$6:$BC$53,INDEX(T_Equipos[Grupo],MATCH(BD40,T_Equipos[NombreEquipo],0)))&amp;")")</f>
        <v>P.3 (2)</v>
      </c>
      <c r="CI40" s="758">
        <f t="shared" ca="1" si="44"/>
        <v>0</v>
      </c>
      <c r="CJ40" s="758">
        <f t="shared" ca="1" si="45"/>
        <v>0</v>
      </c>
      <c r="CK40" s="758">
        <f t="shared" ca="1" si="46"/>
        <v>0</v>
      </c>
      <c r="CL40" s="758">
        <f t="shared" ca="1" si="47"/>
        <v>0</v>
      </c>
      <c r="CM40" s="758">
        <f ca="1">CG40+COUNTIFS($CH$6:$CH$53,CH40,$CL$6:CL$53,"&gt;"&amp;CL40,$BC$6:$BC$53,INDEX(T_Equipos[Grupo],MATCH(BD40,T_Equipos[NombreEquipo],0)))</f>
        <v>3</v>
      </c>
      <c r="CN40" s="757" t="str">
        <f ca="1">IF(COUNTIFS($CM$6:$CM$53,CM40,$BC$6:$BC$53,INDEX(T_Equipos[Grupo],MATCH(BD40,T_Equipos[NombreEquipo],0)))=1,"-","P."&amp;CM40&amp;" ("&amp;COUNTIFS($CM$6:$CM$53,CM40,$BC$6:$BC$53,INDEX(T_Equipos[Grupo],MATCH(BD40,T_Equipos[NombreEquipo],0)))&amp;")")</f>
        <v>P.3 (2)</v>
      </c>
      <c r="CO40" s="758">
        <f t="shared" ca="1" si="48"/>
        <v>0</v>
      </c>
      <c r="CP40" s="758">
        <f t="shared" ca="1" si="49"/>
        <v>0</v>
      </c>
      <c r="CQ40" s="758">
        <f t="shared" ca="1" si="50"/>
        <v>0</v>
      </c>
      <c r="CR40" s="758">
        <f ca="1">CM40+COUNTIFS($CN$6:$CN$53,CN40,$CQ$6:CQ$53,"&gt;"&amp;CQ40,$BC$6:$BC$53,INDEX(T_Equipos[Grupo],MATCH(BD40,T_Equipos[NombreEquipo],0)))</f>
        <v>3</v>
      </c>
      <c r="CS40" s="757" t="str">
        <f ca="1">IF(COUNTIFS($CR$6:$CR$53,CR40,$BC$6:$BC$53,INDEX(T_Equipos[Grupo],MATCH(BD40,T_Equipos[NombreEquipo],0)))=1,"-","P."&amp;CR40&amp;" ("&amp;COUNTIFS($CR$6:$CR$53,CR40,$BC$6:$BC$53,INDEX(T_Equipos[Grupo],MATCH(BD40,T_Equipos[NombreEquipo],0)))&amp;")")</f>
        <v>P.3 (2)</v>
      </c>
      <c r="CT40" s="758">
        <f t="shared" ca="1" si="51"/>
        <v>0</v>
      </c>
      <c r="CU40" s="758">
        <f ca="1">CR40+COUNTIFS($CS$6:$CS$53,CS40,$CT$6:CT$53,"&gt;"&amp;CT40,$BC$6:$BC$53,INDEX(T_Equipos[Grupo],MATCH(BD40,T_Equipos[NombreEquipo],0)))</f>
        <v>3</v>
      </c>
      <c r="CV40" s="757" t="str">
        <f ca="1">IF(COUNTIFS($CU$6:$CU$53,CU40,$BC$6:$BC$53,INDEX(T_Equipos[Grupo],MATCH(BD40,T_Equipos[NombreEquipo],0)))=1,"-","P."&amp;CU40&amp;" ("&amp;COUNTIFS($CU$6:$CU$53,CU40,$BC$6:$BC$53,INDEX(T_Equipos[Grupo],MATCH(BD40,T_Equipos[NombreEquipo],0)))&amp;")")</f>
        <v>P.3 (2)</v>
      </c>
      <c r="CW40" s="757">
        <f t="shared" ca="1" si="30"/>
        <v>-3</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4</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3</v>
      </c>
      <c r="BF41" s="748">
        <f t="shared" ca="1" si="26"/>
        <v>1</v>
      </c>
      <c r="BG41" s="748">
        <f t="shared" ca="1" si="17"/>
        <v>1</v>
      </c>
      <c r="BH41" s="748">
        <f t="shared" ca="1" si="18"/>
        <v>0</v>
      </c>
      <c r="BI41" s="748">
        <f t="shared" ca="1" si="19"/>
        <v>0</v>
      </c>
      <c r="BJ41" s="748">
        <f t="shared" ca="1" si="20"/>
        <v>4</v>
      </c>
      <c r="BK41" s="748">
        <f t="shared" ca="1" si="21"/>
        <v>1</v>
      </c>
      <c r="BL41" s="748">
        <f t="shared" ca="1" si="27"/>
        <v>3</v>
      </c>
      <c r="BM41" s="748" t="str">
        <f t="shared" ca="1" si="22"/>
        <v>1I</v>
      </c>
      <c r="BN41" s="748" t="str">
        <f t="shared" ca="1" si="23"/>
        <v>1I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3</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(2)</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(2)</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(2)</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(2)</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(2)</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(2)</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(2)</v>
      </c>
      <c r="CW41" s="757">
        <f t="shared" ca="1" si="30"/>
        <v>3</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1</v>
      </c>
      <c r="DE41" s="756"/>
      <c r="DF41" s="756">
        <f t="shared" ca="1" si="52"/>
        <v>1</v>
      </c>
      <c r="DG41" s="756" t="str">
        <f ca="1">IF(DB41="-","-",COUNTIFS(DF$6:DF$53,"&lt;"&amp;DF41,$BC$6:$BC$53,INDEX(T_Equipos[Grupo],MATCH(BD41,T_Equipos[NombreEquipo],0))))</f>
        <v>-</v>
      </c>
      <c r="DH41" s="756">
        <f ca="1">DA41+COUNTIFS(DB$6:DB$53,DB41,DG$6:DG$53,"&lt;"&amp;DG41,$BC$6:$BC$53,INDEX(T_Equipos[Grupo],MATCH(BD41,T_Equipos[NombreEquipo],0)))</f>
        <v>1</v>
      </c>
      <c r="DI41" s="744"/>
      <c r="DJ41" s="744">
        <f t="shared" ca="1" si="53"/>
        <v>4</v>
      </c>
      <c r="DK41" s="744">
        <f t="shared" ca="1" si="24"/>
        <v>4</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3</v>
      </c>
      <c r="BF42" s="748">
        <f t="shared" ca="1" si="26"/>
        <v>1</v>
      </c>
      <c r="BG42" s="748">
        <f t="shared" ca="1" si="17"/>
        <v>1</v>
      </c>
      <c r="BH42" s="748">
        <f t="shared" ca="1" si="18"/>
        <v>0</v>
      </c>
      <c r="BI42" s="748">
        <f t="shared" ca="1" si="19"/>
        <v>0</v>
      </c>
      <c r="BJ42" s="748">
        <f t="shared" ca="1" si="20"/>
        <v>3</v>
      </c>
      <c r="BK42" s="748">
        <f t="shared" ca="1" si="21"/>
        <v>0</v>
      </c>
      <c r="BL42" s="748">
        <f t="shared" ca="1" si="27"/>
        <v>3</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3</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(2)</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(2)</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(2)</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(2)</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(2)</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(2)</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(2)</v>
      </c>
      <c r="CW42" s="757">
        <f t="shared" ca="1" si="30"/>
        <v>3</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4</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1</v>
      </c>
      <c r="BG43" s="748">
        <f t="shared" ca="1" si="17"/>
        <v>0</v>
      </c>
      <c r="BH43" s="748">
        <f t="shared" ca="1" si="18"/>
        <v>0</v>
      </c>
      <c r="BI43" s="748">
        <f t="shared" ca="1" si="19"/>
        <v>1</v>
      </c>
      <c r="BJ43" s="748">
        <f t="shared" ca="1" si="20"/>
        <v>0</v>
      </c>
      <c r="BK43" s="748">
        <f t="shared" ca="1" si="21"/>
        <v>3</v>
      </c>
      <c r="BL43" s="748">
        <f t="shared" ca="1" si="27"/>
        <v>-3</v>
      </c>
      <c r="BM43" s="748" t="str">
        <f t="shared" ca="1" si="22"/>
        <v>4J</v>
      </c>
      <c r="BN43" s="748" t="str">
        <f t="shared" ca="1" si="23"/>
        <v>4J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3</v>
      </c>
      <c r="BT43" s="757" t="str">
        <f ca="1">IF(COUNTIFS($BS$6:$BS$53,BS43,$BC$6:$BC$53,INDEX(T_Equipos[Grupo],MATCH(BD43,T_Equipos[NombreEquipo],0)))=1,"-","P."&amp;BS43&amp;" ("&amp;COUNTIFS($BS$6:$BS$53,BS43,$BC$6:$BC$53,INDEX(T_Equipos[Grupo],MATCH(BD43,T_Equipos[NombreEquipo],0)))&amp;")")</f>
        <v>P.3 (2)</v>
      </c>
      <c r="BU43" s="758">
        <f t="shared" ca="1" si="36"/>
        <v>0</v>
      </c>
      <c r="BV43" s="758">
        <f t="shared" ca="1" si="37"/>
        <v>0</v>
      </c>
      <c r="BW43" s="758">
        <f t="shared" ca="1" si="38"/>
        <v>0</v>
      </c>
      <c r="BX43" s="758">
        <f t="shared" ca="1" si="39"/>
        <v>0</v>
      </c>
      <c r="BY43" s="758">
        <f ca="1">BS43+COUNTIFS($BT$6:$BT$53,BT43,$BX$6:BX$53,"&gt;"&amp;BX43,$BC$6:$BC$53,INDEX(T_Equipos[Grupo],MATCH(BD43,T_Equipos[NombreEquipo],0)))</f>
        <v>3</v>
      </c>
      <c r="BZ43" s="757" t="str">
        <f ca="1">IF(COUNTIFS($BY$6:$BY$53,BY43,$BC$6:$BC$53,INDEX(T_Equipos[Grupo],MATCH(BD43,T_Equipos[NombreEquipo],0)))=1,"-","P."&amp;BY43&amp;" ("&amp;COUNTIFS($BY$6:$BY$53,BY43,$BC$6:$BC$53,INDEX(T_Equipos[Grupo],MATCH(BD43,T_Equipos[NombreEquipo],0)))&amp;")")</f>
        <v>P.3 (2)</v>
      </c>
      <c r="CA43" s="758">
        <f t="shared" ca="1" si="40"/>
        <v>0</v>
      </c>
      <c r="CB43" s="758">
        <f t="shared" ca="1" si="41"/>
        <v>0</v>
      </c>
      <c r="CC43" s="758">
        <f t="shared" ca="1" si="42"/>
        <v>0</v>
      </c>
      <c r="CD43" s="758">
        <f ca="1">BY43+COUNTIFS($BZ$6:$BZ$53,BZ43,$CC$6:CC$53,"&gt;"&amp;CC43,$BC$6:$BC$53,INDEX(T_Equipos[Grupo],MATCH(BD43,T_Equipos[NombreEquipo],0)))</f>
        <v>3</v>
      </c>
      <c r="CE43" s="757" t="str">
        <f ca="1">IF(COUNTIFS($CD$6:$CD$53,CD43,$BC$6:$BC$53,INDEX(T_Equipos[Grupo],MATCH(BD43,T_Equipos[NombreEquipo],0)))=1,"-","P."&amp;CD43&amp;" ("&amp;COUNTIFS($CD$6:$CD$53,CD43,$BC$6:$BC$53,INDEX(T_Equipos[Grupo],MATCH(BD43,T_Equipos[NombreEquipo],0)))&amp;")")</f>
        <v>P.3 (2)</v>
      </c>
      <c r="CF43" s="758">
        <f t="shared" ca="1" si="43"/>
        <v>0</v>
      </c>
      <c r="CG43" s="758">
        <f ca="1">CD43+COUNTIFS($CE$6:$CE$53,CE43,$CF$6:CF$53,"&gt;"&amp;CF43,$BC$6:$BC$53,INDEX(T_Equipos[Grupo],MATCH(BD43,T_Equipos[NombreEquipo],0)))</f>
        <v>3</v>
      </c>
      <c r="CH43" s="757" t="str">
        <f ca="1">IF(COUNTIFS($CG$6:$CG$53,CG43,$BC$6:$BC$53,INDEX(T_Equipos[Grupo],MATCH(BD43,T_Equipos[NombreEquipo],0)))=1,"-","P."&amp;CG43&amp;" ("&amp;COUNTIFS($CG$6:$CG$53,CG43,$BC$6:$BC$53,INDEX(T_Equipos[Grupo],MATCH(BD43,T_Equipos[NombreEquipo],0)))&amp;")")</f>
        <v>P.3 (2)</v>
      </c>
      <c r="CI43" s="758">
        <f t="shared" ca="1" si="44"/>
        <v>0</v>
      </c>
      <c r="CJ43" s="758">
        <f t="shared" ca="1" si="45"/>
        <v>0</v>
      </c>
      <c r="CK43" s="758">
        <f t="shared" ca="1" si="46"/>
        <v>0</v>
      </c>
      <c r="CL43" s="758">
        <f t="shared" ca="1" si="47"/>
        <v>0</v>
      </c>
      <c r="CM43" s="758">
        <f ca="1">CG43+COUNTIFS($CH$6:$CH$53,CH43,$CL$6:CL$53,"&gt;"&amp;CL43,$BC$6:$BC$53,INDEX(T_Equipos[Grupo],MATCH(BD43,T_Equipos[NombreEquipo],0)))</f>
        <v>3</v>
      </c>
      <c r="CN43" s="757" t="str">
        <f ca="1">IF(COUNTIFS($CM$6:$CM$53,CM43,$BC$6:$BC$53,INDEX(T_Equipos[Grupo],MATCH(BD43,T_Equipos[NombreEquipo],0)))=1,"-","P."&amp;CM43&amp;" ("&amp;COUNTIFS($CM$6:$CM$53,CM43,$BC$6:$BC$53,INDEX(T_Equipos[Grupo],MATCH(BD43,T_Equipos[NombreEquipo],0)))&amp;")")</f>
        <v>P.3 (2)</v>
      </c>
      <c r="CO43" s="758">
        <f t="shared" ca="1" si="48"/>
        <v>0</v>
      </c>
      <c r="CP43" s="758">
        <f t="shared" ca="1" si="49"/>
        <v>0</v>
      </c>
      <c r="CQ43" s="758">
        <f t="shared" ca="1" si="50"/>
        <v>0</v>
      </c>
      <c r="CR43" s="758">
        <f ca="1">CM43+COUNTIFS($CN$6:$CN$53,CN43,$CQ$6:CQ$53,"&gt;"&amp;CQ43,$BC$6:$BC$53,INDEX(T_Equipos[Grupo],MATCH(BD43,T_Equipos[NombreEquipo],0)))</f>
        <v>3</v>
      </c>
      <c r="CS43" s="757" t="str">
        <f ca="1">IF(COUNTIFS($CR$6:$CR$53,CR43,$BC$6:$BC$53,INDEX(T_Equipos[Grupo],MATCH(BD43,T_Equipos[NombreEquipo],0)))=1,"-","P."&amp;CR43&amp;" ("&amp;COUNTIFS($CR$6:$CR$53,CR43,$BC$6:$BC$53,INDEX(T_Equipos[Grupo],MATCH(BD43,T_Equipos[NombreEquipo],0)))&amp;")")</f>
        <v>P.3 (2)</v>
      </c>
      <c r="CT43" s="758">
        <f t="shared" ca="1" si="51"/>
        <v>0</v>
      </c>
      <c r="CU43" s="758">
        <f ca="1">CR43+COUNTIFS($CS$6:$CS$53,CS43,$CT$6:CT$53,"&gt;"&amp;CT43,$BC$6:$BC$53,INDEX(T_Equipos[Grupo],MATCH(BD43,T_Equipos[NombreEquipo],0)))</f>
        <v>3</v>
      </c>
      <c r="CV43" s="757" t="str">
        <f ca="1">IF(COUNTIFS($CU$6:$CU$53,CU43,$BC$6:$BC$53,INDEX(T_Equipos[Grupo],MATCH(BD43,T_Equipos[NombreEquipo],0)))=1,"-","P."&amp;CU43&amp;" ("&amp;COUNTIFS($CU$6:$CU$53,CU43,$BC$6:$BC$53,INDEX(T_Equipos[Grupo],MATCH(BD43,T_Equipos[NombreEquipo],0)))&amp;")")</f>
        <v>P.3 (2)</v>
      </c>
      <c r="CW43" s="757">
        <f t="shared" ca="1" si="30"/>
        <v>-3</v>
      </c>
      <c r="CX43" s="757">
        <f ca="1">CU43+COUNTIFS($CV$6:$CV$53,CV43,$CW$6:CW$53,"&gt;"&amp;CW43,$BC$6:$BC$53,INDEX(T_Equipos[Grupo],MATCH(BD43,T_Equipos[NombreEquipo],0)))</f>
        <v>4</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4</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4</v>
      </c>
      <c r="DE43" s="756"/>
      <c r="DF43" s="756">
        <f t="shared" ca="1" si="52"/>
        <v>4</v>
      </c>
      <c r="DG43" s="756" t="str">
        <f ca="1">IF(DB43="-","-",COUNTIFS(DF$6:DF$53,"&lt;"&amp;DF43,$BC$6:$BC$53,INDEX(T_Equipos[Grupo],MATCH(BD43,T_Equipos[NombreEquipo],0))))</f>
        <v>-</v>
      </c>
      <c r="DH43" s="756">
        <f ca="1">DA43+COUNTIFS(DB$6:DB$53,DB43,DG$6:DG$53,"&lt;"&amp;DG43,$BC$6:$BC$53,INDEX(T_Equipos[Grupo],MATCH(BD43,T_Equipos[NombreEquipo],0)))</f>
        <v>4</v>
      </c>
      <c r="DI43" s="744"/>
      <c r="DJ43" s="744">
        <f t="shared" ca="1" si="53"/>
        <v>2</v>
      </c>
      <c r="DK43" s="744">
        <f t="shared" ca="1" si="24"/>
        <v>4</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P.2 (2)</v>
      </c>
      <c r="F44" s="744" t="str">
        <f t="shared" ref="F44:F49" ca="1" si="138">IF(D44="Pendiente","-",INDEX($BT$6:$BT$53,MATCH($AF44,$BD$6:$BD$53,0)))</f>
        <v>P.2 (2)</v>
      </c>
      <c r="G44" s="744"/>
      <c r="H44" s="744" t="str">
        <f t="shared" ref="H44:H49" ca="1" si="139">IF(D44="Pendiente","-",INDEX($BZ$6:$BZ$53,MATCH($AA44,$BD$6:$BD$53,0)))</f>
        <v>P.2 (2)</v>
      </c>
      <c r="I44" s="744" t="str">
        <f t="shared" ref="I44:I49" ca="1" si="140">IF(D44="Pendiente","-",INDEX($BZ$6:$BZ$53,MATCH($AF44,$BD$6:$BD$53,0)))</f>
        <v>P.2 (2)</v>
      </c>
      <c r="J44" s="744"/>
      <c r="K44" s="744" t="str">
        <f t="shared" ref="K44:K49" ca="1" si="141">IF(D44="Pendiente","-",INDEX($CE$6:$CE$53,MATCH($AA44,$BD$6:$BD$53,0)))</f>
        <v>P.2 (2)</v>
      </c>
      <c r="L44" s="744" t="str">
        <f t="shared" ref="L44:L49" ca="1" si="142">IF(D44="Pendiente","-",INDEX($CE$6:$CE$53,MATCH($AF44,$BD$6:$BD$53,0)))</f>
        <v>P.2 (2)</v>
      </c>
      <c r="M44" s="744"/>
      <c r="N44" s="744" t="str">
        <f t="shared" ref="N44:N49" ca="1" si="143">IF(D44="Pendiente","-",INDEX($CH$6:$CH$53,MATCH($AA44,$BD$6:$BD$53,0)))</f>
        <v>P.2 (2)</v>
      </c>
      <c r="O44" s="744" t="str">
        <f t="shared" ref="O44:O49" ca="1" si="144">IF(D44="Pendiente","-",INDEX($CH$6:$CH$53,MATCH($AF44,$BD$6:$BD$53,0)))</f>
        <v>P.2 (2)</v>
      </c>
      <c r="P44" s="744"/>
      <c r="Q44" s="744" t="str">
        <f t="shared" ref="Q44:Q49" ca="1" si="145">IF(D44="Pendiente","-",INDEX($CN$6:$CN$53,MATCH($AA44,$BD$6:$BD$53,0)))</f>
        <v>P.2 (2)</v>
      </c>
      <c r="R44" s="744" t="str">
        <f t="shared" ref="R44:R49" ca="1" si="146">IF(D44="Pendiente","-",INDEX($CN$6:$CN$53,MATCH($AF44,$BD$6:$BD$53,0)))</f>
        <v>P.2 (2)</v>
      </c>
      <c r="S44" s="744"/>
      <c r="T44" s="744" t="str">
        <f t="shared" ref="T44:T49" ca="1" si="147">IF(D44="Pendiente","-",INDEX($CS$6:$CS$53,MATCH($AA44,$BD$6:$BD$53,0)))</f>
        <v>P.2 (2)</v>
      </c>
      <c r="U44" s="744" t="str">
        <f t="shared" ref="U44:U49" ca="1" si="148">IF(D44="Pendiente","-",INDEX($CS$6:$CS$53,MATCH($AF44,$BD$6:$BD$53,0)))</f>
        <v>P.2 (2)</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3</v>
      </c>
      <c r="BF44" s="748">
        <f t="shared" ca="1" si="26"/>
        <v>1</v>
      </c>
      <c r="BG44" s="748">
        <f t="shared" ca="1" si="17"/>
        <v>1</v>
      </c>
      <c r="BH44" s="748">
        <f t="shared" ca="1" si="18"/>
        <v>0</v>
      </c>
      <c r="BI44" s="748">
        <f t="shared" ca="1" si="19"/>
        <v>0</v>
      </c>
      <c r="BJ44" s="748">
        <f t="shared" ca="1" si="20"/>
        <v>3</v>
      </c>
      <c r="BK44" s="748">
        <f t="shared" ca="1" si="21"/>
        <v>1</v>
      </c>
      <c r="BL44" s="748">
        <f t="shared" ca="1" si="27"/>
        <v>2</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3</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(2)</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(2)</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(2)</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(2)</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(2)</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(2)</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(2)</v>
      </c>
      <c r="CW44" s="757">
        <f t="shared" ca="1" si="30"/>
        <v>2</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4</v>
      </c>
      <c r="DL44" s="744">
        <f t="shared" ca="1" si="33"/>
        <v>1</v>
      </c>
      <c r="DM44" s="738" t="str">
        <f t="shared" ca="1" si="34"/>
        <v>3.1</v>
      </c>
      <c r="DN44" s="744" cm="1">
        <f t="array" aca="1" ref="DN44" ca="1">OFFSET(Horarios!$P$3,DJ44-1,0,DL44,1)</f>
        <v>3</v>
      </c>
      <c r="DO44" s="744"/>
      <c r="DP44" s="744" t="s">
        <v>441</v>
      </c>
      <c r="DQ44" s="744" t="str">
        <f t="shared" ca="1" si="35"/>
        <v>Jordania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1</v>
      </c>
      <c r="BG45" s="748">
        <f t="shared" ca="1" si="17"/>
        <v>0</v>
      </c>
      <c r="BH45" s="748">
        <f t="shared" ca="1" si="18"/>
        <v>0</v>
      </c>
      <c r="BI45" s="748">
        <f t="shared" ca="1" si="19"/>
        <v>1</v>
      </c>
      <c r="BJ45" s="748">
        <f t="shared" ca="1" si="20"/>
        <v>1</v>
      </c>
      <c r="BK45" s="748">
        <f t="shared" ca="1" si="21"/>
        <v>3</v>
      </c>
      <c r="BL45" s="748">
        <f t="shared" ca="1" si="27"/>
        <v>-2</v>
      </c>
      <c r="BM45" s="748" t="str">
        <f t="shared" ca="1" si="22"/>
        <v>3J</v>
      </c>
      <c r="BN45" s="748" t="str">
        <f t="shared" ca="1" si="23"/>
        <v>3J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3</v>
      </c>
      <c r="BT45" s="757" t="str">
        <f ca="1">IF(COUNTIFS($BS$6:$BS$53,BS45,$BC$6:$BC$53,INDEX(T_Equipos[Grupo],MATCH(BD45,T_Equipos[NombreEquipo],0)))=1,"-","P."&amp;BS45&amp;" ("&amp;COUNTIFS($BS$6:$BS$53,BS45,$BC$6:$BC$53,INDEX(T_Equipos[Grupo],MATCH(BD45,T_Equipos[NombreEquipo],0)))&amp;")")</f>
        <v>P.3 (2)</v>
      </c>
      <c r="BU45" s="758">
        <f t="shared" ca="1" si="36"/>
        <v>0</v>
      </c>
      <c r="BV45" s="758">
        <f t="shared" ca="1" si="37"/>
        <v>0</v>
      </c>
      <c r="BW45" s="758">
        <f t="shared" ca="1" si="38"/>
        <v>0</v>
      </c>
      <c r="BX45" s="758">
        <f t="shared" ca="1" si="39"/>
        <v>0</v>
      </c>
      <c r="BY45" s="758">
        <f ca="1">BS45+COUNTIFS($BT$6:$BT$53,BT45,$BX$6:BX$53,"&gt;"&amp;BX45,$BC$6:$BC$53,INDEX(T_Equipos[Grupo],MATCH(BD45,T_Equipos[NombreEquipo],0)))</f>
        <v>3</v>
      </c>
      <c r="BZ45" s="757" t="str">
        <f ca="1">IF(COUNTIFS($BY$6:$BY$53,BY45,$BC$6:$BC$53,INDEX(T_Equipos[Grupo],MATCH(BD45,T_Equipos[NombreEquipo],0)))=1,"-","P."&amp;BY45&amp;" ("&amp;COUNTIFS($BY$6:$BY$53,BY45,$BC$6:$BC$53,INDEX(T_Equipos[Grupo],MATCH(BD45,T_Equipos[NombreEquipo],0)))&amp;")")</f>
        <v>P.3 (2)</v>
      </c>
      <c r="CA45" s="758">
        <f t="shared" ca="1" si="40"/>
        <v>0</v>
      </c>
      <c r="CB45" s="758">
        <f t="shared" ca="1" si="41"/>
        <v>0</v>
      </c>
      <c r="CC45" s="758">
        <f t="shared" ca="1" si="42"/>
        <v>0</v>
      </c>
      <c r="CD45" s="758">
        <f ca="1">BY45+COUNTIFS($BZ$6:$BZ$53,BZ45,$CC$6:CC$53,"&gt;"&amp;CC45,$BC$6:$BC$53,INDEX(T_Equipos[Grupo],MATCH(BD45,T_Equipos[NombreEquipo],0)))</f>
        <v>3</v>
      </c>
      <c r="CE45" s="757" t="str">
        <f ca="1">IF(COUNTIFS($CD$6:$CD$53,CD45,$BC$6:$BC$53,INDEX(T_Equipos[Grupo],MATCH(BD45,T_Equipos[NombreEquipo],0)))=1,"-","P."&amp;CD45&amp;" ("&amp;COUNTIFS($CD$6:$CD$53,CD45,$BC$6:$BC$53,INDEX(T_Equipos[Grupo],MATCH(BD45,T_Equipos[NombreEquipo],0)))&amp;")")</f>
        <v>P.3 (2)</v>
      </c>
      <c r="CF45" s="758">
        <f t="shared" ca="1" si="43"/>
        <v>0</v>
      </c>
      <c r="CG45" s="758">
        <f ca="1">CD45+COUNTIFS($CE$6:$CE$53,CE45,$CF$6:CF$53,"&gt;"&amp;CF45,$BC$6:$BC$53,INDEX(T_Equipos[Grupo],MATCH(BD45,T_Equipos[NombreEquipo],0)))</f>
        <v>3</v>
      </c>
      <c r="CH45" s="757" t="str">
        <f ca="1">IF(COUNTIFS($CG$6:$CG$53,CG45,$BC$6:$BC$53,INDEX(T_Equipos[Grupo],MATCH(BD45,T_Equipos[NombreEquipo],0)))=1,"-","P."&amp;CG45&amp;" ("&amp;COUNTIFS($CG$6:$CG$53,CG45,$BC$6:$BC$53,INDEX(T_Equipos[Grupo],MATCH(BD45,T_Equipos[NombreEquipo],0)))&amp;")")</f>
        <v>P.3 (2)</v>
      </c>
      <c r="CI45" s="758">
        <f t="shared" ca="1" si="44"/>
        <v>0</v>
      </c>
      <c r="CJ45" s="758">
        <f t="shared" ca="1" si="45"/>
        <v>0</v>
      </c>
      <c r="CK45" s="758">
        <f t="shared" ca="1" si="46"/>
        <v>0</v>
      </c>
      <c r="CL45" s="758">
        <f t="shared" ca="1" si="47"/>
        <v>0</v>
      </c>
      <c r="CM45" s="758">
        <f ca="1">CG45+COUNTIFS($CH$6:$CH$53,CH45,$CL$6:CL$53,"&gt;"&amp;CL45,$BC$6:$BC$53,INDEX(T_Equipos[Grupo],MATCH(BD45,T_Equipos[NombreEquipo],0)))</f>
        <v>3</v>
      </c>
      <c r="CN45" s="757" t="str">
        <f ca="1">IF(COUNTIFS($CM$6:$CM$53,CM45,$BC$6:$BC$53,INDEX(T_Equipos[Grupo],MATCH(BD45,T_Equipos[NombreEquipo],0)))=1,"-","P."&amp;CM45&amp;" ("&amp;COUNTIFS($CM$6:$CM$53,CM45,$BC$6:$BC$53,INDEX(T_Equipos[Grupo],MATCH(BD45,T_Equipos[NombreEquipo],0)))&amp;")")</f>
        <v>P.3 (2)</v>
      </c>
      <c r="CO45" s="758">
        <f t="shared" ca="1" si="48"/>
        <v>0</v>
      </c>
      <c r="CP45" s="758">
        <f t="shared" ca="1" si="49"/>
        <v>0</v>
      </c>
      <c r="CQ45" s="758">
        <f t="shared" ca="1" si="50"/>
        <v>0</v>
      </c>
      <c r="CR45" s="758">
        <f ca="1">CM45+COUNTIFS($CN$6:$CN$53,CN45,$CQ$6:CQ$53,"&gt;"&amp;CQ45,$BC$6:$BC$53,INDEX(T_Equipos[Grupo],MATCH(BD45,T_Equipos[NombreEquipo],0)))</f>
        <v>3</v>
      </c>
      <c r="CS45" s="757" t="str">
        <f ca="1">IF(COUNTIFS($CR$6:$CR$53,CR45,$BC$6:$BC$53,INDEX(T_Equipos[Grupo],MATCH(BD45,T_Equipos[NombreEquipo],0)))=1,"-","P."&amp;CR45&amp;" ("&amp;COUNTIFS($CR$6:$CR$53,CR45,$BC$6:$BC$53,INDEX(T_Equipos[Grupo],MATCH(BD45,T_Equipos[NombreEquipo],0)))&amp;")")</f>
        <v>P.3 (2)</v>
      </c>
      <c r="CT45" s="758">
        <f t="shared" ca="1" si="51"/>
        <v>0</v>
      </c>
      <c r="CU45" s="758">
        <f ca="1">CR45+COUNTIFS($CS$6:$CS$53,CS45,$CT$6:CT$53,"&gt;"&amp;CT45,$BC$6:$BC$53,INDEX(T_Equipos[Grupo],MATCH(BD45,T_Equipos[NombreEquipo],0)))</f>
        <v>3</v>
      </c>
      <c r="CV45" s="757" t="str">
        <f ca="1">IF(COUNTIFS($CU$6:$CU$53,CU45,$BC$6:$BC$53,INDEX(T_Equipos[Grupo],MATCH(BD45,T_Equipos[NombreEquipo],0)))=1,"-","P."&amp;CU45&amp;" ("&amp;COUNTIFS($CU$6:$CU$53,CU45,$BC$6:$BC$53,INDEX(T_Equipos[Grupo],MATCH(BD45,T_Equipos[NombreEquipo],0)))&amp;")")</f>
        <v>P.3 (2)</v>
      </c>
      <c r="CW45" s="757">
        <f t="shared" ca="1" si="30"/>
        <v>-2</v>
      </c>
      <c r="CX45" s="757">
        <f ca="1">CU45+COUNTIFS($CV$6:$CV$53,CV45,$CW$6:CW$53,"&gt;"&amp;CW45,$BC$6:$BC$53,INDEX(T_Equipos[Grupo],MATCH(BD45,T_Equipos[NombreEquipo],0)))</f>
        <v>3</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3</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3</v>
      </c>
      <c r="DE45" s="756"/>
      <c r="DF45" s="756">
        <f t="shared" ca="1" si="52"/>
        <v>3</v>
      </c>
      <c r="DG45" s="756" t="str">
        <f ca="1">IF(DB45="-","-",COUNTIFS(DF$6:DF$53,"&lt;"&amp;DF45,$BC$6:$BC$53,INDEX(T_Equipos[Grupo],MATCH(BD45,T_Equipos[NombreEquipo],0))))</f>
        <v>-</v>
      </c>
      <c r="DH45" s="756">
        <f ca="1">DA45+COUNTIFS(DB$6:DB$53,DB45,DG$6:DG$53,"&lt;"&amp;DG45,$BC$6:$BC$53,INDEX(T_Equipos[Grupo],MATCH(BD45,T_Equipos[NombreEquipo],0)))</f>
        <v>3</v>
      </c>
      <c r="DI45" s="744"/>
      <c r="DJ45" s="744">
        <f t="shared" ca="1" si="53"/>
        <v>4</v>
      </c>
      <c r="DK45" s="744">
        <f t="shared" ca="1" si="24"/>
        <v>4</v>
      </c>
      <c r="DL45" s="744">
        <f t="shared" ca="1" si="33"/>
        <v>1</v>
      </c>
      <c r="DM45" s="738" t="str">
        <f t="shared" ca="1" si="34"/>
        <v>4.1</v>
      </c>
      <c r="DN45" s="744" cm="1">
        <f t="array" aca="1" ref="DN45" ca="1">OFFSET(Horarios!$P$3,DJ45-1,0,DL45,1)</f>
        <v>4</v>
      </c>
      <c r="DO45" s="744"/>
      <c r="DP45" s="744" t="s">
        <v>678</v>
      </c>
      <c r="DQ45" s="744" t="str">
        <f t="shared" ca="1" si="35"/>
        <v>Argelia</v>
      </c>
      <c r="DR45" s="744"/>
      <c r="DS45" s="744"/>
      <c r="DT45" s="744" t="str">
        <f t="shared" ca="1" si="15"/>
        <v>Suecia-Túnez</v>
      </c>
      <c r="DU45" s="744"/>
      <c r="DV45" s="744"/>
      <c r="DW45" s="8"/>
    </row>
    <row r="46" spans="1:127" ht="16.05" customHeight="1">
      <c r="A46" s="745" t="str">
        <f ca="1">+Equipos!B23</f>
        <v>Japón</v>
      </c>
      <c r="B46" s="742"/>
      <c r="C46" s="746"/>
      <c r="D46" s="744" t="str">
        <f t="shared" si="136"/>
        <v>Pendiente</v>
      </c>
      <c r="E46" s="744" t="str">
        <f t="shared" si="137"/>
        <v>-</v>
      </c>
      <c r="F46" s="744" t="str">
        <f t="shared" si="138"/>
        <v>-</v>
      </c>
      <c r="G46" s="744"/>
      <c r="H46" s="744" t="str">
        <f t="shared" si="139"/>
        <v>-</v>
      </c>
      <c r="I46" s="744" t="str">
        <f t="shared" si="140"/>
        <v>-</v>
      </c>
      <c r="J46" s="744"/>
      <c r="K46" s="744" t="str">
        <f t="shared" si="141"/>
        <v>-</v>
      </c>
      <c r="L46" s="744" t="str">
        <f t="shared" si="142"/>
        <v>-</v>
      </c>
      <c r="M46" s="744"/>
      <c r="N46" s="744" t="str">
        <f t="shared" si="143"/>
        <v>-</v>
      </c>
      <c r="O46" s="744" t="str">
        <f t="shared" si="144"/>
        <v>-</v>
      </c>
      <c r="P46" s="744"/>
      <c r="Q46" s="744" t="str">
        <f t="shared" si="145"/>
        <v>-</v>
      </c>
      <c r="R46" s="744" t="str">
        <f t="shared" si="146"/>
        <v>-</v>
      </c>
      <c r="S46" s="744"/>
      <c r="T46" s="744" t="str">
        <f t="shared" si="147"/>
        <v>-</v>
      </c>
      <c r="U46" s="744" t="str">
        <f t="shared"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3">
        <f t="array" aca="1" ref="AK46" ca="1">Ver_flag_visit</f>
        <v>#VALUE!</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0</v>
      </c>
      <c r="BF46" s="748">
        <f t="shared" ca="1" si="26"/>
        <v>0</v>
      </c>
      <c r="BG46" s="748">
        <f t="shared" ca="1" si="17"/>
        <v>0</v>
      </c>
      <c r="BH46" s="748">
        <f t="shared" ca="1" si="18"/>
        <v>0</v>
      </c>
      <c r="BI46" s="748">
        <f t="shared" ca="1" si="19"/>
        <v>0</v>
      </c>
      <c r="BJ46" s="748">
        <f t="shared" ca="1" si="20"/>
        <v>0</v>
      </c>
      <c r="BK46" s="748">
        <f t="shared" ca="1" si="21"/>
        <v>0</v>
      </c>
      <c r="BL46" s="748">
        <f t="shared" ca="1" si="27"/>
        <v>0</v>
      </c>
      <c r="BM46" s="748" t="str">
        <f t="shared" ca="1" si="22"/>
        <v>1K</v>
      </c>
      <c r="BN46" s="748" t="str">
        <f t="shared" ca="1" si="23"/>
        <v>1K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0</v>
      </c>
      <c r="BS46" s="757">
        <f ca="1">BP46+COUNTIFS($BQ$6:$BQ$53,BQ46,$BR$6:BR$53,"&gt;"&amp;BR46,$BC$6:$BC$53,INDEX(T_Equipos[Grupo],MATCH(BD46,T_Equipos[NombreEquipo],0)))</f>
        <v>1</v>
      </c>
      <c r="BT46" s="757" t="str">
        <f ca="1">IF(COUNTIFS($BS$6:$BS$53,BS46,$BC$6:$BC$53,INDEX(T_Equipos[Grupo],MATCH(BD46,T_Equipos[NombreEquipo],0)))=1,"-","P."&amp;BS46&amp;" ("&amp;COUNTIFS($BS$6:$BS$53,BS46,$BC$6:$BC$53,INDEX(T_Equipos[Grupo],MATCH(BD46,T_Equipos[NombreEquipo],0)))&amp;")")</f>
        <v>P.1 (4)</v>
      </c>
      <c r="BU46" s="758">
        <f t="shared" ca="1" si="36"/>
        <v>0</v>
      </c>
      <c r="BV46" s="758">
        <f t="shared" ca="1" si="37"/>
        <v>0</v>
      </c>
      <c r="BW46" s="758">
        <f t="shared" ca="1" si="38"/>
        <v>0</v>
      </c>
      <c r="BX46" s="758">
        <f t="shared" ca="1" si="39"/>
        <v>0</v>
      </c>
      <c r="BY46" s="758">
        <f ca="1">BS46+COUNTIFS($BT$6:$BT$53,BT46,$BX$6:BX$53,"&gt;"&amp;BX46,$BC$6:$BC$53,INDEX(T_Equipos[Grupo],MATCH(BD46,T_Equipos[NombreEquipo],0)))</f>
        <v>1</v>
      </c>
      <c r="BZ46" s="757" t="str">
        <f ca="1">IF(COUNTIFS($BY$6:$BY$53,BY46,$BC$6:$BC$53,INDEX(T_Equipos[Grupo],MATCH(BD46,T_Equipos[NombreEquipo],0)))=1,"-","P."&amp;BY46&amp;" ("&amp;COUNTIFS($BY$6:$BY$53,BY46,$BC$6:$BC$53,INDEX(T_Equipos[Grupo],MATCH(BD46,T_Equipos[NombreEquipo],0)))&amp;")")</f>
        <v>P.1 (4)</v>
      </c>
      <c r="CA46" s="758">
        <f t="shared" ca="1" si="40"/>
        <v>0</v>
      </c>
      <c r="CB46" s="758">
        <f t="shared" ca="1" si="41"/>
        <v>0</v>
      </c>
      <c r="CC46" s="758">
        <f t="shared" ca="1" si="42"/>
        <v>0</v>
      </c>
      <c r="CD46" s="758">
        <f ca="1">BY46+COUNTIFS($BZ$6:$BZ$53,BZ46,$CC$6:CC$53,"&gt;"&amp;CC46,$BC$6:$BC$53,INDEX(T_Equipos[Grupo],MATCH(BD46,T_Equipos[NombreEquipo],0)))</f>
        <v>1</v>
      </c>
      <c r="CE46" s="757" t="str">
        <f ca="1">IF(COUNTIFS($CD$6:$CD$53,CD46,$BC$6:$BC$53,INDEX(T_Equipos[Grupo],MATCH(BD46,T_Equipos[NombreEquipo],0)))=1,"-","P."&amp;CD46&amp;" ("&amp;COUNTIFS($CD$6:$CD$53,CD46,$BC$6:$BC$53,INDEX(T_Equipos[Grupo],MATCH(BD46,T_Equipos[NombreEquipo],0)))&amp;")")</f>
        <v>P.1 (4)</v>
      </c>
      <c r="CF46" s="758">
        <f t="shared" ca="1" si="43"/>
        <v>0</v>
      </c>
      <c r="CG46" s="758">
        <f ca="1">CD46+COUNTIFS($CE$6:$CE$53,CE46,$CF$6:CF$53,"&gt;"&amp;CF46,$BC$6:$BC$53,INDEX(T_Equipos[Grupo],MATCH(BD46,T_Equipos[NombreEquipo],0)))</f>
        <v>1</v>
      </c>
      <c r="CH46" s="757" t="str">
        <f ca="1">IF(COUNTIFS($CG$6:$CG$53,CG46,$BC$6:$BC$53,INDEX(T_Equipos[Grupo],MATCH(BD46,T_Equipos[NombreEquipo],0)))=1,"-","P."&amp;CG46&amp;" ("&amp;COUNTIFS($CG$6:$CG$53,CG46,$BC$6:$BC$53,INDEX(T_Equipos[Grupo],MATCH(BD46,T_Equipos[NombreEquipo],0)))&amp;")")</f>
        <v>P.1 (4)</v>
      </c>
      <c r="CI46" s="758">
        <f t="shared" ca="1" si="44"/>
        <v>0</v>
      </c>
      <c r="CJ46" s="758">
        <f t="shared" ca="1" si="45"/>
        <v>0</v>
      </c>
      <c r="CK46" s="758">
        <f t="shared" ca="1" si="46"/>
        <v>0</v>
      </c>
      <c r="CL46" s="758">
        <f t="shared" ca="1" si="47"/>
        <v>0</v>
      </c>
      <c r="CM46" s="758">
        <f ca="1">CG46+COUNTIFS($CH$6:$CH$53,CH46,$CL$6:CL$53,"&gt;"&amp;CL46,$BC$6:$BC$53,INDEX(T_Equipos[Grupo],MATCH(BD46,T_Equipos[NombreEquipo],0)))</f>
        <v>1</v>
      </c>
      <c r="CN46" s="757" t="str">
        <f ca="1">IF(COUNTIFS($CM$6:$CM$53,CM46,$BC$6:$BC$53,INDEX(T_Equipos[Grupo],MATCH(BD46,T_Equipos[NombreEquipo],0)))=1,"-","P."&amp;CM46&amp;" ("&amp;COUNTIFS($CM$6:$CM$53,CM46,$BC$6:$BC$53,INDEX(T_Equipos[Grupo],MATCH(BD46,T_Equipos[NombreEquipo],0)))&amp;")")</f>
        <v>P.1 (4)</v>
      </c>
      <c r="CO46" s="758">
        <f t="shared" ca="1" si="48"/>
        <v>0</v>
      </c>
      <c r="CP46" s="758">
        <f t="shared" ca="1" si="49"/>
        <v>0</v>
      </c>
      <c r="CQ46" s="758">
        <f t="shared" ca="1" si="50"/>
        <v>0</v>
      </c>
      <c r="CR46" s="758">
        <f ca="1">CM46+COUNTIFS($CN$6:$CN$53,CN46,$CQ$6:CQ$53,"&gt;"&amp;CQ46,$BC$6:$BC$53,INDEX(T_Equipos[Grupo],MATCH(BD46,T_Equipos[NombreEquipo],0)))</f>
        <v>1</v>
      </c>
      <c r="CS46" s="757" t="str">
        <f ca="1">IF(COUNTIFS($CR$6:$CR$53,CR46,$BC$6:$BC$53,INDEX(T_Equipos[Grupo],MATCH(BD46,T_Equipos[NombreEquipo],0)))=1,"-","P."&amp;CR46&amp;" ("&amp;COUNTIFS($CR$6:$CR$53,CR46,$BC$6:$BC$53,INDEX(T_Equipos[Grupo],MATCH(BD46,T_Equipos[NombreEquipo],0)))&amp;")")</f>
        <v>P.1 (4)</v>
      </c>
      <c r="CT46" s="758">
        <f t="shared" ca="1" si="51"/>
        <v>0</v>
      </c>
      <c r="CU46" s="758">
        <f ca="1">CR46+COUNTIFS($CS$6:$CS$53,CS46,$CT$6:CT$53,"&gt;"&amp;CT46,$BC$6:$BC$53,INDEX(T_Equipos[Grupo],MATCH(BD46,T_Equipos[NombreEquipo],0)))</f>
        <v>1</v>
      </c>
      <c r="CV46" s="757" t="str">
        <f ca="1">IF(COUNTIFS($CU$6:$CU$53,CU46,$BC$6:$BC$53,INDEX(T_Equipos[Grupo],MATCH(BD46,T_Equipos[NombreEquipo],0)))=1,"-","P."&amp;CU46&amp;" ("&amp;COUNTIFS($CU$6:$CU$53,CU46,$BC$6:$BC$53,INDEX(T_Equipos[Grupo],MATCH(BD46,T_Equipos[NombreEquipo],0)))&amp;")")</f>
        <v>P.1 (4)</v>
      </c>
      <c r="CW46" s="757">
        <f t="shared" ca="1" si="30"/>
        <v>0</v>
      </c>
      <c r="CX46" s="757">
        <f ca="1">CU46+COUNTIFS($CV$6:$CV$53,CV46,$CW$6:CW$53,"&gt;"&amp;CW46,$BC$6:$BC$53,INDEX(T_Equipos[Grupo],MATCH(BD46,T_Equipos[NombreEquipo],0)))</f>
        <v>1</v>
      </c>
      <c r="CY46" s="757" t="str">
        <f ca="1">IF(COUNTIFS($CX$6:$CX$53,CX46,$BC$6:$BC$53,INDEX(T_Equipos[Grupo],MATCH(BD46,T_Equipos[NombreEquipo],0)))=1,"-","P."&amp;CX46&amp;" ("&amp;COUNTIFS($CX$6:$CX$53,CX46,$BC$6:$BC$53,INDEX(T_Equipos[Grupo],MATCH(BD46,T_Equipos[NombreEquipo],0)))&amp;")")</f>
        <v>P.1 (4)</v>
      </c>
      <c r="CZ46" s="757">
        <f t="shared" ca="1" si="31"/>
        <v>0</v>
      </c>
      <c r="DA46" s="758">
        <f ca="1">CX46+COUNTIFS($CY$6:$CY$53,CY46,$CZ$6:CZ$53,"&gt;"&amp;CZ46,$BC$6:$BC$53,INDEX(T_Equipos[Grupo],MATCH(BD46,T_Equipos[NombreEquipo],0)))</f>
        <v>1</v>
      </c>
      <c r="DB46" s="757" t="str">
        <f ca="1">IF(COUNTIFS($DA$6:$DA$53,DA46,$BC$6:$BC$53,INDEX(T_Equipos[Grupo],MATCH(BD46,T_Equipos[NombreEquipo],0)))=1,"-","P."&amp;DA46&amp;" ("&amp;COUNTIFS($DA$6:$DA$53,DA46,$BC$6:$BC$53,INDEX(T_Equipos[Grupo],MATCH(BD46,T_Equipos[NombreEquipo],0)))&amp;")")</f>
        <v>P.1 (4)</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1</v>
      </c>
      <c r="DE46" s="756"/>
      <c r="DF46" s="756">
        <f t="shared" ca="1" si="52"/>
        <v>1</v>
      </c>
      <c r="DG46" s="756">
        <f ca="1">IF(DB46="-","-",COUNTIFS(DF$6:DF$53,"&lt;"&amp;DF46,$BC$6:$BC$53,INDEX(T_Equipos[Grupo],MATCH(BD46,T_Equipos[NombreEquipo],0))))</f>
        <v>0</v>
      </c>
      <c r="DH46" s="756">
        <f ca="1">DA46+COUNTIFS(DB$6:DB$53,DB46,DG$6:DG$53,"&lt;"&amp;DG46,$BC$6:$BC$53,INDEX(T_Equipos[Grupo],MATCH(BD46,T_Equipos[NombreEquipo],0)))</f>
        <v>1</v>
      </c>
      <c r="DI46" s="744"/>
      <c r="DJ46" s="744">
        <f t="shared" ca="1" si="53"/>
        <v>1</v>
      </c>
      <c r="DK46" s="744">
        <f t="shared" ca="1" si="24"/>
        <v>0</v>
      </c>
      <c r="DL46" s="744">
        <f t="shared" ca="1" si="33"/>
        <v>1</v>
      </c>
      <c r="DM46" s="738" t="str">
        <f t="shared" ca="1" si="34"/>
        <v>1.1</v>
      </c>
      <c r="DN46" s="744" cm="1">
        <f t="array" aca="1" ref="DN46" ca="1">OFFSET(Horarios!$P$3,DJ46-1,0,DL46,1)</f>
        <v>1</v>
      </c>
      <c r="DO46" s="744"/>
      <c r="DP46" s="744" t="s">
        <v>679</v>
      </c>
      <c r="DQ46" s="744" t="str">
        <f t="shared" ca="1" si="35"/>
        <v>Portugal</v>
      </c>
      <c r="DR46" s="744"/>
      <c r="DS46" s="744"/>
      <c r="DT46" s="744" t="str">
        <f t="shared" ca="1" si="15"/>
        <v>Países Bajos-Suecia</v>
      </c>
      <c r="DU46" s="744"/>
      <c r="DV46" s="744"/>
      <c r="DW46" s="8"/>
    </row>
    <row r="47" spans="1:127" ht="16.05" customHeight="1">
      <c r="A47" s="745" t="str">
        <f ca="1">+Equipos!B24</f>
        <v>Suecia</v>
      </c>
      <c r="B47" s="742"/>
      <c r="C47" s="744"/>
      <c r="D47" s="744" t="str">
        <f t="shared" si="136"/>
        <v>Pendiente</v>
      </c>
      <c r="E47" s="744" t="str">
        <f t="shared" si="137"/>
        <v>-</v>
      </c>
      <c r="F47" s="744" t="str">
        <f t="shared" si="138"/>
        <v>-</v>
      </c>
      <c r="G47" s="744"/>
      <c r="H47" s="744" t="str">
        <f t="shared" si="139"/>
        <v>-</v>
      </c>
      <c r="I47" s="744" t="str">
        <f t="shared" si="140"/>
        <v>-</v>
      </c>
      <c r="J47" s="744"/>
      <c r="K47" s="744" t="str">
        <f t="shared" si="141"/>
        <v>-</v>
      </c>
      <c r="L47" s="744" t="str">
        <f t="shared" si="142"/>
        <v>-</v>
      </c>
      <c r="M47" s="744"/>
      <c r="N47" s="744" t="str">
        <f t="shared" si="143"/>
        <v>-</v>
      </c>
      <c r="O47" s="744" t="str">
        <f t="shared" si="144"/>
        <v>-</v>
      </c>
      <c r="P47" s="744"/>
      <c r="Q47" s="744" t="str">
        <f t="shared" si="145"/>
        <v>-</v>
      </c>
      <c r="R47" s="744" t="str">
        <f t="shared" si="146"/>
        <v>-</v>
      </c>
      <c r="S47" s="744"/>
      <c r="T47" s="744" t="str">
        <f t="shared" si="147"/>
        <v>-</v>
      </c>
      <c r="U47" s="744" t="str">
        <f t="shared" si="148"/>
        <v>-</v>
      </c>
      <c r="V47" s="172"/>
      <c r="W47" s="804"/>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1">
        <f t="array" aca="1" ref="AK47" ca="1">Ver_flag_visit</f>
        <v>#VALUE!</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4"/>
      <c r="BC47" s="756" t="str">
        <f ca="1">+INDEX(T_Equipos[Grupo],MATCH(WORLDCUP!BD47,T_Equipos[NombreEquipo],0))</f>
        <v>K</v>
      </c>
      <c r="BD47" s="744" t="str">
        <f ca="1">+Equipos!B43</f>
        <v>RD Congo</v>
      </c>
      <c r="BE47" s="748">
        <f t="shared" ca="1" si="25"/>
        <v>0</v>
      </c>
      <c r="BF47" s="748">
        <f t="shared" ca="1" si="26"/>
        <v>0</v>
      </c>
      <c r="BG47" s="748">
        <f t="shared" ca="1" si="17"/>
        <v>0</v>
      </c>
      <c r="BH47" s="748">
        <f t="shared" ca="1" si="18"/>
        <v>0</v>
      </c>
      <c r="BI47" s="748">
        <f t="shared" ca="1" si="19"/>
        <v>0</v>
      </c>
      <c r="BJ47" s="748">
        <f t="shared" ca="1" si="20"/>
        <v>0</v>
      </c>
      <c r="BK47" s="748">
        <f t="shared" ca="1" si="21"/>
        <v>0</v>
      </c>
      <c r="BL47" s="748">
        <f t="shared" ca="1" si="27"/>
        <v>0</v>
      </c>
      <c r="BM47" s="748" t="str">
        <f t="shared" ca="1" si="22"/>
        <v>2K</v>
      </c>
      <c r="BN47" s="748" t="str">
        <f t="shared" ca="1" si="23"/>
        <v>2K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0</v>
      </c>
      <c r="BS47" s="757">
        <f ca="1">BP47+COUNTIFS($BQ$6:$BQ$53,BQ47,$BR$6:BR$53,"&gt;"&amp;BR47,$BC$6:$BC$53,INDEX(T_Equipos[Grupo],MATCH(BD47,T_Equipos[NombreEquipo],0)))</f>
        <v>1</v>
      </c>
      <c r="BT47" s="757" t="str">
        <f ca="1">IF(COUNTIFS($BS$6:$BS$53,BS47,$BC$6:$BC$53,INDEX(T_Equipos[Grupo],MATCH(BD47,T_Equipos[NombreEquipo],0)))=1,"-","P."&amp;BS47&amp;" ("&amp;COUNTIFS($BS$6:$BS$53,BS47,$BC$6:$BC$53,INDEX(T_Equipos[Grupo],MATCH(BD47,T_Equipos[NombreEquipo],0)))&amp;")")</f>
        <v>P.1 (4)</v>
      </c>
      <c r="BU47" s="758">
        <f t="shared" ca="1" si="36"/>
        <v>0</v>
      </c>
      <c r="BV47" s="758">
        <f t="shared" ca="1" si="37"/>
        <v>0</v>
      </c>
      <c r="BW47" s="758">
        <f t="shared" ca="1" si="38"/>
        <v>0</v>
      </c>
      <c r="BX47" s="758">
        <f t="shared" ca="1" si="39"/>
        <v>0</v>
      </c>
      <c r="BY47" s="758">
        <f ca="1">BS47+COUNTIFS($BT$6:$BT$53,BT47,$BX$6:BX$53,"&gt;"&amp;BX47,$BC$6:$BC$53,INDEX(T_Equipos[Grupo],MATCH(BD47,T_Equipos[NombreEquipo],0)))</f>
        <v>1</v>
      </c>
      <c r="BZ47" s="757" t="str">
        <f ca="1">IF(COUNTIFS($BY$6:$BY$53,BY47,$BC$6:$BC$53,INDEX(T_Equipos[Grupo],MATCH(BD47,T_Equipos[NombreEquipo],0)))=1,"-","P."&amp;BY47&amp;" ("&amp;COUNTIFS($BY$6:$BY$53,BY47,$BC$6:$BC$53,INDEX(T_Equipos[Grupo],MATCH(BD47,T_Equipos[NombreEquipo],0)))&amp;")")</f>
        <v>P.1 (4)</v>
      </c>
      <c r="CA47" s="758">
        <f t="shared" ca="1" si="40"/>
        <v>0</v>
      </c>
      <c r="CB47" s="758">
        <f t="shared" ca="1" si="41"/>
        <v>0</v>
      </c>
      <c r="CC47" s="758">
        <f t="shared" ca="1" si="42"/>
        <v>0</v>
      </c>
      <c r="CD47" s="758">
        <f ca="1">BY47+COUNTIFS($BZ$6:$BZ$53,BZ47,$CC$6:CC$53,"&gt;"&amp;CC47,$BC$6:$BC$53,INDEX(T_Equipos[Grupo],MATCH(BD47,T_Equipos[NombreEquipo],0)))</f>
        <v>1</v>
      </c>
      <c r="CE47" s="757" t="str">
        <f ca="1">IF(COUNTIFS($CD$6:$CD$53,CD47,$BC$6:$BC$53,INDEX(T_Equipos[Grupo],MATCH(BD47,T_Equipos[NombreEquipo],0)))=1,"-","P."&amp;CD47&amp;" ("&amp;COUNTIFS($CD$6:$CD$53,CD47,$BC$6:$BC$53,INDEX(T_Equipos[Grupo],MATCH(BD47,T_Equipos[NombreEquipo],0)))&amp;")")</f>
        <v>P.1 (4)</v>
      </c>
      <c r="CF47" s="758">
        <f t="shared" ca="1" si="43"/>
        <v>0</v>
      </c>
      <c r="CG47" s="758">
        <f ca="1">CD47+COUNTIFS($CE$6:$CE$53,CE47,$CF$6:CF$53,"&gt;"&amp;CF47,$BC$6:$BC$53,INDEX(T_Equipos[Grupo],MATCH(BD47,T_Equipos[NombreEquipo],0)))</f>
        <v>1</v>
      </c>
      <c r="CH47" s="757" t="str">
        <f ca="1">IF(COUNTIFS($CG$6:$CG$53,CG47,$BC$6:$BC$53,INDEX(T_Equipos[Grupo],MATCH(BD47,T_Equipos[NombreEquipo],0)))=1,"-","P."&amp;CG47&amp;" ("&amp;COUNTIFS($CG$6:$CG$53,CG47,$BC$6:$BC$53,INDEX(T_Equipos[Grupo],MATCH(BD47,T_Equipos[NombreEquipo],0)))&amp;")")</f>
        <v>P.1 (4)</v>
      </c>
      <c r="CI47" s="758">
        <f t="shared" ca="1" si="44"/>
        <v>0</v>
      </c>
      <c r="CJ47" s="758">
        <f t="shared" ca="1" si="45"/>
        <v>0</v>
      </c>
      <c r="CK47" s="758">
        <f t="shared" ca="1" si="46"/>
        <v>0</v>
      </c>
      <c r="CL47" s="758">
        <f t="shared" ca="1" si="47"/>
        <v>0</v>
      </c>
      <c r="CM47" s="758">
        <f ca="1">CG47+COUNTIFS($CH$6:$CH$53,CH47,$CL$6:CL$53,"&gt;"&amp;CL47,$BC$6:$BC$53,INDEX(T_Equipos[Grupo],MATCH(BD47,T_Equipos[NombreEquipo],0)))</f>
        <v>1</v>
      </c>
      <c r="CN47" s="757" t="str">
        <f ca="1">IF(COUNTIFS($CM$6:$CM$53,CM47,$BC$6:$BC$53,INDEX(T_Equipos[Grupo],MATCH(BD47,T_Equipos[NombreEquipo],0)))=1,"-","P."&amp;CM47&amp;" ("&amp;COUNTIFS($CM$6:$CM$53,CM47,$BC$6:$BC$53,INDEX(T_Equipos[Grupo],MATCH(BD47,T_Equipos[NombreEquipo],0)))&amp;")")</f>
        <v>P.1 (4)</v>
      </c>
      <c r="CO47" s="758">
        <f t="shared" ca="1" si="48"/>
        <v>0</v>
      </c>
      <c r="CP47" s="758">
        <f t="shared" ca="1" si="49"/>
        <v>0</v>
      </c>
      <c r="CQ47" s="758">
        <f t="shared" ca="1" si="50"/>
        <v>0</v>
      </c>
      <c r="CR47" s="758">
        <f ca="1">CM47+COUNTIFS($CN$6:$CN$53,CN47,$CQ$6:CQ$53,"&gt;"&amp;CQ47,$BC$6:$BC$53,INDEX(T_Equipos[Grupo],MATCH(BD47,T_Equipos[NombreEquipo],0)))</f>
        <v>1</v>
      </c>
      <c r="CS47" s="757" t="str">
        <f ca="1">IF(COUNTIFS($CR$6:$CR$53,CR47,$BC$6:$BC$53,INDEX(T_Equipos[Grupo],MATCH(BD47,T_Equipos[NombreEquipo],0)))=1,"-","P."&amp;CR47&amp;" ("&amp;COUNTIFS($CR$6:$CR$53,CR47,$BC$6:$BC$53,INDEX(T_Equipos[Grupo],MATCH(BD47,T_Equipos[NombreEquipo],0)))&amp;")")</f>
        <v>P.1 (4)</v>
      </c>
      <c r="CT47" s="758">
        <f t="shared" ca="1" si="51"/>
        <v>0</v>
      </c>
      <c r="CU47" s="758">
        <f ca="1">CR47+COUNTIFS($CS$6:$CS$53,CS47,$CT$6:CT$53,"&gt;"&amp;CT47,$BC$6:$BC$53,INDEX(T_Equipos[Grupo],MATCH(BD47,T_Equipos[NombreEquipo],0)))</f>
        <v>1</v>
      </c>
      <c r="CV47" s="757" t="str">
        <f ca="1">IF(COUNTIFS($CU$6:$CU$53,CU47,$BC$6:$BC$53,INDEX(T_Equipos[Grupo],MATCH(BD47,T_Equipos[NombreEquipo],0)))=1,"-","P."&amp;CU47&amp;" ("&amp;COUNTIFS($CU$6:$CU$53,CU47,$BC$6:$BC$53,INDEX(T_Equipos[Grupo],MATCH(BD47,T_Equipos[NombreEquipo],0)))&amp;")")</f>
        <v>P.1 (4)</v>
      </c>
      <c r="CW47" s="757">
        <f t="shared" ca="1" si="30"/>
        <v>0</v>
      </c>
      <c r="CX47" s="757">
        <f ca="1">CU47+COUNTIFS($CV$6:$CV$53,CV47,$CW$6:CW$53,"&gt;"&amp;CW47,$BC$6:$BC$53,INDEX(T_Equipos[Grupo],MATCH(BD47,T_Equipos[NombreEquipo],0)))</f>
        <v>1</v>
      </c>
      <c r="CY47" s="757" t="str">
        <f ca="1">IF(COUNTIFS($CX$6:$CX$53,CX47,$BC$6:$BC$53,INDEX(T_Equipos[Grupo],MATCH(BD47,T_Equipos[NombreEquipo],0)))=1,"-","P."&amp;CX47&amp;" ("&amp;COUNTIFS($CX$6:$CX$53,CX47,$BC$6:$BC$53,INDEX(T_Equipos[Grupo],MATCH(BD47,T_Equipos[NombreEquipo],0)))&amp;")")</f>
        <v>P.1 (4)</v>
      </c>
      <c r="CZ47" s="757">
        <f t="shared" ca="1" si="31"/>
        <v>0</v>
      </c>
      <c r="DA47" s="758">
        <f ca="1">CX47+COUNTIFS($CY$6:$CY$53,CY47,$CZ$6:CZ$53,"&gt;"&amp;CZ47,$BC$6:$BC$53,INDEX(T_Equipos[Grupo],MATCH(BD47,T_Equipos[NombreEquipo],0)))</f>
        <v>1</v>
      </c>
      <c r="DB47" s="757" t="str">
        <f ca="1">IF(COUNTIFS($DA$6:$DA$53,DA47,$BC$6:$BC$53,INDEX(T_Equipos[Grupo],MATCH(BD47,T_Equipos[NombreEquipo],0)))=1,"-","P."&amp;DA47&amp;" ("&amp;COUNTIFS($DA$6:$DA$53,DA47,$BC$6:$BC$53,INDEX(T_Equipos[Grupo],MATCH(BD47,T_Equipos[NombreEquipo],0)))&amp;")")</f>
        <v>P.1 (4)</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2</v>
      </c>
      <c r="DE47" s="756"/>
      <c r="DF47" s="756">
        <f t="shared" ca="1" si="52"/>
        <v>2</v>
      </c>
      <c r="DG47" s="756">
        <f ca="1">IF(DB47="-","-",COUNTIFS(DF$6:DF$53,"&lt;"&amp;DF47,$BC$6:$BC$53,INDEX(T_Equipos[Grupo],MATCH(BD47,T_Equipos[NombreEquipo],0))))</f>
        <v>1</v>
      </c>
      <c r="DH47" s="756">
        <f ca="1">DA47+COUNTIFS(DB$6:DB$53,DB47,DG$6:DG$53,"&lt;"&amp;DG47,$BC$6:$BC$53,INDEX(T_Equipos[Grupo],MATCH(BD47,T_Equipos[NombreEquipo],0)))</f>
        <v>2</v>
      </c>
      <c r="DI47" s="744"/>
      <c r="DJ47" s="744">
        <f t="shared" ca="1" si="53"/>
        <v>1</v>
      </c>
      <c r="DK47" s="744">
        <f t="shared" ca="1" si="24"/>
        <v>0</v>
      </c>
      <c r="DL47" s="744">
        <f t="shared" ca="1" si="33"/>
        <v>1</v>
      </c>
      <c r="DM47" s="738" t="str">
        <f t="shared" ca="1" si="34"/>
        <v>1.1</v>
      </c>
      <c r="DN47" s="744" cm="1">
        <f t="array" aca="1" ref="DN47" ca="1">OFFSET(Horarios!$P$3,DJ47-1,0,DL47,1)</f>
        <v>1</v>
      </c>
      <c r="DO47" s="744"/>
      <c r="DP47" s="744" t="s">
        <v>680</v>
      </c>
      <c r="DQ47" s="744" t="str">
        <f t="shared" ca="1" si="35"/>
        <v>RD Congo</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2">
        <f t="array" aca="1" ref="AK48" ca="1">Ver_flag_visit</f>
        <v>#VALUE!</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0</v>
      </c>
      <c r="BG48" s="748">
        <f t="shared" ca="1" si="17"/>
        <v>0</v>
      </c>
      <c r="BH48" s="748">
        <f t="shared" ca="1" si="18"/>
        <v>0</v>
      </c>
      <c r="BI48" s="748">
        <f t="shared" ca="1" si="19"/>
        <v>0</v>
      </c>
      <c r="BJ48" s="748">
        <f t="shared" ca="1" si="20"/>
        <v>0</v>
      </c>
      <c r="BK48" s="748">
        <f t="shared" ca="1" si="21"/>
        <v>0</v>
      </c>
      <c r="BL48" s="748">
        <f t="shared" ca="1" si="27"/>
        <v>0</v>
      </c>
      <c r="BM48" s="748" t="str">
        <f t="shared" ca="1" si="22"/>
        <v>3K</v>
      </c>
      <c r="BN48" s="748" t="str">
        <f t="shared" ca="1" si="23"/>
        <v>3K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1</v>
      </c>
      <c r="BT48" s="757" t="str">
        <f ca="1">IF(COUNTIFS($BS$6:$BS$53,BS48,$BC$6:$BC$53,INDEX(T_Equipos[Grupo],MATCH(BD48,T_Equipos[NombreEquipo],0)))=1,"-","P."&amp;BS48&amp;" ("&amp;COUNTIFS($BS$6:$BS$53,BS48,$BC$6:$BC$53,INDEX(T_Equipos[Grupo],MATCH(BD48,T_Equipos[NombreEquipo],0)))&amp;")")</f>
        <v>P.1 (4)</v>
      </c>
      <c r="BU48" s="758">
        <f t="shared" ca="1" si="36"/>
        <v>0</v>
      </c>
      <c r="BV48" s="758">
        <f t="shared" ca="1" si="37"/>
        <v>0</v>
      </c>
      <c r="BW48" s="758">
        <f t="shared" ca="1" si="38"/>
        <v>0</v>
      </c>
      <c r="BX48" s="758">
        <f t="shared" ca="1" si="39"/>
        <v>0</v>
      </c>
      <c r="BY48" s="758">
        <f ca="1">BS48+COUNTIFS($BT$6:$BT$53,BT48,$BX$6:BX$53,"&gt;"&amp;BX48,$BC$6:$BC$53,INDEX(T_Equipos[Grupo],MATCH(BD48,T_Equipos[NombreEquipo],0)))</f>
        <v>1</v>
      </c>
      <c r="BZ48" s="757" t="str">
        <f ca="1">IF(COUNTIFS($BY$6:$BY$53,BY48,$BC$6:$BC$53,INDEX(T_Equipos[Grupo],MATCH(BD48,T_Equipos[NombreEquipo],0)))=1,"-","P."&amp;BY48&amp;" ("&amp;COUNTIFS($BY$6:$BY$53,BY48,$BC$6:$BC$53,INDEX(T_Equipos[Grupo],MATCH(BD48,T_Equipos[NombreEquipo],0)))&amp;")")</f>
        <v>P.1 (4)</v>
      </c>
      <c r="CA48" s="758">
        <f t="shared" ca="1" si="40"/>
        <v>0</v>
      </c>
      <c r="CB48" s="758">
        <f t="shared" ca="1" si="41"/>
        <v>0</v>
      </c>
      <c r="CC48" s="758">
        <f t="shared" ca="1" si="42"/>
        <v>0</v>
      </c>
      <c r="CD48" s="758">
        <f ca="1">BY48+COUNTIFS($BZ$6:$BZ$53,BZ48,$CC$6:CC$53,"&gt;"&amp;CC48,$BC$6:$BC$53,INDEX(T_Equipos[Grupo],MATCH(BD48,T_Equipos[NombreEquipo],0)))</f>
        <v>1</v>
      </c>
      <c r="CE48" s="757" t="str">
        <f ca="1">IF(COUNTIFS($CD$6:$CD$53,CD48,$BC$6:$BC$53,INDEX(T_Equipos[Grupo],MATCH(BD48,T_Equipos[NombreEquipo],0)))=1,"-","P."&amp;CD48&amp;" ("&amp;COUNTIFS($CD$6:$CD$53,CD48,$BC$6:$BC$53,INDEX(T_Equipos[Grupo],MATCH(BD48,T_Equipos[NombreEquipo],0)))&amp;")")</f>
        <v>P.1 (4)</v>
      </c>
      <c r="CF48" s="758">
        <f t="shared" ca="1" si="43"/>
        <v>0</v>
      </c>
      <c r="CG48" s="758">
        <f ca="1">CD48+COUNTIFS($CE$6:$CE$53,CE48,$CF$6:CF$53,"&gt;"&amp;CF48,$BC$6:$BC$53,INDEX(T_Equipos[Grupo],MATCH(BD48,T_Equipos[NombreEquipo],0)))</f>
        <v>1</v>
      </c>
      <c r="CH48" s="757" t="str">
        <f ca="1">IF(COUNTIFS($CG$6:$CG$53,CG48,$BC$6:$BC$53,INDEX(T_Equipos[Grupo],MATCH(BD48,T_Equipos[NombreEquipo],0)))=1,"-","P."&amp;CG48&amp;" ("&amp;COUNTIFS($CG$6:$CG$53,CG48,$BC$6:$BC$53,INDEX(T_Equipos[Grupo],MATCH(BD48,T_Equipos[NombreEquipo],0)))&amp;")")</f>
        <v>P.1 (4)</v>
      </c>
      <c r="CI48" s="758">
        <f t="shared" ca="1" si="44"/>
        <v>0</v>
      </c>
      <c r="CJ48" s="758">
        <f t="shared" ca="1" si="45"/>
        <v>0</v>
      </c>
      <c r="CK48" s="758">
        <f t="shared" ca="1" si="46"/>
        <v>0</v>
      </c>
      <c r="CL48" s="758">
        <f t="shared" ca="1" si="47"/>
        <v>0</v>
      </c>
      <c r="CM48" s="758">
        <f ca="1">CG48+COUNTIFS($CH$6:$CH$53,CH48,$CL$6:CL$53,"&gt;"&amp;CL48,$BC$6:$BC$53,INDEX(T_Equipos[Grupo],MATCH(BD48,T_Equipos[NombreEquipo],0)))</f>
        <v>1</v>
      </c>
      <c r="CN48" s="757" t="str">
        <f ca="1">IF(COUNTIFS($CM$6:$CM$53,CM48,$BC$6:$BC$53,INDEX(T_Equipos[Grupo],MATCH(BD48,T_Equipos[NombreEquipo],0)))=1,"-","P."&amp;CM48&amp;" ("&amp;COUNTIFS($CM$6:$CM$53,CM48,$BC$6:$BC$53,INDEX(T_Equipos[Grupo],MATCH(BD48,T_Equipos[NombreEquipo],0)))&amp;")")</f>
        <v>P.1 (4)</v>
      </c>
      <c r="CO48" s="758">
        <f t="shared" ca="1" si="48"/>
        <v>0</v>
      </c>
      <c r="CP48" s="758">
        <f t="shared" ca="1" si="49"/>
        <v>0</v>
      </c>
      <c r="CQ48" s="758">
        <f t="shared" ca="1" si="50"/>
        <v>0</v>
      </c>
      <c r="CR48" s="758">
        <f ca="1">CM48+COUNTIFS($CN$6:$CN$53,CN48,$CQ$6:CQ$53,"&gt;"&amp;CQ48,$BC$6:$BC$53,INDEX(T_Equipos[Grupo],MATCH(BD48,T_Equipos[NombreEquipo],0)))</f>
        <v>1</v>
      </c>
      <c r="CS48" s="757" t="str">
        <f ca="1">IF(COUNTIFS($CR$6:$CR$53,CR48,$BC$6:$BC$53,INDEX(T_Equipos[Grupo],MATCH(BD48,T_Equipos[NombreEquipo],0)))=1,"-","P."&amp;CR48&amp;" ("&amp;COUNTIFS($CR$6:$CR$53,CR48,$BC$6:$BC$53,INDEX(T_Equipos[Grupo],MATCH(BD48,T_Equipos[NombreEquipo],0)))&amp;")")</f>
        <v>P.1 (4)</v>
      </c>
      <c r="CT48" s="758">
        <f t="shared" ca="1" si="51"/>
        <v>0</v>
      </c>
      <c r="CU48" s="758">
        <f ca="1">CR48+COUNTIFS($CS$6:$CS$53,CS48,$CT$6:CT$53,"&gt;"&amp;CT48,$BC$6:$BC$53,INDEX(T_Equipos[Grupo],MATCH(BD48,T_Equipos[NombreEquipo],0)))</f>
        <v>1</v>
      </c>
      <c r="CV48" s="757" t="str">
        <f ca="1">IF(COUNTIFS($CU$6:$CU$53,CU48,$BC$6:$BC$53,INDEX(T_Equipos[Grupo],MATCH(BD48,T_Equipos[NombreEquipo],0)))=1,"-","P."&amp;CU48&amp;" ("&amp;COUNTIFS($CU$6:$CU$53,CU48,$BC$6:$BC$53,INDEX(T_Equipos[Grupo],MATCH(BD48,T_Equipos[NombreEquipo],0)))&amp;")")</f>
        <v>P.1 (4)</v>
      </c>
      <c r="CW48" s="757">
        <f t="shared" ca="1" si="30"/>
        <v>0</v>
      </c>
      <c r="CX48" s="757">
        <f ca="1">CU48+COUNTIFS($CV$6:$CV$53,CV48,$CW$6:CW$53,"&gt;"&amp;CW48,$BC$6:$BC$53,INDEX(T_Equipos[Grupo],MATCH(BD48,T_Equipos[NombreEquipo],0)))</f>
        <v>1</v>
      </c>
      <c r="CY48" s="757" t="str">
        <f ca="1">IF(COUNTIFS($CX$6:$CX$53,CX48,$BC$6:$BC$53,INDEX(T_Equipos[Grupo],MATCH(BD48,T_Equipos[NombreEquipo],0)))=1,"-","P."&amp;CX48&amp;" ("&amp;COUNTIFS($CX$6:$CX$53,CX48,$BC$6:$BC$53,INDEX(T_Equipos[Grupo],MATCH(BD48,T_Equipos[NombreEquipo],0)))&amp;")")</f>
        <v>P.1 (4)</v>
      </c>
      <c r="CZ48" s="757">
        <f t="shared" ca="1" si="31"/>
        <v>0</v>
      </c>
      <c r="DA48" s="758">
        <f ca="1">CX48+COUNTIFS($CY$6:$CY$53,CY48,$CZ$6:CZ$53,"&gt;"&amp;CZ48,$BC$6:$BC$53,INDEX(T_Equipos[Grupo],MATCH(BD48,T_Equipos[NombreEquipo],0)))</f>
        <v>1</v>
      </c>
      <c r="DB48" s="757" t="str">
        <f ca="1">IF(COUNTIFS($DA$6:$DA$53,DA48,$BC$6:$BC$53,INDEX(T_Equipos[Grupo],MATCH(BD48,T_Equipos[NombreEquipo],0)))=1,"-","P."&amp;DA48&amp;" ("&amp;COUNTIFS($DA$6:$DA$53,DA48,$BC$6:$BC$53,INDEX(T_Equipos[Grupo],MATCH(BD48,T_Equipos[NombreEquipo],0)))&amp;")")</f>
        <v>P.1 (4)</v>
      </c>
      <c r="DC48" s="756">
        <f ca="1">IF(DB48="-","-",COUNTIFS(T_Equipos[Rank],"&lt;"&amp;INDEX(T_Equipos[Rank],MATCH(BD48,T_Equipos[NombreEquipo],0)),$BC$6:$BC$53,INDEX(T_Equipos[Grupo],MATCH(BD48,T_Equipos[NombreEquipo],0)))+1)</f>
        <v>3</v>
      </c>
      <c r="DD48" s="756">
        <f ca="1">DA48+COUNTIFS($DB$6:$DB$53,DB48,$DC$6:DC$53,"&lt;"&amp;DC48,$BC$6:$BC$53,INDEX(T_Equipos[Grupo],MATCH(BD48,T_Equipos[NombreEquipo],0)))</f>
        <v>3</v>
      </c>
      <c r="DE48" s="756"/>
      <c r="DF48" s="756">
        <f t="shared" ca="1" si="52"/>
        <v>3</v>
      </c>
      <c r="DG48" s="756">
        <f ca="1">IF(DB48="-","-",COUNTIFS(DF$6:DF$53,"&lt;"&amp;DF48,$BC$6:$BC$53,INDEX(T_Equipos[Grupo],MATCH(BD48,T_Equipos[NombreEquipo],0))))</f>
        <v>2</v>
      </c>
      <c r="DH48" s="756">
        <f ca="1">DA48+COUNTIFS(DB$6:DB$53,DB48,DG$6:DG$53,"&lt;"&amp;DG48,$BC$6:$BC$53,INDEX(T_Equipos[Grupo],MATCH(BD48,T_Equipos[NombreEquipo],0)))</f>
        <v>3</v>
      </c>
      <c r="DI48" s="744"/>
      <c r="DJ48" s="744">
        <f t="shared" ca="1" si="53"/>
        <v>1</v>
      </c>
      <c r="DK48" s="744">
        <f t="shared" ca="1" si="24"/>
        <v>0</v>
      </c>
      <c r="DL48" s="744">
        <f t="shared" ca="1" si="33"/>
        <v>1</v>
      </c>
      <c r="DM48" s="738" t="str">
        <f t="shared" ca="1" si="34"/>
        <v>1.1</v>
      </c>
      <c r="DN48" s="744" cm="1">
        <f t="array" aca="1" ref="DN48" ca="1">OFFSET(Horarios!$P$3,DJ48-1,0,DL48,1)</f>
        <v>1</v>
      </c>
      <c r="DO48" s="744"/>
      <c r="DP48" s="744" t="s">
        <v>442</v>
      </c>
      <c r="DQ48" s="744" t="str">
        <f t="shared" ca="1" si="35"/>
        <v>Uzbekistán</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0</v>
      </c>
      <c r="BF49" s="748">
        <f t="shared" ca="1" si="26"/>
        <v>0</v>
      </c>
      <c r="BG49" s="748">
        <f t="shared" ca="1" si="17"/>
        <v>0</v>
      </c>
      <c r="BH49" s="748">
        <f t="shared" ca="1" si="18"/>
        <v>0</v>
      </c>
      <c r="BI49" s="748">
        <f t="shared" ca="1" si="19"/>
        <v>0</v>
      </c>
      <c r="BJ49" s="748">
        <f t="shared" ca="1" si="20"/>
        <v>0</v>
      </c>
      <c r="BK49" s="748">
        <f t="shared" ca="1" si="21"/>
        <v>0</v>
      </c>
      <c r="BL49" s="748">
        <f t="shared" ca="1" si="27"/>
        <v>0</v>
      </c>
      <c r="BM49" s="748" t="str">
        <f t="shared" ca="1" si="22"/>
        <v>4K</v>
      </c>
      <c r="BN49" s="748" t="str">
        <f t="shared" ca="1" si="23"/>
        <v>4K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0</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P.1 (4)</v>
      </c>
      <c r="BU49" s="758">
        <f t="shared" ca="1" si="36"/>
        <v>0</v>
      </c>
      <c r="BV49" s="758">
        <f t="shared" ca="1" si="37"/>
        <v>0</v>
      </c>
      <c r="BW49" s="758">
        <f t="shared" ca="1" si="38"/>
        <v>0</v>
      </c>
      <c r="BX49" s="758">
        <f t="shared" ca="1" si="39"/>
        <v>0</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P.1 (4)</v>
      </c>
      <c r="CA49" s="758">
        <f t="shared" ca="1" si="40"/>
        <v>0</v>
      </c>
      <c r="CB49" s="758">
        <f t="shared" ca="1" si="41"/>
        <v>0</v>
      </c>
      <c r="CC49" s="758">
        <f t="shared" ca="1" si="42"/>
        <v>0</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P.1 (4)</v>
      </c>
      <c r="CF49" s="758">
        <f t="shared" ca="1" si="43"/>
        <v>0</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P.1 (4)</v>
      </c>
      <c r="CI49" s="758">
        <f t="shared" ca="1" si="44"/>
        <v>0</v>
      </c>
      <c r="CJ49" s="758">
        <f t="shared" ca="1" si="45"/>
        <v>0</v>
      </c>
      <c r="CK49" s="758">
        <f t="shared" ca="1" si="46"/>
        <v>0</v>
      </c>
      <c r="CL49" s="758">
        <f t="shared" ca="1" si="47"/>
        <v>0</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P.1 (4)</v>
      </c>
      <c r="CO49" s="758">
        <f t="shared" ca="1" si="48"/>
        <v>0</v>
      </c>
      <c r="CP49" s="758">
        <f t="shared" ca="1" si="49"/>
        <v>0</v>
      </c>
      <c r="CQ49" s="758">
        <f t="shared" ca="1" si="50"/>
        <v>0</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P.1 (4)</v>
      </c>
      <c r="CT49" s="758">
        <f t="shared" ca="1" si="51"/>
        <v>0</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P.1 (4)</v>
      </c>
      <c r="CW49" s="757">
        <f t="shared" ca="1" si="30"/>
        <v>0</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P.1 (4)</v>
      </c>
      <c r="CZ49" s="757">
        <f t="shared" ca="1" si="31"/>
        <v>0</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P.1 (4)</v>
      </c>
      <c r="DC49" s="756">
        <f ca="1">IF(DB49="-","-",COUNTIFS(T_Equipos[Rank],"&lt;"&amp;INDEX(T_Equipos[Rank],MATCH(BD49,T_Equipos[NombreEquipo],0)),$BC$6:$BC$53,INDEX(T_Equipos[Grupo],MATCH(BD49,T_Equipos[NombreEquipo],0)))+1)</f>
        <v>4</v>
      </c>
      <c r="DD49" s="756">
        <f ca="1">DA49+COUNTIFS($DB$6:$DB$53,DB49,$DC$6:DC$53,"&lt;"&amp;DC49,$BC$6:$BC$53,INDEX(T_Equipos[Grupo],MATCH(BD49,T_Equipos[NombreEquipo],0)))</f>
        <v>4</v>
      </c>
      <c r="DE49" s="756"/>
      <c r="DF49" s="756">
        <f t="shared" ca="1" si="52"/>
        <v>4</v>
      </c>
      <c r="DG49" s="756">
        <f ca="1">IF(DB49="-","-",COUNTIFS(DF$6:DF$53,"&lt;"&amp;DF49,$BC$6:$BC$53,INDEX(T_Equipos[Grupo],MATCH(BD49,T_Equipos[NombreEquipo],0))))</f>
        <v>3</v>
      </c>
      <c r="DH49" s="756">
        <f ca="1">DA49+COUNTIFS(DB$6:DB$53,DB49,DG$6:DG$53,"&lt;"&amp;DG49,$BC$6:$BC$53,INDEX(T_Equipos[Grupo],MATCH(BD49,T_Equipos[NombreEquipo],0)))</f>
        <v>4</v>
      </c>
      <c r="DI49" s="744"/>
      <c r="DJ49" s="744">
        <f t="shared" ca="1" si="53"/>
        <v>1</v>
      </c>
      <c r="DK49" s="744">
        <f t="shared" ca="1" si="24"/>
        <v>0</v>
      </c>
      <c r="DL49" s="744">
        <f t="shared" ca="1" si="33"/>
        <v>1</v>
      </c>
      <c r="DM49" s="738" t="str">
        <f t="shared" ca="1" si="34"/>
        <v>1.1</v>
      </c>
      <c r="DN49" s="744" cm="1">
        <f t="array" aca="1" ref="DN49" ca="1">OFFSET(Horarios!$P$3,DJ49-1,0,DL49,1)</f>
        <v>1</v>
      </c>
      <c r="DO49" s="744"/>
      <c r="DP49" s="744" t="s">
        <v>681</v>
      </c>
      <c r="DQ49" s="744" t="str">
        <f t="shared" ca="1" si="35"/>
        <v>Colombia</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0</v>
      </c>
      <c r="BF50" s="748">
        <f t="shared" ca="1" si="26"/>
        <v>0</v>
      </c>
      <c r="BG50" s="748">
        <f t="shared" ca="1" si="17"/>
        <v>0</v>
      </c>
      <c r="BH50" s="748">
        <f t="shared" ca="1" si="18"/>
        <v>0</v>
      </c>
      <c r="BI50" s="748">
        <f t="shared" ca="1" si="19"/>
        <v>0</v>
      </c>
      <c r="BJ50" s="748">
        <f t="shared" ca="1" si="20"/>
        <v>0</v>
      </c>
      <c r="BK50" s="748">
        <f t="shared" ca="1" si="21"/>
        <v>0</v>
      </c>
      <c r="BL50" s="748">
        <f t="shared" ca="1" si="27"/>
        <v>0</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0</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(4)</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(4)</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(4)</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(4)</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(4)</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(4)</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(4)</v>
      </c>
      <c r="CW50" s="757">
        <f t="shared" ca="1" si="30"/>
        <v>0</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P.1 (4)</v>
      </c>
      <c r="CZ50" s="757">
        <f t="shared" ca="1" si="31"/>
        <v>0</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P.1 (4)</v>
      </c>
      <c r="DC50" s="756">
        <f ca="1">IF(DB50="-","-",COUNTIFS(T_Equipos[Rank],"&lt;"&amp;INDEX(T_Equipos[Rank],MATCH(BD50,T_Equipos[NombreEquipo],0)),$BC$6:$BC$53,INDEX(T_Equipos[Grupo],MATCH(BD50,T_Equipos[NombreEquipo],0)))+1)</f>
        <v>1</v>
      </c>
      <c r="DD50" s="756">
        <f ca="1">DA50+COUNTIFS($DB$6:$DB$53,DB50,$DC$6:DC$53,"&lt;"&amp;DC50,$BC$6:$BC$53,INDEX(T_Equipos[Grupo],MATCH(BD50,T_Equipos[NombreEquipo],0)))</f>
        <v>1</v>
      </c>
      <c r="DE50" s="756"/>
      <c r="DF50" s="756">
        <f t="shared" ca="1" si="52"/>
        <v>1</v>
      </c>
      <c r="DG50" s="756">
        <f ca="1">IF(DB50="-","-",COUNTIFS(DF$6:DF$53,"&lt;"&amp;DF50,$BC$6:$BC$53,INDEX(T_Equipos[Grupo],MATCH(BD50,T_Equipos[NombreEquipo],0))))</f>
        <v>0</v>
      </c>
      <c r="DH50" s="756">
        <f ca="1">DA50+COUNTIFS(DB$6:DB$53,DB50,DG$6:DG$53,"&lt;"&amp;DG50,$BC$6:$BC$53,INDEX(T_Equipos[Grupo],MATCH(BD50,T_Equipos[NombreEquipo],0)))</f>
        <v>1</v>
      </c>
      <c r="DI50" s="744"/>
      <c r="DJ50" s="744">
        <f t="shared" ca="1" si="53"/>
        <v>1</v>
      </c>
      <c r="DK50" s="744">
        <f t="shared" ca="1" si="24"/>
        <v>0</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0</v>
      </c>
      <c r="BG51" s="748">
        <f t="shared" ca="1" si="17"/>
        <v>0</v>
      </c>
      <c r="BH51" s="748">
        <f t="shared" ca="1" si="18"/>
        <v>0</v>
      </c>
      <c r="BI51" s="748">
        <f t="shared" ca="1" si="19"/>
        <v>0</v>
      </c>
      <c r="BJ51" s="748">
        <f t="shared" ca="1" si="20"/>
        <v>0</v>
      </c>
      <c r="BK51" s="748">
        <f t="shared" ca="1" si="21"/>
        <v>0</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1</v>
      </c>
      <c r="BT51" s="757" t="str">
        <f ca="1">IF(COUNTIFS($BS$6:$BS$53,BS51,$BC$6:$BC$53,INDEX(T_Equipos[Grupo],MATCH(BD51,T_Equipos[NombreEquipo],0)))=1,"-","P."&amp;BS51&amp;" ("&amp;COUNTIFS($BS$6:$BS$53,BS51,$BC$6:$BC$53,INDEX(T_Equipos[Grupo],MATCH(BD51,T_Equipos[NombreEquipo],0)))&amp;")")</f>
        <v>P.1 (4)</v>
      </c>
      <c r="BU51" s="758">
        <f t="shared" ca="1" si="36"/>
        <v>0</v>
      </c>
      <c r="BV51" s="758">
        <f t="shared" ca="1" si="37"/>
        <v>0</v>
      </c>
      <c r="BW51" s="758">
        <f t="shared" ca="1" si="38"/>
        <v>0</v>
      </c>
      <c r="BX51" s="758">
        <f t="shared" ca="1" si="39"/>
        <v>0</v>
      </c>
      <c r="BY51" s="758">
        <f ca="1">BS51+COUNTIFS($BT$6:$BT$53,BT51,$BX$6:BX$53,"&gt;"&amp;BX51,$BC$6:$BC$53,INDEX(T_Equipos[Grupo],MATCH(BD51,T_Equipos[NombreEquipo],0)))</f>
        <v>1</v>
      </c>
      <c r="BZ51" s="757" t="str">
        <f ca="1">IF(COUNTIFS($BY$6:$BY$53,BY51,$BC$6:$BC$53,INDEX(T_Equipos[Grupo],MATCH(BD51,T_Equipos[NombreEquipo],0)))=1,"-","P."&amp;BY51&amp;" ("&amp;COUNTIFS($BY$6:$BY$53,BY51,$BC$6:$BC$53,INDEX(T_Equipos[Grupo],MATCH(BD51,T_Equipos[NombreEquipo],0)))&amp;")")</f>
        <v>P.1 (4)</v>
      </c>
      <c r="CA51" s="758">
        <f t="shared" ca="1" si="40"/>
        <v>0</v>
      </c>
      <c r="CB51" s="758">
        <f t="shared" ca="1" si="41"/>
        <v>0</v>
      </c>
      <c r="CC51" s="758">
        <f t="shared" ca="1" si="42"/>
        <v>0</v>
      </c>
      <c r="CD51" s="758">
        <f ca="1">BY51+COUNTIFS($BZ$6:$BZ$53,BZ51,$CC$6:CC$53,"&gt;"&amp;CC51,$BC$6:$BC$53,INDEX(T_Equipos[Grupo],MATCH(BD51,T_Equipos[NombreEquipo],0)))</f>
        <v>1</v>
      </c>
      <c r="CE51" s="757" t="str">
        <f ca="1">IF(COUNTIFS($CD$6:$CD$53,CD51,$BC$6:$BC$53,INDEX(T_Equipos[Grupo],MATCH(BD51,T_Equipos[NombreEquipo],0)))=1,"-","P."&amp;CD51&amp;" ("&amp;COUNTIFS($CD$6:$CD$53,CD51,$BC$6:$BC$53,INDEX(T_Equipos[Grupo],MATCH(BD51,T_Equipos[NombreEquipo],0)))&amp;")")</f>
        <v>P.1 (4)</v>
      </c>
      <c r="CF51" s="758">
        <f t="shared" ca="1" si="43"/>
        <v>0</v>
      </c>
      <c r="CG51" s="758">
        <f ca="1">CD51+COUNTIFS($CE$6:$CE$53,CE51,$CF$6:CF$53,"&gt;"&amp;CF51,$BC$6:$BC$53,INDEX(T_Equipos[Grupo],MATCH(BD51,T_Equipos[NombreEquipo],0)))</f>
        <v>1</v>
      </c>
      <c r="CH51" s="757" t="str">
        <f ca="1">IF(COUNTIFS($CG$6:$CG$53,CG51,$BC$6:$BC$53,INDEX(T_Equipos[Grupo],MATCH(BD51,T_Equipos[NombreEquipo],0)))=1,"-","P."&amp;CG51&amp;" ("&amp;COUNTIFS($CG$6:$CG$53,CG51,$BC$6:$BC$53,INDEX(T_Equipos[Grupo],MATCH(BD51,T_Equipos[NombreEquipo],0)))&amp;")")</f>
        <v>P.1 (4)</v>
      </c>
      <c r="CI51" s="758">
        <f t="shared" ca="1" si="44"/>
        <v>0</v>
      </c>
      <c r="CJ51" s="758">
        <f t="shared" ca="1" si="45"/>
        <v>0</v>
      </c>
      <c r="CK51" s="758">
        <f t="shared" ca="1" si="46"/>
        <v>0</v>
      </c>
      <c r="CL51" s="758">
        <f t="shared" ca="1" si="47"/>
        <v>0</v>
      </c>
      <c r="CM51" s="758">
        <f ca="1">CG51+COUNTIFS($CH$6:$CH$53,CH51,$CL$6:CL$53,"&gt;"&amp;CL51,$BC$6:$BC$53,INDEX(T_Equipos[Grupo],MATCH(BD51,T_Equipos[NombreEquipo],0)))</f>
        <v>1</v>
      </c>
      <c r="CN51" s="757" t="str">
        <f ca="1">IF(COUNTIFS($CM$6:$CM$53,CM51,$BC$6:$BC$53,INDEX(T_Equipos[Grupo],MATCH(BD51,T_Equipos[NombreEquipo],0)))=1,"-","P."&amp;CM51&amp;" ("&amp;COUNTIFS($CM$6:$CM$53,CM51,$BC$6:$BC$53,INDEX(T_Equipos[Grupo],MATCH(BD51,T_Equipos[NombreEquipo],0)))&amp;")")</f>
        <v>P.1 (4)</v>
      </c>
      <c r="CO51" s="758">
        <f t="shared" ca="1" si="48"/>
        <v>0</v>
      </c>
      <c r="CP51" s="758">
        <f t="shared" ca="1" si="49"/>
        <v>0</v>
      </c>
      <c r="CQ51" s="758">
        <f t="shared" ca="1" si="50"/>
        <v>0</v>
      </c>
      <c r="CR51" s="758">
        <f ca="1">CM51+COUNTIFS($CN$6:$CN$53,CN51,$CQ$6:CQ$53,"&gt;"&amp;CQ51,$BC$6:$BC$53,INDEX(T_Equipos[Grupo],MATCH(BD51,T_Equipos[NombreEquipo],0)))</f>
        <v>1</v>
      </c>
      <c r="CS51" s="757" t="str">
        <f ca="1">IF(COUNTIFS($CR$6:$CR$53,CR51,$BC$6:$BC$53,INDEX(T_Equipos[Grupo],MATCH(BD51,T_Equipos[NombreEquipo],0)))=1,"-","P."&amp;CR51&amp;" ("&amp;COUNTIFS($CR$6:$CR$53,CR51,$BC$6:$BC$53,INDEX(T_Equipos[Grupo],MATCH(BD51,T_Equipos[NombreEquipo],0)))&amp;")")</f>
        <v>P.1 (4)</v>
      </c>
      <c r="CT51" s="758">
        <f t="shared" ca="1" si="51"/>
        <v>0</v>
      </c>
      <c r="CU51" s="758">
        <f ca="1">CR51+COUNTIFS($CS$6:$CS$53,CS51,$CT$6:CT$53,"&gt;"&amp;CT51,$BC$6:$BC$53,INDEX(T_Equipos[Grupo],MATCH(BD51,T_Equipos[NombreEquipo],0)))</f>
        <v>1</v>
      </c>
      <c r="CV51" s="757" t="str">
        <f ca="1">IF(COUNTIFS($CU$6:$CU$53,CU51,$BC$6:$BC$53,INDEX(T_Equipos[Grupo],MATCH(BD51,T_Equipos[NombreEquipo],0)))=1,"-","P."&amp;CU51&amp;" ("&amp;COUNTIFS($CU$6:$CU$53,CU51,$BC$6:$BC$53,INDEX(T_Equipos[Grupo],MATCH(BD51,T_Equipos[NombreEquipo],0)))&amp;")")</f>
        <v>P.1 (4)</v>
      </c>
      <c r="CW51" s="757">
        <f t="shared" ca="1" si="30"/>
        <v>0</v>
      </c>
      <c r="CX51" s="757">
        <f ca="1">CU51+COUNTIFS($CV$6:$CV$53,CV51,$CW$6:CW$53,"&gt;"&amp;CW51,$BC$6:$BC$53,INDEX(T_Equipos[Grupo],MATCH(BD51,T_Equipos[NombreEquipo],0)))</f>
        <v>1</v>
      </c>
      <c r="CY51" s="757" t="str">
        <f ca="1">IF(COUNTIFS($CX$6:$CX$53,CX51,$BC$6:$BC$53,INDEX(T_Equipos[Grupo],MATCH(BD51,T_Equipos[NombreEquipo],0)))=1,"-","P."&amp;CX51&amp;" ("&amp;COUNTIFS($CX$6:$CX$53,CX51,$BC$6:$BC$53,INDEX(T_Equipos[Grupo],MATCH(BD51,T_Equipos[NombreEquipo],0)))&amp;")")</f>
        <v>P.1 (4)</v>
      </c>
      <c r="CZ51" s="757">
        <f t="shared" ca="1" si="31"/>
        <v>0</v>
      </c>
      <c r="DA51" s="758">
        <f ca="1">CX51+COUNTIFS($CY$6:$CY$53,CY51,$CZ$6:CZ$53,"&gt;"&amp;CZ51,$BC$6:$BC$53,INDEX(T_Equipos[Grupo],MATCH(BD51,T_Equipos[NombreEquipo],0)))</f>
        <v>1</v>
      </c>
      <c r="DB51" s="757" t="str">
        <f ca="1">IF(COUNTIFS($DA$6:$DA$53,DA51,$BC$6:$BC$53,INDEX(T_Equipos[Grupo],MATCH(BD51,T_Equipos[NombreEquipo],0)))=1,"-","P."&amp;DA51&amp;" ("&amp;COUNTIFS($DA$6:$DA$53,DA51,$BC$6:$BC$53,INDEX(T_Equipos[Grupo],MATCH(BD51,T_Equipos[NombreEquipo],0)))&amp;")")</f>
        <v>P.1 (4)</v>
      </c>
      <c r="DC51" s="756">
        <f ca="1">IF(DB51="-","-",COUNTIFS(T_Equipos[Rank],"&lt;"&amp;INDEX(T_Equipos[Rank],MATCH(BD51,T_Equipos[NombreEquipo],0)),$BC$6:$BC$53,INDEX(T_Equipos[Grupo],MATCH(BD51,T_Equipos[NombreEquipo],0)))+1)</f>
        <v>2</v>
      </c>
      <c r="DD51" s="756">
        <f ca="1">DA51+COUNTIFS($DB$6:$DB$53,DB51,$DC$6:DC$53,"&lt;"&amp;DC51,$BC$6:$BC$53,INDEX(T_Equipos[Grupo],MATCH(BD51,T_Equipos[NombreEquipo],0)))</f>
        <v>2</v>
      </c>
      <c r="DE51" s="756"/>
      <c r="DF51" s="756">
        <f t="shared" ca="1" si="52"/>
        <v>2</v>
      </c>
      <c r="DG51" s="756">
        <f ca="1">IF(DB51="-","-",COUNTIFS(DF$6:DF$53,"&lt;"&amp;DF51,$BC$6:$BC$53,INDEX(T_Equipos[Grupo],MATCH(BD51,T_Equipos[NombreEquipo],0))))</f>
        <v>1</v>
      </c>
      <c r="DH51" s="756">
        <f ca="1">DA51+COUNTIFS(DB$6:DB$53,DB51,DG$6:DG$53,"&lt;"&amp;DG51,$BC$6:$BC$53,INDEX(T_Equipos[Grupo],MATCH(BD51,T_Equipos[NombreEquipo],0)))</f>
        <v>2</v>
      </c>
      <c r="DI51" s="744"/>
      <c r="DJ51" s="744">
        <f t="shared" ca="1" si="53"/>
        <v>1</v>
      </c>
      <c r="DK51" s="744">
        <f t="shared" ca="1" si="24"/>
        <v>0</v>
      </c>
      <c r="DL51" s="744">
        <f t="shared" ca="1" si="33"/>
        <v>1</v>
      </c>
      <c r="DM51" s="738" t="str">
        <f t="shared" ca="1" si="34"/>
        <v>1.1</v>
      </c>
      <c r="DN51" s="744" cm="1">
        <f t="array" aca="1" ref="DN51" ca="1">OFFSET(Horarios!$P$3,DJ51-1,0,DL51,1)</f>
        <v>1</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(4)</v>
      </c>
      <c r="F52" s="744" t="str">
        <f t="shared" ref="F52:F57" ca="1" si="157">IF(D52="Pendiente","-",INDEX($BT$6:$BT$53,MATCH($AF52,$BD$6:$BD$53,0)))</f>
        <v>P.1 (4)</v>
      </c>
      <c r="G52" s="744"/>
      <c r="H52" s="744" t="str">
        <f t="shared" ref="H52:H57" ca="1" si="158">IF(D52="Pendiente","-",INDEX($BZ$6:$BZ$53,MATCH($AA52,$BD$6:$BD$53,0)))</f>
        <v>P.1 (4)</v>
      </c>
      <c r="I52" s="744" t="str">
        <f t="shared" ref="I52:I57" ca="1" si="159">IF(D52="Pendiente","-",INDEX($BZ$6:$BZ$53,MATCH($AF52,$BD$6:$BD$53,0)))</f>
        <v>P.1 (4)</v>
      </c>
      <c r="J52" s="744"/>
      <c r="K52" s="744" t="str">
        <f t="shared" ref="K52:K57" ca="1" si="160">IF(D52="Pendiente","-",INDEX($CE$6:$CE$53,MATCH($AA52,$BD$6:$BD$53,0)))</f>
        <v>P.1 (4)</v>
      </c>
      <c r="L52" s="744" t="str">
        <f t="shared" ref="L52:L57" ca="1" si="161">IF(D52="Pendiente","-",INDEX($CE$6:$CE$53,MATCH($AF52,$BD$6:$BD$53,0)))</f>
        <v>P.1 (4)</v>
      </c>
      <c r="M52" s="744"/>
      <c r="N52" s="744" t="str">
        <f t="shared" ref="N52:N57" ca="1" si="162">IF(D52="Pendiente","-",INDEX($CH$6:$CH$53,MATCH($AA52,$BD$6:$BD$53,0)))</f>
        <v>P.3 (2)</v>
      </c>
      <c r="O52" s="744" t="str">
        <f t="shared" ref="O52:O57" ca="1" si="163">IF(D52="Pendiente","-",INDEX($CH$6:$CH$53,MATCH($AF52,$BD$6:$BD$53,0)))</f>
        <v>P.3 (2)</v>
      </c>
      <c r="P52" s="744"/>
      <c r="Q52" s="744" t="str">
        <f t="shared" ref="Q52:Q57" ca="1" si="164">IF(D52="Pendiente","-",INDEX($CN$6:$CN$53,MATCH($AA52,$BD$6:$BD$53,0)))</f>
        <v>P.3 (2)</v>
      </c>
      <c r="R52" s="744" t="str">
        <f t="shared" ref="R52:R57" ca="1" si="165">IF(D52="Pendiente","-",INDEX($CN$6:$CN$53,MATCH($AF52,$BD$6:$BD$53,0)))</f>
        <v>P.3 (2)</v>
      </c>
      <c r="S52" s="744"/>
      <c r="T52" s="744" t="str">
        <f t="shared" ref="T52:T57" ca="1" si="166">IF(D52="Pendiente","-",INDEX($CS$6:$CS$53,MATCH($AA52,$BD$6:$BD$53,0)))</f>
        <v>P.3 (2)</v>
      </c>
      <c r="U52" s="744" t="str">
        <f t="shared" ref="U52:U57" ca="1" si="167">IF(D52="Pendiente","-",INDEX($CS$6:$CS$53,MATCH($AF52,$BD$6:$BD$53,0)))</f>
        <v>P.3 (2)</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0</v>
      </c>
      <c r="BF52" s="748">
        <f t="shared" ca="1" si="26"/>
        <v>0</v>
      </c>
      <c r="BG52" s="748">
        <f t="shared" ca="1" si="17"/>
        <v>0</v>
      </c>
      <c r="BH52" s="748">
        <f t="shared" ca="1" si="18"/>
        <v>0</v>
      </c>
      <c r="BI52" s="748">
        <f t="shared" ca="1" si="19"/>
        <v>0</v>
      </c>
      <c r="BJ52" s="748">
        <f t="shared" ca="1" si="20"/>
        <v>0</v>
      </c>
      <c r="BK52" s="748">
        <f t="shared" ca="1" si="21"/>
        <v>0</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0</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(4)</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(4)</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(4)</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(4)</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(4)</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(4)</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(4)</v>
      </c>
      <c r="CW52" s="757">
        <f t="shared" ca="1" si="30"/>
        <v>0</v>
      </c>
      <c r="CX52" s="757">
        <f ca="1">CU52+COUNTIFS($CV$6:$CV$53,CV52,$CW$6:CW$53,"&gt;"&amp;CW52,$BC$6:$BC$53,INDEX(T_Equipos[Grupo],MATCH(BD52,T_Equipos[NombreEquipo],0)))</f>
        <v>1</v>
      </c>
      <c r="CY52" s="757" t="str">
        <f ca="1">IF(COUNTIFS($CX$6:$CX$53,CX52,$BC$6:$BC$53,INDEX(T_Equipos[Grupo],MATCH(BD52,T_Equipos[NombreEquipo],0)))=1,"-","P."&amp;CX52&amp;" ("&amp;COUNTIFS($CX$6:$CX$53,CX52,$BC$6:$BC$53,INDEX(T_Equipos[Grupo],MATCH(BD52,T_Equipos[NombreEquipo],0)))&amp;")")</f>
        <v>P.1 (4)</v>
      </c>
      <c r="CZ52" s="757">
        <f t="shared" ca="1" si="31"/>
        <v>0</v>
      </c>
      <c r="DA52" s="758">
        <f ca="1">CX52+COUNTIFS($CY$6:$CY$53,CY52,$CZ$6:CZ$53,"&gt;"&amp;CZ52,$BC$6:$BC$53,INDEX(T_Equipos[Grupo],MATCH(BD52,T_Equipos[NombreEquipo],0)))</f>
        <v>1</v>
      </c>
      <c r="DB52" s="757" t="str">
        <f ca="1">IF(COUNTIFS($DA$6:$DA$53,DA52,$BC$6:$BC$53,INDEX(T_Equipos[Grupo],MATCH(BD52,T_Equipos[NombreEquipo],0)))=1,"-","P."&amp;DA52&amp;" ("&amp;COUNTIFS($DA$6:$DA$53,DA52,$BC$6:$BC$53,INDEX(T_Equipos[Grupo],MATCH(BD52,T_Equipos[NombreEquipo],0)))&amp;")")</f>
        <v>P.1 (4)</v>
      </c>
      <c r="DC52" s="756">
        <f ca="1">IF(DB52="-","-",COUNTIFS(T_Equipos[Rank],"&lt;"&amp;INDEX(T_Equipos[Rank],MATCH(BD52,T_Equipos[NombreEquipo],0)),$BC$6:$BC$53,INDEX(T_Equipos[Grupo],MATCH(BD52,T_Equipos[NombreEquipo],0)))+1)</f>
        <v>3</v>
      </c>
      <c r="DD52" s="756">
        <f ca="1">DA52+COUNTIFS($DB$6:$DB$53,DB52,$DC$6:DC$53,"&lt;"&amp;DC52,$BC$6:$BC$53,INDEX(T_Equipos[Grupo],MATCH(BD52,T_Equipos[NombreEquipo],0)))</f>
        <v>3</v>
      </c>
      <c r="DE52" s="756"/>
      <c r="DF52" s="756">
        <f t="shared" ca="1" si="52"/>
        <v>3</v>
      </c>
      <c r="DG52" s="756">
        <f ca="1">IF(DB52="-","-",COUNTIFS(DF$6:DF$53,"&lt;"&amp;DF52,$BC$6:$BC$53,INDEX(T_Equipos[Grupo],MATCH(BD52,T_Equipos[NombreEquipo],0))))</f>
        <v>2</v>
      </c>
      <c r="DH52" s="756">
        <f ca="1">DA52+COUNTIFS(DB$6:DB$53,DB52,DG$6:DG$53,"&lt;"&amp;DG52,$BC$6:$BC$53,INDEX(T_Equipos[Grupo],MATCH(BD52,T_Equipos[NombreEquipo],0)))</f>
        <v>3</v>
      </c>
      <c r="DI52" s="744"/>
      <c r="DJ52" s="744">
        <f t="shared" ca="1" si="53"/>
        <v>1</v>
      </c>
      <c r="DK52" s="744">
        <f t="shared" ca="1" si="24"/>
        <v>0</v>
      </c>
      <c r="DL52" s="744">
        <f t="shared" ca="1" si="33"/>
        <v>1</v>
      </c>
      <c r="DM52" s="738" t="str">
        <f t="shared" ca="1" si="34"/>
        <v>1.1</v>
      </c>
      <c r="DN52" s="744" cm="1">
        <f t="array" aca="1" ref="DN52" ca="1">OFFSET(Horarios!$P$3,DJ52-1,0,DL52,1)</f>
        <v>1</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P.1 (4)</v>
      </c>
      <c r="F53" s="744" t="str">
        <f t="shared" ca="1" si="157"/>
        <v>P.1 (4)</v>
      </c>
      <c r="G53" s="744"/>
      <c r="H53" s="744" t="str">
        <f t="shared" ca="1" si="158"/>
        <v>P.1 (4)</v>
      </c>
      <c r="I53" s="744" t="str">
        <f t="shared" ca="1" si="159"/>
        <v>P.1 (4)</v>
      </c>
      <c r="J53" s="744"/>
      <c r="K53" s="744" t="str">
        <f t="shared" ca="1" si="160"/>
        <v>P.1 (4)</v>
      </c>
      <c r="L53" s="744" t="str">
        <f t="shared" ca="1" si="161"/>
        <v>P.1 (4)</v>
      </c>
      <c r="M53" s="744"/>
      <c r="N53" s="744" t="str">
        <f t="shared" ca="1" si="162"/>
        <v>P.1 (2)</v>
      </c>
      <c r="O53" s="744" t="str">
        <f t="shared" ca="1" si="163"/>
        <v>P.1 (2)</v>
      </c>
      <c r="P53" s="744"/>
      <c r="Q53" s="744" t="str">
        <f t="shared" ca="1" si="164"/>
        <v>P.1 (2)</v>
      </c>
      <c r="R53" s="744" t="str">
        <f t="shared" ca="1" si="165"/>
        <v>P.1 (2)</v>
      </c>
      <c r="S53" s="744"/>
      <c r="T53" s="744" t="str">
        <f t="shared" ca="1" si="166"/>
        <v>P.1 (2)</v>
      </c>
      <c r="U53" s="744" t="str">
        <f t="shared" ca="1" si="167"/>
        <v>P.1 (2)</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0</v>
      </c>
      <c r="BG53" s="748">
        <f t="shared" ca="1" si="17"/>
        <v>0</v>
      </c>
      <c r="BH53" s="748">
        <f t="shared" ca="1" si="18"/>
        <v>0</v>
      </c>
      <c r="BI53" s="748">
        <f t="shared" ca="1" si="19"/>
        <v>0</v>
      </c>
      <c r="BJ53" s="748">
        <f t="shared" ca="1" si="20"/>
        <v>0</v>
      </c>
      <c r="BK53" s="748">
        <f t="shared" ca="1" si="21"/>
        <v>0</v>
      </c>
      <c r="BL53" s="748">
        <f t="shared" ca="1" si="27"/>
        <v>0</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1</v>
      </c>
      <c r="BT53" s="757" t="str">
        <f ca="1">IF(COUNTIFS($BS$6:$BS$53,BS53,$BC$6:$BC$53,INDEX(T_Equipos[Grupo],MATCH(BD53,T_Equipos[NombreEquipo],0)))=1,"-","P."&amp;BS53&amp;" ("&amp;COUNTIFS($BS$6:$BS$53,BS53,$BC$6:$BC$53,INDEX(T_Equipos[Grupo],MATCH(BD53,T_Equipos[NombreEquipo],0)))&amp;")")</f>
        <v>P.1 (4)</v>
      </c>
      <c r="BU53" s="758">
        <f t="shared" ca="1" si="36"/>
        <v>0</v>
      </c>
      <c r="BV53" s="758">
        <f t="shared" ca="1" si="37"/>
        <v>0</v>
      </c>
      <c r="BW53" s="758">
        <f t="shared" ca="1" si="38"/>
        <v>0</v>
      </c>
      <c r="BX53" s="758">
        <f t="shared" ca="1" si="39"/>
        <v>0</v>
      </c>
      <c r="BY53" s="758">
        <f ca="1">BS53+COUNTIFS($BT$6:$BT$53,BT53,$BX$6:BX$53,"&gt;"&amp;BX53,$BC$6:$BC$53,INDEX(T_Equipos[Grupo],MATCH(BD53,T_Equipos[NombreEquipo],0)))</f>
        <v>1</v>
      </c>
      <c r="BZ53" s="757" t="str">
        <f ca="1">IF(COUNTIFS($BY$6:$BY$53,BY53,$BC$6:$BC$53,INDEX(T_Equipos[Grupo],MATCH(BD53,T_Equipos[NombreEquipo],0)))=1,"-","P."&amp;BY53&amp;" ("&amp;COUNTIFS($BY$6:$BY$53,BY53,$BC$6:$BC$53,INDEX(T_Equipos[Grupo],MATCH(BD53,T_Equipos[NombreEquipo],0)))&amp;")")</f>
        <v>P.1 (4)</v>
      </c>
      <c r="CA53" s="758">
        <f t="shared" ca="1" si="40"/>
        <v>0</v>
      </c>
      <c r="CB53" s="758">
        <f t="shared" ca="1" si="41"/>
        <v>0</v>
      </c>
      <c r="CC53" s="758">
        <f t="shared" ca="1" si="42"/>
        <v>0</v>
      </c>
      <c r="CD53" s="758">
        <f ca="1">BY53+COUNTIFS($BZ$6:$BZ$53,BZ53,$CC$6:CC$53,"&gt;"&amp;CC53,$BC$6:$BC$53,INDEX(T_Equipos[Grupo],MATCH(BD53,T_Equipos[NombreEquipo],0)))</f>
        <v>1</v>
      </c>
      <c r="CE53" s="757" t="str">
        <f ca="1">IF(COUNTIFS($CD$6:$CD$53,CD53,$BC$6:$BC$53,INDEX(T_Equipos[Grupo],MATCH(BD53,T_Equipos[NombreEquipo],0)))=1,"-","P."&amp;CD53&amp;" ("&amp;COUNTIFS($CD$6:$CD$53,CD53,$BC$6:$BC$53,INDEX(T_Equipos[Grupo],MATCH(BD53,T_Equipos[NombreEquipo],0)))&amp;")")</f>
        <v>P.1 (4)</v>
      </c>
      <c r="CF53" s="758">
        <f t="shared" ca="1" si="43"/>
        <v>0</v>
      </c>
      <c r="CG53" s="758">
        <f ca="1">CD53+COUNTIFS($CE$6:$CE$53,CE53,$CF$6:CF$53,"&gt;"&amp;CF53,$BC$6:$BC$53,INDEX(T_Equipos[Grupo],MATCH(BD53,T_Equipos[NombreEquipo],0)))</f>
        <v>1</v>
      </c>
      <c r="CH53" s="757" t="str">
        <f ca="1">IF(COUNTIFS($CG$6:$CG$53,CG53,$BC$6:$BC$53,INDEX(T_Equipos[Grupo],MATCH(BD53,T_Equipos[NombreEquipo],0)))=1,"-","P."&amp;CG53&amp;" ("&amp;COUNTIFS($CG$6:$CG$53,CG53,$BC$6:$BC$53,INDEX(T_Equipos[Grupo],MATCH(BD53,T_Equipos[NombreEquipo],0)))&amp;")")</f>
        <v>P.1 (4)</v>
      </c>
      <c r="CI53" s="758">
        <f t="shared" ca="1" si="44"/>
        <v>0</v>
      </c>
      <c r="CJ53" s="758">
        <f t="shared" ca="1" si="45"/>
        <v>0</v>
      </c>
      <c r="CK53" s="758">
        <f t="shared" ca="1" si="46"/>
        <v>0</v>
      </c>
      <c r="CL53" s="758">
        <f t="shared" ca="1" si="47"/>
        <v>0</v>
      </c>
      <c r="CM53" s="758">
        <f ca="1">CG53+COUNTIFS($CH$6:$CH$53,CH53,$CL$6:CL$53,"&gt;"&amp;CL53,$BC$6:$BC$53,INDEX(T_Equipos[Grupo],MATCH(BD53,T_Equipos[NombreEquipo],0)))</f>
        <v>1</v>
      </c>
      <c r="CN53" s="757" t="str">
        <f ca="1">IF(COUNTIFS($CM$6:$CM$53,CM53,$BC$6:$BC$53,INDEX(T_Equipos[Grupo],MATCH(BD53,T_Equipos[NombreEquipo],0)))=1,"-","P."&amp;CM53&amp;" ("&amp;COUNTIFS($CM$6:$CM$53,CM53,$BC$6:$BC$53,INDEX(T_Equipos[Grupo],MATCH(BD53,T_Equipos[NombreEquipo],0)))&amp;")")</f>
        <v>P.1 (4)</v>
      </c>
      <c r="CO53" s="758">
        <f t="shared" ca="1" si="48"/>
        <v>0</v>
      </c>
      <c r="CP53" s="758">
        <f t="shared" ca="1" si="49"/>
        <v>0</v>
      </c>
      <c r="CQ53" s="758">
        <f t="shared" ca="1" si="50"/>
        <v>0</v>
      </c>
      <c r="CR53" s="758">
        <f ca="1">CM53+COUNTIFS($CN$6:$CN$53,CN53,$CQ$6:CQ$53,"&gt;"&amp;CQ53,$BC$6:$BC$53,INDEX(T_Equipos[Grupo],MATCH(BD53,T_Equipos[NombreEquipo],0)))</f>
        <v>1</v>
      </c>
      <c r="CS53" s="757" t="str">
        <f ca="1">IF(COUNTIFS($CR$6:$CR$53,CR53,$BC$6:$BC$53,INDEX(T_Equipos[Grupo],MATCH(BD53,T_Equipos[NombreEquipo],0)))=1,"-","P."&amp;CR53&amp;" ("&amp;COUNTIFS($CR$6:$CR$53,CR53,$BC$6:$BC$53,INDEX(T_Equipos[Grupo],MATCH(BD53,T_Equipos[NombreEquipo],0)))&amp;")")</f>
        <v>P.1 (4)</v>
      </c>
      <c r="CT53" s="758">
        <f t="shared" ca="1" si="51"/>
        <v>0</v>
      </c>
      <c r="CU53" s="758">
        <f ca="1">CR53+COUNTIFS($CS$6:$CS$53,CS53,$CT$6:CT$53,"&gt;"&amp;CT53,$BC$6:$BC$53,INDEX(T_Equipos[Grupo],MATCH(BD53,T_Equipos[NombreEquipo],0)))</f>
        <v>1</v>
      </c>
      <c r="CV53" s="757" t="str">
        <f ca="1">IF(COUNTIFS($CU$6:$CU$53,CU53,$BC$6:$BC$53,INDEX(T_Equipos[Grupo],MATCH(BD53,T_Equipos[NombreEquipo],0)))=1,"-","P."&amp;CU53&amp;" ("&amp;COUNTIFS($CU$6:$CU$53,CU53,$BC$6:$BC$53,INDEX(T_Equipos[Grupo],MATCH(BD53,T_Equipos[NombreEquipo],0)))&amp;")")</f>
        <v>P.1 (4)</v>
      </c>
      <c r="CW53" s="757">
        <f t="shared" ca="1" si="30"/>
        <v>0</v>
      </c>
      <c r="CX53" s="757">
        <f ca="1">CU53+COUNTIFS($CV$6:$CV$53,CV53,$CW$6:CW$53,"&gt;"&amp;CW53,$BC$6:$BC$53,INDEX(T_Equipos[Grupo],MATCH(BD53,T_Equipos[NombreEquipo],0)))</f>
        <v>1</v>
      </c>
      <c r="CY53" s="757" t="str">
        <f ca="1">IF(COUNTIFS($CX$6:$CX$53,CX53,$BC$6:$BC$53,INDEX(T_Equipos[Grupo],MATCH(BD53,T_Equipos[NombreEquipo],0)))=1,"-","P."&amp;CX53&amp;" ("&amp;COUNTIFS($CX$6:$CX$53,CX53,$BC$6:$BC$53,INDEX(T_Equipos[Grupo],MATCH(BD53,T_Equipos[NombreEquipo],0)))&amp;")")</f>
        <v>P.1 (4)</v>
      </c>
      <c r="CZ53" s="757">
        <f t="shared" ca="1" si="31"/>
        <v>0</v>
      </c>
      <c r="DA53" s="758">
        <f ca="1">CX53+COUNTIFS($CY$6:$CY$53,CY53,$CZ$6:CZ$53,"&gt;"&amp;CZ53,$BC$6:$BC$53,INDEX(T_Equipos[Grupo],MATCH(BD53,T_Equipos[NombreEquipo],0)))</f>
        <v>1</v>
      </c>
      <c r="DB53" s="757" t="str">
        <f ca="1">IF(COUNTIFS($DA$6:$DA$53,DA53,$BC$6:$BC$53,INDEX(T_Equipos[Grupo],MATCH(BD53,T_Equipos[NombreEquipo],0)))=1,"-","P."&amp;DA53&amp;" ("&amp;COUNTIFS($DA$6:$DA$53,DA53,$BC$6:$BC$53,INDEX(T_Equipos[Grupo],MATCH(BD53,T_Equipos[NombreEquipo],0)))&amp;")")</f>
        <v>P.1 (4)</v>
      </c>
      <c r="DC53" s="756">
        <f ca="1">IF(DB53="-","-",COUNTIFS(T_Equipos[Rank],"&lt;"&amp;INDEX(T_Equipos[Rank],MATCH(BD53,T_Equipos[NombreEquipo],0)),$BC$6:$BC$53,INDEX(T_Equipos[Grupo],MATCH(BD53,T_Equipos[NombreEquipo],0)))+1)</f>
        <v>4</v>
      </c>
      <c r="DD53" s="756">
        <f ca="1">DA53+COUNTIFS($DB$6:$DB$53,DB53,$DC$6:DC$53,"&lt;"&amp;DC53,$BC$6:$BC$53,INDEX(T_Equipos[Grupo],MATCH(BD53,T_Equipos[NombreEquipo],0)))</f>
        <v>4</v>
      </c>
      <c r="DE53" s="756"/>
      <c r="DF53" s="756">
        <f t="shared" ca="1" si="52"/>
        <v>4</v>
      </c>
      <c r="DG53" s="756">
        <f ca="1">IF(DB53="-","-",COUNTIFS(DF$6:DF$53,"&lt;"&amp;DF53,$BC$6:$BC$53,INDEX(T_Equipos[Grupo],MATCH(BD53,T_Equipos[NombreEquipo],0))))</f>
        <v>3</v>
      </c>
      <c r="DH53" s="756">
        <f ca="1">DA53+COUNTIFS(DB$6:DB$53,DB53,DG$6:DG$53,"&lt;"&amp;DG53,$BC$6:$BC$53,INDEX(T_Equipos[Grupo],MATCH(BD53,T_Equipos[NombreEquipo],0)))</f>
        <v>4</v>
      </c>
      <c r="DI53" s="744"/>
      <c r="DJ53" s="744">
        <f t="shared" ca="1" si="53"/>
        <v>1</v>
      </c>
      <c r="DK53" s="744">
        <f t="shared" ca="1" si="24"/>
        <v>0</v>
      </c>
      <c r="DL53" s="744">
        <f t="shared" ca="1" si="33"/>
        <v>1</v>
      </c>
      <c r="DM53" s="738" t="str">
        <f t="shared" ca="1" si="34"/>
        <v>1.1</v>
      </c>
      <c r="DN53" s="744" cm="1">
        <f t="array" aca="1" ref="DN53" ca="1">OFFSET(Horarios!$P$3,DJ53-1,0,DL53,1)</f>
        <v>1</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Pendiente</v>
      </c>
      <c r="E54" s="744" t="str">
        <f t="shared" si="156"/>
        <v>-</v>
      </c>
      <c r="F54" s="744" t="str">
        <f t="shared" si="157"/>
        <v>-</v>
      </c>
      <c r="G54" s="744"/>
      <c r="H54" s="744" t="str">
        <f t="shared" si="158"/>
        <v>-</v>
      </c>
      <c r="I54" s="744" t="str">
        <f t="shared" si="159"/>
        <v>-</v>
      </c>
      <c r="J54" s="744"/>
      <c r="K54" s="744" t="str">
        <f t="shared" si="160"/>
        <v>-</v>
      </c>
      <c r="L54" s="744" t="str">
        <f t="shared" si="161"/>
        <v>-</v>
      </c>
      <c r="M54" s="744"/>
      <c r="N54" s="744" t="str">
        <f t="shared" si="162"/>
        <v>-</v>
      </c>
      <c r="O54" s="744" t="str">
        <f t="shared" si="163"/>
        <v>-</v>
      </c>
      <c r="P54" s="744"/>
      <c r="Q54" s="744" t="str">
        <f t="shared" si="164"/>
        <v>-</v>
      </c>
      <c r="R54" s="744" t="str">
        <f t="shared" si="165"/>
        <v>-</v>
      </c>
      <c r="S54" s="744"/>
      <c r="T54" s="744" t="str">
        <f t="shared" si="166"/>
        <v>-</v>
      </c>
      <c r="U54" s="744" t="str">
        <f t="shared"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7">
        <f t="array" aca="1" ref="AK54" ca="1">Ver_flag_visit</f>
        <v>#VALUE!</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Pendiente</v>
      </c>
      <c r="E55" s="744" t="str">
        <f t="shared" si="156"/>
        <v>-</v>
      </c>
      <c r="F55" s="744" t="str">
        <f t="shared" si="157"/>
        <v>-</v>
      </c>
      <c r="G55" s="744"/>
      <c r="H55" s="744" t="str">
        <f t="shared" si="158"/>
        <v>-</v>
      </c>
      <c r="I55" s="744" t="str">
        <f t="shared" si="159"/>
        <v>-</v>
      </c>
      <c r="J55" s="744"/>
      <c r="K55" s="744" t="str">
        <f t="shared" si="160"/>
        <v>-</v>
      </c>
      <c r="L55" s="744" t="str">
        <f t="shared" si="161"/>
        <v>-</v>
      </c>
      <c r="M55" s="744"/>
      <c r="N55" s="744" t="str">
        <f t="shared" si="162"/>
        <v>-</v>
      </c>
      <c r="O55" s="744" t="str">
        <f t="shared" si="163"/>
        <v>-</v>
      </c>
      <c r="P55" s="744"/>
      <c r="Q55" s="744" t="str">
        <f t="shared" si="164"/>
        <v>-</v>
      </c>
      <c r="R55" s="744" t="str">
        <f t="shared" si="165"/>
        <v>-</v>
      </c>
      <c r="S55" s="744"/>
      <c r="T55" s="744" t="str">
        <f t="shared" si="166"/>
        <v>-</v>
      </c>
      <c r="U55" s="744" t="str">
        <f t="shared" si="167"/>
        <v>-</v>
      </c>
      <c r="V55" s="172"/>
      <c r="W55" s="824"/>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8">
        <f t="array" aca="1" ref="AK55" ca="1">Ver_flag_visit</f>
        <v>#VALUE!</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6">
        <f t="array" aca="1" ref="AK57" ca="1">Ver_flag_visit</f>
        <v>#VALUE!</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0</v>
      </c>
      <c r="BF58" s="748">
        <f ca="1">+BG58+BH58+BI58</f>
        <v>1</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8">
        <f ca="1">BJ58-BK58</f>
        <v>-1</v>
      </c>
      <c r="BM58" s="748">
        <f ca="1">CB58</f>
        <v>8</v>
      </c>
      <c r="BN58" s="748">
        <f ca="1">CF58</f>
        <v>8</v>
      </c>
      <c r="BO58" s="738" t="str">
        <f>"4"&amp;BC58</f>
        <v>4A</v>
      </c>
      <c r="BP58" s="738"/>
      <c r="BQ58" s="738"/>
      <c r="BR58" s="748">
        <f t="shared" ref="BR58:BR69" ca="1" si="179">+BE58</f>
        <v>0</v>
      </c>
      <c r="BS58" s="748">
        <f ca="1">COUNTIFS(BR$58:BR$69,"&gt;"&amp;BR58)+1</f>
        <v>6</v>
      </c>
      <c r="BT58" s="748" t="str">
        <f ca="1">IF(COUNTIF(BS$58:BS$69,BS58)=1,"-","Pos. "&amp;BS58&amp;" ("&amp;COUNTIF(BS$58:BS$69,BS58)&amp;")")</f>
        <v>Pos. 6 (7)</v>
      </c>
      <c r="BU58" s="748">
        <f t="shared" ref="BU58:BU69" ca="1" si="180">IF(BT58="-","-",BL58)</f>
        <v>-1</v>
      </c>
      <c r="BV58" s="748">
        <f t="shared" ref="BV58:BV69" ca="1" si="181">BS58+COUNTIFS(BT$58:BT$69,BT58,BU$58:BU$69,"&gt;"&amp;BU58)</f>
        <v>8</v>
      </c>
      <c r="BW58" s="748" t="str">
        <f t="shared" ref="BW58:BW69" ca="1" si="182">IF(COUNTIF(BV$58:BV$69,BV58)=1,"-","Pos. "&amp;BV58&amp;" ("&amp;COUNTIF(BV$58:BV$69,BV58)&amp;")")</f>
        <v>Pos. 8 (2)</v>
      </c>
      <c r="BX58" s="748">
        <f t="shared" ref="BX58:BX69" ca="1" si="183">IF(BW58="-","-",BJ58)</f>
        <v>1</v>
      </c>
      <c r="BY58" s="748">
        <f t="shared" ref="BY58:BY69" ca="1" si="184">BV58+COUNTIFS(BW$58:BW$69,BW58,BX$58:BX$69,"&gt;"&amp;BX58)</f>
        <v>8</v>
      </c>
      <c r="BZ58" s="748" t="str">
        <f t="shared" ref="BZ58:BZ69" ca="1" si="185">IF(COUNTIF(BY$58:BY$69,BY58)=1,"-","Pos. "&amp;BY58&amp;" ("&amp;COUNTIF(BY$58:BY$69,BY58)&amp;")")</f>
        <v>-</v>
      </c>
      <c r="CA58" s="748" t="str">
        <f ca="1">IF(BZ58="-","-",COUNTIF($BD$58:$BD$69,"&gt;"&amp;BD58))</f>
        <v>-</v>
      </c>
      <c r="CB58" s="748">
        <f ca="1">BY58+COUNTIFS(BZ$58:BZ$69,BZ58,CA$58:CA$69,"&gt;"&amp;CA58)</f>
        <v>8</v>
      </c>
      <c r="CC58" s="748"/>
      <c r="CD58" s="748">
        <f ca="1">IF(OR(INDEX($AW$102:$AW$113,MATCH($BD58,$AV$102:$AV$113,0))="",BZ58="-"),CB58,INDEX($AW$102:$AW$113,MATCH($BD58,$AV$102:$AV$113,0))+CB58/1000)</f>
        <v>8</v>
      </c>
      <c r="CE58" s="748" t="str">
        <f ca="1">IF(BZ58="-","-",COUNTIF(CD$58:CD$69,"&lt;"&amp;CD58))</f>
        <v>-</v>
      </c>
      <c r="CF58" s="748">
        <f ca="1">BY58+COUNTIFS(BZ$58:BZ$69,BZ58,CE$58:CE$69,"&lt;"&amp;CE58)</f>
        <v>8</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Japón</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Catar</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1</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0</v>
      </c>
      <c r="BJ59" s="748">
        <f t="shared" ca="1" si="177"/>
        <v>1</v>
      </c>
      <c r="BK59" s="748">
        <f t="shared" ca="1" si="178"/>
        <v>1</v>
      </c>
      <c r="BL59" s="748">
        <f t="shared" ref="BL59:BL69" ca="1" si="193">BJ59-BK59</f>
        <v>0</v>
      </c>
      <c r="BM59" s="748">
        <f t="shared" ref="BM59:BM69" ca="1" si="194">CB59</f>
        <v>3</v>
      </c>
      <c r="BN59" s="748">
        <f t="shared" ref="BN59:BN69" ca="1" si="195">CF59</f>
        <v>3</v>
      </c>
      <c r="BO59" s="738" t="str">
        <f t="shared" ref="BO59:BO69" si="196">"4"&amp;BC59</f>
        <v>4B</v>
      </c>
      <c r="BP59" s="738"/>
      <c r="BQ59" s="738"/>
      <c r="BR59" s="748">
        <f t="shared" ca="1" si="179"/>
        <v>1</v>
      </c>
      <c r="BS59" s="748">
        <f t="shared" ref="BS59:BS69" ca="1" si="197">COUNTIFS(BR$58:BR$69,"&gt;"&amp;BR59)+1</f>
        <v>1</v>
      </c>
      <c r="BT59" s="748" t="str">
        <f t="shared" ref="BT59:BT69" ca="1" si="198">IF(COUNTIF(BS$58:BS$69,BS59)=1,"-","Pos. "&amp;BS59&amp;" ("&amp;COUNTIF(BS$58:BS$69,BS59)&amp;")")</f>
        <v>Pos. 1 (5)</v>
      </c>
      <c r="BU59" s="748">
        <f t="shared" ca="1" si="180"/>
        <v>0</v>
      </c>
      <c r="BV59" s="748">
        <f t="shared" ca="1" si="181"/>
        <v>1</v>
      </c>
      <c r="BW59" s="748" t="str">
        <f t="shared" ca="1" si="182"/>
        <v>Pos. 1 (5)</v>
      </c>
      <c r="BX59" s="748">
        <f t="shared" ca="1" si="183"/>
        <v>1</v>
      </c>
      <c r="BY59" s="748">
        <f t="shared" ca="1" si="184"/>
        <v>2</v>
      </c>
      <c r="BZ59" s="748" t="str">
        <f t="shared" ca="1" si="185"/>
        <v>Pos. 2 (3)</v>
      </c>
      <c r="CA59" s="748">
        <f t="shared" ref="CA59:CA69" ca="1" si="199">IF(BZ59="-","-",COUNTIF($BD$58:$BD$69,"&gt;"&amp;BD59))</f>
        <v>10</v>
      </c>
      <c r="CB59" s="748">
        <f t="shared" ref="CB59:CB68" ca="1" si="200">BY59+COUNTIFS(BZ$58:BZ$69,BZ59,CA$58:CA$69,"&gt;"&amp;CA59)</f>
        <v>3</v>
      </c>
      <c r="CC59" s="748"/>
      <c r="CD59" s="748">
        <f t="shared" ref="CD59:CD69" ca="1" si="201">IF(OR(INDEX($AW$102:$AW$113,MATCH($BD59,$AV$102:$AV$113,0))="",BZ59="-"),CB59,INDEX($AW$102:$AW$113,MATCH($BD59,$AV$102:$AV$113,0))+CB59/1000)</f>
        <v>3</v>
      </c>
      <c r="CE59" s="748">
        <f t="shared" ref="CE59:CE69" ca="1" si="202">IF(BZ59="-","-",COUNTIF(CD$58:CD$69,"&lt;"&amp;CD59))</f>
        <v>2</v>
      </c>
      <c r="CF59" s="748">
        <f t="shared" ref="CF59:CF69" ca="1" si="203">BY59+COUNTIFS(BZ$58:BZ$69,BZ59,CE$58:CE$69,"&lt;"&amp;CE59)</f>
        <v>3</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Bélgica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P.1 (4)</v>
      </c>
      <c r="F60" s="744" t="str">
        <f t="shared" ref="F60:F65" ca="1" si="208">IF(D60="Pendiente","-",INDEX($BT$6:$BT$53,MATCH($AF60,$BD$6:$BD$53,0)))</f>
        <v>P.1 (4)</v>
      </c>
      <c r="G60" s="744"/>
      <c r="H60" s="744" t="str">
        <f t="shared" ref="H60:H65" ca="1" si="209">IF(D60="Pendiente","-",INDEX($BZ$6:$BZ$53,MATCH($AA60,$BD$6:$BD$53,0)))</f>
        <v>P.1 (4)</v>
      </c>
      <c r="I60" s="744" t="str">
        <f t="shared" ref="I60:I65" ca="1" si="210">IF(D60="Pendiente","-",INDEX($BZ$6:$BZ$53,MATCH($AF60,$BD$6:$BD$53,0)))</f>
        <v>P.1 (4)</v>
      </c>
      <c r="J60" s="744"/>
      <c r="K60" s="744" t="str">
        <f t="shared" ref="K60:K65" ca="1" si="211">IF(D60="Pendiente","-",INDEX($CE$6:$CE$53,MATCH($AA60,$BD$6:$BD$53,0)))</f>
        <v>P.1 (4)</v>
      </c>
      <c r="L60" s="744" t="str">
        <f t="shared" ref="L60:L65" ca="1" si="212">IF(D60="Pendiente","-",INDEX($CE$6:$CE$53,MATCH($AF60,$BD$6:$BD$53,0)))</f>
        <v>P.1 (4)</v>
      </c>
      <c r="M60" s="744"/>
      <c r="N60" s="744" t="str">
        <f t="shared" ref="N60:N65" ca="1" si="213">IF(D60="Pendiente","-",INDEX($CH$6:$CH$53,MATCH($AA60,$BD$6:$BD$53,0)))</f>
        <v>P.3 (2)</v>
      </c>
      <c r="O60" s="744" t="str">
        <f t="shared" ref="O60:O65" ca="1" si="214">IF(D60="Pendiente","-",INDEX($CH$6:$CH$53,MATCH($AF60,$BD$6:$BD$53,0)))</f>
        <v>P.3 (2)</v>
      </c>
      <c r="P60" s="744"/>
      <c r="Q60" s="744" t="str">
        <f t="shared" ref="Q60:Q65" ca="1" si="215">IF(D60="Pendiente","-",INDEX($CN$6:$CN$53,MATCH($AA60,$BD$6:$BD$53,0)))</f>
        <v>P.3 (2)</v>
      </c>
      <c r="R60" s="744" t="str">
        <f t="shared" ref="R60:R65" ca="1" si="216">IF(D60="Pendiente","-",INDEX($CN$6:$CN$53,MATCH($AF60,$BD$6:$BD$53,0)))</f>
        <v>P.3 (2)</v>
      </c>
      <c r="S60" s="744"/>
      <c r="T60" s="744" t="str">
        <f t="shared" ref="T60:T65" ca="1" si="217">IF(D60="Pendiente","-",INDEX($CS$6:$CS$53,MATCH($AA60,$BD$6:$BD$53,0)))</f>
        <v>P.3 (2)</v>
      </c>
      <c r="U60" s="744" t="str">
        <f t="shared" ref="U60:U65" ca="1" si="218">IF(D60="Pendiente","-",INDEX($CS$6:$CS$53,MATCH($AF60,$BD$6:$BD$53,0)))</f>
        <v>P.3 (2)</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Marruecos</v>
      </c>
      <c r="BE60" s="748">
        <f t="shared" ca="1" si="189"/>
        <v>1</v>
      </c>
      <c r="BF60" s="748">
        <f t="shared" ca="1" si="190"/>
        <v>1</v>
      </c>
      <c r="BG60" s="748">
        <f t="shared" ca="1" si="191"/>
        <v>0</v>
      </c>
      <c r="BH60" s="748">
        <f t="shared" ca="1" si="192"/>
        <v>1</v>
      </c>
      <c r="BI60" s="748">
        <f t="shared" ca="1" si="176"/>
        <v>0</v>
      </c>
      <c r="BJ60" s="748">
        <f t="shared" ca="1" si="177"/>
        <v>1</v>
      </c>
      <c r="BK60" s="748">
        <f t="shared" ca="1" si="178"/>
        <v>1</v>
      </c>
      <c r="BL60" s="748">
        <f t="shared" ca="1" si="193"/>
        <v>0</v>
      </c>
      <c r="BM60" s="748">
        <f t="shared" ca="1" si="194"/>
        <v>4</v>
      </c>
      <c r="BN60" s="748">
        <f t="shared" ca="1" si="195"/>
        <v>4</v>
      </c>
      <c r="BO60" s="738" t="str">
        <f t="shared" si="196"/>
        <v>4C</v>
      </c>
      <c r="BP60" s="738"/>
      <c r="BQ60" s="738"/>
      <c r="BR60" s="748">
        <f t="shared" ca="1" si="179"/>
        <v>1</v>
      </c>
      <c r="BS60" s="748">
        <f t="shared" ca="1" si="197"/>
        <v>1</v>
      </c>
      <c r="BT60" s="748" t="str">
        <f t="shared" ca="1" si="198"/>
        <v>Pos. 1 (5)</v>
      </c>
      <c r="BU60" s="748">
        <f t="shared" ca="1" si="180"/>
        <v>0</v>
      </c>
      <c r="BV60" s="748">
        <f t="shared" ca="1" si="181"/>
        <v>1</v>
      </c>
      <c r="BW60" s="748" t="str">
        <f t="shared" ca="1" si="182"/>
        <v>Pos. 1 (5)</v>
      </c>
      <c r="BX60" s="748">
        <f t="shared" ca="1" si="183"/>
        <v>1</v>
      </c>
      <c r="BY60" s="748">
        <f t="shared" ca="1" si="184"/>
        <v>2</v>
      </c>
      <c r="BZ60" s="748" t="str">
        <f t="shared" ca="1" si="185"/>
        <v>Pos. 2 (3)</v>
      </c>
      <c r="CA60" s="748">
        <f t="shared" ca="1" si="199"/>
        <v>4</v>
      </c>
      <c r="CB60" s="748">
        <f t="shared" ca="1" si="200"/>
        <v>4</v>
      </c>
      <c r="CC60" s="748"/>
      <c r="CD60" s="748">
        <f t="shared" ca="1" si="201"/>
        <v>4</v>
      </c>
      <c r="CE60" s="748">
        <f t="shared" ca="1" si="202"/>
        <v>3</v>
      </c>
      <c r="CF60" s="748">
        <f t="shared" ca="1" si="203"/>
        <v>4</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2</v>
      </c>
      <c r="DK60" s="744"/>
      <c r="DL60" s="744">
        <f t="shared" ca="1" si="204"/>
        <v>1</v>
      </c>
      <c r="DM60" s="738" t="str">
        <f t="shared" ca="1" si="187"/>
        <v>2.1</v>
      </c>
      <c r="DN60" s="744" cm="1">
        <f t="array" aca="1" ref="DN60" ca="1">OFFSET(Horarios!$P$3,DJ60-1,0,DL60,1)</f>
        <v>2</v>
      </c>
      <c r="DO60" s="744"/>
      <c r="DP60" s="744">
        <v>3</v>
      </c>
      <c r="DQ60" s="744" t="str">
        <f t="shared" ca="1" si="205"/>
        <v>Catar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P.1 (4)</v>
      </c>
      <c r="F61" s="744" t="str">
        <f t="shared" ca="1" si="208"/>
        <v>P.1 (4)</v>
      </c>
      <c r="G61" s="744"/>
      <c r="H61" s="744" t="str">
        <f t="shared" ca="1" si="209"/>
        <v>P.1 (4)</v>
      </c>
      <c r="I61" s="744" t="str">
        <f t="shared" ca="1" si="210"/>
        <v>P.1 (4)</v>
      </c>
      <c r="J61" s="744"/>
      <c r="K61" s="744" t="str">
        <f t="shared" ca="1" si="211"/>
        <v>P.1 (4)</v>
      </c>
      <c r="L61" s="744" t="str">
        <f t="shared" ca="1" si="212"/>
        <v>P.1 (4)</v>
      </c>
      <c r="M61" s="744"/>
      <c r="N61" s="744" t="str">
        <f t="shared" ca="1" si="213"/>
        <v>P.1 (2)</v>
      </c>
      <c r="O61" s="744" t="str">
        <f t="shared" ca="1" si="214"/>
        <v>P.1 (2)</v>
      </c>
      <c r="P61" s="744"/>
      <c r="Q61" s="744" t="str">
        <f t="shared" ca="1" si="215"/>
        <v>P.1 (2)</v>
      </c>
      <c r="R61" s="744" t="str">
        <f t="shared" ca="1" si="216"/>
        <v>P.1 (2)</v>
      </c>
      <c r="S61" s="744"/>
      <c r="T61" s="744" t="str">
        <f t="shared" ca="1" si="217"/>
        <v>P.1 (2)</v>
      </c>
      <c r="U61" s="744" t="str">
        <f t="shared" ca="1" si="218"/>
        <v>P.1 (2)</v>
      </c>
      <c r="V61" s="172"/>
      <c r="W61" s="806"/>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Turquía</v>
      </c>
      <c r="BE61" s="748">
        <f t="shared" ca="1" si="189"/>
        <v>0</v>
      </c>
      <c r="BF61" s="748">
        <f t="shared" ca="1" si="190"/>
        <v>1</v>
      </c>
      <c r="BG61" s="748">
        <f t="shared" ca="1" si="191"/>
        <v>0</v>
      </c>
      <c r="BH61" s="748">
        <f t="shared" ca="1" si="192"/>
        <v>0</v>
      </c>
      <c r="BI61" s="748">
        <f t="shared" ca="1" si="176"/>
        <v>1</v>
      </c>
      <c r="BJ61" s="748">
        <f t="shared" ca="1" si="177"/>
        <v>0</v>
      </c>
      <c r="BK61" s="748">
        <f t="shared" ca="1" si="178"/>
        <v>2</v>
      </c>
      <c r="BL61" s="748">
        <f t="shared" ca="1" si="193"/>
        <v>-2</v>
      </c>
      <c r="BM61" s="748">
        <f t="shared" ca="1" si="194"/>
        <v>12</v>
      </c>
      <c r="BN61" s="748">
        <f t="shared" ca="1" si="195"/>
        <v>12</v>
      </c>
      <c r="BO61" s="738" t="str">
        <f t="shared" si="196"/>
        <v>4D</v>
      </c>
      <c r="BP61" s="738"/>
      <c r="BQ61" s="738"/>
      <c r="BR61" s="748">
        <f t="shared" ca="1" si="179"/>
        <v>0</v>
      </c>
      <c r="BS61" s="748">
        <f t="shared" ca="1" si="197"/>
        <v>6</v>
      </c>
      <c r="BT61" s="748" t="str">
        <f t="shared" ca="1" si="198"/>
        <v>Pos. 6 (7)</v>
      </c>
      <c r="BU61" s="748">
        <f t="shared" ca="1" si="180"/>
        <v>-2</v>
      </c>
      <c r="BV61" s="748">
        <f t="shared" ca="1" si="181"/>
        <v>10</v>
      </c>
      <c r="BW61" s="748" t="str">
        <f t="shared" ca="1" si="182"/>
        <v>Pos. 10 (3)</v>
      </c>
      <c r="BX61" s="748">
        <f t="shared" ca="1" si="183"/>
        <v>0</v>
      </c>
      <c r="BY61" s="748">
        <f t="shared" ca="1" si="184"/>
        <v>12</v>
      </c>
      <c r="BZ61" s="748" t="str">
        <f t="shared" ca="1" si="185"/>
        <v>-</v>
      </c>
      <c r="CA61" s="748" t="str">
        <f t="shared" ca="1" si="199"/>
        <v>-</v>
      </c>
      <c r="CB61" s="748">
        <f t="shared" ca="1" si="200"/>
        <v>12</v>
      </c>
      <c r="CC61" s="748"/>
      <c r="CD61" s="748">
        <f t="shared" ca="1" si="201"/>
        <v>12</v>
      </c>
      <c r="CE61" s="748" t="str">
        <f t="shared" ca="1" si="202"/>
        <v>-</v>
      </c>
      <c r="CF61" s="748">
        <f t="shared" ca="1" si="203"/>
        <v>12</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2</v>
      </c>
      <c r="DK61" s="744"/>
      <c r="DL61" s="744">
        <f t="shared" ca="1" si="204"/>
        <v>1</v>
      </c>
      <c r="DM61" s="738" t="str">
        <f t="shared" ca="1" si="187"/>
        <v>2.1</v>
      </c>
      <c r="DN61" s="744" cm="1">
        <f t="array" aca="1" ref="DN61" ca="1">OFFSET(Horarios!$P$3,DJ61-1,0,DL61,1)</f>
        <v>2</v>
      </c>
      <c r="DO61" s="744"/>
      <c r="DP61" s="744">
        <v>4</v>
      </c>
      <c r="DQ61" s="744" t="str">
        <f t="shared" ca="1" si="205"/>
        <v>Marruecos</v>
      </c>
      <c r="DR61" s="744"/>
      <c r="DS61" s="744"/>
      <c r="DT61" s="744" t="str">
        <f t="shared" ca="1" si="15"/>
        <v>Arabia Saudita-Uruguay</v>
      </c>
      <c r="DU61" s="744"/>
      <c r="DV61" s="744"/>
      <c r="DW61" s="8"/>
    </row>
    <row r="62" spans="1:127">
      <c r="A62" s="745" t="str">
        <f ca="1">+Equipos!B31</f>
        <v>Cabo Verde</v>
      </c>
      <c r="B62" s="742"/>
      <c r="C62" s="746"/>
      <c r="D62" s="744" t="str">
        <f t="shared" si="206"/>
        <v>Pendiente</v>
      </c>
      <c r="E62" s="744" t="str">
        <f t="shared" si="207"/>
        <v>-</v>
      </c>
      <c r="F62" s="744" t="str">
        <f t="shared" si="208"/>
        <v>-</v>
      </c>
      <c r="G62" s="744"/>
      <c r="H62" s="744" t="str">
        <f t="shared" si="209"/>
        <v>-</v>
      </c>
      <c r="I62" s="744" t="str">
        <f t="shared" si="210"/>
        <v>-</v>
      </c>
      <c r="J62" s="744"/>
      <c r="K62" s="744" t="str">
        <f t="shared" si="211"/>
        <v>-</v>
      </c>
      <c r="L62" s="744" t="str">
        <f t="shared" si="212"/>
        <v>-</v>
      </c>
      <c r="M62" s="744"/>
      <c r="N62" s="744" t="str">
        <f t="shared" si="213"/>
        <v>-</v>
      </c>
      <c r="O62" s="744" t="str">
        <f t="shared" si="214"/>
        <v>-</v>
      </c>
      <c r="P62" s="744"/>
      <c r="Q62" s="744" t="str">
        <f t="shared" si="215"/>
        <v>-</v>
      </c>
      <c r="R62" s="744" t="str">
        <f t="shared" si="216"/>
        <v>-</v>
      </c>
      <c r="S62" s="744"/>
      <c r="T62" s="744" t="str">
        <f t="shared" si="217"/>
        <v>-</v>
      </c>
      <c r="U62" s="744" t="str">
        <f t="shared" si="218"/>
        <v>-</v>
      </c>
      <c r="V62" s="172"/>
      <c r="W62" s="806"/>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31">
        <f t="array" aca="1" ref="AK62" ca="1">Ver_flag_visit</f>
        <v>#VALUE!</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9" t="str">
        <f t="shared" si="188"/>
        <v>3E</v>
      </c>
      <c r="BC62" s="756" t="s">
        <v>3</v>
      </c>
      <c r="BD62" s="744" t="str">
        <f t="shared" ca="1" si="175"/>
        <v>Ecuador</v>
      </c>
      <c r="BE62" s="748">
        <f t="shared" ca="1" si="189"/>
        <v>0</v>
      </c>
      <c r="BF62" s="748">
        <f t="shared" ca="1" si="190"/>
        <v>1</v>
      </c>
      <c r="BG62" s="748">
        <f t="shared" ca="1" si="191"/>
        <v>0</v>
      </c>
      <c r="BH62" s="748">
        <f t="shared" ca="1" si="192"/>
        <v>0</v>
      </c>
      <c r="BI62" s="748">
        <f t="shared" ca="1" si="176"/>
        <v>1</v>
      </c>
      <c r="BJ62" s="748">
        <f t="shared" ca="1" si="177"/>
        <v>0</v>
      </c>
      <c r="BK62" s="748">
        <f t="shared" ca="1" si="178"/>
        <v>1</v>
      </c>
      <c r="BL62" s="748">
        <f t="shared" ca="1" si="193"/>
        <v>-1</v>
      </c>
      <c r="BM62" s="748">
        <f t="shared" ca="1" si="194"/>
        <v>9</v>
      </c>
      <c r="BN62" s="748">
        <f t="shared" ca="1" si="195"/>
        <v>9</v>
      </c>
      <c r="BO62" s="738" t="str">
        <f t="shared" si="196"/>
        <v>4E</v>
      </c>
      <c r="BP62" s="738"/>
      <c r="BQ62" s="738"/>
      <c r="BR62" s="748">
        <f t="shared" ca="1" si="179"/>
        <v>0</v>
      </c>
      <c r="BS62" s="748">
        <f t="shared" ca="1" si="197"/>
        <v>6</v>
      </c>
      <c r="BT62" s="748" t="str">
        <f t="shared" ca="1" si="198"/>
        <v>Pos. 6 (7)</v>
      </c>
      <c r="BU62" s="748">
        <f t="shared" ca="1" si="180"/>
        <v>-1</v>
      </c>
      <c r="BV62" s="748">
        <f t="shared" ca="1" si="181"/>
        <v>8</v>
      </c>
      <c r="BW62" s="748" t="str">
        <f t="shared" ca="1" si="182"/>
        <v>Pos. 8 (2)</v>
      </c>
      <c r="BX62" s="748">
        <f t="shared" ca="1" si="183"/>
        <v>0</v>
      </c>
      <c r="BY62" s="748">
        <f t="shared" ca="1" si="184"/>
        <v>9</v>
      </c>
      <c r="BZ62" s="748" t="str">
        <f t="shared" ca="1" si="185"/>
        <v>-</v>
      </c>
      <c r="CA62" s="748" t="str">
        <f t="shared" ca="1" si="199"/>
        <v>-</v>
      </c>
      <c r="CB62" s="748">
        <f t="shared" ca="1" si="200"/>
        <v>9</v>
      </c>
      <c r="CC62" s="748"/>
      <c r="CD62" s="748">
        <f t="shared" ca="1" si="201"/>
        <v>9</v>
      </c>
      <c r="CE62" s="748" t="str">
        <f t="shared" ca="1" si="202"/>
        <v>-</v>
      </c>
      <c r="CF62" s="748">
        <f t="shared" ca="1" si="203"/>
        <v>9</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España</v>
      </c>
      <c r="DR62" s="744"/>
      <c r="DS62" s="744"/>
      <c r="DT62" s="744" t="str">
        <f t="shared" ca="1" si="15"/>
        <v>España-Arabia Saudita</v>
      </c>
      <c r="DU62" s="744"/>
      <c r="DV62" s="744"/>
      <c r="DW62" s="8"/>
    </row>
    <row r="63" spans="1:127">
      <c r="A63" s="745" t="str">
        <f ca="1">+Equipos!B32</f>
        <v>Arabia Saudita</v>
      </c>
      <c r="B63" s="742"/>
      <c r="C63" s="744"/>
      <c r="D63" s="744" t="str">
        <f t="shared" si="206"/>
        <v>Pendiente</v>
      </c>
      <c r="E63" s="744" t="str">
        <f t="shared" si="207"/>
        <v>-</v>
      </c>
      <c r="F63" s="744" t="str">
        <f t="shared" si="208"/>
        <v>-</v>
      </c>
      <c r="G63" s="744"/>
      <c r="H63" s="744" t="str">
        <f t="shared" si="209"/>
        <v>-</v>
      </c>
      <c r="I63" s="744" t="str">
        <f t="shared" si="210"/>
        <v>-</v>
      </c>
      <c r="J63" s="744"/>
      <c r="K63" s="744" t="str">
        <f t="shared" si="211"/>
        <v>-</v>
      </c>
      <c r="L63" s="744" t="str">
        <f t="shared" si="212"/>
        <v>-</v>
      </c>
      <c r="M63" s="744"/>
      <c r="N63" s="744" t="str">
        <f t="shared" si="213"/>
        <v>-</v>
      </c>
      <c r="O63" s="744" t="str">
        <f t="shared" si="214"/>
        <v>-</v>
      </c>
      <c r="P63" s="744"/>
      <c r="Q63" s="744" t="str">
        <f t="shared" si="215"/>
        <v>-</v>
      </c>
      <c r="R63" s="744" t="str">
        <f t="shared" si="216"/>
        <v>-</v>
      </c>
      <c r="S63" s="744"/>
      <c r="T63" s="744" t="str">
        <f t="shared" si="217"/>
        <v>-</v>
      </c>
      <c r="U63" s="744" t="str">
        <f t="shared" si="218"/>
        <v>-</v>
      </c>
      <c r="V63" s="172"/>
      <c r="W63" s="806"/>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Japón</v>
      </c>
      <c r="BE63" s="748">
        <f t="shared" ca="1" si="189"/>
        <v>1</v>
      </c>
      <c r="BF63" s="748">
        <f t="shared" ca="1" si="190"/>
        <v>1</v>
      </c>
      <c r="BG63" s="748">
        <f t="shared" ca="1" si="191"/>
        <v>0</v>
      </c>
      <c r="BH63" s="748">
        <f t="shared" ca="1" si="192"/>
        <v>1</v>
      </c>
      <c r="BI63" s="748">
        <f t="shared" ca="1" si="176"/>
        <v>0</v>
      </c>
      <c r="BJ63" s="748">
        <f t="shared" ca="1" si="177"/>
        <v>2</v>
      </c>
      <c r="BK63" s="748">
        <f t="shared" ca="1" si="178"/>
        <v>2</v>
      </c>
      <c r="BL63" s="748">
        <f t="shared" ca="1" si="193"/>
        <v>0</v>
      </c>
      <c r="BM63" s="748">
        <f t="shared" ca="1" si="194"/>
        <v>1</v>
      </c>
      <c r="BN63" s="748">
        <f t="shared" ca="1" si="195"/>
        <v>1</v>
      </c>
      <c r="BO63" s="738" t="str">
        <f t="shared" si="196"/>
        <v>4F</v>
      </c>
      <c r="BP63" s="738"/>
      <c r="BQ63" s="738"/>
      <c r="BR63" s="748">
        <f t="shared" ca="1" si="179"/>
        <v>1</v>
      </c>
      <c r="BS63" s="748">
        <f t="shared" ca="1" si="197"/>
        <v>1</v>
      </c>
      <c r="BT63" s="748" t="str">
        <f t="shared" ca="1" si="198"/>
        <v>Pos. 1 (5)</v>
      </c>
      <c r="BU63" s="748">
        <f t="shared" ca="1" si="180"/>
        <v>0</v>
      </c>
      <c r="BV63" s="748">
        <f t="shared" ca="1" si="181"/>
        <v>1</v>
      </c>
      <c r="BW63" s="748" t="str">
        <f t="shared" ca="1" si="182"/>
        <v>Pos. 1 (5)</v>
      </c>
      <c r="BX63" s="748">
        <f t="shared" ca="1" si="183"/>
        <v>2</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Ghana</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29">
        <f t="array" aca="1" ref="AK64" ca="1">Ver_flag_visit</f>
        <v>#VALUE!</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9" t="str">
        <f t="shared" si="188"/>
        <v>3G</v>
      </c>
      <c r="BC64" s="756" t="s">
        <v>6</v>
      </c>
      <c r="BD64" s="744" t="str">
        <f t="shared" ca="1" si="175"/>
        <v>Bélgica</v>
      </c>
      <c r="BE64" s="748">
        <f t="shared" ca="1" si="189"/>
        <v>1</v>
      </c>
      <c r="BF64" s="748">
        <f t="shared" ca="1" si="190"/>
        <v>1</v>
      </c>
      <c r="BG64" s="748">
        <f t="shared" ca="1" si="191"/>
        <v>0</v>
      </c>
      <c r="BH64" s="748">
        <f t="shared" ca="1" si="192"/>
        <v>1</v>
      </c>
      <c r="BI64" s="748">
        <f t="shared" ca="1" si="176"/>
        <v>0</v>
      </c>
      <c r="BJ64" s="748">
        <f t="shared" ca="1" si="177"/>
        <v>1</v>
      </c>
      <c r="BK64" s="748">
        <f t="shared" ca="1" si="178"/>
        <v>1</v>
      </c>
      <c r="BL64" s="748">
        <f t="shared" ca="1" si="193"/>
        <v>0</v>
      </c>
      <c r="BM64" s="748">
        <f t="shared" ca="1" si="194"/>
        <v>2</v>
      </c>
      <c r="BN64" s="748">
        <f t="shared" ca="1" si="195"/>
        <v>2</v>
      </c>
      <c r="BO64" s="738" t="str">
        <f t="shared" si="196"/>
        <v>4G</v>
      </c>
      <c r="BP64" s="738"/>
      <c r="BQ64" s="738"/>
      <c r="BR64" s="748">
        <f t="shared" ca="1" si="179"/>
        <v>1</v>
      </c>
      <c r="BS64" s="748">
        <f t="shared" ca="1" si="197"/>
        <v>1</v>
      </c>
      <c r="BT64" s="748" t="str">
        <f t="shared" ca="1" si="198"/>
        <v>Pos. 1 (5)</v>
      </c>
      <c r="BU64" s="748">
        <f t="shared" ca="1" si="180"/>
        <v>0</v>
      </c>
      <c r="BV64" s="748">
        <f t="shared" ca="1" si="181"/>
        <v>1</v>
      </c>
      <c r="BW64" s="748" t="str">
        <f t="shared" ca="1" si="182"/>
        <v>Pos. 1 (5)</v>
      </c>
      <c r="BX64" s="748">
        <f t="shared" ca="1" si="183"/>
        <v>1</v>
      </c>
      <c r="BY64" s="748">
        <f t="shared" ca="1" si="184"/>
        <v>2</v>
      </c>
      <c r="BZ64" s="748" t="str">
        <f t="shared" ca="1" si="185"/>
        <v>Pos. 2 (3)</v>
      </c>
      <c r="CA64" s="748">
        <f t="shared" ca="1" si="199"/>
        <v>11</v>
      </c>
      <c r="CB64" s="748">
        <f t="shared" ca="1" si="200"/>
        <v>2</v>
      </c>
      <c r="CC64" s="748"/>
      <c r="CD64" s="748">
        <f t="shared" ca="1" si="201"/>
        <v>2</v>
      </c>
      <c r="CE64" s="748">
        <f t="shared" ca="1" si="202"/>
        <v>1</v>
      </c>
      <c r="CF64" s="748">
        <f t="shared" ca="1" si="203"/>
        <v>2</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6</v>
      </c>
      <c r="DK64" s="744"/>
      <c r="DL64" s="744">
        <f t="shared" ca="1" si="204"/>
        <v>1</v>
      </c>
      <c r="DM64" s="738" t="str">
        <f t="shared" ca="1" si="187"/>
        <v>6.1</v>
      </c>
      <c r="DN64" s="744" cm="1">
        <f t="array" aca="1" ref="DN64" ca="1">OFFSET(Horarios!$P$3,DJ64-1,0,DL64,1)</f>
        <v>6</v>
      </c>
      <c r="DO64" s="744"/>
      <c r="DP64" s="744">
        <v>7</v>
      </c>
      <c r="DQ64" s="744" t="str">
        <f t="shared" ca="1" si="205"/>
        <v>Uzbekistán</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07"/>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0">
        <f t="array" aca="1" ref="AK65" ca="1">Ver_flag_visit</f>
        <v>#VALUE!</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9" t="str">
        <f t="shared" si="188"/>
        <v>3H</v>
      </c>
      <c r="BC65" s="756" t="s">
        <v>437</v>
      </c>
      <c r="BD65" s="744" t="str">
        <f t="shared" ca="1" si="175"/>
        <v>España</v>
      </c>
      <c r="BE65" s="748">
        <f t="shared" ca="1" si="189"/>
        <v>1</v>
      </c>
      <c r="BF65" s="748">
        <f t="shared" ca="1" si="190"/>
        <v>1</v>
      </c>
      <c r="BG65" s="748">
        <f t="shared" ca="1" si="191"/>
        <v>0</v>
      </c>
      <c r="BH65" s="748">
        <f t="shared" ca="1" si="192"/>
        <v>1</v>
      </c>
      <c r="BI65" s="748">
        <f t="shared" ca="1" si="176"/>
        <v>0</v>
      </c>
      <c r="BJ65" s="748">
        <f t="shared" ca="1" si="177"/>
        <v>0</v>
      </c>
      <c r="BK65" s="748">
        <f t="shared" ca="1" si="178"/>
        <v>0</v>
      </c>
      <c r="BL65" s="748">
        <f t="shared" ca="1" si="193"/>
        <v>0</v>
      </c>
      <c r="BM65" s="748">
        <f t="shared" ca="1" si="194"/>
        <v>5</v>
      </c>
      <c r="BN65" s="748">
        <f t="shared" ca="1" si="195"/>
        <v>5</v>
      </c>
      <c r="BO65" s="738" t="str">
        <f t="shared" si="196"/>
        <v>4H</v>
      </c>
      <c r="BP65" s="738"/>
      <c r="BQ65" s="738"/>
      <c r="BR65" s="748">
        <f t="shared" ca="1" si="179"/>
        <v>1</v>
      </c>
      <c r="BS65" s="748">
        <f t="shared" ca="1" si="197"/>
        <v>1</v>
      </c>
      <c r="BT65" s="748" t="str">
        <f t="shared" ca="1" si="198"/>
        <v>Pos. 1 (5)</v>
      </c>
      <c r="BU65" s="748">
        <f t="shared" ca="1" si="180"/>
        <v>0</v>
      </c>
      <c r="BV65" s="748">
        <f t="shared" ca="1" si="181"/>
        <v>1</v>
      </c>
      <c r="BW65" s="748" t="str">
        <f t="shared" ca="1" si="182"/>
        <v>Pos. 1 (5)</v>
      </c>
      <c r="BX65" s="748">
        <f t="shared" ca="1" si="183"/>
        <v>0</v>
      </c>
      <c r="BY65" s="748">
        <f t="shared" ca="1" si="184"/>
        <v>5</v>
      </c>
      <c r="BZ65" s="748" t="str">
        <f t="shared" ca="1" si="185"/>
        <v>-</v>
      </c>
      <c r="CA65" s="748" t="str">
        <f t="shared" ca="1" si="199"/>
        <v>-</v>
      </c>
      <c r="CB65" s="748">
        <f t="shared" ca="1" si="200"/>
        <v>5</v>
      </c>
      <c r="CC65" s="748"/>
      <c r="CD65" s="748">
        <f t="shared" ca="1" si="201"/>
        <v>5</v>
      </c>
      <c r="CE65" s="748" t="str">
        <f t="shared" ca="1" si="202"/>
        <v>-</v>
      </c>
      <c r="CF65" s="748">
        <f t="shared" ca="1" si="203"/>
        <v>5</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República Checa</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0</v>
      </c>
      <c r="BF66" s="748">
        <f t="shared" ca="1" si="190"/>
        <v>1</v>
      </c>
      <c r="BG66" s="748">
        <f t="shared" ca="1" si="191"/>
        <v>0</v>
      </c>
      <c r="BH66" s="748">
        <f t="shared" ca="1" si="192"/>
        <v>0</v>
      </c>
      <c r="BI66" s="748">
        <f t="shared" ca="1" si="176"/>
        <v>1</v>
      </c>
      <c r="BJ66" s="748">
        <f t="shared" ca="1" si="177"/>
        <v>1</v>
      </c>
      <c r="BK66" s="748">
        <f t="shared" ca="1" si="178"/>
        <v>3</v>
      </c>
      <c r="BL66" s="748">
        <f t="shared" ca="1" si="193"/>
        <v>-2</v>
      </c>
      <c r="BM66" s="748">
        <f t="shared" ca="1" si="194"/>
        <v>11</v>
      </c>
      <c r="BN66" s="748">
        <f t="shared" ca="1" si="195"/>
        <v>11</v>
      </c>
      <c r="BO66" s="738" t="str">
        <f t="shared" si="196"/>
        <v>4I</v>
      </c>
      <c r="BP66" s="738"/>
      <c r="BQ66" s="738"/>
      <c r="BR66" s="748">
        <f t="shared" ca="1" si="179"/>
        <v>0</v>
      </c>
      <c r="BS66" s="748">
        <f t="shared" ca="1" si="197"/>
        <v>6</v>
      </c>
      <c r="BT66" s="748" t="str">
        <f t="shared" ca="1" si="198"/>
        <v>Pos. 6 (7)</v>
      </c>
      <c r="BU66" s="748">
        <f t="shared" ca="1" si="180"/>
        <v>-2</v>
      </c>
      <c r="BV66" s="748">
        <f t="shared" ca="1" si="181"/>
        <v>10</v>
      </c>
      <c r="BW66" s="748" t="str">
        <f t="shared" ca="1" si="182"/>
        <v>Pos. 10 (3)</v>
      </c>
      <c r="BX66" s="748">
        <f t="shared" ca="1" si="183"/>
        <v>1</v>
      </c>
      <c r="BY66" s="748">
        <f t="shared" ca="1" si="184"/>
        <v>10</v>
      </c>
      <c r="BZ66" s="748" t="str">
        <f t="shared" ca="1" si="185"/>
        <v>Pos. 10 (2)</v>
      </c>
      <c r="CA66" s="748">
        <f t="shared" ca="1" si="199"/>
        <v>2</v>
      </c>
      <c r="CB66" s="748">
        <f t="shared" ca="1" si="200"/>
        <v>11</v>
      </c>
      <c r="CC66" s="748"/>
      <c r="CD66" s="748">
        <f t="shared" ca="1" si="201"/>
        <v>11</v>
      </c>
      <c r="CE66" s="748">
        <f t="shared" ca="1" si="202"/>
        <v>10</v>
      </c>
      <c r="CF66" s="748">
        <f t="shared" ca="1" si="203"/>
        <v>11</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Ecuador</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Jordania</v>
      </c>
      <c r="BE67" s="748">
        <f t="shared" ca="1" si="189"/>
        <v>0</v>
      </c>
      <c r="BF67" s="748">
        <f t="shared" ca="1" si="190"/>
        <v>1</v>
      </c>
      <c r="BG67" s="748">
        <f t="shared" ca="1" si="191"/>
        <v>0</v>
      </c>
      <c r="BH67" s="748">
        <f t="shared" ca="1" si="192"/>
        <v>0</v>
      </c>
      <c r="BI67" s="748">
        <f t="shared" ca="1" si="176"/>
        <v>1</v>
      </c>
      <c r="BJ67" s="748">
        <f t="shared" ca="1" si="177"/>
        <v>1</v>
      </c>
      <c r="BK67" s="748">
        <f t="shared" ca="1" si="178"/>
        <v>3</v>
      </c>
      <c r="BL67" s="748">
        <f t="shared" ca="1" si="193"/>
        <v>-2</v>
      </c>
      <c r="BM67" s="748">
        <f t="shared" ca="1" si="194"/>
        <v>10</v>
      </c>
      <c r="BN67" s="748">
        <f t="shared" ca="1" si="195"/>
        <v>10</v>
      </c>
      <c r="BO67" s="738" t="str">
        <f t="shared" si="196"/>
        <v>4J</v>
      </c>
      <c r="BP67" s="738"/>
      <c r="BQ67" s="738"/>
      <c r="BR67" s="748">
        <f t="shared" ca="1" si="179"/>
        <v>0</v>
      </c>
      <c r="BS67" s="748">
        <f t="shared" ca="1" si="197"/>
        <v>6</v>
      </c>
      <c r="BT67" s="748" t="str">
        <f t="shared" ca="1" si="198"/>
        <v>Pos. 6 (7)</v>
      </c>
      <c r="BU67" s="748">
        <f t="shared" ca="1" si="180"/>
        <v>-2</v>
      </c>
      <c r="BV67" s="748">
        <f t="shared" ca="1" si="181"/>
        <v>10</v>
      </c>
      <c r="BW67" s="748" t="str">
        <f t="shared" ca="1" si="182"/>
        <v>Pos. 10 (3)</v>
      </c>
      <c r="BX67" s="748">
        <f t="shared" ca="1" si="183"/>
        <v>1</v>
      </c>
      <c r="BY67" s="748">
        <f t="shared" ca="1" si="184"/>
        <v>10</v>
      </c>
      <c r="BZ67" s="748" t="str">
        <f t="shared" ca="1" si="185"/>
        <v>Pos. 10 (2)</v>
      </c>
      <c r="CA67" s="748">
        <f t="shared" ca="1" si="199"/>
        <v>5</v>
      </c>
      <c r="CB67" s="748">
        <f t="shared" ca="1" si="200"/>
        <v>10</v>
      </c>
      <c r="CC67" s="748"/>
      <c r="CD67" s="748">
        <f t="shared" ca="1" si="201"/>
        <v>10</v>
      </c>
      <c r="CE67" s="748">
        <f t="shared" ca="1" si="202"/>
        <v>9</v>
      </c>
      <c r="CF67" s="748">
        <f t="shared" ca="1" si="203"/>
        <v>10</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Jordania</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P.1 (2)</v>
      </c>
      <c r="F68" s="744" t="str">
        <f t="shared" ref="F68:F73" ca="1" si="227">IF(D68="Pendiente","-",INDEX($BT$6:$BT$53,MATCH($AF68,$BD$6:$BD$53,0)))</f>
        <v>P.3 (2)</v>
      </c>
      <c r="G68" s="744"/>
      <c r="H68" s="744" t="str">
        <f t="shared" ref="H68:H73" ca="1" si="228">IF(D68="Pendiente","-",INDEX($BZ$6:$BZ$53,MATCH($AA68,$BD$6:$BD$53,0)))</f>
        <v>P.1 (2)</v>
      </c>
      <c r="I68" s="744" t="str">
        <f t="shared" ref="I68:I73" ca="1" si="229">IF(D68="Pendiente","-",INDEX($BZ$6:$BZ$53,MATCH($AF68,$BD$6:$BD$53,0)))</f>
        <v>P.3 (2)</v>
      </c>
      <c r="J68" s="744"/>
      <c r="K68" s="744" t="str">
        <f t="shared" ref="K68:K73" ca="1" si="230">IF(D68="Pendiente","-",INDEX($CE$6:$CE$53,MATCH($AA68,$BD$6:$BD$53,0)))</f>
        <v>P.1 (2)</v>
      </c>
      <c r="L68" s="744" t="str">
        <f t="shared" ref="L68:L73" ca="1" si="231">IF(D68="Pendiente","-",INDEX($CE$6:$CE$53,MATCH($AF68,$BD$6:$BD$53,0)))</f>
        <v>P.3 (2)</v>
      </c>
      <c r="M68" s="744"/>
      <c r="N68" s="744" t="str">
        <f t="shared" ref="N68:N73" ca="1" si="232">IF(D68="Pendiente","-",INDEX($CH$6:$CH$53,MATCH($AA68,$BD$6:$BD$53,0)))</f>
        <v>P.1 (2)</v>
      </c>
      <c r="O68" s="744" t="str">
        <f t="shared" ref="O68:O73" ca="1" si="233">IF(D68="Pendiente","-",INDEX($CH$6:$CH$53,MATCH($AF68,$BD$6:$BD$53,0)))</f>
        <v>P.3 (2)</v>
      </c>
      <c r="P68" s="744"/>
      <c r="Q68" s="744" t="str">
        <f t="shared" ref="Q68:Q73" ca="1" si="234">IF(D68="Pendiente","-",INDEX($CN$6:$CN$53,MATCH($AA68,$BD$6:$BD$53,0)))</f>
        <v>P.1 (2)</v>
      </c>
      <c r="R68" s="744" t="str">
        <f t="shared" ref="R68:R73" ca="1" si="235">IF(D68="Pendiente","-",INDEX($CN$6:$CN$53,MATCH($AF68,$BD$6:$BD$53,0)))</f>
        <v>P.3 (2)</v>
      </c>
      <c r="S68" s="744"/>
      <c r="T68" s="744" t="str">
        <f t="shared" ref="T68:T73" ca="1" si="236">IF(D68="Pendiente","-",INDEX($CS$6:$CS$53,MATCH($AA68,$BD$6:$BD$53,0)))</f>
        <v>P.1 (2)</v>
      </c>
      <c r="U68" s="744" t="str">
        <f t="shared" ref="U68:U73" ca="1" si="237">IF(D68="Pendiente","-",INDEX($CS$6:$CS$53,MATCH($AF68,$BD$6:$BD$53,0)))</f>
        <v>P.3 (2)</v>
      </c>
      <c r="V68" s="172"/>
      <c r="W68" s="812"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Uzbekistán</v>
      </c>
      <c r="BE68" s="748">
        <f t="shared" ca="1" si="189"/>
        <v>0</v>
      </c>
      <c r="BF68" s="748">
        <f t="shared" ca="1" si="190"/>
        <v>0</v>
      </c>
      <c r="BG68" s="748">
        <f t="shared" ca="1" si="191"/>
        <v>0</v>
      </c>
      <c r="BH68" s="748">
        <f t="shared" ca="1" si="192"/>
        <v>0</v>
      </c>
      <c r="BI68" s="748">
        <f t="shared" ca="1" si="176"/>
        <v>0</v>
      </c>
      <c r="BJ68" s="748">
        <f t="shared" ca="1" si="177"/>
        <v>0</v>
      </c>
      <c r="BK68" s="748">
        <f t="shared" ca="1" si="178"/>
        <v>0</v>
      </c>
      <c r="BL68" s="748">
        <f t="shared" ca="1" si="193"/>
        <v>0</v>
      </c>
      <c r="BM68" s="748">
        <f t="shared" ca="1" si="194"/>
        <v>7</v>
      </c>
      <c r="BN68" s="748">
        <f t="shared" ca="1" si="195"/>
        <v>7</v>
      </c>
      <c r="BO68" s="738" t="str">
        <f t="shared" si="196"/>
        <v>4K</v>
      </c>
      <c r="BP68" s="738"/>
      <c r="BQ68" s="738"/>
      <c r="BR68" s="748">
        <f t="shared" ca="1" si="179"/>
        <v>0</v>
      </c>
      <c r="BS68" s="748">
        <f t="shared" ca="1" si="197"/>
        <v>6</v>
      </c>
      <c r="BT68" s="748" t="str">
        <f t="shared" ca="1" si="198"/>
        <v>Pos. 6 (7)</v>
      </c>
      <c r="BU68" s="748">
        <f t="shared" ca="1" si="180"/>
        <v>0</v>
      </c>
      <c r="BV68" s="748">
        <f t="shared" ca="1" si="181"/>
        <v>6</v>
      </c>
      <c r="BW68" s="748" t="str">
        <f t="shared" ca="1" si="182"/>
        <v>Pos. 6 (2)</v>
      </c>
      <c r="BX68" s="748">
        <f t="shared" ca="1" si="183"/>
        <v>0</v>
      </c>
      <c r="BY68" s="748">
        <f t="shared" ca="1" si="184"/>
        <v>6</v>
      </c>
      <c r="BZ68" s="748" t="str">
        <f t="shared" ca="1" si="185"/>
        <v>Pos. 6 (2)</v>
      </c>
      <c r="CA68" s="748">
        <f t="shared" ca="1" si="199"/>
        <v>0</v>
      </c>
      <c r="CB68" s="748">
        <f t="shared" ca="1" si="200"/>
        <v>7</v>
      </c>
      <c r="CC68" s="748"/>
      <c r="CD68" s="748">
        <f t="shared" ca="1" si="201"/>
        <v>7</v>
      </c>
      <c r="CE68" s="748">
        <f t="shared" ca="1" si="202"/>
        <v>6</v>
      </c>
      <c r="CF68" s="748">
        <f t="shared" ca="1" si="203"/>
        <v>7</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10</v>
      </c>
      <c r="DK68" s="744"/>
      <c r="DL68" s="744">
        <f t="shared" ca="1" si="204"/>
        <v>1</v>
      </c>
      <c r="DM68" s="738" t="str">
        <f t="shared" ca="1" si="187"/>
        <v>10.1</v>
      </c>
      <c r="DN68" s="744" cm="1">
        <f t="array" aca="1" ref="DN68" ca="1">OFFSET(Horarios!$P$3,DJ68-1,0,DL68,1)</f>
        <v>10</v>
      </c>
      <c r="DO68" s="744"/>
      <c r="DP68" s="744">
        <v>11</v>
      </c>
      <c r="DQ68" s="744" t="str">
        <f t="shared" ca="1" si="205"/>
        <v>Senegal</v>
      </c>
      <c r="DR68" s="744"/>
      <c r="DS68" s="744"/>
      <c r="DT68" s="744" t="str">
        <f t="shared" ca="1" si="15"/>
        <v>Francia-Senegal</v>
      </c>
      <c r="DU68" s="744"/>
      <c r="DV68" s="744"/>
      <c r="DW68" s="8"/>
    </row>
    <row r="69" spans="1:127" ht="16.05" customHeight="1">
      <c r="A69" s="745" t="str">
        <f ca="1">+Equipos!B34</f>
        <v>Francia</v>
      </c>
      <c r="B69" s="742"/>
      <c r="C69" s="742"/>
      <c r="D69" s="744" t="str">
        <f t="shared" si="225"/>
        <v>Visitante</v>
      </c>
      <c r="E69" s="744" t="str">
        <f t="shared" ca="1" si="226"/>
        <v>P.3 (2)</v>
      </c>
      <c r="F69" s="744" t="str">
        <f t="shared" ca="1" si="227"/>
        <v>P.1 (2)</v>
      </c>
      <c r="G69" s="744"/>
      <c r="H69" s="744" t="str">
        <f t="shared" ca="1" si="228"/>
        <v>P.3 (2)</v>
      </c>
      <c r="I69" s="744" t="str">
        <f t="shared" ca="1" si="229"/>
        <v>P.1 (2)</v>
      </c>
      <c r="J69" s="744"/>
      <c r="K69" s="744" t="str">
        <f t="shared" ca="1" si="230"/>
        <v>P.3 (2)</v>
      </c>
      <c r="L69" s="744" t="str">
        <f t="shared" ca="1" si="231"/>
        <v>P.1 (2)</v>
      </c>
      <c r="M69" s="744"/>
      <c r="N69" s="744" t="str">
        <f t="shared" ca="1" si="232"/>
        <v>P.3 (2)</v>
      </c>
      <c r="O69" s="744" t="str">
        <f t="shared" ca="1" si="233"/>
        <v>P.1 (2)</v>
      </c>
      <c r="P69" s="744"/>
      <c r="Q69" s="744" t="str">
        <f t="shared" ca="1" si="234"/>
        <v>P.3 (2)</v>
      </c>
      <c r="R69" s="744" t="str">
        <f t="shared" ca="1" si="235"/>
        <v>P.1 (2)</v>
      </c>
      <c r="S69" s="744"/>
      <c r="T69" s="744" t="str">
        <f t="shared" ca="1" si="236"/>
        <v>P.3 (2)</v>
      </c>
      <c r="U69" s="744" t="str">
        <f t="shared" ca="1" si="237"/>
        <v>P.1 (2)</v>
      </c>
      <c r="V69" s="172"/>
      <c r="W69" s="812"/>
      <c r="X69" s="189">
        <f ca="1">Horarios!C69</f>
        <v>46190</v>
      </c>
      <c r="Y69" s="190">
        <f ca="1">Horarios!C69</f>
        <v>46190</v>
      </c>
      <c r="Z69" s="191" t="str">
        <f>$Z$4</f>
        <v>J1</v>
      </c>
      <c r="AA69" s="192" t="str">
        <f ca="1">A71</f>
        <v>Irak</v>
      </c>
      <c r="AB69" s="478" t="e" cm="1" vm="35">
        <f t="array" aca="1" ref="AB69" ca="1">Ver_flag_local</f>
        <v>#VALUE!</v>
      </c>
      <c r="AC69" s="193">
        <v>1</v>
      </c>
      <c r="AD69" s="194">
        <v>4</v>
      </c>
      <c r="AE69" s="483" t="e" cm="1" vm="36">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0</v>
      </c>
      <c r="BF69" s="748">
        <f t="shared" ca="1" si="190"/>
        <v>0</v>
      </c>
      <c r="BG69" s="748">
        <f t="shared" ca="1" si="191"/>
        <v>0</v>
      </c>
      <c r="BH69" s="748">
        <f t="shared" ca="1" si="192"/>
        <v>0</v>
      </c>
      <c r="BI69" s="748">
        <f t="shared" ca="1" si="176"/>
        <v>0</v>
      </c>
      <c r="BJ69" s="748">
        <f t="shared" ca="1" si="177"/>
        <v>0</v>
      </c>
      <c r="BK69" s="748">
        <f t="shared" ca="1" si="178"/>
        <v>0</v>
      </c>
      <c r="BL69" s="748">
        <f t="shared" ca="1" si="193"/>
        <v>0</v>
      </c>
      <c r="BM69" s="748">
        <f t="shared" ca="1" si="194"/>
        <v>6</v>
      </c>
      <c r="BN69" s="748">
        <f t="shared" ca="1" si="195"/>
        <v>6</v>
      </c>
      <c r="BO69" s="738" t="str">
        <f t="shared" si="196"/>
        <v>4L</v>
      </c>
      <c r="BP69" s="738"/>
      <c r="BQ69" s="738"/>
      <c r="BR69" s="748">
        <f t="shared" ca="1" si="179"/>
        <v>0</v>
      </c>
      <c r="BS69" s="748">
        <f t="shared" ca="1" si="197"/>
        <v>6</v>
      </c>
      <c r="BT69" s="748" t="str">
        <f t="shared" ca="1" si="198"/>
        <v>Pos. 6 (7)</v>
      </c>
      <c r="BU69" s="748">
        <f t="shared" ca="1" si="180"/>
        <v>0</v>
      </c>
      <c r="BV69" s="748">
        <f t="shared" ca="1" si="181"/>
        <v>6</v>
      </c>
      <c r="BW69" s="748" t="str">
        <f t="shared" ca="1" si="182"/>
        <v>Pos. 6 (2)</v>
      </c>
      <c r="BX69" s="748">
        <f t="shared" ca="1" si="183"/>
        <v>0</v>
      </c>
      <c r="BY69" s="748">
        <f t="shared" ca="1" si="184"/>
        <v>6</v>
      </c>
      <c r="BZ69" s="748" t="str">
        <f t="shared" ca="1" si="185"/>
        <v>Pos. 6 (2)</v>
      </c>
      <c r="CA69" s="748">
        <f t="shared" ca="1" si="199"/>
        <v>7</v>
      </c>
      <c r="CB69" s="748">
        <f ca="1">BY69+COUNTIFS(BZ$58:BZ$69,BZ69,CA$58:CA$69,"&gt;"&amp;CA69)</f>
        <v>6</v>
      </c>
      <c r="CC69" s="748"/>
      <c r="CD69" s="748">
        <f t="shared" ca="1" si="201"/>
        <v>6</v>
      </c>
      <c r="CE69" s="748">
        <f t="shared" ca="1" si="202"/>
        <v>5</v>
      </c>
      <c r="CF69" s="748">
        <f t="shared" ca="1" si="203"/>
        <v>6</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Turquía</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12"/>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6">
        <f t="array" aca="1" ref="AK70" ca="1">Ver_flag_visit</f>
        <v>#VALUE!</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12"/>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3">
        <f t="array" aca="1" ref="AK71" ca="1">Ver_flag_visit</f>
        <v>#VALUE!</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12"/>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4">
        <f t="array" aca="1" ref="AK72" ca="1">Ver_flag_visit</f>
        <v>#VALUE!</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13"/>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5">
        <f t="array" aca="1" ref="AK73" ca="1">Ver_flag_visit</f>
        <v>#VALUE!</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P.1 (2)</v>
      </c>
      <c r="F76" s="744" t="str">
        <f t="shared" ref="F76:F81" ca="1" si="247">IF(D76="Pendiente","-",INDEX($BT$6:$BT$53,MATCH($AF76,$BD$6:$BD$53,0)))</f>
        <v>P.3 (2)</v>
      </c>
      <c r="G76" s="744"/>
      <c r="H76" s="744" t="str">
        <f t="shared" ref="H76:H81" ca="1" si="248">IF(D76="Pendiente","-",INDEX($BZ$6:$BZ$53,MATCH($AA76,$BD$6:$BD$53,0)))</f>
        <v>P.1 (2)</v>
      </c>
      <c r="I76" s="744" t="str">
        <f t="shared" ref="I76:I81" ca="1" si="249">IF(D76="Pendiente","-",INDEX($BZ$6:$BZ$53,MATCH($AF76,$BD$6:$BD$53,0)))</f>
        <v>P.3 (2)</v>
      </c>
      <c r="J76" s="744"/>
      <c r="K76" s="744" t="str">
        <f t="shared" ref="K76:K81" ca="1" si="250">IF(D76="Pendiente","-",INDEX($CE$6:$CE$53,MATCH($AA76,$BD$6:$BD$53,0)))</f>
        <v>P.1 (2)</v>
      </c>
      <c r="L76" s="744" t="str">
        <f t="shared" ref="L76:L81" ca="1" si="251">IF(D76="Pendiente","-",INDEX($CE$6:$CE$53,MATCH($AF76,$BD$6:$BD$53,0)))</f>
        <v>P.3 (2)</v>
      </c>
      <c r="M76" s="744"/>
      <c r="N76" s="744" t="str">
        <f t="shared" ref="N76:N81" ca="1" si="252">IF(D76="Pendiente","-",INDEX($CH$6:$CH$53,MATCH($AA76,$BD$6:$BD$53,0)))</f>
        <v>P.1 (2)</v>
      </c>
      <c r="O76" s="744" t="str">
        <f t="shared" ref="O76:O81" ca="1" si="253">IF(D76="Pendiente","-",INDEX($CH$6:$CH$53,MATCH($AF76,$BD$6:$BD$53,0)))</f>
        <v>P.3 (2)</v>
      </c>
      <c r="P76" s="744"/>
      <c r="Q76" s="744" t="str">
        <f t="shared" ref="Q76:Q81" ca="1" si="254">IF(D76="Pendiente","-",INDEX($CN$6:$CN$53,MATCH($AA76,$BD$6:$BD$53,0)))</f>
        <v>P.1 (2)</v>
      </c>
      <c r="R76" s="744" t="str">
        <f t="shared" ref="R76:R81" ca="1" si="255">IF(D76="Pendiente","-",INDEX($CN$6:$CN$53,MATCH($AF76,$BD$6:$BD$53,0)))</f>
        <v>P.3 (2)</v>
      </c>
      <c r="S76" s="744"/>
      <c r="T76" s="744" t="str">
        <f t="shared" ref="T76:T81" ca="1" si="256">IF(D76="Pendiente","-",INDEX($CS$6:$CS$53,MATCH($AA76,$BD$6:$BD$53,0)))</f>
        <v>P.1 (2)</v>
      </c>
      <c r="U76" s="744" t="str">
        <f t="shared" ref="U76:U81" ca="1" si="257">IF(D76="Pendiente","-",INDEX($CS$6:$CS$53,MATCH($AF76,$BD$6:$BD$53,0)))</f>
        <v>P.3 (2)</v>
      </c>
      <c r="V76" s="172"/>
      <c r="W76" s="808" t="s">
        <v>5</v>
      </c>
      <c r="X76" s="189">
        <f ca="1">Horarios!C76</f>
        <v>46190.125</v>
      </c>
      <c r="Y76" s="190">
        <f ca="1">Horarios!C76</f>
        <v>46190.125</v>
      </c>
      <c r="Z76" s="191" t="str">
        <f>$Z$4</f>
        <v>J1</v>
      </c>
      <c r="AA76" s="192" t="str">
        <f ca="1">A77</f>
        <v>Argentina</v>
      </c>
      <c r="AB76" s="478" t="e" cm="1" vm="37">
        <f t="array" aca="1" ref="AB76" ca="1">Ver_flag_local</f>
        <v>#VALUE!</v>
      </c>
      <c r="AC76" s="193">
        <v>3</v>
      </c>
      <c r="AD76" s="194">
        <v>0</v>
      </c>
      <c r="AE76" s="483" t="e" cm="1" vm="38">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Local</v>
      </c>
      <c r="E77" s="744" t="str">
        <f t="shared" ca="1" si="246"/>
        <v>P.1 (2)</v>
      </c>
      <c r="F77" s="744" t="str">
        <f t="shared" ca="1" si="247"/>
        <v>P.3 (2)</v>
      </c>
      <c r="G77" s="744"/>
      <c r="H77" s="744" t="str">
        <f t="shared" ca="1" si="248"/>
        <v>P.1 (2)</v>
      </c>
      <c r="I77" s="744" t="str">
        <f t="shared" ca="1" si="249"/>
        <v>P.3 (2)</v>
      </c>
      <c r="J77" s="744"/>
      <c r="K77" s="744" t="str">
        <f t="shared" ca="1" si="250"/>
        <v>P.1 (2)</v>
      </c>
      <c r="L77" s="744" t="str">
        <f t="shared" ca="1" si="251"/>
        <v>P.3 (2)</v>
      </c>
      <c r="M77" s="744"/>
      <c r="N77" s="744" t="str">
        <f t="shared" ca="1" si="252"/>
        <v>P.1 (2)</v>
      </c>
      <c r="O77" s="744" t="str">
        <f t="shared" ca="1" si="253"/>
        <v>P.3 (2)</v>
      </c>
      <c r="P77" s="744"/>
      <c r="Q77" s="744" t="str">
        <f t="shared" ca="1" si="254"/>
        <v>P.1 (2)</v>
      </c>
      <c r="R77" s="744" t="str">
        <f t="shared" ca="1" si="255"/>
        <v>P.3 (2)</v>
      </c>
      <c r="S77" s="744"/>
      <c r="T77" s="744" t="str">
        <f t="shared" ca="1" si="256"/>
        <v>P.1 (2)</v>
      </c>
      <c r="U77" s="744" t="str">
        <f t="shared" ca="1" si="257"/>
        <v>P.3 (2)</v>
      </c>
      <c r="V77" s="172"/>
      <c r="W77" s="808"/>
      <c r="X77" s="189">
        <f ca="1">Horarios!C77</f>
        <v>46190.25</v>
      </c>
      <c r="Y77" s="190">
        <f ca="1">Horarios!C77</f>
        <v>46190.25</v>
      </c>
      <c r="Z77" s="191" t="str">
        <f>$Z$4</f>
        <v>J1</v>
      </c>
      <c r="AA77" s="192" t="str">
        <f ca="1">A79</f>
        <v>Austria</v>
      </c>
      <c r="AB77" s="478" t="e" cm="1" vm="39">
        <f t="array" aca="1" ref="AB77" ca="1">Ver_flag_local</f>
        <v>#VALUE!</v>
      </c>
      <c r="AC77" s="193">
        <v>3</v>
      </c>
      <c r="AD77" s="194">
        <v>1</v>
      </c>
      <c r="AE77" s="483" t="e" cm="1" vm="40">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08"/>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08"/>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9">
        <f t="array" aca="1" ref="AK79" ca="1">Ver_flag_visit</f>
        <v>#VALUE!</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08"/>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40">
        <f t="array" aca="1" ref="AK80" ca="1">Ver_flag_visit</f>
        <v>#VALUE!</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09"/>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38">
        <f t="array" aca="1" ref="AK81" ca="1">Ver_flag_visit</f>
        <v>#VALUE!</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Pendiente</v>
      </c>
      <c r="E84" s="744" t="str">
        <f t="shared" ref="E84:E89" si="265">IF(D84="Pendiente","-",INDEX($BT$6:$BT$53,MATCH($AA84,$BD$6:$BD$53,0)))</f>
        <v>-</v>
      </c>
      <c r="F84" s="744" t="str">
        <f t="shared" ref="F84:F89" si="266">IF(D84="Pendiente","-",INDEX($BT$6:$BT$53,MATCH($AF84,$BD$6:$BD$53,0)))</f>
        <v>-</v>
      </c>
      <c r="G84" s="744"/>
      <c r="H84" s="744" t="str">
        <f t="shared" ref="H84:H89" si="267">IF(D84="Pendiente","-",INDEX($BZ$6:$BZ$53,MATCH($AA84,$BD$6:$BD$53,0)))</f>
        <v>-</v>
      </c>
      <c r="I84" s="744" t="str">
        <f t="shared" ref="I84:I89" si="268">IF(D84="Pendiente","-",INDEX($BZ$6:$BZ$53,MATCH($AF84,$BD$6:$BD$53,0)))</f>
        <v>-</v>
      </c>
      <c r="J84" s="744"/>
      <c r="K84" s="744" t="str">
        <f t="shared" ref="K84:K89" si="269">IF(D84="Pendiente","-",INDEX($CE$6:$CE$53,MATCH($AA84,$BD$6:$BD$53,0)))</f>
        <v>-</v>
      </c>
      <c r="L84" s="744" t="str">
        <f t="shared" ref="L84:L89" si="270">IF(D84="Pendiente","-",INDEX($CE$6:$CE$53,MATCH($AF84,$BD$6:$BD$53,0)))</f>
        <v>-</v>
      </c>
      <c r="M84" s="744"/>
      <c r="N84" s="744" t="str">
        <f t="shared" ref="N84:N89" si="271">IF(D84="Pendiente","-",INDEX($CH$6:$CH$53,MATCH($AA84,$BD$6:$BD$53,0)))</f>
        <v>-</v>
      </c>
      <c r="O84" s="744" t="str">
        <f t="shared" ref="O84:O89" si="272">IF(D84="Pendiente","-",INDEX($CH$6:$CH$53,MATCH($AF84,$BD$6:$BD$53,0)))</f>
        <v>-</v>
      </c>
      <c r="P84" s="744"/>
      <c r="Q84" s="744" t="str">
        <f t="shared" ref="Q84:Q89" si="273">IF(D84="Pendiente","-",INDEX($CN$6:$CN$53,MATCH($AA84,$BD$6:$BD$53,0)))</f>
        <v>-</v>
      </c>
      <c r="R84" s="744" t="str">
        <f t="shared" ref="R84:R89" si="274">IF(D84="Pendiente","-",INDEX($CN$6:$CN$53,MATCH($AF84,$BD$6:$BD$53,0)))</f>
        <v>-</v>
      </c>
      <c r="S84" s="744"/>
      <c r="T84" s="744" t="str">
        <f t="shared" ref="T84:T89" si="275">IF(D84="Pendiente","-",INDEX($CS$6:$CS$53,MATCH($AA84,$BD$6:$BD$53,0)))</f>
        <v>-</v>
      </c>
      <c r="U84" s="744" t="str">
        <f t="shared" ref="U84:U89"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1">
        <f t="array" aca="1" ref="AB84" ca="1">Ver_flag_local</f>
        <v>#VALUE!</v>
      </c>
      <c r="AC84" s="193"/>
      <c r="AD84" s="194"/>
      <c r="AE84" s="483" t="e" cm="1" vm="42">
        <f t="array" aca="1" ref="AE84" ca="1">Ver_flag_visit</f>
        <v>#VALUE!</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Pendiente</v>
      </c>
      <c r="E85" s="744" t="str">
        <f t="shared" si="265"/>
        <v>-</v>
      </c>
      <c r="F85" s="744" t="str">
        <f t="shared" si="266"/>
        <v>-</v>
      </c>
      <c r="G85" s="744"/>
      <c r="H85" s="744" t="str">
        <f t="shared" si="267"/>
        <v>-</v>
      </c>
      <c r="I85" s="744" t="str">
        <f t="shared" si="268"/>
        <v>-</v>
      </c>
      <c r="J85" s="744"/>
      <c r="K85" s="744" t="str">
        <f t="shared" si="269"/>
        <v>-</v>
      </c>
      <c r="L85" s="744" t="str">
        <f t="shared" si="270"/>
        <v>-</v>
      </c>
      <c r="M85" s="744"/>
      <c r="N85" s="744" t="str">
        <f t="shared" si="271"/>
        <v>-</v>
      </c>
      <c r="O85" s="744" t="str">
        <f t="shared" si="272"/>
        <v>-</v>
      </c>
      <c r="P85" s="744"/>
      <c r="Q85" s="744" t="str">
        <f t="shared" si="273"/>
        <v>-</v>
      </c>
      <c r="R85" s="744" t="str">
        <f t="shared" si="274"/>
        <v>-</v>
      </c>
      <c r="S85" s="744"/>
      <c r="T85" s="744" t="str">
        <f t="shared" si="275"/>
        <v>-</v>
      </c>
      <c r="U85" s="744" t="str">
        <f t="shared" si="276"/>
        <v>-</v>
      </c>
      <c r="V85" s="172"/>
      <c r="W85" s="814"/>
      <c r="X85" s="189">
        <f ca="1">Horarios!C85</f>
        <v>46191.166666666664</v>
      </c>
      <c r="Y85" s="190">
        <f ca="1">Horarios!C85</f>
        <v>46191.166666666664</v>
      </c>
      <c r="Z85" s="191" t="str">
        <f>$Z$4</f>
        <v>J1</v>
      </c>
      <c r="AA85" s="192" t="str">
        <f ca="1">A87</f>
        <v>Uzbekistán</v>
      </c>
      <c r="AB85" s="478" t="e" cm="1" vm="43">
        <f t="array" aca="1" ref="AB85" ca="1">Ver_flag_local</f>
        <v>#VALUE!</v>
      </c>
      <c r="AC85" s="193"/>
      <c r="AD85" s="194"/>
      <c r="AE85" s="483" t="e" cm="1" vm="44">
        <f t="array" aca="1" ref="AE85" ca="1">Ver_flag_visit</f>
        <v>#VALUE!</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14"/>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1">
        <f t="array" aca="1" ref="AK86" ca="1">Ver_flag_visit</f>
        <v>#VALUE!</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14"/>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2">
        <f t="array" aca="1" ref="AK87" ca="1">Ver_flag_visit</f>
        <v>#VALUE!</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14"/>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3">
        <f t="array" aca="1" ref="AK88" ca="1">Ver_flag_visit</f>
        <v>#VALUE!</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15"/>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4">
        <f t="array" aca="1" ref="AK89" ca="1">Ver_flag_visit</f>
        <v>#VALUE!</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Pendiente</v>
      </c>
      <c r="E92" s="744" t="str">
        <f t="shared" ref="E92:E97" si="284">IF(D92="Pendiente","-",INDEX($BT$6:$BT$53,MATCH($AA92,$BD$6:$BD$53,0)))</f>
        <v>-</v>
      </c>
      <c r="F92" s="744" t="str">
        <f t="shared" ref="F92:F97" si="285">IF(D92="Pendiente","-",INDEX($BT$6:$BT$53,MATCH($AF92,$BD$6:$BD$53,0)))</f>
        <v>-</v>
      </c>
      <c r="G92" s="744"/>
      <c r="H92" s="744" t="str">
        <f t="shared" ref="H92:H97" si="286">IF(D92="Pendiente","-",INDEX($BZ$6:$BZ$53,MATCH($AA92,$BD$6:$BD$53,0)))</f>
        <v>-</v>
      </c>
      <c r="I92" s="744" t="str">
        <f t="shared" ref="I92:I97" si="287">IF(D92="Pendiente","-",INDEX($BZ$6:$BZ$53,MATCH($AF92,$BD$6:$BD$53,0)))</f>
        <v>-</v>
      </c>
      <c r="J92" s="744"/>
      <c r="K92" s="744" t="str">
        <f t="shared" ref="K92:K97" si="288">IF(D92="Pendiente","-",INDEX($CE$6:$CE$53,MATCH($AA92,$BD$6:$BD$53,0)))</f>
        <v>-</v>
      </c>
      <c r="L92" s="744" t="str">
        <f t="shared" ref="L92:L97" si="289">IF(D92="Pendiente","-",INDEX($CE$6:$CE$53,MATCH($AF92,$BD$6:$BD$53,0)))</f>
        <v>-</v>
      </c>
      <c r="M92" s="744"/>
      <c r="N92" s="744" t="str">
        <f t="shared" ref="N92:N97" si="290">IF(D92="Pendiente","-",INDEX($CH$6:$CH$53,MATCH($AA92,$BD$6:$BD$53,0)))</f>
        <v>-</v>
      </c>
      <c r="O92" s="744" t="str">
        <f t="shared" ref="O92:O97" si="291">IF(D92="Pendiente","-",INDEX($CH$6:$CH$53,MATCH($AF92,$BD$6:$BD$53,0)))</f>
        <v>-</v>
      </c>
      <c r="P92" s="744"/>
      <c r="Q92" s="744" t="str">
        <f t="shared" ref="Q92:Q97" si="292">IF(D92="Pendiente","-",INDEX($CN$6:$CN$53,MATCH($AA92,$BD$6:$BD$53,0)))</f>
        <v>-</v>
      </c>
      <c r="R92" s="744" t="str">
        <f t="shared" ref="R92:R97" si="293">IF(D92="Pendiente","-",INDEX($CN$6:$CN$53,MATCH($AF92,$BD$6:$BD$53,0)))</f>
        <v>-</v>
      </c>
      <c r="S92" s="744"/>
      <c r="T92" s="744" t="str">
        <f t="shared" ref="T92:T97" si="294">IF(D92="Pendiente","-",INDEX($CS$6:$CS$53,MATCH($AA92,$BD$6:$BD$53,0)))</f>
        <v>-</v>
      </c>
      <c r="U92" s="744" t="str">
        <f t="shared" ref="U92:U97"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5">
        <f t="array" aca="1" ref="AB92" ca="1">Ver_flag_local</f>
        <v>#VALUE!</v>
      </c>
      <c r="AC92" s="193"/>
      <c r="AD92" s="194"/>
      <c r="AE92" s="483" t="e" cm="1" vm="46">
        <f t="array" aca="1" ref="AE92" ca="1">Ver_flag_visit</f>
        <v>#VALUE!</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Pendiente</v>
      </c>
      <c r="E93" s="744" t="str">
        <f t="shared" si="284"/>
        <v>-</v>
      </c>
      <c r="F93" s="744" t="str">
        <f t="shared" si="285"/>
        <v>-</v>
      </c>
      <c r="G93" s="744"/>
      <c r="H93" s="744" t="str">
        <f t="shared" si="286"/>
        <v>-</v>
      </c>
      <c r="I93" s="744" t="str">
        <f t="shared" si="287"/>
        <v>-</v>
      </c>
      <c r="J93" s="744"/>
      <c r="K93" s="744" t="str">
        <f t="shared" si="288"/>
        <v>-</v>
      </c>
      <c r="L93" s="744" t="str">
        <f t="shared" si="289"/>
        <v>-</v>
      </c>
      <c r="M93" s="744"/>
      <c r="N93" s="744" t="str">
        <f t="shared" si="290"/>
        <v>-</v>
      </c>
      <c r="O93" s="744" t="str">
        <f t="shared" si="291"/>
        <v>-</v>
      </c>
      <c r="P93" s="744"/>
      <c r="Q93" s="744" t="str">
        <f t="shared" si="292"/>
        <v>-</v>
      </c>
      <c r="R93" s="744" t="str">
        <f t="shared" si="293"/>
        <v>-</v>
      </c>
      <c r="S93" s="744"/>
      <c r="T93" s="744" t="str">
        <f t="shared" si="294"/>
        <v>-</v>
      </c>
      <c r="U93" s="744" t="str">
        <f t="shared" si="295"/>
        <v>-</v>
      </c>
      <c r="V93" s="172"/>
      <c r="W93" s="810"/>
      <c r="X93" s="189">
        <f ca="1">Horarios!C93</f>
        <v>46191.041666666664</v>
      </c>
      <c r="Y93" s="190">
        <f ca="1">Horarios!C93</f>
        <v>46191.041666666664</v>
      </c>
      <c r="Z93" s="191" t="str">
        <f>$Z$4</f>
        <v>J1</v>
      </c>
      <c r="AA93" s="192" t="str">
        <f ca="1">A95</f>
        <v>Ghana</v>
      </c>
      <c r="AB93" s="478" t="e" cm="1" vm="47">
        <f t="array" aca="1" ref="AB93" ca="1">Ver_flag_local</f>
        <v>#VALUE!</v>
      </c>
      <c r="AC93" s="193"/>
      <c r="AD93" s="194"/>
      <c r="AE93" s="483" t="e" cm="1" vm="48">
        <f t="array" aca="1" ref="AE93" ca="1">Ver_flag_visit</f>
        <v>#VALUE!</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10"/>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10"/>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6">
        <f t="array" aca="1" ref="AK95" ca="1">Ver_flag_visit</f>
        <v>#VALUE!</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10"/>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7">
        <f t="array" aca="1" ref="AK96" ca="1">Ver_flag_visit</f>
        <v>#VALUE!</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11"/>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4</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4</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4</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Bélgica</v>
      </c>
      <c r="AW103" s="427"/>
      <c r="AX103" s="288"/>
      <c r="AY103" s="293"/>
      <c r="AZ103" s="294" t="str">
        <f t="shared" ref="AZ103:AZ110" ca="1" si="315">+IF(OR($H$113&gt;=48,$AJ$99=144),BF117&amp;" - "&amp;BG117,"")</f>
        <v/>
      </c>
      <c r="BA103" s="175"/>
      <c r="BB103" s="738"/>
      <c r="BC103" s="744"/>
      <c r="BD103" s="738"/>
      <c r="BE103" s="738"/>
      <c r="BF103" s="738" t="str">
        <f t="shared" ref="BF103:BF110" ca="1" si="316">IFERROR(INDEX($BC$6:$BC$53,MATCH(AL102,$BD$6:$BD$53,0)),"")</f>
        <v/>
      </c>
      <c r="BG103" s="738">
        <f t="shared" ref="BG103:BG110" ca="1" si="317">COUNTIF($BF$103:$BF$110,"&lt;="&amp;BF103)</f>
        <v>0</v>
      </c>
      <c r="BH103" s="738"/>
      <c r="BI103" s="744">
        <v>1</v>
      </c>
      <c r="BJ103" s="738" t="str">
        <f t="shared" ref="BJ103:BJ110" ca="1" si="318">IFERROR(INDEX($BF$103:$BF$110,MATCH(BI103,$BG$103:$BG$110,0)),"Grupo")</f>
        <v>Grupo</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4</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Catar</v>
      </c>
      <c r="AW104" s="427"/>
      <c r="AX104" s="288"/>
      <c r="AY104" s="293"/>
      <c r="AZ104" s="294" t="str">
        <f t="shared" ca="1" si="315"/>
        <v/>
      </c>
      <c r="BA104" s="175"/>
      <c r="BB104" s="738"/>
      <c r="BC104" s="744"/>
      <c r="BD104" s="738"/>
      <c r="BE104" s="738"/>
      <c r="BF104" s="738" t="str">
        <f t="shared" ca="1" si="316"/>
        <v/>
      </c>
      <c r="BG104" s="738">
        <f t="shared" ca="1" si="317"/>
        <v>0</v>
      </c>
      <c r="BH104" s="738"/>
      <c r="BI104" s="744">
        <v>2</v>
      </c>
      <c r="BJ104" s="738" t="str">
        <f t="shared" ca="1" si="318"/>
        <v>Grupo</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4</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Marruecos</v>
      </c>
      <c r="AW105" s="427"/>
      <c r="AX105" s="288"/>
      <c r="AY105" s="293"/>
      <c r="AZ105" s="294" t="str">
        <f t="shared" ca="1" si="315"/>
        <v/>
      </c>
      <c r="BA105" s="175"/>
      <c r="BB105" s="738"/>
      <c r="BC105" s="744"/>
      <c r="BD105" s="738"/>
      <c r="BE105" s="738"/>
      <c r="BF105" s="738" t="str">
        <f t="shared" ca="1" si="316"/>
        <v/>
      </c>
      <c r="BG105" s="738">
        <f t="shared" ca="1" si="317"/>
        <v>0</v>
      </c>
      <c r="BH105" s="738"/>
      <c r="BI105" s="744">
        <v>3</v>
      </c>
      <c r="BJ105" s="738" t="str">
        <f t="shared" ca="1" si="318"/>
        <v>Grupo</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4</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España</v>
      </c>
      <c r="AW106" s="427"/>
      <c r="AX106" s="288"/>
      <c r="AY106" s="293"/>
      <c r="AZ106" s="294" t="str">
        <f t="shared" ca="1" si="315"/>
        <v/>
      </c>
      <c r="BA106" s="175"/>
      <c r="BB106" s="738"/>
      <c r="BC106" s="744"/>
      <c r="BD106" s="738"/>
      <c r="BE106" s="738"/>
      <c r="BF106" s="738" t="str">
        <f t="shared" ca="1" si="316"/>
        <v/>
      </c>
      <c r="BG106" s="738">
        <f t="shared" ca="1" si="317"/>
        <v>0</v>
      </c>
      <c r="BH106" s="738"/>
      <c r="BI106" s="744">
        <v>4</v>
      </c>
      <c r="BJ106" s="738" t="str">
        <f t="shared" ca="1" si="318"/>
        <v>Grupo</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4</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8"/>
      <c r="BC107" s="744"/>
      <c r="BD107" s="738"/>
      <c r="BE107" s="744"/>
      <c r="BF107" s="738" t="str">
        <f t="shared" ca="1" si="316"/>
        <v/>
      </c>
      <c r="BG107" s="738">
        <f t="shared" ca="1" si="317"/>
        <v>0</v>
      </c>
      <c r="BH107" s="738"/>
      <c r="BI107" s="738">
        <v>5</v>
      </c>
      <c r="BJ107" s="738" t="str">
        <f t="shared" ca="1" si="318"/>
        <v>Grupo</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4</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Uzbekistán</v>
      </c>
      <c r="AW108" s="427"/>
      <c r="AX108" s="288"/>
      <c r="AY108" s="293"/>
      <c r="AZ108" s="294" t="str">
        <f t="shared" ca="1" si="315"/>
        <v/>
      </c>
      <c r="BA108" s="175"/>
      <c r="BB108" s="738"/>
      <c r="BC108" s="738"/>
      <c r="BD108" s="738"/>
      <c r="BE108" s="744"/>
      <c r="BF108" s="738" t="str">
        <f t="shared" ca="1" si="316"/>
        <v/>
      </c>
      <c r="BG108" s="738">
        <f t="shared" ca="1" si="317"/>
        <v>0</v>
      </c>
      <c r="BH108" s="738"/>
      <c r="BI108" s="738">
        <v>6</v>
      </c>
      <c r="BJ108" s="738" t="str">
        <f t="shared" ca="1" si="318"/>
        <v>Grupo</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4</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República Checa</v>
      </c>
      <c r="AW109" s="427"/>
      <c r="AX109" s="288"/>
      <c r="AY109" s="293"/>
      <c r="AZ109" s="294" t="str">
        <f t="shared" ca="1" si="315"/>
        <v/>
      </c>
      <c r="BA109" s="175"/>
      <c r="BB109" s="738"/>
      <c r="BC109" s="738"/>
      <c r="BD109" s="738"/>
      <c r="BE109" s="744"/>
      <c r="BF109" s="738" t="str">
        <f t="shared" ca="1" si="316"/>
        <v/>
      </c>
      <c r="BG109" s="738">
        <f t="shared" ca="1" si="317"/>
        <v>0</v>
      </c>
      <c r="BH109" s="738"/>
      <c r="BI109" s="738">
        <v>7</v>
      </c>
      <c r="BJ109" s="738" t="str">
        <f t="shared" ca="1" si="318"/>
        <v>Grupo</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4</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Ecuador</v>
      </c>
      <c r="AW110" s="427"/>
      <c r="AX110" s="288"/>
      <c r="AY110" s="293"/>
      <c r="AZ110" s="294" t="str">
        <f t="shared" ca="1" si="315"/>
        <v/>
      </c>
      <c r="BA110" s="175"/>
      <c r="BB110" s="738"/>
      <c r="BC110" s="738"/>
      <c r="BD110" s="738"/>
      <c r="BE110" s="744"/>
      <c r="BF110" s="738" t="str">
        <f t="shared" ca="1" si="316"/>
        <v/>
      </c>
      <c r="BG110" s="738">
        <f t="shared" ca="1" si="317"/>
        <v>0</v>
      </c>
      <c r="BH110" s="738"/>
      <c r="BI110" s="744">
        <v>8</v>
      </c>
      <c r="BJ110" s="738" t="str">
        <f t="shared" ca="1" si="318"/>
        <v>Grupo</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0</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Jordania</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0</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Senegal</v>
      </c>
      <c r="AW112" s="427"/>
      <c r="AX112" s="288"/>
      <c r="AY112" s="295"/>
      <c r="AZ112" s="295"/>
      <c r="BA112" s="175"/>
      <c r="BB112" s="738"/>
      <c r="BC112" s="738"/>
      <c r="BD112" s="746"/>
      <c r="BE112" s="738"/>
      <c r="BF112" s="738"/>
      <c r="BG112" s="738"/>
      <c r="BH112" s="738"/>
      <c r="BI112" s="738" t="str">
        <f ca="1">IFERROR(CONCATENATE(BJ103,BJ104,BJ105,BJ106,BJ107,BJ108,BJ109,BJ110),"¿A/B/C/D/E/F/G/H/I/J/K/L?")</f>
        <v>GrupoGrupoGrupoGrupoGrupoGrupoGrupoGrupo</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40</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Turquía</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e">
        <f ca="1">+INDEX(Combinaciones3!$P$2:$W$496,MATCH(1,Combinaciones3!$B$2:$B$497,0),MATCH(WORLDCUP!BF117,Combinaciones3!$P$1:$W$1,0))</f>
        <v>#N/A</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e">
        <f ca="1">+INDEX(Combinaciones3!$P$2:$W$496,MATCH(1,Combinaciones3!$B$2:$B$497,0),MATCH(WORLDCUP!BF118,Combinaciones3!$P$1:$W$1,0))</f>
        <v>#N/A</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e">
        <f ca="1">+INDEX(Combinaciones3!$P$2:$W$496,MATCH(1,Combinaciones3!$B$2:$B$497,0),MATCH(WORLDCUP!BF119,Combinaciones3!$P$1:$W$1,0))</f>
        <v>#N/A</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e">
        <f ca="1">+INDEX(Combinaciones3!$P$2:$W$496,MATCH(1,Combinaciones3!$B$2:$B$497,0),MATCH(WORLDCUP!BF120,Combinaciones3!$P$1:$W$1,0))</f>
        <v>#N/A</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e">
        <f ca="1">+INDEX(Combinaciones3!$P$2:$W$496,MATCH(1,Combinaciones3!$B$2:$B$497,0),MATCH(WORLDCUP!BF121,Combinaciones3!$P$1:$W$1,0))</f>
        <v>#N/A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e">
        <f ca="1">+INDEX(Combinaciones3!$P$2:$W$496,MATCH(1,Combinaciones3!$B$2:$B$497,0),MATCH(WORLDCUP!BF122,Combinaciones3!$P$1:$W$1,0))</f>
        <v>#N/A</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e">
        <f ca="1">+INDEX(Combinaciones3!$P$2:$W$496,MATCH(1,Combinaciones3!$B$2:$B$497,0),MATCH(WORLDCUP!BF123,Combinaciones3!$P$1:$W$1,0))</f>
        <v>#N/A</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e">
        <f ca="1">+INDEX(Combinaciones3!$P$2:$W$496,MATCH(1,Combinaciones3!$B$2:$B$497,0),MATCH(WORLDCUP!BF124,Combinaciones3!$P$1:$W$1,0))</f>
        <v>#N/A</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F5" sqref="EF5:EF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8</v>
      </c>
      <c r="T1" s="87"/>
      <c r="U1" s="65"/>
      <c r="V1" s="87">
        <f ca="1">+IFERROR(RANK(V2,OFFSET($S$2,0,0,1,$D$5*3),0),"-")</f>
        <v>33</v>
      </c>
      <c r="W1" s="87"/>
      <c r="X1" s="65"/>
      <c r="Y1" s="87">
        <f ca="1">+IFERROR(RANK(Y2,OFFSET($S$2,0,0,1,$D$5*3),0),"-")</f>
        <v>9</v>
      </c>
      <c r="Z1" s="87"/>
      <c r="AA1" s="65"/>
      <c r="AB1" s="87">
        <f ca="1">+IFERROR(RANK(AB2,OFFSET($S$2,0,0,1,$D$5*3),0),"-")</f>
        <v>3</v>
      </c>
      <c r="AC1" s="87"/>
      <c r="AD1" s="65"/>
      <c r="AE1" s="87">
        <f ca="1">+IFERROR(RANK(AE2,OFFSET($S$2,0,0,1,$D$5*3),0),"-")</f>
        <v>18</v>
      </c>
      <c r="AF1" s="87"/>
      <c r="AG1" s="65"/>
      <c r="AH1" s="87">
        <f ca="1">+IFERROR(RANK(AH2,OFFSET($S$2,0,0,1,$D$5*3),0),"-")</f>
        <v>4</v>
      </c>
      <c r="AI1" s="87"/>
      <c r="AJ1" s="65"/>
      <c r="AK1" s="87">
        <f ca="1">+IFERROR(RANK(AK2,OFFSET($S$2,0,0,1,$D$5*3),0),"-")</f>
        <v>34</v>
      </c>
      <c r="AL1" s="87"/>
      <c r="AM1" s="65"/>
      <c r="AN1" s="87">
        <f ca="1">+IFERROR(RANK(AN2,OFFSET($S$2,0,0,1,$D$5*3),0),"-")</f>
        <v>19</v>
      </c>
      <c r="AO1" s="87"/>
      <c r="AP1" s="65"/>
      <c r="AQ1" s="87">
        <f ca="1">+IFERROR(RANK(AQ2,OFFSET($S$2,0,0,1,$D$5*3),0),"-")</f>
        <v>2</v>
      </c>
      <c r="AR1" s="87"/>
      <c r="AS1" s="65"/>
      <c r="AT1" s="87">
        <f ca="1">+IFERROR(RANK(AT2,OFFSET($S$2,0,0,1,$D$5*3),0),"-")</f>
        <v>20</v>
      </c>
      <c r="AU1" s="87"/>
      <c r="AV1" s="65"/>
      <c r="AW1" s="87">
        <f ca="1">+IFERROR(RANK(AW2,OFFSET($S$2,0,0,1,$D$5*3),0),"-")</f>
        <v>27</v>
      </c>
      <c r="AX1" s="87"/>
      <c r="AY1" s="65"/>
      <c r="AZ1" s="87">
        <f ca="1">+IFERROR(RANK(AZ2,OFFSET($S$2,0,0,1,$D$5*3),0),"-")</f>
        <v>12</v>
      </c>
      <c r="BA1" s="87"/>
      <c r="BB1" s="65"/>
      <c r="BC1" s="87">
        <f ca="1">+IFERROR(RANK(BC2,OFFSET($S$2,0,0,1,$D$5*3),0),"-")</f>
        <v>24</v>
      </c>
      <c r="BD1" s="87"/>
      <c r="BE1" s="65"/>
      <c r="BF1" s="87">
        <f ca="1">+IFERROR(RANK(BF2,OFFSET($S$2,0,0,1,$D$5*3),0),"-")</f>
        <v>13</v>
      </c>
      <c r="BG1" s="87"/>
      <c r="BH1" s="65"/>
      <c r="BI1" s="87">
        <f ca="1">+IFERROR(RANK(BI2,OFFSET($S$2,0,0,1,$D$5*3),0),"-")</f>
        <v>10</v>
      </c>
      <c r="BJ1" s="87"/>
      <c r="BK1" s="65"/>
      <c r="BL1" s="87">
        <f ca="1">+IFERROR(RANK(BL2,OFFSET($S$2,0,0,1,$D$5*3),0),"-")</f>
        <v>39</v>
      </c>
      <c r="BM1" s="87"/>
      <c r="BN1" s="65"/>
      <c r="BO1" s="87">
        <f ca="1">+IFERROR(RANK(BO2,OFFSET($S$2,0,0,1,$D$5*3),0),"-")</f>
        <v>16</v>
      </c>
      <c r="BP1" s="87"/>
      <c r="BQ1" s="65"/>
      <c r="BR1" s="87">
        <f ca="1">+IFERROR(RANK(BR2,OFFSET($S$2,0,0,1,$D$5*3),0),"-")</f>
        <v>7</v>
      </c>
      <c r="BS1" s="87"/>
      <c r="BT1" s="65"/>
      <c r="BU1" s="87">
        <f ca="1">+IFERROR(RANK(BU2,OFFSET($S$2,0,0,1,$D$5*3),0),"-")</f>
        <v>30</v>
      </c>
      <c r="BV1" s="87"/>
      <c r="BW1" s="65"/>
      <c r="BX1" s="87">
        <f ca="1">+IFERROR(RANK(BX2,OFFSET($S$2,0,0,1,$D$5*3),0),"-")</f>
        <v>35</v>
      </c>
      <c r="BY1" s="87"/>
      <c r="BZ1" s="65"/>
      <c r="CA1" s="87">
        <f ca="1">+IFERROR(RANK(CA2,OFFSET($S$2,0,0,1,$D$5*3),0),"-")</f>
        <v>21</v>
      </c>
      <c r="CB1" s="87"/>
      <c r="CC1" s="65"/>
      <c r="CD1" s="87">
        <f ca="1">+IFERROR(RANK(CD2,OFFSET($S$2,0,0,1,$D$5*3),0),"-")</f>
        <v>5</v>
      </c>
      <c r="CE1" s="87"/>
      <c r="CF1" s="65"/>
      <c r="CG1" s="87">
        <f ca="1">+IFERROR(RANK(CG2,OFFSET($S$2,0,0,1,$D$5*3),0),"-")</f>
        <v>14</v>
      </c>
      <c r="CH1" s="87"/>
      <c r="CI1" s="65"/>
      <c r="CJ1" s="87">
        <f ca="1">+IFERROR(RANK(CJ2,OFFSET($S$2,0,0,1,$D$5*3),0),"-")</f>
        <v>15</v>
      </c>
      <c r="CK1" s="87"/>
      <c r="CL1" s="65"/>
      <c r="CM1" s="87">
        <f ca="1">+IFERROR(RANK(CM2,OFFSET($S$2,0,0,1,$D$5*3),0),"-")</f>
        <v>22</v>
      </c>
      <c r="CN1" s="87"/>
      <c r="CO1" s="65"/>
      <c r="CP1" s="87">
        <f ca="1">+IFERROR(RANK(CP2,OFFSET($S$2,0,0,1,$D$5*3),0),"-")</f>
        <v>28</v>
      </c>
      <c r="CQ1" s="87"/>
      <c r="CR1" s="65"/>
      <c r="CS1" s="87">
        <f ca="1">+IFERROR(RANK(CS2,OFFSET($S$2,0,0,1,$D$5*3),0),"-")</f>
        <v>31</v>
      </c>
      <c r="CT1" s="87"/>
      <c r="CU1" s="65"/>
      <c r="CV1" s="87">
        <f ca="1">+IFERROR(RANK(CV2,OFFSET($S$2,0,0,1,$D$5*3),0),"-")</f>
        <v>6</v>
      </c>
      <c r="CW1" s="87"/>
      <c r="CX1" s="65"/>
      <c r="CY1" s="87">
        <f ca="1">+IFERROR(RANK(CY2,OFFSET($S$2,0,0,1,$D$5*3),0),"-")</f>
        <v>11</v>
      </c>
      <c r="CZ1" s="87"/>
      <c r="DA1" s="65"/>
      <c r="DB1" s="87">
        <f ca="1">+IFERROR(RANK(DB2,OFFSET($S$2,0,0,1,$D$5*3),0),"-")</f>
        <v>32</v>
      </c>
      <c r="DC1" s="87"/>
      <c r="DD1" s="65"/>
      <c r="DE1" s="87">
        <f ca="1">+IFERROR(RANK(DE2,OFFSET($S$2,0,0,1,$D$5*3),0),"-")</f>
        <v>36</v>
      </c>
      <c r="DF1" s="87"/>
      <c r="DG1" s="65"/>
      <c r="DH1" s="87">
        <f ca="1">+IFERROR(RANK(DH2,OFFSET($S$2,0,0,1,$D$5*3),0),"-")</f>
        <v>23</v>
      </c>
      <c r="DI1" s="87"/>
      <c r="DJ1" s="65"/>
      <c r="DK1" s="87">
        <f ca="1">+IFERROR(RANK(DK2,OFFSET($S$2,0,0,1,$D$5*3),0),"-")</f>
        <v>17</v>
      </c>
      <c r="DL1" s="87"/>
      <c r="DM1" s="65"/>
      <c r="DN1" s="87">
        <f ca="1">+IFERROR(RANK(DN2,OFFSET($S$2,0,0,1,$D$5*3),0),"-")</f>
        <v>29</v>
      </c>
      <c r="DO1" s="87"/>
      <c r="DP1" s="65"/>
      <c r="DQ1" s="87">
        <f ca="1">+IFERROR(RANK(DQ2,OFFSET($S$2,0,0,1,$D$5*3),0),"-")</f>
        <v>40</v>
      </c>
      <c r="DR1" s="87"/>
      <c r="DS1" s="65"/>
      <c r="DT1" s="87">
        <f ca="1">+IFERROR(RANK(DT2,OFFSET($S$2,0,0,1,$D$5*3),0),"-")</f>
        <v>25</v>
      </c>
      <c r="DU1" s="87"/>
      <c r="DV1" s="65"/>
      <c r="DW1" s="87">
        <f ca="1">+IFERROR(RANK(DW2,OFFSET($S$2,0,0,1,$D$5*3),0),"-")</f>
        <v>1</v>
      </c>
      <c r="DX1" s="87"/>
      <c r="DY1" s="65"/>
      <c r="DZ1" s="87">
        <f ca="1">+IFERROR(RANK(DZ2,OFFSET($S$2,0,0,1,$D$5*3),0),"-")</f>
        <v>26</v>
      </c>
      <c r="EA1" s="87"/>
      <c r="EB1" s="65"/>
      <c r="EC1" s="87">
        <f ca="1">+IFERROR(RANK(EC2,OFFSET($S$2,0,0,1,$D$5*3),0),"-")</f>
        <v>37</v>
      </c>
      <c r="ED1" s="87"/>
      <c r="EE1" s="65"/>
      <c r="EF1" s="87">
        <f ca="1">+IFERROR(RANK(EF2,OFFSET($S$2,0,0,1,$D$5*3),0),"-")</f>
        <v>38</v>
      </c>
      <c r="EG1" s="87"/>
      <c r="EH1" s="65"/>
      <c r="EI1" s="87">
        <f ca="1">+IFERROR(RANK(EI2,OFFSET($S$2,0,0,1,$D$5*3),0),"-")</f>
        <v>41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21.998100000000001</v>
      </c>
      <c r="T2" s="87"/>
      <c r="U2" s="65"/>
      <c r="V2" s="87">
        <f t="shared" ref="V2" ca="1" si="0">V4-(COLUMN()/10000)</f>
        <v>12.9978</v>
      </c>
      <c r="W2" s="87"/>
      <c r="X2" s="65"/>
      <c r="Y2" s="87">
        <f t="shared" ref="Y2" ca="1" si="1">Y4-(COLUMN()/10000)</f>
        <v>21.997499999999999</v>
      </c>
      <c r="Z2" s="87"/>
      <c r="AA2" s="65"/>
      <c r="AB2" s="87">
        <f t="shared" ref="AB2" ca="1" si="2">AB4-(COLUMN()/10000)</f>
        <v>26.997199999999999</v>
      </c>
      <c r="AC2" s="87"/>
      <c r="AD2" s="65"/>
      <c r="AE2" s="87">
        <f t="shared" ref="AE2" ca="1" si="3">AE4-(COLUMN()/10000)</f>
        <v>17.9969</v>
      </c>
      <c r="AF2" s="87"/>
      <c r="AG2" s="65"/>
      <c r="AH2" s="87">
        <f t="shared" ref="AH2" ca="1" si="4">AH4-(COLUMN()/10000)</f>
        <v>24.996600000000001</v>
      </c>
      <c r="AI2" s="87"/>
      <c r="AJ2" s="65"/>
      <c r="AK2" s="87">
        <f t="shared" ref="AK2" ca="1" si="5">AK4-(COLUMN()/10000)</f>
        <v>12.9963</v>
      </c>
      <c r="AL2" s="87"/>
      <c r="AM2" s="65"/>
      <c r="AN2" s="87">
        <f t="shared" ref="AN2" ca="1" si="6">AN4-(COLUMN()/10000)</f>
        <v>16.995999999999999</v>
      </c>
      <c r="AO2" s="87"/>
      <c r="AP2" s="65"/>
      <c r="AQ2" s="87">
        <f t="shared" ref="AQ2" ca="1" si="7">AQ4-(COLUMN()/10000)</f>
        <v>27.995699999999999</v>
      </c>
      <c r="AR2" s="87"/>
      <c r="AS2" s="65"/>
      <c r="AT2" s="87">
        <f t="shared" ref="AT2" ca="1" si="8">AT4-(COLUMN()/10000)</f>
        <v>16.9954</v>
      </c>
      <c r="AU2" s="87"/>
      <c r="AV2" s="65"/>
      <c r="AW2" s="87">
        <f t="shared" ref="AW2" ca="1" si="9">AW4-(COLUMN()/10000)</f>
        <v>14.995100000000001</v>
      </c>
      <c r="AX2" s="87"/>
      <c r="AY2" s="65"/>
      <c r="AZ2" s="87">
        <f t="shared" ref="AZ2" ca="1" si="10">AZ4-(COLUMN()/10000)</f>
        <v>19.994800000000001</v>
      </c>
      <c r="BA2" s="87"/>
      <c r="BB2" s="65"/>
      <c r="BC2" s="87">
        <f t="shared" ref="BC2" ca="1" si="11">BC4-(COLUMN()/10000)</f>
        <v>15.9945</v>
      </c>
      <c r="BD2" s="87"/>
      <c r="BE2" s="65"/>
      <c r="BF2" s="87">
        <f t="shared" ref="BF2" ca="1" si="12">BF4-(COLUMN()/10000)</f>
        <v>19.994199999999999</v>
      </c>
      <c r="BG2" s="87"/>
      <c r="BH2" s="65"/>
      <c r="BI2" s="87">
        <f t="shared" ref="BI2" ca="1" si="13">BI4-(COLUMN()/10000)</f>
        <v>21.9939</v>
      </c>
      <c r="BJ2" s="87"/>
      <c r="BK2" s="65"/>
      <c r="BL2" s="87">
        <f t="shared" ref="BL2" ca="1" si="14">BL4-(COLUMN()/10000)</f>
        <v>10.993600000000001</v>
      </c>
      <c r="BM2" s="87"/>
      <c r="BN2" s="65"/>
      <c r="BO2" s="87">
        <f t="shared" ref="BO2" ca="1" si="15">BO4-(COLUMN()/10000)</f>
        <v>18.993300000000001</v>
      </c>
      <c r="BP2" s="87"/>
      <c r="BQ2" s="65"/>
      <c r="BR2" s="87">
        <f t="shared" ref="BR2" ca="1" si="16">BR4-(COLUMN()/10000)</f>
        <v>23.992999999999999</v>
      </c>
      <c r="BS2" s="87"/>
      <c r="BT2" s="65"/>
      <c r="BU2" s="87">
        <f t="shared" ref="BU2" ca="1" si="17">BU4-(COLUMN()/10000)</f>
        <v>13.992699999999999</v>
      </c>
      <c r="BV2" s="87"/>
      <c r="BW2" s="65"/>
      <c r="BX2" s="87">
        <f t="shared" ref="BX2" ca="1" si="18">BX4-(COLUMN()/10000)</f>
        <v>12.9924</v>
      </c>
      <c r="BY2" s="87"/>
      <c r="BZ2" s="65"/>
      <c r="CA2" s="87">
        <f t="shared" ref="CA2" ca="1" si="19">CA4-(COLUMN()/10000)</f>
        <v>16.992100000000001</v>
      </c>
      <c r="CB2" s="87"/>
      <c r="CC2" s="65"/>
      <c r="CD2" s="87">
        <f t="shared" ref="CD2" ca="1" si="20">CD4-(COLUMN()/10000)</f>
        <v>24.991800000000001</v>
      </c>
      <c r="CE2" s="87"/>
      <c r="CF2" s="65"/>
      <c r="CG2" s="87">
        <f t="shared" ref="CG2" ca="1" si="21">CG4-(COLUMN()/10000)</f>
        <v>19.991499999999998</v>
      </c>
      <c r="CH2" s="87"/>
      <c r="CI2" s="65"/>
      <c r="CJ2" s="87">
        <f t="shared" ref="CJ2" ca="1" si="22">CJ4-(COLUMN()/10000)</f>
        <v>19.991199999999999</v>
      </c>
      <c r="CK2" s="87"/>
      <c r="CL2" s="65"/>
      <c r="CM2" s="87">
        <f t="shared" ref="CM2" ca="1" si="23">CM4-(COLUMN()/10000)</f>
        <v>16.9909</v>
      </c>
      <c r="CN2" s="87"/>
      <c r="CO2" s="65"/>
      <c r="CP2" s="87">
        <f t="shared" ref="CP2" ca="1" si="24">CP4-(COLUMN()/10000)</f>
        <v>14.990600000000001</v>
      </c>
      <c r="CQ2" s="87"/>
      <c r="CR2" s="65"/>
      <c r="CS2" s="87">
        <f t="shared" ref="CS2" ca="1" si="25">CS4-(COLUMN()/10000)</f>
        <v>13.9903</v>
      </c>
      <c r="CT2" s="87"/>
      <c r="CU2" s="65"/>
      <c r="CV2" s="87">
        <f t="shared" ref="CV2" ca="1" si="26">CV4-(COLUMN()/10000)</f>
        <v>24.99</v>
      </c>
      <c r="CW2" s="87"/>
      <c r="CX2" s="65"/>
      <c r="CY2" s="87">
        <f t="shared" ref="CY2" ca="1" si="27">CY4-(COLUMN()/10000)</f>
        <v>20.989699999999999</v>
      </c>
      <c r="CZ2" s="87"/>
      <c r="DA2" s="65"/>
      <c r="DB2" s="87">
        <f t="shared" ref="DB2" ca="1" si="28">DB4-(COLUMN()/10000)</f>
        <v>13.9894</v>
      </c>
      <c r="DC2" s="87"/>
      <c r="DD2" s="65"/>
      <c r="DE2" s="87">
        <f t="shared" ref="DE2" ca="1" si="29">DE4-(COLUMN()/10000)</f>
        <v>11.989100000000001</v>
      </c>
      <c r="DF2" s="87"/>
      <c r="DG2" s="65"/>
      <c r="DH2" s="87">
        <f t="shared" ref="DH2" ca="1" si="30">DH4-(COLUMN()/10000)</f>
        <v>16.988800000000001</v>
      </c>
      <c r="DI2" s="87"/>
      <c r="DJ2" s="65"/>
      <c r="DK2" s="87">
        <f t="shared" ref="DK2" ca="1" si="31">DK4-(COLUMN()/10000)</f>
        <v>18.988499999999998</v>
      </c>
      <c r="DL2" s="87"/>
      <c r="DM2" s="65"/>
      <c r="DN2" s="87">
        <f t="shared" ref="DN2" ca="1" si="32">DN4-(COLUMN()/10000)</f>
        <v>14.988200000000001</v>
      </c>
      <c r="DO2" s="87"/>
      <c r="DP2" s="65"/>
      <c r="DQ2" s="87">
        <f t="shared" ref="DQ2" ca="1" si="33">DQ4-(COLUMN()/10000)</f>
        <v>6.9878999999999998</v>
      </c>
      <c r="DR2" s="87"/>
      <c r="DS2" s="65"/>
      <c r="DT2" s="87">
        <f t="shared" ref="DT2" ca="1" si="34">DT4-(COLUMN()/10000)</f>
        <v>15.9876</v>
      </c>
      <c r="DU2" s="87"/>
      <c r="DV2" s="65"/>
      <c r="DW2" s="87">
        <f t="shared" ref="DW2" ca="1" si="35">DW4-(COLUMN()/10000)</f>
        <v>29.987300000000001</v>
      </c>
      <c r="DX2" s="87"/>
      <c r="DY2" s="65"/>
      <c r="DZ2" s="87">
        <f t="shared" ref="DZ2" ca="1" si="36">DZ4-(COLUMN()/10000)</f>
        <v>15.987</v>
      </c>
      <c r="EA2" s="87"/>
      <c r="EB2" s="65"/>
      <c r="EC2" s="87">
        <f t="shared" ref="EC2" ca="1" si="37">EC4-(COLUMN()/10000)</f>
        <v>11.986700000000001</v>
      </c>
      <c r="ED2" s="87"/>
      <c r="EE2" s="65"/>
      <c r="EF2" s="87">
        <f t="shared" ref="EF2" ca="1" si="38">EF4-(COLUMN()/10000)</f>
        <v>11.9864</v>
      </c>
      <c r="EG2" s="87"/>
      <c r="EH2" s="65"/>
      <c r="EI2" s="87">
        <f t="shared" ref="EI2" ca="1" si="39">EI4-(COLUMN()/10000)</f>
        <v>-1.3899999999999999E-2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8</v>
      </c>
      <c r="T3" s="87"/>
      <c r="U3" s="65"/>
      <c r="V3" s="87">
        <f ca="1">RANK(V4,OFFSET($S$4,0,0,1,$D$5*3),0)</f>
        <v>33</v>
      </c>
      <c r="W3" s="87"/>
      <c r="X3" s="65"/>
      <c r="Y3" s="87">
        <f ca="1">RANK(Y4,OFFSET($S$4,0,0,1,$D$5*3),0)</f>
        <v>8</v>
      </c>
      <c r="Z3" s="87"/>
      <c r="AA3" s="65"/>
      <c r="AB3" s="87">
        <f ca="1">RANK(AB4,OFFSET($S$4,0,0,1,$D$5*3),0)</f>
        <v>3</v>
      </c>
      <c r="AC3" s="87"/>
      <c r="AD3" s="65"/>
      <c r="AE3" s="87">
        <f ca="1">RANK(AE4,OFFSET($S$4,0,0,1,$D$5*3),0)</f>
        <v>18</v>
      </c>
      <c r="AF3" s="87"/>
      <c r="AG3" s="65"/>
      <c r="AH3" s="87">
        <f ca="1">RANK(AH4,OFFSET($S$4,0,0,1,$D$5*3),0)</f>
        <v>4</v>
      </c>
      <c r="AI3" s="87"/>
      <c r="AJ3" s="65"/>
      <c r="AK3" s="87">
        <f ca="1">RANK(AK4,OFFSET($S$4,0,0,1,$D$5*3),0)</f>
        <v>33</v>
      </c>
      <c r="AL3" s="87"/>
      <c r="AM3" s="65"/>
      <c r="AN3" s="87">
        <f ca="1">RANK(AN4,OFFSET($S$4,0,0,1,$D$5*3),0)</f>
        <v>19</v>
      </c>
      <c r="AO3" s="87"/>
      <c r="AP3" s="65"/>
      <c r="AQ3" s="87">
        <f ca="1">RANK(AQ4,OFFSET($S$4,0,0,1,$D$5*3),0)</f>
        <v>2</v>
      </c>
      <c r="AR3" s="87"/>
      <c r="AS3" s="65"/>
      <c r="AT3" s="87">
        <f ca="1">RANK(AT4,OFFSET($S$4,0,0,1,$D$5*3),0)</f>
        <v>19</v>
      </c>
      <c r="AU3" s="87"/>
      <c r="AV3" s="65"/>
      <c r="AW3" s="87">
        <f ca="1">RANK(AW4,OFFSET($S$4,0,0,1,$D$5*3),0)</f>
        <v>27</v>
      </c>
      <c r="AX3" s="87"/>
      <c r="AY3" s="65"/>
      <c r="AZ3" s="87">
        <f ca="1">RANK(AZ4,OFFSET($S$4,0,0,1,$D$5*3),0)</f>
        <v>12</v>
      </c>
      <c r="BA3" s="87"/>
      <c r="BB3" s="65"/>
      <c r="BC3" s="87">
        <f ca="1">RANK(BC4,OFFSET($S$4,0,0,1,$D$5*3),0)</f>
        <v>24</v>
      </c>
      <c r="BD3" s="87"/>
      <c r="BE3" s="65"/>
      <c r="BF3" s="87">
        <f ca="1">RANK(BF4,OFFSET($S$4,0,0,1,$D$5*3),0)</f>
        <v>12</v>
      </c>
      <c r="BG3" s="87"/>
      <c r="BH3" s="65"/>
      <c r="BI3" s="87">
        <f ca="1">RANK(BI4,OFFSET($S$4,0,0,1,$D$5*3),0)</f>
        <v>8</v>
      </c>
      <c r="BJ3" s="87"/>
      <c r="BK3" s="65"/>
      <c r="BL3" s="87">
        <f ca="1">RANK(BL4,OFFSET($S$4,0,0,1,$D$5*3),0)</f>
        <v>39</v>
      </c>
      <c r="BM3" s="87"/>
      <c r="BN3" s="65"/>
      <c r="BO3" s="87">
        <f ca="1">RANK(BO4,OFFSET($S$4,0,0,1,$D$5*3),0)</f>
        <v>16</v>
      </c>
      <c r="BP3" s="87"/>
      <c r="BQ3" s="65"/>
      <c r="BR3" s="87">
        <f ca="1">RANK(BR4,OFFSET($S$4,0,0,1,$D$5*3),0)</f>
        <v>7</v>
      </c>
      <c r="BS3" s="87"/>
      <c r="BT3" s="65"/>
      <c r="BU3" s="87">
        <f ca="1">RANK(BU4,OFFSET($S$4,0,0,1,$D$5*3),0)</f>
        <v>30</v>
      </c>
      <c r="BV3" s="87"/>
      <c r="BW3" s="65"/>
      <c r="BX3" s="87">
        <f ca="1">RANK(BX4,OFFSET($S$4,0,0,1,$D$5*3),0)</f>
        <v>33</v>
      </c>
      <c r="BY3" s="87"/>
      <c r="BZ3" s="65"/>
      <c r="CA3" s="87">
        <f ca="1">RANK(CA4,OFFSET($S$4,0,0,1,$D$5*3),0)</f>
        <v>19</v>
      </c>
      <c r="CB3" s="87"/>
      <c r="CC3" s="65"/>
      <c r="CD3" s="87">
        <f ca="1">RANK(CD4,OFFSET($S$4,0,0,1,$D$5*3),0)</f>
        <v>4</v>
      </c>
      <c r="CE3" s="87"/>
      <c r="CF3" s="65"/>
      <c r="CG3" s="87">
        <f ca="1">RANK(CG4,OFFSET($S$4,0,0,1,$D$5*3),0)</f>
        <v>12</v>
      </c>
      <c r="CH3" s="87"/>
      <c r="CI3" s="65"/>
      <c r="CJ3" s="87">
        <f ca="1">RANK(CJ4,OFFSET($S$4,0,0,1,$D$5*3),0)</f>
        <v>12</v>
      </c>
      <c r="CK3" s="87"/>
      <c r="CL3" s="65"/>
      <c r="CM3" s="87">
        <f ca="1">RANK(CM4,OFFSET($S$4,0,0,1,$D$5*3),0)</f>
        <v>19</v>
      </c>
      <c r="CN3" s="87"/>
      <c r="CO3" s="65"/>
      <c r="CP3" s="87">
        <f ca="1">RANK(CP4,OFFSET($S$4,0,0,1,$D$5*3),0)</f>
        <v>27</v>
      </c>
      <c r="CQ3" s="87"/>
      <c r="CR3" s="65"/>
      <c r="CS3" s="87">
        <f ca="1">RANK(CS4,OFFSET($S$4,0,0,1,$D$5*3),0)</f>
        <v>30</v>
      </c>
      <c r="CT3" s="87"/>
      <c r="CU3" s="65"/>
      <c r="CV3" s="87">
        <f ca="1">RANK(CV4,OFFSET($S$4,0,0,1,$D$5*3),0)</f>
        <v>4</v>
      </c>
      <c r="CW3" s="87"/>
      <c r="CX3" s="65"/>
      <c r="CY3" s="87">
        <f ca="1">RANK(CY4,OFFSET($S$4,0,0,1,$D$5*3),0)</f>
        <v>11</v>
      </c>
      <c r="CZ3" s="87"/>
      <c r="DA3" s="65"/>
      <c r="DB3" s="87">
        <f ca="1">RANK(DB4,OFFSET($S$4,0,0,1,$D$5*3),0)</f>
        <v>30</v>
      </c>
      <c r="DC3" s="87"/>
      <c r="DD3" s="65"/>
      <c r="DE3" s="87">
        <f ca="1">RANK(DE4,OFFSET($S$4,0,0,1,$D$5*3),0)</f>
        <v>36</v>
      </c>
      <c r="DF3" s="87"/>
      <c r="DG3" s="65"/>
      <c r="DH3" s="87">
        <f ca="1">RANK(DH4,OFFSET($S$4,0,0,1,$D$5*3),0)</f>
        <v>19</v>
      </c>
      <c r="DI3" s="87"/>
      <c r="DJ3" s="65"/>
      <c r="DK3" s="87">
        <f ca="1">RANK(DK4,OFFSET($S$4,0,0,1,$D$5*3),0)</f>
        <v>16</v>
      </c>
      <c r="DL3" s="87"/>
      <c r="DM3" s="65"/>
      <c r="DN3" s="87">
        <f ca="1">RANK(DN4,OFFSET($S$4,0,0,1,$D$5*3),0)</f>
        <v>27</v>
      </c>
      <c r="DO3" s="87"/>
      <c r="DP3" s="65"/>
      <c r="DQ3" s="87">
        <f ca="1">RANK(DQ4,OFFSET($S$4,0,0,1,$D$5*3),0)</f>
        <v>40</v>
      </c>
      <c r="DR3" s="87"/>
      <c r="DS3" s="65"/>
      <c r="DT3" s="87">
        <f ca="1">RANK(DT4,OFFSET($S$4,0,0,1,$D$5*3),0)</f>
        <v>24</v>
      </c>
      <c r="DU3" s="87"/>
      <c r="DV3" s="65"/>
      <c r="DW3" s="87">
        <f ca="1">RANK(DW4,OFFSET($S$4,0,0,1,$D$5*3),0)</f>
        <v>1</v>
      </c>
      <c r="DX3" s="87"/>
      <c r="DY3" s="65"/>
      <c r="DZ3" s="87">
        <f ca="1">RANK(DZ4,OFFSET($S$4,0,0,1,$D$5*3),0)</f>
        <v>24</v>
      </c>
      <c r="EA3" s="87"/>
      <c r="EB3" s="65"/>
      <c r="EC3" s="87">
        <f ca="1">RANK(EC4,OFFSET($S$4,0,0,1,$D$5*3),0)</f>
        <v>36</v>
      </c>
      <c r="ED3" s="87"/>
      <c r="EE3" s="65"/>
      <c r="EF3" s="87">
        <f ca="1">RANK(EF4,OFFSET($S$4,0,0,1,$D$5*3),0)</f>
        <v>36</v>
      </c>
      <c r="EG3" s="87"/>
      <c r="EH3" s="65"/>
      <c r="EI3" s="87">
        <f ca="1">RANK(EI4,OFFSET($S$4,0,0,1,$D$5*3),0)</f>
        <v>41</v>
      </c>
      <c r="EJ3" s="87"/>
      <c r="EK3" s="65"/>
      <c r="EL3" s="87">
        <f ca="1">RANK(EL4,OFFSET($S$4,0,0,1,$D$5*3),0)</f>
        <v>41</v>
      </c>
      <c r="EM3" s="87"/>
      <c r="EN3" s="65"/>
      <c r="EO3" s="87">
        <f ca="1">RANK(EO4,OFFSET($S$4,0,0,1,$D$5*3),0)</f>
        <v>41</v>
      </c>
      <c r="EP3" s="87"/>
      <c r="EQ3" s="65"/>
      <c r="ER3" s="87">
        <f ca="1">RANK(ER4,OFFSET($S$4,0,0,1,$D$5*3),0)</f>
        <v>41</v>
      </c>
      <c r="ES3" s="87"/>
      <c r="ET3" s="65"/>
      <c r="EU3" s="87">
        <f ca="1">RANK(EU4,OFFSET($S$4,0,0,1,$D$5*3),0)</f>
        <v>41</v>
      </c>
      <c r="EV3" s="87"/>
      <c r="EW3" s="65"/>
      <c r="EX3" s="87">
        <f ca="1">RANK(EX4,OFFSET($S$4,0,0,1,$D$5*3),0)</f>
        <v>41</v>
      </c>
      <c r="EY3" s="87"/>
      <c r="EZ3" s="65"/>
      <c r="FA3" s="87">
        <f ca="1">RANK(FA4,OFFSET($S$4,0,0,1,$D$5*3),0)</f>
        <v>41</v>
      </c>
      <c r="FB3" s="87"/>
      <c r="FC3" s="65"/>
      <c r="FD3" s="87">
        <f ca="1">RANK(FD4,OFFSET($S$4,0,0,1,$D$5*3),0)</f>
        <v>41</v>
      </c>
      <c r="FE3" s="87"/>
      <c r="FF3" s="65"/>
      <c r="FG3" s="87">
        <f ca="1">RANK(FG4,OFFSET($S$4,0,0,1,$D$5*3),0)</f>
        <v>41</v>
      </c>
      <c r="FH3" s="87"/>
      <c r="FI3" s="65"/>
      <c r="FJ3" s="87">
        <f ca="1">RANK(FJ4,OFFSET($S$4,0,0,1,$D$5*3),0)</f>
        <v>41</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22</v>
      </c>
      <c r="T4" s="68"/>
      <c r="U4" s="65"/>
      <c r="V4" s="67">
        <f ca="1">SUM(W6:W259)/2</f>
        <v>13</v>
      </c>
      <c r="W4" s="68"/>
      <c r="X4" s="65"/>
      <c r="Y4" s="67">
        <f ca="1">SUM(Z6:Z259)/2</f>
        <v>22</v>
      </c>
      <c r="Z4" s="68"/>
      <c r="AA4" s="65"/>
      <c r="AB4" s="67">
        <f ca="1">SUM(AC6:AC259)/2</f>
        <v>27</v>
      </c>
      <c r="AC4" s="68"/>
      <c r="AD4" s="65"/>
      <c r="AE4" s="67">
        <f ca="1">SUM(AF6:AF259)/2</f>
        <v>18</v>
      </c>
      <c r="AF4" s="68"/>
      <c r="AG4" s="65"/>
      <c r="AH4" s="67">
        <f ca="1">SUM(AI6:AI259)/2</f>
        <v>25</v>
      </c>
      <c r="AI4" s="68"/>
      <c r="AJ4" s="65"/>
      <c r="AK4" s="67">
        <f ca="1">SUM(AL6:AL259)/2</f>
        <v>13</v>
      </c>
      <c r="AL4" s="68"/>
      <c r="AM4" s="65"/>
      <c r="AN4" s="67">
        <f ca="1">SUM(AO6:AO259)/2</f>
        <v>17</v>
      </c>
      <c r="AO4" s="68"/>
      <c r="AP4" s="65"/>
      <c r="AQ4" s="67">
        <f ca="1">SUM(AR6:AR259)/2</f>
        <v>28</v>
      </c>
      <c r="AR4" s="68"/>
      <c r="AS4" s="65"/>
      <c r="AT4" s="67">
        <f ca="1">SUM(AU6:AU259)/2</f>
        <v>17</v>
      </c>
      <c r="AU4" s="68"/>
      <c r="AV4" s="65"/>
      <c r="AW4" s="67">
        <f ca="1">SUM(AX6:AX259)/2</f>
        <v>15</v>
      </c>
      <c r="AX4" s="68"/>
      <c r="AY4" s="65"/>
      <c r="AZ4" s="67">
        <f ca="1">SUM(BA6:BA259)/2</f>
        <v>20</v>
      </c>
      <c r="BA4" s="68"/>
      <c r="BB4" s="65"/>
      <c r="BC4" s="67">
        <f ca="1">SUM(BD6:BD259)/2</f>
        <v>16</v>
      </c>
      <c r="BD4" s="68"/>
      <c r="BE4" s="65"/>
      <c r="BF4" s="67">
        <f ca="1">SUM(BG6:BG259)/2</f>
        <v>20</v>
      </c>
      <c r="BG4" s="68"/>
      <c r="BH4" s="65"/>
      <c r="BI4" s="67">
        <f ca="1">SUM(BJ6:BJ259)/2</f>
        <v>22</v>
      </c>
      <c r="BJ4" s="68"/>
      <c r="BK4" s="65"/>
      <c r="BL4" s="67">
        <f ca="1">SUM(BM6:BM259)/2</f>
        <v>11</v>
      </c>
      <c r="BM4" s="68"/>
      <c r="BN4" s="65"/>
      <c r="BO4" s="67">
        <f ca="1">SUM(BP6:BP259)/2</f>
        <v>19</v>
      </c>
      <c r="BP4" s="68"/>
      <c r="BQ4" s="65"/>
      <c r="BR4" s="67">
        <f ca="1">SUM(BS6:BS259)/2</f>
        <v>24</v>
      </c>
      <c r="BS4" s="68"/>
      <c r="BT4" s="65"/>
      <c r="BU4" s="67">
        <f ca="1">SUM(BV6:BV259)/2</f>
        <v>14</v>
      </c>
      <c r="BV4" s="68"/>
      <c r="BW4" s="65"/>
      <c r="BX4" s="67">
        <f ca="1">SUM(BY6:BY259)/2</f>
        <v>13</v>
      </c>
      <c r="BY4" s="68"/>
      <c r="BZ4" s="65"/>
      <c r="CA4" s="67">
        <f ca="1">SUM(CB6:CB259)/2</f>
        <v>17</v>
      </c>
      <c r="CB4" s="68"/>
      <c r="CC4" s="65"/>
      <c r="CD4" s="67">
        <f ca="1">SUM(CE6:CE259)/2</f>
        <v>25</v>
      </c>
      <c r="CE4" s="68"/>
      <c r="CF4" s="65"/>
      <c r="CG4" s="67">
        <f ca="1">SUM(CH6:CH259)/2</f>
        <v>20</v>
      </c>
      <c r="CH4" s="68"/>
      <c r="CI4" s="65"/>
      <c r="CJ4" s="67">
        <f ca="1">SUM(CK6:CK259)/2</f>
        <v>20</v>
      </c>
      <c r="CK4" s="68"/>
      <c r="CL4" s="65"/>
      <c r="CM4" s="67">
        <f ca="1">SUM(CN6:CN259)/2</f>
        <v>17</v>
      </c>
      <c r="CN4" s="68"/>
      <c r="CO4" s="65"/>
      <c r="CP4" s="67">
        <f ca="1">SUM(CQ6:CQ259)/2</f>
        <v>15</v>
      </c>
      <c r="CQ4" s="68"/>
      <c r="CR4" s="65"/>
      <c r="CS4" s="67">
        <f ca="1">SUM(CT6:CT259)/2</f>
        <v>14</v>
      </c>
      <c r="CT4" s="68"/>
      <c r="CU4" s="65"/>
      <c r="CV4" s="67">
        <f ca="1">SUM(CW6:CW259)/2</f>
        <v>25</v>
      </c>
      <c r="CW4" s="68"/>
      <c r="CX4" s="65"/>
      <c r="CY4" s="67">
        <f ca="1">SUM(CZ6:CZ259)/2</f>
        <v>21</v>
      </c>
      <c r="CZ4" s="68"/>
      <c r="DA4" s="65"/>
      <c r="DB4" s="67">
        <f ca="1">SUM(DC6:DC259)/2</f>
        <v>14</v>
      </c>
      <c r="DC4" s="68"/>
      <c r="DD4" s="65"/>
      <c r="DE4" s="67">
        <f ca="1">SUM(DF6:DF259)/2</f>
        <v>12</v>
      </c>
      <c r="DF4" s="68"/>
      <c r="DG4" s="65"/>
      <c r="DH4" s="67">
        <f ca="1">SUM(DI6:DI259)/2</f>
        <v>17</v>
      </c>
      <c r="DI4" s="68"/>
      <c r="DJ4" s="65"/>
      <c r="DK4" s="67">
        <f ca="1">SUM(DL6:DL259)/2</f>
        <v>19</v>
      </c>
      <c r="DL4" s="68"/>
      <c r="DM4" s="65"/>
      <c r="DN4" s="67">
        <f ca="1">SUM(DO6:DO259)/2</f>
        <v>15</v>
      </c>
      <c r="DO4" s="68"/>
      <c r="DP4" s="65"/>
      <c r="DQ4" s="67">
        <f ca="1">SUM(DR6:DR259)/2</f>
        <v>7</v>
      </c>
      <c r="DR4" s="68"/>
      <c r="DS4" s="65"/>
      <c r="DT4" s="67">
        <f ca="1">SUM(DU6:DU259)/2</f>
        <v>16</v>
      </c>
      <c r="DU4" s="68"/>
      <c r="DV4" s="65"/>
      <c r="DW4" s="67">
        <f ca="1">SUM(DX6:DX259)/2</f>
        <v>30</v>
      </c>
      <c r="DX4" s="68"/>
      <c r="DY4" s="65"/>
      <c r="DZ4" s="67">
        <f ca="1">SUM(EA6:EA259)/2</f>
        <v>16</v>
      </c>
      <c r="EA4" s="68"/>
      <c r="EB4" s="65"/>
      <c r="EC4" s="67">
        <f ca="1">SUM(ED6:ED259)/2</f>
        <v>12</v>
      </c>
      <c r="ED4" s="68"/>
      <c r="EE4" s="65"/>
      <c r="EF4" s="67">
        <f ca="1">SUM(EG6:EG259)/2</f>
        <v>12</v>
      </c>
      <c r="EG4" s="68"/>
      <c r="EH4" s="65"/>
      <c r="EI4" s="67">
        <f ca="1">SUM(EJ6:EJ259)/2</f>
        <v>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tr">
        <f>Idiomas!$G$363&amp;ADMIN!EK5</f>
        <v>Pegar Valores Nombre J41</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tr">
        <f>Idiomas!$D$364</f>
        <v>Pegar Valores (J1)</v>
      </c>
      <c r="EJ6" s="73">
        <f t="shared" ref="EJ6" si="87">IFERROR(IF($M6=EI6,($D$8+$D$9+$D$10)*$I6,IF($N6=LEFT(EI6,1),($D$8+MAX(0,IF($D$50=1,$D$9*(1-(ABS($Q6-ABS(VALUE(MID(EI6,FIND("|",EI6)+1,FIND("-",EI6)-FIND("|",EI6)-1))-VALUE(MID(EI6,FIND("-",EI6)+1,10)))))*$D$50),$D$9*(1-(IF($N6="X",ABS($O6-VALUE(MID(EI6,FIND("|",EI6)+1,FIND("-",EI6)-FIND("|",EI6)-1))),ABS($Q6-ABS(VALUE(MID(EI6,FIND("|",EI6)+1,FIND("-",EI6)-FIND("|",EI6)-1))-VALUE(MID(EI6,FIND("-",EI6)+1,10)))))*$D$50)))))*$I6,0)),0)</f>
        <v>0</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c r="EJ7" s="73">
        <f t="shared" si="70"/>
        <v>0</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c r="EJ8" s="73">
        <f t="shared" si="70"/>
        <v>0</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c r="EJ10" s="73">
        <f t="shared" si="70"/>
        <v>0</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c r="EJ11" s="73">
        <f t="shared" si="70"/>
        <v>0</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c r="EJ14" s="73">
        <f t="shared" si="70"/>
        <v>0</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c r="EJ16" s="73">
        <f t="shared" si="70"/>
        <v>0</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c r="EJ18" s="73">
        <f t="shared" si="70"/>
        <v>0</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c r="EJ23" s="73">
        <f t="shared" si="105"/>
        <v>0</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c r="EJ24" s="77">
        <f t="shared" si="105"/>
        <v>0</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c r="EJ25" s="73">
        <f t="shared" si="105"/>
        <v>0</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101"/>
        <v>0</v>
      </c>
      <c r="R27" s="49"/>
      <c r="S27" s="74" t="s">
        <v>1955</v>
      </c>
      <c r="T27" s="73">
        <f t="shared" si="98"/>
        <v>0</v>
      </c>
      <c r="U27" s="65"/>
      <c r="V27" s="74" t="s">
        <v>1952</v>
      </c>
      <c r="W27" s="73">
        <f t="shared" si="99"/>
        <v>0</v>
      </c>
      <c r="X27" s="65"/>
      <c r="Y27" s="74" t="s">
        <v>1949</v>
      </c>
      <c r="Z27" s="73">
        <f t="shared" si="103"/>
        <v>0</v>
      </c>
      <c r="AA27" s="65"/>
      <c r="AB27" s="74" t="s">
        <v>1952</v>
      </c>
      <c r="AC27" s="73">
        <f t="shared" si="103"/>
        <v>0</v>
      </c>
      <c r="AD27" s="65"/>
      <c r="AE27" s="74" t="s">
        <v>1952</v>
      </c>
      <c r="AF27" s="73">
        <f t="shared" si="103"/>
        <v>0</v>
      </c>
      <c r="AG27" s="65"/>
      <c r="AH27" s="74" t="s">
        <v>1949</v>
      </c>
      <c r="AI27" s="73">
        <f t="shared" si="103"/>
        <v>0</v>
      </c>
      <c r="AJ27" s="65"/>
      <c r="AK27" s="74" t="s">
        <v>1947</v>
      </c>
      <c r="AL27" s="73">
        <f t="shared" si="103"/>
        <v>0</v>
      </c>
      <c r="AM27" s="65"/>
      <c r="AN27" s="74" t="s">
        <v>1949</v>
      </c>
      <c r="AO27" s="73">
        <f t="shared" si="103"/>
        <v>0</v>
      </c>
      <c r="AP27" s="65"/>
      <c r="AQ27" s="74" t="s">
        <v>1952</v>
      </c>
      <c r="AR27" s="73">
        <f t="shared" si="103"/>
        <v>0</v>
      </c>
      <c r="AS27" s="65"/>
      <c r="AT27" s="74" t="s">
        <v>1947</v>
      </c>
      <c r="AU27" s="73">
        <f t="shared" si="103"/>
        <v>0</v>
      </c>
      <c r="AV27" s="65"/>
      <c r="AW27" s="74" t="s">
        <v>1949</v>
      </c>
      <c r="AX27" s="73">
        <f t="shared" si="103"/>
        <v>0</v>
      </c>
      <c r="AY27" s="65"/>
      <c r="AZ27" s="74" t="s">
        <v>1949</v>
      </c>
      <c r="BA27" s="73">
        <f t="shared" si="103"/>
        <v>0</v>
      </c>
      <c r="BB27" s="65"/>
      <c r="BC27" s="74" t="s">
        <v>1949</v>
      </c>
      <c r="BD27" s="73">
        <f t="shared" si="103"/>
        <v>0</v>
      </c>
      <c r="BE27" s="65"/>
      <c r="BF27" s="74" t="s">
        <v>1949</v>
      </c>
      <c r="BG27" s="73">
        <f t="shared" si="103"/>
        <v>0</v>
      </c>
      <c r="BH27" s="65"/>
      <c r="BI27" s="74" t="s">
        <v>1949</v>
      </c>
      <c r="BJ27" s="73">
        <f t="shared" si="103"/>
        <v>0</v>
      </c>
      <c r="BK27" s="65"/>
      <c r="BL27" s="74" t="s">
        <v>1949</v>
      </c>
      <c r="BM27" s="73">
        <f t="shared" si="103"/>
        <v>0</v>
      </c>
      <c r="BN27" s="65"/>
      <c r="BO27" s="74" t="s">
        <v>1952</v>
      </c>
      <c r="BP27" s="73">
        <f t="shared" si="103"/>
        <v>0</v>
      </c>
      <c r="BQ27" s="65"/>
      <c r="BR27" s="74" t="s">
        <v>1947</v>
      </c>
      <c r="BS27" s="73">
        <f t="shared" si="103"/>
        <v>0</v>
      </c>
      <c r="BT27" s="65"/>
      <c r="BU27" s="74" t="s">
        <v>1947</v>
      </c>
      <c r="BV27" s="73">
        <f t="shared" si="103"/>
        <v>0</v>
      </c>
      <c r="BW27" s="65"/>
      <c r="BX27" s="74" t="s">
        <v>1947</v>
      </c>
      <c r="BY27" s="73">
        <f t="shared" si="103"/>
        <v>0</v>
      </c>
      <c r="BZ27" s="65"/>
      <c r="CA27" s="74" t="s">
        <v>1957</v>
      </c>
      <c r="CB27" s="73">
        <f t="shared" si="103"/>
        <v>0</v>
      </c>
      <c r="CC27" s="65"/>
      <c r="CD27" s="74" t="s">
        <v>1945</v>
      </c>
      <c r="CE27" s="73">
        <f t="shared" si="103"/>
        <v>0</v>
      </c>
      <c r="CF27" s="65"/>
      <c r="CG27" s="74" t="s">
        <v>1946</v>
      </c>
      <c r="CH27" s="73">
        <f t="shared" si="103"/>
        <v>0</v>
      </c>
      <c r="CI27" s="65"/>
      <c r="CJ27" s="74" t="s">
        <v>1960</v>
      </c>
      <c r="CK27" s="73">
        <f t="shared" si="102"/>
        <v>0</v>
      </c>
      <c r="CL27" s="65"/>
      <c r="CM27" s="74" t="s">
        <v>1960</v>
      </c>
      <c r="CN27" s="73">
        <f t="shared" si="102"/>
        <v>0</v>
      </c>
      <c r="CO27" s="65"/>
      <c r="CP27" s="74" t="s">
        <v>1947</v>
      </c>
      <c r="CQ27" s="73">
        <f t="shared" si="102"/>
        <v>0</v>
      </c>
      <c r="CR27" s="65"/>
      <c r="CS27" s="74" t="s">
        <v>1946</v>
      </c>
      <c r="CT27" s="73">
        <f t="shared" si="102"/>
        <v>0</v>
      </c>
      <c r="CU27" s="65"/>
      <c r="CV27" s="74" t="s">
        <v>1949</v>
      </c>
      <c r="CW27" s="73">
        <f t="shared" si="102"/>
        <v>0</v>
      </c>
      <c r="CX27" s="65"/>
      <c r="CY27" s="74" t="s">
        <v>1949</v>
      </c>
      <c r="CZ27" s="73">
        <f t="shared" si="102"/>
        <v>0</v>
      </c>
      <c r="DA27" s="65"/>
      <c r="DB27" s="74" t="s">
        <v>1949</v>
      </c>
      <c r="DC27" s="73">
        <f t="shared" si="102"/>
        <v>0</v>
      </c>
      <c r="DD27" s="65"/>
      <c r="DE27" s="74" t="s">
        <v>1947</v>
      </c>
      <c r="DF27" s="73">
        <f t="shared" si="102"/>
        <v>0</v>
      </c>
      <c r="DG27" s="65"/>
      <c r="DH27" s="74" t="s">
        <v>1952</v>
      </c>
      <c r="DI27" s="73">
        <f t="shared" si="102"/>
        <v>0</v>
      </c>
      <c r="DJ27" s="65"/>
      <c r="DK27" s="74" t="s">
        <v>1949</v>
      </c>
      <c r="DL27" s="73">
        <f t="shared" si="102"/>
        <v>0</v>
      </c>
      <c r="DM27" s="65"/>
      <c r="DN27" s="795" t="s">
        <v>1945</v>
      </c>
      <c r="DO27" s="73">
        <f t="shared" si="102"/>
        <v>0</v>
      </c>
      <c r="DP27" s="65"/>
      <c r="DQ27" s="795" t="s">
        <v>1949</v>
      </c>
      <c r="DR27" s="73">
        <f t="shared" si="102"/>
        <v>0</v>
      </c>
      <c r="DS27" s="65"/>
      <c r="DT27" s="74" t="s">
        <v>1949</v>
      </c>
      <c r="DU27" s="73">
        <f t="shared" si="105"/>
        <v>0</v>
      </c>
      <c r="DV27" s="65"/>
      <c r="DW27" s="74" t="s">
        <v>1945</v>
      </c>
      <c r="DX27" s="73">
        <f t="shared" si="105"/>
        <v>0</v>
      </c>
      <c r="DY27" s="65"/>
      <c r="DZ27" s="74" t="s">
        <v>1960</v>
      </c>
      <c r="EA27" s="73">
        <f t="shared" si="105"/>
        <v>0</v>
      </c>
      <c r="EB27" s="65"/>
      <c r="EC27" s="74" t="s">
        <v>1949</v>
      </c>
      <c r="ED27" s="73">
        <f t="shared" si="105"/>
        <v>0</v>
      </c>
      <c r="EE27" s="65"/>
      <c r="EF27" s="74" t="s">
        <v>1945</v>
      </c>
      <c r="EG27" s="73">
        <f t="shared" si="105"/>
        <v>0</v>
      </c>
      <c r="EH27" s="65"/>
      <c r="EI27" s="74"/>
      <c r="EJ27" s="73">
        <f t="shared" si="105"/>
        <v>0</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101"/>
        <v>0</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0</v>
      </c>
      <c r="U28" s="65"/>
      <c r="V28" s="74" t="s">
        <v>1948</v>
      </c>
      <c r="W28" s="73">
        <f t="shared" si="99"/>
        <v>0</v>
      </c>
      <c r="X28" s="65"/>
      <c r="Y28" s="74" t="s">
        <v>1956</v>
      </c>
      <c r="Z28" s="73">
        <f t="shared" si="103"/>
        <v>0</v>
      </c>
      <c r="AA28" s="65"/>
      <c r="AB28" s="74" t="s">
        <v>1958</v>
      </c>
      <c r="AC28" s="73">
        <f t="shared" si="103"/>
        <v>0</v>
      </c>
      <c r="AD28" s="65"/>
      <c r="AE28" s="74" t="s">
        <v>1946</v>
      </c>
      <c r="AF28" s="73">
        <f t="shared" si="103"/>
        <v>0</v>
      </c>
      <c r="AG28" s="65"/>
      <c r="AH28" s="74" t="s">
        <v>1962</v>
      </c>
      <c r="AI28" s="73">
        <f t="shared" si="103"/>
        <v>0</v>
      </c>
      <c r="AJ28" s="65"/>
      <c r="AK28" s="74" t="s">
        <v>1954</v>
      </c>
      <c r="AL28" s="73">
        <f t="shared" si="103"/>
        <v>0</v>
      </c>
      <c r="AM28" s="65"/>
      <c r="AN28" s="74" t="s">
        <v>1948</v>
      </c>
      <c r="AO28" s="73">
        <f t="shared" si="103"/>
        <v>0</v>
      </c>
      <c r="AP28" s="65"/>
      <c r="AQ28" s="74" t="s">
        <v>1954</v>
      </c>
      <c r="AR28" s="73">
        <f t="shared" si="103"/>
        <v>0</v>
      </c>
      <c r="AS28" s="65"/>
      <c r="AT28" s="74" t="s">
        <v>1948</v>
      </c>
      <c r="AU28" s="73">
        <f t="shared" si="103"/>
        <v>0</v>
      </c>
      <c r="AV28" s="65"/>
      <c r="AW28" s="74" t="s">
        <v>1942</v>
      </c>
      <c r="AX28" s="73">
        <f t="shared" si="103"/>
        <v>0</v>
      </c>
      <c r="AY28" s="65"/>
      <c r="AZ28" s="74" t="s">
        <v>1946</v>
      </c>
      <c r="BA28" s="73">
        <f t="shared" si="103"/>
        <v>0</v>
      </c>
      <c r="BB28" s="65"/>
      <c r="BC28" s="74" t="s">
        <v>1952</v>
      </c>
      <c r="BD28" s="73">
        <f t="shared" si="103"/>
        <v>0</v>
      </c>
      <c r="BE28" s="65"/>
      <c r="BF28" s="74" t="s">
        <v>1948</v>
      </c>
      <c r="BG28" s="73">
        <f t="shared" si="103"/>
        <v>0</v>
      </c>
      <c r="BH28" s="65"/>
      <c r="BI28" s="74" t="s">
        <v>1956</v>
      </c>
      <c r="BJ28" s="73">
        <f t="shared" si="103"/>
        <v>0</v>
      </c>
      <c r="BK28" s="65"/>
      <c r="BL28" s="74" t="s">
        <v>1948</v>
      </c>
      <c r="BM28" s="73">
        <f t="shared" si="103"/>
        <v>0</v>
      </c>
      <c r="BN28" s="65"/>
      <c r="BO28" s="74" t="s">
        <v>1948</v>
      </c>
      <c r="BP28" s="73">
        <f t="shared" si="103"/>
        <v>0</v>
      </c>
      <c r="BQ28" s="65"/>
      <c r="BR28" s="74" t="s">
        <v>1948</v>
      </c>
      <c r="BS28" s="73">
        <f t="shared" si="103"/>
        <v>0</v>
      </c>
      <c r="BT28" s="65"/>
      <c r="BU28" s="74" t="s">
        <v>1944</v>
      </c>
      <c r="BV28" s="73">
        <f t="shared" si="103"/>
        <v>0</v>
      </c>
      <c r="BW28" s="65"/>
      <c r="BX28" s="74" t="s">
        <v>1944</v>
      </c>
      <c r="BY28" s="73">
        <f t="shared" si="103"/>
        <v>0</v>
      </c>
      <c r="BZ28" s="65"/>
      <c r="CA28" s="74" t="s">
        <v>1948</v>
      </c>
      <c r="CB28" s="73">
        <f t="shared" si="103"/>
        <v>0</v>
      </c>
      <c r="CC28" s="65"/>
      <c r="CD28" s="74" t="s">
        <v>1946</v>
      </c>
      <c r="CE28" s="73">
        <f t="shared" si="103"/>
        <v>0</v>
      </c>
      <c r="CF28" s="65"/>
      <c r="CG28" s="74" t="s">
        <v>1944</v>
      </c>
      <c r="CH28" s="73">
        <f t="shared" si="103"/>
        <v>0</v>
      </c>
      <c r="CI28" s="65"/>
      <c r="CJ28" s="74" t="s">
        <v>1954</v>
      </c>
      <c r="CK28" s="73">
        <f t="shared" si="102"/>
        <v>0</v>
      </c>
      <c r="CL28" s="65"/>
      <c r="CM28" s="74" t="s">
        <v>1943</v>
      </c>
      <c r="CN28" s="73">
        <f t="shared" si="102"/>
        <v>0</v>
      </c>
      <c r="CO28" s="65"/>
      <c r="CP28" s="74" t="s">
        <v>1944</v>
      </c>
      <c r="CQ28" s="73">
        <f t="shared" si="102"/>
        <v>0</v>
      </c>
      <c r="CR28" s="65"/>
      <c r="CS28" s="74" t="s">
        <v>1948</v>
      </c>
      <c r="CT28" s="73">
        <f t="shared" si="102"/>
        <v>0</v>
      </c>
      <c r="CU28" s="65"/>
      <c r="CV28" s="74" t="s">
        <v>1954</v>
      </c>
      <c r="CW28" s="73">
        <f t="shared" si="102"/>
        <v>0</v>
      </c>
      <c r="CX28" s="65"/>
      <c r="CY28" s="74" t="s">
        <v>1954</v>
      </c>
      <c r="CZ28" s="73">
        <f t="shared" si="102"/>
        <v>0</v>
      </c>
      <c r="DA28" s="65"/>
      <c r="DB28" s="74" t="s">
        <v>1948</v>
      </c>
      <c r="DC28" s="73">
        <f t="shared" si="102"/>
        <v>0</v>
      </c>
      <c r="DD28" s="65"/>
      <c r="DE28" s="74" t="s">
        <v>1948</v>
      </c>
      <c r="DF28" s="73">
        <f t="shared" si="102"/>
        <v>0</v>
      </c>
      <c r="DG28" s="65"/>
      <c r="DH28" s="74" t="s">
        <v>1946</v>
      </c>
      <c r="DI28" s="73">
        <f t="shared" si="102"/>
        <v>0</v>
      </c>
      <c r="DJ28" s="65"/>
      <c r="DK28" s="74" t="s">
        <v>1942</v>
      </c>
      <c r="DL28" s="73">
        <f t="shared" si="102"/>
        <v>0</v>
      </c>
      <c r="DM28" s="65"/>
      <c r="DN28" s="795" t="s">
        <v>1954</v>
      </c>
      <c r="DO28" s="73">
        <f t="shared" si="102"/>
        <v>0</v>
      </c>
      <c r="DP28" s="65"/>
      <c r="DQ28" s="795" t="s">
        <v>1952</v>
      </c>
      <c r="DR28" s="73">
        <f t="shared" si="102"/>
        <v>0</v>
      </c>
      <c r="DS28" s="65"/>
      <c r="DT28" s="74" t="s">
        <v>1952</v>
      </c>
      <c r="DU28" s="73">
        <f t="shared" si="105"/>
        <v>0</v>
      </c>
      <c r="DV28" s="65"/>
      <c r="DW28" s="74" t="s">
        <v>1943</v>
      </c>
      <c r="DX28" s="73">
        <f t="shared" si="105"/>
        <v>0</v>
      </c>
      <c r="DY28" s="65"/>
      <c r="DZ28" s="74" t="s">
        <v>1946</v>
      </c>
      <c r="EA28" s="73">
        <f t="shared" si="105"/>
        <v>0</v>
      </c>
      <c r="EB28" s="65"/>
      <c r="EC28" s="74" t="s">
        <v>1954</v>
      </c>
      <c r="ED28" s="73">
        <f t="shared" si="105"/>
        <v>0</v>
      </c>
      <c r="EE28" s="65"/>
      <c r="EF28" s="74" t="s">
        <v>1943</v>
      </c>
      <c r="EG28" s="73">
        <f t="shared" si="105"/>
        <v>0</v>
      </c>
      <c r="EH28" s="65"/>
      <c r="EI28" s="74"/>
      <c r="EJ28" s="73">
        <f t="shared" si="105"/>
        <v>0</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101"/>
        <v>0</v>
      </c>
      <c r="R29" s="49"/>
      <c r="S29" s="78" t="s">
        <v>1957</v>
      </c>
      <c r="T29" s="79">
        <f t="shared" si="106"/>
        <v>0</v>
      </c>
      <c r="U29" s="65"/>
      <c r="V29" s="78" t="s">
        <v>1954</v>
      </c>
      <c r="W29" s="79">
        <f t="shared" si="99"/>
        <v>0</v>
      </c>
      <c r="X29" s="65"/>
      <c r="Y29" s="78" t="s">
        <v>1948</v>
      </c>
      <c r="Z29" s="79">
        <f t="shared" si="103"/>
        <v>0</v>
      </c>
      <c r="AA29" s="65"/>
      <c r="AB29" s="78" t="s">
        <v>1960</v>
      </c>
      <c r="AC29" s="79">
        <f t="shared" si="103"/>
        <v>0</v>
      </c>
      <c r="AD29" s="65"/>
      <c r="AE29" s="78" t="s">
        <v>1952</v>
      </c>
      <c r="AF29" s="79">
        <f t="shared" si="103"/>
        <v>0</v>
      </c>
      <c r="AG29" s="65"/>
      <c r="AH29" s="78" t="s">
        <v>1952</v>
      </c>
      <c r="AI29" s="79">
        <f t="shared" si="103"/>
        <v>0</v>
      </c>
      <c r="AJ29" s="65"/>
      <c r="AK29" s="78" t="s">
        <v>1958</v>
      </c>
      <c r="AL29" s="79">
        <f t="shared" si="103"/>
        <v>0</v>
      </c>
      <c r="AM29" s="65"/>
      <c r="AN29" s="78" t="s">
        <v>1942</v>
      </c>
      <c r="AO29" s="79">
        <f t="shared" si="103"/>
        <v>0</v>
      </c>
      <c r="AP29" s="65"/>
      <c r="AQ29" s="78" t="s">
        <v>1958</v>
      </c>
      <c r="AR29" s="79">
        <f t="shared" si="103"/>
        <v>0</v>
      </c>
      <c r="AS29" s="65"/>
      <c r="AT29" s="78" t="s">
        <v>1954</v>
      </c>
      <c r="AU29" s="79">
        <f t="shared" si="103"/>
        <v>0</v>
      </c>
      <c r="AV29" s="65"/>
      <c r="AW29" s="78" t="s">
        <v>1958</v>
      </c>
      <c r="AX29" s="79">
        <f t="shared" si="103"/>
        <v>0</v>
      </c>
      <c r="AY29" s="65"/>
      <c r="AZ29" s="78" t="s">
        <v>1948</v>
      </c>
      <c r="BA29" s="79">
        <f t="shared" si="103"/>
        <v>0</v>
      </c>
      <c r="BB29" s="65"/>
      <c r="BC29" s="78" t="s">
        <v>1942</v>
      </c>
      <c r="BD29" s="79">
        <f t="shared" si="103"/>
        <v>0</v>
      </c>
      <c r="BE29" s="65"/>
      <c r="BF29" s="78" t="s">
        <v>1946</v>
      </c>
      <c r="BG29" s="79">
        <f t="shared" si="103"/>
        <v>0</v>
      </c>
      <c r="BH29" s="65"/>
      <c r="BI29" s="78" t="s">
        <v>1948</v>
      </c>
      <c r="BJ29" s="79">
        <f t="shared" si="103"/>
        <v>0</v>
      </c>
      <c r="BK29" s="65"/>
      <c r="BL29" s="78" t="s">
        <v>1954</v>
      </c>
      <c r="BM29" s="79">
        <f t="shared" si="103"/>
        <v>0</v>
      </c>
      <c r="BN29" s="65"/>
      <c r="BO29" s="78" t="s">
        <v>1960</v>
      </c>
      <c r="BP29" s="79">
        <f t="shared" si="103"/>
        <v>0</v>
      </c>
      <c r="BQ29" s="65"/>
      <c r="BR29" s="78" t="s">
        <v>1948</v>
      </c>
      <c r="BS29" s="79">
        <f t="shared" si="103"/>
        <v>0</v>
      </c>
      <c r="BT29" s="65"/>
      <c r="BU29" s="78" t="s">
        <v>1948</v>
      </c>
      <c r="BV29" s="79">
        <f t="shared" si="103"/>
        <v>0</v>
      </c>
      <c r="BW29" s="65"/>
      <c r="BX29" s="78" t="s">
        <v>1946</v>
      </c>
      <c r="BY29" s="79">
        <f t="shared" si="103"/>
        <v>0</v>
      </c>
      <c r="BZ29" s="65"/>
      <c r="CA29" s="78" t="s">
        <v>1948</v>
      </c>
      <c r="CB29" s="79">
        <f t="shared" si="103"/>
        <v>0</v>
      </c>
      <c r="CC29" s="65"/>
      <c r="CD29" s="78" t="s">
        <v>1942</v>
      </c>
      <c r="CE29" s="79">
        <f t="shared" si="103"/>
        <v>0</v>
      </c>
      <c r="CF29" s="65"/>
      <c r="CG29" s="78" t="s">
        <v>1962</v>
      </c>
      <c r="CH29" s="79">
        <f t="shared" si="103"/>
        <v>0</v>
      </c>
      <c r="CI29" s="65"/>
      <c r="CJ29" s="78" t="s">
        <v>1942</v>
      </c>
      <c r="CK29" s="79">
        <f t="shared" si="102"/>
        <v>0</v>
      </c>
      <c r="CL29" s="65"/>
      <c r="CM29" s="78" t="s">
        <v>1957</v>
      </c>
      <c r="CN29" s="79">
        <f t="shared" si="102"/>
        <v>0</v>
      </c>
      <c r="CO29" s="65"/>
      <c r="CP29" s="78" t="s">
        <v>1948</v>
      </c>
      <c r="CQ29" s="79">
        <f t="shared" si="102"/>
        <v>0</v>
      </c>
      <c r="CR29" s="65"/>
      <c r="CS29" s="78" t="s">
        <v>1946</v>
      </c>
      <c r="CT29" s="79">
        <f t="shared" si="102"/>
        <v>0</v>
      </c>
      <c r="CU29" s="65"/>
      <c r="CV29" s="78" t="s">
        <v>1954</v>
      </c>
      <c r="CW29" s="79">
        <f t="shared" si="102"/>
        <v>0</v>
      </c>
      <c r="CX29" s="65"/>
      <c r="CY29" s="78" t="s">
        <v>1944</v>
      </c>
      <c r="CZ29" s="79">
        <f t="shared" si="102"/>
        <v>0</v>
      </c>
      <c r="DA29" s="65"/>
      <c r="DB29" s="78" t="s">
        <v>1942</v>
      </c>
      <c r="DC29" s="79">
        <f t="shared" si="102"/>
        <v>0</v>
      </c>
      <c r="DD29" s="65"/>
      <c r="DE29" s="78" t="s">
        <v>1942</v>
      </c>
      <c r="DF29" s="79">
        <f t="shared" si="102"/>
        <v>0</v>
      </c>
      <c r="DG29" s="65"/>
      <c r="DH29" s="78" t="s">
        <v>1946</v>
      </c>
      <c r="DI29" s="79">
        <f t="shared" si="102"/>
        <v>0</v>
      </c>
      <c r="DJ29" s="65"/>
      <c r="DK29" s="78" t="s">
        <v>1948</v>
      </c>
      <c r="DL29" s="79">
        <f t="shared" si="102"/>
        <v>0</v>
      </c>
      <c r="DM29" s="65"/>
      <c r="DN29" s="795" t="s">
        <v>1943</v>
      </c>
      <c r="DO29" s="79">
        <f t="shared" si="102"/>
        <v>0</v>
      </c>
      <c r="DP29" s="65"/>
      <c r="DQ29" s="795" t="s">
        <v>1946</v>
      </c>
      <c r="DR29" s="79">
        <f t="shared" si="102"/>
        <v>0</v>
      </c>
      <c r="DS29" s="65"/>
      <c r="DT29" s="78" t="s">
        <v>1948</v>
      </c>
      <c r="DU29" s="79">
        <f t="shared" si="105"/>
        <v>0</v>
      </c>
      <c r="DV29" s="65"/>
      <c r="DW29" s="78" t="s">
        <v>1954</v>
      </c>
      <c r="DX29" s="79">
        <f t="shared" si="105"/>
        <v>0</v>
      </c>
      <c r="DY29" s="65"/>
      <c r="DZ29" s="78" t="s">
        <v>1942</v>
      </c>
      <c r="EA29" s="79">
        <f t="shared" si="105"/>
        <v>0</v>
      </c>
      <c r="EB29" s="65"/>
      <c r="EC29" s="78" t="s">
        <v>1948</v>
      </c>
      <c r="ED29" s="79">
        <f t="shared" si="105"/>
        <v>0</v>
      </c>
      <c r="EE29" s="65"/>
      <c r="EF29" s="78" t="s">
        <v>1954</v>
      </c>
      <c r="EG29" s="79">
        <f t="shared" si="105"/>
        <v>0</v>
      </c>
      <c r="EH29" s="65"/>
      <c r="EI29" s="78"/>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0</v>
      </c>
      <c r="AD30" s="65"/>
      <c r="AE30" s="76" t="s">
        <v>1942</v>
      </c>
      <c r="AF30" s="77">
        <f t="shared" si="103"/>
        <v>0</v>
      </c>
      <c r="AG30" s="65"/>
      <c r="AH30" s="76" t="s">
        <v>1946</v>
      </c>
      <c r="AI30" s="77">
        <f t="shared" si="103"/>
        <v>0</v>
      </c>
      <c r="AJ30" s="65"/>
      <c r="AK30" s="76" t="s">
        <v>1948</v>
      </c>
      <c r="AL30" s="77">
        <f t="shared" si="103"/>
        <v>0</v>
      </c>
      <c r="AM30" s="65"/>
      <c r="AN30" s="76" t="s">
        <v>1958</v>
      </c>
      <c r="AO30" s="77">
        <f t="shared" si="103"/>
        <v>0</v>
      </c>
      <c r="AP30" s="65"/>
      <c r="AQ30" s="76" t="s">
        <v>1946</v>
      </c>
      <c r="AR30" s="77">
        <f t="shared" si="103"/>
        <v>0</v>
      </c>
      <c r="AS30" s="65"/>
      <c r="AT30" s="76" t="s">
        <v>1946</v>
      </c>
      <c r="AU30" s="77">
        <f t="shared" si="103"/>
        <v>0</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0</v>
      </c>
      <c r="BQ30" s="65"/>
      <c r="BR30" s="76" t="s">
        <v>1942</v>
      </c>
      <c r="BS30" s="77">
        <f t="shared" si="107"/>
        <v>0</v>
      </c>
      <c r="BT30" s="65"/>
      <c r="BU30" s="76" t="s">
        <v>1948</v>
      </c>
      <c r="BV30" s="77">
        <f t="shared" si="107"/>
        <v>0</v>
      </c>
      <c r="BW30" s="65"/>
      <c r="BX30" s="76" t="s">
        <v>1946</v>
      </c>
      <c r="BY30" s="77">
        <f t="shared" si="107"/>
        <v>0</v>
      </c>
      <c r="BZ30" s="65"/>
      <c r="CA30" s="76" t="s">
        <v>1960</v>
      </c>
      <c r="CB30" s="77">
        <f t="shared" si="107"/>
        <v>0</v>
      </c>
      <c r="CC30" s="65"/>
      <c r="CD30" s="76" t="s">
        <v>1946</v>
      </c>
      <c r="CE30" s="77">
        <f t="shared" si="107"/>
        <v>0</v>
      </c>
      <c r="CF30" s="65"/>
      <c r="CG30" s="76" t="s">
        <v>1954</v>
      </c>
      <c r="CH30" s="77">
        <f t="shared" si="107"/>
        <v>0</v>
      </c>
      <c r="CI30" s="65"/>
      <c r="CJ30" s="76" t="s">
        <v>1942</v>
      </c>
      <c r="CK30" s="77">
        <f t="shared" si="107"/>
        <v>0</v>
      </c>
      <c r="CL30" s="65"/>
      <c r="CM30" s="76" t="s">
        <v>1948</v>
      </c>
      <c r="CN30" s="77">
        <f t="shared" si="107"/>
        <v>0</v>
      </c>
      <c r="CO30" s="65"/>
      <c r="CP30" s="76" t="s">
        <v>1946</v>
      </c>
      <c r="CQ30" s="77">
        <f t="shared" si="107"/>
        <v>0</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0</v>
      </c>
      <c r="DS30" s="65"/>
      <c r="DT30" s="76" t="s">
        <v>1944</v>
      </c>
      <c r="DU30" s="77">
        <f t="shared" si="107"/>
        <v>0</v>
      </c>
      <c r="DV30" s="65"/>
      <c r="DW30" s="76" t="s">
        <v>1948</v>
      </c>
      <c r="DX30" s="77">
        <f t="shared" si="105"/>
        <v>0</v>
      </c>
      <c r="DY30" s="65"/>
      <c r="DZ30" s="76" t="s">
        <v>1942</v>
      </c>
      <c r="EA30" s="77">
        <f t="shared" si="105"/>
        <v>0</v>
      </c>
      <c r="EB30" s="65"/>
      <c r="EC30" s="76" t="s">
        <v>1946</v>
      </c>
      <c r="ED30" s="77">
        <f t="shared" si="105"/>
        <v>0</v>
      </c>
      <c r="EE30" s="65"/>
      <c r="EF30" s="76" t="s">
        <v>1942</v>
      </c>
      <c r="EG30" s="77">
        <f t="shared" si="105"/>
        <v>0</v>
      </c>
      <c r="EH30" s="65"/>
      <c r="EI30" s="76" t="str">
        <f>Idiomas!$D$365</f>
        <v>Pegar Valores (J2)</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101"/>
        <v>0</v>
      </c>
      <c r="R31" s="49"/>
      <c r="S31" s="74" t="s">
        <v>1948</v>
      </c>
      <c r="T31" s="73">
        <f t="shared" si="106"/>
        <v>0</v>
      </c>
      <c r="U31" s="65"/>
      <c r="V31" s="74" t="s">
        <v>1954</v>
      </c>
      <c r="W31" s="73">
        <f t="shared" si="99"/>
        <v>0</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1948</v>
      </c>
      <c r="AC31" s="73">
        <f t="shared" si="108"/>
        <v>0</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0</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0</v>
      </c>
      <c r="BH31" s="65"/>
      <c r="BI31" s="74" t="s">
        <v>1948</v>
      </c>
      <c r="BJ31" s="73">
        <f t="shared" si="108"/>
        <v>0</v>
      </c>
      <c r="BK31" s="65"/>
      <c r="BL31" s="74" t="s">
        <v>1948</v>
      </c>
      <c r="BM31" s="73">
        <f t="shared" si="108"/>
        <v>0</v>
      </c>
      <c r="BN31" s="65"/>
      <c r="BO31" s="74" t="s">
        <v>1948</v>
      </c>
      <c r="BP31" s="73">
        <f t="shared" si="108"/>
        <v>0</v>
      </c>
      <c r="BQ31" s="65"/>
      <c r="BR31" s="74" t="s">
        <v>1942</v>
      </c>
      <c r="BS31" s="73">
        <f t="shared" si="108"/>
        <v>0</v>
      </c>
      <c r="BT31" s="65"/>
      <c r="BU31" s="74" t="s">
        <v>1944</v>
      </c>
      <c r="BV31" s="73">
        <f t="shared" si="108"/>
        <v>0</v>
      </c>
      <c r="BW31" s="65"/>
      <c r="BX31" s="74" t="s">
        <v>1948</v>
      </c>
      <c r="BY31" s="73">
        <f t="shared" si="108"/>
        <v>0</v>
      </c>
      <c r="BZ31" s="65"/>
      <c r="CA31" s="74" t="s">
        <v>1946</v>
      </c>
      <c r="CB31" s="73">
        <f t="shared" si="108"/>
        <v>0</v>
      </c>
      <c r="CC31" s="65"/>
      <c r="CD31" s="74" t="s">
        <v>1954</v>
      </c>
      <c r="CE31" s="73">
        <f t="shared" si="108"/>
        <v>0</v>
      </c>
      <c r="CF31" s="65"/>
      <c r="CG31" s="74" t="s">
        <v>1946</v>
      </c>
      <c r="CH31" s="73">
        <f t="shared" si="108"/>
        <v>0</v>
      </c>
      <c r="CI31" s="65"/>
      <c r="CJ31" s="74" t="s">
        <v>1946</v>
      </c>
      <c r="CK31" s="73">
        <f t="shared" si="107"/>
        <v>0</v>
      </c>
      <c r="CL31" s="65"/>
      <c r="CM31" s="74" t="s">
        <v>1944</v>
      </c>
      <c r="CN31" s="73">
        <f t="shared" si="107"/>
        <v>0</v>
      </c>
      <c r="CO31" s="65"/>
      <c r="CP31" s="74" t="s">
        <v>1942</v>
      </c>
      <c r="CQ31" s="73">
        <f t="shared" si="107"/>
        <v>0</v>
      </c>
      <c r="CR31" s="65"/>
      <c r="CS31" s="74" t="s">
        <v>1954</v>
      </c>
      <c r="CT31" s="73">
        <f t="shared" si="107"/>
        <v>0</v>
      </c>
      <c r="CU31" s="65"/>
      <c r="CV31" s="74" t="s">
        <v>1942</v>
      </c>
      <c r="CW31" s="73">
        <f t="shared" si="107"/>
        <v>0</v>
      </c>
      <c r="CX31" s="65"/>
      <c r="CY31" s="74" t="s">
        <v>1954</v>
      </c>
      <c r="CZ31" s="73">
        <f t="shared" si="107"/>
        <v>0</v>
      </c>
      <c r="DA31" s="65"/>
      <c r="DB31" s="74" t="s">
        <v>1948</v>
      </c>
      <c r="DC31" s="73">
        <f t="shared" si="107"/>
        <v>0</v>
      </c>
      <c r="DD31" s="65"/>
      <c r="DE31" s="74" t="s">
        <v>1948</v>
      </c>
      <c r="DF31" s="73">
        <f t="shared" si="107"/>
        <v>0</v>
      </c>
      <c r="DG31" s="65"/>
      <c r="DH31" s="74" t="s">
        <v>1946</v>
      </c>
      <c r="DI31" s="73">
        <f t="shared" si="107"/>
        <v>0</v>
      </c>
      <c r="DJ31" s="65"/>
      <c r="DK31" s="74" t="s">
        <v>1942</v>
      </c>
      <c r="DL31" s="73">
        <f t="shared" si="107"/>
        <v>0</v>
      </c>
      <c r="DM31" s="65"/>
      <c r="DN31" s="795" t="s">
        <v>1948</v>
      </c>
      <c r="DO31" s="73">
        <f t="shared" si="107"/>
        <v>0</v>
      </c>
      <c r="DP31" s="65"/>
      <c r="DQ31" s="795" t="s">
        <v>1958</v>
      </c>
      <c r="DR31" s="73">
        <f t="shared" si="107"/>
        <v>0</v>
      </c>
      <c r="DS31" s="65"/>
      <c r="DT31" s="74" t="s">
        <v>1956</v>
      </c>
      <c r="DU31" s="73">
        <f t="shared" si="107"/>
        <v>0</v>
      </c>
      <c r="DV31" s="65"/>
      <c r="DW31" s="74" t="s">
        <v>1956</v>
      </c>
      <c r="DX31" s="73">
        <f t="shared" si="105"/>
        <v>0</v>
      </c>
      <c r="DY31" s="65"/>
      <c r="DZ31" s="74" t="s">
        <v>1946</v>
      </c>
      <c r="EA31" s="73">
        <f t="shared" si="105"/>
        <v>0</v>
      </c>
      <c r="EB31" s="65"/>
      <c r="EC31" s="74" t="s">
        <v>1942</v>
      </c>
      <c r="ED31" s="73">
        <f t="shared" si="105"/>
        <v>0</v>
      </c>
      <c r="EE31" s="65"/>
      <c r="EF31" s="74" t="s">
        <v>1946</v>
      </c>
      <c r="EG31" s="73">
        <f t="shared" si="105"/>
        <v>0</v>
      </c>
      <c r="EH31" s="65"/>
      <c r="EI31" s="74"/>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101"/>
        <v>0</v>
      </c>
      <c r="R32" s="49"/>
      <c r="S32" s="74" t="s">
        <v>1954</v>
      </c>
      <c r="T32" s="73">
        <f t="shared" si="106"/>
        <v>0</v>
      </c>
      <c r="U32" s="65"/>
      <c r="V32" s="74" t="s">
        <v>1942</v>
      </c>
      <c r="W32" s="73">
        <f t="shared" si="99"/>
        <v>0</v>
      </c>
      <c r="X32" s="65"/>
      <c r="Y32" s="74" t="s">
        <v>1957</v>
      </c>
      <c r="Z32" s="73">
        <f t="shared" si="108"/>
        <v>0</v>
      </c>
      <c r="AA32" s="65"/>
      <c r="AB32" s="74" t="s">
        <v>1946</v>
      </c>
      <c r="AC32" s="73">
        <f t="shared" si="108"/>
        <v>0</v>
      </c>
      <c r="AD32" s="65"/>
      <c r="AE32" s="74" t="s">
        <v>1948</v>
      </c>
      <c r="AF32" s="73">
        <f t="shared" si="108"/>
        <v>0</v>
      </c>
      <c r="AG32" s="65"/>
      <c r="AH32" s="74" t="s">
        <v>1943</v>
      </c>
      <c r="AI32" s="73">
        <f t="shared" si="108"/>
        <v>0</v>
      </c>
      <c r="AJ32" s="65"/>
      <c r="AK32" s="74" t="s">
        <v>1944</v>
      </c>
      <c r="AL32" s="73">
        <f t="shared" si="108"/>
        <v>0</v>
      </c>
      <c r="AM32" s="65"/>
      <c r="AN32" s="74" t="s">
        <v>1954</v>
      </c>
      <c r="AO32" s="73">
        <f t="shared" si="108"/>
        <v>0</v>
      </c>
      <c r="AP32" s="65"/>
      <c r="AQ32" s="74" t="s">
        <v>1948</v>
      </c>
      <c r="AR32" s="73">
        <f t="shared" si="108"/>
        <v>0</v>
      </c>
      <c r="AS32" s="65"/>
      <c r="AT32" s="74" t="s">
        <v>1946</v>
      </c>
      <c r="AU32" s="73">
        <f t="shared" si="108"/>
        <v>0</v>
      </c>
      <c r="AV32" s="65"/>
      <c r="AW32" s="74" t="s">
        <v>1944</v>
      </c>
      <c r="AX32" s="73">
        <f t="shared" si="108"/>
        <v>0</v>
      </c>
      <c r="AY32" s="65"/>
      <c r="AZ32" s="74" t="s">
        <v>1948</v>
      </c>
      <c r="BA32" s="73">
        <f t="shared" si="108"/>
        <v>0</v>
      </c>
      <c r="BB32" s="65"/>
      <c r="BC32" s="74" t="s">
        <v>1942</v>
      </c>
      <c r="BD32" s="73">
        <f t="shared" si="108"/>
        <v>0</v>
      </c>
      <c r="BE32" s="65"/>
      <c r="BF32" s="74" t="s">
        <v>1954</v>
      </c>
      <c r="BG32" s="73">
        <f t="shared" si="108"/>
        <v>0</v>
      </c>
      <c r="BH32" s="65"/>
      <c r="BI32" s="74" t="s">
        <v>1957</v>
      </c>
      <c r="BJ32" s="73">
        <f t="shared" si="108"/>
        <v>0</v>
      </c>
      <c r="BK32" s="65"/>
      <c r="BL32" s="74" t="s">
        <v>1958</v>
      </c>
      <c r="BM32" s="73">
        <f t="shared" si="108"/>
        <v>0</v>
      </c>
      <c r="BN32" s="65"/>
      <c r="BO32" s="74" t="s">
        <v>1954</v>
      </c>
      <c r="BP32" s="73">
        <f t="shared" si="108"/>
        <v>0</v>
      </c>
      <c r="BQ32" s="65"/>
      <c r="BR32" s="74" t="s">
        <v>1946</v>
      </c>
      <c r="BS32" s="73">
        <f t="shared" si="108"/>
        <v>0</v>
      </c>
      <c r="BT32" s="65"/>
      <c r="BU32" s="74" t="s">
        <v>1948</v>
      </c>
      <c r="BV32" s="73">
        <f t="shared" si="108"/>
        <v>0</v>
      </c>
      <c r="BW32" s="65"/>
      <c r="BX32" s="74" t="s">
        <v>1942</v>
      </c>
      <c r="BY32" s="73">
        <f t="shared" si="108"/>
        <v>0</v>
      </c>
      <c r="BZ32" s="65"/>
      <c r="CA32" s="74" t="s">
        <v>1948</v>
      </c>
      <c r="CB32" s="73">
        <f t="shared" si="108"/>
        <v>0</v>
      </c>
      <c r="CC32" s="65"/>
      <c r="CD32" s="74" t="s">
        <v>1948</v>
      </c>
      <c r="CE32" s="73">
        <f t="shared" si="108"/>
        <v>0</v>
      </c>
      <c r="CF32" s="65"/>
      <c r="CG32" s="74" t="s">
        <v>1942</v>
      </c>
      <c r="CH32" s="73">
        <f t="shared" si="108"/>
        <v>0</v>
      </c>
      <c r="CI32" s="65"/>
      <c r="CJ32" s="74" t="s">
        <v>1943</v>
      </c>
      <c r="CK32" s="73">
        <f t="shared" si="107"/>
        <v>0</v>
      </c>
      <c r="CL32" s="65"/>
      <c r="CM32" s="74" t="s">
        <v>1943</v>
      </c>
      <c r="CN32" s="73">
        <f t="shared" si="107"/>
        <v>0</v>
      </c>
      <c r="CO32" s="65"/>
      <c r="CP32" s="74" t="s">
        <v>1942</v>
      </c>
      <c r="CQ32" s="73">
        <f t="shared" si="107"/>
        <v>0</v>
      </c>
      <c r="CR32" s="65"/>
      <c r="CS32" s="74" t="s">
        <v>1954</v>
      </c>
      <c r="CT32" s="73">
        <f t="shared" si="107"/>
        <v>0</v>
      </c>
      <c r="CU32" s="65"/>
      <c r="CV32" s="74" t="s">
        <v>1948</v>
      </c>
      <c r="CW32" s="73">
        <f t="shared" si="107"/>
        <v>0</v>
      </c>
      <c r="CX32" s="65"/>
      <c r="CY32" s="74" t="s">
        <v>1948</v>
      </c>
      <c r="CZ32" s="73">
        <f t="shared" si="107"/>
        <v>0</v>
      </c>
      <c r="DA32" s="65"/>
      <c r="DB32" s="74" t="s">
        <v>1954</v>
      </c>
      <c r="DC32" s="73">
        <f t="shared" si="107"/>
        <v>0</v>
      </c>
      <c r="DD32" s="65"/>
      <c r="DE32" s="74" t="s">
        <v>1942</v>
      </c>
      <c r="DF32" s="73">
        <f t="shared" si="107"/>
        <v>0</v>
      </c>
      <c r="DG32" s="65"/>
      <c r="DH32" s="74" t="s">
        <v>1948</v>
      </c>
      <c r="DI32" s="73">
        <f t="shared" si="107"/>
        <v>0</v>
      </c>
      <c r="DJ32" s="65"/>
      <c r="DK32" s="74" t="s">
        <v>1948</v>
      </c>
      <c r="DL32" s="73">
        <f t="shared" si="107"/>
        <v>0</v>
      </c>
      <c r="DM32" s="65"/>
      <c r="DN32" s="795" t="s">
        <v>1948</v>
      </c>
      <c r="DO32" s="73">
        <f t="shared" si="107"/>
        <v>0</v>
      </c>
      <c r="DP32" s="65"/>
      <c r="DQ32" s="795" t="s">
        <v>1946</v>
      </c>
      <c r="DR32" s="73">
        <f t="shared" si="107"/>
        <v>0</v>
      </c>
      <c r="DS32" s="65"/>
      <c r="DT32" s="74" t="s">
        <v>1959</v>
      </c>
      <c r="DU32" s="73">
        <f t="shared" si="107"/>
        <v>0</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0</v>
      </c>
      <c r="DY32" s="65"/>
      <c r="DZ32" s="74" t="s">
        <v>1946</v>
      </c>
      <c r="EA32" s="73">
        <f t="shared" si="109"/>
        <v>0</v>
      </c>
      <c r="EB32" s="65"/>
      <c r="EC32" s="74" t="s">
        <v>1948</v>
      </c>
      <c r="ED32" s="73">
        <f t="shared" si="109"/>
        <v>0</v>
      </c>
      <c r="EE32" s="65"/>
      <c r="EF32" s="74" t="s">
        <v>1943</v>
      </c>
      <c r="EG32" s="73">
        <f t="shared" si="109"/>
        <v>0</v>
      </c>
      <c r="EH32" s="65"/>
      <c r="EI32" s="74"/>
      <c r="EJ32" s="73">
        <f t="shared" si="109"/>
        <v>0</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101"/>
        <v>0</v>
      </c>
      <c r="R33" s="49"/>
      <c r="S33" s="74" t="s">
        <v>1954</v>
      </c>
      <c r="T33" s="73">
        <f t="shared" si="106"/>
        <v>0</v>
      </c>
      <c r="U33" s="65"/>
      <c r="V33" s="74" t="s">
        <v>1942</v>
      </c>
      <c r="W33" s="73">
        <f t="shared" si="99"/>
        <v>0</v>
      </c>
      <c r="X33" s="65"/>
      <c r="Y33" s="74" t="s">
        <v>1954</v>
      </c>
      <c r="Z33" s="73">
        <f t="shared" si="108"/>
        <v>0</v>
      </c>
      <c r="AA33" s="65"/>
      <c r="AB33" s="74" t="s">
        <v>1946</v>
      </c>
      <c r="AC33" s="73">
        <f t="shared" si="108"/>
        <v>0</v>
      </c>
      <c r="AD33" s="65"/>
      <c r="AE33" s="74" t="s">
        <v>1946</v>
      </c>
      <c r="AF33" s="73">
        <f t="shared" si="108"/>
        <v>0</v>
      </c>
      <c r="AG33" s="65"/>
      <c r="AH33" s="74" t="s">
        <v>1958</v>
      </c>
      <c r="AI33" s="73">
        <f t="shared" si="108"/>
        <v>0</v>
      </c>
      <c r="AJ33" s="65"/>
      <c r="AK33" s="74" t="s">
        <v>1954</v>
      </c>
      <c r="AL33" s="73">
        <f t="shared" si="108"/>
        <v>0</v>
      </c>
      <c r="AM33" s="65"/>
      <c r="AN33" s="74" t="s">
        <v>1959</v>
      </c>
      <c r="AO33" s="73">
        <f t="shared" si="108"/>
        <v>0</v>
      </c>
      <c r="AP33" s="65"/>
      <c r="AQ33" s="74" t="s">
        <v>2001</v>
      </c>
      <c r="AR33" s="73">
        <f t="shared" si="108"/>
        <v>0</v>
      </c>
      <c r="AS33" s="65"/>
      <c r="AT33" s="74" t="s">
        <v>1948</v>
      </c>
      <c r="AU33" s="73">
        <f t="shared" si="108"/>
        <v>0</v>
      </c>
      <c r="AV33" s="65"/>
      <c r="AW33" s="74" t="s">
        <v>1954</v>
      </c>
      <c r="AX33" s="73">
        <f t="shared" si="108"/>
        <v>0</v>
      </c>
      <c r="AY33" s="65"/>
      <c r="AZ33" s="74" t="s">
        <v>1943</v>
      </c>
      <c r="BA33" s="73">
        <f t="shared" si="108"/>
        <v>0</v>
      </c>
      <c r="BB33" s="65"/>
      <c r="BC33" s="74" t="s">
        <v>1946</v>
      </c>
      <c r="BD33" s="73">
        <f t="shared" si="108"/>
        <v>0</v>
      </c>
      <c r="BE33" s="65"/>
      <c r="BF33" s="74" t="s">
        <v>1942</v>
      </c>
      <c r="BG33" s="73">
        <f t="shared" si="108"/>
        <v>0</v>
      </c>
      <c r="BH33" s="65"/>
      <c r="BI33" s="74" t="s">
        <v>1954</v>
      </c>
      <c r="BJ33" s="73">
        <f t="shared" si="108"/>
        <v>0</v>
      </c>
      <c r="BK33" s="65"/>
      <c r="BL33" s="74" t="s">
        <v>1954</v>
      </c>
      <c r="BM33" s="73">
        <f t="shared" si="108"/>
        <v>0</v>
      </c>
      <c r="BN33" s="65"/>
      <c r="BO33" s="74" t="s">
        <v>1946</v>
      </c>
      <c r="BP33" s="73">
        <f t="shared" si="108"/>
        <v>0</v>
      </c>
      <c r="BQ33" s="65"/>
      <c r="BR33" s="74" t="s">
        <v>1942</v>
      </c>
      <c r="BS33" s="73">
        <f t="shared" si="108"/>
        <v>0</v>
      </c>
      <c r="BT33" s="65"/>
      <c r="BU33" s="74" t="s">
        <v>1954</v>
      </c>
      <c r="BV33" s="73">
        <f t="shared" si="108"/>
        <v>0</v>
      </c>
      <c r="BW33" s="65"/>
      <c r="BX33" s="74" t="s">
        <v>1954</v>
      </c>
      <c r="BY33" s="73">
        <f t="shared" si="108"/>
        <v>0</v>
      </c>
      <c r="BZ33" s="65"/>
      <c r="CA33" s="74" t="s">
        <v>1954</v>
      </c>
      <c r="CB33" s="73">
        <f t="shared" si="108"/>
        <v>0</v>
      </c>
      <c r="CC33" s="65"/>
      <c r="CD33" s="74" t="s">
        <v>1942</v>
      </c>
      <c r="CE33" s="73">
        <f t="shared" si="108"/>
        <v>0</v>
      </c>
      <c r="CF33" s="65"/>
      <c r="CG33" s="74" t="s">
        <v>1954</v>
      </c>
      <c r="CH33" s="73">
        <f t="shared" si="108"/>
        <v>0</v>
      </c>
      <c r="CI33" s="65"/>
      <c r="CJ33" s="74" t="s">
        <v>1946</v>
      </c>
      <c r="CK33" s="73">
        <f t="shared" si="107"/>
        <v>0</v>
      </c>
      <c r="CL33" s="65"/>
      <c r="CM33" s="74" t="s">
        <v>1946</v>
      </c>
      <c r="CN33" s="73">
        <f t="shared" si="107"/>
        <v>0</v>
      </c>
      <c r="CO33" s="65"/>
      <c r="CP33" s="74" t="s">
        <v>1954</v>
      </c>
      <c r="CQ33" s="73">
        <f t="shared" si="107"/>
        <v>0</v>
      </c>
      <c r="CR33" s="65"/>
      <c r="CS33" s="74" t="s">
        <v>1958</v>
      </c>
      <c r="CT33" s="73">
        <f t="shared" si="107"/>
        <v>0</v>
      </c>
      <c r="CU33" s="65"/>
      <c r="CV33" s="74" t="s">
        <v>1954</v>
      </c>
      <c r="CW33" s="73">
        <f t="shared" si="107"/>
        <v>0</v>
      </c>
      <c r="CX33" s="65"/>
      <c r="CY33" s="74" t="s">
        <v>1946</v>
      </c>
      <c r="CZ33" s="73">
        <f t="shared" si="107"/>
        <v>0</v>
      </c>
      <c r="DA33" s="65"/>
      <c r="DB33" s="74" t="s">
        <v>1954</v>
      </c>
      <c r="DC33" s="73">
        <f t="shared" si="107"/>
        <v>0</v>
      </c>
      <c r="DD33" s="65"/>
      <c r="DE33" s="74" t="s">
        <v>1942</v>
      </c>
      <c r="DF33" s="73">
        <f t="shared" si="107"/>
        <v>0</v>
      </c>
      <c r="DG33" s="65"/>
      <c r="DH33" s="74" t="s">
        <v>1948</v>
      </c>
      <c r="DI33" s="73">
        <f t="shared" si="107"/>
        <v>0</v>
      </c>
      <c r="DJ33" s="65"/>
      <c r="DK33" s="74" t="s">
        <v>1954</v>
      </c>
      <c r="DL33" s="73">
        <f t="shared" si="107"/>
        <v>0</v>
      </c>
      <c r="DM33" s="65"/>
      <c r="DN33" s="795" t="s">
        <v>1952</v>
      </c>
      <c r="DO33" s="73">
        <f t="shared" si="107"/>
        <v>0</v>
      </c>
      <c r="DP33" s="65"/>
      <c r="DQ33" s="795" t="s">
        <v>1960</v>
      </c>
      <c r="DR33" s="73">
        <f t="shared" si="107"/>
        <v>0</v>
      </c>
      <c r="DS33" s="65"/>
      <c r="DT33" s="74" t="s">
        <v>1948</v>
      </c>
      <c r="DU33" s="73">
        <f t="shared" si="107"/>
        <v>0</v>
      </c>
      <c r="DV33" s="65"/>
      <c r="DW33" s="74" t="s">
        <v>1948</v>
      </c>
      <c r="DX33" s="73">
        <f t="shared" si="109"/>
        <v>0</v>
      </c>
      <c r="DY33" s="65"/>
      <c r="DZ33" s="74" t="s">
        <v>1954</v>
      </c>
      <c r="EA33" s="73">
        <f t="shared" si="109"/>
        <v>0</v>
      </c>
      <c r="EB33" s="65"/>
      <c r="EC33" s="74" t="s">
        <v>1960</v>
      </c>
      <c r="ED33" s="73">
        <f t="shared" si="109"/>
        <v>0</v>
      </c>
      <c r="EE33" s="65"/>
      <c r="EF33" s="74" t="s">
        <v>1948</v>
      </c>
      <c r="EG33" s="73">
        <f t="shared" si="109"/>
        <v>0</v>
      </c>
      <c r="EH33" s="65"/>
      <c r="EI33" s="74"/>
      <c r="EJ33" s="73">
        <f t="shared" si="109"/>
        <v>0</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0</v>
      </c>
      <c r="EE34" s="65"/>
      <c r="EF34" s="74" t="s">
        <v>1946</v>
      </c>
      <c r="EG34" s="73">
        <f t="shared" si="109"/>
        <v>0</v>
      </c>
      <c r="EH34" s="65"/>
      <c r="EI34" s="74"/>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795" t="s">
        <v>1958</v>
      </c>
      <c r="DR35" s="73">
        <f t="shared" si="107"/>
        <v>0</v>
      </c>
      <c r="DS35" s="65"/>
      <c r="DT35" s="74" t="s">
        <v>1958</v>
      </c>
      <c r="DU35" s="73">
        <f t="shared" si="107"/>
        <v>0</v>
      </c>
      <c r="DV35" s="65"/>
      <c r="DW35" s="74" t="s">
        <v>2001</v>
      </c>
      <c r="DX35" s="73">
        <f t="shared" si="109"/>
        <v>0</v>
      </c>
      <c r="DY35" s="65"/>
      <c r="DZ35" s="74" t="s">
        <v>2001</v>
      </c>
      <c r="EA35" s="73">
        <f t="shared" si="109"/>
        <v>0</v>
      </c>
      <c r="EB35" s="65"/>
      <c r="EC35" s="74" t="s">
        <v>1951</v>
      </c>
      <c r="ED35" s="73">
        <f t="shared" si="109"/>
        <v>0</v>
      </c>
      <c r="EE35" s="65"/>
      <c r="EF35" s="74" t="s">
        <v>1959</v>
      </c>
      <c r="EG35" s="73">
        <f t="shared" si="109"/>
        <v>0</v>
      </c>
      <c r="EH35" s="65"/>
      <c r="EI35" s="74"/>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795" t="s">
        <v>1942</v>
      </c>
      <c r="DR36" s="73">
        <f t="shared" si="107"/>
        <v>0</v>
      </c>
      <c r="DS36" s="65"/>
      <c r="DT36" s="74" t="s">
        <v>1946</v>
      </c>
      <c r="DU36" s="73">
        <f t="shared" si="107"/>
        <v>0</v>
      </c>
      <c r="DV36" s="65"/>
      <c r="DW36" s="74" t="s">
        <v>1948</v>
      </c>
      <c r="DX36" s="73">
        <f t="shared" si="109"/>
        <v>0</v>
      </c>
      <c r="DY36" s="65"/>
      <c r="DZ36" s="74" t="s">
        <v>1948</v>
      </c>
      <c r="EA36" s="73">
        <f t="shared" si="109"/>
        <v>0</v>
      </c>
      <c r="EB36" s="65"/>
      <c r="EC36" s="74" t="s">
        <v>1954</v>
      </c>
      <c r="ED36" s="73">
        <f t="shared" si="109"/>
        <v>0</v>
      </c>
      <c r="EE36" s="65"/>
      <c r="EF36" s="74" t="s">
        <v>1948</v>
      </c>
      <c r="EG36" s="73">
        <f t="shared" si="109"/>
        <v>0</v>
      </c>
      <c r="EH36" s="65"/>
      <c r="EI36" s="74"/>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795" t="s">
        <v>1956</v>
      </c>
      <c r="DR38" s="73">
        <f t="shared" si="107"/>
        <v>0</v>
      </c>
      <c r="DS38" s="65"/>
      <c r="DT38" s="74" t="s">
        <v>1948</v>
      </c>
      <c r="DU38" s="73">
        <f t="shared" si="107"/>
        <v>0</v>
      </c>
      <c r="DV38" s="65"/>
      <c r="DW38" s="74" t="s">
        <v>1948</v>
      </c>
      <c r="DX38" s="73">
        <f t="shared" si="109"/>
        <v>0</v>
      </c>
      <c r="DY38" s="65"/>
      <c r="DZ38" s="74" t="s">
        <v>1954</v>
      </c>
      <c r="EA38" s="73">
        <f t="shared" si="109"/>
        <v>0</v>
      </c>
      <c r="EB38" s="65"/>
      <c r="EC38" s="74" t="s">
        <v>1943</v>
      </c>
      <c r="ED38" s="73">
        <f t="shared" si="109"/>
        <v>0</v>
      </c>
      <c r="EE38" s="65"/>
      <c r="EF38" s="74" t="s">
        <v>1954</v>
      </c>
      <c r="EG38" s="73">
        <f t="shared" si="109"/>
        <v>0</v>
      </c>
      <c r="EH38" s="65"/>
      <c r="EI38" s="74"/>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795" t="s">
        <v>1946</v>
      </c>
      <c r="DR40" s="73">
        <f t="shared" si="107"/>
        <v>0</v>
      </c>
      <c r="DS40" s="65"/>
      <c r="DT40" s="74" t="s">
        <v>1946</v>
      </c>
      <c r="DU40" s="73">
        <f t="shared" si="107"/>
        <v>0</v>
      </c>
      <c r="DV40" s="65"/>
      <c r="DW40" s="74" t="s">
        <v>1948</v>
      </c>
      <c r="DX40" s="73">
        <f t="shared" si="109"/>
        <v>0</v>
      </c>
      <c r="DY40" s="65"/>
      <c r="DZ40" s="74" t="s">
        <v>1954</v>
      </c>
      <c r="EA40" s="73">
        <f t="shared" si="109"/>
        <v>0</v>
      </c>
      <c r="EB40" s="65"/>
      <c r="EC40" s="74" t="s">
        <v>1948</v>
      </c>
      <c r="ED40" s="73">
        <f t="shared" si="109"/>
        <v>0</v>
      </c>
      <c r="EE40" s="65"/>
      <c r="EF40" s="74" t="s">
        <v>1948</v>
      </c>
      <c r="EG40" s="73">
        <f t="shared" si="109"/>
        <v>0</v>
      </c>
      <c r="EH40" s="65"/>
      <c r="EI40" s="74"/>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795" t="s">
        <v>1949</v>
      </c>
      <c r="DR41" s="73">
        <f t="shared" si="107"/>
        <v>0</v>
      </c>
      <c r="DS41" s="65"/>
      <c r="DT41" s="74" t="s">
        <v>1949</v>
      </c>
      <c r="DU41" s="73">
        <f t="shared" si="107"/>
        <v>0</v>
      </c>
      <c r="DV41" s="65"/>
      <c r="DW41" s="74" t="s">
        <v>1945</v>
      </c>
      <c r="DX41" s="73">
        <f t="shared" si="109"/>
        <v>0</v>
      </c>
      <c r="DY41" s="65"/>
      <c r="DZ41" s="74" t="s">
        <v>1949</v>
      </c>
      <c r="EA41" s="73">
        <f t="shared" si="109"/>
        <v>0</v>
      </c>
      <c r="EB41" s="65"/>
      <c r="EC41" s="74" t="s">
        <v>1942</v>
      </c>
      <c r="ED41" s="73">
        <f t="shared" si="109"/>
        <v>0</v>
      </c>
      <c r="EE41" s="65"/>
      <c r="EF41" s="74" t="s">
        <v>1957</v>
      </c>
      <c r="EG41" s="73">
        <f t="shared" si="109"/>
        <v>0</v>
      </c>
      <c r="EH41" s="65"/>
      <c r="EI41" s="74"/>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0</v>
      </c>
      <c r="DY43" s="65"/>
      <c r="DZ43" s="74" t="s">
        <v>1946</v>
      </c>
      <c r="EA43" s="73">
        <f t="shared" si="109"/>
        <v>0</v>
      </c>
      <c r="EB43" s="65"/>
      <c r="EC43" s="74" t="s">
        <v>1960</v>
      </c>
      <c r="ED43" s="73">
        <f t="shared" si="109"/>
        <v>0</v>
      </c>
      <c r="EE43" s="65"/>
      <c r="EF43" s="74" t="s">
        <v>1945</v>
      </c>
      <c r="EG43" s="73">
        <f t="shared" si="109"/>
        <v>0</v>
      </c>
      <c r="EH43" s="65"/>
      <c r="EI43" s="74"/>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95"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t="s">
        <v>1954</v>
      </c>
      <c r="EA44" s="73">
        <f t="shared" si="114"/>
        <v>0</v>
      </c>
      <c r="EB44" s="65"/>
      <c r="EC44" s="74" t="s">
        <v>1954</v>
      </c>
      <c r="ED44" s="73">
        <f t="shared" si="114"/>
        <v>0</v>
      </c>
      <c r="EE44" s="65"/>
      <c r="EF44" s="74" t="s">
        <v>1943</v>
      </c>
      <c r="EG44" s="73">
        <f t="shared" si="114"/>
        <v>0</v>
      </c>
      <c r="EH44" s="65"/>
      <c r="EI44" s="74"/>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t="s">
        <v>1942</v>
      </c>
      <c r="EG48" s="73">
        <f t="shared" si="114"/>
        <v>0</v>
      </c>
      <c r="EH48" s="65"/>
      <c r="EI48" s="74"/>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tr">
        <f>Idiomas!$D$366</f>
        <v>Pegar Valores (J3)</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22</v>
      </c>
      <c r="U78" s="64"/>
      <c r="V78" s="82"/>
      <c r="W78" s="83">
        <f>SUM(W6:W77)</f>
        <v>13</v>
      </c>
      <c r="X78" s="64"/>
      <c r="Y78" s="82"/>
      <c r="Z78" s="83">
        <f t="shared" ref="Z78" si="127">SUM(Z6:Z77)</f>
        <v>22</v>
      </c>
      <c r="AA78" s="64"/>
      <c r="AB78" s="82"/>
      <c r="AC78" s="83">
        <f t="shared" ref="AC78" si="128">SUM(AC6:AC77)</f>
        <v>27</v>
      </c>
      <c r="AD78" s="64"/>
      <c r="AE78" s="82"/>
      <c r="AF78" s="83">
        <f t="shared" ref="AF78" si="129">SUM(AF6:AF77)</f>
        <v>18</v>
      </c>
      <c r="AG78" s="64"/>
      <c r="AH78" s="82"/>
      <c r="AI78" s="83">
        <f t="shared" ref="AI78" si="130">SUM(AI6:AI77)</f>
        <v>25</v>
      </c>
      <c r="AJ78" s="64"/>
      <c r="AK78" s="82"/>
      <c r="AL78" s="83">
        <f t="shared" ref="AL78" si="131">SUM(AL6:AL77)</f>
        <v>13</v>
      </c>
      <c r="AM78" s="64"/>
      <c r="AN78" s="82"/>
      <c r="AO78" s="83">
        <f t="shared" ref="AO78" si="132">SUM(AO6:AO77)</f>
        <v>17</v>
      </c>
      <c r="AP78" s="64"/>
      <c r="AQ78" s="82"/>
      <c r="AR78" s="83">
        <f t="shared" ref="AR78" si="133">SUM(AR6:AR77)</f>
        <v>28</v>
      </c>
      <c r="AS78" s="64"/>
      <c r="AT78" s="82"/>
      <c r="AU78" s="83">
        <f t="shared" ref="AU78" si="134">SUM(AU6:AU77)</f>
        <v>17</v>
      </c>
      <c r="AV78" s="64"/>
      <c r="AW78" s="82"/>
      <c r="AX78" s="83">
        <f t="shared" ref="AX78" si="135">SUM(AX6:AX77)</f>
        <v>15</v>
      </c>
      <c r="AY78" s="64"/>
      <c r="AZ78" s="82"/>
      <c r="BA78" s="83">
        <f t="shared" ref="BA78" si="136">SUM(BA6:BA77)</f>
        <v>20</v>
      </c>
      <c r="BB78" s="64"/>
      <c r="BC78" s="82"/>
      <c r="BD78" s="83">
        <f t="shared" ref="BD78" si="137">SUM(BD6:BD77)</f>
        <v>16</v>
      </c>
      <c r="BE78" s="64"/>
      <c r="BF78" s="82"/>
      <c r="BG78" s="83">
        <f t="shared" ref="BG78" si="138">SUM(BG6:BG77)</f>
        <v>20</v>
      </c>
      <c r="BH78" s="64"/>
      <c r="BI78" s="82"/>
      <c r="BJ78" s="83">
        <f t="shared" ref="BJ78" si="139">SUM(BJ6:BJ77)</f>
        <v>22</v>
      </c>
      <c r="BK78" s="64"/>
      <c r="BL78" s="82"/>
      <c r="BM78" s="83">
        <f t="shared" ref="BM78" si="140">SUM(BM6:BM77)</f>
        <v>11</v>
      </c>
      <c r="BN78" s="64"/>
      <c r="BO78" s="82"/>
      <c r="BP78" s="83">
        <f t="shared" ref="BP78" si="141">SUM(BP6:BP77)</f>
        <v>19</v>
      </c>
      <c r="BQ78" s="64"/>
      <c r="BR78" s="82"/>
      <c r="BS78" s="83">
        <f t="shared" ref="BS78" si="142">SUM(BS6:BS77)</f>
        <v>24</v>
      </c>
      <c r="BT78" s="64"/>
      <c r="BU78" s="82"/>
      <c r="BV78" s="83">
        <f t="shared" ref="BV78" si="143">SUM(BV6:BV77)</f>
        <v>14</v>
      </c>
      <c r="BW78" s="64"/>
      <c r="BX78" s="82"/>
      <c r="BY78" s="83">
        <f t="shared" ref="BY78" si="144">SUM(BY6:BY77)</f>
        <v>13</v>
      </c>
      <c r="BZ78" s="64"/>
      <c r="CA78" s="82"/>
      <c r="CB78" s="83">
        <f t="shared" ref="CB78" si="145">SUM(CB6:CB77)</f>
        <v>17</v>
      </c>
      <c r="CC78" s="64"/>
      <c r="CD78" s="82"/>
      <c r="CE78" s="83">
        <f t="shared" ref="CE78" si="146">SUM(CE6:CE77)</f>
        <v>25</v>
      </c>
      <c r="CF78" s="64"/>
      <c r="CG78" s="82"/>
      <c r="CH78" s="83">
        <f t="shared" ref="CH78" si="147">SUM(CH6:CH77)</f>
        <v>20</v>
      </c>
      <c r="CI78" s="64"/>
      <c r="CJ78" s="82"/>
      <c r="CK78" s="83">
        <f t="shared" ref="CK78" si="148">SUM(CK6:CK77)</f>
        <v>20</v>
      </c>
      <c r="CL78" s="64"/>
      <c r="CM78" s="82"/>
      <c r="CN78" s="83">
        <f t="shared" ref="CN78" si="149">SUM(CN6:CN77)</f>
        <v>17</v>
      </c>
      <c r="CO78" s="64"/>
      <c r="CP78" s="82"/>
      <c r="CQ78" s="83">
        <f t="shared" ref="CQ78" si="150">SUM(CQ6:CQ77)</f>
        <v>15</v>
      </c>
      <c r="CR78" s="64"/>
      <c r="CS78" s="82"/>
      <c r="CT78" s="83">
        <f t="shared" ref="CT78" si="151">SUM(CT6:CT77)</f>
        <v>14</v>
      </c>
      <c r="CU78" s="64"/>
      <c r="CV78" s="82"/>
      <c r="CW78" s="83">
        <f t="shared" ref="CW78" si="152">SUM(CW6:CW77)</f>
        <v>25</v>
      </c>
      <c r="CX78" s="64"/>
      <c r="CY78" s="82"/>
      <c r="CZ78" s="83">
        <f t="shared" ref="CZ78" si="153">SUM(CZ6:CZ77)</f>
        <v>21</v>
      </c>
      <c r="DA78" s="64"/>
      <c r="DB78" s="82"/>
      <c r="DC78" s="83">
        <f t="shared" ref="DC78" si="154">SUM(DC6:DC77)</f>
        <v>14</v>
      </c>
      <c r="DD78" s="64"/>
      <c r="DE78" s="82"/>
      <c r="DF78" s="83">
        <f t="shared" ref="DF78" si="155">SUM(DF6:DF77)</f>
        <v>12</v>
      </c>
      <c r="DG78" s="64"/>
      <c r="DH78" s="82"/>
      <c r="DI78" s="83">
        <f t="shared" ref="DI78" si="156">SUM(DI6:DI77)</f>
        <v>17</v>
      </c>
      <c r="DJ78" s="64"/>
      <c r="DK78" s="82"/>
      <c r="DL78" s="83">
        <f t="shared" ref="DL78" si="157">SUM(DL6:DL77)</f>
        <v>19</v>
      </c>
      <c r="DM78" s="64"/>
      <c r="DN78" s="796"/>
      <c r="DO78" s="83">
        <f t="shared" ref="DO78" si="158">SUM(DO6:DO77)</f>
        <v>15</v>
      </c>
      <c r="DP78" s="64"/>
      <c r="DQ78" s="796"/>
      <c r="DR78" s="83">
        <f t="shared" ref="DR78" si="159">SUM(DR6:DR77)</f>
        <v>7</v>
      </c>
      <c r="DS78" s="64"/>
      <c r="DT78" s="82"/>
      <c r="DU78" s="83">
        <f t="shared" ref="DU78" si="160">SUM(DU6:DU77)</f>
        <v>16</v>
      </c>
      <c r="DV78" s="64"/>
      <c r="DW78" s="82"/>
      <c r="DX78" s="83">
        <f t="shared" ref="DX78" si="161">SUM(DX6:DX77)</f>
        <v>30</v>
      </c>
      <c r="DY78" s="64"/>
      <c r="DZ78" s="82"/>
      <c r="EA78" s="83">
        <f t="shared" ref="EA78" si="162">SUM(EA6:EA77)</f>
        <v>16</v>
      </c>
      <c r="EB78" s="64"/>
      <c r="EC78" s="82"/>
      <c r="ED78" s="83">
        <f t="shared" ref="ED78" si="163">SUM(ED6:ED77)</f>
        <v>12</v>
      </c>
      <c r="EE78" s="64"/>
      <c r="EF78" s="82"/>
      <c r="EG78" s="83">
        <f t="shared" ref="EG78" si="164">SUM(EG6:EG77)</f>
        <v>12</v>
      </c>
      <c r="EH78" s="64"/>
      <c r="EI78" s="82"/>
      <c r="EJ78" s="83">
        <f t="shared" ref="EJ78" si="165">SUM(EJ6:EJ77)</f>
        <v>0</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51"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tr">
        <f>Idiomas!$D$367</f>
        <v>Pegar Valores Dieciseisavos</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51"/>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51"/>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51"/>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1"/>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1"/>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1"/>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1"/>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1"/>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1"/>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tr">
        <f>Idiomas!$D$368</f>
        <v>Pegar Valores Octavos</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tr">
        <f>Idiomas!$D$369</f>
        <v>Pegar valores Cuartos</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tr">
        <f>Idiomas!$D$370</f>
        <v>Pegar valores Semifinales</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tr">
        <f>Idiomas!$D$371</f>
        <v>Pegar valores 3º-4º puesto y Final</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tr">
        <f>Idiomas!$D$373</f>
        <v>Pegar Valores Cuadro de Honor</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39</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40</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39</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39</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39</v>
      </c>
      <c r="EJ265" s="25"/>
      <c r="EK265" s="25"/>
      <c r="EL265" s="25">
        <f ca="1">RANK(EL266,OFFSET($S$266,0,0,1,$D$5*3),0)</f>
        <v>39</v>
      </c>
      <c r="EM265" s="25"/>
      <c r="EN265" s="25"/>
      <c r="EO265" s="25">
        <f ca="1">RANK(EO266,OFFSET($S$266,0,0,1,$D$5*3),0)</f>
        <v>39</v>
      </c>
      <c r="EP265" s="25"/>
      <c r="EQ265" s="25"/>
      <c r="ER265" s="25">
        <f ca="1">RANK(ER266,OFFSET($S$266,0,0,1,$D$5*3),0)</f>
        <v>39</v>
      </c>
      <c r="ES265" s="25"/>
      <c r="ET265" s="25"/>
      <c r="EU265" s="25">
        <f ca="1">RANK(EU266,OFFSET($S$266,0,0,1,$D$5*3),0)</f>
        <v>39</v>
      </c>
      <c r="EV265" s="25"/>
      <c r="EW265" s="25"/>
      <c r="EX265" s="25">
        <f ca="1">RANK(EX266,OFFSET($S$266,0,0,1,$D$5*3),0)</f>
        <v>39</v>
      </c>
      <c r="EY265" s="25"/>
      <c r="EZ265" s="25"/>
      <c r="FA265" s="25">
        <f ca="1">RANK(FA266,OFFSET($S$266,0,0,1,$D$5*3),0)</f>
        <v>39</v>
      </c>
      <c r="FB265" s="25"/>
      <c r="FC265" s="25"/>
      <c r="FD265" s="25">
        <f ca="1">RANK(FD266,OFFSET($S$266,0,0,1,$D$5*3),0)</f>
        <v>39</v>
      </c>
      <c r="FE265" s="25"/>
      <c r="FF265" s="25"/>
      <c r="FG265" s="25">
        <f ca="1">RANK(FG266,OFFSET($S$266,0,0,1,$D$5*3),0)</f>
        <v>39</v>
      </c>
      <c r="FH265" s="25"/>
      <c r="FI265" s="25"/>
      <c r="FJ265" s="25">
        <f ca="1">RANK(FJ266,OFFSET($S$266,0,0,1,$D$5*3),0)</f>
        <v>39</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Pegar Valores Nombre J41</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IGNACIO LAFUENTE</v>
      </c>
      <c r="D5" s="91">
        <f ca="1">IFERROR(HLOOKUP(A5,Rango_Admin_Clas,4,FALSE),"-")</f>
        <v>30</v>
      </c>
      <c r="E5" s="92" cm="1">
        <f t="array" aca="1" ref="E5" ca="1">IFERROR(INDEX(Rango_Admin_Clas_Total,E$2,MATCH($A5,Rango_Admin_Clas_Primera,0)+1),"-")</f>
        <v>30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Carlos Murciano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Jaime Lafuente</v>
      </c>
      <c r="D7" s="91">
        <f ca="1">IFERROR(HLOOKUP(A7,Rango_Admin_Clas,4,FALSE),"-")</f>
        <v>27</v>
      </c>
      <c r="E7" s="92" cm="1">
        <f t="array" aca="1" ref="E7" ca="1">IFERROR(INDEX(Rango_Admin_Clas_Total,E$2,MATCH($A7,Rango_Admin_Clas_Primera,0)+1),"-")</f>
        <v>27</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Jaime García de la Riva</v>
      </c>
      <c r="D8" s="91">
        <f ca="1">IFERROR(HLOOKUP(A8,Rango_Admin_Clas,4,FALSE),"-")</f>
        <v>25</v>
      </c>
      <c r="E8" s="92" cm="1">
        <f t="array" aca="1" ref="E8" ca="1">IFERROR(INDEX(Rango_Admin_Clas_Total,E$2,MATCH($A8,Rango_Admin_Clas_Primera,0)+1),"-")</f>
        <v>25</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4</v>
      </c>
      <c r="C9" s="18" t="str">
        <f ca="1">IFERROR(HLOOKUP(A9,Rango_Admin_Clas,5,FALSE),"-")</f>
        <v>bau</v>
      </c>
      <c r="D9" s="91">
        <f ca="1">IFERROR(HLOOKUP(A9,Rango_Admin_Clas,4,FALSE),"-")</f>
        <v>25</v>
      </c>
      <c r="E9" s="92" cm="1">
        <f t="array" aca="1" ref="E9" ca="1">IFERROR(INDEX(Rango_Admin_Clas_Total,E$2,MATCH($A9,Rango_Admin_Clas_Primera,0)+1),"-")</f>
        <v>25</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4</v>
      </c>
      <c r="C10" s="18" t="str">
        <f ca="1">IFERROR(HLOOKUP(A10,Rango_Admin_Clas,5,FALSE),"-")</f>
        <v>KIRICOCHO</v>
      </c>
      <c r="D10" s="91">
        <f ca="1">IFERROR(HLOOKUP(A10,Rango_Admin_Clas,4,FALSE),"-")</f>
        <v>25</v>
      </c>
      <c r="E10" s="92" cm="1">
        <f t="array" aca="1" ref="E10" ca="1">IFERROR(INDEX(Rango_Admin_Clas_Total,E$2,MATCH($A10,Rango_Admin_Clas_Primera,0)+1),"-")</f>
        <v>25</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MURO 204</v>
      </c>
      <c r="D11" s="91">
        <f ca="1">IFERROR(HLOOKUP(A11,Rango_Admin_Clas,4,FALSE),"-")</f>
        <v>24</v>
      </c>
      <c r="E11" s="92" cm="1">
        <f t="array" aca="1" ref="E11" ca="1">IFERROR(INDEX(Rango_Admin_Clas_Total,E$2,MATCH($A11,Rango_Admin_Clas_Primera,0)+1),"-")</f>
        <v>24</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Admin</v>
      </c>
      <c r="D12" s="91">
        <f ca="1">IFERROR(HLOOKUP(A12,Rango_Admin_Clas,4,FALSE),"-")</f>
        <v>22</v>
      </c>
      <c r="E12" s="92" cm="1">
        <f t="array" aca="1" ref="E12" ca="1">IFERROR(INDEX(Rango_Admin_Clas_Total,E$2,MATCH($A12,Rango_Admin_Clas_Primera,0)+1),"-")</f>
        <v>22</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Alejandro Lafuente</v>
      </c>
      <c r="D13" s="91">
        <f ca="1">IFERROR(HLOOKUP(A13,Rango_Admin_Clas,4,FALSE),"-")</f>
        <v>22</v>
      </c>
      <c r="E13" s="92" cm="1">
        <f t="array" aca="1" ref="E13" ca="1">IFERROR(INDEX(Rango_Admin_Clas_Total,E$2,MATCH($A13,Rango_Admin_Clas_Primera,0)+1),"-")</f>
        <v>22</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8</v>
      </c>
      <c r="C14" s="18" t="str">
        <f ca="1">IFERROR(HLOOKUP(A14,Rango_Admin_Clas,5,FALSE),"-")</f>
        <v>Joserra</v>
      </c>
      <c r="D14" s="91">
        <f ca="1">IFERROR(HLOOKUP(A14,Rango_Admin_Clas,4,FALSE),"-")</f>
        <v>22</v>
      </c>
      <c r="E14" s="92" cm="1">
        <f t="array" aca="1" ref="E14" ca="1">IFERROR(INDEX(Rango_Admin_Clas_Total,E$2,MATCH($A14,Rango_Admin_Clas_Primera,0)+1),"-")</f>
        <v>22</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BeliBeltrán</v>
      </c>
      <c r="D15" s="91">
        <f ca="1">IFERROR(HLOOKUP(A15,Rango_Admin_Clas,4,FALSE),"-")</f>
        <v>21</v>
      </c>
      <c r="E15" s="92" cm="1">
        <f t="array" aca="1" ref="E15" ca="1">IFERROR(INDEX(Rango_Admin_Clas_Total,E$2,MATCH($A15,Rango_Admin_Clas_Primera,0)+1),"-")</f>
        <v>21</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Guillermo Murciano</v>
      </c>
      <c r="D16" s="91">
        <f ca="1">IFERROR(HLOOKUP(A16,Rango_Admin_Clas,4,FALSE),"-")</f>
        <v>20</v>
      </c>
      <c r="E16" s="92" cm="1">
        <f t="array" aca="1" ref="E16" ca="1">IFERROR(INDEX(Rango_Admin_Clas_Total,E$2,MATCH($A16,Rango_Admin_Clas_Primera,0)+1),"-")</f>
        <v>20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12</v>
      </c>
      <c r="C17" s="18" t="str">
        <f ca="1">IFERROR(HLOOKUP(A17,Rango_Admin_Clas,5,FALSE),"-")</f>
        <v>JCU</v>
      </c>
      <c r="D17" s="91">
        <f ca="1">IFERROR(HLOOKUP(A17,Rango_Admin_Clas,4,FALSE),"-")</f>
        <v>20</v>
      </c>
      <c r="E17" s="92" cm="1">
        <f t="array" aca="1" ref="E17" ca="1">IFERROR(INDEX(Rango_Admin_Clas_Total,E$2,MATCH($A17,Rango_Admin_Clas_Primera,0)+1),"-")</f>
        <v>20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12</v>
      </c>
      <c r="C18" s="18" t="str">
        <f ca="1">IFERROR(HLOOKUP(A18,Rango_Admin_Clas,5,FALSE),"-")</f>
        <v>Florentino Netanyahu</v>
      </c>
      <c r="D18" s="91">
        <f ca="1">IFERROR(HLOOKUP(A18,Rango_Admin_Clas,4,FALSE),"-")</f>
        <v>20</v>
      </c>
      <c r="E18" s="92" cm="1">
        <f t="array" aca="1" ref="E18" ca="1">IFERROR(INDEX(Rango_Admin_Clas_Total,E$2,MATCH($A18,Rango_Admin_Clas_Primera,0)+1),"-")</f>
        <v>20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12</v>
      </c>
      <c r="C19" s="18" t="str">
        <f ca="1">IFERROR(HLOOKUP(A19,Rango_Admin_Clas,5,FALSE),"-")</f>
        <v>Lucas Oriol</v>
      </c>
      <c r="D19" s="91">
        <f ca="1">IFERROR(HLOOKUP(A19,Rango_Admin_Clas,4,FALSE),"-")</f>
        <v>20</v>
      </c>
      <c r="E19" s="92" cm="1">
        <f t="array" aca="1" ref="E19" ca="1">IFERROR(INDEX(Rango_Admin_Clas_Total,E$2,MATCH($A19,Rango_Admin_Clas_Primera,0)+1),"-")</f>
        <v>20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Antonio del Ojo</v>
      </c>
      <c r="D20" s="91">
        <f ca="1">IFERROR(HLOOKUP(A20,Rango_Admin_Clas,4,FALSE),"-")</f>
        <v>19</v>
      </c>
      <c r="E20" s="92" cm="1">
        <f t="array" aca="1" ref="E20" ca="1">IFERROR(INDEX(Rango_Admin_Clas_Total,E$2,MATCH($A20,Rango_Admin_Clas_Primera,0)+1),"-")</f>
        <v>19</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Gratacós</v>
      </c>
      <c r="D21" s="91">
        <f ca="1">IFERROR(HLOOKUP(A21,Rango_Admin_Clas,4,FALSE),"-")</f>
        <v>19</v>
      </c>
      <c r="E21" s="92" cm="1">
        <f t="array" aca="1" ref="E21" ca="1">IFERROR(INDEX(Rango_Admin_Clas_Total,E$2,MATCH($A21,Rango_Admin_Clas_Primera,0)+1),"-")</f>
        <v>19</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Pastor</v>
      </c>
      <c r="D22" s="91">
        <f ca="1">IFERROR(HLOOKUP(A22,Rango_Admin_Clas,4,FALSE),"-")</f>
        <v>18</v>
      </c>
      <c r="E22" s="92" cm="1">
        <f t="array" aca="1" ref="E22" ca="1">IFERROR(INDEX(Rango_Admin_Clas_Total,E$2,MATCH($A22,Rango_Admin_Clas_Primera,0)+1),"-")</f>
        <v>18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Antonio Zulueta Ramos</v>
      </c>
      <c r="D23" s="91">
        <f ca="1">IFERROR(HLOOKUP(A23,Rango_Admin_Clas,4,FALSE),"-")</f>
        <v>17</v>
      </c>
      <c r="E23" s="92" cm="1">
        <f t="array" aca="1" ref="E23" ca="1">IFERROR(INDEX(Rango_Admin_Clas_Total,E$2,MATCH($A23,Rango_Admin_Clas_Primera,0)+1),"-")</f>
        <v>17</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19</v>
      </c>
      <c r="C24" s="18" t="str">
        <f ca="1">IFERROR(HLOOKUP(A24,Rango_Admin_Clas,5,FALSE),"-")</f>
        <v>Chente Muñoz</v>
      </c>
      <c r="D24" s="91">
        <f ca="1">IFERROR(HLOOKUP(A24,Rango_Admin_Clas,4,FALSE),"-")</f>
        <v>17</v>
      </c>
      <c r="E24" s="92" cm="1">
        <f t="array" aca="1" ref="E24" ca="1">IFERROR(INDEX(Rango_Admin_Clas_Total,E$2,MATCH($A24,Rango_Admin_Clas_Primera,0)+1),"-")</f>
        <v>17</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19</v>
      </c>
      <c r="C25" s="18" t="str">
        <f ca="1">IFERROR(HLOOKUP(A25,Rango_Admin_Clas,5,FALSE),"-")</f>
        <v>Pablo C</v>
      </c>
      <c r="D25" s="91">
        <f ca="1">IFERROR(HLOOKUP(A25,Rango_Admin_Clas,4,FALSE),"-")</f>
        <v>17</v>
      </c>
      <c r="E25" s="92" cm="1">
        <f t="array" aca="1" ref="E25" ca="1">IFERROR(INDEX(Rango_Admin_Clas_Total,E$2,MATCH($A25,Rango_Admin_Clas_Primera,0)+1),"-")</f>
        <v>17</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19</v>
      </c>
      <c r="C26" s="18" t="str">
        <f ca="1">IFERROR(HLOOKUP(A26,Rango_Admin_Clas,5,FALSE),"-")</f>
        <v>YTD</v>
      </c>
      <c r="D26" s="91">
        <f ca="1">IFERROR(HLOOKUP(A26,Rango_Admin_Clas,4,FALSE),"-")</f>
        <v>17</v>
      </c>
      <c r="E26" s="92" cm="1">
        <f t="array" aca="1" ref="E26" ca="1">IFERROR(INDEX(Rango_Admin_Clas_Total,E$2,MATCH($A26,Rango_Admin_Clas_Primera,0)+1),"-")</f>
        <v>17</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19</v>
      </c>
      <c r="C27" s="18" t="str">
        <f ca="1">IFERROR(HLOOKUP(A27,Rango_Admin_Clas,5,FALSE),"-")</f>
        <v>Miguel Suárez-Zuloaga</v>
      </c>
      <c r="D27" s="91">
        <f ca="1">IFERROR(HLOOKUP(A27,Rango_Admin_Clas,4,FALSE),"-")</f>
        <v>17</v>
      </c>
      <c r="E27" s="92" cm="1">
        <f t="array" aca="1" ref="E27" ca="1">IFERROR(INDEX(Rango_Admin_Clas_Total,E$2,MATCH($A27,Rango_Admin_Clas_Primera,0)+1),"-")</f>
        <v>17</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Ignacio de Lecea</v>
      </c>
      <c r="D28" s="91">
        <f ca="1">IFERROR(HLOOKUP(A28,Rango_Admin_Clas,4,FALSE),"-")</f>
        <v>16</v>
      </c>
      <c r="E28" s="92" cm="1">
        <f t="array" aca="1" ref="E28" ca="1">IFERROR(INDEX(Rango_Admin_Clas_Total,E$2,MATCH($A28,Rango_Admin_Clas_Primera,0)+1),"-")</f>
        <v>16</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24</v>
      </c>
      <c r="C29" s="18" t="str">
        <f ca="1">IFERROR(HLOOKUP(A29,Rango_Admin_Clas,5,FALSE),"-")</f>
        <v xml:space="preserve">Martín Matoses </v>
      </c>
      <c r="D29" s="91">
        <f ca="1">IFERROR(HLOOKUP(A29,Rango_Admin_Clas,4,FALSE),"-")</f>
        <v>16</v>
      </c>
      <c r="E29" s="92" cm="1">
        <f t="array" aca="1" ref="E29" ca="1">IFERROR(INDEX(Rango_Admin_Clas_Total,E$2,MATCH($A29,Rango_Admin_Clas_Primera,0)+1),"-")</f>
        <v>16</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24</v>
      </c>
      <c r="C30" s="18" t="str">
        <f ca="1">IFERROR(HLOOKUP(A30,Rango_Admin_Clas,5,FALSE),"-")</f>
        <v>DIDI</v>
      </c>
      <c r="D30" s="91">
        <f ca="1">IFERROR(HLOOKUP(A30,Rango_Admin_Clas,4,FALSE),"-")</f>
        <v>16</v>
      </c>
      <c r="E30" s="92" cm="1">
        <f t="array" aca="1" ref="E30" ca="1">IFERROR(INDEX(Rango_Admin_Clas_Total,E$2,MATCH($A30,Rango_Admin_Clas_Primera,0)+1),"-")</f>
        <v>16</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Fercho Muro Matosex</v>
      </c>
      <c r="D31" s="91">
        <f ca="1">IFERROR(HLOOKUP(A31,Rango_Admin_Clas,4,FALSE),"-")</f>
        <v>15</v>
      </c>
      <c r="E31" s="92" cm="1">
        <f t="array" aca="1" ref="E31" ca="1">IFERROR(INDEX(Rango_Admin_Clas_Total,E$2,MATCH($A31,Rango_Admin_Clas_Primera,0)+1),"-")</f>
        <v>15</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27</v>
      </c>
      <c r="C32" s="18" t="str">
        <f ca="1">IFERROR(HLOOKUP(A32,Rango_Admin_Clas,5,FALSE),"-")</f>
        <v>William Hartley</v>
      </c>
      <c r="D32" s="91">
        <f ca="1">IFERROR(HLOOKUP(A32,Rango_Admin_Clas,4,FALSE),"-")</f>
        <v>15</v>
      </c>
      <c r="E32" s="92" cm="1">
        <f t="array" aca="1" ref="E32" ca="1">IFERROR(INDEX(Rango_Admin_Clas_Total,E$2,MATCH($A32,Rango_Admin_Clas_Primera,0)+1),"-")</f>
        <v>15</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27</v>
      </c>
      <c r="C33" s="18" t="str">
        <f ca="1">IFERROR(HLOOKUP(A33,Rango_Admin_Clas,5,FALSE),"-")</f>
        <v>AD Monchus</v>
      </c>
      <c r="D33" s="91">
        <f ca="1">IFERROR(HLOOKUP(A33,Rango_Admin_Clas,4,FALSE),"-")</f>
        <v>15</v>
      </c>
      <c r="E33" s="92" cm="1">
        <f t="array" aca="1" ref="E33" ca="1">IFERROR(INDEX(Rango_Admin_Clas_Total,E$2,MATCH($A33,Rango_Admin_Clas_Primera,0)+1),"-")</f>
        <v>15</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Hulk Rexach</v>
      </c>
      <c r="D34" s="91">
        <f ca="1">IFERROR(HLOOKUP(A34,Rango_Admin_Clas,4,FALSE),"-")</f>
        <v>14</v>
      </c>
      <c r="E34" s="92" cm="1">
        <f t="array" aca="1" ref="E34" ca="1">IFERROR(INDEX(Rango_Admin_Clas_Total,E$2,MATCH($A34,Rango_Admin_Clas_Primera,0)+1),"-")</f>
        <v>14</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30</v>
      </c>
      <c r="C35" s="18" t="str">
        <f ca="1">IFERROR(HLOOKUP(A35,Rango_Admin_Clas,5,FALSE),"-")</f>
        <v>Kurtischamp</v>
      </c>
      <c r="D35" s="91">
        <f ca="1">IFERROR(HLOOKUP(A35,Rango_Admin_Clas,4,FALSE),"-")</f>
        <v>14</v>
      </c>
      <c r="E35" s="92" cm="1">
        <f t="array" aca="1" ref="E35" ca="1">IFERROR(INDEX(Rango_Admin_Clas_Total,E$2,MATCH($A35,Rango_Admin_Clas_Primera,0)+1),"-")</f>
        <v>14</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30</v>
      </c>
      <c r="C36" s="18" t="str">
        <f ca="1">IFERROR(HLOOKUP(A36,Rango_Admin_Clas,5,FALSE),"-")</f>
        <v>Fernando Carlos García-Ramos Redondo</v>
      </c>
      <c r="D36" s="91">
        <f ca="1">IFERROR(HLOOKUP(A36,Rango_Admin_Clas,4,FALSE),"-")</f>
        <v>14</v>
      </c>
      <c r="E36" s="92" cm="1">
        <f t="array" aca="1" ref="E36" ca="1">IFERROR(INDEX(Rango_Admin_Clas_Total,E$2,MATCH($A36,Rango_Admin_Clas_Primera,0)+1),"-")</f>
        <v>14</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Luis B</v>
      </c>
      <c r="D37" s="91">
        <f ca="1">IFERROR(HLOOKUP(A37,Rango_Admin_Clas,4,FALSE),"-")</f>
        <v>13</v>
      </c>
      <c r="E37" s="92" cm="1">
        <f t="array" aca="1" ref="E37" ca="1">IFERROR(INDEX(Rango_Admin_Clas_Total,E$2,MATCH($A37,Rango_Admin_Clas_Primera,0)+1),"-")</f>
        <v>13</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33</v>
      </c>
      <c r="C38" s="18" t="str">
        <f ca="1">IFERROR(HLOOKUP(A38,Rango_Admin_Clas,5,FALSE),"-")</f>
        <v>Nacho Novo</v>
      </c>
      <c r="D38" s="91">
        <f ca="1">IFERROR(HLOOKUP(A38,Rango_Admin_Clas,4,FALSE),"-")</f>
        <v>13</v>
      </c>
      <c r="E38" s="92" cm="1">
        <f t="array" aca="1" ref="E38" ca="1">IFERROR(INDEX(Rango_Admin_Clas_Total,E$2,MATCH($A38,Rango_Admin_Clas_Primera,0)+1),"-")</f>
        <v>13</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33</v>
      </c>
      <c r="C39" s="18" t="str">
        <f ca="1">IFERROR(HLOOKUP(A39,Rango_Admin_Clas,5,FALSE),"-")</f>
        <v>Miguel San Martín</v>
      </c>
      <c r="D39" s="91">
        <f ca="1">IFERROR(HLOOKUP(A39,Rango_Admin_Clas,4,FALSE),"-")</f>
        <v>13</v>
      </c>
      <c r="E39" s="92" cm="1">
        <f t="array" aca="1" ref="E39" ca="1">IFERROR(INDEX(Rango_Admin_Clas_Total,E$2,MATCH($A39,Rango_Admin_Clas_Primera,0)+1),"-")</f>
        <v>13</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Vicuinho</v>
      </c>
      <c r="D40" s="91">
        <f ca="1">IFERROR(HLOOKUP(A40,Rango_Admin_Clas,4,FALSE),"-")</f>
        <v>12</v>
      </c>
      <c r="E40" s="92" cm="1">
        <f t="array" aca="1" ref="E40" ca="1">IFERROR(INDEX(Rango_Admin_Clas_Total,E$2,MATCH($A40,Rango_Admin_Clas_Primera,0)+1),"-")</f>
        <v>12</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36</v>
      </c>
      <c r="C41" s="18" t="str">
        <f ca="1">IFERROR(HLOOKUP(A41,Rango_Admin_Clas,5,FALSE),"-")</f>
        <v xml:space="preserve">Ignacio Núñez </v>
      </c>
      <c r="D41" s="91">
        <f ca="1">IFERROR(HLOOKUP(A41,Rango_Admin_Clas,4,FALSE),"-")</f>
        <v>12</v>
      </c>
      <c r="E41" s="92" cm="1">
        <f t="array" aca="1" ref="E41" ca="1">IFERROR(INDEX(Rango_Admin_Clas_Total,E$2,MATCH($A41,Rango_Admin_Clas_Primera,0)+1),"-")</f>
        <v>12</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36</v>
      </c>
      <c r="C42" s="18" t="str">
        <f ca="1">IFERROR(HLOOKUP(A42,Rango_Admin_Clas,5,FALSE),"-")</f>
        <v>Ricardo Soto</v>
      </c>
      <c r="D42" s="91">
        <f ca="1">IFERROR(HLOOKUP(A42,Rango_Admin_Clas,4,FALSE),"-")</f>
        <v>12</v>
      </c>
      <c r="E42" s="92" cm="1">
        <f t="array" aca="1" ref="E42" ca="1">IFERROR(INDEX(Rango_Admin_Clas_Total,E$2,MATCH($A42,Rango_Admin_Clas_Primera,0)+1),"-")</f>
        <v>12</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Migay Marcos</v>
      </c>
      <c r="D43" s="91">
        <f ca="1">IFERROR(HLOOKUP(A43,Rango_Admin_Clas,4,FALSE),"-")</f>
        <v>11</v>
      </c>
      <c r="E43" s="92" cm="1">
        <f t="array" aca="1" ref="E43" ca="1">IFERROR(INDEX(Rango_Admin_Clas_Total,E$2,MATCH($A43,Rango_Admin_Clas_Primera,0)+1),"-")</f>
        <v>11</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JUAN SOLAS</v>
      </c>
      <c r="D44" s="91">
        <f ca="1">IFERROR(HLOOKUP(A44,Rango_Admin_Clas,4,FALSE),"-")</f>
        <v>7</v>
      </c>
      <c r="E44" s="92" cm="1">
        <f t="array" aca="1" ref="E44" ca="1">IFERROR(INDEX(Rango_Admin_Clas_Total,E$2,MATCH($A44,Rango_Admin_Clas_Primera,0)+1),"-")</f>
        <v>7</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Pegar Valores Nombre J41</v>
      </c>
      <c r="D45" s="91">
        <f ca="1">IFERROR(HLOOKUP(A45,Rango_Admin_Clas,4,FALSE),"-")</f>
        <v>0</v>
      </c>
      <c r="E45" s="92" cm="1">
        <f t="array" aca="1" ref="E45" ca="1">IFERROR(INDEX(Rango_Admin_Clas_Total,E$2,MATCH($A45,Rango_Admin_Clas_Primera,0)+1),"-")</f>
        <v>0</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41</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41</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41</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41</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41</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41</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41</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41</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41</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Pegar Valores Nombre J41</v>
      </c>
      <c r="G44" s="429" t="str">
        <f ca="1">IFERROR(VLOOKUP(G$2,Rango_Admin_DailyPred,MATCH($F44,Rango_Admin_DailyPred_Primera,0),0),"-")</f>
        <v>Pegar Valores (J1)</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39</v>
      </c>
      <c r="F42" s="448" t="str">
        <f ca="1">IFERROR(HLOOKUP(C42,Rango_Admin_DailyClas,5,FALSE),"-")</f>
        <v>Migay Marcos</v>
      </c>
      <c r="G42" s="22">
        <f ca="1">IFERROR(HLOOKUP(C42,Rango_Admin_DailyClas,4,FALSE),"-")</f>
        <v>0</v>
      </c>
      <c r="H42" s="429">
        <f ca="1">IFERROR(VLOOKUP(H$2,Rango_Admin_DailyPred,MATCH($F42,Rango_Admin_DailyPred_Primera,0)+1,0),"-")</f>
        <v>0</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39</v>
      </c>
      <c r="F43" s="448" t="str">
        <f ca="1">IFERROR(HLOOKUP(C43,Rango_Admin_DailyClas,5,FALSE),"-")</f>
        <v>Pablo C</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39</v>
      </c>
      <c r="F44" s="448" t="str">
        <f ca="1">IFERROR(HLOOKUP(C44,Rango_Admin_DailyClas,5,FALSE),"-")</f>
        <v>Pegar Valores Nombre J41</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39</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39</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39</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39</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39</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39</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39</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39</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39</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0.19230769230769232</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10</v>
      </c>
      <c r="N8" s="469">
        <f ca="1">IFERROR(COUNTIF(ADMIN!$S$130:INDEX(ADMIN!$S$130:$KI$161,32,ADMIN!$D$5*3-1),Stats!$L8)-SUM(O8:T8),0)</f>
        <v>2</v>
      </c>
      <c r="O8" s="469">
        <f ca="1">COUNTIF(ADMIN!$S$182:INDEX(ADMIN!$S$182:$KI$197,16,ADMIN!$D$5*3-1),Stats!$L8)-SUM(P8:T8)</f>
        <v>30</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Pegar Valores (J1)</v>
      </c>
      <c r="I9" s="704">
        <f ca="1"/>
        <v>10</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1|2-1</v>
      </c>
      <c r="I10" s="704">
        <f ca="1"/>
        <v>9</v>
      </c>
      <c r="J10" s="706">
        <f ca="1"/>
        <v>0</v>
      </c>
      <c r="K10" s="404">
        <f ca="1"/>
        <v>0</v>
      </c>
      <c r="L10" s="133" t="str">
        <f ca="1">Horarios!Q5</f>
        <v>Argelia</v>
      </c>
      <c r="M10" s="469">
        <f ca="1">ADMIN!$D$5-SUM(N10:T10)</f>
        <v>27</v>
      </c>
      <c r="N10" s="469">
        <f ca="1">IFERROR(COUNTIF(ADMIN!$S$130:INDEX(ADMIN!$S$130:$KI$161,32,ADMIN!$D$5*3-1),Stats!$L10)-SUM(O10:T10),0)</f>
        <v>21</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5</v>
      </c>
      <c r="J11" s="706">
        <f ca="1"/>
        <v>0</v>
      </c>
      <c r="K11" s="404">
        <f ca="1"/>
        <v>0</v>
      </c>
      <c r="L11" s="132" t="str">
        <f ca="1">Horarios!Q6</f>
        <v>Argentina</v>
      </c>
      <c r="M11" s="471">
        <f ca="1">ADMIN!$D$5-SUM(N11:T11)</f>
        <v>10</v>
      </c>
      <c r="N11" s="471">
        <f ca="1">IFERROR(COUNTIF(ADMIN!$S$130:INDEX(ADMIN!$S$130:$KI$161,32,ADMIN!$D$5*3-1),Stats!$L11)-SUM(O11:T11),0)</f>
        <v>4</v>
      </c>
      <c r="O11" s="471">
        <f ca="1">COUNTIF(ADMIN!$S$182:INDEX(ADMIN!$S$182:$KI$197,16,ADMIN!$D$5*3-1),Stats!$L11)-SUM(P11:T11)</f>
        <v>1</v>
      </c>
      <c r="P11" s="471">
        <f ca="1">COUNTIF(ADMIN!$S$210:INDEX(ADMIN!$S$210:$KI$217,8,ADMIN!$D$5*3-1),Stats!$L11)-SUM(Q11:T11)</f>
        <v>21</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101</v>
      </c>
      <c r="F13" s="456">
        <f ca="1">IFERROR(E13/E12,0)</f>
        <v>0.505</v>
      </c>
      <c r="G13" s="17"/>
      <c r="H13" s="457" t="str">
        <f ca="1"/>
        <v>1|3-0</v>
      </c>
      <c r="I13" s="704">
        <f ca="1"/>
        <v>1</v>
      </c>
      <c r="J13" s="706">
        <f ca="1"/>
        <v>0</v>
      </c>
      <c r="K13" s="404">
        <f ca="1"/>
        <v>0</v>
      </c>
      <c r="L13" s="132" t="str">
        <f ca="1">Horarios!Q8</f>
        <v>Austria</v>
      </c>
      <c r="M13" s="471">
        <f ca="1">ADMIN!$D$5-SUM(N13:T13)</f>
        <v>10</v>
      </c>
      <c r="N13" s="471">
        <f ca="1">IFERROR(COUNTIF(ADMIN!$S$130:INDEX(ADMIN!$S$130:$KI$161,32,ADMIN!$D$5*3-1),Stats!$L13)-SUM(O13:T13),0)</f>
        <v>38</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10</v>
      </c>
      <c r="N14" s="469">
        <f ca="1">IFERROR(COUNTIF(ADMIN!$S$130:INDEX(ADMIN!$S$130:$KI$161,32,ADMIN!$D$5*3-1),Stats!$L14)-SUM(O14:T14),0)</f>
        <v>5</v>
      </c>
      <c r="O14" s="469">
        <f ca="1">COUNTIF(ADMIN!$S$182:INDEX(ADMIN!$S$182:$KI$197,16,ADMIN!$D$5*3-1),Stats!$L14)-SUM(P14:T14)</f>
        <v>18</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38</v>
      </c>
      <c r="F15" s="456">
        <f ca="1">IFERROR(E15/ADMIN!$D$5,0)</f>
        <v>0.76</v>
      </c>
      <c r="G15" s="17"/>
      <c r="H15" s="457" t="str">
        <f ca="1"/>
        <v>X|2-2</v>
      </c>
      <c r="I15" s="704">
        <f ca="1"/>
        <v>1</v>
      </c>
      <c r="J15" s="706">
        <f ca="1"/>
        <v>0</v>
      </c>
      <c r="K15" s="404">
        <f ca="1"/>
        <v>0</v>
      </c>
      <c r="L15" s="132" t="str">
        <f ca="1">Horarios!Q10</f>
        <v>Bosnia y Herzegovina</v>
      </c>
      <c r="M15" s="471">
        <f ca="1">ADMIN!$D$5-SUM(N15:T15)</f>
        <v>21</v>
      </c>
      <c r="N15" s="471">
        <f ca="1">IFERROR(COUNTIF(ADMIN!$S$130:INDEX(ADMIN!$S$130:$KI$161,32,ADMIN!$D$5*3-1),Stats!$L15)-SUM(O15:T15),0)</f>
        <v>25</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12</v>
      </c>
      <c r="F16" s="456">
        <f ca="1">IFERROR(E16/ADMIN!$D$5,0)</f>
        <v>0.24</v>
      </c>
      <c r="G16" s="17"/>
      <c r="H16" s="454"/>
      <c r="I16" s="704"/>
      <c r="J16" s="706"/>
      <c r="K16" s="404"/>
      <c r="L16" s="133" t="str">
        <f ca="1">Horarios!Q11</f>
        <v>Brasil</v>
      </c>
      <c r="M16" s="469">
        <f ca="1">ADMIN!$D$5-SUM(N16:T16)</f>
        <v>10</v>
      </c>
      <c r="N16" s="469">
        <f ca="1">IFERROR(COUNTIF(ADMIN!$S$130:INDEX(ADMIN!$S$130:$KI$161,32,ADMIN!$D$5*3-1),Stats!$L16)-SUM(O16:T16),0)</f>
        <v>0</v>
      </c>
      <c r="O16" s="469">
        <f ca="1">COUNTIF(ADMIN!$S$182:INDEX(ADMIN!$S$182:$KI$197,16,ADMIN!$D$5*3-1),Stats!$L16)-SUM(P16:T16)</f>
        <v>5</v>
      </c>
      <c r="P16" s="469">
        <f ca="1">COUNTIF(ADMIN!$S$210:INDEX(ADMIN!$S$210:$KI$217,8,ADMIN!$D$5*3-1),Stats!$L16)-SUM(Q16:T16)</f>
        <v>14</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2.02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17</v>
      </c>
      <c r="N18" s="469">
        <f ca="1">IFERROR(COUNTIF(ADMIN!$S$130:INDEX(ADMIN!$S$130:$KI$161,32,ADMIN!$D$5*3-1),Stats!$L18)-SUM(O18:T18),0)</f>
        <v>20</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10</v>
      </c>
      <c r="N20" s="469">
        <f ca="1">IFERROR(COUNTIF(ADMIN!$S$130:INDEX(ADMIN!$S$130:$KI$161,32,ADMIN!$D$5*3-1),Stats!$L20)-SUM(O20:T20),0)</f>
        <v>16</v>
      </c>
      <c r="O20" s="469">
        <f ca="1">COUNTIF(ADMIN!$S$182:INDEX(ADMIN!$S$182:$KI$197,16,ADMIN!$D$5*3-1),Stats!$L20)-SUM(P20:T20)</f>
        <v>19</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17</v>
      </c>
      <c r="N21" s="471">
        <f ca="1">IFERROR(COUNTIF(ADMIN!$S$130:INDEX(ADMIN!$S$130:$KI$161,32,ADMIN!$D$5*3-1),Stats!$L21)-SUM(O21:T21),0)</f>
        <v>17</v>
      </c>
      <c r="O21" s="471">
        <f ca="1">COUNTIF(ADMIN!$S$182:INDEX(ADMIN!$S$182:$KI$197,16,ADMIN!$D$5*3-1),Stats!$L21)-SUM(P21:T21)</f>
        <v>14</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14</v>
      </c>
      <c r="N22" s="469">
        <f ca="1">IFERROR(COUNTIF(ADMIN!$S$130:INDEX(ADMIN!$S$130:$KI$161,32,ADMIN!$D$5*3-1),Stats!$L22)-SUM(O22:T22),0)</f>
        <v>26</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11</v>
      </c>
      <c r="N23" s="471">
        <f ca="1">IFERROR(COUNTIF(ADMIN!$S$130:INDEX(ADMIN!$S$130:$KI$161,32,ADMIN!$D$5*3-1),Stats!$L23)-SUM(O23:T23),0)</f>
        <v>23</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11</v>
      </c>
      <c r="N25" s="471">
        <f ca="1">IFERROR(COUNTIF(ADMIN!$S$130:INDEX(ADMIN!$S$130:$KI$161,32,ADMIN!$D$5*3-1),Stats!$L25)-SUM(O25:T25),0)</f>
        <v>26</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12</v>
      </c>
      <c r="N26" s="469">
        <f ca="1">IFERROR(COUNTIF(ADMIN!$S$130:INDEX(ADMIN!$S$130:$KI$161,32,ADMIN!$D$5*3-1),Stats!$L26)-SUM(O26:T26),0)</f>
        <v>33</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16</v>
      </c>
      <c r="N27" s="471">
        <f ca="1">IFERROR(COUNTIF(ADMIN!$S$130:INDEX(ADMIN!$S$130:$KI$161,32,ADMIN!$D$5*3-1),Stats!$L27)-SUM(O27:T27),0)</f>
        <v>30</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10</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22</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10</v>
      </c>
      <c r="N29" s="471">
        <f ca="1">IFERROR(COUNTIF(ADMIN!$S$130:INDEX(ADMIN!$S$130:$KI$161,32,ADMIN!$D$5*3-1),Stats!$L29)-SUM(O29:T29),0)</f>
        <v>11</v>
      </c>
      <c r="O29" s="471">
        <f ca="1">COUNTIF(ADMIN!$S$182:INDEX(ADMIN!$S$182:$KI$197,16,ADMIN!$D$5*3-1),Stats!$L29)-SUM(P29:T29)</f>
        <v>26</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10</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15</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10</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9</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38</v>
      </c>
      <c r="F35" s="25">
        <f ca="1">IFERROR(E35/SUM($E$35:E37),0)</f>
        <v>0.95</v>
      </c>
      <c r="G35" s="17"/>
      <c r="H35" s="17"/>
      <c r="I35" s="17"/>
      <c r="J35" s="25"/>
      <c r="K35" s="25"/>
      <c r="L35" s="132" t="str">
        <f ca="1">Horarios!Q30</f>
        <v>Irán</v>
      </c>
      <c r="M35" s="471">
        <f ca="1">ADMIN!$D$5-SUM(N35:T35)</f>
        <v>30</v>
      </c>
      <c r="N35" s="471">
        <f ca="1">IFERROR(COUNTIF(ADMIN!$S$130:INDEX(ADMIN!$S$130:$KI$161,32,ADMIN!$D$5*3-1),Stats!$L35)-SUM(O35:T35),0)</f>
        <v>20</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5</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5</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0.05</v>
      </c>
      <c r="G36" s="17"/>
      <c r="H36" s="17"/>
      <c r="I36" s="17"/>
      <c r="J36" s="25"/>
      <c r="K36" s="25"/>
      <c r="L36" s="133" t="str">
        <f ca="1">Horarios!Q31</f>
        <v>Japón</v>
      </c>
      <c r="M36" s="469">
        <f ca="1">ADMIN!$D$5-SUM(N36:T36)</f>
        <v>13</v>
      </c>
      <c r="N36" s="469">
        <f ca="1">IFERROR(COUNTIF(ADMIN!$S$130:INDEX(ADMIN!$S$130:$KI$161,32,ADMIN!$D$5*3-1),Stats!$L36)-SUM(O36:T36),0)</f>
        <v>35</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Pegar Valores (J1)</v>
      </c>
      <c r="AD36" s="11">
        <f ca="1"/>
        <v>10</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1|2-1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10</v>
      </c>
      <c r="N38" s="469">
        <f ca="1">IFERROR(COUNTIF(ADMIN!$S$130:INDEX(ADMIN!$S$130:$KI$161,32,ADMIN!$D$5*3-1),Stats!$L38)-SUM(O38:T38),0)</f>
        <v>23</v>
      </c>
      <c r="O38" s="469">
        <f ca="1">COUNTIF(ADMIN!$S$182:INDEX(ADMIN!$S$182:$KI$197,16,ADMIN!$D$5*3-1),Stats!$L38)-SUM(P38:T38)</f>
        <v>4</v>
      </c>
      <c r="P38" s="469">
        <f ca="1">COUNTIF(ADMIN!$S$210:INDEX(ADMIN!$S$210:$KI$217,8,ADMIN!$D$5*3-1),Stats!$L38)-SUM(Q38:T38)</f>
        <v>12</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5</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10</v>
      </c>
      <c r="N39" s="471">
        <f ca="1">IFERROR(COUNTIF(ADMIN!$S$130:INDEX(ADMIN!$S$130:$KI$161,32,ADMIN!$D$5*3-1),Stats!$L39)-SUM(O39:T39),0)</f>
        <v>9</v>
      </c>
      <c r="O39" s="471">
        <f ca="1">COUNTIF(ADMIN!$S$182:INDEX(ADMIN!$S$182:$KI$197,16,ADMIN!$D$5*3-1),Stats!$L39)-SUM(P39:T39)</f>
        <v>25</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10</v>
      </c>
      <c r="N40" s="469">
        <f ca="1">IFERROR(COUNTIF(ADMIN!$S$130:INDEX(ADMIN!$S$130:$KI$161,32,ADMIN!$D$5*3-1),Stats!$L40)-SUM(O40:T40),0)</f>
        <v>14</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10</v>
      </c>
      <c r="X40" s="11" t="str">
        <f ca="1"/>
        <v>Pegar Valores (J1)</v>
      </c>
      <c r="Y40" s="11" t="str">
        <f ca="1"/>
        <v>Pegar Valores (J1)</v>
      </c>
      <c r="Z40" s="11">
        <f ca="1"/>
        <v>10</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10</v>
      </c>
      <c r="N42" s="469">
        <f ca="1">IFERROR(COUNTIF(ADMIN!$S$130:INDEX(ADMIN!$S$130:$KI$161,32,ADMIN!$D$5*3-1),Stats!$L42)-SUM(O42:T42),0)</f>
        <v>21</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27</v>
      </c>
      <c r="N44" s="469">
        <f ca="1">IFERROR(COUNTIF(ADMIN!$S$130:INDEX(ADMIN!$S$130:$KI$161,32,ADMIN!$D$5*3-1),Stats!$L44)-SUM(O44:T44),0)</f>
        <v>16</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62 goles en el Mundial de Clubes sin contar tandas de penalti</v>
      </c>
      <c r="F45" s="453"/>
      <c r="G45" s="17"/>
      <c r="H45" s="17"/>
      <c r="I45" s="17"/>
      <c r="J45" s="25"/>
      <c r="K45" s="25"/>
      <c r="L45" s="132" t="str">
        <f ca="1">Horarios!Q40</f>
        <v>Portugal</v>
      </c>
      <c r="M45" s="471">
        <f ca="1">ADMIN!$D$5-SUM(N45:T45)</f>
        <v>10</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12</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17</v>
      </c>
      <c r="N47" s="471">
        <f ca="1">IFERROR(COUNTIF(ADMIN!$S$130:INDEX(ADMIN!$S$130:$KI$161,32,ADMIN!$D$5*3-1),Stats!$L47)-SUM(O47:T47),0)</f>
        <v>24</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14</v>
      </c>
      <c r="N48" s="469">
        <f ca="1">IFERROR(COUNTIF(ADMIN!$S$130:INDEX(ADMIN!$S$130:$KI$161,32,ADMIN!$D$5*3-1),Stats!$L48)-SUM(O48:T48),0)</f>
        <v>29</v>
      </c>
      <c r="O48" s="469">
        <f ca="1">COUNTIF(ADMIN!$S$182:INDEX(ADMIN!$S$182:$KI$197,16,ADMIN!$D$5*3-1),Stats!$L48)-SUM(P48:T48)</f>
        <v>6</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10</v>
      </c>
      <c r="N51" s="471">
        <f ca="1">IFERROR(COUNTIF(ADMIN!$S$130:INDEX(ADMIN!$S$130:$KI$161,32,ADMIN!$D$5*3-1),Stats!$L51)-SUM(O51:T51),0)</f>
        <v>5</v>
      </c>
      <c r="O51" s="471">
        <f ca="1">COUNTIF(ADMIN!$S$182:INDEX(ADMIN!$S$182:$KI$197,16,ADMIN!$D$5*3-1),Stats!$L51)-SUM(P51:T51)</f>
        <v>34</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10</v>
      </c>
      <c r="N53" s="471">
        <f ca="1">IFERROR(COUNTIF(ADMIN!$S$130:INDEX(ADMIN!$S$130:$KI$161,32,ADMIN!$D$5*3-1),Stats!$L53)-SUM(O53:T53),0)</f>
        <v>4</v>
      </c>
      <c r="O53" s="471">
        <f ca="1">COUNTIF(ADMIN!$S$182:INDEX(ADMIN!$S$182:$KI$197,16,ADMIN!$D$5*3-1),Stats!$L53)-SUM(P53:T53)</f>
        <v>20</v>
      </c>
      <c r="P53" s="471">
        <f ca="1">COUNTIF(ADMIN!$S$210:INDEX(ADMIN!$S$210:$KI$217,8,ADMIN!$D$5*3-1),Stats!$L53)-SUM(Q53:T53)</f>
        <v>15</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10</v>
      </c>
      <c r="N54" s="469">
        <f ca="1">IFERROR(COUNTIF(ADMIN!$S$130:INDEX(ADMIN!$S$130:$KI$161,32,ADMIN!$D$5*3-1),Stats!$L54)-SUM(O54:T54),0)</f>
        <v>35</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Ghana</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Ghana</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Ghana</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Ghana</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Ghana</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Ghana</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Ghana</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Ghana</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Ghana</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Ghana</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Ghana</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2026-06-17T06:13:50Z</dcterms:modified>
  <cp:category/>
</cp:coreProperties>
</file>