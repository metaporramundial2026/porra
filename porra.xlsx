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0" documentId="8_{4BDAA364-1D89-624D-9B1E-AA8C7163D23A}" xr6:coauthVersionLast="47" xr6:coauthVersionMax="47" xr10:uidLastSave="{00000000-0000-0000-0000-000000000000}"/>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calcCompleted="0"/>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c r="AC28" i="32"/>
  <c r="AD28" i="32"/>
  <c r="Y91" i="34"/>
  <c r="X91" i="34"/>
  <c r="W91" i="34"/>
  <c r="V91" i="34"/>
  <c r="U91" i="34"/>
  <c r="J241" i="36"/>
  <c r="G241" i="36"/>
  <c r="J249" i="36"/>
  <c r="G249" i="36"/>
  <c r="J224" i="36"/>
  <c r="G224" i="36"/>
  <c r="J259" i="36"/>
  <c r="G259" i="36"/>
  <c r="J221" i="36"/>
  <c r="G221" i="36"/>
  <c r="J256" i="36"/>
  <c r="G256" i="36"/>
  <c r="J222" i="36"/>
  <c r="G222" i="36"/>
  <c r="J250" i="36"/>
  <c r="G250" i="36"/>
  <c r="J219" i="36"/>
  <c r="G219" i="36"/>
  <c r="J240" i="36"/>
  <c r="G240" i="36"/>
  <c r="J235" i="36"/>
  <c r="G235" i="36"/>
  <c r="J230" i="36"/>
  <c r="G230" i="36"/>
  <c r="J232" i="36"/>
  <c r="G232" i="36"/>
  <c r="J246" i="36"/>
  <c r="G246" i="36"/>
  <c r="J216" i="36"/>
  <c r="G216" i="36"/>
  <c r="J258" i="36"/>
  <c r="G258" i="36"/>
  <c r="J212" i="36"/>
  <c r="G212" i="36"/>
  <c r="J227" i="36"/>
  <c r="G227" i="36"/>
  <c r="J225" i="36"/>
  <c r="G225" i="36"/>
  <c r="J228" i="36"/>
  <c r="G228" i="36"/>
  <c r="J244" i="36"/>
  <c r="G244" i="36"/>
  <c r="J238" i="36"/>
  <c r="G238" i="36"/>
  <c r="J257" i="36"/>
  <c r="G257" i="36"/>
  <c r="J251" i="36"/>
  <c r="G251" i="36"/>
  <c r="J218" i="36"/>
  <c r="G218" i="36"/>
  <c r="J229" i="36"/>
  <c r="G229" i="36"/>
  <c r="J243" i="36"/>
  <c r="G243" i="36"/>
  <c r="J231" i="36"/>
  <c r="G231" i="36"/>
  <c r="J220" i="36"/>
  <c r="G220" i="36"/>
  <c r="J213" i="36"/>
  <c r="G213" i="36"/>
  <c r="J252" i="36"/>
  <c r="G252" i="36"/>
  <c r="J233" i="36"/>
  <c r="G233" i="36"/>
  <c r="J248" i="36"/>
  <c r="G248" i="36"/>
  <c r="J255" i="36"/>
  <c r="G255" i="36"/>
  <c r="J242" i="36"/>
  <c r="G242" i="36"/>
  <c r="J215" i="36"/>
  <c r="G215" i="36"/>
  <c r="J214" i="36"/>
  <c r="G214" i="36"/>
  <c r="J217" i="36"/>
  <c r="G217" i="36"/>
  <c r="J239" i="36"/>
  <c r="G239" i="36"/>
  <c r="J247" i="36"/>
  <c r="G247" i="36"/>
  <c r="J254" i="36"/>
  <c r="G254" i="36"/>
  <c r="J253" i="36"/>
  <c r="G253" i="36"/>
  <c r="J223" i="36"/>
  <c r="G223" i="36"/>
  <c r="J236" i="36"/>
  <c r="G236" i="36"/>
  <c r="J226" i="36"/>
  <c r="G226" i="36"/>
  <c r="J234" i="36"/>
  <c r="G234" i="36"/>
  <c r="J245" i="36"/>
  <c r="G245" i="36"/>
  <c r="K212" i="36"/>
  <c r="H212" i="36"/>
  <c r="B2" i="36"/>
  <c r="D335" i="36"/>
  <c r="K213" i="36"/>
  <c r="H213" i="36"/>
  <c r="K214" i="36"/>
  <c r="H214" i="36"/>
  <c r="K215" i="36"/>
  <c r="H215" i="36"/>
  <c r="K216" i="36"/>
  <c r="H216" i="36"/>
  <c r="K217" i="36"/>
  <c r="H217" i="36"/>
  <c r="K218" i="36"/>
  <c r="H218" i="36"/>
  <c r="K219" i="36"/>
  <c r="H219" i="36"/>
  <c r="K220" i="36"/>
  <c r="H220" i="36"/>
  <c r="K221" i="36"/>
  <c r="H221" i="36"/>
  <c r="K222" i="36"/>
  <c r="H222" i="36"/>
  <c r="K223" i="36"/>
  <c r="H223" i="36"/>
  <c r="K224" i="36"/>
  <c r="H224" i="36"/>
  <c r="K225" i="36"/>
  <c r="H225" i="36"/>
  <c r="K226" i="36"/>
  <c r="H226" i="36"/>
  <c r="K227" i="36"/>
  <c r="H227" i="36"/>
  <c r="K228" i="36"/>
  <c r="H228" i="36"/>
  <c r="K229" i="36"/>
  <c r="H229" i="36"/>
  <c r="K230" i="36"/>
  <c r="H230" i="36"/>
  <c r="K231" i="36"/>
  <c r="H231" i="36"/>
  <c r="K232" i="36"/>
  <c r="H232" i="36"/>
  <c r="K233" i="36"/>
  <c r="H233" i="36"/>
  <c r="K234" i="36"/>
  <c r="H234" i="36"/>
  <c r="K235" i="36"/>
  <c r="H235" i="36"/>
  <c r="K236" i="36"/>
  <c r="H236" i="36"/>
  <c r="K238" i="36"/>
  <c r="H238" i="36"/>
  <c r="K239" i="36"/>
  <c r="H239" i="36"/>
  <c r="K240" i="36"/>
  <c r="H240" i="36"/>
  <c r="K241" i="36"/>
  <c r="H241" i="36"/>
  <c r="K242" i="36"/>
  <c r="H242" i="36"/>
  <c r="K243" i="36"/>
  <c r="H243" i="36"/>
  <c r="K244" i="36"/>
  <c r="H244" i="36"/>
  <c r="K245" i="36"/>
  <c r="H245" i="36"/>
  <c r="K246" i="36"/>
  <c r="H246" i="36"/>
  <c r="K247" i="36"/>
  <c r="H247" i="36"/>
  <c r="K248" i="36"/>
  <c r="H248" i="36"/>
  <c r="K249" i="36"/>
  <c r="H249" i="36"/>
  <c r="K250" i="36"/>
  <c r="H250" i="36"/>
  <c r="K251" i="36"/>
  <c r="H251" i="36"/>
  <c r="K252" i="36"/>
  <c r="H252" i="36"/>
  <c r="K253" i="36"/>
  <c r="H253" i="36"/>
  <c r="K254" i="36"/>
  <c r="H254" i="36"/>
  <c r="K255" i="36"/>
  <c r="H255" i="36"/>
  <c r="K256" i="36"/>
  <c r="H256" i="36"/>
  <c r="K257" i="36"/>
  <c r="H257" i="36"/>
  <c r="K258" i="36"/>
  <c r="H258" i="36"/>
  <c r="K259" i="36"/>
  <c r="H259" i="36"/>
  <c r="E5" i="48"/>
  <c r="E6" i="48"/>
  <c r="D4" i="3"/>
  <c r="D166" i="46"/>
  <c r="B166" i="46"/>
  <c r="A166" i="46"/>
  <c r="E166" i="46"/>
  <c r="L166" i="46"/>
  <c r="N166" i="46"/>
  <c r="O166" i="46"/>
  <c r="L202" i="46"/>
  <c r="L203" i="46"/>
  <c r="L204" i="46"/>
  <c r="M204" i="46"/>
  <c r="L205" i="46"/>
  <c r="L206" i="46"/>
  <c r="L207" i="46"/>
  <c r="M207" i="46"/>
  <c r="I1" i="50"/>
  <c r="M262" i="46"/>
  <c r="N6" i="46"/>
  <c r="O6" i="46"/>
  <c r="P6" i="46"/>
  <c r="D204" i="46"/>
  <c r="A165" i="46"/>
  <c r="B165" i="46"/>
  <c r="A167" i="46"/>
  <c r="B167" i="46"/>
  <c r="A168" i="46"/>
  <c r="B168" i="46"/>
  <c r="A169" i="46"/>
  <c r="B169" i="46"/>
  <c r="E169" i="46"/>
  <c r="A170" i="46"/>
  <c r="B170" i="46"/>
  <c r="A171" i="46"/>
  <c r="B171" i="46"/>
  <c r="A172" i="46"/>
  <c r="B172" i="46"/>
  <c r="A173" i="46"/>
  <c r="B173" i="46"/>
  <c r="E173" i="46"/>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L173" i="46"/>
  <c r="L172" i="46"/>
  <c r="L171" i="46"/>
  <c r="M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M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M72" i="46"/>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CN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T77"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26" i="46"/>
  <c r="W75" i="46"/>
  <c r="W17" i="46"/>
  <c r="W7" i="46"/>
  <c r="W74"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G66" i="46"/>
  <c r="AI74" i="46"/>
  <c r="BG74" i="46"/>
  <c r="CE74" i="46"/>
  <c r="Z75" i="46"/>
  <c r="AX75" i="46"/>
  <c r="BV75" i="46"/>
  <c r="BA52" i="46"/>
  <c r="AC63" i="46"/>
  <c r="BM65" i="46"/>
  <c r="BY66" i="46"/>
  <c r="BS53" i="46"/>
  <c r="Z74" i="46"/>
  <c r="BV74" i="46"/>
  <c r="BM75" i="46"/>
  <c r="AO77" i="46"/>
  <c r="BM77" i="46"/>
  <c r="BV53"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CE66" i="46"/>
  <c r="BJ77" i="46"/>
  <c r="CE77" i="46"/>
  <c r="BV56" i="46"/>
  <c r="CH77" i="46"/>
  <c r="BD75" i="46"/>
  <c r="BG75" i="46"/>
  <c r="BM74" i="46"/>
  <c r="AI77" i="46"/>
  <c r="BP74" i="46"/>
  <c r="AL77" i="46"/>
  <c r="AR44"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c r="V267" i="46"/>
  <c r="M39" i="46"/>
  <c r="M28" i="46"/>
  <c r="Q28" i="46"/>
  <c r="Q12" i="46"/>
  <c r="E205" i="46"/>
  <c r="Q205" i="46"/>
  <c r="M233" i="46"/>
  <c r="P233" i="46"/>
  <c r="M244" i="46"/>
  <c r="P244" i="46"/>
  <c r="E164" i="46"/>
  <c r="Q164" i="46"/>
  <c r="E176" i="46"/>
  <c r="Q172" i="46"/>
  <c r="E168" i="46"/>
  <c r="M35" i="46"/>
  <c r="Q35" i="46"/>
  <c r="M51" i="46"/>
  <c r="AL51" i="46"/>
  <c r="Q51" i="46"/>
  <c r="T63" i="46"/>
  <c r="Q11" i="46"/>
  <c r="M64" i="46"/>
  <c r="M25" i="46"/>
  <c r="M10" i="46"/>
  <c r="Q18" i="46"/>
  <c r="Q57" i="46"/>
  <c r="T57" i="46"/>
  <c r="Q61" i="46"/>
  <c r="Q69" i="46"/>
  <c r="Q73" i="46"/>
  <c r="M73" i="46"/>
  <c r="M12" i="46"/>
  <c r="M24" i="46"/>
  <c r="Q171" i="46"/>
  <c r="M32" i="46"/>
  <c r="M40" i="46"/>
  <c r="T40" i="46"/>
  <c r="Q48" i="46"/>
  <c r="M27" i="46"/>
  <c r="M19" i="46"/>
  <c r="D65" i="46"/>
  <c r="M59" i="46"/>
  <c r="T59" i="46"/>
  <c r="M15" i="46"/>
  <c r="P170" i="46"/>
  <c r="M60" i="46"/>
  <c r="M68" i="46"/>
  <c r="T68" i="46"/>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D234" i="36"/>
  <c r="B48" i="6"/>
  <c r="D236" i="36"/>
  <c r="AB27" i="32"/>
  <c r="D213" i="36"/>
  <c r="B32" i="6"/>
  <c r="A63" i="3"/>
  <c r="D238" i="36"/>
  <c r="K28" i="6"/>
  <c r="D246" i="36"/>
  <c r="B15" i="6"/>
  <c r="A30" i="3"/>
  <c r="D228" i="36"/>
  <c r="B21" i="6"/>
  <c r="A40" i="3"/>
  <c r="D217" i="36"/>
  <c r="B40" i="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c r="D233" i="36"/>
  <c r="B34" i="6"/>
  <c r="A69" i="3"/>
  <c r="D251" i="36"/>
  <c r="B25" i="6"/>
  <c r="D258" i="36"/>
  <c r="AB49" i="32"/>
  <c r="D250" i="36"/>
  <c r="AB41" i="32"/>
  <c r="C57" i="46"/>
  <c r="K98" i="46"/>
  <c r="D245" i="36"/>
  <c r="K35" i="6"/>
  <c r="D239" i="36"/>
  <c r="K29" i="6"/>
  <c r="D252" i="36"/>
  <c r="K42" i="6"/>
  <c r="D257" i="36"/>
  <c r="B24" i="6"/>
  <c r="D216" i="36"/>
  <c r="AB7" i="32"/>
  <c r="D222" i="36"/>
  <c r="B8" i="6"/>
  <c r="D256" i="36"/>
  <c r="K46" i="6"/>
  <c r="D226" i="36"/>
  <c r="B47" i="6"/>
  <c r="BD51" i="3"/>
  <c r="D214" i="36"/>
  <c r="B39" i="6"/>
  <c r="D220" i="36"/>
  <c r="B31" i="6"/>
  <c r="D244" i="36"/>
  <c r="K34" i="6"/>
  <c r="D232" i="36"/>
  <c r="K22" i="6"/>
  <c r="D221" i="36"/>
  <c r="B6" i="6"/>
  <c r="BD10" i="3"/>
  <c r="D215" i="36"/>
  <c r="AB6" i="32"/>
  <c r="D231" i="36"/>
  <c r="AB22" i="32"/>
  <c r="D230" i="36"/>
  <c r="K20" i="6"/>
  <c r="D259" i="36"/>
  <c r="B5" i="6"/>
  <c r="BD9" i="3"/>
  <c r="D17" i="51"/>
  <c r="D223" i="36"/>
  <c r="B45" i="6"/>
  <c r="D242" i="36"/>
  <c r="AB33" i="32"/>
  <c r="D243" i="36"/>
  <c r="B29" i="6"/>
  <c r="D225" i="36"/>
  <c r="AB16" i="32"/>
  <c r="D235" i="36"/>
  <c r="AB26" i="32"/>
  <c r="D224" i="36"/>
  <c r="K14" i="6"/>
  <c r="D515" i="36"/>
  <c r="B1" i="52"/>
  <c r="D253" i="36"/>
  <c r="B44" i="6"/>
  <c r="D255" i="36"/>
  <c r="K45" i="6"/>
  <c r="D229" i="36"/>
  <c r="K19" i="6"/>
  <c r="D227" i="36"/>
  <c r="AB18" i="32"/>
  <c r="D240" i="36"/>
  <c r="B11" i="6"/>
  <c r="A22" i="3"/>
  <c r="D249" i="36"/>
  <c r="AB40" i="32"/>
  <c r="D254" i="36"/>
  <c r="K44" i="6"/>
  <c r="D248" i="36"/>
  <c r="K38" i="6"/>
  <c r="D218" i="36"/>
  <c r="B26" i="6"/>
  <c r="D212" i="36"/>
  <c r="AB3" i="32"/>
  <c r="D219" i="36"/>
  <c r="K9" i="6"/>
  <c r="D241" i="36"/>
  <c r="K31" i="6"/>
  <c r="P223" i="46"/>
  <c r="M222" i="46"/>
  <c r="P220" i="46"/>
  <c r="P207" i="46"/>
  <c r="Q206" i="46"/>
  <c r="P205" i="46"/>
  <c r="Q204" i="46"/>
  <c r="P201" i="46"/>
  <c r="E200" i="46"/>
  <c r="M206" i="46"/>
  <c r="M205" i="46"/>
  <c r="P179" i="46"/>
  <c r="Q177" i="46"/>
  <c r="E171" i="46"/>
  <c r="Q178" i="46"/>
  <c r="E177" i="46"/>
  <c r="Q175" i="46"/>
  <c r="Q166" i="46"/>
  <c r="M55" i="46"/>
  <c r="AL55" i="46"/>
  <c r="M30" i="46"/>
  <c r="Q54" i="46"/>
  <c r="M167" i="46"/>
  <c r="M175" i="46"/>
  <c r="E175" i="46"/>
  <c r="M165" i="46"/>
  <c r="Q170" i="46"/>
  <c r="Q165" i="46"/>
  <c r="M164" i="46"/>
  <c r="M67" i="46"/>
  <c r="L27" i="6"/>
  <c r="M27" i="6"/>
  <c r="O237" i="36"/>
  <c r="J237" i="36"/>
  <c r="G237" i="36"/>
  <c r="D237" i="36"/>
  <c r="K27" i="6"/>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ES74" i="46"/>
  <c r="AZ21" i="3"/>
  <c r="FB49" i="46"/>
  <c r="DI47" i="46"/>
  <c r="FE7" i="46"/>
  <c r="FB52" i="46"/>
  <c r="DF41" i="46"/>
  <c r="FB66" i="46"/>
  <c r="ED45" i="46"/>
  <c r="CT17" i="46"/>
  <c r="AA158" i="3"/>
  <c r="M256" i="46"/>
  <c r="CN256" i="46"/>
  <c r="ES65" i="46"/>
  <c r="FA253" i="46"/>
  <c r="FB253" i="46"/>
  <c r="DX6" i="46"/>
  <c r="K241" i="46"/>
  <c r="EV74" i="46"/>
  <c r="ED65" i="46"/>
  <c r="CT45" i="46"/>
  <c r="EJ17" i="46"/>
  <c r="CW253" i="46"/>
  <c r="EO6" i="46"/>
  <c r="EP6" i="46"/>
  <c r="Z11" i="3"/>
  <c r="Z27" i="3"/>
  <c r="Z43" i="3"/>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c r="AA43" i="3"/>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DX74" i="46"/>
  <c r="EA52" i="46"/>
  <c r="DC47" i="46"/>
  <c r="EG7" i="46"/>
  <c r="EY41" i="46"/>
  <c r="EJ21" i="46"/>
  <c r="DI7" i="46"/>
  <c r="EG253" i="46"/>
  <c r="EO253" i="46"/>
  <c r="EP253" i="46"/>
  <c r="EJ6" i="46"/>
  <c r="ER6" i="46"/>
  <c r="ES6" i="46"/>
  <c r="EY37" i="46"/>
  <c r="AD35" i="3"/>
  <c r="Z19" i="3"/>
  <c r="Z35" i="3"/>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DF77" i="46"/>
  <c r="J4" i="47"/>
  <c r="AZ53" i="3"/>
  <c r="AZ77" i="3"/>
  <c r="K139" i="46"/>
  <c r="DC74" i="46"/>
  <c r="EP47" i="46"/>
  <c r="EY26" i="46"/>
  <c r="DF21" i="46"/>
  <c r="FK13" i="46"/>
  <c r="EL6" i="46"/>
  <c r="EM6" i="46"/>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c r="AL13" i="3"/>
  <c r="AY13" i="3"/>
  <c r="CK77" i="46"/>
  <c r="CN53" i="46"/>
  <c r="CZ44" i="46"/>
  <c r="DC53" i="46"/>
  <c r="DI44" i="46"/>
  <c r="EG44" i="46"/>
  <c r="DR44" i="46"/>
  <c r="AL37" i="3"/>
  <c r="AY37" i="3"/>
  <c r="AL53" i="3"/>
  <c r="AY53" i="3"/>
  <c r="AL93" i="3"/>
  <c r="AY93" i="3"/>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c r="AB29" i="32"/>
  <c r="B23" i="6"/>
  <c r="BD27" i="3"/>
  <c r="K36" i="6"/>
  <c r="K49" i="6"/>
  <c r="T67" i="46"/>
  <c r="AB12" i="32"/>
  <c r="AB20" i="32"/>
  <c r="K3" i="6"/>
  <c r="K8" i="6"/>
  <c r="B27" i="6"/>
  <c r="BD31" i="3"/>
  <c r="B37" i="6"/>
  <c r="BD41" i="3"/>
  <c r="K32" i="6"/>
  <c r="A13" i="3"/>
  <c r="AY14" i="3"/>
  <c r="K17" i="6"/>
  <c r="T38" i="46"/>
  <c r="K10" i="6"/>
  <c r="AB30" i="32"/>
  <c r="A8" i="3"/>
  <c r="AF5" i="3"/>
  <c r="F4" i="45"/>
  <c r="K41" i="6"/>
  <c r="K24" i="6"/>
  <c r="AB50" i="32"/>
  <c r="AB45" i="32"/>
  <c r="B33" i="6"/>
  <c r="A64" i="3"/>
  <c r="T30" i="46"/>
  <c r="B20" i="6"/>
  <c r="BD24" i="3"/>
  <c r="BD19" i="3"/>
  <c r="AB34" i="32"/>
  <c r="B19" i="6"/>
  <c r="A38" i="3"/>
  <c r="B9" i="6"/>
  <c r="BD13" i="3"/>
  <c r="AB4" i="32"/>
  <c r="B36" i="6"/>
  <c r="A71" i="3"/>
  <c r="B46" i="6"/>
  <c r="A93" i="3"/>
  <c r="AY94" i="3"/>
  <c r="K48" i="6"/>
  <c r="K26" i="6"/>
  <c r="B14" i="6"/>
  <c r="BD18" i="3"/>
  <c r="AB44" i="32"/>
  <c r="AB35" i="32"/>
  <c r="B43" i="6"/>
  <c r="BD47" i="3"/>
  <c r="B49" i="6"/>
  <c r="A96" i="3"/>
  <c r="AB8" i="32"/>
  <c r="B42" i="6"/>
  <c r="BD46" i="3"/>
  <c r="AB36" i="32"/>
  <c r="K7" i="6"/>
  <c r="K18" i="6"/>
  <c r="AB19" i="32"/>
  <c r="K23" i="6"/>
  <c r="B38" i="6"/>
  <c r="A77" i="3"/>
  <c r="A94" i="3"/>
  <c r="AA97" i="3"/>
  <c r="B30" i="6"/>
  <c r="BD34" i="3"/>
  <c r="K5" i="6"/>
  <c r="K16" i="6"/>
  <c r="B18" i="6"/>
  <c r="A37" i="3"/>
  <c r="AB38" i="32"/>
  <c r="AB37" i="32"/>
  <c r="B2" i="6"/>
  <c r="A5" i="3"/>
  <c r="K21" i="6"/>
  <c r="K33" i="6"/>
  <c r="K15" i="6"/>
  <c r="AB10" i="32"/>
  <c r="AB31" i="32"/>
  <c r="B10" i="6"/>
  <c r="BD14" i="3"/>
  <c r="K12" i="6"/>
  <c r="B7" i="6"/>
  <c r="A14" i="3"/>
  <c r="K30" i="6"/>
  <c r="AB17" i="32"/>
  <c r="K2" i="6"/>
  <c r="K25" i="6"/>
  <c r="AB13" i="32"/>
  <c r="AB47" i="32"/>
  <c r="AB32" i="32"/>
  <c r="B4" i="6"/>
  <c r="A7" i="3"/>
  <c r="K39" i="6"/>
  <c r="K4" i="6"/>
  <c r="B3" i="6"/>
  <c r="A6" i="3"/>
  <c r="AF4" i="3"/>
  <c r="F3" i="45"/>
  <c r="B12" i="6"/>
  <c r="A23" i="3"/>
  <c r="B17" i="6"/>
  <c r="BD21" i="3"/>
  <c r="AB24" i="32"/>
  <c r="B35" i="6"/>
  <c r="BD39" i="3"/>
  <c r="B16" i="6"/>
  <c r="A31" i="3"/>
  <c r="K13" i="6"/>
  <c r="K47" i="6"/>
  <c r="AB39" i="32"/>
  <c r="AB9" i="32"/>
  <c r="AB21" i="32"/>
  <c r="B13" i="6"/>
  <c r="AB48" i="32"/>
  <c r="K40" i="6"/>
  <c r="AB14" i="32"/>
  <c r="AB23" i="32"/>
  <c r="AB46" i="32"/>
  <c r="AB15" i="32"/>
  <c r="AB43" i="32"/>
  <c r="B22" i="6"/>
  <c r="BD26" i="3"/>
  <c r="K43" i="6"/>
  <c r="AB5" i="32"/>
  <c r="T6" i="46"/>
  <c r="T54" i="46"/>
  <c r="B28" i="6"/>
  <c r="A55" i="3"/>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c r="E8" i="48"/>
  <c r="BD33" i="3"/>
  <c r="A56" i="3"/>
  <c r="AF72" i="3"/>
  <c r="AY70" i="3"/>
  <c r="AA68" i="3"/>
  <c r="AA70" i="3"/>
  <c r="AF20" i="3"/>
  <c r="AF22" i="3"/>
  <c r="AA25" i="3"/>
  <c r="AY23" i="3"/>
  <c r="A53" i="3"/>
  <c r="BD30" i="3"/>
  <c r="AF31" i="3"/>
  <c r="AF28" i="3"/>
  <c r="AA33" i="3"/>
  <c r="AY31" i="3"/>
  <c r="AY64" i="3"/>
  <c r="AF62" i="3"/>
  <c r="AA61" i="3"/>
  <c r="AF64" i="3"/>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c r="CB78" i="46"/>
  <c r="BD78" i="46"/>
  <c r="DR78" i="46"/>
  <c r="FE78" i="46"/>
  <c r="A16" i="3"/>
  <c r="AA16" i="3"/>
  <c r="BD22" i="3"/>
  <c r="BC22" i="3"/>
  <c r="A46" i="3"/>
  <c r="AF47" i="3"/>
  <c r="F46" i="45"/>
  <c r="A54" i="3"/>
  <c r="AF55" i="3"/>
  <c r="AA15" i="3"/>
  <c r="AB15" i="3" a="1"/>
  <c r="AB15" i="3"/>
  <c r="AA12" i="3"/>
  <c r="AB12" i="3" a="1"/>
  <c r="AB12" i="3"/>
  <c r="AY95" i="3"/>
  <c r="AF16" i="3"/>
  <c r="F15" i="45"/>
  <c r="AF96" i="3"/>
  <c r="R47" i="45"/>
  <c r="BD42" i="3"/>
  <c r="BC42" i="3"/>
  <c r="BD40" i="3"/>
  <c r="BC40" i="3"/>
  <c r="BD23" i="3"/>
  <c r="BC23" i="3"/>
  <c r="A72" i="3"/>
  <c r="AY73" i="3"/>
  <c r="BD20" i="3"/>
  <c r="BC20" i="3"/>
  <c r="BD50" i="3"/>
  <c r="BC50" i="3"/>
  <c r="BD8" i="3"/>
  <c r="BC8" i="3"/>
  <c r="BD11" i="3"/>
  <c r="BC11" i="3"/>
  <c r="BD53" i="3"/>
  <c r="BC53" i="3"/>
  <c r="AA92" i="3"/>
  <c r="O43" i="45"/>
  <c r="AF92" i="3"/>
  <c r="R43" i="45"/>
  <c r="AA94" i="3"/>
  <c r="O45" i="45"/>
  <c r="A39" i="3"/>
  <c r="AY40" i="3"/>
  <c r="AA8" i="3"/>
  <c r="C7" i="45"/>
  <c r="AF95" i="3"/>
  <c r="R46" i="45"/>
  <c r="AY9" i="3"/>
  <c r="AA6" i="3"/>
  <c r="C5" i="45"/>
  <c r="BC9" i="3"/>
  <c r="BD6" i="3"/>
  <c r="BC6" i="3"/>
  <c r="A61" i="3"/>
  <c r="AF65" i="3"/>
  <c r="BC14" i="3"/>
  <c r="A86" i="3"/>
  <c r="AY87" i="3"/>
  <c r="A21" i="3"/>
  <c r="AF24" i="3"/>
  <c r="BD37" i="3"/>
  <c r="BC37" i="3"/>
  <c r="AE5" i="3" a="1"/>
  <c r="AE5" i="3"/>
  <c r="AY7" i="3"/>
  <c r="A29" i="3"/>
  <c r="AY30" i="3"/>
  <c r="BC13" i="3"/>
  <c r="BC12" i="3"/>
  <c r="BC10" i="3"/>
  <c r="AE4" i="3" a="1"/>
  <c r="AE4" i="3"/>
  <c r="A85" i="3"/>
  <c r="AF88" i="3"/>
  <c r="BC15" i="3"/>
  <c r="AF6" i="3"/>
  <c r="F5" i="45"/>
  <c r="BD7" i="3"/>
  <c r="BC7" i="3"/>
  <c r="BC19" i="3"/>
  <c r="A32" i="3"/>
  <c r="AA31" i="3"/>
  <c r="BD16" i="3"/>
  <c r="BC16" i="3"/>
  <c r="BC18" i="3"/>
  <c r="A24" i="3"/>
  <c r="AF21" i="3"/>
  <c r="BC27" i="3"/>
  <c r="BD17" i="3"/>
  <c r="BC17" i="3"/>
  <c r="BC24" i="3"/>
  <c r="AA9" i="3"/>
  <c r="C8" i="45"/>
  <c r="T77" i="32"/>
  <c r="BC25" i="3"/>
  <c r="A45" i="3"/>
  <c r="AA44" i="3"/>
  <c r="AB97" i="3" a="1"/>
  <c r="AB97" i="3"/>
  <c r="A70" i="3"/>
  <c r="AF68" i="3"/>
  <c r="BC38" i="3"/>
  <c r="BC28" i="3"/>
  <c r="AF43" i="3"/>
  <c r="DT43" i="3"/>
  <c r="DT27" i="3"/>
  <c r="BC44" i="3"/>
  <c r="BD32" i="3"/>
  <c r="BC32" i="3"/>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c r="AF60" i="3"/>
  <c r="O48" i="45"/>
  <c r="AY72" i="3"/>
  <c r="AA69" i="3"/>
  <c r="AF73" i="3"/>
  <c r="AF70" i="3"/>
  <c r="AY8" i="3"/>
  <c r="AF7" i="3"/>
  <c r="AA5" i="3"/>
  <c r="AF9" i="3"/>
  <c r="AA76" i="3"/>
  <c r="AF81" i="3"/>
  <c r="AY78" i="3"/>
  <c r="AA78" i="3"/>
  <c r="AY24" i="3"/>
  <c r="AF23" i="3"/>
  <c r="AA21" i="3"/>
  <c r="AF25" i="3"/>
  <c r="K59" i="46"/>
  <c r="AA29" i="3"/>
  <c r="AY32" i="3"/>
  <c r="AF33" i="3"/>
  <c r="DT33" i="3"/>
  <c r="AF30" i="3"/>
  <c r="AY89" i="3"/>
  <c r="AF85" i="3"/>
  <c r="AA87" i="3"/>
  <c r="AA88" i="3"/>
  <c r="AY56" i="3"/>
  <c r="AF54" i="3"/>
  <c r="AA53" i="3"/>
  <c r="AF56" i="3"/>
  <c r="O21" i="45"/>
  <c r="AB70" i="3" a="1"/>
  <c r="AB70" i="3"/>
  <c r="AA63" i="3"/>
  <c r="AA65" i="3"/>
  <c r="AF61" i="3"/>
  <c r="K21" i="46"/>
  <c r="AY65" i="3"/>
  <c r="F30" i="45"/>
  <c r="AE31" i="3" a="1"/>
  <c r="AE31" i="3"/>
  <c r="AE22" i="3" a="1"/>
  <c r="AE22" i="3"/>
  <c r="F21" i="45"/>
  <c r="BC29" i="3"/>
  <c r="AE20" i="3" a="1"/>
  <c r="AE20" i="3"/>
  <c r="F19" i="45"/>
  <c r="AA57" i="3"/>
  <c r="AF53" i="3"/>
  <c r="AY57" i="3"/>
  <c r="AA55" i="3"/>
  <c r="C32" i="45"/>
  <c r="AB33" i="3" a="1"/>
  <c r="AB33" i="3"/>
  <c r="E9" i="48"/>
  <c r="F8" i="48" a="1"/>
  <c r="F8" i="48"/>
  <c r="R15" i="45"/>
  <c r="AE64" i="3" a="1"/>
  <c r="AE64" i="3"/>
  <c r="BC30" i="3"/>
  <c r="R23" i="45"/>
  <c r="AE72" i="3" a="1"/>
  <c r="AE72" i="3"/>
  <c r="BC33" i="3"/>
  <c r="C40" i="45"/>
  <c r="AB41" i="3" a="1"/>
  <c r="AB41" i="3"/>
  <c r="O12" i="45"/>
  <c r="AB61" i="3" a="1"/>
  <c r="AB61" i="3"/>
  <c r="BC26" i="3"/>
  <c r="AA52" i="3"/>
  <c r="AY54" i="3"/>
  <c r="AA54" i="3"/>
  <c r="AF57" i="3"/>
  <c r="AF93" i="3"/>
  <c r="AY97" i="3"/>
  <c r="AA95" i="3"/>
  <c r="AA96" i="3"/>
  <c r="BC31" i="3"/>
  <c r="AE37" i="3" a="1"/>
  <c r="AE37" i="3"/>
  <c r="F36" i="45"/>
  <c r="AE62" i="3" a="1"/>
  <c r="AE62" i="3"/>
  <c r="R13" i="45"/>
  <c r="BC34" i="3"/>
  <c r="C38" i="45"/>
  <c r="AB39" i="3" a="1"/>
  <c r="AB39" i="3"/>
  <c r="BC21" i="3"/>
  <c r="C24" i="45"/>
  <c r="AB25" i="3" a="1"/>
  <c r="AB25" i="3"/>
  <c r="AY49" i="3"/>
  <c r="AA49" i="3"/>
  <c r="AA47" i="3"/>
  <c r="AF45" i="3"/>
  <c r="F27" i="45"/>
  <c r="AE28" i="3" a="1"/>
  <c r="AE28" i="3"/>
  <c r="AA4" i="3"/>
  <c r="AF8" i="3"/>
  <c r="AY6" i="3"/>
  <c r="AA7" i="3"/>
  <c r="AY38" i="3"/>
  <c r="AA36" i="3"/>
  <c r="AA38" i="3"/>
  <c r="AF41" i="3"/>
  <c r="O19" i="45"/>
  <c r="AB68" i="3" a="1"/>
  <c r="AB68" i="3"/>
  <c r="AA14" i="3"/>
  <c r="AB14" i="3" a="1"/>
  <c r="AB14" i="3"/>
  <c r="AY17" i="3"/>
  <c r="AF13" i="3"/>
  <c r="F12" i="45"/>
  <c r="AA48" i="3"/>
  <c r="C47" i="45"/>
  <c r="AE47" i="3" a="1"/>
  <c r="AE47" i="3"/>
  <c r="AY47" i="3"/>
  <c r="AF44" i="3"/>
  <c r="AE44" i="3" a="1"/>
  <c r="AE44" i="3"/>
  <c r="AF69" i="3"/>
  <c r="K23" i="46"/>
  <c r="AF84" i="3"/>
  <c r="AE84" i="3" a="1"/>
  <c r="AE84" i="3"/>
  <c r="DT15" i="3"/>
  <c r="AA71" i="3"/>
  <c r="O22" i="45"/>
  <c r="AA72" i="3"/>
  <c r="DT72" i="3"/>
  <c r="C14" i="45"/>
  <c r="AB94" i="3" a="1"/>
  <c r="AB94" i="3"/>
  <c r="AA20" i="3"/>
  <c r="C19" i="45"/>
  <c r="AA56" i="3"/>
  <c r="K66" i="46"/>
  <c r="AF52" i="3"/>
  <c r="K18" i="46"/>
  <c r="DT12" i="3"/>
  <c r="AY55" i="3"/>
  <c r="AF38" i="3"/>
  <c r="K38" i="46"/>
  <c r="C11" i="45"/>
  <c r="K56" i="46"/>
  <c r="AE16" i="3" a="1"/>
  <c r="AE16" i="3"/>
  <c r="AY46" i="3"/>
  <c r="AE92" i="3" a="1"/>
  <c r="AE92" i="3"/>
  <c r="AA89" i="3"/>
  <c r="K75" i="46"/>
  <c r="AA22" i="3"/>
  <c r="C21" i="45"/>
  <c r="AA86" i="3"/>
  <c r="O37" i="45"/>
  <c r="AF49" i="3"/>
  <c r="DT49" i="3"/>
  <c r="AE96" i="3" a="1"/>
  <c r="AE96" i="3"/>
  <c r="AY86" i="3"/>
  <c r="AA84" i="3"/>
  <c r="O35" i="45"/>
  <c r="AA28" i="3"/>
  <c r="K12" i="46"/>
  <c r="AA24" i="3"/>
  <c r="AB24" i="3" a="1"/>
  <c r="AB24" i="3"/>
  <c r="K28" i="46"/>
  <c r="AB92" i="3" a="1"/>
  <c r="AB92" i="3"/>
  <c r="DT92" i="3"/>
  <c r="AA32" i="3"/>
  <c r="C31" i="45"/>
  <c r="AF29" i="3"/>
  <c r="AF40" i="3"/>
  <c r="K62" i="46"/>
  <c r="AA37" i="3"/>
  <c r="DT37" i="3"/>
  <c r="AY62" i="3"/>
  <c r="AA60" i="3"/>
  <c r="DT60" i="3"/>
  <c r="AE6" i="3" a="1"/>
  <c r="AE6" i="3"/>
  <c r="AY22" i="3"/>
  <c r="AA46" i="3"/>
  <c r="K40" i="46"/>
  <c r="AE95" i="3" a="1"/>
  <c r="AE95" i="3"/>
  <c r="K30" i="46"/>
  <c r="AB6" i="3" a="1"/>
  <c r="AB6" i="3"/>
  <c r="AA62" i="3"/>
  <c r="DT62" i="3"/>
  <c r="AB8" i="3" a="1"/>
  <c r="AB8" i="3"/>
  <c r="AA23" i="3"/>
  <c r="C22" i="45"/>
  <c r="AF87" i="3"/>
  <c r="DT6" i="3"/>
  <c r="AF32" i="3"/>
  <c r="AE32" i="3" a="1"/>
  <c r="AE32" i="3"/>
  <c r="AY71" i="3"/>
  <c r="AA30" i="3"/>
  <c r="AB30" i="3" a="1"/>
  <c r="AB30" i="3"/>
  <c r="AY33" i="3"/>
  <c r="AB9" i="3" a="1"/>
  <c r="AB9" i="3"/>
  <c r="AF71" i="3"/>
  <c r="R22" i="45"/>
  <c r="AY25" i="3"/>
  <c r="AA73" i="3"/>
  <c r="O24" i="45"/>
  <c r="Q4" i="32"/>
  <c r="R4" i="32"/>
  <c r="Q6" i="32"/>
  <c r="S6" i="32"/>
  <c r="Q11" i="32"/>
  <c r="X11" i="32"/>
  <c r="Q18" i="32"/>
  <c r="S18" i="32"/>
  <c r="Q40" i="32"/>
  <c r="R40" i="32"/>
  <c r="Q35" i="32"/>
  <c r="L40" i="51"/>
  <c r="Q7" i="32"/>
  <c r="L12" i="51"/>
  <c r="Q32" i="32"/>
  <c r="BG33" i="45"/>
  <c r="Q10" i="32"/>
  <c r="BG11" i="45"/>
  <c r="Q30" i="32"/>
  <c r="L35" i="51"/>
  <c r="Q23" i="32"/>
  <c r="BG24" i="45"/>
  <c r="Q13" i="32"/>
  <c r="BG14" i="45"/>
  <c r="Q9" i="32"/>
  <c r="X9" i="32"/>
  <c r="Q34" i="32"/>
  <c r="T34" i="32"/>
  <c r="Q33" i="32"/>
  <c r="R33" i="32"/>
  <c r="Q41" i="32"/>
  <c r="L46" i="51"/>
  <c r="Q5" i="32"/>
  <c r="X5" i="32"/>
  <c r="Q46" i="32"/>
  <c r="BG47" i="45"/>
  <c r="Q12" i="32"/>
  <c r="X12" i="32"/>
  <c r="Q19" i="32"/>
  <c r="BG20" i="45"/>
  <c r="Q17" i="32"/>
  <c r="BG18" i="45"/>
  <c r="Q36" i="32"/>
  <c r="S36" i="32"/>
  <c r="Q50" i="32"/>
  <c r="T50" i="32"/>
  <c r="Q25" i="32"/>
  <c r="BG26" i="45"/>
  <c r="Q26" i="32"/>
  <c r="R26" i="32"/>
  <c r="Q42" i="32"/>
  <c r="R42" i="32"/>
  <c r="Q45" i="32"/>
  <c r="L50" i="51"/>
  <c r="Q38" i="32"/>
  <c r="X38" i="32"/>
  <c r="Q24" i="32"/>
  <c r="L29" i="51"/>
  <c r="Q22" i="32"/>
  <c r="L27" i="51"/>
  <c r="Q14" i="32"/>
  <c r="R14" i="32"/>
  <c r="Q27" i="32"/>
  <c r="S27" i="32"/>
  <c r="Q16" i="32"/>
  <c r="X16" i="32"/>
  <c r="Q15" i="32"/>
  <c r="S15" i="32"/>
  <c r="Q3" i="32"/>
  <c r="T3" i="32"/>
  <c r="Q44" i="32"/>
  <c r="S44" i="32"/>
  <c r="Q20" i="32"/>
  <c r="L25" i="51"/>
  <c r="Q47" i="32"/>
  <c r="R47" i="32"/>
  <c r="Q39" i="32"/>
  <c r="L44" i="51"/>
  <c r="Q28" i="32"/>
  <c r="T28" i="32"/>
  <c r="Q8" i="32"/>
  <c r="R8" i="32"/>
  <c r="Q49" i="32"/>
  <c r="L54" i="51"/>
  <c r="Q37" i="32"/>
  <c r="T37" i="32"/>
  <c r="Q21" i="32"/>
  <c r="R21" i="32"/>
  <c r="Q31" i="32"/>
  <c r="T31" i="32"/>
  <c r="Q43" i="32"/>
  <c r="X43" i="32"/>
  <c r="Q29" i="32"/>
  <c r="S29" i="32"/>
  <c r="Q48" i="32"/>
  <c r="R48" i="32"/>
  <c r="DT97" i="3"/>
  <c r="DT68" i="3"/>
  <c r="K22" i="46"/>
  <c r="DT39" i="3"/>
  <c r="DT25" i="3"/>
  <c r="DT70" i="3"/>
  <c r="K46" i="46"/>
  <c r="K8" i="46"/>
  <c r="K68" i="46"/>
  <c r="K39" i="46"/>
  <c r="DT61" i="3"/>
  <c r="K61" i="46"/>
  <c r="K33" i="46"/>
  <c r="F11" i="45"/>
  <c r="AE12" i="3" a="1"/>
  <c r="AE12" i="3"/>
  <c r="DT41" i="3"/>
  <c r="C16" i="45"/>
  <c r="AB17" i="3" a="1"/>
  <c r="AB17" i="3"/>
  <c r="F13" i="45"/>
  <c r="AE14" i="3" a="1"/>
  <c r="AE14" i="3"/>
  <c r="C15" i="45"/>
  <c r="DT16" i="3"/>
  <c r="AB16" i="3" a="1"/>
  <c r="AB16" i="3"/>
  <c r="O39" i="45"/>
  <c r="K74" i="46"/>
  <c r="DT88" i="3"/>
  <c r="AB88" i="3" a="1"/>
  <c r="AB88" i="3"/>
  <c r="F24" i="45"/>
  <c r="AE25" i="3" a="1"/>
  <c r="AE25" i="3"/>
  <c r="F14" i="45"/>
  <c r="AE15" i="3" a="1"/>
  <c r="AE15" i="3"/>
  <c r="O31" i="45"/>
  <c r="AB80" i="3" a="1"/>
  <c r="AB80" i="3"/>
  <c r="K72" i="46"/>
  <c r="DT80" i="3"/>
  <c r="O32" i="45"/>
  <c r="K73" i="46"/>
  <c r="DT81" i="3"/>
  <c r="AB81" i="3" a="1"/>
  <c r="AB81" i="3"/>
  <c r="AB87" i="3" a="1"/>
  <c r="AB87" i="3"/>
  <c r="O38" i="45"/>
  <c r="C20" i="45"/>
  <c r="AB21" i="3" a="1"/>
  <c r="AB21" i="3"/>
  <c r="AE9" i="3" a="1"/>
  <c r="AE9" i="3"/>
  <c r="F8" i="45"/>
  <c r="K55" i="46"/>
  <c r="DT9" i="3"/>
  <c r="R19" i="45"/>
  <c r="AE68" i="3" a="1"/>
  <c r="AE68" i="3"/>
  <c r="F16" i="45"/>
  <c r="DT17" i="3"/>
  <c r="K57" i="46"/>
  <c r="AE17" i="3" a="1"/>
  <c r="AE17" i="3"/>
  <c r="R30" i="45"/>
  <c r="AE79" i="3" a="1"/>
  <c r="AE79" i="3"/>
  <c r="F38" i="45"/>
  <c r="AE39" i="3" a="1"/>
  <c r="AE39" i="3"/>
  <c r="DT79" i="3"/>
  <c r="O30" i="45"/>
  <c r="K49" i="46"/>
  <c r="AB79" i="3" a="1"/>
  <c r="AB79" i="3"/>
  <c r="AE85" i="3" a="1"/>
  <c r="AE85" i="3"/>
  <c r="R36" i="45"/>
  <c r="F22" i="45"/>
  <c r="AE23" i="3" a="1"/>
  <c r="AE23" i="3"/>
  <c r="DT5" i="3"/>
  <c r="C4" i="45"/>
  <c r="AB5" i="3" a="1"/>
  <c r="AB5" i="3"/>
  <c r="K7" i="46"/>
  <c r="C12" i="45"/>
  <c r="AB13" i="3" a="1"/>
  <c r="AB13" i="3"/>
  <c r="F6" i="45"/>
  <c r="AE7" i="3" a="1"/>
  <c r="AE7" i="3"/>
  <c r="R21" i="45"/>
  <c r="AE70" i="3" a="1"/>
  <c r="AE70" i="3"/>
  <c r="R11" i="45"/>
  <c r="AE60" i="3" a="1"/>
  <c r="AE60" i="3"/>
  <c r="AE46" i="3" a="1"/>
  <c r="AE46" i="3"/>
  <c r="F45" i="45"/>
  <c r="R31" i="45"/>
  <c r="AE80" i="3" a="1"/>
  <c r="AE80" i="3"/>
  <c r="R39" i="45"/>
  <c r="AE88" i="3" a="1"/>
  <c r="AE88" i="3"/>
  <c r="F29" i="45"/>
  <c r="AE30" i="3" a="1"/>
  <c r="AE30" i="3"/>
  <c r="DT78" i="3"/>
  <c r="O29" i="45"/>
  <c r="K48" i="46"/>
  <c r="AB78" i="3" a="1"/>
  <c r="AB78" i="3"/>
  <c r="R24" i="45"/>
  <c r="AE73" i="3" a="1"/>
  <c r="AE73" i="3"/>
  <c r="AB64" i="3" a="1"/>
  <c r="AB64" i="3"/>
  <c r="O15" i="45"/>
  <c r="C44" i="45"/>
  <c r="AB45" i="3" a="1"/>
  <c r="AB45" i="3"/>
  <c r="R40" i="45"/>
  <c r="AE89" i="3" a="1"/>
  <c r="AE89" i="3"/>
  <c r="DT77" i="3"/>
  <c r="K25" i="46"/>
  <c r="O28" i="45"/>
  <c r="AB77" i="3" a="1"/>
  <c r="AB77" i="3"/>
  <c r="R45" i="45"/>
  <c r="K52" i="46"/>
  <c r="AE94" i="3" a="1"/>
  <c r="AE94" i="3"/>
  <c r="DT94" i="3"/>
  <c r="F32" i="45"/>
  <c r="AE33" i="3" a="1"/>
  <c r="AE33" i="3"/>
  <c r="O20" i="45"/>
  <c r="AB69" i="3" a="1"/>
  <c r="AB69" i="3"/>
  <c r="R14" i="45"/>
  <c r="AE63" i="3" a="1"/>
  <c r="AE63" i="3"/>
  <c r="F47" i="45"/>
  <c r="AE48" i="3" a="1"/>
  <c r="AE48" i="3"/>
  <c r="O36" i="45"/>
  <c r="DT85" i="3"/>
  <c r="AB85" i="3" a="1"/>
  <c r="AB85" i="3"/>
  <c r="K27" i="46"/>
  <c r="F23" i="45"/>
  <c r="AE24" i="3" a="1"/>
  <c r="AE24" i="3"/>
  <c r="R48" i="45"/>
  <c r="AE97" i="3" a="1"/>
  <c r="AE97" i="3"/>
  <c r="R32" i="45"/>
  <c r="AE81" i="3" a="1"/>
  <c r="AE81" i="3"/>
  <c r="R37" i="45"/>
  <c r="AE86" i="3" a="1"/>
  <c r="AE86" i="3"/>
  <c r="C39" i="45"/>
  <c r="AB40" i="3" a="1"/>
  <c r="AB40" i="3"/>
  <c r="R29" i="45"/>
  <c r="AE78" i="3" a="1"/>
  <c r="AE78" i="3"/>
  <c r="O44" i="45"/>
  <c r="AB93" i="3" a="1"/>
  <c r="AB93" i="3"/>
  <c r="C28" i="45"/>
  <c r="AB29" i="3" a="1"/>
  <c r="AB29" i="3"/>
  <c r="DT76" i="3"/>
  <c r="K24" i="46"/>
  <c r="O27" i="45"/>
  <c r="AB76" i="3" a="1"/>
  <c r="AB76" i="3"/>
  <c r="R27" i="45"/>
  <c r="AE76" i="3" a="1"/>
  <c r="AE76" i="3"/>
  <c r="F35" i="45"/>
  <c r="AE36" i="3" a="1"/>
  <c r="AE36" i="3"/>
  <c r="R28" i="45"/>
  <c r="AE77" i="3" a="1"/>
  <c r="AE77" i="3"/>
  <c r="AE93" i="3" a="1"/>
  <c r="AE93" i="3"/>
  <c r="DT93" i="3"/>
  <c r="K29" i="46"/>
  <c r="R44" i="45"/>
  <c r="O3" i="45"/>
  <c r="AB52" i="3" a="1"/>
  <c r="AB52" i="3"/>
  <c r="C43" i="45"/>
  <c r="AB44" i="3" a="1"/>
  <c r="AB44" i="3"/>
  <c r="K31" i="46"/>
  <c r="C6" i="45"/>
  <c r="DT7" i="3"/>
  <c r="AB7" i="3" a="1"/>
  <c r="AB7" i="3"/>
  <c r="K63" i="46"/>
  <c r="O6" i="45"/>
  <c r="DT55" i="3"/>
  <c r="K43" i="46"/>
  <c r="AB55" i="3" a="1"/>
  <c r="AB55" i="3"/>
  <c r="R7" i="45"/>
  <c r="AE56" i="3" a="1"/>
  <c r="AE56" i="3"/>
  <c r="K41" i="46"/>
  <c r="DT47" i="3"/>
  <c r="C46" i="45"/>
  <c r="AB47" i="3" a="1"/>
  <c r="AB47" i="3"/>
  <c r="K37" i="46"/>
  <c r="DT31" i="3"/>
  <c r="C30" i="45"/>
  <c r="AB31" i="3" a="1"/>
  <c r="AB31" i="3"/>
  <c r="AE55" i="3" a="1"/>
  <c r="AE55" i="3"/>
  <c r="R6" i="45"/>
  <c r="DT53" i="3"/>
  <c r="O4" i="45"/>
  <c r="K19" i="46"/>
  <c r="AB53" i="3" a="1"/>
  <c r="AB53" i="3"/>
  <c r="F40" i="45"/>
  <c r="AE41" i="3" a="1"/>
  <c r="AE41" i="3"/>
  <c r="AE8" i="3" a="1"/>
  <c r="AE8" i="3"/>
  <c r="F7" i="45"/>
  <c r="K54" i="46"/>
  <c r="DT8" i="3"/>
  <c r="O47" i="45"/>
  <c r="DT96" i="3"/>
  <c r="K76" i="46"/>
  <c r="AB96" i="3" a="1"/>
  <c r="AB96" i="3"/>
  <c r="R8" i="45"/>
  <c r="AE57" i="3" a="1"/>
  <c r="AE57" i="3"/>
  <c r="R4" i="45"/>
  <c r="AE53" i="3" a="1"/>
  <c r="AE53" i="3"/>
  <c r="AE61" i="3" a="1"/>
  <c r="AE61" i="3"/>
  <c r="R12" i="45"/>
  <c r="R5" i="45"/>
  <c r="AE54" i="3" a="1"/>
  <c r="AE54" i="3"/>
  <c r="C48" i="45"/>
  <c r="AB49" i="3" a="1"/>
  <c r="AB49" i="3"/>
  <c r="C37" i="45"/>
  <c r="AB38" i="3" a="1"/>
  <c r="AB38" i="3"/>
  <c r="DT4" i="3"/>
  <c r="K6" i="46"/>
  <c r="C3" i="45"/>
  <c r="AB4" i="3" a="1"/>
  <c r="AB4" i="3"/>
  <c r="F20" i="45"/>
  <c r="AE21" i="3" a="1"/>
  <c r="AE21" i="3"/>
  <c r="K11" i="46"/>
  <c r="DT21" i="3"/>
  <c r="DT95" i="3"/>
  <c r="K53" i="46"/>
  <c r="O46" i="45"/>
  <c r="AB95" i="3" a="1"/>
  <c r="AB95" i="3"/>
  <c r="K42" i="46"/>
  <c r="DT54" i="3"/>
  <c r="O5" i="45"/>
  <c r="AB54" i="3" a="1"/>
  <c r="AB54" i="3"/>
  <c r="O8" i="45"/>
  <c r="DT57" i="3"/>
  <c r="K67" i="46"/>
  <c r="AB57" i="3" a="1"/>
  <c r="AB57" i="3"/>
  <c r="DT65" i="3"/>
  <c r="O16" i="45"/>
  <c r="K69" i="46"/>
  <c r="AB65" i="3" a="1"/>
  <c r="AB65" i="3"/>
  <c r="AE45" i="3" a="1"/>
  <c r="AE45" i="3"/>
  <c r="F44" i="45"/>
  <c r="DT45" i="3"/>
  <c r="K17" i="46"/>
  <c r="K45" i="46"/>
  <c r="DT63" i="3"/>
  <c r="O14" i="45"/>
  <c r="AB63" i="3" a="1"/>
  <c r="AB63" i="3"/>
  <c r="K14" i="46"/>
  <c r="DT36" i="3"/>
  <c r="C35" i="45"/>
  <c r="AB36" i="3" a="1"/>
  <c r="AB36" i="3"/>
  <c r="E10" i="48"/>
  <c r="F9" i="48" a="1"/>
  <c r="F9" i="48"/>
  <c r="R16" i="45"/>
  <c r="AE65" i="3" a="1"/>
  <c r="AE65" i="3"/>
  <c r="O40" i="45"/>
  <c r="DT22" i="3"/>
  <c r="AB62" i="3" a="1"/>
  <c r="AB62" i="3"/>
  <c r="K44" i="46"/>
  <c r="K58" i="46"/>
  <c r="O13" i="45"/>
  <c r="T12" i="32"/>
  <c r="DT13" i="3"/>
  <c r="AB22" i="3" a="1"/>
  <c r="AB22" i="3"/>
  <c r="AB60" i="3" a="1"/>
  <c r="AB60" i="3"/>
  <c r="DT89" i="3"/>
  <c r="K9" i="46"/>
  <c r="L28" i="51"/>
  <c r="R10" i="32"/>
  <c r="K34" i="46"/>
  <c r="DT30" i="3"/>
  <c r="BG38" i="45"/>
  <c r="S12" i="32"/>
  <c r="R37" i="32"/>
  <c r="L8" i="51"/>
  <c r="C29" i="45"/>
  <c r="T11" i="32"/>
  <c r="X37" i="32"/>
  <c r="BG4" i="45"/>
  <c r="K36" i="46"/>
  <c r="S11" i="32"/>
  <c r="S3" i="32"/>
  <c r="S37" i="32"/>
  <c r="L42" i="51"/>
  <c r="T23" i="32"/>
  <c r="L17" i="51"/>
  <c r="L16" i="51"/>
  <c r="AB37" i="3" a="1"/>
  <c r="AB37" i="3"/>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c r="L24" i="51"/>
  <c r="L43" i="51"/>
  <c r="AE13" i="3" a="1"/>
  <c r="AE13" i="3"/>
  <c r="AE49" i="3" a="1"/>
  <c r="AE49" i="3"/>
  <c r="DT48" i="3"/>
  <c r="X4" i="32"/>
  <c r="R35" i="45"/>
  <c r="S4" i="32"/>
  <c r="DT52" i="3"/>
  <c r="AB28" i="3" a="1"/>
  <c r="AB28" i="3"/>
  <c r="K32" i="46"/>
  <c r="DT14" i="3"/>
  <c r="L9" i="51"/>
  <c r="S13" i="32"/>
  <c r="R3" i="45"/>
  <c r="AE52" i="3" a="1"/>
  <c r="AE52" i="3"/>
  <c r="C13" i="45"/>
  <c r="BG9" i="45"/>
  <c r="BG5" i="45"/>
  <c r="T4" i="32"/>
  <c r="T19" i="32"/>
  <c r="X10" i="32"/>
  <c r="T36" i="32"/>
  <c r="AB23" i="3" a="1"/>
  <c r="AB23" i="3"/>
  <c r="F48" i="45"/>
  <c r="T10" i="32"/>
  <c r="AB89" i="3" a="1"/>
  <c r="AB89" i="3"/>
  <c r="R36" i="32"/>
  <c r="L41" i="51"/>
  <c r="DT44" i="3"/>
  <c r="BJ37" i="3"/>
  <c r="X7" i="32"/>
  <c r="K65" i="46"/>
  <c r="BJ47" i="3"/>
  <c r="K16" i="46"/>
  <c r="DT29" i="3"/>
  <c r="BK31" i="3"/>
  <c r="BJ36" i="3"/>
  <c r="F43" i="45"/>
  <c r="R31" i="32"/>
  <c r="K13" i="46"/>
  <c r="K26" i="46"/>
  <c r="AE69" i="3" a="1"/>
  <c r="AE69" i="3"/>
  <c r="R20" i="45"/>
  <c r="DT69" i="3"/>
  <c r="L18" i="51"/>
  <c r="L49" i="51"/>
  <c r="R38" i="32"/>
  <c r="O11" i="45"/>
  <c r="AE38" i="3" a="1"/>
  <c r="AE38" i="3"/>
  <c r="K20" i="46"/>
  <c r="F37" i="45"/>
  <c r="S21" i="32"/>
  <c r="K50" i="46"/>
  <c r="BG22" i="45"/>
  <c r="T44" i="32"/>
  <c r="DT38" i="3"/>
  <c r="BG39" i="45"/>
  <c r="T13" i="32"/>
  <c r="K35" i="46"/>
  <c r="X21" i="32"/>
  <c r="BG45" i="45"/>
  <c r="T38" i="32"/>
  <c r="X13" i="32"/>
  <c r="AB86" i="3" a="1"/>
  <c r="AB86" i="3"/>
  <c r="X44" i="32"/>
  <c r="S38" i="32"/>
  <c r="R13" i="32"/>
  <c r="DT86" i="3"/>
  <c r="S43" i="32"/>
  <c r="K70" i="46"/>
  <c r="O23" i="45"/>
  <c r="AB72" i="3" a="1"/>
  <c r="AB72" i="3"/>
  <c r="F31" i="45"/>
  <c r="R24" i="32"/>
  <c r="M2" i="32"/>
  <c r="R43" i="32"/>
  <c r="S20" i="32"/>
  <c r="DT84" i="3"/>
  <c r="L48" i="51"/>
  <c r="BG45" i="3"/>
  <c r="AE29" i="3" a="1"/>
  <c r="AE29" i="3"/>
  <c r="T43" i="32"/>
  <c r="BH19" i="3"/>
  <c r="BK9" i="3"/>
  <c r="F28" i="45"/>
  <c r="AB56" i="3" a="1"/>
  <c r="AB56" i="3"/>
  <c r="BG25" i="3"/>
  <c r="O7" i="45"/>
  <c r="BG44" i="45"/>
  <c r="T22" i="32"/>
  <c r="X36" i="32"/>
  <c r="DT56" i="3"/>
  <c r="BG33" i="3"/>
  <c r="BJ34" i="3"/>
  <c r="BK29" i="3"/>
  <c r="BG50" i="3"/>
  <c r="BJ38" i="3"/>
  <c r="BJ8" i="3"/>
  <c r="BH18" i="3"/>
  <c r="BI38" i="3"/>
  <c r="AB32" i="3" a="1"/>
  <c r="AB32" i="3"/>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c r="AB84" i="3" a="1"/>
  <c r="AB84" i="3"/>
  <c r="AB20" i="3" a="1"/>
  <c r="AB20" i="3"/>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c r="BK27" i="3"/>
  <c r="BI46" i="3"/>
  <c r="BK46" i="3"/>
  <c r="BK10" i="3"/>
  <c r="BK20" i="3"/>
  <c r="S42" i="32"/>
  <c r="DT46" i="3"/>
  <c r="C45" i="45"/>
  <c r="BG32" i="45"/>
  <c r="X20" i="32"/>
  <c r="S24" i="32"/>
  <c r="L36" i="51"/>
  <c r="R20" i="32"/>
  <c r="X31" i="32"/>
  <c r="T20" i="32"/>
  <c r="S31" i="32"/>
  <c r="BG21" i="45"/>
  <c r="AE40" i="3" a="1"/>
  <c r="AE40" i="3"/>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c r="R38" i="45"/>
  <c r="BG17" i="3"/>
  <c r="BI33" i="3"/>
  <c r="BJ26" i="3"/>
  <c r="C23" i="45"/>
  <c r="DT24" i="3"/>
  <c r="BH29" i="3"/>
  <c r="BG26" i="3"/>
  <c r="BJ21" i="3"/>
  <c r="C36" i="45"/>
  <c r="R9" i="32"/>
  <c r="L47" i="51"/>
  <c r="DT28" i="3"/>
  <c r="K15" i="46"/>
  <c r="DT87" i="3"/>
  <c r="K51" i="46"/>
  <c r="DT71" i="3"/>
  <c r="AE87" i="3" a="1"/>
  <c r="AE87" i="3"/>
  <c r="DT23" i="3"/>
  <c r="AB73" i="3" a="1"/>
  <c r="AB73" i="3"/>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c r="E11" i="48"/>
  <c r="BL26" i="3"/>
  <c r="BL31" i="3"/>
  <c r="BL37" i="3"/>
  <c r="BL36" i="3"/>
  <c r="BE19" i="3"/>
  <c r="BL47" i="3"/>
  <c r="BL34" i="3"/>
  <c r="BE25" i="3"/>
  <c r="BE27" i="3"/>
  <c r="BL16" i="3"/>
  <c r="BL29" i="3"/>
  <c r="BE24" i="3"/>
  <c r="BL43" i="3"/>
  <c r="BF24" i="3"/>
  <c r="BO24" i="3"/>
  <c r="BL11" i="3"/>
  <c r="BE36" i="3"/>
  <c r="BF36" i="3"/>
  <c r="BO36" i="3"/>
  <c r="BL32" i="3"/>
  <c r="BL18" i="3"/>
  <c r="BL51" i="3"/>
  <c r="AH37" i="32"/>
  <c r="AF33" i="32"/>
  <c r="AG33" i="32"/>
  <c r="AH48" i="32"/>
  <c r="AH44" i="32"/>
  <c r="W50" i="32"/>
  <c r="AH53" i="32"/>
  <c r="BF19" i="3"/>
  <c r="BO19" i="3"/>
  <c r="BF25" i="3"/>
  <c r="BO25" i="3"/>
  <c r="BE8" i="3"/>
  <c r="BE18" i="3"/>
  <c r="BF38" i="3"/>
  <c r="BO38" i="3"/>
  <c r="BL9" i="3"/>
  <c r="N2" i="32"/>
  <c r="BE33" i="3"/>
  <c r="BL45" i="3"/>
  <c r="BE37" i="3"/>
  <c r="BF27" i="3"/>
  <c r="BO27" i="3"/>
  <c r="BL6" i="3"/>
  <c r="BL17" i="3"/>
  <c r="BF50" i="3"/>
  <c r="BO50" i="3"/>
  <c r="BL30" i="3"/>
  <c r="BE50" i="3"/>
  <c r="BE45" i="3"/>
  <c r="BE17" i="3"/>
  <c r="BL25" i="3"/>
  <c r="BL8" i="3"/>
  <c r="BL19" i="3"/>
  <c r="BF16" i="3"/>
  <c r="BO16" i="3"/>
  <c r="BL38" i="3"/>
  <c r="BE43" i="3"/>
  <c r="BL48" i="3"/>
  <c r="BL28" i="3"/>
  <c r="BE16" i="3"/>
  <c r="BE21" i="3"/>
  <c r="BL10" i="3"/>
  <c r="BE39" i="3"/>
  <c r="BE41" i="3"/>
  <c r="BF51" i="3"/>
  <c r="BO51" i="3"/>
  <c r="BE49" i="3"/>
  <c r="BL41" i="3"/>
  <c r="BE51" i="3"/>
  <c r="BE38" i="3"/>
  <c r="BL49" i="3"/>
  <c r="BE32" i="3"/>
  <c r="BE53" i="3"/>
  <c r="BL33" i="3"/>
  <c r="BL13" i="3"/>
  <c r="AH66" i="32"/>
  <c r="W80" i="32"/>
  <c r="AH16" i="32"/>
  <c r="BF18" i="3"/>
  <c r="BO18" i="3"/>
  <c r="W53" i="32"/>
  <c r="AF30" i="32"/>
  <c r="AG30" i="32"/>
  <c r="AH83" i="32"/>
  <c r="AF49" i="32"/>
  <c r="AG49" i="32"/>
  <c r="BF21" i="3"/>
  <c r="BO21" i="3"/>
  <c r="AH54" i="32"/>
  <c r="BF45" i="3"/>
  <c r="BO45" i="3"/>
  <c r="BL44" i="3"/>
  <c r="BE15" i="3"/>
  <c r="BF34" i="3"/>
  <c r="BO34" i="3"/>
  <c r="BE10" i="3"/>
  <c r="BE22" i="3"/>
  <c r="BF49" i="3"/>
  <c r="BO49" i="3"/>
  <c r="AF51" i="32"/>
  <c r="AG51" i="32"/>
  <c r="V51" i="32"/>
  <c r="BL46" i="3"/>
  <c r="BL7" i="3"/>
  <c r="BF14" i="3"/>
  <c r="BO14" i="3"/>
  <c r="BL27" i="3"/>
  <c r="BL15" i="3"/>
  <c r="BF9" i="3"/>
  <c r="BO9" i="3"/>
  <c r="BL52" i="3"/>
  <c r="BF41" i="3"/>
  <c r="BO41" i="3"/>
  <c r="BL22" i="3"/>
  <c r="BF53" i="3"/>
  <c r="BO53" i="3"/>
  <c r="BL20" i="3"/>
  <c r="BF37" i="3"/>
  <c r="BO37" i="3"/>
  <c r="BF22" i="3"/>
  <c r="BO22" i="3"/>
  <c r="BF48" i="3"/>
  <c r="BO48" i="3"/>
  <c r="BL24" i="3"/>
  <c r="BF46" i="3"/>
  <c r="BO46" i="3"/>
  <c r="W57" i="32"/>
  <c r="AH47" i="32"/>
  <c r="AH38" i="32"/>
  <c r="AH84" i="32"/>
  <c r="AH77" i="32"/>
  <c r="AF69" i="32"/>
  <c r="AG69" i="32"/>
  <c r="V69" i="32"/>
  <c r="AF46" i="32"/>
  <c r="AH23" i="32"/>
  <c r="AF20" i="32"/>
  <c r="AG20" i="32"/>
  <c r="AH13" i="32"/>
  <c r="W70" i="32"/>
  <c r="AH74" i="32"/>
  <c r="AH63" i="32"/>
  <c r="AH17" i="32"/>
  <c r="W69" i="32"/>
  <c r="W61" i="32"/>
  <c r="AH36" i="32"/>
  <c r="AH18" i="32"/>
  <c r="AH6" i="32"/>
  <c r="AH49" i="32"/>
  <c r="AH67" i="32"/>
  <c r="AF23" i="32"/>
  <c r="AG23" i="32"/>
  <c r="AH30" i="32"/>
  <c r="AH4" i="32"/>
  <c r="AF65" i="32"/>
  <c r="U65" i="32"/>
  <c r="AF3" i="32"/>
  <c r="AG3" i="32"/>
  <c r="W71" i="32"/>
  <c r="W59" i="32"/>
  <c r="AH56" i="32"/>
  <c r="AH71" i="32"/>
  <c r="AH62" i="32"/>
  <c r="AF62" i="32"/>
  <c r="AG62" i="32"/>
  <c r="V62" i="32"/>
  <c r="AF17" i="32"/>
  <c r="AG17" i="32"/>
  <c r="AF18" i="32"/>
  <c r="AG18" i="32"/>
  <c r="AF42" i="32"/>
  <c r="AG42" i="32"/>
  <c r="AH69" i="32"/>
  <c r="AF85" i="32"/>
  <c r="AG85" i="32"/>
  <c r="V85" i="32"/>
  <c r="AF56" i="32"/>
  <c r="AG56" i="32"/>
  <c r="V56" i="32"/>
  <c r="AH31" i="32"/>
  <c r="BE48" i="3"/>
  <c r="BE6" i="3"/>
  <c r="W73" i="32"/>
  <c r="AH25" i="32"/>
  <c r="W26" i="32"/>
  <c r="AF59" i="32"/>
  <c r="AG59" i="32"/>
  <c r="V59" i="32"/>
  <c r="AH85" i="32"/>
  <c r="AF83" i="32"/>
  <c r="AG83" i="32"/>
  <c r="V83" i="32"/>
  <c r="AH15" i="32"/>
  <c r="AH72" i="32"/>
  <c r="W82" i="32"/>
  <c r="W60" i="32"/>
  <c r="W76" i="32"/>
  <c r="AH59" i="32"/>
  <c r="AH60" i="32"/>
  <c r="AH29" i="32"/>
  <c r="AF76" i="32"/>
  <c r="U76" i="32"/>
  <c r="AF27" i="32"/>
  <c r="AG27" i="32"/>
  <c r="AH51" i="32"/>
  <c r="AF39" i="32"/>
  <c r="AG39" i="32"/>
  <c r="AH42" i="32"/>
  <c r="AF26" i="32"/>
  <c r="AF52" i="32"/>
  <c r="AG52" i="32"/>
  <c r="V52" i="32"/>
  <c r="W85" i="32"/>
  <c r="W79" i="32"/>
  <c r="W62" i="32"/>
  <c r="AF71" i="32"/>
  <c r="AG71" i="32"/>
  <c r="V71" i="32"/>
  <c r="AH50" i="32"/>
  <c r="AH41" i="32"/>
  <c r="AH32" i="32"/>
  <c r="AF37" i="32"/>
  <c r="AH11" i="32"/>
  <c r="AH34" i="32"/>
  <c r="AF66" i="32"/>
  <c r="AG66" i="32"/>
  <c r="V66" i="32"/>
  <c r="AH10" i="32"/>
  <c r="AF5" i="32"/>
  <c r="W86" i="32"/>
  <c r="W67" i="32"/>
  <c r="AF60" i="32"/>
  <c r="AG60" i="32"/>
  <c r="V60" i="32"/>
  <c r="AF47" i="32"/>
  <c r="AG47" i="32"/>
  <c r="AH78" i="32"/>
  <c r="W78" i="32"/>
  <c r="W74" i="32"/>
  <c r="AF68" i="32"/>
  <c r="U68" i="32"/>
  <c r="AH76" i="32"/>
  <c r="AF48" i="32"/>
  <c r="AG48" i="32"/>
  <c r="AF50" i="32"/>
  <c r="AH12" i="32"/>
  <c r="AF79" i="32"/>
  <c r="AG79" i="32"/>
  <c r="V79" i="32"/>
  <c r="AH7" i="32"/>
  <c r="AH46" i="32"/>
  <c r="AH33" i="32"/>
  <c r="W35" i="32"/>
  <c r="AF11" i="32"/>
  <c r="AF24" i="32"/>
  <c r="AG24" i="32"/>
  <c r="BE46" i="3"/>
  <c r="BF39" i="3"/>
  <c r="BO39" i="3"/>
  <c r="BE30" i="3"/>
  <c r="W63" i="32"/>
  <c r="AH20" i="32"/>
  <c r="AF43" i="32"/>
  <c r="U49" i="32"/>
  <c r="AH64" i="32"/>
  <c r="BE29" i="3"/>
  <c r="BF47" i="3"/>
  <c r="BO47" i="3"/>
  <c r="W77" i="32"/>
  <c r="W81" i="32"/>
  <c r="AH40" i="32"/>
  <c r="AH75" i="32"/>
  <c r="AF58" i="32"/>
  <c r="AG58" i="32"/>
  <c r="V58" i="32"/>
  <c r="AF21" i="32"/>
  <c r="AF70" i="32"/>
  <c r="U70" i="32"/>
  <c r="AH19" i="32"/>
  <c r="AF64" i="32"/>
  <c r="AG64" i="32"/>
  <c r="V64" i="32"/>
  <c r="AH28" i="32"/>
  <c r="AH8" i="32"/>
  <c r="W65" i="32"/>
  <c r="W64" i="32"/>
  <c r="W51" i="32"/>
  <c r="AH27" i="32"/>
  <c r="AH45" i="32"/>
  <c r="AH70" i="32"/>
  <c r="AF36" i="32"/>
  <c r="AH68" i="32"/>
  <c r="AH22" i="32"/>
  <c r="AF15" i="32"/>
  <c r="AG15" i="32"/>
  <c r="AF53" i="32"/>
  <c r="U53" i="32"/>
  <c r="AF78" i="32"/>
  <c r="AG78" i="32"/>
  <c r="V78" i="32"/>
  <c r="AH80" i="32"/>
  <c r="AF9" i="32"/>
  <c r="AG9" i="32"/>
  <c r="AF72" i="32"/>
  <c r="AG72" i="32"/>
  <c r="V72" i="32"/>
  <c r="AH9" i="32"/>
  <c r="AH26" i="32"/>
  <c r="AH3" i="32"/>
  <c r="AF77" i="32"/>
  <c r="AG77" i="32"/>
  <c r="V77" i="32"/>
  <c r="AF54" i="32"/>
  <c r="AG54" i="32"/>
  <c r="V54" i="32"/>
  <c r="AH81" i="32"/>
  <c r="BE9" i="3"/>
  <c r="W83" i="32"/>
  <c r="W75" i="32"/>
  <c r="W68" i="32"/>
  <c r="W56" i="32"/>
  <c r="AF40" i="32"/>
  <c r="AF14" i="32"/>
  <c r="AG14" i="32"/>
  <c r="AH14" i="32"/>
  <c r="AF38" i="32"/>
  <c r="AG38" i="32"/>
  <c r="AH65" i="32"/>
  <c r="AH24" i="32"/>
  <c r="AF16" i="32"/>
  <c r="AG16" i="32"/>
  <c r="AF28" i="32"/>
  <c r="AG28" i="32"/>
  <c r="AF84" i="32"/>
  <c r="AG84" i="32"/>
  <c r="V84" i="32"/>
  <c r="AF32" i="32"/>
  <c r="AG32" i="32"/>
  <c r="AH35" i="32"/>
  <c r="W37" i="32"/>
  <c r="AH39" i="32"/>
  <c r="AF86" i="32"/>
  <c r="AG86" i="32"/>
  <c r="V86" i="32"/>
  <c r="AF55" i="32"/>
  <c r="AG55" i="32"/>
  <c r="V55" i="32"/>
  <c r="AF45" i="32"/>
  <c r="AG45" i="32"/>
  <c r="AF8" i="32"/>
  <c r="AG8" i="32"/>
  <c r="AF7" i="32"/>
  <c r="AG7" i="32"/>
  <c r="AF31" i="32"/>
  <c r="U33" i="32"/>
  <c r="AH73" i="32"/>
  <c r="AH5" i="32"/>
  <c r="AF35" i="32"/>
  <c r="AG35" i="32"/>
  <c r="BF30" i="3"/>
  <c r="BO30" i="3"/>
  <c r="W72" i="32"/>
  <c r="W58" i="32"/>
  <c r="AF74" i="32"/>
  <c r="AG74" i="32"/>
  <c r="V74" i="32"/>
  <c r="AF12" i="32"/>
  <c r="AH86" i="32"/>
  <c r="AF29" i="32"/>
  <c r="AG29" i="32"/>
  <c r="AH43" i="32"/>
  <c r="W49" i="32"/>
  <c r="AH52" i="32"/>
  <c r="AF73" i="32"/>
  <c r="AG73" i="32"/>
  <c r="V73" i="32"/>
  <c r="AF19" i="32"/>
  <c r="AH79" i="32"/>
  <c r="AF25" i="32"/>
  <c r="AG25" i="32"/>
  <c r="AF82" i="32"/>
  <c r="AG82" i="32"/>
  <c r="V82" i="32"/>
  <c r="AF61" i="32"/>
  <c r="AG61" i="32"/>
  <c r="V61" i="32"/>
  <c r="W54" i="32"/>
  <c r="W52" i="32"/>
  <c r="W55" i="32"/>
  <c r="W66" i="32"/>
  <c r="W84" i="32"/>
  <c r="AH61" i="32"/>
  <c r="AF57" i="32"/>
  <c r="AG57" i="32"/>
  <c r="V57" i="32"/>
  <c r="AH82" i="32"/>
  <c r="AH58" i="32"/>
  <c r="AF6" i="32"/>
  <c r="AG6" i="32"/>
  <c r="AF75" i="32"/>
  <c r="AG75" i="32"/>
  <c r="V75" i="32"/>
  <c r="AF67" i="32"/>
  <c r="AG67" i="32"/>
  <c r="V67" i="32"/>
  <c r="AF81" i="32"/>
  <c r="AG81" i="32"/>
  <c r="V81" i="32"/>
  <c r="AH21" i="32"/>
  <c r="AF44" i="32"/>
  <c r="AG44" i="32"/>
  <c r="AF80" i="32"/>
  <c r="AG80" i="32"/>
  <c r="V80" i="32"/>
  <c r="AF41" i="32"/>
  <c r="AG41" i="32"/>
  <c r="AF4" i="32"/>
  <c r="AG4" i="32"/>
  <c r="AF22" i="32"/>
  <c r="AG22" i="32"/>
  <c r="AF13" i="32"/>
  <c r="AG13" i="32"/>
  <c r="AF10" i="32"/>
  <c r="AG10" i="32"/>
  <c r="AH57" i="32"/>
  <c r="AH55" i="32"/>
  <c r="AF34" i="32"/>
  <c r="AF63" i="32"/>
  <c r="AG63" i="32"/>
  <c r="V63" i="32"/>
  <c r="BL14" i="3"/>
  <c r="BF33" i="3"/>
  <c r="BO33" i="3"/>
  <c r="BE34" i="3"/>
  <c r="BE28" i="3"/>
  <c r="BL53" i="3"/>
  <c r="BL40" i="3"/>
  <c r="BF43" i="3"/>
  <c r="BO43" i="3"/>
  <c r="BF40" i="3"/>
  <c r="BO40" i="3"/>
  <c r="BF28" i="3"/>
  <c r="BO28" i="3"/>
  <c r="BF15" i="3"/>
  <c r="BO15" i="3"/>
  <c r="BF12" i="3"/>
  <c r="BO12" i="3"/>
  <c r="BE40" i="3"/>
  <c r="BF7" i="3"/>
  <c r="BO7" i="3"/>
  <c r="BF23" i="3"/>
  <c r="BO23" i="3"/>
  <c r="BE12" i="3"/>
  <c r="BF8" i="3"/>
  <c r="BO8" i="3"/>
  <c r="BF10" i="3"/>
  <c r="BO10" i="3"/>
  <c r="BE23" i="3"/>
  <c r="BE20" i="3"/>
  <c r="BL50" i="3"/>
  <c r="BE47" i="3"/>
  <c r="BE7" i="3"/>
  <c r="BE26" i="3"/>
  <c r="BE52" i="3"/>
  <c r="BF32" i="3"/>
  <c r="BO32" i="3"/>
  <c r="BL39" i="3"/>
  <c r="BL23" i="3"/>
  <c r="BF20" i="3"/>
  <c r="BO20" i="3"/>
  <c r="BL21" i="3"/>
  <c r="BF52" i="3"/>
  <c r="BO52" i="3"/>
  <c r="BF17" i="3"/>
  <c r="BO17" i="3"/>
  <c r="BF42" i="3"/>
  <c r="BO42" i="3"/>
  <c r="BE13" i="3"/>
  <c r="BL35" i="3"/>
  <c r="BE42" i="3"/>
  <c r="BE44" i="3"/>
  <c r="BL42" i="3"/>
  <c r="BE31" i="3"/>
  <c r="BF11" i="3"/>
  <c r="BO11" i="3"/>
  <c r="BL12" i="3"/>
  <c r="BF13" i="3"/>
  <c r="BO13" i="3"/>
  <c r="BF31" i="3"/>
  <c r="BO31" i="3"/>
  <c r="BE11" i="3"/>
  <c r="BF44" i="3"/>
  <c r="BO44" i="3"/>
  <c r="BF35" i="3"/>
  <c r="BO35" i="3"/>
  <c r="BE35" i="3"/>
  <c r="BF29" i="3"/>
  <c r="BO29" i="3"/>
  <c r="BE14" i="3"/>
  <c r="BF26" i="3"/>
  <c r="BO26" i="3"/>
  <c r="E2" i="47"/>
  <c r="BF6" i="3"/>
  <c r="BO6" i="3"/>
  <c r="G2" i="47"/>
  <c r="E3" i="47"/>
  <c r="F2" i="47"/>
  <c r="F3" i="47"/>
  <c r="C3" i="32"/>
  <c r="F11" i="48" a="1"/>
  <c r="F11" i="48"/>
  <c r="E12" i="48"/>
  <c r="W14" i="32"/>
  <c r="W7" i="32"/>
  <c r="U3" i="32"/>
  <c r="W32" i="32"/>
  <c r="W42" i="32"/>
  <c r="W45" i="32"/>
  <c r="U85" i="32"/>
  <c r="U59" i="32"/>
  <c r="W39" i="32"/>
  <c r="U35" i="32"/>
  <c r="U47" i="32"/>
  <c r="W17" i="32"/>
  <c r="U51" i="32"/>
  <c r="U39" i="32"/>
  <c r="U52" i="32"/>
  <c r="AG43" i="32"/>
  <c r="V49" i="32"/>
  <c r="W38" i="32"/>
  <c r="U12" i="32"/>
  <c r="W23" i="32"/>
  <c r="U42" i="32"/>
  <c r="AG11" i="32"/>
  <c r="V12" i="32"/>
  <c r="AG68" i="32"/>
  <c r="V68" i="32"/>
  <c r="U43" i="32"/>
  <c r="W18" i="32"/>
  <c r="U48" i="32"/>
  <c r="W34" i="32"/>
  <c r="U83" i="32"/>
  <c r="U26" i="32"/>
  <c r="U32" i="32"/>
  <c r="AG70" i="32"/>
  <c r="V70" i="32"/>
  <c r="W20" i="32"/>
  <c r="W6" i="32"/>
  <c r="W41" i="32"/>
  <c r="W40" i="32"/>
  <c r="W48" i="32"/>
  <c r="W16" i="32"/>
  <c r="U10" i="32"/>
  <c r="U40" i="32"/>
  <c r="W33" i="32"/>
  <c r="AG65" i="32"/>
  <c r="V65" i="32"/>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c r="AG37" i="32"/>
  <c r="U82" i="32"/>
  <c r="AG31" i="32"/>
  <c r="V33" i="32"/>
  <c r="AG50" i="32"/>
  <c r="V42" i="32"/>
  <c r="U54" i="32"/>
  <c r="U64" i="32"/>
  <c r="AG76" i="32"/>
  <c r="V76" i="32"/>
  <c r="AG46" i="32"/>
  <c r="V29" i="32"/>
  <c r="U19" i="32"/>
  <c r="U9" i="32"/>
  <c r="U77" i="32"/>
  <c r="U58" i="32"/>
  <c r="U5" i="32"/>
  <c r="U46" i="32"/>
  <c r="U84" i="32"/>
  <c r="AG53" i="32"/>
  <c r="V53" i="32"/>
  <c r="AG40" i="32"/>
  <c r="V41" i="32"/>
  <c r="DK40" i="3"/>
  <c r="U24" i="32"/>
  <c r="AG5" i="32"/>
  <c r="V3" i="32"/>
  <c r="U21" i="32"/>
  <c r="U81" i="32"/>
  <c r="AG19" i="32"/>
  <c r="V17" i="32"/>
  <c r="AG21" i="32"/>
  <c r="U67" i="32"/>
  <c r="U74" i="32"/>
  <c r="U45" i="32"/>
  <c r="H111" i="3"/>
  <c r="U60" i="32"/>
  <c r="AG26" i="32"/>
  <c r="V27" i="32"/>
  <c r="DK48" i="3"/>
  <c r="U29" i="32"/>
  <c r="H105" i="3"/>
  <c r="DK47" i="3"/>
  <c r="U78" i="32"/>
  <c r="DK49" i="3"/>
  <c r="U7" i="32"/>
  <c r="U72" i="32"/>
  <c r="H109" i="3"/>
  <c r="U63" i="32"/>
  <c r="DK38" i="3"/>
  <c r="U69" i="32"/>
  <c r="AG36" i="32"/>
  <c r="V38" i="32"/>
  <c r="U86" i="32"/>
  <c r="U31" i="32"/>
  <c r="U79" i="32"/>
  <c r="DK41" i="3"/>
  <c r="H110" i="3"/>
  <c r="DK39" i="3"/>
  <c r="U56" i="32"/>
  <c r="DK33" i="3"/>
  <c r="DK32" i="3"/>
  <c r="U55" i="32"/>
  <c r="U66" i="32"/>
  <c r="U38" i="32"/>
  <c r="U4" i="32"/>
  <c r="U62" i="32"/>
  <c r="U80" i="32"/>
  <c r="U27" i="32"/>
  <c r="V7" i="32"/>
  <c r="U50" i="32"/>
  <c r="U36" i="32"/>
  <c r="U57" i="32"/>
  <c r="U61" i="32"/>
  <c r="DK46" i="3"/>
  <c r="AG34" i="32"/>
  <c r="V32" i="32"/>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c r="BP47" i="3"/>
  <c r="BP42" i="3"/>
  <c r="BP14" i="3"/>
  <c r="BP23" i="3"/>
  <c r="BP44" i="3"/>
  <c r="BP6" i="3"/>
  <c r="BP25" i="3"/>
  <c r="BP36" i="3"/>
  <c r="BP13" i="3"/>
  <c r="BP24" i="3"/>
  <c r="BP53" i="3"/>
  <c r="BP9" i="3"/>
  <c r="BP45" i="3"/>
  <c r="BP27" i="3"/>
  <c r="BP18" i="3"/>
  <c r="BP28" i="3"/>
  <c r="BP50" i="3"/>
  <c r="V20" i="32"/>
  <c r="V44" i="32"/>
  <c r="V30" i="32"/>
  <c r="V34" i="32"/>
  <c r="V39" i="32"/>
  <c r="V36" i="32"/>
  <c r="V22" i="32"/>
  <c r="V5" i="32"/>
  <c r="H113" i="3"/>
  <c r="AK99" i="3"/>
  <c r="C133" i="32"/>
  <c r="X133" i="3"/>
  <c r="C111" i="32"/>
  <c r="Y111" i="3"/>
  <c r="C81" i="32"/>
  <c r="Y81" i="3"/>
  <c r="C68" i="32"/>
  <c r="X68" i="3"/>
  <c r="C97" i="32"/>
  <c r="Y97" i="3"/>
  <c r="C36" i="32"/>
  <c r="X36" i="3"/>
  <c r="C6" i="32"/>
  <c r="Y6" i="3"/>
  <c r="C7" i="32"/>
  <c r="Y7" i="3"/>
  <c r="C115" i="32"/>
  <c r="X115" i="3"/>
  <c r="C95" i="32"/>
  <c r="X95" i="3"/>
  <c r="C32" i="32"/>
  <c r="Y32" i="3"/>
  <c r="C31" i="32"/>
  <c r="Y31" i="3"/>
  <c r="C25" i="32"/>
  <c r="Y25" i="3"/>
  <c r="C37" i="32"/>
  <c r="Y37" i="3"/>
  <c r="C61" i="32"/>
  <c r="Y61" i="3"/>
  <c r="C38" i="32"/>
  <c r="Y38" i="3"/>
  <c r="C120" i="32"/>
  <c r="Y120" i="3"/>
  <c r="C20" i="32"/>
  <c r="X20" i="3"/>
  <c r="C55" i="32"/>
  <c r="X55" i="3"/>
  <c r="C121" i="32"/>
  <c r="Y121" i="3"/>
  <c r="C64" i="32"/>
  <c r="Y64" i="3"/>
  <c r="C9" i="32"/>
  <c r="Y9" i="3"/>
  <c r="C106" i="32"/>
  <c r="Y106" i="3"/>
  <c r="C46" i="32"/>
  <c r="Y46" i="3"/>
  <c r="C109" i="32"/>
  <c r="Y109" i="3"/>
  <c r="C40" i="32"/>
  <c r="X40" i="3"/>
  <c r="C22" i="32"/>
  <c r="Y22" i="3"/>
  <c r="C80" i="32"/>
  <c r="Y80" i="3"/>
  <c r="C71" i="32"/>
  <c r="X71" i="3"/>
  <c r="C14" i="32"/>
  <c r="Y14" i="3"/>
  <c r="C127" i="32"/>
  <c r="X127" i="3"/>
  <c r="C84" i="32"/>
  <c r="X84" i="3"/>
  <c r="C54" i="32"/>
  <c r="Y54" i="3"/>
  <c r="C72" i="32"/>
  <c r="X72" i="3"/>
  <c r="C57" i="32"/>
  <c r="Y57" i="3"/>
  <c r="C15" i="32"/>
  <c r="Y15" i="3"/>
  <c r="C45" i="32"/>
  <c r="Y45" i="3"/>
  <c r="C39" i="32"/>
  <c r="Y39" i="3"/>
  <c r="C122" i="32"/>
  <c r="Y122" i="3"/>
  <c r="C108" i="32"/>
  <c r="Y108" i="3"/>
  <c r="C113" i="32"/>
  <c r="X113" i="3"/>
  <c r="C79" i="32"/>
  <c r="Y79" i="3"/>
  <c r="C107" i="32"/>
  <c r="Y107" i="3"/>
  <c r="C78" i="32"/>
  <c r="X78" i="3"/>
  <c r="C85" i="32"/>
  <c r="X85" i="3"/>
  <c r="C30" i="32"/>
  <c r="Y30" i="3"/>
  <c r="C86" i="32"/>
  <c r="Y86" i="3"/>
  <c r="C87" i="32"/>
  <c r="X87" i="3"/>
  <c r="C13" i="32"/>
  <c r="Y13" i="3"/>
  <c r="C70" i="32"/>
  <c r="Y70" i="3"/>
  <c r="C23" i="32"/>
  <c r="X23" i="3"/>
  <c r="C94" i="32"/>
  <c r="X94" i="3"/>
  <c r="C8" i="32"/>
  <c r="Y8" i="3"/>
  <c r="C12" i="32"/>
  <c r="Y12" i="3"/>
  <c r="C123" i="32"/>
  <c r="Y123" i="3"/>
  <c r="C93" i="32"/>
  <c r="Y93" i="3"/>
  <c r="C29" i="32"/>
  <c r="X29" i="3"/>
  <c r="C76" i="32"/>
  <c r="X76" i="3"/>
  <c r="C69" i="32"/>
  <c r="Y69" i="3"/>
  <c r="C28" i="32"/>
  <c r="Y28" i="3"/>
  <c r="C4" i="32"/>
  <c r="Y4" i="3"/>
  <c r="C143" i="32"/>
  <c r="X143" i="3"/>
  <c r="C24" i="32"/>
  <c r="Y24" i="3"/>
  <c r="C47" i="32"/>
  <c r="X47" i="3"/>
  <c r="C139" i="32"/>
  <c r="Y139" i="3"/>
  <c r="C60" i="32"/>
  <c r="X60" i="3"/>
  <c r="C88" i="32"/>
  <c r="X88" i="3"/>
  <c r="C116" i="32"/>
  <c r="X116" i="3"/>
  <c r="C126" i="32"/>
  <c r="X126" i="3"/>
  <c r="C134" i="32"/>
  <c r="Y134" i="3"/>
  <c r="C44" i="32"/>
  <c r="Y44" i="3"/>
  <c r="C16" i="32"/>
  <c r="X16" i="3"/>
  <c r="C65" i="32"/>
  <c r="X65" i="3"/>
  <c r="C89" i="32"/>
  <c r="Y89" i="3"/>
  <c r="C110" i="32"/>
  <c r="X110" i="3"/>
  <c r="C53" i="32"/>
  <c r="X53" i="3"/>
  <c r="C62" i="32"/>
  <c r="X62" i="3"/>
  <c r="C63" i="32"/>
  <c r="X63" i="3"/>
  <c r="C92" i="32"/>
  <c r="Y92" i="3"/>
  <c r="C147" i="32"/>
  <c r="X147" i="3"/>
  <c r="C101" i="32"/>
  <c r="X101" i="3"/>
  <c r="C131" i="32"/>
  <c r="Y131" i="3"/>
  <c r="C17" i="32"/>
  <c r="Y17" i="3"/>
  <c r="C102" i="32"/>
  <c r="X102" i="3"/>
  <c r="C33" i="32"/>
  <c r="Y33" i="3"/>
  <c r="C138" i="32"/>
  <c r="Y138" i="3"/>
  <c r="C49" i="32"/>
  <c r="X49" i="3"/>
  <c r="C103" i="32"/>
  <c r="X103" i="3"/>
  <c r="C104" i="32"/>
  <c r="X104" i="3"/>
  <c r="C132" i="32"/>
  <c r="X132" i="3"/>
  <c r="C96" i="32"/>
  <c r="Y96" i="3"/>
  <c r="C112" i="32"/>
  <c r="X112" i="3"/>
  <c r="C105" i="32"/>
  <c r="X105" i="3"/>
  <c r="C114" i="32"/>
  <c r="Y114" i="3"/>
  <c r="C73" i="32"/>
  <c r="X73" i="3"/>
  <c r="C124" i="32"/>
  <c r="Y124" i="3"/>
  <c r="C125" i="32"/>
  <c r="X125" i="3"/>
  <c r="C5" i="32"/>
  <c r="Y5" i="3"/>
  <c r="C48" i="32"/>
  <c r="X48" i="3"/>
  <c r="C41" i="32"/>
  <c r="X41" i="3"/>
  <c r="C52" i="32"/>
  <c r="X52" i="3"/>
  <c r="C56" i="32"/>
  <c r="Y56" i="3"/>
  <c r="C21" i="32"/>
  <c r="X21" i="3"/>
  <c r="C77" i="32"/>
  <c r="X77" i="3"/>
  <c r="BQ31" i="3"/>
  <c r="BR31" i="3"/>
  <c r="BQ16" i="3"/>
  <c r="BR16" i="3"/>
  <c r="BQ30" i="3"/>
  <c r="BR30" i="3"/>
  <c r="BQ24" i="3"/>
  <c r="BR24" i="3"/>
  <c r="BQ37" i="3"/>
  <c r="BR37" i="3"/>
  <c r="BQ13" i="3"/>
  <c r="BR13" i="3"/>
  <c r="BQ36" i="3"/>
  <c r="BR36" i="3"/>
  <c r="BQ23" i="3"/>
  <c r="BR23" i="3"/>
  <c r="BQ22" i="3"/>
  <c r="BQ38" i="3"/>
  <c r="BR38" i="3"/>
  <c r="BQ17" i="3"/>
  <c r="BR17" i="3"/>
  <c r="BQ7" i="3"/>
  <c r="BR7" i="3"/>
  <c r="BQ41" i="3"/>
  <c r="BR41" i="3"/>
  <c r="BQ21" i="3"/>
  <c r="BR21" i="3"/>
  <c r="BQ40" i="3"/>
  <c r="BR40" i="3"/>
  <c r="BQ28" i="3"/>
  <c r="BR28" i="3"/>
  <c r="BQ34" i="3"/>
  <c r="BR34" i="3"/>
  <c r="BQ18" i="3"/>
  <c r="BR18" i="3"/>
  <c r="BQ45" i="3"/>
  <c r="BR45" i="3"/>
  <c r="BQ14" i="3"/>
  <c r="BR14" i="3"/>
  <c r="BQ11" i="3"/>
  <c r="BR11" i="3"/>
  <c r="BQ35" i="3"/>
  <c r="BR35" i="3"/>
  <c r="BQ39" i="3"/>
  <c r="BR39" i="3"/>
  <c r="BQ46" i="3"/>
  <c r="BR46" i="3"/>
  <c r="BQ53" i="3"/>
  <c r="BR53" i="3"/>
  <c r="BQ20" i="3"/>
  <c r="BR20" i="3"/>
  <c r="BQ9" i="3"/>
  <c r="BR9" i="3"/>
  <c r="BQ42" i="3"/>
  <c r="BR42" i="3"/>
  <c r="BQ47" i="3"/>
  <c r="BR47" i="3"/>
  <c r="BQ52" i="3"/>
  <c r="BR52" i="3"/>
  <c r="BQ12" i="3"/>
  <c r="BR12" i="3"/>
  <c r="BQ15" i="3"/>
  <c r="BR15" i="3"/>
  <c r="BQ29" i="3"/>
  <c r="BR29" i="3"/>
  <c r="BQ25" i="3"/>
  <c r="BR25" i="3"/>
  <c r="BQ19" i="3"/>
  <c r="BR19" i="3"/>
  <c r="BQ10" i="3"/>
  <c r="BR10" i="3"/>
  <c r="BQ43" i="3"/>
  <c r="BR43" i="3"/>
  <c r="BQ26" i="3"/>
  <c r="BR26" i="3"/>
  <c r="BQ32" i="3"/>
  <c r="BR32" i="3"/>
  <c r="BQ50" i="3"/>
  <c r="BR50" i="3"/>
  <c r="E14" i="48"/>
  <c r="F13" i="48" a="1"/>
  <c r="F13" i="48"/>
  <c r="BQ8" i="3"/>
  <c r="BR8" i="3"/>
  <c r="BQ6" i="3"/>
  <c r="BR6" i="3"/>
  <c r="BQ44" i="3"/>
  <c r="BR44" i="3"/>
  <c r="BQ48" i="3"/>
  <c r="BR48" i="3"/>
  <c r="BQ27" i="3"/>
  <c r="BR27" i="3"/>
  <c r="BQ33" i="3"/>
  <c r="BR33" i="3"/>
  <c r="BQ49" i="3"/>
  <c r="BR49" i="3"/>
  <c r="BQ51" i="3"/>
  <c r="Y68" i="3"/>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c r="Y104" i="3"/>
  <c r="Y147" i="3"/>
  <c r="Y115" i="3"/>
  <c r="Y113" i="3"/>
  <c r="X54" i="3"/>
  <c r="Y84" i="3"/>
  <c r="X13" i="3"/>
  <c r="X139" i="3"/>
  <c r="Y103" i="3"/>
  <c r="Y16" i="3"/>
  <c r="Y101" i="3"/>
  <c r="X124" i="3"/>
  <c r="Y65" i="3"/>
  <c r="X120" i="3"/>
  <c r="X109" i="3"/>
  <c r="Y47" i="3"/>
  <c r="Y125" i="3"/>
  <c r="X7" i="3"/>
  <c r="Y49" i="3"/>
  <c r="Y116" i="3"/>
  <c r="Y132" i="3"/>
  <c r="X28" i="3"/>
  <c r="Y52" i="3"/>
  <c r="X33" i="3"/>
  <c r="H61" i="46"/>
  <c r="E42" i="30"/>
  <c r="Y48" i="3"/>
  <c r="Y53" i="3"/>
  <c r="Y88" i="3"/>
  <c r="X5" i="3"/>
  <c r="Y126" i="3"/>
  <c r="Y112" i="3"/>
  <c r="X4" i="3"/>
  <c r="H6" i="46"/>
  <c r="Y105" i="3"/>
  <c r="Y102" i="3"/>
  <c r="Y41" i="3"/>
  <c r="Y62" i="3"/>
  <c r="X89" i="3"/>
  <c r="F14" i="48" a="1"/>
  <c r="F14" i="48"/>
  <c r="E15" i="48"/>
  <c r="BR22" i="3"/>
  <c r="BR51" i="3"/>
  <c r="G19" i="30"/>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c r="H67" i="46"/>
  <c r="H75" i="46"/>
  <c r="H73" i="46"/>
  <c r="H58" i="46"/>
  <c r="H91" i="46"/>
  <c r="H49" i="46"/>
  <c r="H22" i="46"/>
  <c r="H44" i="46"/>
  <c r="H32" i="46"/>
  <c r="H26" i="46"/>
  <c r="H68" i="46"/>
  <c r="H31" i="46"/>
  <c r="H37" i="46"/>
  <c r="H36" i="46"/>
  <c r="H48" i="46"/>
  <c r="H18" i="46"/>
  <c r="H52" i="46"/>
  <c r="H51" i="46"/>
  <c r="H59" i="46"/>
  <c r="H34" i="46"/>
  <c r="H33" i="46"/>
  <c r="H38" i="46"/>
  <c r="H43" i="46"/>
  <c r="H19" i="46"/>
  <c r="H66" i="46"/>
  <c r="H65" i="46"/>
  <c r="H41" i="46"/>
  <c r="H10" i="46"/>
  <c r="H60" i="46"/>
  <c r="H95" i="46"/>
  <c r="H76" i="46"/>
  <c r="H127" i="46"/>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c r="BS10" i="3"/>
  <c r="BS46" i="3"/>
  <c r="BS13" i="3"/>
  <c r="BS53" i="3"/>
  <c r="BS7" i="3"/>
  <c r="BS25" i="3"/>
  <c r="BS33" i="3"/>
  <c r="BS49" i="3"/>
  <c r="BS15" i="3"/>
  <c r="BS31" i="3"/>
  <c r="BS19" i="3"/>
  <c r="BS43" i="3"/>
  <c r="BS9" i="3"/>
  <c r="BS41" i="3"/>
  <c r="H116" i="46"/>
  <c r="H117" i="46"/>
  <c r="H118" i="46"/>
  <c r="H89" i="46"/>
  <c r="Q2" i="6" a="1"/>
  <c r="Q2" i="6"/>
  <c r="G6" i="46"/>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c r="BT38" i="3"/>
  <c r="BT15" i="3"/>
  <c r="E17" i="48"/>
  <c r="F16" i="48" a="1"/>
  <c r="F16" i="48"/>
  <c r="BT44" i="3"/>
  <c r="Q3" i="6" a="1"/>
  <c r="Q3" i="6"/>
  <c r="E9" i="3"/>
  <c r="E79" i="3"/>
  <c r="E5" i="3"/>
  <c r="F7" i="3"/>
  <c r="F9" i="3"/>
  <c r="E4" i="3"/>
  <c r="E7" i="3"/>
  <c r="F8" i="3"/>
  <c r="F4" i="3"/>
  <c r="F6" i="3"/>
  <c r="F5" i="3"/>
  <c r="BU8"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c r="E52" i="3"/>
  <c r="F57" i="3"/>
  <c r="E54" i="3"/>
  <c r="F28" i="3"/>
  <c r="F31" i="3"/>
  <c r="E33" i="3"/>
  <c r="F64" i="3"/>
  <c r="BU35" i="3"/>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c r="BV43" i="3"/>
  <c r="F79" i="3"/>
  <c r="E80" i="3"/>
  <c r="F76" i="3"/>
  <c r="BV42" i="3"/>
  <c r="E76" i="3"/>
  <c r="F81" i="3"/>
  <c r="E78" i="3"/>
  <c r="E85" i="3"/>
  <c r="F89" i="3"/>
  <c r="F86" i="3"/>
  <c r="BV31" i="3"/>
  <c r="BU39" i="3"/>
  <c r="BW44" i="3"/>
  <c r="G7" i="46"/>
  <c r="Q4" i="6" a="1"/>
  <c r="Q4" i="6"/>
  <c r="G8" i="46"/>
  <c r="BV8" i="3"/>
  <c r="BX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c r="BU37" i="3"/>
  <c r="BU40" i="3"/>
  <c r="BV19" i="3"/>
  <c r="BU13" i="3"/>
  <c r="BV32" i="3"/>
  <c r="BW29" i="3"/>
  <c r="BW46" i="3"/>
  <c r="BW14" i="3"/>
  <c r="BV33" i="3"/>
  <c r="BW35" i="3"/>
  <c r="BW13" i="3"/>
  <c r="BU42" i="3"/>
  <c r="BX42" i="3"/>
  <c r="BU50" i="3"/>
  <c r="BX50" i="3"/>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c r="BU16" i="3"/>
  <c r="BV25" i="3"/>
  <c r="BV26" i="3"/>
  <c r="BV24" i="3"/>
  <c r="BW21" i="3"/>
  <c r="BV34" i="3"/>
  <c r="BV27" i="3"/>
  <c r="BV36" i="3"/>
  <c r="BV23" i="3"/>
  <c r="BU46" i="3"/>
  <c r="BV22" i="3"/>
  <c r="BV38" i="3"/>
  <c r="BV40" i="3"/>
  <c r="BV41" i="3"/>
  <c r="BV39" i="3"/>
  <c r="F18" i="48" a="1"/>
  <c r="F18" i="48"/>
  <c r="E19" i="48"/>
  <c r="BX23" i="3"/>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c r="G11" i="46"/>
  <c r="BX33" i="3"/>
  <c r="BX17" i="3"/>
  <c r="BX34" i="3"/>
  <c r="BX49" i="3"/>
  <c r="BX16" i="3"/>
  <c r="BX6" i="3"/>
  <c r="BX18" i="3"/>
  <c r="BX12" i="3"/>
  <c r="BX29" i="3"/>
  <c r="BX10" i="3"/>
  <c r="E20" i="48"/>
  <c r="F19" i="48" a="1"/>
  <c r="F19" i="48"/>
  <c r="BY52" i="3"/>
  <c r="BY37" i="3"/>
  <c r="BY48" i="3"/>
  <c r="BY19" i="3"/>
  <c r="BY21" i="3"/>
  <c r="BY32" i="3"/>
  <c r="BY34" i="3"/>
  <c r="BY26" i="3"/>
  <c r="BY25" i="3"/>
  <c r="BY16" i="3"/>
  <c r="BY36" i="3"/>
  <c r="BY17" i="3"/>
  <c r="BY40" i="3"/>
  <c r="BY46" i="3"/>
  <c r="BY28" i="3"/>
  <c r="BY43" i="3"/>
  <c r="G10" i="46"/>
  <c r="G13" i="46"/>
  <c r="Q6" i="6" a="1"/>
  <c r="Q6" i="6"/>
  <c r="G20" i="46"/>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c r="E21" i="48"/>
  <c r="BZ34" i="3"/>
  <c r="H60" i="3"/>
  <c r="Q7" i="6" a="1"/>
  <c r="Q7" i="6"/>
  <c r="Q8" i="6" a="1"/>
  <c r="Q8" i="6"/>
  <c r="BZ42" i="3"/>
  <c r="H76" i="3"/>
  <c r="BZ49" i="3"/>
  <c r="H87" i="3"/>
  <c r="BZ51" i="3"/>
  <c r="H97" i="3"/>
  <c r="G16" i="46"/>
  <c r="BZ30" i="3"/>
  <c r="I57" i="3"/>
  <c r="G18" i="46"/>
  <c r="BZ11" i="3"/>
  <c r="I12" i="3"/>
  <c r="BZ21" i="3"/>
  <c r="H31" i="3"/>
  <c r="BZ16" i="3"/>
  <c r="I25" i="3"/>
  <c r="BZ37" i="3"/>
  <c r="H65" i="3"/>
  <c r="BZ35" i="3"/>
  <c r="H64" i="3"/>
  <c r="BZ33" i="3"/>
  <c r="H55" i="3"/>
  <c r="BZ19" i="3"/>
  <c r="I31" i="3"/>
  <c r="BZ24" i="3"/>
  <c r="H37" i="3"/>
  <c r="G15" i="46"/>
  <c r="G17" i="46"/>
  <c r="BZ20" i="3"/>
  <c r="I30" i="3"/>
  <c r="BZ46" i="3"/>
  <c r="H84" i="3"/>
  <c r="BZ7" i="3"/>
  <c r="I6" i="3"/>
  <c r="BZ36" i="3"/>
  <c r="H61" i="3"/>
  <c r="BZ14" i="3"/>
  <c r="H23" i="3"/>
  <c r="BZ43" i="3"/>
  <c r="I79" i="3"/>
  <c r="BZ47" i="3"/>
  <c r="H89" i="3"/>
  <c r="BZ8" i="3"/>
  <c r="I7" i="3"/>
  <c r="BZ50" i="3"/>
  <c r="H92" i="3"/>
  <c r="BZ45" i="3"/>
  <c r="H81" i="3"/>
  <c r="BZ40" i="3"/>
  <c r="I73" i="3"/>
  <c r="BZ22" i="3"/>
  <c r="H36" i="3"/>
  <c r="BZ13" i="3"/>
  <c r="H16" i="3"/>
  <c r="BZ39" i="3"/>
  <c r="H73" i="3"/>
  <c r="BZ29" i="3"/>
  <c r="I45" i="3"/>
  <c r="BZ28" i="3"/>
  <c r="I48" i="3"/>
  <c r="BZ9" i="3"/>
  <c r="H8" i="3"/>
  <c r="BZ44" i="3"/>
  <c r="I80" i="3"/>
  <c r="BZ10" i="3"/>
  <c r="I16" i="3"/>
  <c r="BZ31" i="3"/>
  <c r="I55" i="3"/>
  <c r="BZ27" i="3"/>
  <c r="I44" i="3"/>
  <c r="BZ6" i="3"/>
  <c r="H4" i="3"/>
  <c r="BZ26" i="3"/>
  <c r="H44" i="3"/>
  <c r="BZ12" i="3"/>
  <c r="H13" i="3"/>
  <c r="BZ15" i="3"/>
  <c r="H25" i="3"/>
  <c r="BZ48" i="3"/>
  <c r="I89" i="3"/>
  <c r="BZ41" i="3"/>
  <c r="H72" i="3"/>
  <c r="BZ23" i="3"/>
  <c r="I36" i="3"/>
  <c r="BZ53" i="3"/>
  <c r="H95" i="3"/>
  <c r="BZ32" i="3"/>
  <c r="I54" i="3"/>
  <c r="BZ17" i="3"/>
  <c r="I21" i="3"/>
  <c r="BZ25" i="3"/>
  <c r="H39" i="3"/>
  <c r="BZ52" i="3"/>
  <c r="I94" i="3"/>
  <c r="BZ18" i="3"/>
  <c r="H30" i="3"/>
  <c r="BZ38" i="3"/>
  <c r="I72" i="3"/>
  <c r="E22" i="48"/>
  <c r="F21" i="48" a="1"/>
  <c r="F21" i="48"/>
  <c r="I23" i="3"/>
  <c r="I87" i="3"/>
  <c r="H62" i="3"/>
  <c r="I84" i="3"/>
  <c r="I65" i="3"/>
  <c r="H88" i="3"/>
  <c r="I85" i="3"/>
  <c r="CB48" i="3"/>
  <c r="H63" i="3"/>
  <c r="I61" i="3"/>
  <c r="H49" i="3"/>
  <c r="H47" i="3"/>
  <c r="CB27" i="3"/>
  <c r="I81" i="3"/>
  <c r="H78" i="3"/>
  <c r="H21" i="3"/>
  <c r="I33" i="3"/>
  <c r="I14" i="3"/>
  <c r="CB13" i="3"/>
  <c r="I88" i="3"/>
  <c r="H94" i="3"/>
  <c r="I60" i="3"/>
  <c r="H86" i="3"/>
  <c r="H32" i="3"/>
  <c r="I77" i="3"/>
  <c r="H45" i="3"/>
  <c r="I17" i="3"/>
  <c r="H24" i="3"/>
  <c r="I29" i="3"/>
  <c r="H22" i="3"/>
  <c r="H46" i="3"/>
  <c r="H77" i="3"/>
  <c r="H15" i="3"/>
  <c r="I4" i="3"/>
  <c r="CA6" i="3"/>
  <c r="I15" i="3"/>
  <c r="I95" i="3"/>
  <c r="I92" i="3"/>
  <c r="I62" i="3"/>
  <c r="I64" i="3"/>
  <c r="I63" i="3"/>
  <c r="I52" i="3"/>
  <c r="H57" i="3"/>
  <c r="I53" i="3"/>
  <c r="H38" i="3"/>
  <c r="I32" i="3"/>
  <c r="H56" i="3"/>
  <c r="I22" i="3"/>
  <c r="I41" i="3"/>
  <c r="I78" i="3"/>
  <c r="H40" i="3"/>
  <c r="I39" i="3"/>
  <c r="H33" i="3"/>
  <c r="H12" i="3"/>
  <c r="H70" i="3"/>
  <c r="H79" i="3"/>
  <c r="CB43" i="3"/>
  <c r="I24" i="3"/>
  <c r="H20" i="3"/>
  <c r="I56" i="3"/>
  <c r="H28" i="3"/>
  <c r="I93" i="3"/>
  <c r="H52" i="3"/>
  <c r="I28" i="3"/>
  <c r="H54" i="3"/>
  <c r="I40" i="3"/>
  <c r="CB23" i="3"/>
  <c r="I71" i="3"/>
  <c r="I76" i="3"/>
  <c r="H96" i="3"/>
  <c r="I68" i="3"/>
  <c r="H80" i="3"/>
  <c r="H5" i="3"/>
  <c r="I49" i="3"/>
  <c r="H85" i="3"/>
  <c r="CB49" i="3"/>
  <c r="I70" i="3"/>
  <c r="I8" i="3"/>
  <c r="I46" i="3"/>
  <c r="I37" i="3"/>
  <c r="I86" i="3"/>
  <c r="H69" i="3"/>
  <c r="H7" i="3"/>
  <c r="H41" i="3"/>
  <c r="I9" i="3"/>
  <c r="H71" i="3"/>
  <c r="I13" i="3"/>
  <c r="I38" i="3"/>
  <c r="I47" i="3"/>
  <c r="H14" i="3"/>
  <c r="H53" i="3"/>
  <c r="CB33" i="3"/>
  <c r="H48" i="3"/>
  <c r="H17" i="3"/>
  <c r="Q9" i="6" a="1"/>
  <c r="Q9" i="6"/>
  <c r="G19" i="46"/>
  <c r="I97" i="3"/>
  <c r="CB51" i="3"/>
  <c r="H68" i="3"/>
  <c r="I20" i="3"/>
  <c r="I96" i="3"/>
  <c r="H29" i="3"/>
  <c r="H93" i="3"/>
  <c r="H6" i="3"/>
  <c r="H9" i="3"/>
  <c r="I5" i="3"/>
  <c r="I69" i="3"/>
  <c r="CA16" i="3"/>
  <c r="CB16" i="3"/>
  <c r="CA47" i="3"/>
  <c r="CB46" i="3"/>
  <c r="CB47" i="3"/>
  <c r="E23" i="48"/>
  <c r="F22" i="48" a="1"/>
  <c r="F22" i="48"/>
  <c r="CA19" i="3"/>
  <c r="CA52" i="3"/>
  <c r="CB42" i="3"/>
  <c r="CB36" i="3"/>
  <c r="CA50" i="3"/>
  <c r="CB45" i="3"/>
  <c r="CB31" i="3"/>
  <c r="CA34" i="3"/>
  <c r="CA36" i="3"/>
  <c r="CA27" i="3"/>
  <c r="CC27" i="3"/>
  <c r="CB37" i="3"/>
  <c r="CA45" i="3"/>
  <c r="CA43" i="3"/>
  <c r="CC43" i="3"/>
  <c r="CB26" i="3"/>
  <c r="CB9" i="3"/>
  <c r="CA42" i="3"/>
  <c r="CC42" i="3"/>
  <c r="CB44" i="3"/>
  <c r="CA18" i="3"/>
  <c r="CB20" i="3"/>
  <c r="CB18" i="3"/>
  <c r="CA53" i="3"/>
  <c r="CB12" i="3"/>
  <c r="CA44" i="3"/>
  <c r="CA31" i="3"/>
  <c r="CA12" i="3"/>
  <c r="CA20" i="3"/>
  <c r="CA11" i="3"/>
  <c r="CB53" i="3"/>
  <c r="CA46" i="3"/>
  <c r="CC46" i="3"/>
  <c r="CA14" i="3"/>
  <c r="CB14" i="3"/>
  <c r="CA15" i="3"/>
  <c r="CB17" i="3"/>
  <c r="CB15" i="3"/>
  <c r="CA17" i="3"/>
  <c r="CB6" i="3"/>
  <c r="CC6" i="3"/>
  <c r="CB39" i="3"/>
  <c r="CB50" i="3"/>
  <c r="CA48" i="3"/>
  <c r="CC48" i="3"/>
  <c r="CA49" i="3"/>
  <c r="CC49" i="3"/>
  <c r="CB35" i="3"/>
  <c r="CA30" i="3"/>
  <c r="CB11" i="3"/>
  <c r="CA13" i="3"/>
  <c r="CC13" i="3"/>
  <c r="CB10" i="3"/>
  <c r="CA10" i="3"/>
  <c r="CA9" i="3"/>
  <c r="CB34" i="3"/>
  <c r="CA8" i="3"/>
  <c r="CA28" i="3"/>
  <c r="CA29" i="3"/>
  <c r="CA40" i="3"/>
  <c r="CB8" i="3"/>
  <c r="CA35" i="3"/>
  <c r="CB28" i="3"/>
  <c r="CA21" i="3"/>
  <c r="CB29" i="3"/>
  <c r="CA7" i="3"/>
  <c r="CB7" i="3"/>
  <c r="CB30" i="3"/>
  <c r="CB24" i="3"/>
  <c r="CB21" i="3"/>
  <c r="CA51" i="3"/>
  <c r="CC51" i="3"/>
  <c r="CB22" i="3"/>
  <c r="CB52" i="3"/>
  <c r="CB32" i="3"/>
  <c r="CA33" i="3"/>
  <c r="CC33" i="3"/>
  <c r="CA32" i="3"/>
  <c r="CA37" i="3"/>
  <c r="CB38" i="3"/>
  <c r="CA24" i="3"/>
  <c r="CA26" i="3"/>
  <c r="CA25" i="3"/>
  <c r="CB19" i="3"/>
  <c r="CB25" i="3"/>
  <c r="CA23" i="3"/>
  <c r="CC23" i="3"/>
  <c r="CA38" i="3"/>
  <c r="CA41" i="3"/>
  <c r="CA22" i="3"/>
  <c r="CA39" i="3"/>
  <c r="CB41" i="3"/>
  <c r="CB40" i="3"/>
  <c r="Q10" i="6" a="1"/>
  <c r="Q10" i="6"/>
  <c r="Q11" i="6" a="1"/>
  <c r="Q11" i="6"/>
  <c r="Q12" i="6" a="1"/>
  <c r="Q12" i="6"/>
  <c r="CC16" i="3"/>
  <c r="CC47" i="3"/>
  <c r="E24" i="48"/>
  <c r="F23" i="48" a="1"/>
  <c r="F23" i="48"/>
  <c r="CC19" i="3"/>
  <c r="CC52" i="3"/>
  <c r="CC36" i="3"/>
  <c r="CC45" i="3"/>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c r="Q14" i="6" a="1"/>
  <c r="Q14" i="6"/>
  <c r="Q15" i="6" a="1"/>
  <c r="Q15" i="6"/>
  <c r="Q16" i="6" a="1"/>
  <c r="Q16" i="6"/>
  <c r="Q17" i="6" a="1"/>
  <c r="Q17" i="6"/>
  <c r="Q18" i="6" a="1"/>
  <c r="Q18" i="6"/>
  <c r="Q19" i="6" a="1"/>
  <c r="Q19" i="6"/>
  <c r="F24" i="48" a="1"/>
  <c r="F24" i="48"/>
  <c r="E25" i="48"/>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c r="Q50" i="6" a="1"/>
  <c r="Q50" i="6"/>
  <c r="Q40" i="6" a="1"/>
  <c r="Q40" i="6"/>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c r="Q58" i="6" a="1"/>
  <c r="Q58" i="6"/>
  <c r="Q45" i="6" a="1"/>
  <c r="Q45" i="6"/>
  <c r="Q60" i="6" a="1"/>
  <c r="Q60" i="6"/>
  <c r="Q64" i="6" a="1"/>
  <c r="Q64" i="6"/>
  <c r="Q48" i="6" a="1"/>
  <c r="Q48" i="6"/>
  <c r="Q42" i="6" a="1"/>
  <c r="Q42" i="6"/>
  <c r="Q52" i="6" a="1"/>
  <c r="Q52" i="6"/>
  <c r="Q62" i="6" a="1"/>
  <c r="Q62" i="6"/>
  <c r="Q41" i="6" a="1"/>
  <c r="Q41" i="6"/>
  <c r="Q61" i="6" a="1"/>
  <c r="Q61" i="6"/>
  <c r="E26" i="48"/>
  <c r="F25" i="48" a="1"/>
  <c r="F25" i="48"/>
  <c r="Q49" i="6" a="1"/>
  <c r="Q49" i="6"/>
  <c r="Q53" i="6" a="1"/>
  <c r="Q53" i="6"/>
  <c r="Q55" i="6" a="1"/>
  <c r="Q55" i="6"/>
  <c r="Q57" i="6" a="1"/>
  <c r="Q57" i="6"/>
  <c r="Q59" i="6" a="1"/>
  <c r="Q59" i="6"/>
  <c r="Q56" i="6" a="1"/>
  <c r="Q56" i="6"/>
  <c r="Q44" i="6" a="1"/>
  <c r="Q44" i="6"/>
  <c r="Q54" i="6" a="1"/>
  <c r="Q54" i="6"/>
  <c r="Q51" i="6" a="1"/>
  <c r="Q51" i="6"/>
  <c r="Q46" i="6" a="1"/>
  <c r="Q46" i="6"/>
  <c r="Q43" i="6" a="1"/>
  <c r="Q43" i="6"/>
  <c r="R40" i="6" a="1"/>
  <c r="R40" i="6"/>
  <c r="D21" i="48" a="1"/>
  <c r="D21" i="48"/>
  <c r="D25" i="48" a="1"/>
  <c r="D25" i="48"/>
  <c r="D29" i="48" a="1"/>
  <c r="D29" i="48"/>
  <c r="D33" i="48" a="1"/>
  <c r="D33" i="48"/>
  <c r="D22" i="48" a="1"/>
  <c r="D22" i="48"/>
  <c r="D26" i="48" a="1"/>
  <c r="D26" i="48"/>
  <c r="D30" i="48" a="1"/>
  <c r="D30" i="48"/>
  <c r="D34" i="48" a="1"/>
  <c r="D34" i="48"/>
  <c r="D23" i="48" a="1"/>
  <c r="D23" i="48"/>
  <c r="D27" i="48" a="1"/>
  <c r="D27" i="48"/>
  <c r="D31" i="48" a="1"/>
  <c r="D31" i="48"/>
  <c r="D35" i="48" a="1"/>
  <c r="D35" i="48"/>
  <c r="D20" i="48" a="1"/>
  <c r="D20" i="48"/>
  <c r="D24" i="48" a="1"/>
  <c r="D24" i="48"/>
  <c r="D28" i="48" a="1"/>
  <c r="D28" i="48"/>
  <c r="D32" i="48" a="1"/>
  <c r="D32" i="48"/>
  <c r="CE34" i="3"/>
  <c r="L65" i="3"/>
  <c r="CE42" i="3"/>
  <c r="L81" i="3"/>
  <c r="CE24" i="3"/>
  <c r="L38" i="3"/>
  <c r="CE14" i="3"/>
  <c r="K23" i="3"/>
  <c r="CE51" i="3"/>
  <c r="K97" i="3"/>
  <c r="CE45" i="3"/>
  <c r="K79" i="3"/>
  <c r="CE48" i="3"/>
  <c r="L89" i="3"/>
  <c r="CE18" i="3"/>
  <c r="K30" i="3"/>
  <c r="CE6" i="3"/>
  <c r="K4" i="3"/>
  <c r="CE47" i="3"/>
  <c r="L87" i="3"/>
  <c r="CE32" i="3"/>
  <c r="L56" i="3"/>
  <c r="CE43" i="3"/>
  <c r="L79" i="3"/>
  <c r="CE25" i="3"/>
  <c r="L37" i="3"/>
  <c r="CE8" i="3"/>
  <c r="L9" i="3"/>
  <c r="CE16" i="3"/>
  <c r="K21" i="3"/>
  <c r="CE38" i="3"/>
  <c r="K70" i="3"/>
  <c r="CE13" i="3"/>
  <c r="K14" i="3"/>
  <c r="CE53" i="3"/>
  <c r="L93" i="3"/>
  <c r="CE27" i="3"/>
  <c r="L44" i="3"/>
  <c r="CE46" i="3"/>
  <c r="K84" i="3"/>
  <c r="CE20" i="3"/>
  <c r="L33" i="3"/>
  <c r="CE10" i="3"/>
  <c r="K15" i="3"/>
  <c r="CE37" i="3"/>
  <c r="L61" i="3"/>
  <c r="CE31" i="3"/>
  <c r="L52" i="3"/>
  <c r="CE9" i="3"/>
  <c r="L5" i="3"/>
  <c r="CE44" i="3"/>
  <c r="K77" i="3"/>
  <c r="CE7" i="3"/>
  <c r="K9" i="3"/>
  <c r="CE52" i="3"/>
  <c r="L97" i="3"/>
  <c r="CE29" i="3"/>
  <c r="K49" i="3"/>
  <c r="CE11" i="3"/>
  <c r="L14" i="3"/>
  <c r="CE26" i="3"/>
  <c r="K44" i="3"/>
  <c r="CE22" i="3"/>
  <c r="K36" i="3"/>
  <c r="CE23" i="3"/>
  <c r="L36" i="3"/>
  <c r="CE50" i="3"/>
  <c r="K92" i="3"/>
  <c r="CE36" i="3"/>
  <c r="L62" i="3"/>
  <c r="CE28" i="3"/>
  <c r="K45" i="3"/>
  <c r="CE12" i="3"/>
  <c r="K13" i="3"/>
  <c r="CE33" i="3"/>
  <c r="L53" i="3"/>
  <c r="CE15" i="3"/>
  <c r="K25" i="3"/>
  <c r="CE40" i="3"/>
  <c r="L73" i="3"/>
  <c r="CE21" i="3"/>
  <c r="K31" i="3"/>
  <c r="CE41" i="3"/>
  <c r="L69" i="3"/>
  <c r="CE49" i="3"/>
  <c r="L85" i="3"/>
  <c r="CE30" i="3"/>
  <c r="K52" i="3"/>
  <c r="CE17" i="3"/>
  <c r="L21" i="3"/>
  <c r="CE39" i="3"/>
  <c r="L68" i="3"/>
  <c r="CE35" i="3"/>
  <c r="L63" i="3"/>
  <c r="CE19" i="3"/>
  <c r="L31" i="3"/>
  <c r="E27" i="48"/>
  <c r="F26" i="48" a="1"/>
  <c r="F26" i="48"/>
  <c r="A21" i="50" a="1"/>
  <c r="A21" i="50"/>
  <c r="A28" i="50" a="1"/>
  <c r="A28" i="50"/>
  <c r="A26" i="50" a="1"/>
  <c r="A26" i="50"/>
  <c r="B32" i="51"/>
  <c r="B22" i="51"/>
  <c r="A27" i="48" a="1"/>
  <c r="A27" i="48"/>
  <c r="A34" i="48" a="1"/>
  <c r="A34" i="48"/>
  <c r="B33" i="51"/>
  <c r="A20" i="50" a="1"/>
  <c r="A20" i="50"/>
  <c r="B31" i="51"/>
  <c r="B44" i="51"/>
  <c r="A28" i="48" a="1"/>
  <c r="A28" i="48"/>
  <c r="A32" i="50" a="1"/>
  <c r="A32" i="50"/>
  <c r="B35" i="51"/>
  <c r="B25" i="51"/>
  <c r="A29" i="48" a="1"/>
  <c r="A29" i="48"/>
  <c r="B43" i="51"/>
  <c r="B23" i="51"/>
  <c r="B2" i="48" a="1"/>
  <c r="B2" i="48"/>
  <c r="A22" i="50" a="1"/>
  <c r="A22" i="50"/>
  <c r="A31" i="50" a="1"/>
  <c r="A31" i="50"/>
  <c r="B27" i="51"/>
  <c r="A24" i="48" a="1"/>
  <c r="A24" i="48"/>
  <c r="B39" i="51"/>
  <c r="A25" i="50" a="1"/>
  <c r="A25" i="50"/>
  <c r="B36" i="51"/>
  <c r="B40" i="51"/>
  <c r="B37" i="51"/>
  <c r="A27" i="50" a="1"/>
  <c r="A27" i="50"/>
  <c r="A33" i="48" a="1"/>
  <c r="A33" i="48"/>
  <c r="A42" i="48" a="1"/>
  <c r="A42" i="48"/>
  <c r="A34" i="50" a="1"/>
  <c r="A34" i="50"/>
  <c r="A24" i="50" a="1"/>
  <c r="A24" i="50"/>
  <c r="A20" i="48" a="1"/>
  <c r="A20" i="48"/>
  <c r="A22" i="48" a="1"/>
  <c r="A22" i="48"/>
  <c r="A33" i="50" a="1"/>
  <c r="A33" i="50"/>
  <c r="A23" i="48" a="1"/>
  <c r="A23" i="48"/>
  <c r="A30" i="48" a="1"/>
  <c r="A30" i="48"/>
  <c r="A31" i="48" a="1"/>
  <c r="A31" i="48"/>
  <c r="A25" i="48" a="1"/>
  <c r="A25" i="48"/>
  <c r="A21" i="48" a="1"/>
  <c r="A21" i="48"/>
  <c r="A26" i="48" a="1"/>
  <c r="A26" i="48"/>
  <c r="A35" i="50" a="1"/>
  <c r="A35" i="50"/>
  <c r="A29" i="50" a="1"/>
  <c r="A29" i="50"/>
  <c r="A35" i="48" a="1"/>
  <c r="A35" i="48"/>
  <c r="A23" i="50" a="1"/>
  <c r="A23" i="50"/>
  <c r="A32" i="48" a="1"/>
  <c r="A32" i="48"/>
  <c r="A30" i="50" a="1"/>
  <c r="A30" i="50"/>
  <c r="B24" i="51"/>
  <c r="B38" i="51"/>
  <c r="B45" i="51"/>
  <c r="B28" i="51"/>
  <c r="B34" i="51"/>
  <c r="B30" i="51"/>
  <c r="B29" i="51"/>
  <c r="B41" i="51"/>
  <c r="B42" i="51"/>
  <c r="B26" i="51"/>
  <c r="E8" i="51"/>
  <c r="K96" i="3"/>
  <c r="K60" i="3"/>
  <c r="K41" i="3"/>
  <c r="K39" i="3"/>
  <c r="K62" i="3"/>
  <c r="K89" i="3"/>
  <c r="CF48" i="3"/>
  <c r="K95" i="3"/>
  <c r="CF51" i="3"/>
  <c r="L84" i="3"/>
  <c r="K78" i="3"/>
  <c r="K76" i="3"/>
  <c r="L95" i="3"/>
  <c r="L92" i="3"/>
  <c r="K29" i="3"/>
  <c r="K94" i="3"/>
  <c r="CF52" i="3"/>
  <c r="L80" i="3"/>
  <c r="L78" i="3"/>
  <c r="L24" i="3"/>
  <c r="K80" i="3"/>
  <c r="L76" i="3"/>
  <c r="L88" i="3"/>
  <c r="K20" i="3"/>
  <c r="L40" i="3"/>
  <c r="K37" i="3"/>
  <c r="K48" i="3"/>
  <c r="L96" i="3"/>
  <c r="L30" i="3"/>
  <c r="K57" i="3"/>
  <c r="K5" i="3"/>
  <c r="K12" i="3"/>
  <c r="L16" i="3"/>
  <c r="CF13" i="3"/>
  <c r="K86" i="3"/>
  <c r="L17" i="3"/>
  <c r="L94" i="3"/>
  <c r="K93" i="3"/>
  <c r="K54" i="3"/>
  <c r="L57" i="3"/>
  <c r="K71" i="3"/>
  <c r="K72" i="3"/>
  <c r="L12" i="3"/>
  <c r="L49" i="3"/>
  <c r="K55" i="3"/>
  <c r="K81" i="3"/>
  <c r="K17" i="3"/>
  <c r="K85" i="3"/>
  <c r="L7" i="3"/>
  <c r="L77" i="3"/>
  <c r="L15" i="3"/>
  <c r="K47" i="3"/>
  <c r="L86" i="3"/>
  <c r="K65" i="3"/>
  <c r="K63" i="3"/>
  <c r="L45" i="3"/>
  <c r="K22" i="3"/>
  <c r="L60" i="3"/>
  <c r="K46" i="3"/>
  <c r="L23" i="3"/>
  <c r="L25" i="3"/>
  <c r="K24" i="3"/>
  <c r="L46" i="3"/>
  <c r="CF26" i="3"/>
  <c r="L48" i="3"/>
  <c r="K38" i="3"/>
  <c r="K69" i="3"/>
  <c r="L41" i="3"/>
  <c r="L70" i="3"/>
  <c r="CF38" i="3"/>
  <c r="K68" i="3"/>
  <c r="K56" i="3"/>
  <c r="L20" i="3"/>
  <c r="L32" i="3"/>
  <c r="L22" i="3"/>
  <c r="CF17" i="3"/>
  <c r="K8" i="3"/>
  <c r="K28" i="3"/>
  <c r="CF19" i="3"/>
  <c r="L28" i="3"/>
  <c r="L55" i="3"/>
  <c r="K33" i="3"/>
  <c r="K32" i="3"/>
  <c r="L72" i="3"/>
  <c r="K6" i="3"/>
  <c r="CF7" i="3"/>
  <c r="L13" i="3"/>
  <c r="CF12" i="3"/>
  <c r="K40" i="3"/>
  <c r="CF24" i="3"/>
  <c r="L8" i="3"/>
  <c r="K16" i="3"/>
  <c r="K7" i="3"/>
  <c r="CF8" i="3"/>
  <c r="K64" i="3"/>
  <c r="CF36" i="3"/>
  <c r="L39" i="3"/>
  <c r="L29" i="3"/>
  <c r="L71" i="3"/>
  <c r="K73" i="3"/>
  <c r="CF40" i="3"/>
  <c r="L6" i="3"/>
  <c r="K53" i="3"/>
  <c r="L4" i="3"/>
  <c r="L64" i="3"/>
  <c r="L54" i="3"/>
  <c r="K88" i="3"/>
  <c r="K87" i="3"/>
  <c r="CF47" i="3"/>
  <c r="K61" i="3"/>
  <c r="CF37" i="3"/>
  <c r="L47" i="3"/>
  <c r="CF29" i="3"/>
  <c r="CF49" i="3"/>
  <c r="CF45" i="3"/>
  <c r="CF16" i="3"/>
  <c r="E9" i="51"/>
  <c r="CF22" i="3"/>
  <c r="B46" i="51"/>
  <c r="B47" i="51"/>
  <c r="E10" i="51"/>
  <c r="E28" i="48"/>
  <c r="F27" i="48" a="1"/>
  <c r="F27" i="48"/>
  <c r="E12" i="51"/>
  <c r="E11" i="51"/>
  <c r="CF27" i="3"/>
  <c r="CF50" i="3"/>
  <c r="CF35" i="3"/>
  <c r="CF33" i="3"/>
  <c r="CF23" i="3"/>
  <c r="CF14" i="3"/>
  <c r="CF25" i="3"/>
  <c r="CF32" i="3"/>
  <c r="CF44" i="3"/>
  <c r="CF28" i="3"/>
  <c r="CF53" i="3"/>
  <c r="CF46" i="3"/>
  <c r="CF30" i="3"/>
  <c r="CF31" i="3"/>
  <c r="CF43" i="3"/>
  <c r="CF21" i="3"/>
  <c r="CF6" i="3"/>
  <c r="CF11" i="3"/>
  <c r="CF18" i="3"/>
  <c r="CF34" i="3"/>
  <c r="CF10" i="3"/>
  <c r="CF42" i="3"/>
  <c r="CF20" i="3"/>
  <c r="CF15" i="3"/>
  <c r="CF39" i="3"/>
  <c r="CF9" i="3"/>
  <c r="CF41" i="3"/>
  <c r="F12" i="51"/>
  <c r="F10" i="51"/>
  <c r="F11" i="51"/>
  <c r="F9" i="51"/>
  <c r="F8" i="51"/>
  <c r="E29" i="48"/>
  <c r="F28" i="48" a="1"/>
  <c r="F28" i="48"/>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c r="CH48" i="3"/>
  <c r="N85" i="3"/>
  <c r="CH37" i="3"/>
  <c r="N63" i="3"/>
  <c r="CH36" i="3"/>
  <c r="N61" i="3"/>
  <c r="CH46" i="3"/>
  <c r="N86" i="3"/>
  <c r="CH34" i="3"/>
  <c r="O65" i="3"/>
  <c r="CH30" i="3"/>
  <c r="N54" i="3"/>
  <c r="CH9" i="3"/>
  <c r="N6" i="3"/>
  <c r="CH13" i="3"/>
  <c r="N14" i="3"/>
  <c r="CH28" i="3"/>
  <c r="N45" i="3"/>
  <c r="CH41" i="3"/>
  <c r="N72" i="3"/>
  <c r="CH12" i="3"/>
  <c r="O17" i="3"/>
  <c r="CH53" i="3"/>
  <c r="N95" i="3"/>
  <c r="CH22" i="3"/>
  <c r="N38" i="3"/>
  <c r="CH25" i="3"/>
  <c r="N41" i="3"/>
  <c r="CH40" i="3"/>
  <c r="O73" i="3"/>
  <c r="CH18" i="3"/>
  <c r="N28" i="3"/>
  <c r="CH16" i="3"/>
  <c r="N21" i="3"/>
  <c r="CH52" i="3"/>
  <c r="O94" i="3"/>
  <c r="CH15" i="3"/>
  <c r="N25" i="3"/>
  <c r="CH44" i="3"/>
  <c r="N77" i="3"/>
  <c r="CH51" i="3"/>
  <c r="N97" i="3"/>
  <c r="CH42" i="3"/>
  <c r="N78" i="3"/>
  <c r="CH27" i="3"/>
  <c r="O44" i="3"/>
  <c r="CH14" i="3"/>
  <c r="O24" i="3"/>
  <c r="CH8" i="3"/>
  <c r="O7" i="3"/>
  <c r="CH19" i="3"/>
  <c r="O28" i="3"/>
  <c r="CH33" i="3"/>
  <c r="N57" i="3"/>
  <c r="CH7" i="3"/>
  <c r="O6" i="3"/>
  <c r="CH6" i="3"/>
  <c r="N7" i="3"/>
  <c r="CH35" i="3"/>
  <c r="O63" i="3"/>
  <c r="CH21" i="3"/>
  <c r="N32" i="3"/>
  <c r="CH38" i="3"/>
  <c r="O72" i="3"/>
  <c r="CH49" i="3"/>
  <c r="O85" i="3"/>
  <c r="CH11" i="3"/>
  <c r="O12" i="3"/>
  <c r="CH10" i="3"/>
  <c r="N12" i="3"/>
  <c r="CH47" i="3"/>
  <c r="O87" i="3"/>
  <c r="CH20" i="3"/>
  <c r="O30" i="3"/>
  <c r="CH32" i="3"/>
  <c r="N53" i="3"/>
  <c r="CH24" i="3"/>
  <c r="N37" i="3"/>
  <c r="CH45" i="3"/>
  <c r="O77" i="3"/>
  <c r="CH50" i="3"/>
  <c r="O96" i="3"/>
  <c r="CH43" i="3"/>
  <c r="O79" i="3"/>
  <c r="CH29" i="3"/>
  <c r="N49" i="3"/>
  <c r="CH17" i="3"/>
  <c r="O21" i="3"/>
  <c r="CH23" i="3"/>
  <c r="O36" i="3"/>
  <c r="CH31" i="3"/>
  <c r="N56" i="3"/>
  <c r="CH39" i="3"/>
  <c r="O68" i="3"/>
  <c r="CH26" i="3"/>
  <c r="N44" i="3"/>
  <c r="O89" i="3"/>
  <c r="E31" i="48"/>
  <c r="F30" i="48" a="1"/>
  <c r="F30" i="48"/>
  <c r="O48" i="3"/>
  <c r="O25" i="3"/>
  <c r="O86" i="3"/>
  <c r="N71" i="3"/>
  <c r="O46" i="3"/>
  <c r="O88" i="3"/>
  <c r="O93" i="3"/>
  <c r="CI52" i="3"/>
  <c r="O78" i="3"/>
  <c r="O53" i="3"/>
  <c r="CJ32" i="3"/>
  <c r="N96" i="3"/>
  <c r="O80" i="3"/>
  <c r="N47" i="3"/>
  <c r="CI27" i="3"/>
  <c r="O22" i="3"/>
  <c r="CJ17" i="3"/>
  <c r="N84" i="3"/>
  <c r="CJ47" i="3"/>
  <c r="O97" i="3"/>
  <c r="O16" i="3"/>
  <c r="N15" i="3"/>
  <c r="CK12" i="3"/>
  <c r="O15" i="3"/>
  <c r="CI10" i="3"/>
  <c r="O61" i="3"/>
  <c r="N64" i="3"/>
  <c r="CJ36" i="3"/>
  <c r="CJ37" i="3"/>
  <c r="N13" i="3"/>
  <c r="CJ13" i="3"/>
  <c r="N65" i="3"/>
  <c r="O69" i="3"/>
  <c r="O62" i="3"/>
  <c r="N55" i="3"/>
  <c r="O20" i="3"/>
  <c r="O64" i="3"/>
  <c r="N5" i="3"/>
  <c r="O14" i="3"/>
  <c r="CI13" i="3"/>
  <c r="N93" i="3"/>
  <c r="CK53" i="3"/>
  <c r="N33" i="3"/>
  <c r="N52" i="3"/>
  <c r="O56" i="3"/>
  <c r="CJ31" i="3"/>
  <c r="O57" i="3"/>
  <c r="N17" i="3"/>
  <c r="O31" i="3"/>
  <c r="O84" i="3"/>
  <c r="CJ46" i="3"/>
  <c r="O45" i="3"/>
  <c r="N9" i="3"/>
  <c r="O52" i="3"/>
  <c r="N80" i="3"/>
  <c r="O55" i="3"/>
  <c r="O81" i="3"/>
  <c r="N76" i="3"/>
  <c r="CK43" i="3"/>
  <c r="O29" i="3"/>
  <c r="CI20" i="3"/>
  <c r="O71" i="3"/>
  <c r="N69" i="3"/>
  <c r="O37" i="3"/>
  <c r="CI24" i="3"/>
  <c r="O60" i="3"/>
  <c r="O47" i="3"/>
  <c r="N8" i="3"/>
  <c r="N31" i="3"/>
  <c r="CI19" i="3"/>
  <c r="N48" i="3"/>
  <c r="O54" i="3"/>
  <c r="CK30" i="3"/>
  <c r="N16" i="3"/>
  <c r="CK10" i="3"/>
  <c r="O38" i="3"/>
  <c r="N73" i="3"/>
  <c r="N24" i="3"/>
  <c r="O5" i="3"/>
  <c r="CI8" i="3"/>
  <c r="O70" i="3"/>
  <c r="CJ38" i="3"/>
  <c r="N39" i="3"/>
  <c r="CJ23" i="3"/>
  <c r="O40" i="3"/>
  <c r="O13" i="3"/>
  <c r="CJ12" i="3"/>
  <c r="N22" i="3"/>
  <c r="N89" i="3"/>
  <c r="O4" i="3"/>
  <c r="CI6" i="3"/>
  <c r="N62" i="3"/>
  <c r="CK36" i="3"/>
  <c r="O92" i="3"/>
  <c r="CI50" i="3"/>
  <c r="N60" i="3"/>
  <c r="CJ35" i="3"/>
  <c r="O41" i="3"/>
  <c r="N36" i="3"/>
  <c r="N4" i="3"/>
  <c r="CK7" i="3"/>
  <c r="N92" i="3"/>
  <c r="CK51" i="3"/>
  <c r="O76" i="3"/>
  <c r="CI42" i="3"/>
  <c r="N79" i="3"/>
  <c r="CI43" i="3"/>
  <c r="N81" i="3"/>
  <c r="N46" i="3"/>
  <c r="N68" i="3"/>
  <c r="O49" i="3"/>
  <c r="O32" i="3"/>
  <c r="N23" i="3"/>
  <c r="N70" i="3"/>
  <c r="N20" i="3"/>
  <c r="CK15" i="3"/>
  <c r="N30" i="3"/>
  <c r="CK20" i="3"/>
  <c r="O39" i="3"/>
  <c r="CJ25" i="3"/>
  <c r="N29" i="3"/>
  <c r="CK21" i="3"/>
  <c r="N40" i="3"/>
  <c r="O8" i="3"/>
  <c r="CK27" i="3"/>
  <c r="O33" i="3"/>
  <c r="CJ19" i="3"/>
  <c r="N94" i="3"/>
  <c r="CJ52" i="3"/>
  <c r="O9" i="3"/>
  <c r="O23" i="3"/>
  <c r="O95" i="3"/>
  <c r="N87" i="3"/>
  <c r="N88" i="3"/>
  <c r="CJ28" i="3"/>
  <c r="CJ51" i="3"/>
  <c r="CI12" i="3"/>
  <c r="CK35" i="3"/>
  <c r="CK45" i="3"/>
  <c r="CJ45" i="3"/>
  <c r="CJ42" i="3"/>
  <c r="CK6" i="3"/>
  <c r="CK33" i="3"/>
  <c r="CJ53" i="3"/>
  <c r="CK48" i="3"/>
  <c r="CJ29" i="3"/>
  <c r="CK50" i="3"/>
  <c r="CI33" i="3"/>
  <c r="CK37" i="3"/>
  <c r="CK44" i="3"/>
  <c r="CK28" i="3"/>
  <c r="CJ10" i="3"/>
  <c r="CJ21" i="3"/>
  <c r="CJ49" i="3"/>
  <c r="CI32" i="3"/>
  <c r="CJ43" i="3"/>
  <c r="CI47" i="3"/>
  <c r="CK18" i="3"/>
  <c r="CI49" i="3"/>
  <c r="CI17" i="3"/>
  <c r="CI31" i="3"/>
  <c r="CJ11" i="3"/>
  <c r="CK13" i="3"/>
  <c r="CI35" i="3"/>
  <c r="CI18" i="3"/>
  <c r="CK19" i="3"/>
  <c r="CI46" i="3"/>
  <c r="CK24" i="3"/>
  <c r="CI26" i="3"/>
  <c r="CK42" i="3"/>
  <c r="CI25" i="3"/>
  <c r="CI40" i="3"/>
  <c r="CK41" i="3"/>
  <c r="CK26" i="3"/>
  <c r="CI23" i="3"/>
  <c r="CJ20" i="3"/>
  <c r="CI16" i="3"/>
  <c r="CI51" i="3"/>
  <c r="CI45" i="3"/>
  <c r="CK31" i="3"/>
  <c r="CK22" i="3"/>
  <c r="CJ33" i="3"/>
  <c r="CI22" i="3"/>
  <c r="CI11" i="3"/>
  <c r="CI7" i="3"/>
  <c r="CK52" i="3"/>
  <c r="CJ44" i="3"/>
  <c r="CK25" i="3"/>
  <c r="CI44" i="3"/>
  <c r="CK47" i="3"/>
  <c r="CI53" i="3"/>
  <c r="CK46" i="3"/>
  <c r="CK49" i="3"/>
  <c r="CI9" i="3"/>
  <c r="CK38" i="3"/>
  <c r="CK17" i="3"/>
  <c r="CK8" i="3"/>
  <c r="CI29" i="3"/>
  <c r="CJ9" i="3"/>
  <c r="CJ50" i="3"/>
  <c r="CK16" i="3"/>
  <c r="CJ18" i="3"/>
  <c r="CI36" i="3"/>
  <c r="CI21" i="3"/>
  <c r="CJ22" i="3"/>
  <c r="CK29" i="3"/>
  <c r="CK14" i="3"/>
  <c r="CI28" i="3"/>
  <c r="CI34" i="3"/>
  <c r="CJ16" i="3"/>
  <c r="CJ48" i="3"/>
  <c r="CI39" i="3"/>
  <c r="CI37" i="3"/>
  <c r="CI30" i="3"/>
  <c r="CK11" i="3"/>
  <c r="CK34" i="3"/>
  <c r="CK32" i="3"/>
  <c r="CI48" i="3"/>
  <c r="CJ6" i="3"/>
  <c r="CJ24" i="3"/>
  <c r="CJ8" i="3"/>
  <c r="CJ7" i="3"/>
  <c r="CJ39" i="3"/>
  <c r="CJ34" i="3"/>
  <c r="CJ27" i="3"/>
  <c r="CJ26" i="3"/>
  <c r="CJ41" i="3"/>
  <c r="E32" i="48"/>
  <c r="F31" i="48" a="1"/>
  <c r="F31" i="48"/>
  <c r="CI15" i="3"/>
  <c r="CK23" i="3"/>
  <c r="CK9" i="3"/>
  <c r="CK39" i="3"/>
  <c r="CI38" i="3"/>
  <c r="CL38" i="3"/>
  <c r="CI41" i="3"/>
  <c r="CL41" i="3"/>
  <c r="CK40" i="3"/>
  <c r="CJ30" i="3"/>
  <c r="CL30" i="3"/>
  <c r="CI14" i="3"/>
  <c r="CJ15" i="3"/>
  <c r="CL32" i="3"/>
  <c r="CL42" i="3"/>
  <c r="CL53" i="3"/>
  <c r="CJ14" i="3"/>
  <c r="CL28" i="3"/>
  <c r="CL13" i="3"/>
  <c r="CL11" i="3"/>
  <c r="CL35" i="3"/>
  <c r="CL19" i="3"/>
  <c r="CJ40" i="3"/>
  <c r="CL40" i="3"/>
  <c r="CL9" i="3"/>
  <c r="CL50" i="3"/>
  <c r="CL48" i="3"/>
  <c r="CL49" i="3"/>
  <c r="CL37" i="3"/>
  <c r="CL29" i="3"/>
  <c r="CL23" i="3"/>
  <c r="CL25" i="3"/>
  <c r="CL12" i="3"/>
  <c r="CL10" i="3"/>
  <c r="CL6" i="3"/>
  <c r="CL8" i="3"/>
  <c r="CL24" i="3"/>
  <c r="CL45" i="3"/>
  <c r="CL43" i="3"/>
  <c r="CL22" i="3"/>
  <c r="CL7" i="3"/>
  <c r="CL27" i="3"/>
  <c r="CL26" i="3"/>
  <c r="CL52" i="3"/>
  <c r="CL51" i="3"/>
  <c r="CL34" i="3"/>
  <c r="CL36" i="3"/>
  <c r="CL39" i="3"/>
  <c r="CL46" i="3"/>
  <c r="CL31" i="3"/>
  <c r="CL33" i="3"/>
  <c r="CL16" i="3"/>
  <c r="CL17" i="3"/>
  <c r="CL44" i="3"/>
  <c r="CL18" i="3"/>
  <c r="CL21" i="3"/>
  <c r="CL20" i="3"/>
  <c r="CL47" i="3"/>
  <c r="E33" i="48"/>
  <c r="F32" i="48" a="1"/>
  <c r="F32" i="48"/>
  <c r="CL15" i="3"/>
  <c r="CL14" i="3"/>
  <c r="CM36" i="3"/>
  <c r="CM25" i="3"/>
  <c r="CM20" i="3"/>
  <c r="CM8" i="3"/>
  <c r="CM18" i="3"/>
  <c r="CM46" i="3"/>
  <c r="CM33" i="3"/>
  <c r="CM44" i="3"/>
  <c r="CM9" i="3"/>
  <c r="CM45" i="3"/>
  <c r="CM40" i="3"/>
  <c r="CM35" i="3"/>
  <c r="CM19" i="3"/>
  <c r="CM37" i="3"/>
  <c r="CM51" i="3"/>
  <c r="CM23" i="3"/>
  <c r="CM30" i="3"/>
  <c r="CM53" i="3"/>
  <c r="CM13" i="3"/>
  <c r="CM11" i="3"/>
  <c r="CM6" i="3"/>
  <c r="CM7" i="3"/>
  <c r="CM22" i="3"/>
  <c r="CM49" i="3"/>
  <c r="CM43" i="3"/>
  <c r="CM39" i="3"/>
  <c r="CM16" i="3"/>
  <c r="CM32" i="3"/>
  <c r="CM17" i="3"/>
  <c r="F33" i="48" a="1"/>
  <c r="F33" i="48"/>
  <c r="E34" i="48"/>
  <c r="CM48" i="3"/>
  <c r="CM29" i="3"/>
  <c r="CM21" i="3"/>
  <c r="CM47" i="3"/>
  <c r="CM12" i="3"/>
  <c r="CM28" i="3"/>
  <c r="CM34" i="3"/>
  <c r="CM24" i="3"/>
  <c r="CM31" i="3"/>
  <c r="CM42" i="3"/>
  <c r="CM50" i="3"/>
  <c r="CM38" i="3"/>
  <c r="CM27" i="3"/>
  <c r="CM41" i="3"/>
  <c r="CM52" i="3"/>
  <c r="CM26" i="3"/>
  <c r="CM10" i="3"/>
  <c r="CM14" i="3"/>
  <c r="CM15" i="3"/>
  <c r="F34" i="48" a="1"/>
  <c r="F34" i="48"/>
  <c r="E35" i="48"/>
  <c r="CN32" i="3"/>
  <c r="R54" i="3"/>
  <c r="CN19" i="3"/>
  <c r="Q33" i="3"/>
  <c r="CN30" i="3"/>
  <c r="Q54" i="3"/>
  <c r="CN39" i="3"/>
  <c r="R71" i="3"/>
  <c r="CN52" i="3"/>
  <c r="R97" i="3"/>
  <c r="CN22" i="3"/>
  <c r="Q38" i="3"/>
  <c r="CN12" i="3"/>
  <c r="Q13" i="3"/>
  <c r="CN50" i="3"/>
  <c r="Q92" i="3"/>
  <c r="CN42" i="3"/>
  <c r="Q76" i="3"/>
  <c r="CN13" i="3"/>
  <c r="R13" i="3"/>
  <c r="CN48" i="3"/>
  <c r="Q85" i="3"/>
  <c r="CN38" i="3"/>
  <c r="Q68" i="3"/>
  <c r="CN23" i="3"/>
  <c r="Q40" i="3"/>
  <c r="CN36" i="3"/>
  <c r="Q61" i="3"/>
  <c r="CN29" i="3"/>
  <c r="R45" i="3"/>
  <c r="CN43" i="3"/>
  <c r="Q80" i="3"/>
  <c r="CN35" i="3"/>
  <c r="R60" i="3"/>
  <c r="CN53" i="3"/>
  <c r="R93" i="3"/>
  <c r="CN7" i="3"/>
  <c r="R4" i="3"/>
  <c r="CN8" i="3"/>
  <c r="R9" i="3"/>
  <c r="CN47" i="3"/>
  <c r="R84" i="3"/>
  <c r="CN17" i="3"/>
  <c r="Q24" i="3"/>
  <c r="CN28" i="3"/>
  <c r="R46" i="3"/>
  <c r="CN31" i="3"/>
  <c r="Q56" i="3"/>
  <c r="CN49" i="3"/>
  <c r="Q88" i="3"/>
  <c r="CN44" i="3"/>
  <c r="Q77" i="3"/>
  <c r="CN34" i="3"/>
  <c r="Q60" i="3"/>
  <c r="CN15" i="3"/>
  <c r="R22" i="3"/>
  <c r="CN25" i="3"/>
  <c r="Q39" i="3"/>
  <c r="CN40" i="3"/>
  <c r="R70" i="3"/>
  <c r="CN6" i="3"/>
  <c r="Q7" i="3"/>
  <c r="CN11" i="3"/>
  <c r="R14" i="3"/>
  <c r="CN33" i="3"/>
  <c r="Q57" i="3"/>
  <c r="CN41" i="3"/>
  <c r="Q71" i="3"/>
  <c r="CN46" i="3"/>
  <c r="Q86" i="3"/>
  <c r="CN16" i="3"/>
  <c r="CN21" i="3"/>
  <c r="Q32" i="3"/>
  <c r="CN20" i="3"/>
  <c r="R33" i="3"/>
  <c r="CN18" i="3"/>
  <c r="Q30" i="3"/>
  <c r="CN9" i="3"/>
  <c r="R5" i="3"/>
  <c r="CN14" i="3"/>
  <c r="Q23" i="3"/>
  <c r="CN26" i="3"/>
  <c r="Q44" i="3"/>
  <c r="CN10" i="3"/>
  <c r="Q15" i="3"/>
  <c r="CN51" i="3"/>
  <c r="R95" i="3"/>
  <c r="CN24" i="3"/>
  <c r="R40" i="3"/>
  <c r="CN37" i="3"/>
  <c r="R61" i="3"/>
  <c r="CN27" i="3"/>
  <c r="R47" i="3"/>
  <c r="CN45" i="3"/>
  <c r="Q81" i="3"/>
  <c r="Q72" i="3"/>
  <c r="Q64" i="3"/>
  <c r="Q73" i="3"/>
  <c r="R57" i="3"/>
  <c r="R89" i="3"/>
  <c r="R88" i="3"/>
  <c r="R80" i="3"/>
  <c r="R81" i="3"/>
  <c r="Q97" i="3"/>
  <c r="R73" i="3"/>
  <c r="Q89" i="3"/>
  <c r="R64" i="3"/>
  <c r="R72" i="3"/>
  <c r="Q65" i="3"/>
  <c r="Q96" i="3"/>
  <c r="R96" i="3"/>
  <c r="R56" i="3"/>
  <c r="R65" i="3"/>
  <c r="F35" i="48" a="1"/>
  <c r="F35" i="48"/>
  <c r="E36" i="48"/>
  <c r="Q78" i="3"/>
  <c r="R32" i="3"/>
  <c r="Q41" i="3"/>
  <c r="Q49" i="3"/>
  <c r="R49" i="3"/>
  <c r="Q48" i="3"/>
  <c r="R48" i="3"/>
  <c r="Q9" i="3"/>
  <c r="R41" i="3"/>
  <c r="R8" i="3"/>
  <c r="Q8" i="3"/>
  <c r="R24" i="3"/>
  <c r="Q25" i="3"/>
  <c r="Q21" i="3"/>
  <c r="R25" i="3"/>
  <c r="R16" i="3"/>
  <c r="R17" i="3"/>
  <c r="Q17" i="3"/>
  <c r="Q16" i="3"/>
  <c r="Q87" i="3"/>
  <c r="R87" i="3"/>
  <c r="Q95" i="3"/>
  <c r="R79" i="3"/>
  <c r="Q94" i="3"/>
  <c r="CP52" i="3"/>
  <c r="R94" i="3"/>
  <c r="R86" i="3"/>
  <c r="Q79" i="3"/>
  <c r="CP43" i="3"/>
  <c r="R31" i="3"/>
  <c r="R63" i="3"/>
  <c r="CO37" i="3"/>
  <c r="R78" i="3"/>
  <c r="Q70" i="3"/>
  <c r="R28" i="3"/>
  <c r="Q52" i="3"/>
  <c r="R68" i="3"/>
  <c r="CO38" i="3"/>
  <c r="R55" i="3"/>
  <c r="Q55" i="3"/>
  <c r="R6" i="3"/>
  <c r="Q63" i="3"/>
  <c r="CO35" i="3"/>
  <c r="Q53" i="3"/>
  <c r="R15" i="3"/>
  <c r="R69" i="3"/>
  <c r="R36" i="3"/>
  <c r="Q36" i="3"/>
  <c r="CO23" i="3"/>
  <c r="Q62" i="3"/>
  <c r="Q5" i="3"/>
  <c r="Q4" i="3"/>
  <c r="R62" i="3"/>
  <c r="Q93" i="3"/>
  <c r="CP53" i="3"/>
  <c r="R39" i="3"/>
  <c r="Q28" i="3"/>
  <c r="Q14" i="3"/>
  <c r="Q45" i="3"/>
  <c r="R85" i="3"/>
  <c r="R44" i="3"/>
  <c r="CO26" i="3"/>
  <c r="R76" i="3"/>
  <c r="CO42" i="3"/>
  <c r="Q47" i="3"/>
  <c r="CO27" i="3"/>
  <c r="Q69" i="3"/>
  <c r="CO41" i="3"/>
  <c r="Q22" i="3"/>
  <c r="R37" i="3"/>
  <c r="R21" i="3"/>
  <c r="R23" i="3"/>
  <c r="Q84" i="3"/>
  <c r="CP47" i="3"/>
  <c r="Q12" i="3"/>
  <c r="CO39" i="3"/>
  <c r="R53" i="3"/>
  <c r="CP32" i="3"/>
  <c r="R12" i="3"/>
  <c r="R7" i="3"/>
  <c r="R20" i="3"/>
  <c r="Q29" i="3"/>
  <c r="CP27" i="3"/>
  <c r="R30" i="3"/>
  <c r="Q31" i="3"/>
  <c r="R52" i="3"/>
  <c r="CP30" i="3"/>
  <c r="R29" i="3"/>
  <c r="CP20" i="3"/>
  <c r="CO51" i="3"/>
  <c r="Q20" i="3"/>
  <c r="R77" i="3"/>
  <c r="CP44" i="3"/>
  <c r="R38" i="3"/>
  <c r="R92" i="3"/>
  <c r="Q6" i="3"/>
  <c r="Q37" i="3"/>
  <c r="Q46" i="3"/>
  <c r="CO8" i="3"/>
  <c r="CP51" i="3"/>
  <c r="CP8" i="3"/>
  <c r="CP36" i="3"/>
  <c r="CO36" i="3"/>
  <c r="CO21" i="3"/>
  <c r="CP39" i="3"/>
  <c r="CP21" i="3"/>
  <c r="CP34" i="3"/>
  <c r="CP13" i="3"/>
  <c r="CP45" i="3"/>
  <c r="CP18" i="3"/>
  <c r="CO12" i="3"/>
  <c r="CP46" i="3"/>
  <c r="CP16" i="3"/>
  <c r="CP49" i="3"/>
  <c r="CO16" i="3"/>
  <c r="CO22" i="3"/>
  <c r="CO46" i="3"/>
  <c r="CO49" i="3"/>
  <c r="CO45" i="3"/>
  <c r="CO13" i="3"/>
  <c r="CO29" i="3"/>
  <c r="CP31" i="3"/>
  <c r="CO17" i="3"/>
  <c r="CP48" i="3"/>
  <c r="CP17" i="3"/>
  <c r="CO18" i="3"/>
  <c r="CP6" i="3"/>
  <c r="CP22" i="3"/>
  <c r="CO24" i="3"/>
  <c r="CP33" i="3"/>
  <c r="CP12" i="3"/>
  <c r="CO34" i="3"/>
  <c r="CO6" i="3"/>
  <c r="CP24" i="3"/>
  <c r="CO31" i="3"/>
  <c r="CO28" i="3"/>
  <c r="CO48" i="3"/>
  <c r="CP28" i="3"/>
  <c r="CP29" i="3"/>
  <c r="CO33" i="3"/>
  <c r="E37" i="48"/>
  <c r="F36" i="48" a="1"/>
  <c r="F36" i="48"/>
  <c r="CO43" i="3"/>
  <c r="CQ43" i="3"/>
  <c r="CO52" i="3"/>
  <c r="CQ52" i="3"/>
  <c r="CO50" i="3"/>
  <c r="CP37" i="3"/>
  <c r="CQ37" i="3"/>
  <c r="CP35" i="3"/>
  <c r="CQ35" i="3"/>
  <c r="CO53" i="3"/>
  <c r="CQ53" i="3"/>
  <c r="CP38" i="3"/>
  <c r="CQ38" i="3"/>
  <c r="CP40" i="3"/>
  <c r="CO40" i="3"/>
  <c r="CP9" i="3"/>
  <c r="CO47" i="3"/>
  <c r="CQ47" i="3"/>
  <c r="CP23" i="3"/>
  <c r="CQ23" i="3"/>
  <c r="CO10" i="3"/>
  <c r="CP7" i="3"/>
  <c r="CO25" i="3"/>
  <c r="CO32" i="3"/>
  <c r="CQ32" i="3"/>
  <c r="CO11" i="3"/>
  <c r="CO9" i="3"/>
  <c r="CP26" i="3"/>
  <c r="CQ26" i="3"/>
  <c r="CO19" i="3"/>
  <c r="CO20" i="3"/>
  <c r="CQ20" i="3"/>
  <c r="CP42" i="3"/>
  <c r="CQ42" i="3"/>
  <c r="CO14" i="3"/>
  <c r="CP19" i="3"/>
  <c r="CP14" i="3"/>
  <c r="CO30" i="3"/>
  <c r="CQ30" i="3"/>
  <c r="CO15" i="3"/>
  <c r="CP41" i="3"/>
  <c r="CQ41" i="3"/>
  <c r="CP11" i="3"/>
  <c r="CO44" i="3"/>
  <c r="CQ44" i="3"/>
  <c r="CP15" i="3"/>
  <c r="CP10" i="3"/>
  <c r="CQ51" i="3"/>
  <c r="CQ39" i="3"/>
  <c r="CP25" i="3"/>
  <c r="CO7" i="3"/>
  <c r="CQ27" i="3"/>
  <c r="CP50" i="3"/>
  <c r="CQ6" i="3"/>
  <c r="CQ48" i="3"/>
  <c r="CQ49" i="3"/>
  <c r="CQ46" i="3"/>
  <c r="CQ33" i="3"/>
  <c r="CQ31" i="3"/>
  <c r="CQ13" i="3"/>
  <c r="CQ16" i="3"/>
  <c r="CQ8" i="3"/>
  <c r="CQ45" i="3"/>
  <c r="CQ36" i="3"/>
  <c r="CQ24" i="3"/>
  <c r="CQ21" i="3"/>
  <c r="CQ34" i="3"/>
  <c r="CQ28" i="3"/>
  <c r="CQ29" i="3"/>
  <c r="CQ12" i="3"/>
  <c r="CQ22" i="3"/>
  <c r="CQ17" i="3"/>
  <c r="CQ18" i="3"/>
  <c r="E38" i="48"/>
  <c r="F37" i="48" a="1"/>
  <c r="F37" i="48"/>
  <c r="CQ50" i="3"/>
  <c r="CQ40" i="3"/>
  <c r="CQ9" i="3"/>
  <c r="CQ10" i="3"/>
  <c r="CQ7" i="3"/>
  <c r="CQ25" i="3"/>
  <c r="CQ11" i="3"/>
  <c r="CQ19" i="3"/>
  <c r="CQ14" i="3"/>
  <c r="CR21" i="3"/>
  <c r="CQ15" i="3"/>
  <c r="CR16" i="3"/>
  <c r="CR22" i="3"/>
  <c r="CR48" i="3"/>
  <c r="CR18" i="3"/>
  <c r="F38" i="48" a="1"/>
  <c r="F38" i="48"/>
  <c r="E39" i="48"/>
  <c r="CR49" i="3"/>
  <c r="CR29" i="3"/>
  <c r="CR24" i="3"/>
  <c r="CR6" i="3"/>
  <c r="CR17" i="3"/>
  <c r="CR20" i="3"/>
  <c r="CR8" i="3"/>
  <c r="CR31" i="3"/>
  <c r="CR36" i="3"/>
  <c r="CR34" i="3"/>
  <c r="CR33" i="3"/>
  <c r="CR28" i="3"/>
  <c r="CR30" i="3"/>
  <c r="CR44" i="3"/>
  <c r="CR32" i="3"/>
  <c r="CR40" i="3"/>
  <c r="CR11" i="3"/>
  <c r="CR27" i="3"/>
  <c r="CR39" i="3"/>
  <c r="CR9" i="3"/>
  <c r="CR15" i="3"/>
  <c r="CR53" i="3"/>
  <c r="CR47" i="3"/>
  <c r="CR51" i="3"/>
  <c r="CR19" i="3"/>
  <c r="CR41" i="3"/>
  <c r="CR35" i="3"/>
  <c r="CR46" i="3"/>
  <c r="CR25" i="3"/>
  <c r="CR50" i="3"/>
  <c r="CR14" i="3"/>
  <c r="CR26" i="3"/>
  <c r="CR45" i="3"/>
  <c r="CR43" i="3"/>
  <c r="CR7" i="3"/>
  <c r="CR37" i="3"/>
  <c r="CR12" i="3"/>
  <c r="CR38" i="3"/>
  <c r="CR23" i="3"/>
  <c r="CR52" i="3"/>
  <c r="CR13" i="3"/>
  <c r="CR10" i="3"/>
  <c r="CR42" i="3"/>
  <c r="E40" i="48"/>
  <c r="F39" i="48" a="1"/>
  <c r="F39" i="48"/>
  <c r="CS12" i="3"/>
  <c r="T13" i="3"/>
  <c r="CS46" i="3"/>
  <c r="U88" i="3"/>
  <c r="CS44" i="3"/>
  <c r="U78" i="3"/>
  <c r="CS53" i="3"/>
  <c r="U93" i="3"/>
  <c r="CS6" i="3"/>
  <c r="CT6" i="3"/>
  <c r="CS45" i="3"/>
  <c r="U77" i="3"/>
  <c r="CS42" i="3"/>
  <c r="T76" i="3"/>
  <c r="CS8" i="3"/>
  <c r="U7" i="3"/>
  <c r="CS13" i="3"/>
  <c r="T14" i="3"/>
  <c r="CS52" i="3"/>
  <c r="T93" i="3"/>
  <c r="CS23" i="3"/>
  <c r="U39" i="3"/>
  <c r="CS18" i="3"/>
  <c r="T28" i="3"/>
  <c r="CS33" i="3"/>
  <c r="U53" i="3"/>
  <c r="CS30" i="3"/>
  <c r="T52" i="3"/>
  <c r="CS17" i="3"/>
  <c r="U21" i="3"/>
  <c r="CS35" i="3"/>
  <c r="U60" i="3"/>
  <c r="CS36" i="3"/>
  <c r="T61" i="3"/>
  <c r="CS37" i="3"/>
  <c r="U61" i="3"/>
  <c r="CS10" i="3"/>
  <c r="T15" i="3"/>
  <c r="CS22" i="3"/>
  <c r="U41" i="3"/>
  <c r="CS51" i="3"/>
  <c r="U92" i="3"/>
  <c r="CS43" i="3"/>
  <c r="U76" i="3"/>
  <c r="CS40" i="3"/>
  <c r="T69" i="3"/>
  <c r="CS50" i="3"/>
  <c r="T92" i="3"/>
  <c r="CS29" i="3"/>
  <c r="U45" i="3"/>
  <c r="CS24" i="3"/>
  <c r="U38" i="3"/>
  <c r="CS31" i="3"/>
  <c r="U52" i="3"/>
  <c r="CS38" i="3"/>
  <c r="T68" i="3"/>
  <c r="CS15" i="3"/>
  <c r="T25" i="3"/>
  <c r="CS11" i="3"/>
  <c r="U14" i="3"/>
  <c r="CS32" i="3"/>
  <c r="T53" i="3"/>
  <c r="CS25" i="3"/>
  <c r="T41" i="3"/>
  <c r="CS34" i="3"/>
  <c r="T60" i="3"/>
  <c r="CS20" i="3"/>
  <c r="T29" i="3"/>
  <c r="CS41" i="3"/>
  <c r="U69" i="3"/>
  <c r="CS48" i="3"/>
  <c r="T85" i="3"/>
  <c r="CS19" i="3"/>
  <c r="U28" i="3"/>
  <c r="CS16" i="3"/>
  <c r="U25" i="3"/>
  <c r="CS49" i="3"/>
  <c r="U85" i="3"/>
  <c r="CS39" i="3"/>
  <c r="U68" i="3"/>
  <c r="CS21" i="3"/>
  <c r="U29" i="3"/>
  <c r="CS9" i="3"/>
  <c r="U5" i="3"/>
  <c r="CS47" i="3"/>
  <c r="U84" i="3"/>
  <c r="CS7" i="3"/>
  <c r="U4" i="3"/>
  <c r="CS28" i="3"/>
  <c r="U46" i="3"/>
  <c r="CS27" i="3"/>
  <c r="U44" i="3"/>
  <c r="CS14" i="3"/>
  <c r="T20" i="3"/>
  <c r="CS26" i="3"/>
  <c r="T46" i="3"/>
  <c r="U64" i="3"/>
  <c r="U89" i="3"/>
  <c r="T96" i="3"/>
  <c r="T64" i="3"/>
  <c r="T56" i="3"/>
  <c r="U65" i="3"/>
  <c r="T80" i="3"/>
  <c r="U32" i="3"/>
  <c r="U56" i="3"/>
  <c r="T97" i="3"/>
  <c r="T33" i="3"/>
  <c r="T89" i="3"/>
  <c r="T65" i="3"/>
  <c r="U80" i="3"/>
  <c r="T72" i="3"/>
  <c r="U72" i="3"/>
  <c r="T73" i="3"/>
  <c r="T88" i="3"/>
  <c r="U96" i="3"/>
  <c r="T57" i="3"/>
  <c r="U57" i="3"/>
  <c r="T81" i="3"/>
  <c r="U97" i="3"/>
  <c r="U81" i="3"/>
  <c r="U73" i="3"/>
  <c r="E41" i="48"/>
  <c r="F40" i="48" a="1"/>
  <c r="F40" i="48"/>
  <c r="U33" i="3"/>
  <c r="T32" i="3"/>
  <c r="T49" i="3"/>
  <c r="U48" i="3"/>
  <c r="U49" i="3"/>
  <c r="T48" i="3"/>
  <c r="U40" i="3"/>
  <c r="T40" i="3"/>
  <c r="T9" i="3"/>
  <c r="T24" i="3"/>
  <c r="U9" i="3"/>
  <c r="U8" i="3"/>
  <c r="T8" i="3"/>
  <c r="U24" i="3"/>
  <c r="T17" i="3"/>
  <c r="T86" i="3"/>
  <c r="U87" i="3"/>
  <c r="U17" i="3"/>
  <c r="T95" i="3"/>
  <c r="T16" i="3"/>
  <c r="T87" i="3"/>
  <c r="U94" i="3"/>
  <c r="CT50" i="3"/>
  <c r="U16" i="3"/>
  <c r="T94" i="3"/>
  <c r="CT52" i="3"/>
  <c r="U95" i="3"/>
  <c r="T22" i="3"/>
  <c r="CT15" i="3"/>
  <c r="U86" i="3"/>
  <c r="U15" i="3"/>
  <c r="T77" i="3"/>
  <c r="T79" i="3"/>
  <c r="CT43" i="3"/>
  <c r="U70" i="3"/>
  <c r="CT38" i="3"/>
  <c r="U13" i="3"/>
  <c r="CT12" i="3"/>
  <c r="U62" i="3"/>
  <c r="U79" i="3"/>
  <c r="T63" i="3"/>
  <c r="CT35" i="3"/>
  <c r="T54" i="3"/>
  <c r="CT32" i="3"/>
  <c r="T4" i="3"/>
  <c r="T62" i="3"/>
  <c r="T71" i="3"/>
  <c r="CT39" i="3"/>
  <c r="U71" i="3"/>
  <c r="CT41" i="3"/>
  <c r="T70" i="3"/>
  <c r="CT40" i="3"/>
  <c r="T84" i="3"/>
  <c r="CT47" i="3"/>
  <c r="T7" i="3"/>
  <c r="U36" i="3"/>
  <c r="CT51" i="3"/>
  <c r="T55" i="3"/>
  <c r="T6" i="3"/>
  <c r="T47" i="3"/>
  <c r="U55" i="3"/>
  <c r="T31" i="3"/>
  <c r="CT19" i="3"/>
  <c r="T78" i="3"/>
  <c r="CT44" i="3"/>
  <c r="T5" i="3"/>
  <c r="T45" i="3"/>
  <c r="U54" i="3"/>
  <c r="CT30" i="3"/>
  <c r="U63" i="3"/>
  <c r="CT37" i="3"/>
  <c r="U20" i="3"/>
  <c r="U30" i="3"/>
  <c r="T12" i="3"/>
  <c r="U12" i="3"/>
  <c r="T30" i="3"/>
  <c r="CT20" i="3"/>
  <c r="T37" i="3"/>
  <c r="CT25" i="3"/>
  <c r="U23" i="3"/>
  <c r="U31" i="3"/>
  <c r="U22" i="3"/>
  <c r="U6" i="3"/>
  <c r="T38" i="3"/>
  <c r="T36" i="3"/>
  <c r="T21" i="3"/>
  <c r="T44" i="3"/>
  <c r="T39" i="3"/>
  <c r="U47" i="3"/>
  <c r="U37" i="3"/>
  <c r="T23" i="3"/>
  <c r="CT16" i="3"/>
  <c r="CT8" i="3"/>
  <c r="CT21" i="3"/>
  <c r="CT26" i="3"/>
  <c r="CT17" i="3"/>
  <c r="CT46" i="3"/>
  <c r="CT28" i="3"/>
  <c r="CT36" i="3"/>
  <c r="CT24" i="3"/>
  <c r="CT49" i="3"/>
  <c r="CT34" i="3"/>
  <c r="CT45" i="3"/>
  <c r="CT29" i="3"/>
  <c r="CT31" i="3"/>
  <c r="CT42" i="3"/>
  <c r="CT53" i="3"/>
  <c r="CT22" i="3"/>
  <c r="CT13" i="3"/>
  <c r="CT33" i="3"/>
  <c r="CT48" i="3"/>
  <c r="CT18" i="3"/>
  <c r="E42" i="48"/>
  <c r="F41" i="48" a="1"/>
  <c r="F41" i="48"/>
  <c r="CT11" i="3"/>
  <c r="CT10" i="3"/>
  <c r="CT7" i="3"/>
  <c r="CT27" i="3"/>
  <c r="CT9" i="3"/>
  <c r="CT23" i="3"/>
  <c r="CT14" i="3"/>
  <c r="CU29" i="3"/>
  <c r="CU28" i="3"/>
  <c r="CU36" i="3"/>
  <c r="CU18" i="3"/>
  <c r="CU6" i="3"/>
  <c r="CU31" i="3"/>
  <c r="CU42" i="3"/>
  <c r="E43" i="48"/>
  <c r="F42" i="48" a="1"/>
  <c r="F42" i="48"/>
  <c r="CU33" i="3"/>
  <c r="CU17" i="3"/>
  <c r="CU47" i="3"/>
  <c r="CU46" i="3"/>
  <c r="CU34" i="3"/>
  <c r="CU21" i="3"/>
  <c r="CU22" i="3"/>
  <c r="CU24" i="3"/>
  <c r="CU8" i="3"/>
  <c r="CU16" i="3"/>
  <c r="CU48" i="3"/>
  <c r="CU49" i="3"/>
  <c r="CU30" i="3"/>
  <c r="CU35" i="3"/>
  <c r="CU20" i="3"/>
  <c r="CU32" i="3"/>
  <c r="CU19" i="3"/>
  <c r="CU44" i="3"/>
  <c r="CU37" i="3"/>
  <c r="CU53" i="3"/>
  <c r="CU13" i="3"/>
  <c r="CU41" i="3"/>
  <c r="CU9" i="3"/>
  <c r="CU25" i="3"/>
  <c r="CU7" i="3"/>
  <c r="CU11" i="3"/>
  <c r="CU51" i="3"/>
  <c r="CU14" i="3"/>
  <c r="CU50" i="3"/>
  <c r="CU39" i="3"/>
  <c r="CU26" i="3"/>
  <c r="CU45" i="3"/>
  <c r="CU40" i="3"/>
  <c r="CU23" i="3"/>
  <c r="CU12" i="3"/>
  <c r="CU27" i="3"/>
  <c r="CU38" i="3"/>
  <c r="CU43" i="3"/>
  <c r="CU10" i="3"/>
  <c r="CU52" i="3"/>
  <c r="CU15" i="3"/>
  <c r="E44" i="48"/>
  <c r="F43" i="48" a="1"/>
  <c r="F43" i="48"/>
  <c r="CV51" i="3"/>
  <c r="CW51" i="3"/>
  <c r="CV40" i="3"/>
  <c r="CW40" i="3"/>
  <c r="CV38" i="3"/>
  <c r="CW38" i="3"/>
  <c r="CV14" i="3"/>
  <c r="CW14" i="3"/>
  <c r="CV10" i="3"/>
  <c r="CW10" i="3"/>
  <c r="CV45" i="3"/>
  <c r="CW45" i="3"/>
  <c r="CV36" i="3"/>
  <c r="CW36" i="3"/>
  <c r="CV23" i="3"/>
  <c r="CW23" i="3"/>
  <c r="CV39" i="3"/>
  <c r="CW39" i="3"/>
  <c r="CV27" i="3"/>
  <c r="CW27" i="3"/>
  <c r="CV16" i="3"/>
  <c r="CW16" i="3"/>
  <c r="CV18" i="3"/>
  <c r="CW18" i="3"/>
  <c r="CV46" i="3"/>
  <c r="CW46" i="3"/>
  <c r="CV12" i="3"/>
  <c r="CW12" i="3"/>
  <c r="CV17" i="3"/>
  <c r="CW17" i="3"/>
  <c r="CV35" i="3"/>
  <c r="CW35" i="3"/>
  <c r="CV32" i="3"/>
  <c r="CW32" i="3"/>
  <c r="CV6" i="3"/>
  <c r="CW6" i="3"/>
  <c r="CV52" i="3"/>
  <c r="CW52" i="3"/>
  <c r="CV31" i="3"/>
  <c r="CW31" i="3"/>
  <c r="CV37" i="3"/>
  <c r="CW37" i="3"/>
  <c r="CV26" i="3"/>
  <c r="CW26" i="3"/>
  <c r="CV25" i="3"/>
  <c r="CW25" i="3"/>
  <c r="CV24" i="3"/>
  <c r="CW24" i="3"/>
  <c r="CV33" i="3"/>
  <c r="CW33" i="3"/>
  <c r="CV20" i="3"/>
  <c r="CW20" i="3"/>
  <c r="CV21" i="3"/>
  <c r="CW21" i="3"/>
  <c r="CV7" i="3"/>
  <c r="CW7" i="3"/>
  <c r="CV29" i="3"/>
  <c r="CW29" i="3"/>
  <c r="CV41" i="3"/>
  <c r="CW41" i="3"/>
  <c r="CV19" i="3"/>
  <c r="CW19" i="3"/>
  <c r="CV47" i="3"/>
  <c r="CW47" i="3"/>
  <c r="CV22" i="3"/>
  <c r="CW22" i="3"/>
  <c r="CV13" i="3"/>
  <c r="CW13" i="3"/>
  <c r="CV42" i="3"/>
  <c r="CW42" i="3"/>
  <c r="CV50" i="3"/>
  <c r="CW50" i="3"/>
  <c r="CV11" i="3"/>
  <c r="CW11" i="3"/>
  <c r="CV28" i="3"/>
  <c r="CW28" i="3"/>
  <c r="CV43" i="3"/>
  <c r="CW43" i="3"/>
  <c r="CV34" i="3"/>
  <c r="CW34" i="3"/>
  <c r="CV53" i="3"/>
  <c r="CW53" i="3"/>
  <c r="CV8" i="3"/>
  <c r="CW8" i="3"/>
  <c r="CV48" i="3"/>
  <c r="CW48" i="3"/>
  <c r="CV9" i="3"/>
  <c r="CW9" i="3"/>
  <c r="CV15" i="3"/>
  <c r="CW15" i="3"/>
  <c r="CV44" i="3"/>
  <c r="CW44" i="3"/>
  <c r="CV30" i="3"/>
  <c r="CW30" i="3"/>
  <c r="CV49" i="3"/>
  <c r="CW49" i="3"/>
  <c r="E45" i="48"/>
  <c r="F44" i="48" a="1"/>
  <c r="F44" i="48"/>
  <c r="CX27" i="3"/>
  <c r="CX33" i="3"/>
  <c r="CX21" i="3"/>
  <c r="CX32" i="3"/>
  <c r="CX18" i="3"/>
  <c r="CX49" i="3"/>
  <c r="CX51" i="3"/>
  <c r="CX9" i="3"/>
  <c r="CX35" i="3"/>
  <c r="CX47" i="3"/>
  <c r="CX52" i="3"/>
  <c r="CX14" i="3"/>
  <c r="CX39" i="3"/>
  <c r="CX13" i="3"/>
  <c r="CX41" i="3"/>
  <c r="CX45" i="3"/>
  <c r="CX26" i="3"/>
  <c r="CX40" i="3"/>
  <c r="CX10" i="3"/>
  <c r="CX20" i="3"/>
  <c r="CX42" i="3"/>
  <c r="CX22" i="3"/>
  <c r="CX29" i="3"/>
  <c r="CX6" i="3"/>
  <c r="CX8" i="3"/>
  <c r="CX24" i="3"/>
  <c r="CX36" i="3"/>
  <c r="CX30" i="3"/>
  <c r="CX37" i="3"/>
  <c r="CX53" i="3"/>
  <c r="CX11" i="3"/>
  <c r="CX16" i="3"/>
  <c r="CX15" i="3"/>
  <c r="CX28" i="3"/>
  <c r="CX12" i="3"/>
  <c r="CX38" i="3"/>
  <c r="CX19" i="3"/>
  <c r="CX31" i="3"/>
  <c r="CX46" i="3"/>
  <c r="CX44" i="3"/>
  <c r="CX48" i="3"/>
  <c r="CX50" i="3"/>
  <c r="CX34" i="3"/>
  <c r="CX7" i="3"/>
  <c r="CX17" i="3"/>
  <c r="CX23" i="3"/>
  <c r="CX43" i="3"/>
  <c r="CX25" i="3"/>
  <c r="F45" i="48" a="1"/>
  <c r="F45" i="48"/>
  <c r="E46" i="48"/>
  <c r="CY39" i="3"/>
  <c r="CZ39" i="3"/>
  <c r="CY8" i="3"/>
  <c r="CZ8" i="3"/>
  <c r="CY50" i="3"/>
  <c r="CZ50" i="3"/>
  <c r="CY18" i="3"/>
  <c r="CZ18" i="3"/>
  <c r="CY24" i="3"/>
  <c r="CZ24" i="3"/>
  <c r="CY46" i="3"/>
  <c r="CZ46" i="3"/>
  <c r="CY31" i="3"/>
  <c r="CZ31" i="3"/>
  <c r="CY47" i="3"/>
  <c r="CZ47" i="3"/>
  <c r="CY36" i="3"/>
  <c r="CZ36" i="3"/>
  <c r="CY9" i="3"/>
  <c r="CZ9" i="3"/>
  <c r="CY48" i="3"/>
  <c r="CZ48" i="3"/>
  <c r="CY43" i="3"/>
  <c r="CZ43" i="3"/>
  <c r="CY16" i="3"/>
  <c r="CZ16" i="3"/>
  <c r="CY32" i="3"/>
  <c r="CZ32" i="3"/>
  <c r="CY53" i="3"/>
  <c r="CZ53" i="3"/>
  <c r="CY44" i="3"/>
  <c r="CZ44" i="3"/>
  <c r="CY23" i="3"/>
  <c r="CZ23" i="3"/>
  <c r="CY40" i="3"/>
  <c r="CZ40" i="3"/>
  <c r="CY7" i="3"/>
  <c r="CZ7" i="3"/>
  <c r="CY33" i="3"/>
  <c r="CZ33" i="3"/>
  <c r="CY22" i="3"/>
  <c r="CZ22" i="3"/>
  <c r="CY30" i="3"/>
  <c r="CZ30" i="3"/>
  <c r="CY14" i="3"/>
  <c r="CZ14" i="3"/>
  <c r="CY45" i="3"/>
  <c r="CZ45" i="3"/>
  <c r="CY11" i="3"/>
  <c r="CZ11" i="3"/>
  <c r="CY35" i="3"/>
  <c r="CZ35" i="3"/>
  <c r="CY34" i="3"/>
  <c r="CZ34" i="3"/>
  <c r="CY13" i="3"/>
  <c r="CZ13" i="3"/>
  <c r="CY49" i="3"/>
  <c r="CZ49" i="3"/>
  <c r="CY15" i="3"/>
  <c r="CZ15" i="3"/>
  <c r="CY25" i="3"/>
  <c r="CZ25" i="3"/>
  <c r="CY10" i="3"/>
  <c r="CZ10" i="3"/>
  <c r="CY37" i="3"/>
  <c r="CZ37" i="3"/>
  <c r="CY19" i="3"/>
  <c r="CZ19" i="3"/>
  <c r="CY52" i="3"/>
  <c r="CZ52" i="3"/>
  <c r="CY6" i="3"/>
  <c r="CZ6" i="3"/>
  <c r="CY28" i="3"/>
  <c r="CZ28" i="3"/>
  <c r="CY20" i="3"/>
  <c r="CZ20" i="3"/>
  <c r="CY29" i="3"/>
  <c r="CZ29" i="3"/>
  <c r="CY26" i="3"/>
  <c r="CZ26" i="3"/>
  <c r="CY42" i="3"/>
  <c r="CZ42" i="3"/>
  <c r="CY51" i="3"/>
  <c r="CZ51" i="3"/>
  <c r="CY12" i="3"/>
  <c r="CZ12" i="3"/>
  <c r="CY27" i="3"/>
  <c r="CZ27" i="3"/>
  <c r="CY41" i="3"/>
  <c r="CZ41" i="3"/>
  <c r="CY17" i="3"/>
  <c r="CZ17" i="3"/>
  <c r="CY38" i="3"/>
  <c r="CZ38" i="3"/>
  <c r="CY21" i="3"/>
  <c r="CZ21" i="3"/>
  <c r="F46" i="48" a="1"/>
  <c r="F46" i="48"/>
  <c r="E47" i="48"/>
  <c r="DA34" i="3"/>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c r="DB37" i="3"/>
  <c r="DC37" i="3"/>
  <c r="DB31" i="3"/>
  <c r="DC31" i="3"/>
  <c r="DB15" i="3"/>
  <c r="DC15" i="3"/>
  <c r="DB47" i="3"/>
  <c r="DB52" i="3"/>
  <c r="DB7" i="3"/>
  <c r="DB34" i="3"/>
  <c r="DB29" i="3"/>
  <c r="DB32" i="3"/>
  <c r="DB10" i="3"/>
  <c r="DB13" i="3"/>
  <c r="DB16" i="3"/>
  <c r="DB30" i="3"/>
  <c r="DB40" i="3"/>
  <c r="DB41" i="3"/>
  <c r="DB14" i="3"/>
  <c r="DB25" i="3"/>
  <c r="DB6" i="3"/>
  <c r="DB9" i="3"/>
  <c r="DC9" i="3"/>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c r="DC53" i="3"/>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c r="E50" i="48"/>
  <c r="DD50" i="3"/>
  <c r="BM50" i="3"/>
  <c r="DD39" i="3"/>
  <c r="BM39" i="3"/>
  <c r="DD9" i="3"/>
  <c r="BM9" i="3"/>
  <c r="DD13" i="3"/>
  <c r="BM13" i="3"/>
  <c r="DD44" i="3"/>
  <c r="BM44" i="3"/>
  <c r="DD34" i="3"/>
  <c r="BM34" i="3"/>
  <c r="DD42" i="3"/>
  <c r="BM42" i="3"/>
  <c r="DD48" i="3"/>
  <c r="BM48" i="3"/>
  <c r="DD46" i="3"/>
  <c r="BM46" i="3"/>
  <c r="DD20" i="3"/>
  <c r="BM20" i="3"/>
  <c r="DD12" i="3"/>
  <c r="BM12" i="3"/>
  <c r="DD25" i="3"/>
  <c r="BM25" i="3"/>
  <c r="DD28" i="3"/>
  <c r="BM28" i="3"/>
  <c r="DD36" i="3"/>
  <c r="BM36" i="3"/>
  <c r="DD18" i="3"/>
  <c r="BM18" i="3"/>
  <c r="DD17" i="3"/>
  <c r="BM17" i="3"/>
  <c r="DD41" i="3"/>
  <c r="BM41" i="3"/>
  <c r="DD7" i="3"/>
  <c r="BM7" i="3"/>
  <c r="DD8" i="3"/>
  <c r="BM8" i="3"/>
  <c r="DD24" i="3"/>
  <c r="BM24" i="3"/>
  <c r="DD27" i="3"/>
  <c r="BM27" i="3"/>
  <c r="DD22" i="3"/>
  <c r="BM22" i="3"/>
  <c r="DD16" i="3"/>
  <c r="BM16" i="3"/>
  <c r="DD10" i="3"/>
  <c r="BM10" i="3"/>
  <c r="DD31" i="3"/>
  <c r="BM31" i="3"/>
  <c r="DD11" i="3"/>
  <c r="BM11" i="3"/>
  <c r="DD53" i="3"/>
  <c r="BM53" i="3"/>
  <c r="DD45" i="3"/>
  <c r="BM45" i="3"/>
  <c r="DD21" i="3"/>
  <c r="BM21" i="3"/>
  <c r="DD26" i="3"/>
  <c r="BM26" i="3"/>
  <c r="DD40" i="3"/>
  <c r="BM40" i="3"/>
  <c r="DD38" i="3"/>
  <c r="BM38" i="3"/>
  <c r="DD15" i="3"/>
  <c r="BM15" i="3"/>
  <c r="DD14" i="3"/>
  <c r="BM14" i="3"/>
  <c r="DD52" i="3"/>
  <c r="BM52" i="3"/>
  <c r="DD51" i="3"/>
  <c r="BM51" i="3"/>
  <c r="DD29" i="3"/>
  <c r="BM29" i="3"/>
  <c r="DD35" i="3"/>
  <c r="BM35" i="3"/>
  <c r="DD37" i="3"/>
  <c r="BM37" i="3"/>
  <c r="DD43" i="3"/>
  <c r="BM43" i="3"/>
  <c r="DD23" i="3"/>
  <c r="BM23" i="3"/>
  <c r="DD32" i="3"/>
  <c r="BM32" i="3"/>
  <c r="DD19" i="3"/>
  <c r="BM19" i="3"/>
  <c r="DD49" i="3"/>
  <c r="BM49" i="3"/>
  <c r="DD30" i="3"/>
  <c r="BM30" i="3"/>
  <c r="DD33" i="3"/>
  <c r="BM33" i="3"/>
  <c r="DD47" i="3"/>
  <c r="BM47" i="3"/>
  <c r="DD6" i="3"/>
  <c r="BM6" i="3"/>
  <c r="F50" i="48" a="1"/>
  <c r="F50" i="48"/>
  <c r="E51" i="48"/>
  <c r="DQ6" i="3"/>
  <c r="DJ6" i="3"/>
  <c r="AV6" i="3"/>
  <c r="AV40" i="3"/>
  <c r="DQ29" i="3"/>
  <c r="DJ29" i="3"/>
  <c r="AV54" i="3"/>
  <c r="AV64" i="3"/>
  <c r="DQ33" i="3"/>
  <c r="DJ33" i="3"/>
  <c r="DQ27" i="3"/>
  <c r="DJ27" i="3"/>
  <c r="DQ42" i="3"/>
  <c r="DJ42" i="3"/>
  <c r="DQ10" i="3"/>
  <c r="DJ10" i="3"/>
  <c r="DQ45" i="3"/>
  <c r="DJ45" i="3"/>
  <c r="AV55" i="3"/>
  <c r="DQ15" i="3"/>
  <c r="DJ15" i="3"/>
  <c r="AV31" i="3"/>
  <c r="DQ18" i="3"/>
  <c r="DJ18" i="3"/>
  <c r="AV65" i="3"/>
  <c r="AV94" i="3"/>
  <c r="AV30" i="3"/>
  <c r="AV17" i="3"/>
  <c r="DQ34" i="3"/>
  <c r="DJ34" i="3"/>
  <c r="DQ51" i="3"/>
  <c r="DJ51" i="3"/>
  <c r="AV48" i="3"/>
  <c r="DQ14" i="3"/>
  <c r="DJ14" i="3"/>
  <c r="AV24" i="3"/>
  <c r="DQ22" i="3"/>
  <c r="DJ22" i="3"/>
  <c r="AV72" i="3"/>
  <c r="AV87" i="3"/>
  <c r="DQ44" i="3"/>
  <c r="DJ44" i="3"/>
  <c r="DQ25" i="3"/>
  <c r="DJ25" i="3"/>
  <c r="AV73" i="3"/>
  <c r="DQ9" i="3"/>
  <c r="DJ9" i="3"/>
  <c r="DQ13" i="3"/>
  <c r="DJ13" i="3"/>
  <c r="DQ21" i="3"/>
  <c r="DJ21" i="3"/>
  <c r="AV97" i="3"/>
  <c r="DQ32" i="3"/>
  <c r="DJ32" i="3"/>
  <c r="AV79" i="3"/>
  <c r="AV46" i="3"/>
  <c r="DQ30" i="3"/>
  <c r="DJ30" i="3"/>
  <c r="AV89" i="3"/>
  <c r="DQ20" i="3"/>
  <c r="DJ20" i="3"/>
  <c r="DQ7" i="3"/>
  <c r="DJ7" i="3"/>
  <c r="AV57" i="3"/>
  <c r="AV22" i="3"/>
  <c r="AV56" i="3"/>
  <c r="AV88" i="3"/>
  <c r="DQ19" i="3"/>
  <c r="DJ19" i="3"/>
  <c r="DQ47" i="3"/>
  <c r="DJ47" i="3"/>
  <c r="AV25" i="3"/>
  <c r="AV32" i="3"/>
  <c r="DQ39" i="3"/>
  <c r="DJ39" i="3"/>
  <c r="AV7" i="3"/>
  <c r="AV62" i="3"/>
  <c r="AV39" i="3"/>
  <c r="DQ52" i="3"/>
  <c r="DJ52" i="3"/>
  <c r="AV95" i="3"/>
  <c r="DQ11" i="3"/>
  <c r="DJ11" i="3"/>
  <c r="DQ43" i="3"/>
  <c r="DJ43" i="3"/>
  <c r="AV9" i="3"/>
  <c r="DQ50" i="3"/>
  <c r="DJ50" i="3"/>
  <c r="DQ17" i="3"/>
  <c r="DJ17" i="3"/>
  <c r="DQ40" i="3"/>
  <c r="DJ40" i="3"/>
  <c r="AV71" i="3"/>
  <c r="AV78" i="3"/>
  <c r="AV96" i="3"/>
  <c r="AV15" i="3"/>
  <c r="AV16" i="3"/>
  <c r="DQ37" i="3"/>
  <c r="DJ37" i="3"/>
  <c r="AV86" i="3"/>
  <c r="DQ8" i="3"/>
  <c r="DJ8" i="3"/>
  <c r="DQ12" i="3"/>
  <c r="DJ12" i="3"/>
  <c r="DQ38" i="3"/>
  <c r="DJ38" i="3"/>
  <c r="DQ53" i="3"/>
  <c r="DJ53" i="3"/>
  <c r="AV49" i="3"/>
  <c r="AV14" i="3"/>
  <c r="DQ28" i="3"/>
  <c r="DJ28" i="3"/>
  <c r="AV41" i="3"/>
  <c r="DQ23" i="3"/>
  <c r="DJ23" i="3"/>
  <c r="AV38" i="3"/>
  <c r="AV23" i="3"/>
  <c r="DQ35" i="3"/>
  <c r="DJ35" i="3"/>
  <c r="DQ36" i="3"/>
  <c r="DJ36" i="3"/>
  <c r="AV47" i="3"/>
  <c r="AV33" i="3"/>
  <c r="DQ26" i="3"/>
  <c r="DJ26" i="3"/>
  <c r="AV81" i="3"/>
  <c r="DQ24" i="3"/>
  <c r="DJ24" i="3"/>
  <c r="AV80" i="3"/>
  <c r="DQ46" i="3"/>
  <c r="DJ46" i="3"/>
  <c r="DQ31" i="3"/>
  <c r="DJ31" i="3"/>
  <c r="DQ41" i="3"/>
  <c r="DJ41" i="3"/>
  <c r="DQ16" i="3"/>
  <c r="DJ16" i="3"/>
  <c r="AV70" i="3"/>
  <c r="DQ49" i="3"/>
  <c r="DJ49" i="3"/>
  <c r="AV63" i="3"/>
  <c r="DQ48" i="3"/>
  <c r="DJ48" i="3"/>
  <c r="AV8" i="3"/>
  <c r="E52" i="48"/>
  <c r="F51" i="48" a="1"/>
  <c r="F51" i="48"/>
  <c r="DL20" i="3"/>
  <c r="AU32" i="3"/>
  <c r="DL47" i="3"/>
  <c r="AU87" i="3"/>
  <c r="DL30" i="3"/>
  <c r="AU54" i="3"/>
  <c r="DL40" i="3"/>
  <c r="AU72" i="3"/>
  <c r="DL25" i="3"/>
  <c r="AU41" i="3"/>
  <c r="DL51" i="3"/>
  <c r="AU95" i="3"/>
  <c r="DL15" i="3"/>
  <c r="AU23" i="3"/>
  <c r="DL46" i="3"/>
  <c r="AU86" i="3"/>
  <c r="DL13" i="3"/>
  <c r="AU17" i="3"/>
  <c r="DL9" i="3"/>
  <c r="AU9" i="3"/>
  <c r="DL19" i="3"/>
  <c r="AU31" i="3"/>
  <c r="DL26" i="3"/>
  <c r="AU46" i="3"/>
  <c r="DL44" i="3"/>
  <c r="AU80" i="3"/>
  <c r="DL34" i="3"/>
  <c r="AU62" i="3"/>
  <c r="DL29" i="3"/>
  <c r="AU49" i="3"/>
  <c r="DL35" i="3"/>
  <c r="AU63" i="3"/>
  <c r="DL27" i="3"/>
  <c r="AU47" i="3"/>
  <c r="DL14" i="3"/>
  <c r="AU22" i="3"/>
  <c r="DL52" i="3"/>
  <c r="AU96" i="3"/>
  <c r="DL17" i="3"/>
  <c r="AU25" i="3"/>
  <c r="DL16" i="3"/>
  <c r="AU24" i="3"/>
  <c r="DL28" i="3"/>
  <c r="AU48" i="3"/>
  <c r="DL37" i="3"/>
  <c r="AU65" i="3"/>
  <c r="DL50" i="3"/>
  <c r="AU94" i="3"/>
  <c r="DL32" i="3"/>
  <c r="AU56" i="3"/>
  <c r="DL45" i="3"/>
  <c r="AU81" i="3"/>
  <c r="DL53" i="3"/>
  <c r="AU97" i="3"/>
  <c r="DL11" i="3"/>
  <c r="AU15" i="3"/>
  <c r="DL38" i="3"/>
  <c r="AU70" i="3"/>
  <c r="DL33" i="3"/>
  <c r="AU57" i="3"/>
  <c r="DL23" i="3"/>
  <c r="AU39" i="3"/>
  <c r="DL41" i="3"/>
  <c r="AU73" i="3"/>
  <c r="DL39" i="3"/>
  <c r="AU71" i="3"/>
  <c r="DL10" i="3"/>
  <c r="AU14" i="3"/>
  <c r="DF6" i="3"/>
  <c r="DF7" i="3"/>
  <c r="DF8" i="3"/>
  <c r="DF9" i="3"/>
  <c r="DL48" i="3"/>
  <c r="AU88" i="3"/>
  <c r="DL18" i="3"/>
  <c r="AU30" i="3"/>
  <c r="DL24" i="3"/>
  <c r="AU40" i="3"/>
  <c r="DL12" i="3"/>
  <c r="AU16" i="3"/>
  <c r="DL49" i="3"/>
  <c r="AU89" i="3"/>
  <c r="DL8" i="3"/>
  <c r="AU8" i="3"/>
  <c r="DL31" i="3"/>
  <c r="AU55" i="3"/>
  <c r="DL36" i="3"/>
  <c r="AU64" i="3"/>
  <c r="DL43" i="3"/>
  <c r="AU79" i="3"/>
  <c r="DL7" i="3"/>
  <c r="AU7" i="3"/>
  <c r="DL21" i="3"/>
  <c r="AU33" i="3"/>
  <c r="DL22" i="3"/>
  <c r="AU38" i="3"/>
  <c r="DL42" i="3"/>
  <c r="AU78" i="3"/>
  <c r="DL6" i="3"/>
  <c r="AU6" i="3"/>
  <c r="F52" i="48" a="1"/>
  <c r="F52" i="48"/>
  <c r="E53" i="48"/>
  <c r="DN45" i="3" a="1"/>
  <c r="DN45" i="3"/>
  <c r="DM49" i="3"/>
  <c r="DM45" i="3"/>
  <c r="DN42" i="3" a="1"/>
  <c r="DN42" i="3"/>
  <c r="DN6" i="3" a="1"/>
  <c r="DN6" i="3"/>
  <c r="DM24" i="3"/>
  <c r="DM10" i="3"/>
  <c r="DN10" i="3" a="1"/>
  <c r="DN10" i="3"/>
  <c r="DN51" i="3" a="1"/>
  <c r="DN51" i="3"/>
  <c r="DM23" i="3"/>
  <c r="DN7" i="3" a="1"/>
  <c r="DN7" i="3"/>
  <c r="DN12" i="3" a="1"/>
  <c r="DN12" i="3"/>
  <c r="DN43" i="3" a="1"/>
  <c r="DN43" i="3"/>
  <c r="DM12" i="3"/>
  <c r="DM42" i="3"/>
  <c r="DN9" i="3" a="1"/>
  <c r="DN9" i="3"/>
  <c r="DN53" i="3" a="1"/>
  <c r="DN53" i="3"/>
  <c r="DM34" i="3"/>
  <c r="DM39" i="3"/>
  <c r="DM8" i="3"/>
  <c r="DM15" i="3"/>
  <c r="DN47" i="3" a="1"/>
  <c r="DN47" i="3"/>
  <c r="AU77" i="3"/>
  <c r="AV76" i="3"/>
  <c r="DN31" i="3" a="1"/>
  <c r="DN31" i="3"/>
  <c r="DM14" i="3"/>
  <c r="DM51" i="3"/>
  <c r="DM7" i="3"/>
  <c r="DM31" i="3"/>
  <c r="DN38" i="3" a="1"/>
  <c r="DN38" i="3"/>
  <c r="DM37" i="3"/>
  <c r="DN17" i="3" a="1"/>
  <c r="DN17" i="3"/>
  <c r="DN34" i="3" a="1"/>
  <c r="DN34" i="3"/>
  <c r="DN15" i="3" a="1"/>
  <c r="DN15" i="3"/>
  <c r="DM40" i="3"/>
  <c r="DM38" i="3"/>
  <c r="DN37" i="3" a="1"/>
  <c r="DN37" i="3"/>
  <c r="DM17" i="3"/>
  <c r="DN27" i="3" a="1"/>
  <c r="DN27" i="3"/>
  <c r="DM43" i="3"/>
  <c r="DN8" i="3" a="1"/>
  <c r="DN8" i="3"/>
  <c r="DN23" i="3" a="1"/>
  <c r="DN23" i="3"/>
  <c r="DM11" i="3"/>
  <c r="DN28" i="3" a="1"/>
  <c r="DN28" i="3"/>
  <c r="DN52" i="3" a="1"/>
  <c r="DN52" i="3"/>
  <c r="DM35" i="3"/>
  <c r="DM44" i="3"/>
  <c r="DM13" i="3"/>
  <c r="DM22" i="3"/>
  <c r="DN11" i="3" a="1"/>
  <c r="DN11" i="3"/>
  <c r="DM52" i="3"/>
  <c r="DN44" i="3" a="1"/>
  <c r="DN44" i="3"/>
  <c r="DM47" i="3"/>
  <c r="DN36" i="3" a="1"/>
  <c r="DN36" i="3"/>
  <c r="DN48" i="3" a="1"/>
  <c r="DN48" i="3"/>
  <c r="DM33" i="3"/>
  <c r="DN50" i="3" a="1"/>
  <c r="DN50" i="3"/>
  <c r="DM16" i="3"/>
  <c r="DM29" i="3"/>
  <c r="DN46" i="3" a="1"/>
  <c r="DN46" i="3"/>
  <c r="DM25" i="3"/>
  <c r="DM48" i="3"/>
  <c r="DN33" i="3" a="1"/>
  <c r="DN33" i="3"/>
  <c r="DM53" i="3"/>
  <c r="DM50" i="3"/>
  <c r="DN16" i="3" a="1"/>
  <c r="DN16" i="3"/>
  <c r="DN14" i="3" a="1"/>
  <c r="DN14" i="3"/>
  <c r="DN29" i="3" a="1"/>
  <c r="DN29" i="3"/>
  <c r="DN26" i="3" a="1"/>
  <c r="DN26" i="3"/>
  <c r="AU85" i="3"/>
  <c r="AV84" i="3"/>
  <c r="DN25" i="3" a="1"/>
  <c r="DN25" i="3"/>
  <c r="AU53" i="3"/>
  <c r="AV52" i="3"/>
  <c r="DN22" i="3" a="1"/>
  <c r="DN22" i="3"/>
  <c r="DN24" i="3" a="1"/>
  <c r="DN24" i="3"/>
  <c r="DN39" i="3" a="1"/>
  <c r="DN39" i="3"/>
  <c r="DM27" i="3"/>
  <c r="DM26" i="3"/>
  <c r="DN13" i="3" a="1"/>
  <c r="DN13" i="3"/>
  <c r="DN40" i="3" a="1"/>
  <c r="DN40" i="3"/>
  <c r="DN20" i="3" a="1"/>
  <c r="DN20" i="3"/>
  <c r="AU29" i="3"/>
  <c r="AV28" i="3"/>
  <c r="AU13" i="3"/>
  <c r="AV12" i="3"/>
  <c r="AU37" i="3"/>
  <c r="AV36" i="3"/>
  <c r="AU45" i="3"/>
  <c r="AV44" i="3"/>
  <c r="DM20" i="3"/>
  <c r="AU93" i="3"/>
  <c r="AV92" i="3"/>
  <c r="DM6" i="3"/>
  <c r="DM21" i="3"/>
  <c r="DN49" i="3" a="1"/>
  <c r="DN49" i="3"/>
  <c r="DN18" i="3" a="1"/>
  <c r="DN18" i="3"/>
  <c r="DM41" i="3"/>
  <c r="DM32" i="3"/>
  <c r="DM19" i="3"/>
  <c r="DN30" i="3" a="1"/>
  <c r="DN30" i="3"/>
  <c r="AU69" i="3"/>
  <c r="AV68" i="3"/>
  <c r="DM9" i="3"/>
  <c r="AU5" i="3"/>
  <c r="AV4" i="3"/>
  <c r="DN21" i="3" a="1"/>
  <c r="DN21" i="3"/>
  <c r="DM36" i="3"/>
  <c r="DM18" i="3"/>
  <c r="DN41" i="3" a="1"/>
  <c r="DN41" i="3"/>
  <c r="DN32" i="3" a="1"/>
  <c r="DN32" i="3"/>
  <c r="DM28" i="3"/>
  <c r="AU21" i="3"/>
  <c r="AV20" i="3"/>
  <c r="DN35" i="3" a="1"/>
  <c r="DN35" i="3"/>
  <c r="AU61" i="3"/>
  <c r="AV60" i="3"/>
  <c r="DN19" i="3" a="1"/>
  <c r="DN19" i="3"/>
  <c r="DM46" i="3"/>
  <c r="DM30" i="3"/>
  <c r="F53" i="48" a="1"/>
  <c r="F53" i="48"/>
  <c r="DF40" i="3"/>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c r="BN25" i="3"/>
  <c r="DH23" i="3"/>
  <c r="BN23" i="3"/>
  <c r="DH39" i="3"/>
  <c r="BN39" i="3"/>
  <c r="DH36" i="3"/>
  <c r="BN36" i="3"/>
  <c r="DH41" i="3"/>
  <c r="BN41" i="3"/>
  <c r="DH49" i="3"/>
  <c r="BN49" i="3"/>
  <c r="DH31" i="3"/>
  <c r="BN31" i="3"/>
  <c r="DH42" i="3"/>
  <c r="BN42" i="3"/>
  <c r="DH15" i="3"/>
  <c r="BN15" i="3"/>
  <c r="DH50" i="3"/>
  <c r="BN50" i="3"/>
  <c r="DH28" i="3"/>
  <c r="BN28" i="3"/>
  <c r="DH47" i="3"/>
  <c r="BN47" i="3"/>
  <c r="DH51" i="3"/>
  <c r="BN51" i="3"/>
  <c r="DH29" i="3"/>
  <c r="BN29" i="3"/>
  <c r="DH44" i="3"/>
  <c r="BN44" i="3"/>
  <c r="DH24" i="3"/>
  <c r="BN24" i="3"/>
  <c r="DH32" i="3"/>
  <c r="BN32" i="3"/>
  <c r="DH16" i="3"/>
  <c r="BN16" i="3"/>
  <c r="DH45" i="3"/>
  <c r="BN45" i="3"/>
  <c r="DH27" i="3"/>
  <c r="BN27" i="3"/>
  <c r="DH14" i="3"/>
  <c r="BN14" i="3"/>
  <c r="DH46" i="3"/>
  <c r="BN46" i="3"/>
  <c r="DH38" i="3"/>
  <c r="BN38" i="3"/>
  <c r="DH26" i="3"/>
  <c r="BN26" i="3"/>
  <c r="DH22" i="3"/>
  <c r="BN22" i="3"/>
  <c r="DH18" i="3"/>
  <c r="BN18" i="3"/>
  <c r="DH13" i="3"/>
  <c r="BN13" i="3"/>
  <c r="DH11" i="3"/>
  <c r="BN11" i="3"/>
  <c r="DH21" i="3"/>
  <c r="BN21" i="3"/>
  <c r="DH35" i="3"/>
  <c r="BN35" i="3"/>
  <c r="DH10" i="3"/>
  <c r="BN10" i="3"/>
  <c r="DH53" i="3"/>
  <c r="BN53" i="3"/>
  <c r="DH48" i="3"/>
  <c r="BN48" i="3"/>
  <c r="DH19" i="3"/>
  <c r="BN19" i="3"/>
  <c r="DH12" i="3"/>
  <c r="BN12" i="3"/>
  <c r="DH43" i="3"/>
  <c r="BN43" i="3"/>
  <c r="DH52" i="3"/>
  <c r="BN52" i="3"/>
  <c r="DH37" i="3"/>
  <c r="BN37" i="3"/>
  <c r="DH30" i="3"/>
  <c r="BN30" i="3"/>
  <c r="DH40" i="3"/>
  <c r="BN40" i="3"/>
  <c r="DH20" i="3"/>
  <c r="BN20" i="3"/>
  <c r="DH17" i="3"/>
  <c r="BN17" i="3"/>
  <c r="DH33" i="3"/>
  <c r="BN33" i="3"/>
  <c r="DH7" i="3"/>
  <c r="BN7" i="3"/>
  <c r="DH6" i="3"/>
  <c r="BN6" i="3"/>
  <c r="DH8" i="3"/>
  <c r="BN8" i="3"/>
  <c r="DH9" i="3"/>
  <c r="BN9" i="3"/>
  <c r="DH34" i="3"/>
  <c r="BN34" i="3"/>
  <c r="AL48" i="3"/>
  <c r="AL89" i="3"/>
  <c r="AL39" i="3"/>
  <c r="AL94" i="3"/>
  <c r="AL25" i="3"/>
  <c r="AL23" i="3"/>
  <c r="AL16" i="3"/>
  <c r="AL78" i="3"/>
  <c r="AL73" i="3"/>
  <c r="BD67" i="3"/>
  <c r="BG67" i="3"/>
  <c r="AL96" i="3"/>
  <c r="AL22" i="3"/>
  <c r="BD58" i="3"/>
  <c r="BI58" i="3"/>
  <c r="AL9" i="3"/>
  <c r="AL86" i="3"/>
  <c r="AL63" i="3"/>
  <c r="AL87" i="3"/>
  <c r="AL6" i="3"/>
  <c r="AL41" i="3"/>
  <c r="AL47" i="3"/>
  <c r="AL55" i="3"/>
  <c r="AL56" i="3"/>
  <c r="BD59" i="3"/>
  <c r="BH59" i="3"/>
  <c r="AL65" i="3"/>
  <c r="AL33" i="3"/>
  <c r="BD64" i="3"/>
  <c r="BG64" i="3"/>
  <c r="AL81" i="3"/>
  <c r="BD60" i="3"/>
  <c r="AL62" i="3"/>
  <c r="AL79" i="3"/>
  <c r="AL97" i="3"/>
  <c r="BD68" i="3"/>
  <c r="BI68" i="3"/>
  <c r="BD61" i="3"/>
  <c r="BH61" i="3"/>
  <c r="AL54" i="3"/>
  <c r="BD69" i="3"/>
  <c r="BI69" i="3"/>
  <c r="BG60" i="3"/>
  <c r="AL88" i="3"/>
  <c r="AL71" i="3"/>
  <c r="AL95" i="3"/>
  <c r="BH60" i="3"/>
  <c r="BI60" i="3"/>
  <c r="AL64" i="3"/>
  <c r="AL30" i="3"/>
  <c r="AL70" i="3"/>
  <c r="AL40" i="3"/>
  <c r="BD63" i="3"/>
  <c r="BI63" i="3"/>
  <c r="AL72" i="3"/>
  <c r="BD62" i="3"/>
  <c r="BG58" i="3"/>
  <c r="BD65" i="3"/>
  <c r="BI65" i="3"/>
  <c r="AL17" i="3"/>
  <c r="AL46" i="3"/>
  <c r="AL80" i="3"/>
  <c r="AL49" i="3"/>
  <c r="BD66" i="3"/>
  <c r="BI66" i="3"/>
  <c r="AL38" i="3"/>
  <c r="BH64" i="3"/>
  <c r="BH58" i="3"/>
  <c r="BI67" i="3"/>
  <c r="AL24" i="3"/>
  <c r="AL32" i="3"/>
  <c r="AL31" i="3"/>
  <c r="AL7" i="3"/>
  <c r="AL8" i="3"/>
  <c r="AL14" i="3"/>
  <c r="BH67" i="3"/>
  <c r="AL15" i="3"/>
  <c r="AL57" i="3"/>
  <c r="BG59" i="3"/>
  <c r="BH66" i="3"/>
  <c r="BH63" i="3"/>
  <c r="BG61" i="3"/>
  <c r="BH65" i="3"/>
  <c r="BH62" i="3"/>
  <c r="BI61" i="3"/>
  <c r="BI59" i="3"/>
  <c r="BG63" i="3"/>
  <c r="BI62" i="3"/>
  <c r="BH69" i="3"/>
  <c r="BG69" i="3"/>
  <c r="BH68" i="3"/>
  <c r="BI64" i="3"/>
  <c r="BF64" i="3"/>
  <c r="BJ64" i="3"/>
  <c r="BG62" i="3"/>
  <c r="BG68" i="3"/>
  <c r="BG65" i="3"/>
  <c r="BG66" i="3"/>
  <c r="AR8" i="3"/>
  <c r="AM8" i="3"/>
  <c r="I6" i="45"/>
  <c r="AT8" i="3"/>
  <c r="J6" i="45"/>
  <c r="AN8" i="3"/>
  <c r="AO8" i="3"/>
  <c r="AS8" i="3"/>
  <c r="AQ8" i="3"/>
  <c r="H6" i="45"/>
  <c r="AK8" i="3" a="1"/>
  <c r="AK8" i="3"/>
  <c r="AP8" i="3"/>
  <c r="AM80" i="3"/>
  <c r="U30" i="45"/>
  <c r="AN80" i="3"/>
  <c r="AK80" i="3" a="1"/>
  <c r="AK80" i="3"/>
  <c r="AO80" i="3"/>
  <c r="AS80" i="3"/>
  <c r="AP80" i="3"/>
  <c r="T30" i="45"/>
  <c r="AT80" i="3"/>
  <c r="V30" i="45"/>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c r="AS62" i="3"/>
  <c r="AQ62" i="3"/>
  <c r="M112" i="3"/>
  <c r="AA111" i="3"/>
  <c r="AN62" i="3"/>
  <c r="AR62" i="3"/>
  <c r="T12" i="45"/>
  <c r="AK62" i="3" a="1"/>
  <c r="AK62" i="3"/>
  <c r="AM62" i="3"/>
  <c r="U12" i="45"/>
  <c r="AP62" i="3"/>
  <c r="AO62" i="3"/>
  <c r="AM47" i="3"/>
  <c r="I45" i="45"/>
  <c r="H45" i="45"/>
  <c r="AS47" i="3"/>
  <c r="AQ47" i="3"/>
  <c r="AR47" i="3"/>
  <c r="N104" i="3"/>
  <c r="AF102" i="3"/>
  <c r="AP47" i="3"/>
  <c r="AK47" i="3" a="1"/>
  <c r="AK47" i="3"/>
  <c r="AO47" i="3"/>
  <c r="AN47" i="3"/>
  <c r="AT47" i="3"/>
  <c r="J45" i="45"/>
  <c r="AT22" i="3"/>
  <c r="J20" i="45"/>
  <c r="H20" i="45"/>
  <c r="AR22" i="3"/>
  <c r="AN22" i="3"/>
  <c r="AK22" i="3" a="1"/>
  <c r="AK22" i="3"/>
  <c r="AP22" i="3"/>
  <c r="AQ22" i="3"/>
  <c r="AS22" i="3"/>
  <c r="M104" i="3"/>
  <c r="AA102" i="3"/>
  <c r="AO22" i="3"/>
  <c r="AM22" i="3"/>
  <c r="I20" i="45"/>
  <c r="AN23" i="3"/>
  <c r="AT23" i="3"/>
  <c r="J21" i="45"/>
  <c r="AK23" i="3" a="1"/>
  <c r="AK23" i="3"/>
  <c r="H21" i="45"/>
  <c r="AP23" i="3"/>
  <c r="AS23" i="3"/>
  <c r="AM23" i="3"/>
  <c r="I21" i="45"/>
  <c r="N103" i="3"/>
  <c r="AF104" i="3"/>
  <c r="AQ23" i="3"/>
  <c r="AO23" i="3"/>
  <c r="AR23" i="3"/>
  <c r="AR39" i="3"/>
  <c r="AP39" i="3"/>
  <c r="AQ39" i="3"/>
  <c r="AO39" i="3"/>
  <c r="AS39" i="3"/>
  <c r="M106" i="3"/>
  <c r="AA105" i="3"/>
  <c r="H37" i="45"/>
  <c r="AT39" i="3"/>
  <c r="J37" i="45"/>
  <c r="AN39" i="3"/>
  <c r="AM39" i="3"/>
  <c r="I37" i="45"/>
  <c r="AK39" i="3" a="1"/>
  <c r="AK39" i="3"/>
  <c r="AK72" i="3" a="1"/>
  <c r="AK72" i="3"/>
  <c r="AS72" i="3"/>
  <c r="T22" i="45"/>
  <c r="AO72" i="3"/>
  <c r="AM72" i="3"/>
  <c r="U22" i="45"/>
  <c r="AT72" i="3"/>
  <c r="V22" i="45"/>
  <c r="AP72" i="3"/>
  <c r="AN72" i="3"/>
  <c r="AQ72" i="3"/>
  <c r="AR72" i="3"/>
  <c r="AS70" i="3"/>
  <c r="AN70" i="3"/>
  <c r="AM70" i="3"/>
  <c r="U20" i="45"/>
  <c r="AQ70" i="3"/>
  <c r="T20" i="45"/>
  <c r="AK70" i="3" a="1"/>
  <c r="AK70" i="3"/>
  <c r="M105" i="3"/>
  <c r="AA106" i="3"/>
  <c r="AP70" i="3"/>
  <c r="AR70" i="3"/>
  <c r="AT70" i="3"/>
  <c r="V20" i="45"/>
  <c r="AO70" i="3"/>
  <c r="AP54" i="3"/>
  <c r="AT54" i="3"/>
  <c r="V4" i="45"/>
  <c r="AS54" i="3"/>
  <c r="AM54" i="3"/>
  <c r="U4" i="45"/>
  <c r="AR54" i="3"/>
  <c r="AQ54" i="3"/>
  <c r="AN54" i="3"/>
  <c r="AK54" i="3" a="1"/>
  <c r="AK54" i="3"/>
  <c r="AO54" i="3"/>
  <c r="T4" i="45"/>
  <c r="M110" i="3"/>
  <c r="AA109" i="3"/>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c r="AP33" i="3"/>
  <c r="AM33" i="3"/>
  <c r="I31" i="45"/>
  <c r="AO33" i="3"/>
  <c r="AN33" i="3"/>
  <c r="AQ33" i="3"/>
  <c r="AS33" i="3"/>
  <c r="AT33" i="3"/>
  <c r="J31" i="45"/>
  <c r="AR33" i="3"/>
  <c r="H31" i="45"/>
  <c r="AT41" i="3"/>
  <c r="J39" i="45"/>
  <c r="AN41" i="3"/>
  <c r="AM41" i="3"/>
  <c r="I39" i="45"/>
  <c r="AR41" i="3"/>
  <c r="AO41" i="3"/>
  <c r="AP41" i="3"/>
  <c r="H39" i="45"/>
  <c r="AK41" i="3" a="1"/>
  <c r="AK41" i="3"/>
  <c r="AQ41" i="3"/>
  <c r="AS41" i="3"/>
  <c r="AT86" i="3"/>
  <c r="V36" i="45"/>
  <c r="M115" i="3"/>
  <c r="AA116" i="3"/>
  <c r="AS86" i="3"/>
  <c r="AQ86" i="3"/>
  <c r="AP86" i="3"/>
  <c r="T36" i="45"/>
  <c r="AO86" i="3"/>
  <c r="AR86" i="3"/>
  <c r="AK86" i="3" a="1"/>
  <c r="AK86" i="3"/>
  <c r="AN86" i="3"/>
  <c r="AM86" i="3"/>
  <c r="U36" i="45"/>
  <c r="AS96" i="3"/>
  <c r="AM96" i="3"/>
  <c r="U46" i="45"/>
  <c r="AT96" i="3"/>
  <c r="V46" i="45"/>
  <c r="AK96" i="3" a="1"/>
  <c r="AK96" i="3"/>
  <c r="AQ96" i="3"/>
  <c r="AP96" i="3"/>
  <c r="AN96" i="3"/>
  <c r="T46" i="45"/>
  <c r="AR96" i="3"/>
  <c r="AO96" i="3"/>
  <c r="BF67" i="3"/>
  <c r="AR57" i="3"/>
  <c r="T7" i="45"/>
  <c r="AP57" i="3"/>
  <c r="AQ57" i="3"/>
  <c r="AK57" i="3" a="1"/>
  <c r="AK57" i="3"/>
  <c r="AO57" i="3"/>
  <c r="AN57" i="3"/>
  <c r="AT57" i="3"/>
  <c r="V7" i="45"/>
  <c r="AM57" i="3"/>
  <c r="U7" i="45"/>
  <c r="AS57" i="3"/>
  <c r="M101" i="3"/>
  <c r="AA101" i="3"/>
  <c r="AQ7" i="3"/>
  <c r="AO7" i="3"/>
  <c r="AK7" i="3" a="1"/>
  <c r="AK7" i="3"/>
  <c r="AN7" i="3"/>
  <c r="AT7" i="3"/>
  <c r="J5" i="45"/>
  <c r="AP7" i="3"/>
  <c r="AR7" i="3"/>
  <c r="H5" i="45"/>
  <c r="AS7" i="3"/>
  <c r="AM7" i="3"/>
  <c r="I5" i="45"/>
  <c r="AT95" i="3"/>
  <c r="V45" i="45"/>
  <c r="AP95" i="3"/>
  <c r="AR95" i="3"/>
  <c r="AM95" i="3"/>
  <c r="U45" i="45"/>
  <c r="AN95" i="3"/>
  <c r="AQ95" i="3"/>
  <c r="AO95" i="3"/>
  <c r="N111" i="3"/>
  <c r="AF112" i="3"/>
  <c r="AK95" i="3" a="1"/>
  <c r="AK95" i="3"/>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c r="H13" i="45"/>
  <c r="AN15" i="3"/>
  <c r="AS15" i="3"/>
  <c r="AM15" i="3"/>
  <c r="I13" i="45"/>
  <c r="AR15" i="3"/>
  <c r="AT15" i="3"/>
  <c r="J13" i="45"/>
  <c r="AO15" i="3"/>
  <c r="AQ15" i="3"/>
  <c r="AK15" i="3" a="1"/>
  <c r="AK15" i="3"/>
  <c r="AO31" i="3"/>
  <c r="AK31" i="3" a="1"/>
  <c r="AK31" i="3"/>
  <c r="AQ31" i="3"/>
  <c r="AM31" i="3"/>
  <c r="I29" i="45"/>
  <c r="H29" i="45"/>
  <c r="AP31" i="3"/>
  <c r="AR31" i="3"/>
  <c r="AT31" i="3"/>
  <c r="J29" i="45"/>
  <c r="M116" i="3"/>
  <c r="AA114" i="3"/>
  <c r="AS31" i="3"/>
  <c r="AN31" i="3"/>
  <c r="AK38" i="3" a="1"/>
  <c r="AK38" i="3"/>
  <c r="AQ38" i="3"/>
  <c r="AR38" i="3"/>
  <c r="AO38" i="3"/>
  <c r="AT38" i="3"/>
  <c r="J36" i="45"/>
  <c r="AS38" i="3"/>
  <c r="AP38" i="3"/>
  <c r="H36" i="45"/>
  <c r="AM38" i="3"/>
  <c r="I36" i="45"/>
  <c r="M102" i="3"/>
  <c r="AA103" i="3"/>
  <c r="AN38" i="3"/>
  <c r="AN46" i="3"/>
  <c r="AP46" i="3"/>
  <c r="AM46" i="3"/>
  <c r="I44" i="45"/>
  <c r="AT46" i="3"/>
  <c r="J44" i="45"/>
  <c r="AK46" i="3" a="1"/>
  <c r="AK46" i="3"/>
  <c r="H44" i="45"/>
  <c r="AS46" i="3"/>
  <c r="AR46" i="3"/>
  <c r="AQ46" i="3"/>
  <c r="AO46" i="3"/>
  <c r="M103" i="3"/>
  <c r="AA104" i="3"/>
  <c r="AN71" i="3"/>
  <c r="AQ71" i="3"/>
  <c r="T21" i="45"/>
  <c r="AS71" i="3"/>
  <c r="AP71" i="3"/>
  <c r="AK71" i="3" a="1"/>
  <c r="AK71" i="3"/>
  <c r="AO71" i="3"/>
  <c r="N106" i="3"/>
  <c r="AF105" i="3"/>
  <c r="AR71" i="3"/>
  <c r="AT71" i="3"/>
  <c r="V21" i="45"/>
  <c r="AM71" i="3"/>
  <c r="U21" i="45"/>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c r="AR65" i="3"/>
  <c r="AS65" i="3"/>
  <c r="AO65" i="3"/>
  <c r="AP65" i="3"/>
  <c r="T15" i="45"/>
  <c r="AQ65" i="3"/>
  <c r="AT65" i="3"/>
  <c r="V15" i="45"/>
  <c r="AM65" i="3"/>
  <c r="U15" i="45"/>
  <c r="AN65" i="3"/>
  <c r="M107" i="3"/>
  <c r="AA107" i="3"/>
  <c r="AP6" i="3"/>
  <c r="AK6" i="3" a="1"/>
  <c r="AK6" i="3"/>
  <c r="AO6" i="3"/>
  <c r="H4" i="45"/>
  <c r="AN6" i="3"/>
  <c r="AT6" i="3"/>
  <c r="J4" i="45"/>
  <c r="AM6" i="3"/>
  <c r="I4" i="45"/>
  <c r="AQ6" i="3"/>
  <c r="AS6" i="3"/>
  <c r="AR6" i="3"/>
  <c r="AQ32" i="3"/>
  <c r="AN32" i="3"/>
  <c r="AS32" i="3"/>
  <c r="AT32" i="3"/>
  <c r="J30" i="45"/>
  <c r="AM32" i="3"/>
  <c r="I30" i="45"/>
  <c r="H30" i="45"/>
  <c r="AO32" i="3"/>
  <c r="AR32" i="3"/>
  <c r="AP32" i="3"/>
  <c r="AK32" i="3" a="1"/>
  <c r="AK32" i="3"/>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c r="AK30" i="3" a="1"/>
  <c r="AK30" i="3"/>
  <c r="AN30" i="3"/>
  <c r="AR30" i="3"/>
  <c r="AQ30" i="3"/>
  <c r="AT30" i="3"/>
  <c r="J28" i="45"/>
  <c r="AO30" i="3"/>
  <c r="H28" i="45"/>
  <c r="AM30" i="3"/>
  <c r="I28" i="45"/>
  <c r="AS30" i="3"/>
  <c r="AN88" i="3"/>
  <c r="AR88" i="3"/>
  <c r="AS88" i="3"/>
  <c r="AQ88" i="3"/>
  <c r="AK88" i="3" a="1"/>
  <c r="AK88" i="3"/>
  <c r="AM88" i="3"/>
  <c r="U38" i="45"/>
  <c r="AT88" i="3"/>
  <c r="V38" i="45"/>
  <c r="T38" i="45"/>
  <c r="AP88" i="3"/>
  <c r="AO88" i="3"/>
  <c r="AP97" i="3"/>
  <c r="AT97" i="3"/>
  <c r="V47" i="45"/>
  <c r="AN97" i="3"/>
  <c r="AQ97" i="3"/>
  <c r="AR97" i="3"/>
  <c r="AS97" i="3"/>
  <c r="AM97" i="3"/>
  <c r="U47" i="45"/>
  <c r="T47" i="45"/>
  <c r="AK97" i="3" a="1"/>
  <c r="AK97" i="3"/>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c r="AR89" i="3"/>
  <c r="AN89" i="3"/>
  <c r="AS89" i="3"/>
  <c r="AP89" i="3"/>
  <c r="AM89" i="3"/>
  <c r="U39" i="45"/>
  <c r="T39" i="45"/>
  <c r="AO89" i="3"/>
  <c r="AK89" i="3" a="1"/>
  <c r="AK89" i="3"/>
  <c r="AQ89" i="3"/>
  <c r="AO24" i="3"/>
  <c r="AM24" i="3"/>
  <c r="I22" i="45"/>
  <c r="AK24" i="3" a="1"/>
  <c r="AK24" i="3"/>
  <c r="AR24" i="3"/>
  <c r="AT24" i="3"/>
  <c r="J22" i="45"/>
  <c r="H22" i="45"/>
  <c r="AQ24" i="3"/>
  <c r="AP24" i="3"/>
  <c r="AN24" i="3"/>
  <c r="AS24" i="3"/>
  <c r="AN49" i="3"/>
  <c r="AT49" i="3"/>
  <c r="J47" i="45"/>
  <c r="AS49" i="3"/>
  <c r="AM49" i="3"/>
  <c r="I47" i="45"/>
  <c r="AR49" i="3"/>
  <c r="AK49" i="3" a="1"/>
  <c r="AK49" i="3"/>
  <c r="H47" i="45"/>
  <c r="AP49" i="3"/>
  <c r="AQ49" i="3"/>
  <c r="AO49" i="3"/>
  <c r="AP17" i="3"/>
  <c r="AQ17" i="3"/>
  <c r="H15" i="45"/>
  <c r="AO17" i="3"/>
  <c r="AK17" i="3" a="1"/>
  <c r="AK17" i="3"/>
  <c r="AT17" i="3"/>
  <c r="J15" i="45"/>
  <c r="AN17" i="3"/>
  <c r="AR17" i="3"/>
  <c r="AS17" i="3"/>
  <c r="AM17" i="3"/>
  <c r="I15" i="45"/>
  <c r="AS64" i="3"/>
  <c r="AK64" i="3" a="1"/>
  <c r="AK64" i="3"/>
  <c r="AP64" i="3"/>
  <c r="AO64" i="3"/>
  <c r="T14" i="45"/>
  <c r="AR64" i="3"/>
  <c r="AQ64" i="3"/>
  <c r="AN64" i="3"/>
  <c r="AT64" i="3"/>
  <c r="V14" i="45"/>
  <c r="AM64" i="3"/>
  <c r="U14" i="45"/>
  <c r="BF60" i="3"/>
  <c r="BJ60" i="3"/>
  <c r="AM81" i="3"/>
  <c r="U31" i="45"/>
  <c r="AT81" i="3"/>
  <c r="V31" i="45"/>
  <c r="AO81" i="3"/>
  <c r="AS81" i="3"/>
  <c r="T31" i="45"/>
  <c r="AP81" i="3"/>
  <c r="AK81" i="3" a="1"/>
  <c r="AK81" i="3"/>
  <c r="AR81" i="3"/>
  <c r="AQ81" i="3"/>
  <c r="AN81" i="3"/>
  <c r="AT9" i="3"/>
  <c r="J7" i="45"/>
  <c r="AM9" i="3"/>
  <c r="I7" i="45"/>
  <c r="AO9" i="3"/>
  <c r="AP9" i="3"/>
  <c r="AK9" i="3" a="1"/>
  <c r="AK9" i="3"/>
  <c r="AN9" i="3"/>
  <c r="AR9" i="3"/>
  <c r="AQ9" i="3"/>
  <c r="H7" i="45"/>
  <c r="AS9" i="3"/>
  <c r="AO73" i="3"/>
  <c r="T23" i="45"/>
  <c r="AQ73" i="3"/>
  <c r="AR73" i="3"/>
  <c r="AT73" i="3"/>
  <c r="V23" i="45"/>
  <c r="AS73" i="3"/>
  <c r="AN73" i="3"/>
  <c r="AM73" i="3"/>
  <c r="U23" i="45"/>
  <c r="AK73" i="3" a="1"/>
  <c r="AK73" i="3"/>
  <c r="AP73" i="3"/>
  <c r="AP14" i="3"/>
  <c r="H12" i="45"/>
  <c r="AM14" i="3"/>
  <c r="I12" i="45"/>
  <c r="AK14" i="3" a="1"/>
  <c r="AK14" i="3"/>
  <c r="AR14" i="3"/>
  <c r="AN14" i="3"/>
  <c r="AT14" i="3"/>
  <c r="J12" i="45"/>
  <c r="M113" i="3"/>
  <c r="AA113" i="3"/>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c r="AQ79" i="3"/>
  <c r="AO79" i="3"/>
  <c r="AT79" i="3"/>
  <c r="V29" i="45"/>
  <c r="AK79" i="3" a="1"/>
  <c r="AK79" i="3"/>
  <c r="N112" i="3"/>
  <c r="AF111" i="3"/>
  <c r="AP79" i="3"/>
  <c r="AS79" i="3"/>
  <c r="T29" i="45"/>
  <c r="AN79" i="3"/>
  <c r="AR79" i="3"/>
  <c r="AN56" i="3"/>
  <c r="AT56" i="3"/>
  <c r="V6" i="45"/>
  <c r="AO56" i="3"/>
  <c r="AK56" i="3" a="1"/>
  <c r="AK56" i="3"/>
  <c r="AR56" i="3"/>
  <c r="T6" i="45"/>
  <c r="AS56" i="3"/>
  <c r="AP56" i="3"/>
  <c r="AQ56" i="3"/>
  <c r="AM56" i="3"/>
  <c r="U6" i="45"/>
  <c r="T37" i="45"/>
  <c r="AR87" i="3"/>
  <c r="AQ87" i="3"/>
  <c r="M111" i="3"/>
  <c r="AA112" i="3"/>
  <c r="AO87" i="3"/>
  <c r="AM87" i="3"/>
  <c r="U37" i="45"/>
  <c r="AS87" i="3"/>
  <c r="AP87" i="3"/>
  <c r="AN87" i="3"/>
  <c r="AK87" i="3" a="1"/>
  <c r="AK87" i="3"/>
  <c r="AT87" i="3"/>
  <c r="V37" i="45"/>
  <c r="T28" i="45"/>
  <c r="AT78" i="3"/>
  <c r="V28" i="45"/>
  <c r="AO78" i="3"/>
  <c r="AK78" i="3" a="1"/>
  <c r="AK78" i="3"/>
  <c r="AS78" i="3"/>
  <c r="M114" i="3"/>
  <c r="AA115" i="3"/>
  <c r="AM78" i="3"/>
  <c r="U28" i="45"/>
  <c r="AR78" i="3"/>
  <c r="AP78" i="3"/>
  <c r="AN78" i="3"/>
  <c r="AQ78" i="3"/>
  <c r="AO25" i="3"/>
  <c r="AM25" i="3"/>
  <c r="I23" i="45"/>
  <c r="AK25" i="3" a="1"/>
  <c r="AK25" i="3"/>
  <c r="AR25" i="3"/>
  <c r="AT25" i="3"/>
  <c r="J23" i="45"/>
  <c r="AQ25" i="3"/>
  <c r="AP25" i="3"/>
  <c r="H23" i="45"/>
  <c r="AN25" i="3"/>
  <c r="AS25" i="3"/>
  <c r="AP48" i="3"/>
  <c r="AQ48" i="3"/>
  <c r="AS48" i="3"/>
  <c r="AM48" i="3"/>
  <c r="I46" i="45"/>
  <c r="AN48" i="3"/>
  <c r="AT48" i="3"/>
  <c r="J46" i="45"/>
  <c r="H46" i="45"/>
  <c r="AO48" i="3"/>
  <c r="AR48" i="3"/>
  <c r="AK48" i="3" a="1"/>
  <c r="AK48" i="3"/>
  <c r="BF58" i="3"/>
  <c r="BE58" i="3"/>
  <c r="BR58" i="3"/>
  <c r="AR40" i="3"/>
  <c r="AT40" i="3"/>
  <c r="J38" i="45"/>
  <c r="AK40" i="3" a="1"/>
  <c r="AK40" i="3"/>
  <c r="AQ40" i="3"/>
  <c r="H38" i="45"/>
  <c r="AN40" i="3"/>
  <c r="AM40" i="3"/>
  <c r="I38" i="45"/>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c r="AM55" i="3"/>
  <c r="U5" i="45"/>
  <c r="AP55" i="3"/>
  <c r="T5" i="45"/>
  <c r="AO55" i="3"/>
  <c r="AT55" i="3"/>
  <c r="V5" i="45"/>
  <c r="N116" i="3"/>
  <c r="AF114" i="3"/>
  <c r="AS63" i="3"/>
  <c r="T13" i="45"/>
  <c r="AT63" i="3"/>
  <c r="V13" i="45"/>
  <c r="AO63" i="3"/>
  <c r="AP63" i="3"/>
  <c r="AN63" i="3"/>
  <c r="N114" i="3"/>
  <c r="AF115" i="3"/>
  <c r="AR63" i="3"/>
  <c r="AM63" i="3"/>
  <c r="U13" i="45"/>
  <c r="AK63" i="3" a="1"/>
  <c r="AK63" i="3"/>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c r="AP16" i="3"/>
  <c r="AK16" i="3" a="1"/>
  <c r="AK16" i="3"/>
  <c r="AQ16" i="3"/>
  <c r="AR16" i="3"/>
  <c r="AT16" i="3"/>
  <c r="J14" i="45"/>
  <c r="AO16" i="3"/>
  <c r="H14" i="45"/>
  <c r="AN16" i="3"/>
  <c r="AS16" i="3"/>
  <c r="AK94" i="3" a="1"/>
  <c r="AK94" i="3"/>
  <c r="AN94" i="3"/>
  <c r="T44" i="45"/>
  <c r="AO94" i="3"/>
  <c r="AM94" i="3"/>
  <c r="U44" i="45"/>
  <c r="AT94" i="3"/>
  <c r="V44" i="45"/>
  <c r="M108" i="3"/>
  <c r="AA108" i="3"/>
  <c r="AQ94" i="3"/>
  <c r="AP94" i="3"/>
  <c r="AS94" i="3"/>
  <c r="AR94" i="3"/>
  <c r="W20" i="45"/>
  <c r="W22" i="45"/>
  <c r="BF66" i="3"/>
  <c r="BJ66" i="3"/>
  <c r="W46" i="45"/>
  <c r="BF65" i="3"/>
  <c r="BJ65" i="3"/>
  <c r="BF63" i="3"/>
  <c r="BK63" i="3"/>
  <c r="BF59" i="3"/>
  <c r="BE59" i="3"/>
  <c r="BR59" i="3"/>
  <c r="BF61" i="3"/>
  <c r="BE65" i="3"/>
  <c r="BR65" i="3"/>
  <c r="BF68" i="3"/>
  <c r="BF62" i="3"/>
  <c r="BJ62" i="3"/>
  <c r="BF69" i="3"/>
  <c r="BE69" i="3"/>
  <c r="BR69" i="3"/>
  <c r="BK61" i="3"/>
  <c r="BJ61" i="3"/>
  <c r="BE61" i="3"/>
  <c r="BR61" i="3"/>
  <c r="BK69" i="3"/>
  <c r="BJ69" i="3"/>
  <c r="BE64" i="3"/>
  <c r="BR64" i="3"/>
  <c r="BE66" i="3"/>
  <c r="BR66" i="3"/>
  <c r="BJ63" i="3"/>
  <c r="BJ68" i="3"/>
  <c r="BK68" i="3"/>
  <c r="BK65" i="3"/>
  <c r="BE60" i="3"/>
  <c r="BR60" i="3"/>
  <c r="BK66" i="3"/>
  <c r="BK62" i="3"/>
  <c r="BE63" i="3"/>
  <c r="BR63" i="3"/>
  <c r="BJ67" i="3"/>
  <c r="BK67" i="3"/>
  <c r="BE67" i="3"/>
  <c r="BR67" i="3"/>
  <c r="BK64" i="3"/>
  <c r="BL64" i="3"/>
  <c r="BJ58" i="3"/>
  <c r="BK58" i="3"/>
  <c r="BE68" i="3"/>
  <c r="BR68" i="3"/>
  <c r="BJ59" i="3"/>
  <c r="BK59" i="3"/>
  <c r="BK60" i="3"/>
  <c r="BL60" i="3"/>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a="1"/>
  <c r="D14" i="48"/>
  <c r="AA19" i="45"/>
  <c r="M156" i="46"/>
  <c r="M139" i="46"/>
  <c r="AA21" i="45"/>
  <c r="M132" i="46"/>
  <c r="AA3" i="45"/>
  <c r="C175" i="46"/>
  <c r="D15" i="48" a="1"/>
  <c r="D15" i="48"/>
  <c r="M157" i="46"/>
  <c r="D112" i="3"/>
  <c r="AA16" i="45"/>
  <c r="K37" i="45"/>
  <c r="M124" i="46"/>
  <c r="M127" i="46"/>
  <c r="M125" i="46"/>
  <c r="M126" i="46"/>
  <c r="W13" i="45"/>
  <c r="M159" i="46"/>
  <c r="AA43" i="45"/>
  <c r="C177" i="46"/>
  <c r="D17" i="48" a="1"/>
  <c r="D17" i="48"/>
  <c r="W21" i="45"/>
  <c r="K13" i="45"/>
  <c r="K21" i="45"/>
  <c r="M160" i="46"/>
  <c r="AA40" i="45"/>
  <c r="C178" i="46"/>
  <c r="D18" i="48" a="1"/>
  <c r="D18" i="48"/>
  <c r="M119" i="46"/>
  <c r="M116" i="46"/>
  <c r="M118" i="46"/>
  <c r="M117" i="46"/>
  <c r="K47" i="45"/>
  <c r="AA33" i="45"/>
  <c r="M136" i="46"/>
  <c r="M150" i="46"/>
  <c r="D105" i="3"/>
  <c r="C168" i="46"/>
  <c r="D8" i="48" a="1"/>
  <c r="D8" i="48"/>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a="1"/>
  <c r="D7" i="48"/>
  <c r="M149" i="46"/>
  <c r="AA13" i="45"/>
  <c r="D104" i="3"/>
  <c r="M141" i="46"/>
  <c r="K175" i="46"/>
  <c r="DT112" i="3"/>
  <c r="AA15" i="45"/>
  <c r="W38" i="45"/>
  <c r="K28" i="45"/>
  <c r="M82" i="46"/>
  <c r="M83" i="46"/>
  <c r="M80" i="46"/>
  <c r="M81" i="46"/>
  <c r="W45" i="45"/>
  <c r="M135" i="46"/>
  <c r="AA6" i="45"/>
  <c r="AA28" i="45"/>
  <c r="M147" i="46"/>
  <c r="C165" i="46"/>
  <c r="D5" i="48" a="1"/>
  <c r="D5" i="48"/>
  <c r="D102" i="3"/>
  <c r="D115" i="3"/>
  <c r="DT115" i="3"/>
  <c r="K178" i="46"/>
  <c r="AA39" i="45"/>
  <c r="M144" i="46"/>
  <c r="W6" i="45"/>
  <c r="M85" i="46"/>
  <c r="M87" i="46"/>
  <c r="M86" i="46"/>
  <c r="M84" i="46"/>
  <c r="M94" i="46"/>
  <c r="M95" i="46"/>
  <c r="M93" i="46"/>
  <c r="M92" i="46"/>
  <c r="M101" i="46"/>
  <c r="M102" i="46"/>
  <c r="M103" i="46"/>
  <c r="M100" i="46"/>
  <c r="AA10" i="45"/>
  <c r="M146" i="46"/>
  <c r="C164" i="46"/>
  <c r="D4" i="48" a="1"/>
  <c r="D4" i="48"/>
  <c r="D101" i="3"/>
  <c r="M130" i="46"/>
  <c r="AA9" i="45"/>
  <c r="K164" i="46"/>
  <c r="DT101" i="3"/>
  <c r="M120" i="46"/>
  <c r="M121" i="46"/>
  <c r="M123" i="46"/>
  <c r="M122" i="46"/>
  <c r="AA48" i="45"/>
  <c r="M145" i="46"/>
  <c r="M138" i="46"/>
  <c r="AA24" i="45"/>
  <c r="DT102" i="3"/>
  <c r="M131" i="46"/>
  <c r="K165" i="46"/>
  <c r="AA27" i="45"/>
  <c r="BL66" i="3"/>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c r="A17" i="48" a="1"/>
  <c r="A17" i="48"/>
  <c r="A8" i="48" a="1"/>
  <c r="A8" i="48"/>
  <c r="A8" i="50" a="1"/>
  <c r="A8" i="50"/>
  <c r="A4" i="50" a="1"/>
  <c r="A4" i="50"/>
  <c r="A4" i="48" a="1"/>
  <c r="A4" i="48"/>
  <c r="A18" i="50" a="1"/>
  <c r="A18" i="50"/>
  <c r="A18" i="48" a="1"/>
  <c r="A18" i="48"/>
  <c r="A5" i="48" a="1"/>
  <c r="A5" i="48"/>
  <c r="A5" i="50" a="1"/>
  <c r="A5" i="50"/>
  <c r="A7" i="48" a="1"/>
  <c r="A7" i="48"/>
  <c r="A7" i="50" a="1"/>
  <c r="A7" i="50"/>
  <c r="A14" i="48" a="1"/>
  <c r="A14" i="48"/>
  <c r="A14" i="50" a="1"/>
  <c r="A14" i="50"/>
  <c r="A15" i="50" a="1"/>
  <c r="A15" i="50"/>
  <c r="A15" i="48" a="1"/>
  <c r="A15" i="48"/>
  <c r="BL63" i="3"/>
  <c r="BL65" i="3"/>
  <c r="BL62" i="3"/>
  <c r="BE62" i="3"/>
  <c r="BR62" i="3"/>
  <c r="BS60" i="3"/>
  <c r="BL61" i="3"/>
  <c r="BL68" i="3"/>
  <c r="BL67" i="3"/>
  <c r="BL59" i="3"/>
  <c r="BL58" i="3"/>
  <c r="BL69" i="3"/>
  <c r="C6" i="48" a="1"/>
  <c r="C6" i="48"/>
  <c r="C5" i="48" a="1"/>
  <c r="C5" i="48"/>
  <c r="B5" i="50" a="1"/>
  <c r="B5" i="50"/>
  <c r="C19" i="48" a="1"/>
  <c r="C19" i="48"/>
  <c r="B4" i="50" a="1"/>
  <c r="B4" i="50"/>
  <c r="C4" i="48" a="1"/>
  <c r="C4" i="48"/>
  <c r="C18" i="48" a="1"/>
  <c r="C18" i="48"/>
  <c r="B18" i="50" a="1"/>
  <c r="B18" i="50"/>
  <c r="C9" i="48" a="1"/>
  <c r="C9" i="48"/>
  <c r="B17" i="50" a="1"/>
  <c r="B17" i="50"/>
  <c r="C17" i="48" a="1"/>
  <c r="C17" i="48"/>
  <c r="C12" i="48" a="1"/>
  <c r="C12" i="48"/>
  <c r="C7" i="48" a="1"/>
  <c r="C7" i="48"/>
  <c r="B7" i="50" a="1"/>
  <c r="B7" i="50"/>
  <c r="C8" i="48" a="1"/>
  <c r="C8" i="48"/>
  <c r="B8" i="50" a="1"/>
  <c r="B8" i="50"/>
  <c r="C11" i="48" a="1"/>
  <c r="C11" i="48"/>
  <c r="C15" i="48" a="1"/>
  <c r="C15" i="48"/>
  <c r="B15" i="50" a="1"/>
  <c r="B15" i="50"/>
  <c r="C16" i="48" a="1"/>
  <c r="C16" i="48"/>
  <c r="C10" i="48" a="1"/>
  <c r="C10" i="48"/>
  <c r="C13" i="48" a="1"/>
  <c r="C13" i="48"/>
  <c r="AG115" i="3"/>
  <c r="M126" i="3"/>
  <c r="AA126" i="3"/>
  <c r="AG114" i="3"/>
  <c r="N126" i="3"/>
  <c r="AF126" i="3"/>
  <c r="AG102" i="3"/>
  <c r="M122" i="3"/>
  <c r="AA122" i="3"/>
  <c r="N124" i="3"/>
  <c r="AF124" i="3"/>
  <c r="AG111" i="3"/>
  <c r="N122" i="3"/>
  <c r="AF122" i="3"/>
  <c r="AG105" i="3"/>
  <c r="AG112" i="3"/>
  <c r="M124" i="3"/>
  <c r="AA124" i="3"/>
  <c r="M121" i="3"/>
  <c r="AA120" i="3"/>
  <c r="AG101" i="3"/>
  <c r="N121" i="3"/>
  <c r="AF120" i="3"/>
  <c r="AG104" i="3"/>
  <c r="DO128" i="46"/>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a="1"/>
  <c r="C30" i="48"/>
  <c r="B30" i="48"/>
  <c r="B30" i="50" a="1"/>
  <c r="B30" i="50"/>
  <c r="C24" i="48" a="1"/>
  <c r="C24" i="48"/>
  <c r="B24" i="48"/>
  <c r="B24" i="50" a="1"/>
  <c r="B24" i="50"/>
  <c r="B34" i="50" a="1"/>
  <c r="B34" i="50"/>
  <c r="C34" i="48" a="1"/>
  <c r="C34" i="48"/>
  <c r="B34" i="48"/>
  <c r="B20" i="50" a="1"/>
  <c r="B20" i="50"/>
  <c r="C20" i="48" a="1"/>
  <c r="C20" i="48"/>
  <c r="B20" i="48"/>
  <c r="BT60" i="3"/>
  <c r="BU60" i="3"/>
  <c r="BT59" i="3"/>
  <c r="BU59" i="3"/>
  <c r="BT67" i="3"/>
  <c r="BU67" i="3"/>
  <c r="BT65" i="3"/>
  <c r="BU65" i="3"/>
  <c r="BT58" i="3"/>
  <c r="BU58" i="3"/>
  <c r="BT64" i="3"/>
  <c r="BU64" i="3"/>
  <c r="BT62" i="3"/>
  <c r="BU62" i="3"/>
  <c r="BT63" i="3"/>
  <c r="BU63" i="3"/>
  <c r="BT68" i="3"/>
  <c r="BU68" i="3"/>
  <c r="BT66" i="3"/>
  <c r="BU66" i="3"/>
  <c r="BT61" i="3"/>
  <c r="BU61" i="3"/>
  <c r="BT69" i="3"/>
  <c r="BU69" i="3"/>
  <c r="N131" i="3"/>
  <c r="AF131" i="3"/>
  <c r="AG120" i="3"/>
  <c r="AG126" i="3"/>
  <c r="M134" i="3"/>
  <c r="AA134" i="3"/>
  <c r="M132" i="3"/>
  <c r="AA132" i="3"/>
  <c r="AG124" i="3"/>
  <c r="M133" i="3"/>
  <c r="AA133" i="3"/>
  <c r="AG122" i="3"/>
  <c r="BV59" i="3"/>
  <c r="BV60" i="3"/>
  <c r="BV64" i="3"/>
  <c r="BV67" i="3"/>
  <c r="BV65" i="3"/>
  <c r="BV66" i="3"/>
  <c r="BV58" i="3"/>
  <c r="BV68" i="3"/>
  <c r="BV61" i="3"/>
  <c r="BV62" i="3"/>
  <c r="BV63" i="3"/>
  <c r="BV69" i="3"/>
  <c r="AI43" i="45"/>
  <c r="M213" i="46"/>
  <c r="D134" i="3"/>
  <c r="AI31" i="45"/>
  <c r="M212" i="46"/>
  <c r="AI19" i="45"/>
  <c r="M211" i="46"/>
  <c r="AI8" i="45"/>
  <c r="M214" i="46"/>
  <c r="B14" i="50" a="1"/>
  <c r="B14" i="50"/>
  <c r="C14" i="48" a="1"/>
  <c r="C14" i="48"/>
  <c r="B14" i="48"/>
  <c r="BW61" i="3"/>
  <c r="BX61" i="3"/>
  <c r="BW65" i="3"/>
  <c r="BX65" i="3"/>
  <c r="BW58" i="3"/>
  <c r="BX58" i="3"/>
  <c r="BW59" i="3"/>
  <c r="BX59" i="3"/>
  <c r="BW60" i="3"/>
  <c r="BX60" i="3"/>
  <c r="BW63" i="3"/>
  <c r="BX63" i="3"/>
  <c r="BW68" i="3"/>
  <c r="BX68" i="3"/>
  <c r="BW62" i="3"/>
  <c r="BX62" i="3"/>
  <c r="BW67" i="3"/>
  <c r="BX67" i="3"/>
  <c r="BW66" i="3"/>
  <c r="BX66" i="3"/>
  <c r="BW64" i="3"/>
  <c r="BX64" i="3"/>
  <c r="BW69" i="3"/>
  <c r="BX69" i="3"/>
  <c r="N139" i="3"/>
  <c r="AF139" i="3"/>
  <c r="AG134" i="3"/>
  <c r="BY69" i="3"/>
  <c r="BY65" i="3"/>
  <c r="BY58" i="3"/>
  <c r="BY61" i="3"/>
  <c r="BY59" i="3"/>
  <c r="BY64" i="3"/>
  <c r="BY62" i="3"/>
  <c r="BY60" i="3"/>
  <c r="BY68" i="3"/>
  <c r="BY66" i="3"/>
  <c r="AF143" i="3"/>
  <c r="AM38" i="45" a="1"/>
  <c r="AM38" i="45"/>
  <c r="M229" i="46"/>
  <c r="H139" i="3"/>
  <c r="BY67" i="3"/>
  <c r="BY63" i="3"/>
  <c r="BZ67" i="3"/>
  <c r="CA67" i="3"/>
  <c r="AQ32" i="45"/>
  <c r="M237" i="46"/>
  <c r="BZ60" i="3"/>
  <c r="BZ63" i="3"/>
  <c r="BZ64" i="3"/>
  <c r="BZ65" i="3"/>
  <c r="BZ59" i="3"/>
  <c r="BZ68" i="3"/>
  <c r="BZ61" i="3"/>
  <c r="BZ62" i="3"/>
  <c r="CA62" i="3"/>
  <c r="BZ69" i="3"/>
  <c r="BZ66" i="3"/>
  <c r="BZ58" i="3"/>
  <c r="CA60" i="3"/>
  <c r="CA61" i="3"/>
  <c r="CA58" i="3"/>
  <c r="CA68" i="3"/>
  <c r="CA66" i="3"/>
  <c r="CA59" i="3"/>
  <c r="CA69" i="3"/>
  <c r="CA65" i="3"/>
  <c r="CA64" i="3"/>
  <c r="CA63" i="3"/>
  <c r="CB63" i="3"/>
  <c r="BM63" i="3"/>
  <c r="CB59" i="3"/>
  <c r="BM59" i="3"/>
  <c r="CB66" i="3"/>
  <c r="BM66" i="3"/>
  <c r="CB64" i="3"/>
  <c r="BM64" i="3"/>
  <c r="CB68" i="3"/>
  <c r="BM68" i="3"/>
  <c r="CB60" i="3"/>
  <c r="BM60" i="3"/>
  <c r="CB58" i="3"/>
  <c r="BM58" i="3"/>
  <c r="CB65" i="3"/>
  <c r="BM65" i="3"/>
  <c r="CB61" i="3"/>
  <c r="BM61" i="3"/>
  <c r="CB62" i="3"/>
  <c r="BM62" i="3"/>
  <c r="CB69" i="3"/>
  <c r="BM69" i="3"/>
  <c r="CB67" i="3"/>
  <c r="BM67" i="3"/>
  <c r="DQ68" i="3"/>
  <c r="DJ68" i="3"/>
  <c r="DQ64" i="3"/>
  <c r="DJ64" i="3"/>
  <c r="AV108" i="3"/>
  <c r="AV110" i="3"/>
  <c r="DQ65" i="3"/>
  <c r="DJ65" i="3"/>
  <c r="AV109" i="3"/>
  <c r="AV111" i="3"/>
  <c r="DQ66" i="3"/>
  <c r="DJ66" i="3"/>
  <c r="AV102" i="3"/>
  <c r="DQ61" i="3"/>
  <c r="DJ61" i="3"/>
  <c r="AV107" i="3"/>
  <c r="DQ69" i="3"/>
  <c r="DJ69" i="3"/>
  <c r="AV113" i="3"/>
  <c r="DQ58" i="3"/>
  <c r="DJ58" i="3"/>
  <c r="DQ62" i="3"/>
  <c r="DJ62" i="3"/>
  <c r="DQ60" i="3"/>
  <c r="DJ60" i="3"/>
  <c r="DQ67" i="3"/>
  <c r="DJ67" i="3"/>
  <c r="DQ59" i="3"/>
  <c r="DJ59" i="3"/>
  <c r="AV104" i="3"/>
  <c r="AV106" i="3"/>
  <c r="AV103" i="3"/>
  <c r="AV112" i="3"/>
  <c r="DQ63" i="3"/>
  <c r="DJ63" i="3"/>
  <c r="AV105" i="3"/>
  <c r="CD69" i="3"/>
  <c r="CD62" i="3"/>
  <c r="DL64" i="3"/>
  <c r="DM64" i="3"/>
  <c r="DL69" i="3"/>
  <c r="DL65" i="3"/>
  <c r="DL58" i="3"/>
  <c r="CD63" i="3"/>
  <c r="DL61" i="3"/>
  <c r="CD60" i="3"/>
  <c r="CD68" i="3"/>
  <c r="CD61" i="3"/>
  <c r="DL59" i="3"/>
  <c r="DM59" i="3"/>
  <c r="DL67" i="3"/>
  <c r="AU111" i="3"/>
  <c r="CD67" i="3"/>
  <c r="CD58" i="3"/>
  <c r="DL60" i="3"/>
  <c r="AU104" i="3"/>
  <c r="CD65" i="3"/>
  <c r="CD66" i="3"/>
  <c r="DL63" i="3"/>
  <c r="AU107" i="3"/>
  <c r="DL62" i="3"/>
  <c r="AU106" i="3"/>
  <c r="CD59" i="3"/>
  <c r="CD64" i="3"/>
  <c r="DL66" i="3"/>
  <c r="DL68" i="3"/>
  <c r="CE63" i="3"/>
  <c r="CE61" i="3"/>
  <c r="CE58" i="3"/>
  <c r="CE64" i="3"/>
  <c r="CE69" i="3"/>
  <c r="DN67" i="3" a="1"/>
  <c r="DN67" i="3"/>
  <c r="AU108" i="3"/>
  <c r="DM67" i="3"/>
  <c r="DN63" i="3" a="1"/>
  <c r="DN63" i="3"/>
  <c r="DM63" i="3"/>
  <c r="DN64" i="3" a="1"/>
  <c r="DN64" i="3"/>
  <c r="DM60" i="3"/>
  <c r="DN60" i="3" a="1"/>
  <c r="DN60" i="3"/>
  <c r="CE62" i="3"/>
  <c r="CE59" i="3"/>
  <c r="DN62" i="3" a="1"/>
  <c r="DN62" i="3"/>
  <c r="CE60" i="3"/>
  <c r="CE66" i="3"/>
  <c r="AU105" i="3"/>
  <c r="DM61" i="3"/>
  <c r="DN61" i="3" a="1"/>
  <c r="DN61" i="3"/>
  <c r="AU102" i="3"/>
  <c r="DM58" i="3"/>
  <c r="DN58" i="3" a="1"/>
  <c r="DN58" i="3"/>
  <c r="CE65" i="3"/>
  <c r="DN59" i="3" a="1"/>
  <c r="DN59" i="3"/>
  <c r="AU103" i="3"/>
  <c r="CE68" i="3"/>
  <c r="AU109" i="3"/>
  <c r="DN65" i="3" a="1"/>
  <c r="DN65" i="3"/>
  <c r="DM65" i="3"/>
  <c r="AU113" i="3"/>
  <c r="DN69" i="3" a="1"/>
  <c r="DN69" i="3"/>
  <c r="DM69" i="3"/>
  <c r="DM68" i="3"/>
  <c r="AU112" i="3"/>
  <c r="DN68" i="3" a="1"/>
  <c r="DN68" i="3"/>
  <c r="AU110" i="3"/>
  <c r="DN66" i="3" a="1"/>
  <c r="DN66" i="3"/>
  <c r="DM66" i="3"/>
  <c r="DM62" i="3"/>
  <c r="CE67" i="3"/>
  <c r="CF64" i="3"/>
  <c r="BN64" i="3"/>
  <c r="CF61" i="3"/>
  <c r="BN61" i="3"/>
  <c r="CF69" i="3"/>
  <c r="BN69" i="3"/>
  <c r="CF63" i="3"/>
  <c r="BN63" i="3"/>
  <c r="CF58" i="3"/>
  <c r="BN58" i="3"/>
  <c r="CF67" i="3"/>
  <c r="BN67" i="3"/>
  <c r="CF66" i="3"/>
  <c r="BN66" i="3"/>
  <c r="CF68" i="3"/>
  <c r="BN68" i="3"/>
  <c r="CF65" i="3"/>
  <c r="BN65" i="3"/>
  <c r="CF60" i="3"/>
  <c r="BN60" i="3"/>
  <c r="CF59" i="3"/>
  <c r="BN59" i="3"/>
  <c r="AU101" i="3"/>
  <c r="AV100" i="3"/>
  <c r="CF62" i="3"/>
  <c r="BN62" i="3"/>
  <c r="AL113" i="3"/>
  <c r="AP113" i="3"/>
  <c r="AL108" i="3"/>
  <c r="AL103" i="3"/>
  <c r="AQ103" i="3"/>
  <c r="AL109" i="3"/>
  <c r="AS109" i="3"/>
  <c r="AL110" i="3"/>
  <c r="AO110" i="3"/>
  <c r="AL111" i="3"/>
  <c r="AL105" i="3"/>
  <c r="AL106" i="3"/>
  <c r="AL107" i="3"/>
  <c r="AL112" i="3"/>
  <c r="AL102" i="3"/>
  <c r="AL104" i="3"/>
  <c r="AP110" i="3"/>
  <c r="AO103" i="3"/>
  <c r="AT113" i="3"/>
  <c r="AN113" i="3"/>
  <c r="AO113" i="3"/>
  <c r="AQ113" i="3"/>
  <c r="AK103" i="3" a="1"/>
  <c r="AK103" i="3"/>
  <c r="AS113" i="3"/>
  <c r="AN103" i="3"/>
  <c r="AK113" i="3" a="1"/>
  <c r="AK113" i="3"/>
  <c r="AR113" i="3"/>
  <c r="AM113" i="3"/>
  <c r="AO109" i="3"/>
  <c r="AK109" i="3" a="1"/>
  <c r="AK109" i="3"/>
  <c r="AR109" i="3"/>
  <c r="AT109" i="3"/>
  <c r="AP109" i="3"/>
  <c r="AR110" i="3"/>
  <c r="AQ110" i="3"/>
  <c r="AM110" i="3"/>
  <c r="AM109" i="3"/>
  <c r="AT103" i="3"/>
  <c r="AK110" i="3" a="1"/>
  <c r="AK110" i="3"/>
  <c r="AM103" i="3"/>
  <c r="AN109" i="3"/>
  <c r="AT110" i="3"/>
  <c r="BF110" i="3"/>
  <c r="AN110" i="3"/>
  <c r="AQ109" i="3"/>
  <c r="AP103" i="3"/>
  <c r="BF109" i="3"/>
  <c r="AR108" i="3"/>
  <c r="AT108" i="3"/>
  <c r="AS108" i="3"/>
  <c r="AK108" i="3" a="1"/>
  <c r="AK108" i="3"/>
  <c r="AO108" i="3"/>
  <c r="AP108" i="3"/>
  <c r="AQ108" i="3"/>
  <c r="AM108" i="3"/>
  <c r="AN108" i="3"/>
  <c r="AS110" i="3"/>
  <c r="AR103" i="3"/>
  <c r="AS103" i="3"/>
  <c r="BF104" i="3"/>
  <c r="AT102" i="3"/>
  <c r="AP102" i="3"/>
  <c r="AO102" i="3"/>
  <c r="BF103" i="3"/>
  <c r="AQ102" i="3"/>
  <c r="AM102" i="3"/>
  <c r="AS102" i="3"/>
  <c r="AK102" i="3" a="1"/>
  <c r="AK102" i="3"/>
  <c r="AR102" i="3"/>
  <c r="AN102" i="3"/>
  <c r="AQ112" i="3"/>
  <c r="AN112" i="3"/>
  <c r="AR112" i="3"/>
  <c r="AM112" i="3"/>
  <c r="AS112" i="3"/>
  <c r="AK112" i="3" a="1"/>
  <c r="AK112" i="3"/>
  <c r="AT112" i="3"/>
  <c r="AP112" i="3"/>
  <c r="AO112" i="3"/>
  <c r="AT107" i="3"/>
  <c r="AK107" i="3" a="1"/>
  <c r="AK107" i="3"/>
  <c r="AM107" i="3"/>
  <c r="AQ107" i="3"/>
  <c r="AN107" i="3"/>
  <c r="AP107" i="3"/>
  <c r="BF108" i="3"/>
  <c r="AR107" i="3"/>
  <c r="AO107" i="3"/>
  <c r="AS107" i="3"/>
  <c r="AN106" i="3"/>
  <c r="AS106" i="3"/>
  <c r="AR106" i="3"/>
  <c r="AM106" i="3"/>
  <c r="AP106" i="3"/>
  <c r="AQ106" i="3"/>
  <c r="BF107" i="3"/>
  <c r="AT106" i="3"/>
  <c r="AK106" i="3" a="1"/>
  <c r="AK106" i="3"/>
  <c r="AO106" i="3"/>
  <c r="AK105" i="3" a="1"/>
  <c r="AK105" i="3"/>
  <c r="AN105" i="3"/>
  <c r="AO105" i="3"/>
  <c r="AM105" i="3"/>
  <c r="AP105" i="3"/>
  <c r="AQ105" i="3"/>
  <c r="BF106" i="3"/>
  <c r="AT105" i="3"/>
  <c r="AR105" i="3"/>
  <c r="AS105" i="3"/>
  <c r="AK111" i="3" a="1"/>
  <c r="AK111" i="3"/>
  <c r="AR111" i="3"/>
  <c r="AT111" i="3"/>
  <c r="AQ111" i="3"/>
  <c r="AN111" i="3"/>
  <c r="AS111" i="3"/>
  <c r="AM111" i="3"/>
  <c r="AP111" i="3"/>
  <c r="AO111" i="3"/>
  <c r="AR104" i="3"/>
  <c r="AQ104" i="3"/>
  <c r="AN104" i="3"/>
  <c r="AS104" i="3"/>
  <c r="AP104" i="3"/>
  <c r="AM104" i="3"/>
  <c r="AT104" i="3"/>
  <c r="AK104" i="3" a="1"/>
  <c r="AK104" i="3"/>
  <c r="BF105" i="3"/>
  <c r="AO104" i="3"/>
  <c r="BG106" i="3"/>
  <c r="BG110" i="3"/>
  <c r="BG107" i="3"/>
  <c r="BG109" i="3"/>
  <c r="BG103" i="3"/>
  <c r="BG108" i="3"/>
  <c r="BG104" i="3"/>
  <c r="BG105" i="3"/>
  <c r="BJ106" i="3"/>
  <c r="BJ104" i="3"/>
  <c r="BJ105" i="3"/>
  <c r="BJ107" i="3"/>
  <c r="BJ108" i="3"/>
  <c r="BJ109" i="3"/>
  <c r="BJ110" i="3"/>
  <c r="BJ103" i="3"/>
  <c r="BI112" i="3"/>
  <c r="B428" i="40"/>
  <c r="B86" i="40"/>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c r="AF108" i="3"/>
  <c r="N113" i="3"/>
  <c r="AF113" i="3"/>
  <c r="N107" i="3"/>
  <c r="AF107" i="3"/>
  <c r="B497" i="40"/>
  <c r="BG124" i="3"/>
  <c r="AZ110" i="3"/>
  <c r="N109" i="3"/>
  <c r="AF110" i="3"/>
  <c r="N110" i="3"/>
  <c r="AF109" i="3"/>
  <c r="DT109" i="3"/>
  <c r="N115" i="3"/>
  <c r="AF116" i="3"/>
  <c r="N105" i="3"/>
  <c r="AF106" i="3"/>
  <c r="N102" i="3"/>
  <c r="AF103" i="3"/>
  <c r="BG117" i="3"/>
  <c r="AZ103" i="3"/>
  <c r="BG118" i="3"/>
  <c r="AZ104" i="3"/>
  <c r="BG119" i="3"/>
  <c r="AZ105" i="3"/>
  <c r="BG120" i="3"/>
  <c r="AZ106" i="3"/>
  <c r="BG121" i="3"/>
  <c r="AZ107" i="3"/>
  <c r="C179" i="46"/>
  <c r="D19" i="48" a="1"/>
  <c r="D19" i="48"/>
  <c r="D116" i="3"/>
  <c r="K176" i="46"/>
  <c r="D113" i="3"/>
  <c r="D110" i="3"/>
  <c r="C169" i="46"/>
  <c r="D9" i="48" a="1"/>
  <c r="D9" i="48"/>
  <c r="D106" i="3"/>
  <c r="DT103" i="3"/>
  <c r="D103" i="3"/>
  <c r="BG122" i="3"/>
  <c r="AZ108" i="3"/>
  <c r="BG123" i="3"/>
  <c r="AZ109" i="3"/>
  <c r="K170" i="46"/>
  <c r="D107" i="3"/>
  <c r="M158" i="46"/>
  <c r="C176" i="46"/>
  <c r="D16" i="48" a="1"/>
  <c r="D16" i="48"/>
  <c r="AA46" i="45"/>
  <c r="DT113" i="3"/>
  <c r="K179" i="46"/>
  <c r="C32" i="48" a="1"/>
  <c r="C32" i="48"/>
  <c r="B32" i="48"/>
  <c r="B32" i="50" a="1"/>
  <c r="B32" i="50"/>
  <c r="M152" i="46"/>
  <c r="DT107" i="3"/>
  <c r="C171" i="46"/>
  <c r="D11" i="48" a="1"/>
  <c r="D11" i="48"/>
  <c r="D108" i="3"/>
  <c r="N123" i="3"/>
  <c r="AF123" i="3"/>
  <c r="M153" i="46"/>
  <c r="K171" i="46"/>
  <c r="DT116" i="3"/>
  <c r="DT108" i="3"/>
  <c r="AA37" i="45"/>
  <c r="AA49" i="45"/>
  <c r="M161" i="46"/>
  <c r="K173" i="46"/>
  <c r="C170" i="46"/>
  <c r="D10" i="48" a="1"/>
  <c r="D10" i="48"/>
  <c r="DT106" i="3"/>
  <c r="K169" i="46"/>
  <c r="M151" i="46"/>
  <c r="AA22" i="45"/>
  <c r="AA7" i="45"/>
  <c r="AA34" i="45"/>
  <c r="DT110" i="3"/>
  <c r="K166" i="46"/>
  <c r="C173" i="46"/>
  <c r="D13" i="48" a="1"/>
  <c r="D13" i="48"/>
  <c r="M155" i="46"/>
  <c r="AA4" i="45"/>
  <c r="C166" i="46"/>
  <c r="D6" i="48" a="1"/>
  <c r="D6" i="48"/>
  <c r="D109" i="3"/>
  <c r="AG109" i="3"/>
  <c r="AA25" i="45"/>
  <c r="C172" i="46"/>
  <c r="D12" i="48" a="1"/>
  <c r="D12" i="48"/>
  <c r="K172" i="46"/>
  <c r="M154" i="46"/>
  <c r="M148" i="46"/>
  <c r="Z166" i="46"/>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c r="B13" i="48"/>
  <c r="A13" i="50" a="1"/>
  <c r="A13" i="50"/>
  <c r="B13" i="50" a="1"/>
  <c r="B13" i="50"/>
  <c r="A11" i="50" a="1"/>
  <c r="A11" i="50"/>
  <c r="A11" i="48" a="1"/>
  <c r="A11" i="48"/>
  <c r="B11" i="48"/>
  <c r="B11" i="50" a="1"/>
  <c r="B11" i="50"/>
  <c r="A19" i="48" a="1"/>
  <c r="A19" i="48"/>
  <c r="B19" i="48"/>
  <c r="A19" i="50" a="1"/>
  <c r="A19" i="50"/>
  <c r="B19" i="50" a="1"/>
  <c r="B19" i="50"/>
  <c r="A10" i="48" a="1"/>
  <c r="A10" i="48"/>
  <c r="B10" i="48"/>
  <c r="A10" i="50" a="1"/>
  <c r="A10" i="50"/>
  <c r="B10" i="50" a="1"/>
  <c r="B10" i="50"/>
  <c r="A12" i="50" a="1"/>
  <c r="A12" i="50"/>
  <c r="A12" i="48" a="1"/>
  <c r="A12" i="48"/>
  <c r="B12" i="48"/>
  <c r="B12" i="50" a="1"/>
  <c r="B12" i="50"/>
  <c r="A6" i="50" a="1"/>
  <c r="A6" i="50"/>
  <c r="A6" i="48" a="1"/>
  <c r="A6" i="48"/>
  <c r="B6" i="50" a="1"/>
  <c r="B6" i="50"/>
  <c r="A9" i="48" a="1"/>
  <c r="A9" i="48"/>
  <c r="B9" i="48"/>
  <c r="A9" i="50" a="1"/>
  <c r="A9" i="50"/>
  <c r="B9" i="50" a="1"/>
  <c r="B9" i="50"/>
  <c r="A16" i="48" a="1"/>
  <c r="A16" i="48"/>
  <c r="B16" i="48"/>
  <c r="A16" i="50" a="1"/>
  <c r="A16" i="50"/>
  <c r="B16" i="50" a="1"/>
  <c r="B16" i="50"/>
  <c r="AG116" i="3"/>
  <c r="N127" i="3"/>
  <c r="AF127" i="3"/>
  <c r="AG113" i="3"/>
  <c r="M127" i="3"/>
  <c r="AA127" i="3"/>
  <c r="M125" i="3"/>
  <c r="AA125" i="3"/>
  <c r="AG110" i="3"/>
  <c r="AG103" i="3"/>
  <c r="M120" i="3"/>
  <c r="AA121" i="3"/>
  <c r="AG106" i="3"/>
  <c r="N120" i="3"/>
  <c r="AF121" i="3"/>
  <c r="M123" i="3"/>
  <c r="AA123" i="3"/>
  <c r="K203" i="46"/>
  <c r="AG107" i="3"/>
  <c r="N125" i="3"/>
  <c r="AF125" i="3"/>
  <c r="M195" i="46"/>
  <c r="AG108" i="3"/>
  <c r="I2" i="47"/>
  <c r="H3" i="47"/>
  <c r="T173" i="46"/>
  <c r="T169" i="46"/>
  <c r="H2" i="47"/>
  <c r="C26" i="48" a="1"/>
  <c r="C26" i="48"/>
  <c r="B26" i="48"/>
  <c r="B26" i="50" a="1"/>
  <c r="B26" i="50"/>
  <c r="B22" i="50" a="1"/>
  <c r="B22" i="50"/>
  <c r="C22" i="48" a="1"/>
  <c r="C22" i="48"/>
  <c r="B22" i="48"/>
  <c r="C28" i="48" a="1"/>
  <c r="C28" i="48"/>
  <c r="B28" i="48"/>
  <c r="B28" i="50" a="1"/>
  <c r="B28" i="50"/>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c r="C33" i="48" a="1"/>
  <c r="C33" i="48"/>
  <c r="B33" i="48"/>
  <c r="C31" i="48" a="1"/>
  <c r="C31" i="48"/>
  <c r="B31" i="48"/>
  <c r="B31" i="50" a="1"/>
  <c r="B31" i="50"/>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c r="T180" i="46"/>
  <c r="H2" i="50"/>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c r="C29" i="48" a="1"/>
  <c r="C29" i="48"/>
  <c r="B29" i="48"/>
  <c r="AO42" i="51"/>
  <c r="AG35" i="51"/>
  <c r="AO35" i="51"/>
  <c r="AO36" i="51"/>
  <c r="C35" i="48" a="1"/>
  <c r="C35" i="48"/>
  <c r="B35" i="48"/>
  <c r="B35" i="50" a="1"/>
  <c r="B35" i="50"/>
  <c r="G2" i="48"/>
  <c r="C23" i="48" a="1"/>
  <c r="C23" i="48"/>
  <c r="B23" i="48"/>
  <c r="B23" i="50" a="1"/>
  <c r="B23" i="50"/>
  <c r="B25" i="50" a="1"/>
  <c r="B25" i="50"/>
  <c r="C25" i="48" a="1"/>
  <c r="C25" i="48"/>
  <c r="B25" i="48"/>
  <c r="B21" i="50" a="1"/>
  <c r="B21" i="50"/>
  <c r="C21" i="48" a="1"/>
  <c r="C21" i="48"/>
  <c r="B21" i="48"/>
  <c r="C27" i="48" a="1"/>
  <c r="C27" i="48"/>
  <c r="B27" i="48"/>
  <c r="B27" i="50" a="1"/>
  <c r="B27" i="50"/>
  <c r="T191" i="46"/>
  <c r="T195" i="46"/>
  <c r="T188" i="46"/>
  <c r="T192" i="46"/>
  <c r="T187" i="46"/>
  <c r="T197" i="46"/>
  <c r="T186" i="46"/>
  <c r="T196" i="46"/>
  <c r="T190" i="46"/>
  <c r="T189" i="46"/>
  <c r="T182" i="46"/>
  <c r="T194" i="46"/>
  <c r="T183" i="46"/>
  <c r="T185" i="46"/>
  <c r="T193" i="46"/>
  <c r="T184" i="46"/>
  <c r="N134" i="3"/>
  <c r="AF134" i="3"/>
  <c r="AG127" i="3"/>
  <c r="N132" i="3"/>
  <c r="AF132" i="3"/>
  <c r="D132" i="3"/>
  <c r="AG125" i="3"/>
  <c r="AG121" i="3"/>
  <c r="M131" i="3"/>
  <c r="AA131" i="3"/>
  <c r="N133" i="3"/>
  <c r="AF133" i="3"/>
  <c r="D133" i="3"/>
  <c r="AG123" i="3"/>
  <c r="CZ198" i="46"/>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c r="H3" i="50" a="1"/>
  <c r="H3" i="50"/>
  <c r="AG133" i="3"/>
  <c r="M139" i="3"/>
  <c r="AA139" i="3"/>
  <c r="AG132" i="3"/>
  <c r="N138" i="3"/>
  <c r="AF138" i="3"/>
  <c r="T198" i="46"/>
  <c r="M198" i="46"/>
  <c r="I3" i="47"/>
  <c r="K223" i="46"/>
  <c r="AI44" i="45"/>
  <c r="M217" i="46"/>
  <c r="DT134" i="3"/>
  <c r="C223" i="46"/>
  <c r="C221" i="46"/>
  <c r="M215" i="46"/>
  <c r="K221" i="46"/>
  <c r="DT132" i="3"/>
  <c r="AI20" i="45"/>
  <c r="K220" i="46"/>
  <c r="AI7" i="45"/>
  <c r="DT131" i="3"/>
  <c r="C220" i="46"/>
  <c r="M210" i="46"/>
  <c r="D131" i="3"/>
  <c r="AI32" i="45"/>
  <c r="M216" i="46"/>
  <c r="C222" i="46"/>
  <c r="DT133" i="3"/>
  <c r="K222" i="46"/>
  <c r="AL220" i="46"/>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c r="AG131" i="3"/>
  <c r="G7" i="48"/>
  <c r="G4" i="48"/>
  <c r="G8" i="48"/>
  <c r="G6" i="48"/>
  <c r="G5" i="48"/>
  <c r="T212" i="46"/>
  <c r="T213" i="46"/>
  <c r="T210" i="46"/>
  <c r="T217" i="46"/>
  <c r="T216" i="46"/>
  <c r="T214" i="46"/>
  <c r="T215" i="46"/>
  <c r="T211" i="46"/>
  <c r="L3" i="47"/>
  <c r="L2" i="47"/>
  <c r="M2" i="47"/>
  <c r="S266" i="46"/>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c r="K232" i="46"/>
  <c r="AA147" i="3"/>
  <c r="C232" i="46"/>
  <c r="AM13" i="45"/>
  <c r="DT138" i="3"/>
  <c r="D138" i="3"/>
  <c r="M226" i="46"/>
  <c r="T218" i="46"/>
  <c r="M218" i="46"/>
  <c r="K3" i="47"/>
  <c r="T224" i="46"/>
  <c r="CS264" i="46"/>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c r="BV244" i="46"/>
  <c r="BV245" i="46"/>
  <c r="CW244" i="46"/>
  <c r="CW245" i="46"/>
  <c r="EM244" i="46"/>
  <c r="EM245" i="46"/>
  <c r="AI244" i="46"/>
  <c r="AI245" i="46"/>
  <c r="BJ244" i="46"/>
  <c r="BJ245" i="46"/>
  <c r="CK244" i="46"/>
  <c r="CK245" i="46"/>
  <c r="EA244" i="46"/>
  <c r="EA245" i="46"/>
  <c r="FB244" i="46"/>
  <c r="FB245" i="46"/>
  <c r="W244" i="46"/>
  <c r="W245" i="46"/>
  <c r="AX244" i="46"/>
  <c r="AX245" i="46"/>
  <c r="BY244" i="46"/>
  <c r="BY245" i="46"/>
  <c r="DO244" i="46"/>
  <c r="DO245" i="46"/>
  <c r="EP244" i="46"/>
  <c r="EP245" i="46"/>
  <c r="AL244" i="46"/>
  <c r="AL245" i="46"/>
  <c r="BM244" i="46"/>
  <c r="BM245" i="46"/>
  <c r="DC244" i="46"/>
  <c r="DC245" i="46"/>
  <c r="ED244" i="46"/>
  <c r="ED245" i="46"/>
  <c r="FE244" i="46"/>
  <c r="FE245" i="46"/>
  <c r="Z244" i="46"/>
  <c r="Z245" i="46"/>
  <c r="BA244" i="46"/>
  <c r="BA245" i="46"/>
  <c r="CQ244" i="46"/>
  <c r="CQ245" i="46"/>
  <c r="DR244" i="46"/>
  <c r="DR245" i="46"/>
  <c r="ES244" i="46"/>
  <c r="ES245" i="46"/>
  <c r="AC244" i="46"/>
  <c r="AC245" i="46"/>
  <c r="CH244" i="46"/>
  <c r="CH245" i="46"/>
  <c r="BS244" i="46"/>
  <c r="BS245" i="46"/>
  <c r="DU244" i="46"/>
  <c r="DU245" i="46"/>
  <c r="DF244" i="46"/>
  <c r="DF245" i="46"/>
  <c r="FK244" i="46"/>
  <c r="FK245" i="46"/>
  <c r="BG244" i="46"/>
  <c r="BG245" i="46"/>
  <c r="DI244" i="46"/>
  <c r="DI245" i="46"/>
  <c r="AO244" i="46"/>
  <c r="AO245" i="46"/>
  <c r="CT244" i="46"/>
  <c r="CT245" i="46"/>
  <c r="EY244" i="46"/>
  <c r="EY245" i="46"/>
  <c r="CE244" i="46"/>
  <c r="CE245" i="46"/>
  <c r="EG244" i="46"/>
  <c r="EG245" i="46"/>
  <c r="FH244" i="46"/>
  <c r="FH245" i="46"/>
  <c r="CN244" i="46"/>
  <c r="CN245" i="46"/>
  <c r="BP244" i="46"/>
  <c r="BP245" i="46"/>
  <c r="DX244" i="46"/>
  <c r="DX245" i="46"/>
  <c r="AF244" i="46"/>
  <c r="AF245" i="46"/>
  <c r="DL244" i="46"/>
  <c r="DL245" i="46"/>
  <c r="BD244" i="46"/>
  <c r="BD245" i="46"/>
  <c r="CB244" i="46"/>
  <c r="CB245" i="46"/>
  <c r="CZ244" i="46"/>
  <c r="CZ245" i="46"/>
  <c r="AR244" i="46"/>
  <c r="AR245" i="46"/>
  <c r="EV244" i="46"/>
  <c r="EV245" i="46"/>
  <c r="EJ244" i="46"/>
  <c r="EJ245" i="46"/>
  <c r="T232" i="46"/>
  <c r="T233" i="46"/>
  <c r="AG151" i="3"/>
  <c r="M251" i="46"/>
  <c r="BB23" i="45"/>
  <c r="T236" i="46"/>
  <c r="T237" i="46"/>
  <c r="M252" i="46"/>
  <c r="AG152" i="3"/>
  <c r="AZ25" i="45"/>
  <c r="T244" i="46"/>
  <c r="T245" i="46"/>
  <c r="M240" i="46"/>
  <c r="AA150" i="3"/>
  <c r="K247" i="46"/>
  <c r="C247" i="46"/>
  <c r="D147" i="3"/>
  <c r="AG147" i="3"/>
  <c r="AU25" i="45"/>
  <c r="DT147" i="3"/>
  <c r="T227" i="46"/>
  <c r="T229" i="46"/>
  <c r="T228" i="46"/>
  <c r="T226" i="46"/>
  <c r="N3" i="47"/>
  <c r="O2" i="47"/>
  <c r="N2" i="47"/>
  <c r="Q2" i="47"/>
  <c r="P2" i="47"/>
  <c r="Q3" i="47"/>
  <c r="AG138" i="3"/>
  <c r="M143" i="3"/>
  <c r="M147" i="3"/>
  <c r="FK234" i="46"/>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c r="AU247" i="46"/>
  <c r="AU248" i="46"/>
  <c r="BS247" i="46"/>
  <c r="BS248" i="46"/>
  <c r="CQ247" i="46"/>
  <c r="CQ248" i="46"/>
  <c r="DO247" i="46"/>
  <c r="DO248" i="46"/>
  <c r="EM247" i="46"/>
  <c r="EM248" i="46"/>
  <c r="FK247" i="46"/>
  <c r="FK248" i="46"/>
  <c r="Z247" i="46"/>
  <c r="Z248" i="46"/>
  <c r="AX247" i="46"/>
  <c r="AX248" i="46"/>
  <c r="BV247" i="46"/>
  <c r="BV248" i="46"/>
  <c r="CT247" i="46"/>
  <c r="CT248" i="46"/>
  <c r="DR247" i="46"/>
  <c r="DR248" i="46"/>
  <c r="EP247" i="46"/>
  <c r="EP248" i="46"/>
  <c r="AC247" i="46"/>
  <c r="AC248" i="46"/>
  <c r="BA247" i="46"/>
  <c r="BA248" i="46"/>
  <c r="BY247" i="46"/>
  <c r="BY248" i="46"/>
  <c r="CW247" i="46"/>
  <c r="CW248" i="46"/>
  <c r="DU247" i="46"/>
  <c r="DU248" i="46"/>
  <c r="ES247" i="46"/>
  <c r="ES248" i="46"/>
  <c r="AF247" i="46"/>
  <c r="AF248" i="46"/>
  <c r="BD247" i="46"/>
  <c r="BD248" i="46"/>
  <c r="CB247" i="46"/>
  <c r="CB248" i="46"/>
  <c r="CZ247" i="46"/>
  <c r="CZ248" i="46"/>
  <c r="DX247" i="46"/>
  <c r="DX248" i="46"/>
  <c r="EV247" i="46"/>
  <c r="EV248" i="46"/>
  <c r="AI247" i="46"/>
  <c r="AI248" i="46"/>
  <c r="BG247" i="46"/>
  <c r="BG248" i="46"/>
  <c r="CE247" i="46"/>
  <c r="CE248" i="46"/>
  <c r="DC247" i="46"/>
  <c r="DC248" i="46"/>
  <c r="EA247" i="46"/>
  <c r="EA248" i="46"/>
  <c r="EY247" i="46"/>
  <c r="EY248" i="46"/>
  <c r="AR247" i="46"/>
  <c r="AR248" i="46"/>
  <c r="DI247" i="46"/>
  <c r="DI248" i="46"/>
  <c r="BJ247" i="46"/>
  <c r="BJ248" i="46"/>
  <c r="DL247" i="46"/>
  <c r="DL248" i="46"/>
  <c r="BM247" i="46"/>
  <c r="BM248" i="46"/>
  <c r="ED247" i="46"/>
  <c r="ED248" i="46"/>
  <c r="BP247" i="46"/>
  <c r="BP248" i="46"/>
  <c r="EG247" i="46"/>
  <c r="EG248" i="46"/>
  <c r="CH247" i="46"/>
  <c r="CH248" i="46"/>
  <c r="EJ247" i="46"/>
  <c r="EJ248" i="46"/>
  <c r="CK247" i="46"/>
  <c r="CK248" i="46"/>
  <c r="FB247" i="46"/>
  <c r="FB248" i="46"/>
  <c r="AL247" i="46"/>
  <c r="AL248" i="46"/>
  <c r="CN247" i="46"/>
  <c r="CN248" i="46"/>
  <c r="FE247" i="46"/>
  <c r="FE248" i="46"/>
  <c r="AO247" i="46"/>
  <c r="AO248" i="46"/>
  <c r="DF247" i="46"/>
  <c r="DF248" i="46"/>
  <c r="FH247" i="46"/>
  <c r="FH248" i="46"/>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c r="T230" i="46"/>
  <c r="T247" i="46"/>
  <c r="T248" i="46"/>
  <c r="L5" i="51"/>
  <c r="AG150" i="3"/>
  <c r="AJ155" i="3"/>
  <c r="M250" i="46"/>
  <c r="BA21" i="45"/>
  <c r="T240" i="46"/>
  <c r="T241" i="46"/>
  <c r="EM242" i="46"/>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c r="AU250" i="46"/>
  <c r="AU259" i="46"/>
  <c r="BS250" i="46"/>
  <c r="BS259" i="46"/>
  <c r="CQ250" i="46"/>
  <c r="CQ259" i="46"/>
  <c r="DO250" i="46"/>
  <c r="DO259" i="46"/>
  <c r="EM250" i="46"/>
  <c r="EM259" i="46"/>
  <c r="FK250" i="46"/>
  <c r="FK259" i="46"/>
  <c r="AC250" i="46"/>
  <c r="AC259" i="46"/>
  <c r="BD250" i="46"/>
  <c r="BD259" i="46"/>
  <c r="CE250" i="46"/>
  <c r="CE259" i="46"/>
  <c r="DF250" i="46"/>
  <c r="DF259" i="46"/>
  <c r="EG250" i="46"/>
  <c r="EG259" i="46"/>
  <c r="FH250" i="46"/>
  <c r="FH259" i="46"/>
  <c r="AF250" i="46"/>
  <c r="AF259" i="46"/>
  <c r="BG250" i="46"/>
  <c r="BG259" i="46"/>
  <c r="CH250" i="46"/>
  <c r="CH259" i="46"/>
  <c r="DI250" i="46"/>
  <c r="DI259" i="46"/>
  <c r="EJ250" i="46"/>
  <c r="EJ259" i="46"/>
  <c r="AI250" i="46"/>
  <c r="AI259" i="46"/>
  <c r="BJ250" i="46"/>
  <c r="BJ259" i="46"/>
  <c r="CK250" i="46"/>
  <c r="CK259" i="46"/>
  <c r="DL250" i="46"/>
  <c r="DL259" i="46"/>
  <c r="EP250" i="46"/>
  <c r="EP259" i="46"/>
  <c r="AL250" i="46"/>
  <c r="AL259" i="46"/>
  <c r="BM250" i="46"/>
  <c r="BM259" i="46"/>
  <c r="CN250" i="46"/>
  <c r="CN259" i="46"/>
  <c r="DR250" i="46"/>
  <c r="DR259" i="46"/>
  <c r="ES250" i="46"/>
  <c r="ES259" i="46"/>
  <c r="AO250" i="46"/>
  <c r="AO259" i="46"/>
  <c r="BP250" i="46"/>
  <c r="BP259" i="46"/>
  <c r="CT250" i="46"/>
  <c r="CT259" i="46"/>
  <c r="DU250" i="46"/>
  <c r="DU259" i="46"/>
  <c r="EV250" i="46"/>
  <c r="EV259" i="46"/>
  <c r="AR250" i="46"/>
  <c r="AR259" i="46"/>
  <c r="BV250" i="46"/>
  <c r="BV259" i="46"/>
  <c r="CW250" i="46"/>
  <c r="CW259" i="46"/>
  <c r="DX250" i="46"/>
  <c r="DX259" i="46"/>
  <c r="EY250" i="46"/>
  <c r="EY259" i="46"/>
  <c r="AX250" i="46"/>
  <c r="AX259" i="46"/>
  <c r="BY250" i="46"/>
  <c r="BY259" i="46"/>
  <c r="CZ250" i="46"/>
  <c r="CZ259" i="46"/>
  <c r="EA250" i="46"/>
  <c r="EA259" i="46"/>
  <c r="FB250" i="46"/>
  <c r="FB259" i="46"/>
  <c r="Z250" i="46"/>
  <c r="Z259" i="46"/>
  <c r="BA250" i="46"/>
  <c r="BA259" i="46"/>
  <c r="FE250" i="46"/>
  <c r="FE259" i="46"/>
  <c r="CB250" i="46"/>
  <c r="CB259" i="46"/>
  <c r="DC250" i="46"/>
  <c r="DC259" i="46"/>
  <c r="ED250" i="46"/>
  <c r="ED259" i="46"/>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c r="BL19" i="45"/>
  <c r="BK19" i="45"/>
  <c r="BJ19" i="45"/>
  <c r="BI19" i="45"/>
  <c r="BH19" i="45"/>
  <c r="BL38" i="45"/>
  <c r="BK38" i="45"/>
  <c r="BJ38" i="45"/>
  <c r="BI38" i="45"/>
  <c r="BH38" i="45"/>
  <c r="BL11" i="45"/>
  <c r="BK11" i="45"/>
  <c r="BJ11" i="45"/>
  <c r="BI11" i="45"/>
  <c r="BH11" i="45"/>
  <c r="BL49" i="45"/>
  <c r="BK49" i="45"/>
  <c r="BJ49" i="45"/>
  <c r="BI49" i="45"/>
  <c r="BH49" i="45"/>
  <c r="BL27" i="45"/>
  <c r="BK27" i="45"/>
  <c r="BJ27" i="45"/>
  <c r="BI27" i="45"/>
  <c r="BH27" i="45"/>
  <c r="BL8" i="45"/>
  <c r="BK8" i="45"/>
  <c r="BJ8" i="45"/>
  <c r="BI8" i="45"/>
  <c r="BH8" i="45"/>
  <c r="BL46" i="45"/>
  <c r="BK46" i="45"/>
  <c r="BJ46" i="45"/>
  <c r="BI46" i="45"/>
  <c r="BH46" i="45"/>
  <c r="BL25" i="45"/>
  <c r="BK25" i="45"/>
  <c r="BJ25" i="45"/>
  <c r="BI25" i="45"/>
  <c r="BH25" i="45"/>
  <c r="BL10" i="45"/>
  <c r="BK10" i="45"/>
  <c r="BJ10" i="45"/>
  <c r="BI10" i="45"/>
  <c r="BH10" i="45"/>
  <c r="BL50" i="45"/>
  <c r="BK50" i="45"/>
  <c r="BJ50" i="45"/>
  <c r="BI50" i="45"/>
  <c r="BH50" i="45"/>
  <c r="BL47" i="45"/>
  <c r="BK47" i="45"/>
  <c r="BJ47" i="45"/>
  <c r="BI47" i="45"/>
  <c r="BH47" i="45"/>
  <c r="Y4" i="46"/>
  <c r="Y2" i="46"/>
  <c r="BL32" i="45"/>
  <c r="BK32" i="45"/>
  <c r="BJ32" i="45"/>
  <c r="BI32" i="45"/>
  <c r="BH32" i="45"/>
  <c r="BL42" i="45"/>
  <c r="BK42" i="45"/>
  <c r="BJ42" i="45"/>
  <c r="BI42" i="45"/>
  <c r="BH42" i="45"/>
  <c r="BL36" i="45"/>
  <c r="BK36" i="45"/>
  <c r="BJ36" i="45"/>
  <c r="BI36" i="45"/>
  <c r="BH36" i="45"/>
  <c r="BL22" i="45"/>
  <c r="BK22" i="45"/>
  <c r="BJ22" i="45"/>
  <c r="BI22" i="45"/>
  <c r="BH22" i="45"/>
  <c r="BL33" i="45"/>
  <c r="BK33" i="45"/>
  <c r="BJ33" i="45"/>
  <c r="BI33" i="45"/>
  <c r="BH33" i="45"/>
  <c r="BL35" i="45"/>
  <c r="BK35" i="45"/>
  <c r="BJ35" i="45"/>
  <c r="BI35" i="45"/>
  <c r="BH35" i="45"/>
  <c r="BL34" i="45"/>
  <c r="BK34" i="45"/>
  <c r="BJ34" i="45"/>
  <c r="BI34" i="45"/>
  <c r="BH34" i="45"/>
  <c r="BL6" i="45"/>
  <c r="BK6" i="45"/>
  <c r="BJ6" i="45"/>
  <c r="BI6" i="45"/>
  <c r="BH6" i="45"/>
  <c r="BL29" i="45"/>
  <c r="BK29" i="45"/>
  <c r="BJ29" i="45"/>
  <c r="BI29" i="45"/>
  <c r="BH29" i="45"/>
  <c r="BL5" i="45"/>
  <c r="BK5" i="45"/>
  <c r="BJ5" i="45"/>
  <c r="BI5" i="45"/>
  <c r="BH5" i="45"/>
  <c r="BL26" i="45"/>
  <c r="BK26" i="45"/>
  <c r="BJ26" i="45"/>
  <c r="BI26" i="45"/>
  <c r="BH26" i="45"/>
  <c r="BL23" i="45"/>
  <c r="BK23" i="45"/>
  <c r="BJ23" i="45"/>
  <c r="BI23" i="45"/>
  <c r="BH23" i="45"/>
  <c r="BL18" i="45"/>
  <c r="BK18" i="45"/>
  <c r="BJ18" i="45"/>
  <c r="BI18" i="45"/>
  <c r="BH18" i="45"/>
  <c r="BL44" i="45"/>
  <c r="BK44" i="45"/>
  <c r="BJ44" i="45"/>
  <c r="BI44" i="45"/>
  <c r="BH44" i="45"/>
  <c r="BL43" i="45"/>
  <c r="BK43" i="45"/>
  <c r="BJ43" i="45"/>
  <c r="BI43" i="45"/>
  <c r="BH43" i="45"/>
  <c r="BL21" i="45"/>
  <c r="BK21" i="45"/>
  <c r="BJ21" i="45"/>
  <c r="BI21" i="45"/>
  <c r="BH21" i="45"/>
  <c r="BL45" i="45"/>
  <c r="BK45" i="45"/>
  <c r="BJ45" i="45"/>
  <c r="BI45" i="45"/>
  <c r="BH45" i="45"/>
  <c r="BL48" i="45"/>
  <c r="BK48" i="45"/>
  <c r="BJ48" i="45"/>
  <c r="BI48" i="45"/>
  <c r="BH48" i="45"/>
  <c r="BL17" i="45"/>
  <c r="BK17" i="45"/>
  <c r="BJ17" i="45"/>
  <c r="BI17" i="45"/>
  <c r="BH17" i="45"/>
  <c r="BL9" i="45"/>
  <c r="BK9" i="45"/>
  <c r="BJ9" i="45"/>
  <c r="BI9" i="45"/>
  <c r="BH9" i="45"/>
  <c r="BL16" i="45"/>
  <c r="BK16" i="45"/>
  <c r="BJ16" i="45"/>
  <c r="BI16" i="45"/>
  <c r="BH16" i="45"/>
  <c r="BL30" i="45"/>
  <c r="BK30" i="45"/>
  <c r="BJ30" i="45"/>
  <c r="BI30" i="45"/>
  <c r="BH30" i="45"/>
  <c r="BL40" i="45"/>
  <c r="BK40" i="45"/>
  <c r="BJ40" i="45"/>
  <c r="BI40" i="45"/>
  <c r="BH40" i="45"/>
  <c r="BL28" i="45"/>
  <c r="BK28" i="45"/>
  <c r="BJ28" i="45"/>
  <c r="BI28" i="45"/>
  <c r="BH28" i="45"/>
  <c r="BL24" i="45"/>
  <c r="BK24" i="45"/>
  <c r="BJ24" i="45"/>
  <c r="BI24" i="45"/>
  <c r="BH24" i="45"/>
  <c r="BL20" i="45"/>
  <c r="BK20" i="45"/>
  <c r="BJ20" i="45"/>
  <c r="BI20" i="45"/>
  <c r="BH20" i="45"/>
  <c r="BL14" i="45"/>
  <c r="BK14" i="45"/>
  <c r="BJ14" i="45"/>
  <c r="BI14" i="45"/>
  <c r="BH14" i="45"/>
  <c r="BL51" i="45"/>
  <c r="BK51" i="45"/>
  <c r="BJ51" i="45"/>
  <c r="BI51" i="45"/>
  <c r="BH51" i="45"/>
  <c r="BL12" i="45"/>
  <c r="BK12" i="45"/>
  <c r="BJ12" i="45"/>
  <c r="BI12" i="45"/>
  <c r="BH12" i="45"/>
  <c r="BL41" i="45"/>
  <c r="BK41" i="45"/>
  <c r="BJ41" i="45"/>
  <c r="BI41" i="45"/>
  <c r="BH41" i="45"/>
  <c r="BL31" i="45"/>
  <c r="BK31" i="45"/>
  <c r="BJ31" i="45"/>
  <c r="BI31" i="45"/>
  <c r="BH31" i="45"/>
  <c r="BL7" i="45"/>
  <c r="BK7" i="45"/>
  <c r="BJ7" i="45"/>
  <c r="BI7" i="45"/>
  <c r="BH7" i="45"/>
  <c r="BL39" i="45"/>
  <c r="BK39" i="45"/>
  <c r="BJ39" i="45"/>
  <c r="BI39" i="45"/>
  <c r="BH39" i="45"/>
  <c r="BL13" i="45"/>
  <c r="BK13" i="45"/>
  <c r="BJ13" i="45"/>
  <c r="BI13" i="45"/>
  <c r="BH13" i="45"/>
  <c r="BL15" i="45"/>
  <c r="BK15" i="45"/>
  <c r="BJ15" i="45"/>
  <c r="BI15" i="45"/>
  <c r="BH15" i="45"/>
  <c r="BL4" i="45"/>
  <c r="BK4" i="45"/>
  <c r="BJ4" i="45"/>
  <c r="BI4" i="45"/>
  <c r="BH4" i="45"/>
  <c r="BL37" i="45"/>
  <c r="BK37" i="45"/>
  <c r="BJ37" i="45"/>
  <c r="BI37" i="45"/>
  <c r="BH37" i="45"/>
  <c r="E16" i="51"/>
  <c r="F16" i="51"/>
  <c r="E15" i="51"/>
  <c r="F15" i="51"/>
  <c r="E17" i="51"/>
  <c r="E14" i="51"/>
  <c r="F14" i="51"/>
  <c r="E13" i="51"/>
  <c r="F13" i="51"/>
  <c r="AB4" i="46"/>
  <c r="AB2" i="46"/>
  <c r="EU4" i="46"/>
  <c r="EU2" i="46"/>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c r="CP4" i="46"/>
  <c r="CP2" i="46"/>
  <c r="CA4" i="46"/>
  <c r="CA2" i="46"/>
  <c r="FA4" i="46"/>
  <c r="FA2" i="46"/>
  <c r="BX4" i="46"/>
  <c r="BX2" i="46"/>
  <c r="BU4" i="46"/>
  <c r="BU2" i="46"/>
  <c r="DK4" i="46"/>
  <c r="DK2" i="46"/>
  <c r="EL4" i="46"/>
  <c r="EL2" i="46"/>
  <c r="EO4" i="46"/>
  <c r="EO2" i="46"/>
  <c r="AE4" i="46"/>
  <c r="AE2" i="46"/>
  <c r="CS4" i="46"/>
  <c r="CS2" i="46"/>
  <c r="BR4" i="46"/>
  <c r="BR2" i="46"/>
  <c r="ER4" i="46"/>
  <c r="ER2" i="46"/>
  <c r="EX4" i="46"/>
  <c r="EX2" i="46"/>
  <c r="AN4" i="46"/>
  <c r="AN2" i="46"/>
  <c r="FG4" i="46"/>
  <c r="FG2" i="46"/>
  <c r="DQ4" i="46"/>
  <c r="DQ2" i="46"/>
  <c r="BF4" i="46"/>
  <c r="BF2" i="46"/>
  <c r="EC4" i="46"/>
  <c r="EC2" i="46"/>
  <c r="AZ4" i="46"/>
  <c r="AZ2" i="46"/>
  <c r="DB4" i="46"/>
  <c r="DB2" i="46"/>
  <c r="DW4" i="46"/>
  <c r="DW2" i="46"/>
  <c r="DN4" i="46"/>
  <c r="DN2" i="46"/>
  <c r="BC4" i="46"/>
  <c r="BC2" i="46"/>
  <c r="CD4" i="46"/>
  <c r="CD2" i="46"/>
  <c r="FD4" i="46"/>
  <c r="FD2" i="46"/>
  <c r="EF4" i="46"/>
  <c r="EF2" i="46"/>
  <c r="AQ4" i="46"/>
  <c r="AQ2" i="46"/>
  <c r="DE4" i="46"/>
  <c r="DE2" i="46"/>
  <c r="FJ4" i="46"/>
  <c r="FJ2" i="46"/>
  <c r="AW4" i="46"/>
  <c r="AW2" i="46"/>
  <c r="CJ4" i="46"/>
  <c r="CJ2" i="46"/>
  <c r="CM4" i="46"/>
  <c r="CM2" i="46"/>
  <c r="AH4" i="46"/>
  <c r="AH2" i="46"/>
  <c r="DH4" i="46"/>
  <c r="DH2" i="46"/>
  <c r="AK4" i="46"/>
  <c r="CV4" i="46"/>
  <c r="CY4" i="46"/>
  <c r="DT4" i="46"/>
  <c r="EI4" i="46"/>
  <c r="BO4" i="46"/>
  <c r="BL4" i="46"/>
  <c r="BI4" i="46"/>
  <c r="AT4" i="46"/>
  <c r="T28" i="51"/>
  <c r="Q28" i="51"/>
  <c r="P28" i="51"/>
  <c r="O28" i="51"/>
  <c r="N28" i="51"/>
  <c r="M28" i="51"/>
  <c r="V28" i="51"/>
  <c r="T53" i="51"/>
  <c r="Q53" i="51"/>
  <c r="P53" i="51"/>
  <c r="O53" i="51"/>
  <c r="N53" i="51"/>
  <c r="M53" i="51"/>
  <c r="V53" i="51"/>
  <c r="T10" i="51"/>
  <c r="Q10" i="51"/>
  <c r="P10" i="51"/>
  <c r="O10" i="51"/>
  <c r="N10" i="51"/>
  <c r="M10" i="51"/>
  <c r="V10" i="51"/>
  <c r="T34" i="51"/>
  <c r="Q34" i="51"/>
  <c r="P34" i="51"/>
  <c r="O34" i="51"/>
  <c r="N34" i="51"/>
  <c r="M34" i="51"/>
  <c r="V34" i="51"/>
  <c r="T50" i="51"/>
  <c r="Q50" i="51"/>
  <c r="P50" i="51"/>
  <c r="O50" i="51"/>
  <c r="N50" i="51"/>
  <c r="M50" i="51"/>
  <c r="V50" i="51"/>
  <c r="T22" i="51"/>
  <c r="Q22" i="51"/>
  <c r="P22" i="51"/>
  <c r="O22" i="51"/>
  <c r="N22" i="51"/>
  <c r="M22" i="51"/>
  <c r="V22" i="51"/>
  <c r="T51" i="51"/>
  <c r="Q51" i="51"/>
  <c r="P51" i="51"/>
  <c r="O51" i="51"/>
  <c r="N51" i="51"/>
  <c r="M51" i="51"/>
  <c r="V51" i="51"/>
  <c r="T42" i="51"/>
  <c r="Q42" i="51"/>
  <c r="P42" i="51"/>
  <c r="O42" i="51"/>
  <c r="N42" i="51"/>
  <c r="M42" i="51"/>
  <c r="V42" i="51"/>
  <c r="T46" i="51"/>
  <c r="Q46" i="51"/>
  <c r="P46" i="51"/>
  <c r="O46" i="51"/>
  <c r="N46" i="51"/>
  <c r="M46" i="51"/>
  <c r="V46" i="51"/>
  <c r="T29" i="51"/>
  <c r="Q29" i="51"/>
  <c r="P29" i="51"/>
  <c r="O29" i="51"/>
  <c r="N29" i="51"/>
  <c r="M29" i="51"/>
  <c r="V29" i="51"/>
  <c r="T20" i="51"/>
  <c r="Q20" i="51"/>
  <c r="P20" i="51"/>
  <c r="O20" i="51"/>
  <c r="N20" i="51"/>
  <c r="M20" i="51"/>
  <c r="V20" i="51"/>
  <c r="T31" i="51"/>
  <c r="Q31" i="51"/>
  <c r="P31" i="51"/>
  <c r="O31" i="51"/>
  <c r="N31" i="51"/>
  <c r="M31" i="51"/>
  <c r="V31" i="51"/>
  <c r="T45" i="51"/>
  <c r="Q45" i="51"/>
  <c r="P45" i="51"/>
  <c r="O45" i="51"/>
  <c r="N45" i="51"/>
  <c r="M45" i="51"/>
  <c r="V45" i="51"/>
  <c r="T35" i="51"/>
  <c r="Q35" i="51"/>
  <c r="P35" i="51"/>
  <c r="O35" i="51"/>
  <c r="N35" i="51"/>
  <c r="M35" i="51"/>
  <c r="V35" i="51"/>
  <c r="T8" i="51"/>
  <c r="Q8" i="51"/>
  <c r="P8" i="51"/>
  <c r="O8" i="51"/>
  <c r="N8" i="51"/>
  <c r="M8" i="51"/>
  <c r="V8" i="51"/>
  <c r="T33" i="51"/>
  <c r="Q33" i="51"/>
  <c r="P33" i="51"/>
  <c r="O33" i="51"/>
  <c r="N33" i="51"/>
  <c r="M33" i="51"/>
  <c r="V33" i="51"/>
  <c r="T19" i="51"/>
  <c r="Q19" i="51"/>
  <c r="P19" i="51"/>
  <c r="O19" i="51"/>
  <c r="N19" i="51"/>
  <c r="M19" i="51"/>
  <c r="V19" i="51"/>
  <c r="T14" i="51"/>
  <c r="Q14" i="51"/>
  <c r="P14" i="51"/>
  <c r="O14" i="51"/>
  <c r="N14" i="51"/>
  <c r="M14" i="51"/>
  <c r="V14" i="51"/>
  <c r="T30" i="51"/>
  <c r="Q30" i="51"/>
  <c r="P30" i="51"/>
  <c r="O30" i="51"/>
  <c r="N30" i="51"/>
  <c r="M30" i="51"/>
  <c r="V30" i="51"/>
  <c r="T259" i="46"/>
  <c r="S4" i="46"/>
  <c r="T15" i="51"/>
  <c r="Q15" i="51"/>
  <c r="P15" i="51"/>
  <c r="O15" i="51"/>
  <c r="N15" i="51"/>
  <c r="M15" i="51"/>
  <c r="V15" i="51"/>
  <c r="T43" i="51"/>
  <c r="Q43" i="51"/>
  <c r="P43" i="51"/>
  <c r="O43" i="51"/>
  <c r="N43" i="51"/>
  <c r="M43" i="51"/>
  <c r="V43" i="51"/>
  <c r="T9" i="51"/>
  <c r="Q9" i="51"/>
  <c r="P9" i="51"/>
  <c r="O9" i="51"/>
  <c r="N9" i="51"/>
  <c r="M9" i="51"/>
  <c r="V9" i="51"/>
  <c r="T24" i="51"/>
  <c r="Q24" i="51"/>
  <c r="P24" i="51"/>
  <c r="O24" i="51"/>
  <c r="N24" i="51"/>
  <c r="M24" i="51"/>
  <c r="V24" i="51"/>
  <c r="T26" i="51"/>
  <c r="Q26" i="51"/>
  <c r="P26" i="51"/>
  <c r="O26" i="51"/>
  <c r="N26" i="51"/>
  <c r="M26" i="51"/>
  <c r="V26" i="51"/>
  <c r="T55" i="51"/>
  <c r="Q55" i="51"/>
  <c r="P55" i="51"/>
  <c r="O55" i="51"/>
  <c r="N55" i="51"/>
  <c r="M55" i="51"/>
  <c r="V55" i="51"/>
  <c r="T49" i="51"/>
  <c r="Q49" i="51"/>
  <c r="P49" i="51"/>
  <c r="O49" i="51"/>
  <c r="N49" i="51"/>
  <c r="M49" i="51"/>
  <c r="V49" i="51"/>
  <c r="T32" i="51"/>
  <c r="Q32" i="51"/>
  <c r="P32" i="51"/>
  <c r="O32" i="51"/>
  <c r="N32" i="51"/>
  <c r="M32" i="51"/>
  <c r="V32" i="51"/>
  <c r="T38" i="51"/>
  <c r="Q38" i="51"/>
  <c r="P38" i="51"/>
  <c r="O38" i="51"/>
  <c r="N38" i="51"/>
  <c r="M38" i="51"/>
  <c r="V38" i="51"/>
  <c r="T16" i="51"/>
  <c r="Q16" i="51"/>
  <c r="P16" i="51"/>
  <c r="O16" i="51"/>
  <c r="N16" i="51"/>
  <c r="M16" i="51"/>
  <c r="V16" i="51"/>
  <c r="T12" i="51"/>
  <c r="Q12" i="51"/>
  <c r="P12" i="51"/>
  <c r="O12" i="51"/>
  <c r="N12" i="51"/>
  <c r="M12" i="51"/>
  <c r="V12" i="51"/>
  <c r="T13" i="51"/>
  <c r="Q13" i="51"/>
  <c r="P13" i="51"/>
  <c r="O13" i="51"/>
  <c r="N13" i="51"/>
  <c r="M13" i="51"/>
  <c r="V13" i="51"/>
  <c r="T18" i="51"/>
  <c r="Q18" i="51"/>
  <c r="P18" i="51"/>
  <c r="O18" i="51"/>
  <c r="N18" i="51"/>
  <c r="M18" i="51"/>
  <c r="V18" i="51"/>
  <c r="T52" i="51"/>
  <c r="Q52" i="51"/>
  <c r="P52" i="51"/>
  <c r="O52" i="51"/>
  <c r="N52" i="51"/>
  <c r="M52" i="51"/>
  <c r="V52" i="51"/>
  <c r="T36" i="51"/>
  <c r="Q36" i="51"/>
  <c r="P36" i="51"/>
  <c r="O36" i="51"/>
  <c r="N36" i="51"/>
  <c r="M36" i="51"/>
  <c r="V36" i="51"/>
  <c r="T40" i="51"/>
  <c r="Q40" i="51"/>
  <c r="P40" i="51"/>
  <c r="O40" i="51"/>
  <c r="N40" i="51"/>
  <c r="M40" i="51"/>
  <c r="V40" i="51"/>
  <c r="T27" i="51"/>
  <c r="Q27" i="51"/>
  <c r="P27" i="51"/>
  <c r="O27" i="51"/>
  <c r="N27" i="51"/>
  <c r="M27" i="51"/>
  <c r="V27" i="51"/>
  <c r="T41" i="51"/>
  <c r="Q41" i="51"/>
  <c r="P41" i="51"/>
  <c r="O41" i="51"/>
  <c r="N41" i="51"/>
  <c r="M41" i="51"/>
  <c r="V41" i="51"/>
  <c r="T17" i="51"/>
  <c r="Q17" i="51"/>
  <c r="P17" i="51"/>
  <c r="O17" i="51"/>
  <c r="N17" i="51"/>
  <c r="M17" i="51"/>
  <c r="V17" i="51"/>
  <c r="T47" i="51"/>
  <c r="Q47" i="51"/>
  <c r="P47" i="51"/>
  <c r="O47" i="51"/>
  <c r="N47" i="51"/>
  <c r="M47" i="51"/>
  <c r="V47" i="51"/>
  <c r="T37" i="51"/>
  <c r="Q37" i="51"/>
  <c r="P37" i="51"/>
  <c r="O37" i="51"/>
  <c r="N37" i="51"/>
  <c r="M37" i="51"/>
  <c r="V37" i="51"/>
  <c r="T48" i="51"/>
  <c r="Q48" i="51"/>
  <c r="P48" i="51"/>
  <c r="O48" i="51"/>
  <c r="N48" i="51"/>
  <c r="M48" i="51"/>
  <c r="V48" i="51"/>
  <c r="T44" i="51"/>
  <c r="Q44" i="51"/>
  <c r="P44" i="51"/>
  <c r="O44" i="51"/>
  <c r="N44" i="51"/>
  <c r="M44" i="51"/>
  <c r="V44" i="51"/>
  <c r="T21" i="51"/>
  <c r="Q21" i="51"/>
  <c r="P21" i="51"/>
  <c r="O21" i="51"/>
  <c r="N21" i="51"/>
  <c r="M21" i="51"/>
  <c r="V21" i="51"/>
  <c r="T25" i="51"/>
  <c r="Q25" i="51"/>
  <c r="P25" i="51"/>
  <c r="O25" i="51"/>
  <c r="N25" i="51"/>
  <c r="M25" i="51"/>
  <c r="V25" i="51"/>
  <c r="T23" i="51"/>
  <c r="Q23" i="51"/>
  <c r="P23" i="51"/>
  <c r="O23" i="51"/>
  <c r="N23" i="51"/>
  <c r="M23" i="51"/>
  <c r="V23" i="51"/>
  <c r="T54" i="51"/>
  <c r="Q54" i="51"/>
  <c r="P54" i="51"/>
  <c r="O54" i="51"/>
  <c r="N54" i="51"/>
  <c r="M54" i="51"/>
  <c r="V54" i="51"/>
  <c r="T11" i="51"/>
  <c r="Q11" i="51"/>
  <c r="P11" i="51"/>
  <c r="O11" i="51"/>
  <c r="N11" i="51"/>
  <c r="M11" i="51"/>
  <c r="V11" i="51"/>
  <c r="T39" i="51"/>
  <c r="Q39" i="51"/>
  <c r="P39" i="51"/>
  <c r="O39" i="51"/>
  <c r="N39" i="51"/>
  <c r="M39" i="51"/>
  <c r="V39" i="51"/>
  <c r="CG4" i="46"/>
  <c r="S2" i="46"/>
  <c r="AK2" i="46"/>
  <c r="BI2" i="46"/>
  <c r="CG2" i="46"/>
  <c r="AT2" i="46"/>
  <c r="BL2" i="46"/>
  <c r="BO2" i="46"/>
  <c r="EI2" i="46"/>
  <c r="CY2" i="46"/>
  <c r="DT2" i="46"/>
  <c r="CV2" i="46"/>
  <c r="AJ35" i="51" a="1"/>
  <c r="AJ35" i="51"/>
  <c r="AI35" i="51" a="1"/>
  <c r="AI35" i="51"/>
  <c r="Y35" i="51" a="1"/>
  <c r="Y35" i="51"/>
  <c r="Z35" i="51" a="1"/>
  <c r="Z35" i="51"/>
  <c r="X35" i="51" a="1"/>
  <c r="X35" i="51"/>
  <c r="AH35" i="51" a="1"/>
  <c r="AH35" i="51"/>
  <c r="Z33" i="51" a="1"/>
  <c r="Z33" i="51"/>
  <c r="W35" i="51" a="1"/>
  <c r="W35" i="51"/>
  <c r="E35" i="51"/>
  <c r="E36" i="51"/>
  <c r="E37" i="51"/>
  <c r="H8" i="51" a="1"/>
  <c r="H8" i="51"/>
  <c r="F37" i="51"/>
  <c r="D34" i="51"/>
  <c r="AA35" i="51" a="1"/>
  <c r="AA35" i="51"/>
  <c r="AC35" i="51" a="1"/>
  <c r="AC35" i="51"/>
  <c r="AB35" i="51" a="1"/>
  <c r="AB35" i="51"/>
  <c r="K8" i="51" a="1"/>
  <c r="K8" i="51"/>
  <c r="J8" i="51" a="1"/>
  <c r="J8" i="51"/>
  <c r="F35" i="51"/>
  <c r="F36" i="51"/>
  <c r="W42" i="46"/>
  <c r="W78" i="46"/>
  <c r="V4" i="46"/>
  <c r="BU3" i="46"/>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a="1"/>
  <c r="H5" i="47"/>
  <c r="R14" i="47" a="1"/>
  <c r="R14" i="47"/>
  <c r="M5" i="47" a="1"/>
  <c r="M5" i="47"/>
  <c r="K10" i="47" a="1"/>
  <c r="K10" i="47"/>
  <c r="G5" i="47" a="1"/>
  <c r="G5" i="47"/>
  <c r="O7" i="47" a="1"/>
  <c r="O7" i="47"/>
  <c r="H16" i="47" a="1"/>
  <c r="H16" i="47"/>
  <c r="P8" i="47" a="1"/>
  <c r="P8" i="47"/>
  <c r="J13" i="47" a="1"/>
  <c r="J13" i="47"/>
  <c r="N6" i="47" a="1"/>
  <c r="N6" i="47"/>
  <c r="S14" i="47" a="1"/>
  <c r="S14" i="47"/>
  <c r="M14" i="47" a="1"/>
  <c r="M14" i="47"/>
  <c r="M13" i="47" a="1"/>
  <c r="M13" i="47"/>
  <c r="Q10" i="47" a="1"/>
  <c r="Q10" i="47"/>
  <c r="F5" i="47" a="1"/>
  <c r="F5" i="47"/>
  <c r="O11" i="47" a="1"/>
  <c r="O11" i="47"/>
  <c r="Q15" i="47" a="1"/>
  <c r="Q15" i="47"/>
  <c r="R13" i="47" a="1"/>
  <c r="R13" i="47"/>
  <c r="S13" i="47" a="1"/>
  <c r="S13" i="47"/>
  <c r="P13" i="47" a="1"/>
  <c r="P13" i="47"/>
  <c r="K7" i="47" a="1"/>
  <c r="K7" i="47"/>
  <c r="K5" i="47" a="1"/>
  <c r="K5" i="47"/>
  <c r="E5" i="47" a="1"/>
  <c r="E5" i="47"/>
  <c r="E7" i="47" a="1"/>
  <c r="E7" i="47"/>
  <c r="Q8" i="47" a="1"/>
  <c r="Q8" i="47"/>
  <c r="Q7" i="47" a="1"/>
  <c r="Q7" i="47"/>
  <c r="J5" i="47" a="1"/>
  <c r="J5" i="47"/>
  <c r="P15" i="47" a="1"/>
  <c r="P15" i="47"/>
  <c r="M6" i="47" a="1"/>
  <c r="M6" i="47"/>
  <c r="D5" i="47"/>
  <c r="Q35" i="47" a="1"/>
  <c r="Q35" i="47"/>
  <c r="O5" i="47" a="1"/>
  <c r="O5" i="47"/>
  <c r="R16" i="47" a="1"/>
  <c r="R16" i="47"/>
  <c r="L5" i="47" a="1"/>
  <c r="L5" i="47"/>
  <c r="M7" i="47" a="1"/>
  <c r="M7" i="47"/>
  <c r="N12" i="47" a="1"/>
  <c r="N12" i="47"/>
  <c r="L13" i="47" a="1"/>
  <c r="L13" i="47"/>
  <c r="Q5" i="47" a="1"/>
  <c r="Q5" i="47"/>
  <c r="N10" i="47" a="1"/>
  <c r="N10" i="47"/>
  <c r="S6" i="47" a="1"/>
  <c r="S6" i="47"/>
  <c r="I5" i="47" a="1"/>
  <c r="I5" i="47"/>
  <c r="I7" i="47" a="1"/>
  <c r="I7" i="47"/>
  <c r="R15" i="47" a="1"/>
  <c r="R15" i="47"/>
  <c r="M8" i="47" a="1"/>
  <c r="M8" i="47"/>
  <c r="B5" i="47"/>
  <c r="J12" i="47" a="1"/>
  <c r="J12" i="47"/>
  <c r="K16" i="47" a="1"/>
  <c r="K16" i="47"/>
  <c r="R6" i="47" a="1"/>
  <c r="R6" i="47"/>
  <c r="R5" i="47" a="1"/>
  <c r="R5" i="47"/>
  <c r="Q12" i="47" a="1"/>
  <c r="Q12" i="47"/>
  <c r="S5" i="47" a="1"/>
  <c r="S5" i="47"/>
  <c r="Q45" i="47" a="1"/>
  <c r="Q45" i="47"/>
  <c r="R8" i="47" a="1"/>
  <c r="R8" i="47"/>
  <c r="L14" i="47" a="1"/>
  <c r="L14" i="47"/>
  <c r="L10" i="47" a="1"/>
  <c r="L10" i="47"/>
  <c r="S15" i="47" a="1"/>
  <c r="S15" i="47"/>
  <c r="S8" i="47" a="1"/>
  <c r="S8" i="47"/>
  <c r="R12" i="47" a="1"/>
  <c r="R12" i="47"/>
  <c r="P5" i="47" a="1"/>
  <c r="P5" i="47"/>
  <c r="N7" i="47" a="1"/>
  <c r="N7" i="47"/>
  <c r="J6" i="47" a="1"/>
  <c r="J6" i="47"/>
  <c r="S7" i="47" a="1"/>
  <c r="S7" i="47"/>
  <c r="P7" i="47" a="1"/>
  <c r="P7" i="47"/>
  <c r="N14" i="47" a="1"/>
  <c r="N14" i="47"/>
  <c r="O13" i="47" a="1"/>
  <c r="O13" i="47"/>
  <c r="L12" i="47" a="1"/>
  <c r="L12" i="47"/>
  <c r="H6" i="47" a="1"/>
  <c r="H6" i="47"/>
  <c r="D6" i="47"/>
  <c r="C5" i="47"/>
  <c r="J15" i="47" a="1"/>
  <c r="J15" i="47"/>
  <c r="N16" i="47" a="1"/>
  <c r="N16" i="47"/>
  <c r="S16" i="47" a="1"/>
  <c r="S16" i="47"/>
  <c r="K11" i="47" a="1"/>
  <c r="K11" i="47"/>
  <c r="J11" i="47" a="1"/>
  <c r="J11" i="47"/>
  <c r="L7" i="47" a="1"/>
  <c r="L7" i="47"/>
  <c r="K12" i="47" a="1"/>
  <c r="K12" i="47"/>
  <c r="R7" i="47" a="1"/>
  <c r="R7" i="47"/>
  <c r="N5" i="47" a="1"/>
  <c r="N5" i="47"/>
  <c r="P39" i="47" a="1"/>
  <c r="P39" i="47"/>
  <c r="Q51" i="47" a="1"/>
  <c r="Q51" i="47"/>
  <c r="N20" i="47" a="1"/>
  <c r="N20" i="47"/>
  <c r="Q27" i="47" a="1"/>
  <c r="Q27" i="47"/>
  <c r="J53" i="47" a="1"/>
  <c r="J53" i="47"/>
  <c r="R53" i="47" a="1"/>
  <c r="R53" i="47"/>
  <c r="L40" i="47" a="1"/>
  <c r="L40" i="47"/>
  <c r="R37" i="47" a="1"/>
  <c r="R37" i="47"/>
  <c r="S29" i="47" a="1"/>
  <c r="S29" i="47"/>
  <c r="K31" i="47" a="1"/>
  <c r="K31" i="47"/>
  <c r="Q47" i="47" a="1"/>
  <c r="Q47" i="47"/>
  <c r="E31" i="47" a="1"/>
  <c r="E31" i="47"/>
  <c r="M21" i="47" a="1"/>
  <c r="M21" i="47"/>
  <c r="O24" i="47" a="1"/>
  <c r="O24" i="47"/>
  <c r="S39" i="47" a="1"/>
  <c r="S39" i="47"/>
  <c r="N18" i="47" a="1"/>
  <c r="N18" i="47"/>
  <c r="L45" i="47" a="1"/>
  <c r="L45" i="47"/>
  <c r="M32" i="47" a="1"/>
  <c r="M32" i="47"/>
  <c r="K40" i="47" a="1"/>
  <c r="K40" i="47"/>
  <c r="N43" i="47" a="1"/>
  <c r="N43" i="47"/>
  <c r="J27" i="47" a="1"/>
  <c r="J27" i="47"/>
  <c r="L26" i="47" a="1"/>
  <c r="L26" i="47"/>
  <c r="K20" i="47" a="1"/>
  <c r="K20" i="47"/>
  <c r="L23" i="47" a="1"/>
  <c r="L23" i="47"/>
  <c r="N53" i="47" a="1"/>
  <c r="N53" i="47"/>
  <c r="E24" i="47" a="1"/>
  <c r="E24" i="47"/>
  <c r="R41" i="47" a="1"/>
  <c r="R41" i="47"/>
  <c r="J19" i="47" a="1"/>
  <c r="J19" i="47"/>
  <c r="O45" i="47" a="1"/>
  <c r="O45" i="47"/>
  <c r="J33" i="47" a="1"/>
  <c r="J33" i="47"/>
  <c r="L37" i="47" a="1"/>
  <c r="L37" i="47"/>
  <c r="N24" i="47" a="1"/>
  <c r="N24" i="47"/>
  <c r="P31" i="47" a="1"/>
  <c r="P31" i="47"/>
  <c r="R23" i="47" a="1"/>
  <c r="R23" i="47"/>
  <c r="E18" i="47" a="1"/>
  <c r="E18" i="47"/>
  <c r="J48" i="47" a="1"/>
  <c r="J48" i="47"/>
  <c r="Q22" i="47" a="1"/>
  <c r="Q22" i="47"/>
  <c r="L28" i="47" a="1"/>
  <c r="L28" i="47"/>
  <c r="N44" i="47" a="1"/>
  <c r="N44" i="47"/>
  <c r="K27" i="47" a="1"/>
  <c r="K27" i="47"/>
  <c r="J38" i="47" a="1"/>
  <c r="J38" i="47"/>
  <c r="L20" i="47" a="1"/>
  <c r="L20" i="47"/>
  <c r="O35" i="47" a="1"/>
  <c r="O35" i="47"/>
  <c r="K44" i="47" a="1"/>
  <c r="K44" i="47"/>
  <c r="S36" i="47" a="1"/>
  <c r="S36" i="47"/>
  <c r="M22" i="47" a="1"/>
  <c r="M22" i="47"/>
  <c r="P41" i="47" a="1"/>
  <c r="P41" i="47"/>
  <c r="S40" i="47" a="1"/>
  <c r="S40" i="47"/>
  <c r="P54" i="47" a="1"/>
  <c r="P54" i="47"/>
  <c r="P37" i="47" a="1"/>
  <c r="P37" i="47"/>
  <c r="R18" i="47" a="1"/>
  <c r="R18" i="47"/>
  <c r="M43" i="47" a="1"/>
  <c r="M43" i="47"/>
  <c r="R19" i="47" a="1"/>
  <c r="R19" i="47"/>
  <c r="P21" i="47" a="1"/>
  <c r="P21" i="47"/>
  <c r="H45" i="47" a="1"/>
  <c r="H45" i="47"/>
  <c r="K18" i="47" a="1"/>
  <c r="K18" i="47"/>
  <c r="Q31" i="47" a="1"/>
  <c r="Q31" i="47"/>
  <c r="Q18" i="47" a="1"/>
  <c r="Q18" i="47"/>
  <c r="Q29" i="47" a="1"/>
  <c r="Q29" i="47"/>
  <c r="N22" i="47" a="1"/>
  <c r="N22" i="47"/>
  <c r="H50" i="47" a="1"/>
  <c r="H50" i="47"/>
  <c r="P47" i="47" a="1"/>
  <c r="P47" i="47"/>
  <c r="N45" i="47" a="1"/>
  <c r="N45" i="47"/>
  <c r="J44" i="47" a="1"/>
  <c r="J44" i="47"/>
  <c r="O21" i="47" a="1"/>
  <c r="O21" i="47"/>
  <c r="N30" i="47" a="1"/>
  <c r="N30" i="47"/>
  <c r="O27" i="47" a="1"/>
  <c r="O27" i="47"/>
  <c r="L27" i="47" a="1"/>
  <c r="L27" i="47"/>
  <c r="P28" i="47" a="1"/>
  <c r="P28" i="47"/>
  <c r="R29" i="47" a="1"/>
  <c r="R29" i="47"/>
  <c r="L30" i="47" a="1"/>
  <c r="L30" i="47"/>
  <c r="M33" i="47" a="1"/>
  <c r="M33" i="47"/>
  <c r="R33" i="47" a="1"/>
  <c r="R33" i="47"/>
  <c r="S24" i="47" a="1"/>
  <c r="S24" i="47"/>
  <c r="S48" i="47" a="1"/>
  <c r="S48" i="47"/>
  <c r="I46" i="47" a="1"/>
  <c r="I46" i="47"/>
  <c r="N32" i="47" a="1"/>
  <c r="N32" i="47"/>
  <c r="L52" i="47" a="1"/>
  <c r="L52" i="47"/>
  <c r="P35" i="47" a="1"/>
  <c r="P35" i="47"/>
  <c r="S31" i="47" a="1"/>
  <c r="S31" i="47"/>
  <c r="M26" i="47" a="1"/>
  <c r="M26" i="47"/>
  <c r="F26" i="47" a="1"/>
  <c r="F26" i="47"/>
  <c r="P36" i="47" a="1"/>
  <c r="P36" i="47"/>
  <c r="P19" i="47" a="1"/>
  <c r="P19" i="47"/>
  <c r="K46" i="47" a="1"/>
  <c r="K46" i="47"/>
  <c r="S52" i="47" a="1"/>
  <c r="S52" i="47"/>
  <c r="Q42" i="47" a="1"/>
  <c r="Q42" i="47"/>
  <c r="S19" i="47" a="1"/>
  <c r="S19" i="47"/>
  <c r="K34" i="47" a="1"/>
  <c r="K34" i="47"/>
  <c r="N28" i="47" a="1"/>
  <c r="N28" i="47"/>
  <c r="K35" i="47" a="1"/>
  <c r="K35" i="47"/>
  <c r="S44" i="47" a="1"/>
  <c r="S44" i="47"/>
  <c r="P23" i="47" a="1"/>
  <c r="P23" i="47"/>
  <c r="R22" i="47" a="1"/>
  <c r="R22" i="47"/>
  <c r="K30" i="47" a="1"/>
  <c r="K30" i="47"/>
  <c r="R27" i="47" a="1"/>
  <c r="R27" i="47"/>
  <c r="L33" i="47" a="1"/>
  <c r="L33" i="47"/>
  <c r="M23" i="47" a="1"/>
  <c r="M23" i="47"/>
  <c r="L42" i="47" a="1"/>
  <c r="L42" i="47"/>
  <c r="O47" i="47" a="1"/>
  <c r="O47" i="47"/>
  <c r="M39" i="47" a="1"/>
  <c r="M39" i="47"/>
  <c r="J20" i="47" a="1"/>
  <c r="J20" i="47"/>
  <c r="M38" i="47" a="1"/>
  <c r="M38" i="47"/>
  <c r="O44" i="47" a="1"/>
  <c r="O44" i="47"/>
  <c r="S32" i="47" a="1"/>
  <c r="S32" i="47"/>
  <c r="P26" i="47" a="1"/>
  <c r="P26" i="47"/>
  <c r="N46" i="47" a="1"/>
  <c r="N46" i="47"/>
  <c r="G48" i="47" a="1"/>
  <c r="G48" i="47"/>
  <c r="L48" i="47" a="1"/>
  <c r="L48" i="47"/>
  <c r="Q38" i="47" a="1"/>
  <c r="Q38" i="47"/>
  <c r="R20" i="47" a="1"/>
  <c r="R20" i="47"/>
  <c r="L51" i="47" a="1"/>
  <c r="L51" i="47"/>
  <c r="P46" i="47" a="1"/>
  <c r="P46" i="47"/>
  <c r="R42" i="47" a="1"/>
  <c r="R42" i="47"/>
  <c r="N51" i="47" a="1"/>
  <c r="N51" i="47"/>
  <c r="M27" i="47" a="1"/>
  <c r="M27" i="47"/>
  <c r="Q50" i="47" a="1"/>
  <c r="Q50" i="47"/>
  <c r="J30" i="47" a="1"/>
  <c r="J30" i="47"/>
  <c r="L17" i="47" a="1"/>
  <c r="L17" i="47"/>
  <c r="I45" i="47" a="1"/>
  <c r="I45" i="47"/>
  <c r="O32" i="47" a="1"/>
  <c r="O32" i="47"/>
  <c r="M24" i="47" a="1"/>
  <c r="M24" i="47"/>
  <c r="I26" i="47" a="1"/>
  <c r="I26" i="47"/>
  <c r="K25" i="47" a="1"/>
  <c r="K25" i="47"/>
  <c r="J42" i="47" a="1"/>
  <c r="J42" i="47"/>
  <c r="M31" i="47" a="1"/>
  <c r="M31" i="47"/>
  <c r="O18" i="47" a="1"/>
  <c r="O18" i="47"/>
  <c r="L47" i="47" a="1"/>
  <c r="L47" i="47"/>
  <c r="S38" i="47" a="1"/>
  <c r="S38" i="47"/>
  <c r="O34" i="47" a="1"/>
  <c r="O34" i="47"/>
  <c r="K37" i="47" a="1"/>
  <c r="K37" i="47"/>
  <c r="J17" i="47" a="1"/>
  <c r="J17" i="47"/>
  <c r="O49" i="47" a="1"/>
  <c r="O49" i="47"/>
  <c r="H25" i="47" a="1"/>
  <c r="H25" i="47"/>
  <c r="N42" i="47" a="1"/>
  <c r="N42" i="47"/>
  <c r="H48" i="47" a="1"/>
  <c r="H48" i="47"/>
  <c r="M47" i="47" a="1"/>
  <c r="M47" i="47"/>
  <c r="K33" i="47" a="1"/>
  <c r="K33" i="47"/>
  <c r="S21" i="47" a="1"/>
  <c r="S21" i="47"/>
  <c r="N19" i="47" a="1"/>
  <c r="N19" i="47"/>
  <c r="N33" i="47" a="1"/>
  <c r="N33" i="47"/>
  <c r="N47" i="47" a="1"/>
  <c r="N47" i="47"/>
  <c r="K51" i="47" a="1"/>
  <c r="K51" i="47"/>
  <c r="Q33" i="47" a="1"/>
  <c r="Q33" i="47"/>
  <c r="P48" i="47" a="1"/>
  <c r="P48" i="47"/>
  <c r="K45" i="47" a="1"/>
  <c r="K45" i="47"/>
  <c r="O28" i="47" a="1"/>
  <c r="O28" i="47"/>
  <c r="S33" i="47" a="1"/>
  <c r="S33" i="47"/>
  <c r="N34" i="47" a="1"/>
  <c r="N34" i="47"/>
  <c r="S49" i="47" a="1"/>
  <c r="S49" i="47"/>
  <c r="J46" i="47" a="1"/>
  <c r="J46" i="47"/>
  <c r="J52" i="47" a="1"/>
  <c r="J52" i="47"/>
  <c r="P25" i="47" a="1"/>
  <c r="P25" i="47"/>
  <c r="O30" i="47" a="1"/>
  <c r="O30" i="47"/>
  <c r="Q19" i="47" a="1"/>
  <c r="Q19" i="47"/>
  <c r="O33" i="47" a="1"/>
  <c r="O33" i="47"/>
  <c r="Q21" i="47" a="1"/>
  <c r="Q21" i="47"/>
  <c r="L39" i="47" a="1"/>
  <c r="L39" i="47"/>
  <c r="R17" i="47" a="1"/>
  <c r="R17" i="47"/>
  <c r="M20" i="47" a="1"/>
  <c r="M20" i="47"/>
  <c r="N17" i="47" a="1"/>
  <c r="N17" i="47"/>
  <c r="O54" i="47" a="1"/>
  <c r="O54" i="47"/>
  <c r="R40" i="47" a="1"/>
  <c r="R40" i="47"/>
  <c r="J40" i="47" a="1"/>
  <c r="J40" i="47"/>
  <c r="Q20" i="47" a="1"/>
  <c r="Q20" i="47"/>
  <c r="J39" i="47" a="1"/>
  <c r="J39" i="47"/>
  <c r="L25" i="47" a="1"/>
  <c r="L25" i="47"/>
  <c r="R51" i="47" a="1"/>
  <c r="R51" i="47"/>
  <c r="J24" i="47" a="1"/>
  <c r="J24" i="47"/>
  <c r="P43" i="47" a="1"/>
  <c r="P43" i="47"/>
  <c r="Q40" i="47" a="1"/>
  <c r="Q40" i="47"/>
  <c r="K29" i="47" a="1"/>
  <c r="K29" i="47"/>
  <c r="M50" i="47" a="1"/>
  <c r="M50" i="47"/>
  <c r="L24" i="47" a="1"/>
  <c r="L24" i="47"/>
  <c r="J51" i="47" a="1"/>
  <c r="J51" i="47"/>
  <c r="M46" i="47" a="1"/>
  <c r="M46" i="47"/>
  <c r="O41" i="47" a="1"/>
  <c r="O41" i="47"/>
  <c r="Q26" i="47" a="1"/>
  <c r="Q26" i="47"/>
  <c r="J21" i="47" a="1"/>
  <c r="J21" i="47"/>
  <c r="L22" i="47" a="1"/>
  <c r="L22" i="47"/>
  <c r="S42" i="47" a="1"/>
  <c r="S42" i="47"/>
  <c r="L18" i="47" a="1"/>
  <c r="L18" i="47"/>
  <c r="R52" i="47" a="1"/>
  <c r="R52" i="47"/>
  <c r="O43" i="47" a="1"/>
  <c r="O43" i="47"/>
  <c r="Q23" i="47" a="1"/>
  <c r="Q23" i="47"/>
  <c r="R25" i="47" a="1"/>
  <c r="R25" i="47"/>
  <c r="M42" i="47" a="1"/>
  <c r="M42" i="47"/>
  <c r="Q14" i="47" a="1"/>
  <c r="Q14" i="47"/>
  <c r="K38" i="47" a="1"/>
  <c r="K38" i="47"/>
  <c r="H17" i="47" a="1"/>
  <c r="H17" i="47"/>
  <c r="H26" i="47" a="1"/>
  <c r="H26" i="47"/>
  <c r="O20" i="47" a="1"/>
  <c r="O20" i="47"/>
  <c r="M19" i="47" a="1"/>
  <c r="M19" i="47"/>
  <c r="S20" i="47" a="1"/>
  <c r="S20" i="47"/>
  <c r="K26" i="47" a="1"/>
  <c r="K26" i="47"/>
  <c r="O17" i="47" a="1"/>
  <c r="O17" i="47"/>
  <c r="L35" i="47" a="1"/>
  <c r="L35" i="47"/>
  <c r="I8" i="47" a="1"/>
  <c r="I8" i="47"/>
  <c r="P34" i="47" a="1"/>
  <c r="P34" i="47"/>
  <c r="I36" i="47" a="1"/>
  <c r="I36" i="47"/>
  <c r="Q52" i="47" a="1"/>
  <c r="Q52" i="47"/>
  <c r="H38" i="47" a="1"/>
  <c r="H38" i="47"/>
  <c r="K50" i="47" a="1"/>
  <c r="K50" i="47"/>
  <c r="O48" i="47" a="1"/>
  <c r="O48" i="47"/>
  <c r="Q34" i="47" a="1"/>
  <c r="Q34" i="47"/>
  <c r="K43" i="47" a="1"/>
  <c r="K43" i="47"/>
  <c r="L6" i="47" a="1"/>
  <c r="L6" i="47"/>
  <c r="J8" i="47" a="1"/>
  <c r="J8" i="47"/>
  <c r="K8" i="47" a="1"/>
  <c r="K8" i="47"/>
  <c r="E8" i="47" a="1"/>
  <c r="E8" i="47"/>
  <c r="O42" i="47" a="1"/>
  <c r="O42" i="47"/>
  <c r="M35" i="47" a="1"/>
  <c r="M35" i="47"/>
  <c r="L36" i="47" a="1"/>
  <c r="L36" i="47"/>
  <c r="J50" i="47" a="1"/>
  <c r="J50" i="47"/>
  <c r="R44" i="47" a="1"/>
  <c r="R44" i="47"/>
  <c r="L8" i="47" a="1"/>
  <c r="L8" i="47"/>
  <c r="M25" i="47" a="1"/>
  <c r="M25" i="47"/>
  <c r="Q6" i="47" a="1"/>
  <c r="Q6" i="47"/>
  <c r="P30" i="47" a="1"/>
  <c r="P30" i="47"/>
  <c r="F6" i="47" a="1"/>
  <c r="F6" i="47"/>
  <c r="B6" i="47"/>
  <c r="H8" i="47" a="1"/>
  <c r="H8" i="47"/>
  <c r="P51" i="47" a="1"/>
  <c r="P51" i="47"/>
  <c r="M53" i="47" a="1"/>
  <c r="M53" i="47"/>
  <c r="G6" i="47" a="1"/>
  <c r="G6" i="47"/>
  <c r="G7" i="47" a="1"/>
  <c r="G7" i="47"/>
  <c r="B7" i="47"/>
  <c r="O6" i="47" a="1"/>
  <c r="O6" i="47"/>
  <c r="D8" i="47"/>
  <c r="C8" i="47"/>
  <c r="J35" i="47" a="1"/>
  <c r="J35" i="47"/>
  <c r="Q39" i="47" a="1"/>
  <c r="Q39" i="47"/>
  <c r="Q44" i="47" a="1"/>
  <c r="Q44" i="47"/>
  <c r="L49" i="47" a="1"/>
  <c r="L49" i="47"/>
  <c r="M44" i="47" a="1"/>
  <c r="M44" i="47"/>
  <c r="M54" i="47" a="1"/>
  <c r="M54" i="47"/>
  <c r="Q53" i="47" a="1"/>
  <c r="Q53" i="47"/>
  <c r="Q24" i="47" a="1"/>
  <c r="Q24" i="47"/>
  <c r="S27" i="47" a="1"/>
  <c r="S27" i="47"/>
  <c r="K36" i="47" a="1"/>
  <c r="K36" i="47"/>
  <c r="O25" i="47" a="1"/>
  <c r="O25" i="47"/>
  <c r="N8" i="47" a="1"/>
  <c r="N8" i="47"/>
  <c r="K6" i="47" a="1"/>
  <c r="K6" i="47"/>
  <c r="I6" i="47" a="1"/>
  <c r="I6" i="47"/>
  <c r="I10" i="47" a="1"/>
  <c r="I10" i="47"/>
  <c r="E6" i="47" a="1"/>
  <c r="E6" i="47"/>
  <c r="D7" i="47"/>
  <c r="C7" i="47"/>
  <c r="F7" i="47" a="1"/>
  <c r="F7" i="47"/>
  <c r="K53" i="47" a="1"/>
  <c r="K53" i="47"/>
  <c r="O52" i="47" a="1"/>
  <c r="O52" i="47"/>
  <c r="S34" i="47" a="1"/>
  <c r="S34" i="47"/>
  <c r="N39" i="47" a="1"/>
  <c r="N39" i="47"/>
  <c r="M10" i="47" a="1"/>
  <c r="M10" i="47"/>
  <c r="H34" i="47" a="1"/>
  <c r="H34" i="47"/>
  <c r="P6" i="47" a="1"/>
  <c r="P6" i="47"/>
  <c r="J7" i="47" a="1"/>
  <c r="J7" i="47"/>
  <c r="B10" i="47"/>
  <c r="B8" i="47"/>
  <c r="C6" i="47"/>
  <c r="F8" i="47" a="1"/>
  <c r="F8" i="47"/>
  <c r="K41" i="47" a="1"/>
  <c r="K41" i="47"/>
  <c r="O53" i="47" a="1"/>
  <c r="O53" i="47"/>
  <c r="L38" i="47" a="1"/>
  <c r="L38" i="47"/>
  <c r="O36" i="47" a="1"/>
  <c r="O36" i="47"/>
  <c r="Q43" i="47" a="1"/>
  <c r="Q43" i="47"/>
  <c r="P50" i="47" a="1"/>
  <c r="P50" i="47"/>
  <c r="R32" i="47" a="1"/>
  <c r="R32" i="47"/>
  <c r="O8" i="47" a="1"/>
  <c r="O8" i="47"/>
  <c r="G8" i="47" a="1"/>
  <c r="G8" i="47"/>
  <c r="H7" i="47" a="1"/>
  <c r="H7" i="47"/>
  <c r="N9" i="47" a="1"/>
  <c r="N9" i="47"/>
  <c r="H14" i="47" a="1"/>
  <c r="H14" i="47"/>
  <c r="F19" i="47" a="1"/>
  <c r="F19" i="47"/>
  <c r="F10" i="47" a="1"/>
  <c r="F10" i="47"/>
  <c r="E43" i="47" a="1"/>
  <c r="E43" i="47"/>
  <c r="D27" i="47"/>
  <c r="D52" i="47"/>
  <c r="D14" i="47"/>
  <c r="B19" i="47"/>
  <c r="D38" i="47"/>
  <c r="D23" i="47"/>
  <c r="B43" i="47"/>
  <c r="E30" i="47" a="1"/>
  <c r="E30" i="47"/>
  <c r="O9" i="47" a="1"/>
  <c r="O9" i="47"/>
  <c r="G23" i="47" a="1"/>
  <c r="G23" i="47"/>
  <c r="C9" i="47"/>
  <c r="I43" i="47" a="1"/>
  <c r="I43" i="47"/>
  <c r="F46" i="47" a="1"/>
  <c r="F46" i="47"/>
  <c r="C21" i="47"/>
  <c r="B26" i="47"/>
  <c r="B9" i="47"/>
  <c r="G54" i="47" a="1"/>
  <c r="G54" i="47"/>
  <c r="G18" i="47" a="1"/>
  <c r="G18" i="47"/>
  <c r="B13" i="47"/>
  <c r="B30" i="47"/>
  <c r="E9" i="47" a="1"/>
  <c r="E9" i="47"/>
  <c r="D22" i="47"/>
  <c r="B53" i="47"/>
  <c r="E41" i="47" a="1"/>
  <c r="E41" i="47"/>
  <c r="F9" i="47" a="1"/>
  <c r="F9" i="47"/>
  <c r="E14" i="47" a="1"/>
  <c r="E14" i="47"/>
  <c r="F37" i="47" a="1"/>
  <c r="F37" i="47"/>
  <c r="B16" i="47"/>
  <c r="B44" i="47"/>
  <c r="I47" i="47" a="1"/>
  <c r="I47" i="47"/>
  <c r="B22" i="47"/>
  <c r="B21" i="47"/>
  <c r="F43" i="47" a="1"/>
  <c r="F43" i="47"/>
  <c r="D43" i="47"/>
  <c r="D25" i="47"/>
  <c r="F21" i="47" a="1"/>
  <c r="F21" i="47"/>
  <c r="F48" i="47" a="1"/>
  <c r="F48" i="47"/>
  <c r="B29" i="47"/>
  <c r="D37" i="47"/>
  <c r="F35" i="47" a="1"/>
  <c r="F35" i="47"/>
  <c r="O31" i="47" a="1"/>
  <c r="O31" i="47"/>
  <c r="H20" i="47" a="1"/>
  <c r="H20" i="47"/>
  <c r="B14" i="47"/>
  <c r="I30" i="47" a="1"/>
  <c r="I30" i="47"/>
  <c r="H19" i="47" a="1"/>
  <c r="H19" i="47"/>
  <c r="P9" i="47" a="1"/>
  <c r="P9" i="47"/>
  <c r="C12" i="47"/>
  <c r="C15" i="47"/>
  <c r="D31" i="47"/>
  <c r="E36" i="47" a="1"/>
  <c r="E36" i="47"/>
  <c r="G9" i="47" a="1"/>
  <c r="G9" i="47"/>
  <c r="G22" i="47" a="1"/>
  <c r="G22" i="47"/>
  <c r="I9" i="47" a="1"/>
  <c r="I9" i="47"/>
  <c r="F33" i="47" a="1"/>
  <c r="F33" i="47"/>
  <c r="C45" i="47"/>
  <c r="B27" i="47"/>
  <c r="Q9" i="47" a="1"/>
  <c r="Q9" i="47"/>
  <c r="D54" i="47"/>
  <c r="E28" i="47" a="1"/>
  <c r="E28" i="47"/>
  <c r="L9" i="47" a="1"/>
  <c r="L9" i="47"/>
  <c r="B49" i="47"/>
  <c r="D10" i="47"/>
  <c r="C24" i="47"/>
  <c r="I13" i="47" a="1"/>
  <c r="I13" i="47"/>
  <c r="R38" i="47" a="1"/>
  <c r="R38" i="47"/>
  <c r="G14" i="47" a="1"/>
  <c r="G14" i="47"/>
  <c r="D12" i="47"/>
  <c r="B42" i="47"/>
  <c r="F11" i="47" a="1"/>
  <c r="F11" i="47"/>
  <c r="G53" i="47" a="1"/>
  <c r="G53" i="47"/>
  <c r="G33" i="47" a="1"/>
  <c r="G33" i="47"/>
  <c r="E39" i="47" a="1"/>
  <c r="E39" i="47"/>
  <c r="F22" i="47" a="1"/>
  <c r="F22" i="47"/>
  <c r="I48" i="47" a="1"/>
  <c r="I48" i="47"/>
  <c r="O38" i="47" a="1"/>
  <c r="O38" i="47"/>
  <c r="G26" i="47" a="1"/>
  <c r="G26" i="47"/>
  <c r="H43" i="47" a="1"/>
  <c r="H43" i="47"/>
  <c r="B25" i="47"/>
  <c r="F51" i="47" a="1"/>
  <c r="F51" i="47"/>
  <c r="B36" i="47"/>
  <c r="O26" i="47" a="1"/>
  <c r="O26" i="47"/>
  <c r="B47" i="47"/>
  <c r="B45" i="47"/>
  <c r="F31" i="47" a="1"/>
  <c r="F31" i="47"/>
  <c r="C18" i="47"/>
  <c r="M9" i="47" a="1"/>
  <c r="M9" i="47"/>
  <c r="F36" i="47" a="1"/>
  <c r="F36" i="47"/>
  <c r="F25" i="47" a="1"/>
  <c r="F25" i="47"/>
  <c r="D11" i="47"/>
  <c r="D32" i="47"/>
  <c r="I17" i="47" a="1"/>
  <c r="I17" i="47"/>
  <c r="C53" i="47"/>
  <c r="E29" i="47" a="1"/>
  <c r="E29" i="47"/>
  <c r="S9" i="47" a="1"/>
  <c r="S9" i="47"/>
  <c r="G50" i="47" a="1"/>
  <c r="G50" i="47"/>
  <c r="D36" i="47"/>
  <c r="D16" i="47"/>
  <c r="B31" i="47"/>
  <c r="D19" i="47"/>
  <c r="C22" i="47"/>
  <c r="E37" i="47" a="1"/>
  <c r="E37" i="47"/>
  <c r="G21" i="47" a="1"/>
  <c r="G21" i="47"/>
  <c r="H31" i="47" a="1"/>
  <c r="H31" i="47"/>
  <c r="D45" i="47"/>
  <c r="D34" i="47"/>
  <c r="C52" i="47"/>
  <c r="D15" i="47"/>
  <c r="R9" i="47" a="1"/>
  <c r="R9" i="47"/>
  <c r="C11" i="47"/>
  <c r="B54" i="47"/>
  <c r="H9" i="47" a="1"/>
  <c r="H9" i="47"/>
  <c r="F16" i="47" a="1"/>
  <c r="F16" i="47"/>
  <c r="D30" i="47"/>
  <c r="D39" i="47"/>
  <c r="E42" i="47" a="1"/>
  <c r="E42" i="47"/>
  <c r="E53" i="47" a="1"/>
  <c r="E53" i="47"/>
  <c r="B50" i="47"/>
  <c r="I33" i="47" a="1"/>
  <c r="I33" i="47"/>
  <c r="D26" i="47"/>
  <c r="G29" i="47" a="1"/>
  <c r="G29" i="47"/>
  <c r="C31" i="47"/>
  <c r="B37" i="47"/>
  <c r="F32" i="47" a="1"/>
  <c r="F32" i="47"/>
  <c r="C41" i="47"/>
  <c r="C36" i="47"/>
  <c r="E51" i="47" a="1"/>
  <c r="E51" i="47"/>
  <c r="B39" i="47"/>
  <c r="H44" i="47" a="1"/>
  <c r="H44" i="47"/>
  <c r="E40" i="47" a="1"/>
  <c r="E40" i="47"/>
  <c r="I28" i="47" a="1"/>
  <c r="I28" i="47"/>
  <c r="E11" i="47" a="1"/>
  <c r="E11" i="47"/>
  <c r="H39" i="47" a="1"/>
  <c r="H39" i="47"/>
  <c r="C10" i="47"/>
  <c r="E47" i="47" a="1"/>
  <c r="E47" i="47"/>
  <c r="F50" i="47" a="1"/>
  <c r="F50" i="47"/>
  <c r="F20" i="47" a="1"/>
  <c r="F20" i="47"/>
  <c r="C32" i="47"/>
  <c r="K52" i="47" a="1"/>
  <c r="K52" i="47"/>
  <c r="E22" i="47" a="1"/>
  <c r="E22" i="47"/>
  <c r="F39" i="47" a="1"/>
  <c r="F39" i="47"/>
  <c r="B34" i="47"/>
  <c r="G11" i="47" a="1"/>
  <c r="G11" i="47"/>
  <c r="D28" i="47"/>
  <c r="D24" i="47"/>
  <c r="H12" i="47" a="1"/>
  <c r="H12" i="47"/>
  <c r="I20" i="47" a="1"/>
  <c r="I20" i="47"/>
  <c r="O10" i="47" a="1"/>
  <c r="O10" i="47"/>
  <c r="E12" i="47" a="1"/>
  <c r="E12" i="47"/>
  <c r="C20" i="47"/>
  <c r="G19" i="47" a="1"/>
  <c r="G19" i="47"/>
  <c r="K21" i="47" a="1"/>
  <c r="K21" i="47"/>
  <c r="R50" i="47" a="1"/>
  <c r="R50" i="47"/>
  <c r="E21" i="47" a="1"/>
  <c r="E21" i="47"/>
  <c r="F24" i="47" a="1"/>
  <c r="F24" i="47"/>
  <c r="H46" i="47" a="1"/>
  <c r="H46" i="47"/>
  <c r="J16" i="47" a="1"/>
  <c r="J16" i="47"/>
  <c r="S23" i="47" a="1"/>
  <c r="S23" i="47"/>
  <c r="C48" i="47"/>
  <c r="K9" i="47" a="1"/>
  <c r="K9" i="47"/>
  <c r="D47" i="47"/>
  <c r="D20" i="47"/>
  <c r="E15" i="47" a="1"/>
  <c r="E15" i="47"/>
  <c r="D49" i="47"/>
  <c r="N54" i="47" a="1"/>
  <c r="N54" i="47"/>
  <c r="C35" i="47"/>
  <c r="F28" i="47" a="1"/>
  <c r="F28" i="47"/>
  <c r="O50" i="47" a="1"/>
  <c r="O50" i="47"/>
  <c r="H40" i="47" a="1"/>
  <c r="H40" i="47"/>
  <c r="Q16" i="47" a="1"/>
  <c r="Q16" i="47"/>
  <c r="S37" i="47" a="1"/>
  <c r="S37" i="47"/>
  <c r="F49" i="47" a="1"/>
  <c r="F49" i="47"/>
  <c r="R39" i="47" a="1"/>
  <c r="R39" i="47"/>
  <c r="N50" i="47" a="1"/>
  <c r="N50" i="47"/>
  <c r="I34" i="47" a="1"/>
  <c r="I34" i="47"/>
  <c r="C14" i="47"/>
  <c r="D40" i="47"/>
  <c r="B35" i="47"/>
  <c r="I25" i="47" a="1"/>
  <c r="I25" i="47"/>
  <c r="H24" i="47" a="1"/>
  <c r="H24" i="47"/>
  <c r="C50" i="47"/>
  <c r="B20" i="47"/>
  <c r="G30" i="47" a="1"/>
  <c r="G30" i="47"/>
  <c r="I15" i="47" a="1"/>
  <c r="I15" i="47"/>
  <c r="B52" i="47"/>
  <c r="G52" i="47" a="1"/>
  <c r="G52" i="47"/>
  <c r="F42" i="47" a="1"/>
  <c r="F42" i="47"/>
  <c r="G45" i="47" a="1"/>
  <c r="G45" i="47"/>
  <c r="E49" i="47" a="1"/>
  <c r="E49" i="47"/>
  <c r="I52" i="47" a="1"/>
  <c r="I52" i="47"/>
  <c r="C40" i="47"/>
  <c r="C37" i="47"/>
  <c r="C26" i="47"/>
  <c r="C28" i="47"/>
  <c r="I21" i="47" a="1"/>
  <c r="I21" i="47"/>
  <c r="C54" i="47"/>
  <c r="I32" i="47" a="1"/>
  <c r="I32" i="47"/>
  <c r="H41" i="47" a="1"/>
  <c r="H41" i="47"/>
  <c r="N37" i="47" a="1"/>
  <c r="N37" i="47"/>
  <c r="I31" i="47" a="1"/>
  <c r="I31" i="47"/>
  <c r="G49" i="47" a="1"/>
  <c r="G49" i="47"/>
  <c r="H33" i="47" a="1"/>
  <c r="H33" i="47"/>
  <c r="H36" i="47" a="1"/>
  <c r="H36" i="47"/>
  <c r="E13" i="47" a="1"/>
  <c r="E13" i="47"/>
  <c r="G39" i="47" a="1"/>
  <c r="G39" i="47"/>
  <c r="G15" i="47" a="1"/>
  <c r="G15" i="47"/>
  <c r="I16" i="47" a="1"/>
  <c r="I16" i="47"/>
  <c r="K48" i="47" a="1"/>
  <c r="K48" i="47"/>
  <c r="C34" i="47"/>
  <c r="F40" i="47" a="1"/>
  <c r="F40" i="47"/>
  <c r="C51" i="47"/>
  <c r="D50" i="47"/>
  <c r="E16" i="47" a="1"/>
  <c r="E16" i="47"/>
  <c r="B32" i="47"/>
  <c r="I38" i="47" a="1"/>
  <c r="I38" i="47"/>
  <c r="I24" i="47" a="1"/>
  <c r="I24" i="47"/>
  <c r="E46" i="47" a="1"/>
  <c r="E46" i="47"/>
  <c r="C42" i="47"/>
  <c r="B48" i="47"/>
  <c r="I49" i="47" a="1"/>
  <c r="I49" i="47"/>
  <c r="G38" i="47" a="1"/>
  <c r="G38" i="47"/>
  <c r="E23" i="47" a="1"/>
  <c r="E23" i="47"/>
  <c r="P18" i="47" a="1"/>
  <c r="P18" i="47"/>
  <c r="D53" i="47"/>
  <c r="F47" i="47" a="1"/>
  <c r="F47" i="47"/>
  <c r="J9" i="47" a="1"/>
  <c r="J9" i="47"/>
  <c r="I29" i="47" a="1"/>
  <c r="I29" i="47"/>
  <c r="F44" i="47" a="1"/>
  <c r="F44" i="47"/>
  <c r="G12" i="47" a="1"/>
  <c r="G12" i="47"/>
  <c r="F15" i="47" a="1"/>
  <c r="F15" i="47"/>
  <c r="I35" i="47" a="1"/>
  <c r="I35" i="47"/>
  <c r="H18" i="47" a="1"/>
  <c r="H18" i="47"/>
  <c r="B33" i="47"/>
  <c r="B51" i="47"/>
  <c r="E19" i="47" a="1"/>
  <c r="E19" i="47"/>
  <c r="C13" i="47"/>
  <c r="C46" i="47"/>
  <c r="C25" i="47"/>
  <c r="G31" i="47" a="1"/>
  <c r="G31" i="47"/>
  <c r="R35" i="47" a="1"/>
  <c r="R35" i="47"/>
  <c r="D9" i="47"/>
  <c r="C16" i="47"/>
  <c r="G25" i="47" a="1"/>
  <c r="G25" i="47"/>
  <c r="G44" i="47" a="1"/>
  <c r="G44" i="47"/>
  <c r="I41" i="47" a="1"/>
  <c r="I41" i="47"/>
  <c r="B23" i="47"/>
  <c r="K28" i="47" a="1"/>
  <c r="K28" i="47"/>
  <c r="G17" i="47" a="1"/>
  <c r="G17" i="47"/>
  <c r="I19" i="47" a="1"/>
  <c r="I19" i="47"/>
  <c r="G20" i="47" a="1"/>
  <c r="G20" i="47"/>
  <c r="B12" i="47"/>
  <c r="G24" i="47" a="1"/>
  <c r="G24" i="47"/>
  <c r="G43" i="47" a="1"/>
  <c r="G43" i="47"/>
  <c r="F38" i="47" a="1"/>
  <c r="F38" i="47"/>
  <c r="R45" i="47" a="1"/>
  <c r="R45" i="47"/>
  <c r="S12" i="47" a="1"/>
  <c r="S12" i="47"/>
  <c r="E33" i="47" a="1"/>
  <c r="E33" i="47"/>
  <c r="C27" i="47"/>
  <c r="L29" i="47" a="1"/>
  <c r="L29" i="47"/>
  <c r="N27" i="47" a="1"/>
  <c r="N27" i="47"/>
  <c r="P11" i="47" a="1"/>
  <c r="P11" i="47"/>
  <c r="I12" i="47" a="1"/>
  <c r="I12" i="47"/>
  <c r="I23" i="47" a="1"/>
  <c r="I23" i="47"/>
  <c r="L34" i="47" a="1"/>
  <c r="L34" i="47"/>
  <c r="M28" i="47" a="1"/>
  <c r="M28" i="47"/>
  <c r="I54" i="47" a="1"/>
  <c r="I54" i="47"/>
  <c r="D21" i="47"/>
  <c r="K19" i="47" a="1"/>
  <c r="K19" i="47"/>
  <c r="E34" i="47" a="1"/>
  <c r="E34" i="47"/>
  <c r="K15" i="47" a="1"/>
  <c r="K15" i="47"/>
  <c r="G37" i="47" a="1"/>
  <c r="G37" i="47"/>
  <c r="R28" i="47" a="1"/>
  <c r="R28" i="47"/>
  <c r="M29" i="47" a="1"/>
  <c r="M29" i="47"/>
  <c r="I22" i="47" a="1"/>
  <c r="I22" i="47"/>
  <c r="F34" i="47" a="1"/>
  <c r="F34" i="47"/>
  <c r="N48" i="47" a="1"/>
  <c r="N48" i="47"/>
  <c r="F29" i="47" a="1"/>
  <c r="F29" i="47"/>
  <c r="L16" i="47" a="1"/>
  <c r="L16" i="47"/>
  <c r="D51" i="47"/>
  <c r="K47" i="47" a="1"/>
  <c r="K47" i="47"/>
  <c r="H22" i="47" a="1"/>
  <c r="H22" i="47"/>
  <c r="N35" i="47" a="1"/>
  <c r="N35" i="47"/>
  <c r="N25" i="47" a="1"/>
  <c r="N25" i="47"/>
  <c r="O16" i="47" a="1"/>
  <c r="O16" i="47"/>
  <c r="S18" i="47" a="1"/>
  <c r="S18" i="47"/>
  <c r="H28" i="47" a="1"/>
  <c r="H28" i="47"/>
  <c r="R26" i="47" a="1"/>
  <c r="R26" i="47"/>
  <c r="P24" i="47" a="1"/>
  <c r="P24" i="47"/>
  <c r="P45" i="47" a="1"/>
  <c r="P45" i="47"/>
  <c r="G34" i="47" a="1"/>
  <c r="G34" i="47"/>
  <c r="L50" i="47" a="1"/>
  <c r="L50" i="47"/>
  <c r="C49" i="47"/>
  <c r="D17" i="47"/>
  <c r="S41" i="47" a="1"/>
  <c r="S41" i="47"/>
  <c r="G13" i="47" a="1"/>
  <c r="G13" i="47"/>
  <c r="P22" i="47" a="1"/>
  <c r="P22" i="47"/>
  <c r="R36" i="47" a="1"/>
  <c r="R36" i="47"/>
  <c r="O40" i="47" a="1"/>
  <c r="O40" i="47"/>
  <c r="D29" i="47"/>
  <c r="C44" i="47"/>
  <c r="P42" i="47" a="1"/>
  <c r="P42" i="47"/>
  <c r="S46" i="47" a="1"/>
  <c r="S46" i="47"/>
  <c r="Q11" i="47" a="1"/>
  <c r="Q11" i="47"/>
  <c r="M16" i="47" a="1"/>
  <c r="M16" i="47"/>
  <c r="F30" i="47" a="1"/>
  <c r="F30" i="47"/>
  <c r="S47" i="47" a="1"/>
  <c r="S47" i="47"/>
  <c r="H21" i="47" a="1"/>
  <c r="H21" i="47"/>
  <c r="Q37" i="47" a="1"/>
  <c r="Q37" i="47"/>
  <c r="E50" i="47" a="1"/>
  <c r="E50" i="47"/>
  <c r="J43" i="47" a="1"/>
  <c r="J43" i="47"/>
  <c r="G40" i="47" a="1"/>
  <c r="G40" i="47"/>
  <c r="J34" i="47" a="1"/>
  <c r="J34" i="47"/>
  <c r="E25" i="47" a="1"/>
  <c r="E25" i="47"/>
  <c r="I50" i="47" a="1"/>
  <c r="I50" i="47"/>
  <c r="J23" i="47" a="1"/>
  <c r="J23" i="47"/>
  <c r="L15" i="47" a="1"/>
  <c r="L15" i="47"/>
  <c r="H11" i="47" a="1"/>
  <c r="H11" i="47"/>
  <c r="D35" i="47"/>
  <c r="C29" i="47"/>
  <c r="D41" i="47"/>
  <c r="I40" i="47" a="1"/>
  <c r="I40" i="47"/>
  <c r="Q54" i="47" a="1"/>
  <c r="Q54" i="47"/>
  <c r="K39" i="47" a="1"/>
  <c r="K39" i="47"/>
  <c r="Q13" i="47" a="1"/>
  <c r="Q13" i="47"/>
  <c r="N13" i="47" a="1"/>
  <c r="N13" i="47"/>
  <c r="E44" i="47" a="1"/>
  <c r="E44" i="47"/>
  <c r="H52" i="47" a="1"/>
  <c r="H52" i="47"/>
  <c r="D18" i="47"/>
  <c r="E17" i="47" a="1"/>
  <c r="E17" i="47"/>
  <c r="L44" i="47" a="1"/>
  <c r="L44" i="47"/>
  <c r="G41" i="47" a="1"/>
  <c r="G41" i="47"/>
  <c r="H35" i="47" a="1"/>
  <c r="H35" i="47"/>
  <c r="L31" i="47" a="1"/>
  <c r="L31" i="47"/>
  <c r="M41" i="47" a="1"/>
  <c r="M41" i="47"/>
  <c r="I42" i="47" a="1"/>
  <c r="I42" i="47"/>
  <c r="N26" i="47" a="1"/>
  <c r="N26" i="47"/>
  <c r="B28" i="47"/>
  <c r="P27" i="47" a="1"/>
  <c r="P27" i="47"/>
  <c r="Q41" i="47" a="1"/>
  <c r="Q41" i="47"/>
  <c r="F27" i="47" a="1"/>
  <c r="F27" i="47"/>
  <c r="G42" i="47" a="1"/>
  <c r="G42" i="47"/>
  <c r="G51" i="47" a="1"/>
  <c r="G51" i="47"/>
  <c r="D44" i="47"/>
  <c r="F18" i="47" a="1"/>
  <c r="F18" i="47"/>
  <c r="D13" i="47"/>
  <c r="H51" i="47" a="1"/>
  <c r="H51" i="47"/>
  <c r="Q28" i="47" a="1"/>
  <c r="Q28" i="47"/>
  <c r="B18" i="47"/>
  <c r="M48" i="47" a="1"/>
  <c r="M48" i="47"/>
  <c r="P33" i="47" a="1"/>
  <c r="P33" i="47"/>
  <c r="R46" i="47" a="1"/>
  <c r="R46" i="47"/>
  <c r="R54" i="47" a="1"/>
  <c r="R54" i="47"/>
  <c r="B24" i="47"/>
  <c r="N52" i="47" a="1"/>
  <c r="N52" i="47"/>
  <c r="Q36" i="47" a="1"/>
  <c r="Q36" i="47"/>
  <c r="P52" i="47" a="1"/>
  <c r="P52" i="47"/>
  <c r="F45" i="47" a="1"/>
  <c r="F45" i="47"/>
  <c r="P14" i="47" a="1"/>
  <c r="P14" i="47"/>
  <c r="B41" i="47"/>
  <c r="K22" i="47" a="1"/>
  <c r="K22" i="47"/>
  <c r="L46" i="47" a="1"/>
  <c r="L46" i="47"/>
  <c r="M51" i="47" a="1"/>
  <c r="M51" i="47"/>
  <c r="R10" i="47" a="1"/>
  <c r="R10" i="47"/>
  <c r="G28" i="47" a="1"/>
  <c r="G28" i="47"/>
  <c r="F17" i="47" a="1"/>
  <c r="F17" i="47"/>
  <c r="R21" i="47" a="1"/>
  <c r="R21" i="47"/>
  <c r="I39" i="47" a="1"/>
  <c r="I39" i="47"/>
  <c r="C33" i="47"/>
  <c r="J36" i="47" a="1"/>
  <c r="J36" i="47"/>
  <c r="M40" i="47" a="1"/>
  <c r="M40" i="47"/>
  <c r="R30" i="47" a="1"/>
  <c r="R30" i="47"/>
  <c r="C23" i="47"/>
  <c r="H42" i="47" a="1"/>
  <c r="H42" i="47"/>
  <c r="S51" i="47" a="1"/>
  <c r="S51" i="47"/>
  <c r="S25" i="47" a="1"/>
  <c r="S25" i="47"/>
  <c r="C39" i="47"/>
  <c r="F53" i="47" a="1"/>
  <c r="F53" i="47"/>
  <c r="B11" i="47"/>
  <c r="H30" i="47" a="1"/>
  <c r="H30" i="47"/>
  <c r="E38" i="47" a="1"/>
  <c r="E38" i="47"/>
  <c r="D33" i="47"/>
  <c r="C19" i="47"/>
  <c r="N40" i="47" a="1"/>
  <c r="N40" i="47"/>
  <c r="C17" i="47"/>
  <c r="O39" i="47" a="1"/>
  <c r="O39" i="47"/>
  <c r="E27" i="47" a="1"/>
  <c r="E27" i="47"/>
  <c r="L19" i="47" a="1"/>
  <c r="L19" i="47"/>
  <c r="G46" i="47" a="1"/>
  <c r="G46" i="47"/>
  <c r="E54" i="47" a="1"/>
  <c r="E54" i="47"/>
  <c r="L41" i="47" a="1"/>
  <c r="L41" i="47"/>
  <c r="J18" i="47" a="1"/>
  <c r="J18" i="47"/>
  <c r="O15" i="47" a="1"/>
  <c r="O15" i="47"/>
  <c r="F41" i="47" a="1"/>
  <c r="F41" i="47"/>
  <c r="M15" i="47" a="1"/>
  <c r="M15" i="47"/>
  <c r="O12" i="47" a="1"/>
  <c r="O12" i="47"/>
  <c r="I53" i="47" a="1"/>
  <c r="I53" i="47"/>
  <c r="E35" i="47" a="1"/>
  <c r="E35" i="47"/>
  <c r="H27" i="47" a="1"/>
  <c r="H27" i="47"/>
  <c r="Q49" i="47" a="1"/>
  <c r="Q49" i="47"/>
  <c r="B40" i="47"/>
  <c r="H10" i="47" a="1"/>
  <c r="H10" i="47"/>
  <c r="B46" i="47"/>
  <c r="G36" i="47" a="1"/>
  <c r="G36" i="47"/>
  <c r="Q46" i="47" a="1"/>
  <c r="Q46" i="47"/>
  <c r="N11" i="47" a="1"/>
  <c r="N11" i="47"/>
  <c r="L54" i="47" a="1"/>
  <c r="L54" i="47"/>
  <c r="I11" i="47" a="1"/>
  <c r="I11" i="47"/>
  <c r="N41" i="47" a="1"/>
  <c r="N41" i="47"/>
  <c r="H37" i="47" a="1"/>
  <c r="H37" i="47"/>
  <c r="B38" i="47"/>
  <c r="N49" i="47" a="1"/>
  <c r="N49" i="47"/>
  <c r="P17" i="47" a="1"/>
  <c r="P17" i="47"/>
  <c r="L43" i="47" a="1"/>
  <c r="L43" i="47"/>
  <c r="R34" i="47" a="1"/>
  <c r="R34" i="47"/>
  <c r="O23" i="47" a="1"/>
  <c r="O23" i="47"/>
  <c r="P10" i="47" a="1"/>
  <c r="P10" i="47"/>
  <c r="C30" i="47"/>
  <c r="K42" i="47" a="1"/>
  <c r="K42" i="47"/>
  <c r="E48" i="47" a="1"/>
  <c r="E48" i="47"/>
  <c r="P49" i="47" a="1"/>
  <c r="P49" i="47"/>
  <c r="M18" i="47" a="1"/>
  <c r="M18" i="47"/>
  <c r="R48" i="47" a="1"/>
  <c r="R48" i="47"/>
  <c r="N23" i="47" a="1"/>
  <c r="N23" i="47"/>
  <c r="M37" i="47" a="1"/>
  <c r="M37" i="47"/>
  <c r="F54" i="47" a="1"/>
  <c r="F54" i="47"/>
  <c r="S50" i="47" a="1"/>
  <c r="S50" i="47"/>
  <c r="K14" i="47" a="1"/>
  <c r="K14" i="47"/>
  <c r="J54" i="47" a="1"/>
  <c r="J54" i="47"/>
  <c r="Q48" i="47" a="1"/>
  <c r="Q48" i="47"/>
  <c r="F12" i="47" a="1"/>
  <c r="F12" i="47"/>
  <c r="N21" i="47" a="1"/>
  <c r="N21" i="47"/>
  <c r="M17" i="47" a="1"/>
  <c r="M17" i="47"/>
  <c r="S10" i="47" a="1"/>
  <c r="S10" i="47"/>
  <c r="H29" i="47" a="1"/>
  <c r="H29" i="47"/>
  <c r="S35" i="47" a="1"/>
  <c r="S35" i="47"/>
  <c r="K17" i="47" a="1"/>
  <c r="K17" i="47"/>
  <c r="G27" i="47" a="1"/>
  <c r="G27" i="47"/>
  <c r="C47" i="47"/>
  <c r="M49" i="47" a="1"/>
  <c r="M49" i="47"/>
  <c r="F52" i="47" a="1"/>
  <c r="F52" i="47"/>
  <c r="S11" i="47" a="1"/>
  <c r="S11" i="47"/>
  <c r="G16" i="47" a="1"/>
  <c r="G16" i="47"/>
  <c r="P16" i="47" a="1"/>
  <c r="P16" i="47"/>
  <c r="S54" i="47" a="1"/>
  <c r="S54" i="47"/>
  <c r="G35" i="47" a="1"/>
  <c r="G35" i="47"/>
  <c r="O22" i="47" a="1"/>
  <c r="O22" i="47"/>
  <c r="K23" i="47" a="1"/>
  <c r="K23" i="47"/>
  <c r="O29" i="47" a="1"/>
  <c r="O29" i="47"/>
  <c r="K49" i="47" a="1"/>
  <c r="K49" i="47"/>
  <c r="R49" i="47" a="1"/>
  <c r="R49" i="47"/>
  <c r="F23" i="47" a="1"/>
  <c r="F23" i="47"/>
  <c r="I44" i="47" a="1"/>
  <c r="I44" i="47"/>
  <c r="S26" i="47" a="1"/>
  <c r="S26" i="47"/>
  <c r="E26" i="47" a="1"/>
  <c r="E26" i="47"/>
  <c r="P53" i="47" a="1"/>
  <c r="P53" i="47"/>
  <c r="S28" i="47" a="1"/>
  <c r="S28" i="47"/>
  <c r="J49" i="47" a="1"/>
  <c r="J49" i="47"/>
  <c r="P38" i="47" a="1"/>
  <c r="P38" i="47"/>
  <c r="F13" i="47" a="1"/>
  <c r="F13" i="47"/>
  <c r="N38" i="47" a="1"/>
  <c r="N38" i="47"/>
  <c r="I14" i="47" a="1"/>
  <c r="I14" i="47"/>
  <c r="O19" i="47" a="1"/>
  <c r="O19" i="47"/>
  <c r="O37" i="47" a="1"/>
  <c r="O37" i="47"/>
  <c r="H53" i="47" a="1"/>
  <c r="H53" i="47"/>
  <c r="C43" i="47"/>
  <c r="N15" i="47" a="1"/>
  <c r="N15" i="47"/>
  <c r="M34" i="47" a="1"/>
  <c r="M34" i="47"/>
  <c r="K24" i="47" a="1"/>
  <c r="K24" i="47"/>
  <c r="H15" i="47" a="1"/>
  <c r="H15" i="47"/>
  <c r="J32" i="47" a="1"/>
  <c r="J32" i="47"/>
  <c r="I27" i="47" a="1"/>
  <c r="I27" i="47"/>
  <c r="G32" i="47" a="1"/>
  <c r="G32" i="47"/>
  <c r="D48" i="47"/>
  <c r="H47" i="47" a="1"/>
  <c r="H47" i="47"/>
  <c r="H13" i="47" a="1"/>
  <c r="H13" i="47"/>
  <c r="Q17" i="47" a="1"/>
  <c r="Q17" i="47"/>
  <c r="N31" i="47" a="1"/>
  <c r="N31" i="47"/>
  <c r="K54" i="47" a="1"/>
  <c r="K54" i="47"/>
  <c r="S30" i="47" a="1"/>
  <c r="S30" i="47"/>
  <c r="E32" i="47" a="1"/>
  <c r="E32" i="47"/>
  <c r="N29" i="47" a="1"/>
  <c r="N29" i="47"/>
  <c r="J37" i="47" a="1"/>
  <c r="J37" i="47"/>
  <c r="J10" i="47" a="1"/>
  <c r="J10" i="47"/>
  <c r="R31" i="47" a="1"/>
  <c r="R31" i="47"/>
  <c r="Q25" i="47" a="1"/>
  <c r="Q25" i="47"/>
  <c r="S53" i="47" a="1"/>
  <c r="S53" i="47"/>
  <c r="L53" i="47" a="1"/>
  <c r="L53" i="47"/>
  <c r="E20" i="47" a="1"/>
  <c r="E20" i="47"/>
  <c r="J26" i="47" a="1"/>
  <c r="J26" i="47"/>
  <c r="F14" i="47" a="1"/>
  <c r="F14" i="47"/>
  <c r="P40" i="47" a="1"/>
  <c r="P40" i="47"/>
  <c r="K13" i="47" a="1"/>
  <c r="K13" i="47"/>
  <c r="D46" i="47"/>
  <c r="J25" i="47" a="1"/>
  <c r="J25" i="47"/>
  <c r="G10" i="47" a="1"/>
  <c r="G10" i="47"/>
  <c r="L21" i="47" a="1"/>
  <c r="L21" i="47"/>
  <c r="N36" i="47" a="1"/>
  <c r="N36" i="47"/>
  <c r="M36" i="47" a="1"/>
  <c r="M36" i="47"/>
  <c r="M30" i="47" a="1"/>
  <c r="M30" i="47"/>
  <c r="M12" i="47" a="1"/>
  <c r="M12" i="47"/>
  <c r="M11" i="47" a="1"/>
  <c r="M11" i="47"/>
  <c r="J41" i="47" a="1"/>
  <c r="J41" i="47"/>
  <c r="R24" i="47" a="1"/>
  <c r="R24" i="47"/>
  <c r="P32" i="47" a="1"/>
  <c r="P32" i="47"/>
  <c r="I37" i="47" a="1"/>
  <c r="I37" i="47"/>
  <c r="B17" i="47"/>
  <c r="H49" i="47" a="1"/>
  <c r="H49" i="47"/>
  <c r="H23" i="47" a="1"/>
  <c r="H23" i="47"/>
  <c r="L11" i="47" a="1"/>
  <c r="L11" i="47"/>
  <c r="L32" i="47" a="1"/>
  <c r="L32" i="47"/>
  <c r="C38" i="47"/>
  <c r="S43" i="47" a="1"/>
  <c r="S43" i="47"/>
  <c r="I18" i="47" a="1"/>
  <c r="I18" i="47"/>
  <c r="P44" i="47" a="1"/>
  <c r="P44" i="47"/>
  <c r="J28" i="47" a="1"/>
  <c r="J28" i="47"/>
  <c r="H32" i="47" a="1"/>
  <c r="H32" i="47"/>
  <c r="P29" i="47" a="1"/>
  <c r="P29" i="47"/>
  <c r="M52" i="47" a="1"/>
  <c r="M52" i="47"/>
  <c r="S17" i="47" a="1"/>
  <c r="S17" i="47"/>
  <c r="S22" i="47" a="1"/>
  <c r="S22" i="47"/>
  <c r="B15" i="47"/>
  <c r="R11" i="47" a="1"/>
  <c r="R11" i="47"/>
  <c r="H54" i="47" a="1"/>
  <c r="H54" i="47"/>
  <c r="J14" i="47" a="1"/>
  <c r="J14" i="47"/>
  <c r="J31" i="47" a="1"/>
  <c r="J31" i="47"/>
  <c r="J29" i="47" a="1"/>
  <c r="J29" i="47"/>
  <c r="K32" i="47" a="1"/>
  <c r="K32" i="47"/>
  <c r="M45" i="47" a="1"/>
  <c r="M45" i="47"/>
  <c r="J47" i="47" a="1"/>
  <c r="J47" i="47"/>
  <c r="G47" i="47" a="1"/>
  <c r="G47" i="47"/>
  <c r="R43" i="47" a="1"/>
  <c r="R43" i="47"/>
  <c r="O51" i="47" a="1"/>
  <c r="O51" i="47"/>
  <c r="P20" i="47" a="1"/>
  <c r="P20" i="47"/>
  <c r="R47" i="47" a="1"/>
  <c r="R47" i="47"/>
  <c r="I51" i="47" a="1"/>
  <c r="I51" i="47"/>
  <c r="P12" i="47" a="1"/>
  <c r="P12" i="47"/>
  <c r="E45" i="47" a="1"/>
  <c r="E45" i="47"/>
  <c r="D42" i="47"/>
  <c r="Q30" i="47" a="1"/>
  <c r="Q30" i="47"/>
  <c r="O46" i="47" a="1"/>
  <c r="O46" i="47"/>
  <c r="Q32" i="47" a="1"/>
  <c r="Q32" i="47"/>
  <c r="J22" i="47" a="1"/>
  <c r="J22" i="47"/>
  <c r="E52" i="47" a="1"/>
  <c r="E52" i="47"/>
  <c r="O14" i="47" a="1"/>
  <c r="O14" i="47"/>
  <c r="J45" i="47" a="1"/>
  <c r="J45" i="47"/>
  <c r="S45" i="47" a="1"/>
  <c r="S45" i="47"/>
  <c r="E10" i="47" a="1"/>
  <c r="E10" i="47"/>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<sst xmlns="http://schemas.openxmlformats.org/spreadsheetml/2006/main" count="16873" uniqueCount="2800">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</sst>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9"/>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6171875" defaultRowHeight="15" x14ac:dyDescent="0.2"/>
  <cols>
    <col min="1" max="1" width="3.765625" customWidth="1"/>
    <col min="2" max="2" width="6.72265625" customWidth="1"/>
    <col min="3" max="3" width="25.828125" customWidth="1"/>
    <col min="4" max="4" width="5.78125" customWidth="1"/>
    <col min="5" max="9" width="10.76171875" customWidth="1"/>
    <col min="10" max="10" width="5.78125" customWidth="1"/>
    <col min="11" max="11" width="25.828125" customWidth="1"/>
    <col min="12" max="12" width="15.73828125" customWidth="1"/>
    <col min="13" max="13" width="10.4921875" customWidth="1"/>
    <col min="14" max="15" width="10.76171875" customWidth="1"/>
    <col min="16" max="16" width="12.10546875" customWidth="1"/>
    <col min="17" max="17" width="6.05078125" customWidth="1"/>
    <col min="18" max="16380" width="10.76171875" customWidth="1"/>
  </cols>
  <sheetData>
    <row r="1" spans="1:31" x14ac:dyDescent="0.2">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x14ac:dyDescent="0.2">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 customHeight="1" x14ac:dyDescent="0.2">
      <c r="A3" s="383"/>
      <c r="B3" s="801" t="str">
        <f>Idiomas!D8</f>
        <v>XXIII Mundial USA/MEX/CAN 2026</v>
      </c>
      <c r="C3" s="801"/>
      <c r="D3" s="801"/>
      <c r="E3" s="801"/>
      <c r="F3" s="801"/>
      <c r="G3" s="801"/>
      <c r="H3" s="801"/>
      <c r="I3" s="801"/>
      <c r="J3" s="801"/>
      <c r="K3" s="801"/>
      <c r="L3" s="801"/>
      <c r="M3" s="383"/>
      <c r="N3" s="383"/>
      <c r="O3" s="383"/>
      <c r="P3" s="383"/>
      <c r="Q3" s="383"/>
      <c r="R3" s="383"/>
      <c r="S3" s="383"/>
      <c r="T3" s="383"/>
      <c r="U3" s="383"/>
      <c r="V3" s="383"/>
      <c r="W3" s="383"/>
      <c r="X3" s="383"/>
      <c r="Y3" s="383"/>
      <c r="Z3" s="383"/>
      <c r="AA3" s="383"/>
      <c r="AB3" s="383"/>
      <c r="AC3" s="383"/>
      <c r="AD3" s="383"/>
      <c r="AE3" s="383"/>
    </row>
    <row r="4" spans="1:31" ht="15" customHeight="1" x14ac:dyDescent="0.2">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899999999999999" customHeight="1" thickBot="1" x14ac:dyDescent="0.25">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15" customHeight="1" thickBot="1" x14ac:dyDescent="0.25">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899999999999999" customHeight="1" thickBot="1" x14ac:dyDescent="0.25">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15" customHeight="1" thickBot="1" x14ac:dyDescent="0.25">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899999999999999" customHeight="1" thickBot="1" x14ac:dyDescent="0.25">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15" customHeight="1" thickBot="1" x14ac:dyDescent="0.25">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899999999999999" customHeight="1" thickBot="1" x14ac:dyDescent="0.25">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15" customHeight="1" thickBot="1" x14ac:dyDescent="0.25">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899999999999999" customHeight="1" thickBot="1" x14ac:dyDescent="0.25">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15" customHeight="1" thickBot="1" x14ac:dyDescent="0.25">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x14ac:dyDescent="0.2">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15" customHeight="1" thickBot="1" x14ac:dyDescent="0.25">
      <c r="A16" s="383"/>
      <c r="B16" s="383"/>
      <c r="C16" s="383"/>
      <c r="D16" s="383"/>
      <c r="E16" s="799"/>
      <c r="F16" s="800"/>
      <c r="G16" s="800"/>
      <c r="H16" s="800"/>
      <c r="I16" s="800"/>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15" customHeight="1" thickBot="1" x14ac:dyDescent="0.25">
      <c r="A17" s="383"/>
      <c r="B17" s="383"/>
      <c r="C17" s="383"/>
      <c r="D17" s="383"/>
      <c r="E17" s="798"/>
      <c r="F17" s="798"/>
      <c r="G17" s="798"/>
      <c r="H17" s="798"/>
      <c r="I17" s="798"/>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x14ac:dyDescent="0.2">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x14ac:dyDescent="0.2">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17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x14ac:dyDescent="0.2">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22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x14ac:dyDescent="0.25">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15" customHeight="1" thickBot="1" x14ac:dyDescent="0.25">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899999999999999" customHeight="1" x14ac:dyDescent="0.2">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x14ac:dyDescent="0.2">
      <c r="A24" s="383"/>
      <c r="B24" s="802"/>
      <c r="C24" s="803"/>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x14ac:dyDescent="0.2">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x14ac:dyDescent="0.2">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x14ac:dyDescent="0.2">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x14ac:dyDescent="0.2">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x14ac:dyDescent="0.2">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x14ac:dyDescent="0.2">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x14ac:dyDescent="0.2">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x14ac:dyDescent="0.2">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x14ac:dyDescent="0.2">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x14ac:dyDescent="0.2">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x14ac:dyDescent="0.2">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x14ac:dyDescent="0.2">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x14ac:dyDescent="0.2">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x14ac:dyDescent="0.2">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x14ac:dyDescent="0.2">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x14ac:dyDescent="0.2">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x14ac:dyDescent="0.2">
      <c r="A41" s="383"/>
      <c r="B41" s="383"/>
      <c r="C41" s="383"/>
      <c r="D41" s="383"/>
      <c r="E41" s="709">
        <f ca="1">TODAY()</f>
        <v>46200</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x14ac:dyDescent="0.2">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x14ac:dyDescent="0.2">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x14ac:dyDescent="0.2">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x14ac:dyDescent="0.2">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x14ac:dyDescent="0.2">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x14ac:dyDescent="0.2">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x14ac:dyDescent="0.2">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x14ac:dyDescent="0.2">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x14ac:dyDescent="0.2">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AA4" zoomScaleNormal="100" workbookViewId="0">
      <selection activeCell="AD53" sqref="AD53:AD57"/>
    </sheetView>
  </sheetViews>
  <sheetFormatPr defaultColWidth="0" defaultRowHeight="15" x14ac:dyDescent="0.2"/>
  <cols>
    <col min="1" max="2" width="10.76171875" style="5" hidden="1" customWidth="1"/>
    <col min="3" max="3" width="2.15234375" style="9" hidden="1" customWidth="1"/>
    <col min="4" max="10" width="8.7421875" style="9" hidden="1" customWidth="1"/>
    <col min="11" max="11" width="12.77734375" style="9" hidden="1" customWidth="1"/>
    <col min="12" max="21" width="8.7421875" style="9" hidden="1" customWidth="1"/>
    <col min="22" max="22" width="3.49609375" customWidth="1"/>
    <col min="23" max="23" width="6.72265625" customWidth="1"/>
    <col min="24" max="24" width="12.77734375" customWidth="1"/>
    <col min="25" max="25" width="6.72265625" customWidth="1"/>
    <col min="26" max="26" width="4.4375" customWidth="1"/>
    <col min="27" max="27" width="20.71484375" customWidth="1"/>
    <col min="28" max="28" width="3.765625" customWidth="1"/>
    <col min="29" max="30" width="5.37890625" customWidth="1"/>
    <col min="31" max="31" width="3.765625" customWidth="1"/>
    <col min="32" max="32" width="20.71484375" customWidth="1"/>
    <col min="33" max="33" width="3.49609375" customWidth="1"/>
    <col min="34" max="34" width="3.765625" style="21" customWidth="1"/>
    <col min="35" max="35" width="3.359375" style="21" customWidth="1"/>
    <col min="36" max="36" width="4.3046875" customWidth="1"/>
    <col min="37" max="37" width="3.359375" customWidth="1"/>
    <col min="38" max="38" width="20.71484375" customWidth="1"/>
    <col min="39" max="39" width="5.78125" customWidth="1"/>
    <col min="40" max="43" width="4.3046875" customWidth="1"/>
    <col min="44" max="45" width="5.37890625" customWidth="1"/>
    <col min="46" max="46" width="6.05078125" customWidth="1"/>
    <col min="47" max="47" width="3.359375" style="23" customWidth="1"/>
    <col min="48" max="48" width="18.4296875" style="24" customWidth="1"/>
    <col min="49" max="49" width="3.49609375" style="6" customWidth="1"/>
    <col min="50" max="50" width="3.49609375" style="2" customWidth="1"/>
    <col min="51" max="51" width="16.94921875" style="10" customWidth="1"/>
    <col min="52" max="52" width="15.73828125" style="6" customWidth="1"/>
    <col min="53" max="53" width="2.95703125" customWidth="1"/>
    <col min="54" max="54" width="10.76171875" style="5" hidden="1" customWidth="1"/>
    <col min="55" max="55" width="6.05078125" style="5" hidden="1" customWidth="1"/>
    <col min="56" max="56" width="16.94921875" style="5" hidden="1" customWidth="1"/>
    <col min="57" max="57" width="3.49609375" style="5" hidden="1" customWidth="1"/>
    <col min="58" max="58" width="2.15234375" style="5" hidden="1" customWidth="1"/>
    <col min="59" max="59" width="7.80078125" style="5" hidden="1" customWidth="1"/>
    <col min="60" max="61" width="2.15234375" style="5" hidden="1" customWidth="1"/>
    <col min="62" max="63" width="4.16796875" style="5" hidden="1" customWidth="1"/>
    <col min="64" max="64" width="3.359375" style="5" hidden="1" customWidth="1"/>
    <col min="65" max="66" width="5.6484375" style="5" hidden="1" customWidth="1"/>
    <col min="67" max="67" width="6.9921875" style="5" hidden="1" customWidth="1"/>
    <col min="68" max="68" width="4.3046875" style="5" hidden="1" customWidth="1"/>
    <col min="69" max="69" width="7.12890625" style="5" hidden="1" customWidth="1"/>
    <col min="70" max="71" width="7.26171875" style="5" hidden="1" customWidth="1"/>
    <col min="72" max="100" width="7.93359375" style="5" hidden="1" customWidth="1"/>
    <col min="101" max="101" width="4.16796875" style="5" hidden="1" customWidth="1"/>
    <col min="102" max="102" width="7.26171875" style="5" hidden="1" customWidth="1"/>
    <col min="103" max="103" width="10.76171875" style="5" hidden="1" customWidth="1"/>
    <col min="104" max="104" width="3.09375" style="5" hidden="1" customWidth="1"/>
    <col min="105" max="105" width="8.609375" style="5" hidden="1" customWidth="1"/>
    <col min="106" max="106" width="7.93359375" style="5" hidden="1" customWidth="1"/>
    <col min="107" max="107" width="15.73828125" style="5" hidden="1" customWidth="1"/>
    <col min="108" max="108" width="10.76171875" style="5" hidden="1" customWidth="1"/>
    <col min="109" max="109" width="2.6875" style="5" hidden="1" customWidth="1"/>
    <col min="110" max="126" width="10.76171875" style="5" hidden="1" customWidth="1"/>
    <col min="127" max="127" width="10.76171875" style="1" hidden="1" customWidth="1"/>
    <col min="128" max="16384" width="10.76171875" hidden="1"/>
  </cols>
  <sheetData>
    <row r="1" spans="1:127" ht="30" customHeight="1" thickBot="1" x14ac:dyDescent="0.25">
      <c r="A1" s="739"/>
      <c r="B1" s="739"/>
      <c r="C1" s="739"/>
      <c r="D1" s="739"/>
      <c r="E1" s="739"/>
      <c r="F1" s="739"/>
      <c r="G1" s="739"/>
      <c r="H1" s="739"/>
      <c r="I1" s="739"/>
      <c r="J1" s="739"/>
      <c r="K1" s="739"/>
      <c r="L1" s="739"/>
      <c r="M1" s="739"/>
      <c r="N1" s="739"/>
      <c r="O1" s="739"/>
      <c r="P1" s="739"/>
      <c r="Q1" s="739"/>
      <c r="R1" s="739"/>
      <c r="S1" s="739"/>
      <c r="T1" s="739"/>
      <c r="U1" s="739"/>
      <c r="V1" s="170"/>
      <c r="W1" s="808" t="str">
        <f>Idiomas!D8</f>
        <v>XXIII Mundial USA/MEX/CAN 2026</v>
      </c>
      <c r="X1" s="808"/>
      <c r="Y1" s="808"/>
      <c r="Z1" s="808"/>
      <c r="AA1" s="808"/>
      <c r="AB1" s="808"/>
      <c r="AC1" s="808"/>
      <c r="AD1" s="808"/>
      <c r="AE1" s="808"/>
      <c r="AF1" s="808"/>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5" customHeight="1" thickBot="1" x14ac:dyDescent="0.25">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75" thickBot="1" x14ac:dyDescent="0.25">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x14ac:dyDescent="0.25">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04"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899999999999999" customHeight="1" x14ac:dyDescent="0.2">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04"/>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899999999999999" customHeight="1" x14ac:dyDescent="0.2">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04"/>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899999999999999" customHeight="1" x14ac:dyDescent="0.2">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04"/>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899999999999999" customHeight="1" x14ac:dyDescent="0.2">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04"/>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x14ac:dyDescent="0.25">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05"/>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x14ac:dyDescent="0.25">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149999999999999" customHeight="1" thickBot="1" x14ac:dyDescent="0.25">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x14ac:dyDescent="0.25">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6"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149999999999999" customHeight="1" x14ac:dyDescent="0.2">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6"/>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899999999999999" customHeight="1" x14ac:dyDescent="0.2">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6"/>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x14ac:dyDescent="0.2">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6"/>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x14ac:dyDescent="0.2">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6"/>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75" thickBot="1" x14ac:dyDescent="0.25">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7"/>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75" thickBot="1" x14ac:dyDescent="0.25">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75" thickBot="1" x14ac:dyDescent="0.25">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x14ac:dyDescent="0.25">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15"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149999999999999" customHeight="1" x14ac:dyDescent="0.2">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15"/>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149999999999999" customHeight="1" x14ac:dyDescent="0.2">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15"/>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149999999999999" customHeight="1" x14ac:dyDescent="0.2">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15"/>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149999999999999" customHeight="1" x14ac:dyDescent="0.2">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15"/>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899999999999999" customHeight="1" thickBot="1" x14ac:dyDescent="0.25">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6"/>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75" thickBot="1" x14ac:dyDescent="0.25">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75" thickBot="1" x14ac:dyDescent="0.25">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x14ac:dyDescent="0.25">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7"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149999999999999" customHeight="1" x14ac:dyDescent="0.2">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7"/>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149999999999999" customHeight="1" x14ac:dyDescent="0.2">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7"/>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149999999999999" customHeight="1" x14ac:dyDescent="0.2">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7"/>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149999999999999" customHeight="1" x14ac:dyDescent="0.2">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7"/>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899999999999999" customHeight="1" thickBot="1" x14ac:dyDescent="0.25">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18"/>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75" thickBot="1" x14ac:dyDescent="0.25">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75" thickBot="1" x14ac:dyDescent="0.25">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x14ac:dyDescent="0.25">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9"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149999999999999" customHeight="1" x14ac:dyDescent="0.2">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9"/>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149999999999999" customHeight="1" x14ac:dyDescent="0.2">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9"/>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149999999999999" customHeight="1" x14ac:dyDescent="0.2">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9"/>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149999999999999" customHeight="1" x14ac:dyDescent="0.2">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9"/>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899999999999999" customHeight="1" thickBot="1" x14ac:dyDescent="0.25">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20"/>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75" thickBot="1" x14ac:dyDescent="0.25">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6</v>
      </c>
      <c r="BF42" s="748">
        <f t="shared" ca="1" si="26"/>
        <v>2</v>
      </c>
      <c r="BG42" s="748">
        <f t="shared" ca="1" si="17"/>
        <v>2</v>
      </c>
      <c r="BH42" s="748">
        <f t="shared" ca="1" si="18"/>
        <v>0</v>
      </c>
      <c r="BI42" s="748">
        <f t="shared" ca="1" si="19"/>
        <v>0</v>
      </c>
      <c r="BJ42" s="748">
        <f t="shared" ca="1" si="20"/>
        <v>5</v>
      </c>
      <c r="BK42" s="748">
        <f t="shared" ca="1" si="21"/>
        <v>0</v>
      </c>
      <c r="BL42" s="748">
        <f t="shared" ca="1" si="27"/>
        <v>5</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6</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8</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75" thickBot="1" x14ac:dyDescent="0.25">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3</v>
      </c>
      <c r="BF43" s="748">
        <f t="shared" ca="1" si="26"/>
        <v>2</v>
      </c>
      <c r="BG43" s="748">
        <f t="shared" ca="1" si="17"/>
        <v>1</v>
      </c>
      <c r="BH43" s="748">
        <f t="shared" ca="1" si="18"/>
        <v>0</v>
      </c>
      <c r="BI43" s="748">
        <f t="shared" ca="1" si="19"/>
        <v>1</v>
      </c>
      <c r="BJ43" s="748">
        <f t="shared" ca="1" si="20"/>
        <v>2</v>
      </c>
      <c r="BK43" s="748">
        <f t="shared" ca="1" si="21"/>
        <v>4</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3</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0</v>
      </c>
      <c r="BW43" s="758">
        <f t="shared" ca="1" si="38"/>
        <v>0</v>
      </c>
      <c r="BX43" s="758">
        <f t="shared" ca="1" si="39"/>
        <v>0</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0</v>
      </c>
      <c r="CB43" s="758">
        <f t="shared" ca="1" si="41"/>
        <v>0</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0</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0</v>
      </c>
      <c r="CK43" s="758">
        <f t="shared" ca="1" si="46"/>
        <v>0</v>
      </c>
      <c r="CL43" s="758">
        <f t="shared" ca="1" si="47"/>
        <v>0</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0</v>
      </c>
      <c r="CP43" s="758">
        <f t="shared" ca="1" si="49"/>
        <v>0</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0</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8</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149999999999999" customHeight="1" thickBot="1" x14ac:dyDescent="0.25">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7"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2</v>
      </c>
      <c r="BG44" s="748">
        <f t="shared" ca="1" si="17"/>
        <v>1</v>
      </c>
      <c r="BH44" s="748">
        <f t="shared" ca="1" si="18"/>
        <v>0</v>
      </c>
      <c r="BI44" s="748">
        <f t="shared" ca="1" si="19"/>
        <v>1</v>
      </c>
      <c r="BJ44" s="748">
        <f t="shared" ca="1" si="20"/>
        <v>3</v>
      </c>
      <c r="BK44" s="748">
        <f t="shared" ca="1" si="21"/>
        <v>3</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0</v>
      </c>
      <c r="BW44" s="758">
        <f t="shared" ca="1" si="38"/>
        <v>0</v>
      </c>
      <c r="BX44" s="758">
        <f t="shared" ca="1" si="39"/>
        <v>0</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0</v>
      </c>
      <c r="CB44" s="758">
        <f t="shared" ca="1" si="41"/>
        <v>0</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0</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0</v>
      </c>
      <c r="CK44" s="758">
        <f t="shared" ca="1" si="46"/>
        <v>0</v>
      </c>
      <c r="CL44" s="758">
        <f t="shared" ca="1" si="47"/>
        <v>0</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0</v>
      </c>
      <c r="CP44" s="758">
        <f t="shared" ca="1" si="49"/>
        <v>0</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0</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8</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149999999999999" customHeight="1" x14ac:dyDescent="0.2">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7"/>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2</v>
      </c>
      <c r="BG45" s="748">
        <f t="shared" ca="1" si="17"/>
        <v>0</v>
      </c>
      <c r="BH45" s="748">
        <f t="shared" ca="1" si="18"/>
        <v>0</v>
      </c>
      <c r="BI45" s="748">
        <f t="shared" ca="1" si="19"/>
        <v>2</v>
      </c>
      <c r="BJ45" s="748">
        <f t="shared" ca="1" si="20"/>
        <v>2</v>
      </c>
      <c r="BK45" s="748">
        <f t="shared" ca="1" si="21"/>
        <v>5</v>
      </c>
      <c r="BL45" s="748">
        <f t="shared" ca="1" si="27"/>
        <v>-3</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8</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149999999999999" customHeight="1" x14ac:dyDescent="0.2">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7"/>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4</v>
      </c>
      <c r="BF46" s="748">
        <f t="shared" ca="1" si="26"/>
        <v>2</v>
      </c>
      <c r="BG46" s="748">
        <f t="shared" ca="1" si="17"/>
        <v>1</v>
      </c>
      <c r="BH46" s="748">
        <f t="shared" ca="1" si="18"/>
        <v>1</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4</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8</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149999999999999" customHeight="1" x14ac:dyDescent="0.2">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7"/>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2</v>
      </c>
      <c r="BG47" s="748">
        <f t="shared" ca="1" si="17"/>
        <v>0</v>
      </c>
      <c r="BH47" s="748">
        <f t="shared" ca="1" si="18"/>
        <v>1</v>
      </c>
      <c r="BI47" s="748">
        <f t="shared" ca="1" si="19"/>
        <v>1</v>
      </c>
      <c r="BJ47" s="748">
        <f t="shared" ca="1" si="20"/>
        <v>1</v>
      </c>
      <c r="BK47" s="748">
        <f t="shared" ca="1" si="21"/>
        <v>2</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8</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149999999999999" customHeight="1" x14ac:dyDescent="0.2">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7"/>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2</v>
      </c>
      <c r="BG48" s="748">
        <f t="shared" ca="1" si="17"/>
        <v>0</v>
      </c>
      <c r="BH48" s="748">
        <f t="shared" ca="1" si="18"/>
        <v>0</v>
      </c>
      <c r="BI48" s="748">
        <f t="shared" ca="1" si="19"/>
        <v>2</v>
      </c>
      <c r="BJ48" s="748">
        <f t="shared" ca="1" si="20"/>
        <v>1</v>
      </c>
      <c r="BK48" s="748">
        <f t="shared" ca="1" si="21"/>
        <v>8</v>
      </c>
      <c r="BL48" s="748">
        <f t="shared" ca="1" si="27"/>
        <v>-7</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8</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899999999999999" customHeight="1" thickBot="1" x14ac:dyDescent="0.25">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8"/>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6</v>
      </c>
      <c r="BF49" s="748">
        <f t="shared" ca="1" si="26"/>
        <v>2</v>
      </c>
      <c r="BG49" s="748">
        <f t="shared" ca="1" si="17"/>
        <v>2</v>
      </c>
      <c r="BH49" s="748">
        <f t="shared" ca="1" si="18"/>
        <v>0</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6</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8</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75" thickBot="1" x14ac:dyDescent="0.25">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4</v>
      </c>
      <c r="BF50" s="748">
        <f t="shared" ca="1" si="26"/>
        <v>2</v>
      </c>
      <c r="BG50" s="748">
        <f t="shared" ca="1" si="17"/>
        <v>1</v>
      </c>
      <c r="BH50" s="748">
        <f t="shared" ca="1" si="18"/>
        <v>1</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4</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1</v>
      </c>
      <c r="BW50" s="758">
        <f t="shared" ca="1" si="38"/>
        <v>0</v>
      </c>
      <c r="BX50" s="758">
        <f t="shared" ca="1" si="39"/>
        <v>1</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1</v>
      </c>
      <c r="CK50" s="758">
        <f t="shared" ca="1" si="46"/>
        <v>0</v>
      </c>
      <c r="CL50" s="758">
        <f t="shared" ca="1" si="47"/>
        <v>1</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8</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75" thickBot="1" x14ac:dyDescent="0.25">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3</v>
      </c>
      <c r="BF51" s="748">
        <f t="shared" ca="1" si="26"/>
        <v>2</v>
      </c>
      <c r="BG51" s="748">
        <f t="shared" ca="1" si="17"/>
        <v>1</v>
      </c>
      <c r="BH51" s="748">
        <f t="shared" ca="1" si="18"/>
        <v>0</v>
      </c>
      <c r="BI51" s="748">
        <f t="shared" ca="1" si="19"/>
        <v>1</v>
      </c>
      <c r="BJ51" s="748">
        <f t="shared" ca="1" si="20"/>
        <v>3</v>
      </c>
      <c r="BK51" s="748">
        <f t="shared" ca="1" si="21"/>
        <v>4</v>
      </c>
      <c r="BL51" s="748">
        <f t="shared" ca="1" si="27"/>
        <v>-1</v>
      </c>
      <c r="BM51" s="748" t="str">
        <f t="shared" ca="1" si="22"/>
        <v>3L</v>
      </c>
      <c r="BN51" s="748" t="str">
        <f t="shared" ca="1" si="23"/>
        <v>3L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3</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3</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3</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3</v>
      </c>
      <c r="DE51" s="756"/>
      <c r="DF51" s="756">
        <f t="shared" ca="1" si="52"/>
        <v>3</v>
      </c>
      <c r="DG51" s="756" t="str">
        <f ca="1">IF(DB51="-","-",COUNTIFS(DF$6:DF$53,"&lt;"&amp;DF51,$BC$6:$BC$53,INDEX(T_Equipos[Grupo],MATCH(BD51,T_Equipos[NombreEquipo],0))))</f>
        <v>-</v>
      </c>
      <c r="DH51" s="756">
        <f ca="1">DA51+COUNTIFS(DB$6:DB$53,DB51,DG$6:DG$53,"&lt;"&amp;DG51,$BC$6:$BC$53,INDEX(T_Equipos[Grupo],MATCH(BD51,T_Equipos[NombreEquipo],0)))</f>
        <v>3</v>
      </c>
      <c r="DI51" s="744"/>
      <c r="DJ51" s="744">
        <f t="shared" ca="1" si="53"/>
        <v>2</v>
      </c>
      <c r="DK51" s="744">
        <f t="shared" ca="1" si="24"/>
        <v>8</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x14ac:dyDescent="0.25">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7"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2</v>
      </c>
      <c r="BG52" s="748">
        <f t="shared" ca="1" si="17"/>
        <v>1</v>
      </c>
      <c r="BH52" s="748">
        <f t="shared" ca="1" si="18"/>
        <v>1</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1</v>
      </c>
      <c r="BW52" s="758">
        <f t="shared" ca="1" si="38"/>
        <v>0</v>
      </c>
      <c r="BX52" s="758">
        <f t="shared" ca="1" si="39"/>
        <v>1</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1</v>
      </c>
      <c r="CK52" s="758">
        <f t="shared" ca="1" si="46"/>
        <v>0</v>
      </c>
      <c r="CL52" s="758">
        <f t="shared" ca="1" si="47"/>
        <v>1</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8</v>
      </c>
      <c r="DL52" s="744">
        <f t="shared" ca="1" si="33"/>
        <v>1</v>
      </c>
      <c r="DM52" s="738" t="str">
        <f t="shared" ca="1" si="34"/>
        <v>3.1</v>
      </c>
      <c r="DN52" s="744" cm="1">
        <f t="array" aca="1" ref="DN52" ca="1">OFFSET(Horarios!$P$3,DJ52-1,0,DL52,1)</f>
        <v>3</v>
      </c>
      <c r="DO52" s="744"/>
      <c r="DP52" s="744" t="s">
        <v>443</v>
      </c>
      <c r="DQ52" s="744" t="str">
        <f t="shared" ca="1" si="35"/>
        <v>Croacia</v>
      </c>
      <c r="DR52" s="744"/>
      <c r="DS52" s="744"/>
      <c r="DT52" s="744" t="str">
        <f t="shared" ca="1" si="15"/>
        <v>Bélgica-Egipto</v>
      </c>
      <c r="DU52" s="744"/>
      <c r="DV52" s="744"/>
      <c r="DW52" s="8"/>
    </row>
    <row r="53" spans="1:127" x14ac:dyDescent="0.2">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7"/>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2</v>
      </c>
      <c r="BG53" s="748">
        <f t="shared" ca="1" si="17"/>
        <v>0</v>
      </c>
      <c r="BH53" s="748">
        <f t="shared" ca="1" si="18"/>
        <v>0</v>
      </c>
      <c r="BI53" s="748">
        <f t="shared" ca="1" si="19"/>
        <v>2</v>
      </c>
      <c r="BJ53" s="748">
        <f t="shared" ca="1" si="20"/>
        <v>0</v>
      </c>
      <c r="BK53" s="748">
        <f t="shared" ca="1" si="21"/>
        <v>2</v>
      </c>
      <c r="BL53" s="748">
        <f t="shared" ca="1" si="27"/>
        <v>-2</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8</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x14ac:dyDescent="0.2">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7"/>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x14ac:dyDescent="0.2">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7"/>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x14ac:dyDescent="0.2">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7"/>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75" thickBot="1" x14ac:dyDescent="0.25">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48"/>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x14ac:dyDescent="0.25">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8</v>
      </c>
      <c r="BN58" s="748">
        <f ca="1">CF58</f>
        <v>8</v>
      </c>
      <c r="BO58" s="738" t="str">
        <f>"4"&amp;BC58</f>
        <v>4A</v>
      </c>
      <c r="BP58" s="738"/>
      <c r="BQ58" s="738"/>
      <c r="BR58" s="748">
        <f t="shared" ref="BR58:BR69" ca="1" si="179">+BE58</f>
        <v>3</v>
      </c>
      <c r="BS58" s="748">
        <f ca="1">COUNTIFS(BR$58:BR$69,"&gt;"&amp;BR58)+1</f>
        <v>5</v>
      </c>
      <c r="BT58" s="748" t="str">
        <f ca="1">IF(COUNTIF(BS$58:BS$69,BS58)=1,"-","Pos. "&amp;BS58&amp;" ("&amp;COUNTIF(BS$58:BS$69,BS58)&amp;")")</f>
        <v>Pos. 5 (6)</v>
      </c>
      <c r="BU58" s="748">
        <f t="shared" ref="BU58:BU69" ca="1" si="180">IF(BT58="-","-",BL58)</f>
        <v>-1</v>
      </c>
      <c r="BV58" s="748">
        <f t="shared" ref="BV58:BV69" ca="1" si="181">BS58+COUNTIFS(BT$58:BT$69,BT58,BU$58:BU$69,"&gt;"&amp;BU58)</f>
        <v>7</v>
      </c>
      <c r="BW58" s="748" t="str">
        <f t="shared" ref="BW58:BW69" ca="1" si="182">IF(COUNTIF(BV$58:BV$69,BV58)=1,"-","Pos. "&amp;BV58&amp;" ("&amp;COUNTIF(BV$58:BV$69,BV58)&amp;")")</f>
        <v>Pos. 7 (2)</v>
      </c>
      <c r="BX58" s="748">
        <f t="shared" ref="BX58:BX69" ca="1" si="183">IF(BW58="-","-",BJ58)</f>
        <v>2</v>
      </c>
      <c r="BY58" s="748">
        <f t="shared" ref="BY58:BY69" ca="1" si="184">BV58+COUNTIFS(BW$58:BW$69,BW58,BX$58:BX$69,"&gt;"&amp;BX58)</f>
        <v>8</v>
      </c>
      <c r="BZ58" s="748" t="str">
        <f t="shared" ref="BZ58:BZ69" ca="1" si="185">IF(COUNTIF(BY$58:BY$69,BY58)=1,"-","Pos. "&amp;BY58&amp;" ("&amp;COUNTIF(BY$58:BY$69,BY58)&amp;")")</f>
        <v>-</v>
      </c>
      <c r="CA58" s="748" t="str">
        <f ca="1">IF(BZ58="-","-",COUNTIF($BD$58:$BD$69,"&gt;"&amp;BD58))</f>
        <v>-</v>
      </c>
      <c r="CB58" s="748">
        <f ca="1">BY58+COUNTIFS(BZ$58:BZ$69,BZ58,CA$58:CA$69,"&gt;"&amp;CA58)</f>
        <v>8</v>
      </c>
      <c r="CC58" s="748"/>
      <c r="CD58" s="748">
        <f ca="1">IF(OR(INDEX($AW$102:$AW$113,MATCH($BD58,$AV$102:$AV$113,0))="",BZ58="-"),CB58,INDEX($AW$102:$AW$113,MATCH($BD58,$AV$102:$AV$113,0))+CB58/1000)</f>
        <v>8</v>
      </c>
      <c r="CE58" s="748" t="str">
        <f ca="1">IF(BZ58="-","-",COUNTIF(CD$58:CD$69,"&lt;"&amp;CD58))</f>
        <v>-</v>
      </c>
      <c r="CF58" s="748">
        <f ca="1">BY58+COUNTIFS(BZ$58:BZ$69,BZ58,CE$58:CE$69,"&lt;"&amp;CE58)</f>
        <v>8</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Suecia</v>
      </c>
      <c r="DR58" s="744"/>
      <c r="DS58" s="744"/>
      <c r="DT58" s="744" t="str">
        <f t="shared" si="15"/>
        <v>-</v>
      </c>
      <c r="DU58" s="744"/>
      <c r="DV58" s="744"/>
      <c r="DW58" s="8"/>
    </row>
    <row r="59" spans="1:127" ht="15.75" thickBot="1" x14ac:dyDescent="0.25">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3</v>
      </c>
      <c r="BN59" s="748">
        <f t="shared" ref="BN59:BN69" ca="1" si="195">CF59</f>
        <v>3</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(4)</v>
      </c>
      <c r="BU59" s="748">
        <f t="shared" ca="1" si="180"/>
        <v>-1</v>
      </c>
      <c r="BV59" s="748">
        <f t="shared" ca="1" si="181"/>
        <v>3</v>
      </c>
      <c r="BW59" s="748" t="str">
        <f t="shared" ca="1" si="182"/>
        <v>-</v>
      </c>
      <c r="BX59" s="748" t="str">
        <f t="shared" ca="1" si="183"/>
        <v>-</v>
      </c>
      <c r="BY59" s="748">
        <f t="shared" ca="1" si="184"/>
        <v>3</v>
      </c>
      <c r="BZ59" s="748" t="str">
        <f t="shared" ca="1" si="185"/>
        <v>-</v>
      </c>
      <c r="CA59" s="748" t="str">
        <f t="shared" ref="CA59:CA69" ca="1" si="199">IF(BZ59="-","-",COUNTIF($BD$58:$BD$69,"&gt;"&amp;BD59))</f>
        <v>-</v>
      </c>
      <c r="CB59" s="748">
        <f t="shared" ref="CB59:CB68" ca="1" si="200">BY59+COUNTIFS(BZ$58:BZ$69,BZ59,CA$58:CA$69,"&gt;"&amp;CA59)</f>
        <v>3</v>
      </c>
      <c r="CC59" s="748"/>
      <c r="CD59" s="748">
        <f t="shared" ref="CD59:CD69" ca="1" si="201">IF(OR(INDEX($AW$102:$AW$113,MATCH($BD59,$AV$102:$AV$113,0))="",BZ59="-"),CB59,INDEX($AW$102:$AW$113,MATCH($BD59,$AV$102:$AV$113,0))+CB59/1000)</f>
        <v>3</v>
      </c>
      <c r="CE59" s="748" t="str">
        <f t="shared" ref="CE59:CE69" ca="1" si="202">IF(BZ59="-","-",COUNTIF(CD$58:CD$69,"&lt;"&amp;CD59))</f>
        <v>-</v>
      </c>
      <c r="CF59" s="748">
        <f t="shared" ref="CF59:CF69" ca="1" si="203">BY59+COUNTIFS(BZ$58:BZ$69,BZ59,CE$58:CE$69,"&lt;"&amp;CE59)</f>
        <v>3</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Ecuador</v>
      </c>
      <c r="DR59" s="744"/>
      <c r="DS59" s="744"/>
      <c r="DT59" s="744" t="str">
        <f t="shared" si="15"/>
        <v>Casa-Fuera</v>
      </c>
      <c r="DU59" s="744"/>
      <c r="DV59" s="744"/>
      <c r="DW59" s="8"/>
    </row>
    <row r="60" spans="1:127" ht="15" customHeight="1" thickBot="1" x14ac:dyDescent="0.25">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9"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10</v>
      </c>
      <c r="BN60" s="748">
        <f t="shared" ca="1" si="195"/>
        <v>10</v>
      </c>
      <c r="BO60" s="738" t="str">
        <f t="shared" si="196"/>
        <v>4C</v>
      </c>
      <c r="BP60" s="738"/>
      <c r="BQ60" s="738"/>
      <c r="BR60" s="748">
        <f t="shared" ca="1" si="179"/>
        <v>3</v>
      </c>
      <c r="BS60" s="748">
        <f t="shared" ca="1" si="197"/>
        <v>5</v>
      </c>
      <c r="BT60" s="748" t="str">
        <f t="shared" ca="1" si="198"/>
        <v>Pos. 5 (6)</v>
      </c>
      <c r="BU60" s="748">
        <f t="shared" ca="1" si="180"/>
        <v>-3</v>
      </c>
      <c r="BV60" s="748">
        <f t="shared" ca="1" si="181"/>
        <v>10</v>
      </c>
      <c r="BW60" s="748" t="str">
        <f t="shared" ca="1" si="182"/>
        <v>-</v>
      </c>
      <c r="BX60" s="748" t="str">
        <f t="shared" ca="1" si="183"/>
        <v>-</v>
      </c>
      <c r="BY60" s="748">
        <f t="shared" ca="1" si="184"/>
        <v>10</v>
      </c>
      <c r="BZ60" s="748" t="str">
        <f t="shared" ca="1" si="185"/>
        <v>-</v>
      </c>
      <c r="CA60" s="748" t="str">
        <f t="shared" ca="1" si="199"/>
        <v>-</v>
      </c>
      <c r="CB60" s="748">
        <f t="shared" ca="1" si="200"/>
        <v>10</v>
      </c>
      <c r="CC60" s="748"/>
      <c r="CD60" s="748">
        <f t="shared" ca="1" si="201"/>
        <v>10</v>
      </c>
      <c r="CE60" s="748" t="str">
        <f t="shared" ca="1" si="202"/>
        <v>-</v>
      </c>
      <c r="CF60" s="748">
        <f t="shared" ca="1" si="203"/>
        <v>10</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Bosnia y Herzegovina</v>
      </c>
      <c r="DR60" s="744"/>
      <c r="DS60" s="744"/>
      <c r="DT60" s="744" t="str">
        <f t="shared" ca="1" si="15"/>
        <v>España-Cabo Verde</v>
      </c>
      <c r="DU60" s="744"/>
      <c r="DV60" s="744"/>
      <c r="DW60" s="8"/>
    </row>
    <row r="61" spans="1:127" x14ac:dyDescent="0.2">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29"/>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4</v>
      </c>
      <c r="BN61" s="748">
        <f t="shared" ca="1" si="195"/>
        <v>4</v>
      </c>
      <c r="BO61" s="738" t="str">
        <f t="shared" si="196"/>
        <v>4D</v>
      </c>
      <c r="BP61" s="738"/>
      <c r="BQ61" s="738"/>
      <c r="BR61" s="748">
        <f t="shared" ca="1" si="179"/>
        <v>4</v>
      </c>
      <c r="BS61" s="748">
        <f t="shared" ca="1" si="197"/>
        <v>1</v>
      </c>
      <c r="BT61" s="748" t="str">
        <f t="shared" ca="1" si="198"/>
        <v>Pos. 1 (4)</v>
      </c>
      <c r="BU61" s="748">
        <f t="shared" ca="1" si="180"/>
        <v>-2</v>
      </c>
      <c r="BV61" s="748">
        <f t="shared" ca="1" si="181"/>
        <v>4</v>
      </c>
      <c r="BW61" s="748" t="str">
        <f t="shared" ca="1" si="182"/>
        <v>-</v>
      </c>
      <c r="BX61" s="748" t="str">
        <f t="shared" ca="1" si="183"/>
        <v>-</v>
      </c>
      <c r="BY61" s="748">
        <f t="shared" ca="1" si="184"/>
        <v>4</v>
      </c>
      <c r="BZ61" s="748" t="str">
        <f t="shared" ca="1" si="185"/>
        <v>-</v>
      </c>
      <c r="CA61" s="748" t="str">
        <f t="shared" ca="1" si="199"/>
        <v>-</v>
      </c>
      <c r="CB61" s="748">
        <f t="shared" ca="1" si="200"/>
        <v>4</v>
      </c>
      <c r="CC61" s="748"/>
      <c r="CD61" s="748">
        <f t="shared" ca="1" si="201"/>
        <v>4</v>
      </c>
      <c r="CE61" s="748" t="str">
        <f t="shared" ca="1" si="202"/>
        <v>-</v>
      </c>
      <c r="CF61" s="748">
        <f t="shared" ca="1" si="203"/>
        <v>4</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4</v>
      </c>
      <c r="DK61" s="744"/>
      <c r="DL61" s="744">
        <f t="shared" ca="1" si="204"/>
        <v>1</v>
      </c>
      <c r="DM61" s="738" t="str">
        <f t="shared" ca="1" si="187"/>
        <v>4.1</v>
      </c>
      <c r="DN61" s="744" cm="1">
        <f t="array" aca="1" ref="DN61" ca="1">OFFSET(Horarios!$P$3,DJ61-1,0,DL61,1)</f>
        <v>4</v>
      </c>
      <c r="DO61" s="744"/>
      <c r="DP61" s="744">
        <v>4</v>
      </c>
      <c r="DQ61" s="744" t="str">
        <f t="shared" ca="1" si="205"/>
        <v>Paraguay</v>
      </c>
      <c r="DR61" s="744"/>
      <c r="DS61" s="744"/>
      <c r="DT61" s="744" t="str">
        <f t="shared" ca="1" si="15"/>
        <v>Arabia Saudita-Uruguay</v>
      </c>
      <c r="DU61" s="744"/>
      <c r="DV61" s="744"/>
      <c r="DW61" s="8"/>
    </row>
    <row r="62" spans="1:127" x14ac:dyDescent="0.2">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29"/>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1">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2</v>
      </c>
      <c r="BN62" s="748">
        <f t="shared" ca="1" si="195"/>
        <v>2</v>
      </c>
      <c r="BO62" s="738" t="str">
        <f t="shared" si="196"/>
        <v>4E</v>
      </c>
      <c r="BP62" s="738"/>
      <c r="BQ62" s="738"/>
      <c r="BR62" s="748">
        <f t="shared" ca="1" si="179"/>
        <v>4</v>
      </c>
      <c r="BS62" s="748">
        <f t="shared" ca="1" si="197"/>
        <v>1</v>
      </c>
      <c r="BT62" s="748" t="str">
        <f t="shared" ca="1" si="198"/>
        <v>Pos. 1 (4)</v>
      </c>
      <c r="BU62" s="748">
        <f t="shared" ca="1" si="180"/>
        <v>0</v>
      </c>
      <c r="BV62" s="748">
        <f t="shared" ca="1" si="181"/>
        <v>1</v>
      </c>
      <c r="BW62" s="748" t="str">
        <f t="shared" ca="1" si="182"/>
        <v>Pos. 1 (2)</v>
      </c>
      <c r="BX62" s="748">
        <f t="shared" ca="1" si="183"/>
        <v>2</v>
      </c>
      <c r="BY62" s="748">
        <f t="shared" ca="1" si="184"/>
        <v>2</v>
      </c>
      <c r="BZ62" s="748" t="str">
        <f t="shared" ca="1" si="185"/>
        <v>-</v>
      </c>
      <c r="CA62" s="748" t="str">
        <f t="shared" ca="1" si="199"/>
        <v>-</v>
      </c>
      <c r="CB62" s="748">
        <f t="shared" ca="1" si="200"/>
        <v>2</v>
      </c>
      <c r="CC62" s="748"/>
      <c r="CD62" s="748">
        <f t="shared" ca="1" si="201"/>
        <v>2</v>
      </c>
      <c r="CE62" s="748" t="str">
        <f t="shared" ca="1" si="202"/>
        <v>-</v>
      </c>
      <c r="CF62" s="748">
        <f t="shared" ca="1" si="203"/>
        <v>2</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Senegal</v>
      </c>
      <c r="DR62" s="744"/>
      <c r="DS62" s="744"/>
      <c r="DT62" s="744" t="str">
        <f t="shared" ca="1" si="15"/>
        <v>España-Arabia Saudita</v>
      </c>
      <c r="DU62" s="744"/>
      <c r="DV62" s="744"/>
      <c r="DW62" s="8"/>
    </row>
    <row r="63" spans="1:127" x14ac:dyDescent="0.2">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29"/>
      <c r="X63" s="189">
        <f ca="1">Horarios!C63</f>
        <v>46195</v>
      </c>
      <c r="Y63" s="190">
        <f ca="1">Horarios!C63</f>
        <v>46195</v>
      </c>
      <c r="Z63" s="191" t="str">
        <f>$Z$6</f>
        <v>J2</v>
      </c>
      <c r="AA63" s="192" t="str">
        <f ca="1">A64</f>
        <v>Uruguay</v>
      </c>
      <c r="AB63" s="478" t="e" cm="1" vm="32">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1</v>
      </c>
      <c r="BN63" s="748">
        <f t="shared" ca="1" si="195"/>
        <v>1</v>
      </c>
      <c r="BO63" s="738" t="str">
        <f t="shared" si="196"/>
        <v>4F</v>
      </c>
      <c r="BP63" s="738"/>
      <c r="BQ63" s="738"/>
      <c r="BR63" s="748">
        <f t="shared" ca="1" si="179"/>
        <v>4</v>
      </c>
      <c r="BS63" s="748">
        <f t="shared" ca="1" si="197"/>
        <v>1</v>
      </c>
      <c r="BT63" s="748" t="str">
        <f t="shared" ca="1" si="198"/>
        <v>Pos. 1 (4)</v>
      </c>
      <c r="BU63" s="748">
        <f t="shared" ca="1" si="180"/>
        <v>0</v>
      </c>
      <c r="BV63" s="748">
        <f t="shared" ca="1" si="181"/>
        <v>1</v>
      </c>
      <c r="BW63" s="748" t="str">
        <f t="shared" ca="1" si="182"/>
        <v>Pos. 1 (2)</v>
      </c>
      <c r="BX63" s="748">
        <f t="shared" ca="1" si="183"/>
        <v>7</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Irán</v>
      </c>
      <c r="DR63" s="744"/>
      <c r="DS63" s="744"/>
      <c r="DT63" s="744" t="str">
        <f t="shared" ca="1" si="15"/>
        <v>Uruguay-Cabo Verde</v>
      </c>
      <c r="DU63" s="744"/>
      <c r="DV63" s="744"/>
      <c r="DW63" s="8"/>
    </row>
    <row r="64" spans="1:127" x14ac:dyDescent="0.2">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29"/>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1">
        <f t="array" aca="1" ref="AE64" ca="1">Ver_flag_visit</f>
        <v>#VALUE!</v>
      </c>
      <c r="AF64" s="195" t="str">
        <f ca="1">A63</f>
        <v>Arabia Saudita</v>
      </c>
      <c r="AG64" s="413">
        <f t="shared" si="219"/>
        <v>1</v>
      </c>
      <c r="AH64" s="196">
        <v>65</v>
      </c>
      <c r="AI64" s="19" t="str">
        <f t="shared" si="224"/>
        <v>3H</v>
      </c>
      <c r="AJ64" s="221">
        <v>3</v>
      </c>
      <c r="AK64" s="486" t="e" cm="1" vm="32">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6</v>
      </c>
      <c r="BN64" s="748">
        <f t="shared" ca="1" si="195"/>
        <v>6</v>
      </c>
      <c r="BO64" s="738" t="str">
        <f t="shared" si="196"/>
        <v>4G</v>
      </c>
      <c r="BP64" s="738"/>
      <c r="BQ64" s="738"/>
      <c r="BR64" s="748">
        <f t="shared" ca="1" si="179"/>
        <v>3</v>
      </c>
      <c r="BS64" s="748">
        <f t="shared" ca="1" si="197"/>
        <v>5</v>
      </c>
      <c r="BT64" s="748" t="str">
        <f t="shared" ca="1" si="198"/>
        <v>Pos. 5 (6)</v>
      </c>
      <c r="BU64" s="748">
        <f t="shared" ca="1" si="180"/>
        <v>0</v>
      </c>
      <c r="BV64" s="748">
        <f t="shared" ca="1" si="181"/>
        <v>6</v>
      </c>
      <c r="BW64" s="748" t="str">
        <f t="shared" ca="1" si="182"/>
        <v>-</v>
      </c>
      <c r="BX64" s="748" t="str">
        <f t="shared" ca="1" si="183"/>
        <v>-</v>
      </c>
      <c r="BY64" s="748">
        <f t="shared" ca="1" si="184"/>
        <v>6</v>
      </c>
      <c r="BZ64" s="748" t="str">
        <f t="shared" ca="1" si="185"/>
        <v>-</v>
      </c>
      <c r="CA64" s="748" t="str">
        <f t="shared" ca="1" si="199"/>
        <v>-</v>
      </c>
      <c r="CB64" s="748">
        <f t="shared" ca="1" si="200"/>
        <v>6</v>
      </c>
      <c r="CC64" s="748"/>
      <c r="CD64" s="748">
        <f t="shared" ca="1" si="201"/>
        <v>6</v>
      </c>
      <c r="CE64" s="748" t="str">
        <f t="shared" ca="1" si="202"/>
        <v>-</v>
      </c>
      <c r="CF64" s="748">
        <f t="shared" ca="1" si="203"/>
        <v>6</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Croacia</v>
      </c>
      <c r="DR64" s="744"/>
      <c r="DS64" s="744"/>
      <c r="DT64" s="744" t="str">
        <f t="shared" ca="1" si="15"/>
        <v>Cabo Verde-Arabia Saudita</v>
      </c>
      <c r="DU64" s="744"/>
      <c r="DV64" s="744"/>
      <c r="DW64" s="8"/>
    </row>
    <row r="65" spans="1:127" ht="15.75" thickBot="1" x14ac:dyDescent="0.25">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30"/>
      <c r="X65" s="228">
        <f ca="1">Horarios!C65</f>
        <v>46200.083333333336</v>
      </c>
      <c r="Y65" s="229">
        <f ca="1">Horarios!C65</f>
        <v>46200.083333333336</v>
      </c>
      <c r="Z65" s="230" t="str">
        <f>$Z$8</f>
        <v>J3</v>
      </c>
      <c r="AA65" s="231" t="str">
        <f ca="1">A64</f>
        <v>Uruguay</v>
      </c>
      <c r="AB65" s="479" t="e" cm="1" vm="32">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1">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11</v>
      </c>
      <c r="BN65" s="748">
        <f t="shared" ca="1" si="195"/>
        <v>11</v>
      </c>
      <c r="BO65" s="738" t="str">
        <f t="shared" si="196"/>
        <v>4H</v>
      </c>
      <c r="BP65" s="738"/>
      <c r="BQ65" s="738"/>
      <c r="BR65" s="748">
        <f t="shared" ca="1" si="179"/>
        <v>2</v>
      </c>
      <c r="BS65" s="748">
        <f t="shared" ca="1" si="197"/>
        <v>11</v>
      </c>
      <c r="BT65" s="748" t="str">
        <f t="shared" ca="1" si="198"/>
        <v>-</v>
      </c>
      <c r="BU65" s="748" t="str">
        <f t="shared" ca="1" si="180"/>
        <v>-</v>
      </c>
      <c r="BV65" s="748">
        <f t="shared" ca="1" si="181"/>
        <v>11</v>
      </c>
      <c r="BW65" s="748" t="str">
        <f t="shared" ca="1" si="182"/>
        <v>-</v>
      </c>
      <c r="BX65" s="748" t="str">
        <f t="shared" ca="1" si="183"/>
        <v>-</v>
      </c>
      <c r="BY65" s="748">
        <f t="shared" ca="1" si="184"/>
        <v>11</v>
      </c>
      <c r="BZ65" s="748" t="str">
        <f t="shared" ca="1" si="185"/>
        <v>-</v>
      </c>
      <c r="CA65" s="748" t="str">
        <f t="shared" ca="1" si="199"/>
        <v>-</v>
      </c>
      <c r="CB65" s="748">
        <f t="shared" ca="1" si="200"/>
        <v>11</v>
      </c>
      <c r="CC65" s="748"/>
      <c r="CD65" s="748">
        <f t="shared" ca="1" si="201"/>
        <v>11</v>
      </c>
      <c r="CE65" s="748" t="str">
        <f t="shared" ca="1" si="202"/>
        <v>-</v>
      </c>
      <c r="CF65" s="748">
        <f t="shared" ca="1" si="203"/>
        <v>11</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Corea del Sur</v>
      </c>
      <c r="DR65" s="744"/>
      <c r="DS65" s="744"/>
      <c r="DT65" s="744" t="str">
        <f t="shared" ca="1" si="15"/>
        <v>Uruguay-España</v>
      </c>
      <c r="DU65" s="744"/>
      <c r="DV65" s="744"/>
      <c r="DW65" s="8"/>
    </row>
    <row r="66" spans="1:127" ht="15.75" thickBot="1" x14ac:dyDescent="0.25">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5</v>
      </c>
      <c r="BN66" s="748">
        <f t="shared" ca="1" si="195"/>
        <v>5</v>
      </c>
      <c r="BO66" s="738" t="str">
        <f t="shared" si="196"/>
        <v>4I</v>
      </c>
      <c r="BP66" s="738"/>
      <c r="BQ66" s="738"/>
      <c r="BR66" s="748">
        <f t="shared" ca="1" si="179"/>
        <v>3</v>
      </c>
      <c r="BS66" s="748">
        <f t="shared" ca="1" si="197"/>
        <v>5</v>
      </c>
      <c r="BT66" s="748" t="str">
        <f t="shared" ca="1" si="198"/>
        <v>Pos. 5 (6)</v>
      </c>
      <c r="BU66" s="748">
        <f t="shared" ca="1" si="180"/>
        <v>2</v>
      </c>
      <c r="BV66" s="748">
        <f t="shared" ca="1" si="181"/>
        <v>5</v>
      </c>
      <c r="BW66" s="748" t="str">
        <f t="shared" ca="1" si="182"/>
        <v>-</v>
      </c>
      <c r="BX66" s="748" t="str">
        <f t="shared" ca="1" si="183"/>
        <v>-</v>
      </c>
      <c r="BY66" s="748">
        <f t="shared" ca="1" si="184"/>
        <v>5</v>
      </c>
      <c r="BZ66" s="748" t="str">
        <f t="shared" ca="1" si="185"/>
        <v>-</v>
      </c>
      <c r="CA66" s="748" t="str">
        <f t="shared" ca="1" si="199"/>
        <v>-</v>
      </c>
      <c r="CB66" s="748">
        <f t="shared" ca="1" si="200"/>
        <v>5</v>
      </c>
      <c r="CC66" s="748"/>
      <c r="CD66" s="748">
        <f t="shared" ca="1" si="201"/>
        <v>5</v>
      </c>
      <c r="CE66" s="748" t="str">
        <f t="shared" ca="1" si="202"/>
        <v>-</v>
      </c>
      <c r="CF66" s="748">
        <f t="shared" ca="1" si="203"/>
        <v>5</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Argelia</v>
      </c>
      <c r="DR66" s="744"/>
      <c r="DS66" s="744"/>
      <c r="DT66" s="744" t="str">
        <f t="shared" si="15"/>
        <v>-</v>
      </c>
      <c r="DU66" s="744"/>
      <c r="DV66" s="744"/>
      <c r="DW66" s="8"/>
    </row>
    <row r="67" spans="1:127" ht="15.75" thickBot="1" x14ac:dyDescent="0.25">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3</v>
      </c>
      <c r="BF67" s="748">
        <f t="shared" ca="1" si="190"/>
        <v>2</v>
      </c>
      <c r="BG67" s="748">
        <f t="shared" ca="1" si="191"/>
        <v>1</v>
      </c>
      <c r="BH67" s="748">
        <f t="shared" ca="1" si="192"/>
        <v>0</v>
      </c>
      <c r="BI67" s="748">
        <f t="shared" ca="1" si="176"/>
        <v>1</v>
      </c>
      <c r="BJ67" s="748">
        <f t="shared" ca="1" si="177"/>
        <v>2</v>
      </c>
      <c r="BK67" s="748">
        <f t="shared" ca="1" si="178"/>
        <v>4</v>
      </c>
      <c r="BL67" s="748">
        <f t="shared" ca="1" si="193"/>
        <v>-2</v>
      </c>
      <c r="BM67" s="748">
        <f t="shared" ca="1" si="194"/>
        <v>9</v>
      </c>
      <c r="BN67" s="748">
        <f t="shared" ca="1" si="195"/>
        <v>9</v>
      </c>
      <c r="BO67" s="738" t="str">
        <f t="shared" si="196"/>
        <v>4J</v>
      </c>
      <c r="BP67" s="738"/>
      <c r="BQ67" s="738"/>
      <c r="BR67" s="748">
        <f t="shared" ca="1" si="179"/>
        <v>3</v>
      </c>
      <c r="BS67" s="748">
        <f t="shared" ca="1" si="197"/>
        <v>5</v>
      </c>
      <c r="BT67" s="748" t="str">
        <f t="shared" ca="1" si="198"/>
        <v>Pos. 5 (6)</v>
      </c>
      <c r="BU67" s="748">
        <f t="shared" ca="1" si="180"/>
        <v>-2</v>
      </c>
      <c r="BV67" s="748">
        <f t="shared" ca="1" si="181"/>
        <v>9</v>
      </c>
      <c r="BW67" s="748" t="str">
        <f t="shared" ca="1" si="182"/>
        <v>-</v>
      </c>
      <c r="BX67" s="748" t="str">
        <f t="shared" ca="1" si="183"/>
        <v>-</v>
      </c>
      <c r="BY67" s="748">
        <f t="shared" ca="1" si="184"/>
        <v>9</v>
      </c>
      <c r="BZ67" s="748" t="str">
        <f t="shared" ca="1" si="185"/>
        <v>-</v>
      </c>
      <c r="CA67" s="748" t="str">
        <f t="shared" ca="1" si="199"/>
        <v>-</v>
      </c>
      <c r="CB67" s="748">
        <f t="shared" ca="1" si="200"/>
        <v>9</v>
      </c>
      <c r="CC67" s="748"/>
      <c r="CD67" s="748">
        <f t="shared" ca="1" si="201"/>
        <v>9</v>
      </c>
      <c r="CE67" s="748" t="str">
        <f t="shared" ca="1" si="202"/>
        <v>-</v>
      </c>
      <c r="CF67" s="748">
        <f t="shared" ca="1" si="203"/>
        <v>9</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Escocia</v>
      </c>
      <c r="DR67" s="744"/>
      <c r="DS67" s="744"/>
      <c r="DT67" s="744" t="str">
        <f t="shared" si="15"/>
        <v>Casa-Fuera</v>
      </c>
      <c r="DU67" s="744"/>
      <c r="DV67" s="744"/>
      <c r="DW67" s="8"/>
    </row>
    <row r="68" spans="1:127" ht="15" customHeight="1" thickBot="1" x14ac:dyDescent="0.25">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35"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2</v>
      </c>
      <c r="BG68" s="748">
        <f t="shared" ca="1" si="191"/>
        <v>0</v>
      </c>
      <c r="BH68" s="748">
        <f t="shared" ca="1" si="192"/>
        <v>1</v>
      </c>
      <c r="BI68" s="748">
        <f t="shared" ca="1" si="176"/>
        <v>1</v>
      </c>
      <c r="BJ68" s="748">
        <f t="shared" ca="1" si="177"/>
        <v>1</v>
      </c>
      <c r="BK68" s="748">
        <f t="shared" ca="1" si="178"/>
        <v>2</v>
      </c>
      <c r="BL68" s="748">
        <f t="shared" ca="1" si="193"/>
        <v>-1</v>
      </c>
      <c r="BM68" s="748">
        <f t="shared" ca="1" si="194"/>
        <v>12</v>
      </c>
      <c r="BN68" s="748">
        <f t="shared" ca="1" si="195"/>
        <v>12</v>
      </c>
      <c r="BO68" s="738" t="str">
        <f t="shared" si="196"/>
        <v>4K</v>
      </c>
      <c r="BP68" s="738"/>
      <c r="BQ68" s="738"/>
      <c r="BR68" s="748">
        <f t="shared" ca="1" si="179"/>
        <v>1</v>
      </c>
      <c r="BS68" s="748">
        <f t="shared" ca="1" si="197"/>
        <v>12</v>
      </c>
      <c r="BT68" s="748" t="str">
        <f t="shared" ca="1" si="198"/>
        <v>-</v>
      </c>
      <c r="BU68" s="748" t="str">
        <f t="shared" ca="1" si="180"/>
        <v>-</v>
      </c>
      <c r="BV68" s="748">
        <f t="shared" ca="1" si="181"/>
        <v>12</v>
      </c>
      <c r="BW68" s="748" t="str">
        <f t="shared" ca="1" si="182"/>
        <v>-</v>
      </c>
      <c r="BX68" s="748" t="str">
        <f t="shared" ca="1" si="183"/>
        <v>-</v>
      </c>
      <c r="BY68" s="748">
        <f t="shared" ca="1" si="184"/>
        <v>12</v>
      </c>
      <c r="BZ68" s="748" t="str">
        <f t="shared" ca="1" si="185"/>
        <v>-</v>
      </c>
      <c r="CA68" s="748" t="str">
        <f t="shared" ca="1" si="199"/>
        <v>-</v>
      </c>
      <c r="CB68" s="748">
        <f t="shared" ca="1" si="200"/>
        <v>12</v>
      </c>
      <c r="CC68" s="748"/>
      <c r="CD68" s="748">
        <f t="shared" ca="1" si="201"/>
        <v>12</v>
      </c>
      <c r="CE68" s="748" t="str">
        <f t="shared" ca="1" si="202"/>
        <v>-</v>
      </c>
      <c r="CF68" s="748">
        <f t="shared" ca="1" si="203"/>
        <v>12</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Uruguay</v>
      </c>
      <c r="DR68" s="744"/>
      <c r="DS68" s="744"/>
      <c r="DT68" s="744" t="str">
        <f t="shared" ca="1" si="15"/>
        <v>Francia-Senegal</v>
      </c>
      <c r="DU68" s="744"/>
      <c r="DV68" s="744"/>
      <c r="DW68" s="8"/>
    </row>
    <row r="69" spans="1:127" ht="16.149999999999999" customHeight="1" x14ac:dyDescent="0.2">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35"/>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Croacia</v>
      </c>
      <c r="BE69" s="748">
        <f t="shared" ca="1" si="189"/>
        <v>3</v>
      </c>
      <c r="BF69" s="748">
        <f t="shared" ca="1" si="190"/>
        <v>2</v>
      </c>
      <c r="BG69" s="748">
        <f t="shared" ca="1" si="191"/>
        <v>1</v>
      </c>
      <c r="BH69" s="748">
        <f t="shared" ca="1" si="192"/>
        <v>0</v>
      </c>
      <c r="BI69" s="748">
        <f t="shared" ca="1" si="176"/>
        <v>1</v>
      </c>
      <c r="BJ69" s="748">
        <f t="shared" ca="1" si="177"/>
        <v>3</v>
      </c>
      <c r="BK69" s="748">
        <f t="shared" ca="1" si="178"/>
        <v>4</v>
      </c>
      <c r="BL69" s="748">
        <f t="shared" ca="1" si="193"/>
        <v>-1</v>
      </c>
      <c r="BM69" s="748">
        <f t="shared" ca="1" si="194"/>
        <v>7</v>
      </c>
      <c r="BN69" s="748">
        <f t="shared" ca="1" si="195"/>
        <v>7</v>
      </c>
      <c r="BO69" s="738" t="str">
        <f t="shared" si="196"/>
        <v>4L</v>
      </c>
      <c r="BP69" s="738"/>
      <c r="BQ69" s="738"/>
      <c r="BR69" s="748">
        <f t="shared" ca="1" si="179"/>
        <v>3</v>
      </c>
      <c r="BS69" s="748">
        <f t="shared" ca="1" si="197"/>
        <v>5</v>
      </c>
      <c r="BT69" s="748" t="str">
        <f t="shared" ca="1" si="198"/>
        <v>Pos. 5 (6)</v>
      </c>
      <c r="BU69" s="748">
        <f t="shared" ca="1" si="180"/>
        <v>-1</v>
      </c>
      <c r="BV69" s="748">
        <f t="shared" ca="1" si="181"/>
        <v>7</v>
      </c>
      <c r="BW69" s="748" t="str">
        <f t="shared" ca="1" si="182"/>
        <v>Pos. 7 (2)</v>
      </c>
      <c r="BX69" s="748">
        <f t="shared" ca="1" si="183"/>
        <v>3</v>
      </c>
      <c r="BY69" s="748">
        <f t="shared" ca="1" si="184"/>
        <v>7</v>
      </c>
      <c r="BZ69" s="748" t="str">
        <f t="shared" ca="1" si="185"/>
        <v>-</v>
      </c>
      <c r="CA69" s="748" t="str">
        <f t="shared" ca="1" si="199"/>
        <v>-</v>
      </c>
      <c r="CB69" s="748">
        <f ca="1">BY69+COUNTIFS(BZ$58:BZ$69,BZ69,CA$58:CA$69,"&gt;"&amp;CA69)</f>
        <v>7</v>
      </c>
      <c r="CC69" s="748"/>
      <c r="CD69" s="748">
        <f t="shared" ca="1" si="201"/>
        <v>7</v>
      </c>
      <c r="CE69" s="748" t="str">
        <f t="shared" ca="1" si="202"/>
        <v>-</v>
      </c>
      <c r="CF69" s="748">
        <f t="shared" ca="1" si="203"/>
        <v>7</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RD Congo</v>
      </c>
      <c r="DR69" s="744"/>
      <c r="DS69" s="744"/>
      <c r="DT69" s="744" t="str">
        <f t="shared" ref="DT69:DT132" ca="1" si="242">AA69&amp;"-"&amp;AF69</f>
        <v>Irak-Noruega</v>
      </c>
      <c r="DU69" s="744"/>
      <c r="DV69" s="744"/>
      <c r="DW69" s="8"/>
    </row>
    <row r="70" spans="1:127" ht="16.149999999999999" customHeight="1" x14ac:dyDescent="0.2">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35"/>
      <c r="X70" s="189">
        <f ca="1">Horarios!C70</f>
        <v>46195.958333333336</v>
      </c>
      <c r="Y70" s="190">
        <f ca="1">Horarios!C70</f>
        <v>46195.958333333336</v>
      </c>
      <c r="Z70" s="191" t="str">
        <f>$Z$6</f>
        <v>J2</v>
      </c>
      <c r="AA70" s="192" t="str">
        <f ca="1">A69</f>
        <v>Francia</v>
      </c>
      <c r="AB70" s="478" t="e" cm="1" vm="33">
        <f t="array" aca="1" ref="AB70" ca="1">Ver_flag_local</f>
        <v>#VALUE!</v>
      </c>
      <c r="AC70" s="193">
        <v>3</v>
      </c>
      <c r="AD70" s="194">
        <v>0</v>
      </c>
      <c r="AE70" s="483" t="e" cm="1" vm="35">
        <f t="array" aca="1" ref="AE70" ca="1">Ver_flag_visit</f>
        <v>#VALUE!</v>
      </c>
      <c r="AF70" s="195" t="str">
        <f ca="1">A71</f>
        <v>Irak</v>
      </c>
      <c r="AG70" s="413">
        <f t="shared" si="238"/>
        <v>1</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149999999999999" customHeight="1" x14ac:dyDescent="0.2">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35"/>
      <c r="X71" s="189">
        <f ca="1">Horarios!C71</f>
        <v>46196.083333333336</v>
      </c>
      <c r="Y71" s="190">
        <f ca="1">Horarios!C71</f>
        <v>46196.083333333336</v>
      </c>
      <c r="Z71" s="191" t="str">
        <f>$Z$6</f>
        <v>J2</v>
      </c>
      <c r="AA71" s="192" t="str">
        <f ca="1">A72</f>
        <v>Noruega</v>
      </c>
      <c r="AB71" s="478" t="e" cm="1" vm="36">
        <f t="array" aca="1" ref="AB71" ca="1">Ver_flag_local</f>
        <v>#VALUE!</v>
      </c>
      <c r="AC71" s="193">
        <v>3</v>
      </c>
      <c r="AD71" s="194">
        <v>2</v>
      </c>
      <c r="AE71" s="483" t="e" cm="1" vm="34">
        <f t="array" aca="1" ref="AE71" ca="1">Ver_flag_visit</f>
        <v>#VALUE!</v>
      </c>
      <c r="AF71" s="195" t="str">
        <f ca="1">A70</f>
        <v>Senegal</v>
      </c>
      <c r="AG71" s="413">
        <f t="shared" si="238"/>
        <v>1</v>
      </c>
      <c r="AH71" s="196">
        <v>41</v>
      </c>
      <c r="AI71" s="19" t="str">
        <f t="shared" ref="AI71:AI73" si="244">AJ71&amp;$B$68</f>
        <v>2I</v>
      </c>
      <c r="AJ71" s="221">
        <v>2</v>
      </c>
      <c r="AK71" s="486" t="e" cm="1" vm="36">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149999999999999" customHeight="1" x14ac:dyDescent="0.2">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35"/>
      <c r="X72" s="189">
        <f ca="1">Horarios!C72</f>
        <v>46199.875</v>
      </c>
      <c r="Y72" s="190">
        <f ca="1">Horarios!C72</f>
        <v>46199.875</v>
      </c>
      <c r="Z72" s="191" t="str">
        <f>$Z$8</f>
        <v>J3</v>
      </c>
      <c r="AA72" s="192" t="str">
        <f ca="1">A72</f>
        <v>Noruega</v>
      </c>
      <c r="AB72" s="478" t="e" cm="1" vm="36">
        <f t="array" aca="1" ref="AB72" ca="1">Ver_flag_local</f>
        <v>#VALUE!</v>
      </c>
      <c r="AC72" s="193">
        <v>1</v>
      </c>
      <c r="AD72" s="194">
        <v>4</v>
      </c>
      <c r="AE72" s="483" t="e" cm="1" vm="33">
        <f t="array" aca="1" ref="AE72" ca="1">Ver_flag_visit</f>
        <v>#VALUE!</v>
      </c>
      <c r="AF72" s="195" t="str">
        <f ca="1">A69</f>
        <v>Francia</v>
      </c>
      <c r="AG72" s="413">
        <f t="shared" si="238"/>
        <v>1</v>
      </c>
      <c r="AH72" s="196">
        <v>61</v>
      </c>
      <c r="AI72" s="19" t="str">
        <f t="shared" si="244"/>
        <v>3I</v>
      </c>
      <c r="AJ72" s="221">
        <v>3</v>
      </c>
      <c r="AK72" s="486" t="e" cm="1" vm="34">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899999999999999" customHeight="1" thickBot="1" x14ac:dyDescent="0.25">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6"/>
      <c r="X73" s="228">
        <f ca="1">Horarios!C73</f>
        <v>46199.875</v>
      </c>
      <c r="Y73" s="229">
        <f ca="1">Horarios!C73</f>
        <v>46199.875</v>
      </c>
      <c r="Z73" s="230" t="str">
        <f>$Z$8</f>
        <v>J3</v>
      </c>
      <c r="AA73" s="231" t="str">
        <f ca="1">A70</f>
        <v>Senegal</v>
      </c>
      <c r="AB73" s="479" t="e" cm="1" vm="34">
        <f t="array" aca="1" ref="AB73" ca="1">Ver_flag_local</f>
        <v>#VALUE!</v>
      </c>
      <c r="AC73" s="232">
        <v>5</v>
      </c>
      <c r="AD73" s="233">
        <v>0</v>
      </c>
      <c r="AE73" s="484" t="e" cm="1" vm="35">
        <f t="array" aca="1" ref="AE73" ca="1">Ver_flag_visit</f>
        <v>#VALUE!</v>
      </c>
      <c r="AF73" s="234" t="str">
        <f ca="1">A71</f>
        <v>Irak</v>
      </c>
      <c r="AG73" s="413">
        <f t="shared" si="238"/>
        <v>1</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75" thickBot="1" x14ac:dyDescent="0.25">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75" thickBot="1" x14ac:dyDescent="0.25">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149999999999999" customHeight="1" thickBot="1" x14ac:dyDescent="0.25">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31"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149999999999999" customHeight="1" x14ac:dyDescent="0.2">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31"/>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149999999999999" customHeight="1" x14ac:dyDescent="0.2">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31"/>
      <c r="X78" s="189">
        <f ca="1">Horarios!C78</f>
        <v>46195.791666666664</v>
      </c>
      <c r="Y78" s="190">
        <f ca="1">Horarios!C78</f>
        <v>46195.791666666664</v>
      </c>
      <c r="Z78" s="191" t="str">
        <f>$Z$6</f>
        <v>J2</v>
      </c>
      <c r="AA78" s="192" t="str">
        <f ca="1">A77</f>
        <v>Argentina</v>
      </c>
      <c r="AB78" s="478" t="e" cm="1" vm="37">
        <f t="array" aca="1" ref="AB78" ca="1">Ver_flag_local</f>
        <v>#VALUE!</v>
      </c>
      <c r="AC78" s="193">
        <v>2</v>
      </c>
      <c r="AD78" s="194">
        <v>0</v>
      </c>
      <c r="AE78" s="483" t="e" cm="1" vm="39">
        <f t="array" aca="1" ref="AE78" ca="1">Ver_flag_visit</f>
        <v>#VALUE!</v>
      </c>
      <c r="AF78" s="195" t="str">
        <f ca="1">A79</f>
        <v>Austria</v>
      </c>
      <c r="AG78" s="413">
        <f t="shared" si="258"/>
        <v>1</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6</v>
      </c>
      <c r="AN78" s="214">
        <f t="shared" ca="1" si="262"/>
        <v>2</v>
      </c>
      <c r="AO78" s="214">
        <f t="shared" ca="1" si="262"/>
        <v>2</v>
      </c>
      <c r="AP78" s="214">
        <f t="shared" ca="1" si="262"/>
        <v>0</v>
      </c>
      <c r="AQ78" s="214">
        <f t="shared" ca="1" si="262"/>
        <v>0</v>
      </c>
      <c r="AR78" s="214">
        <f t="shared" ca="1" si="262"/>
        <v>5</v>
      </c>
      <c r="AS78" s="214">
        <f t="shared" ca="1" si="262"/>
        <v>0</v>
      </c>
      <c r="AT78" s="215">
        <f t="shared" ca="1" si="262"/>
        <v>5</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149999999999999" customHeight="1" x14ac:dyDescent="0.2">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31"/>
      <c r="X79" s="189">
        <f ca="1">Horarios!C79</f>
        <v>46196.208333333336</v>
      </c>
      <c r="Y79" s="190">
        <f ca="1">Horarios!C79</f>
        <v>46196.208333333336</v>
      </c>
      <c r="Z79" s="191" t="str">
        <f>$Z$6</f>
        <v>J2</v>
      </c>
      <c r="AA79" s="192" t="str">
        <f ca="1">A80</f>
        <v>Jordania</v>
      </c>
      <c r="AB79" s="478" t="e" cm="1" vm="40">
        <f t="array" aca="1" ref="AB79" ca="1">Ver_flag_local</f>
        <v>#VALUE!</v>
      </c>
      <c r="AC79" s="193">
        <v>1</v>
      </c>
      <c r="AD79" s="194">
        <v>2</v>
      </c>
      <c r="AE79" s="483" t="e" cm="1" vm="38">
        <f t="array" aca="1" ref="AE79" ca="1">Ver_flag_visit</f>
        <v>#VALUE!</v>
      </c>
      <c r="AF79" s="195" t="str">
        <f ca="1">A78</f>
        <v>Argelia</v>
      </c>
      <c r="AG79" s="413">
        <f t="shared" si="258"/>
        <v>1</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2</v>
      </c>
      <c r="AO79" s="224">
        <f t="shared" ca="1" si="262"/>
        <v>1</v>
      </c>
      <c r="AP79" s="224">
        <f t="shared" ca="1" si="262"/>
        <v>0</v>
      </c>
      <c r="AQ79" s="224">
        <f t="shared" ca="1" si="262"/>
        <v>1</v>
      </c>
      <c r="AR79" s="224">
        <f t="shared" ca="1" si="262"/>
        <v>3</v>
      </c>
      <c r="AS79" s="224">
        <f t="shared" ca="1" si="262"/>
        <v>3</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149999999999999" customHeight="1" x14ac:dyDescent="0.2">
      <c r="A80" s="745" t="str">
        <f ca="1">+Equipos!B41</f>
        <v>Jordania</v>
      </c>
      <c r="B80" s="742"/>
      <c r="C80" s="744"/>
      <c r="D80" s="744" t="str">
        <f t="shared" si="245"/>
        <v>Pendiente</v>
      </c>
      <c r="E80" s="744" t="str">
        <f t="shared" ca="1" si="246"/>
        <v>-</v>
      </c>
      <c r="F80" s="744" t="str">
        <f t="shared" ca="1" si="247"/>
        <v>-</v>
      </c>
      <c r="G80" s="744"/>
      <c r="H80" s="744" t="str">
        <f t="shared" ca="1" si="248"/>
        <v>-</v>
      </c>
      <c r="I80" s="744" t="str">
        <f t="shared" ca="1" si="249"/>
        <v>-</v>
      </c>
      <c r="J80" s="744"/>
      <c r="K80" s="744" t="str">
        <f t="shared" ca="1" si="250"/>
        <v>-</v>
      </c>
      <c r="L80" s="744" t="str">
        <f t="shared" ca="1" si="251"/>
        <v>-</v>
      </c>
      <c r="M80" s="744"/>
      <c r="N80" s="744" t="str">
        <f t="shared" ca="1" si="252"/>
        <v>-</v>
      </c>
      <c r="O80" s="744" t="str">
        <f t="shared" ca="1" si="253"/>
        <v>-</v>
      </c>
      <c r="P80" s="744"/>
      <c r="Q80" s="744" t="str">
        <f t="shared" ca="1" si="254"/>
        <v>-</v>
      </c>
      <c r="R80" s="744" t="str">
        <f t="shared" ca="1" si="255"/>
        <v>-</v>
      </c>
      <c r="S80" s="744"/>
      <c r="T80" s="744" t="str">
        <f t="shared" ca="1" si="256"/>
        <v>-</v>
      </c>
      <c r="U80" s="744" t="str">
        <f t="shared" ca="1" si="257"/>
        <v>-</v>
      </c>
      <c r="V80" s="172"/>
      <c r="W80" s="831"/>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8">
        <f t="array" aca="1" ref="AK80" ca="1">Ver_flag_visit</f>
        <v>#VALUE!</v>
      </c>
      <c r="AL80" s="222" t="str">
        <f ca="1">IFERROR(INDEX($BD$6:$BD$53,MATCH(AI80,$BN$6:$BN$53,0)),"")</f>
        <v>Argelia</v>
      </c>
      <c r="AM80" s="223">
        <f t="shared" ca="1" si="262"/>
        <v>3</v>
      </c>
      <c r="AN80" s="224">
        <f t="shared" ca="1" si="262"/>
        <v>2</v>
      </c>
      <c r="AO80" s="224">
        <f t="shared" ca="1" si="262"/>
        <v>1</v>
      </c>
      <c r="AP80" s="224">
        <f t="shared" ca="1" si="262"/>
        <v>0</v>
      </c>
      <c r="AQ80" s="224">
        <f t="shared" ca="1" si="262"/>
        <v>1</v>
      </c>
      <c r="AR80" s="224">
        <f t="shared" ca="1" si="262"/>
        <v>2</v>
      </c>
      <c r="AS80" s="224">
        <f t="shared" ca="1" si="262"/>
        <v>4</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899999999999999" customHeight="1" thickBot="1" x14ac:dyDescent="0.25">
      <c r="A81" s="739"/>
      <c r="B81" s="739"/>
      <c r="C81" s="739"/>
      <c r="D81" s="744" t="str">
        <f t="shared" si="245"/>
        <v>Pendiente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32"/>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2</v>
      </c>
      <c r="AO81" s="238">
        <f t="shared" ca="1" si="262"/>
        <v>0</v>
      </c>
      <c r="AP81" s="238">
        <f t="shared" ca="1" si="262"/>
        <v>0</v>
      </c>
      <c r="AQ81" s="238">
        <f t="shared" ca="1" si="262"/>
        <v>2</v>
      </c>
      <c r="AR81" s="238">
        <f t="shared" ca="1" si="262"/>
        <v>2</v>
      </c>
      <c r="AS81" s="238">
        <f t="shared" ca="1" si="262"/>
        <v>5</v>
      </c>
      <c r="AT81" s="239">
        <f t="shared" ca="1" si="262"/>
        <v>-3</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75" thickBot="1" x14ac:dyDescent="0.25">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75" thickBot="1" x14ac:dyDescent="0.25">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x14ac:dyDescent="0.25">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7"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149999999999999" customHeight="1" x14ac:dyDescent="0.2">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7"/>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149999999999999" customHeight="1" x14ac:dyDescent="0.2">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7"/>
      <c r="X86" s="189">
        <f ca="1">Horarios!C86</f>
        <v>46196.791666666664</v>
      </c>
      <c r="Y86" s="190">
        <f ca="1">Horarios!C86</f>
        <v>46196.791666666664</v>
      </c>
      <c r="Z86" s="191" t="str">
        <f>$Z$6</f>
        <v>J2</v>
      </c>
      <c r="AA86" s="192" t="str">
        <f ca="1">A85</f>
        <v>Portugal</v>
      </c>
      <c r="AB86" s="478" t="e" cm="1" vm="41">
        <f t="array" aca="1" ref="AB86" ca="1">Ver_flag_local</f>
        <v>#VALUE!</v>
      </c>
      <c r="AC86" s="193">
        <v>5</v>
      </c>
      <c r="AD86" s="194">
        <v>0</v>
      </c>
      <c r="AE86" s="483" t="e" cm="1" vm="43">
        <f t="array" aca="1" ref="AE86" ca="1">Ver_flag_visit</f>
        <v>#VALUE!</v>
      </c>
      <c r="AF86" s="195" t="str">
        <f ca="1">A87</f>
        <v>Uzbekistán</v>
      </c>
      <c r="AG86" s="413">
        <f t="shared" si="277"/>
        <v>1</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6</v>
      </c>
      <c r="AN86" s="214">
        <f t="shared" ca="1" si="281"/>
        <v>2</v>
      </c>
      <c r="AO86" s="214">
        <f t="shared" ca="1" si="281"/>
        <v>2</v>
      </c>
      <c r="AP86" s="214">
        <f t="shared" ca="1" si="281"/>
        <v>0</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149999999999999" customHeight="1" x14ac:dyDescent="0.2">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7"/>
      <c r="X87" s="189">
        <f ca="1">Horarios!C87</f>
        <v>46197.166666666664</v>
      </c>
      <c r="Y87" s="190">
        <f ca="1">Horarios!C87</f>
        <v>46197.166666666664</v>
      </c>
      <c r="Z87" s="191" t="str">
        <f>$Z$6</f>
        <v>J2</v>
      </c>
      <c r="AA87" s="192" t="str">
        <f ca="1">A88</f>
        <v>Colombia</v>
      </c>
      <c r="AB87" s="478" t="e" cm="1" vm="44">
        <f t="array" aca="1" ref="AB87" ca="1">Ver_flag_local</f>
        <v>#VALUE!</v>
      </c>
      <c r="AC87" s="193">
        <v>1</v>
      </c>
      <c r="AD87" s="194">
        <v>0</v>
      </c>
      <c r="AE87" s="483" t="e" cm="1" vm="42">
        <f t="array" aca="1" ref="AE87" ca="1">Ver_flag_visit</f>
        <v>#VALUE!</v>
      </c>
      <c r="AF87" s="195" t="str">
        <f ca="1">A86</f>
        <v>RD Congo</v>
      </c>
      <c r="AG87" s="413">
        <f t="shared" si="277"/>
        <v>1</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4</v>
      </c>
      <c r="AN87" s="224">
        <f t="shared" ca="1" si="281"/>
        <v>2</v>
      </c>
      <c r="AO87" s="224">
        <f t="shared" ca="1" si="281"/>
        <v>1</v>
      </c>
      <c r="AP87" s="224">
        <f t="shared" ca="1" si="281"/>
        <v>1</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149999999999999" customHeight="1" x14ac:dyDescent="0.2">
      <c r="A88" s="745" t="str">
        <f ca="1">+Equipos!B45</f>
        <v>Colombia</v>
      </c>
      <c r="B88" s="742"/>
      <c r="C88" s="744"/>
      <c r="D88" s="744" t="str">
        <f t="shared" si="264"/>
        <v>Pendiente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7"/>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2</v>
      </c>
      <c r="AO88" s="224">
        <f t="shared" ca="1" si="281"/>
        <v>0</v>
      </c>
      <c r="AP88" s="224">
        <f t="shared" ca="1" si="281"/>
        <v>1</v>
      </c>
      <c r="AQ88" s="224">
        <f t="shared" ca="1" si="281"/>
        <v>1</v>
      </c>
      <c r="AR88" s="224">
        <f t="shared" ca="1" si="281"/>
        <v>1</v>
      </c>
      <c r="AS88" s="224">
        <f t="shared" ca="1" si="281"/>
        <v>2</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899999999999999" customHeight="1" thickBot="1" x14ac:dyDescent="0.25">
      <c r="A89" s="739"/>
      <c r="B89" s="739"/>
      <c r="C89" s="739"/>
      <c r="D89" s="744" t="str">
        <f t="shared" si="264"/>
        <v>Pendiente</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8"/>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2</v>
      </c>
      <c r="AO89" s="238">
        <f t="shared" ca="1" si="281"/>
        <v>0</v>
      </c>
      <c r="AP89" s="238">
        <f t="shared" ca="1" si="281"/>
        <v>0</v>
      </c>
      <c r="AQ89" s="238">
        <f t="shared" ca="1" si="281"/>
        <v>2</v>
      </c>
      <c r="AR89" s="238">
        <f t="shared" ca="1" si="281"/>
        <v>1</v>
      </c>
      <c r="AS89" s="238">
        <f t="shared" ca="1" si="281"/>
        <v>8</v>
      </c>
      <c r="AT89" s="239">
        <f t="shared" ca="1" si="281"/>
        <v>-7</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75" thickBot="1" x14ac:dyDescent="0.25">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75" thickBot="1" x14ac:dyDescent="0.25">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x14ac:dyDescent="0.25">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v>
      </c>
      <c r="G92" s="744"/>
      <c r="H92" s="744" t="str">
        <f t="shared" ref="H92:H97" ca="1" si="286">IF(D92="Pendiente","-",INDEX($BZ$6:$BZ$53,MATCH($AA92,$BD$6:$BD$53,0)))</f>
        <v>P.1 (2)</v>
      </c>
      <c r="I92" s="744" t="str">
        <f t="shared" ref="I92:I97" ca="1" si="287">IF(D92="Pendiente","-",INDEX($BZ$6:$BZ$53,MATCH($AF92,$BD$6:$BD$53,0)))</f>
        <v>-</v>
      </c>
      <c r="J92" s="744"/>
      <c r="K92" s="744" t="str">
        <f t="shared" ref="K92:K97" ca="1" si="288">IF(D92="Pendiente","-",INDEX($CE$6:$CE$53,MATCH($AA92,$BD$6:$BD$53,0)))</f>
        <v>P.1 (2)</v>
      </c>
      <c r="L92" s="744" t="str">
        <f t="shared" ref="L92:L97" ca="1" si="289">IF(D92="Pendiente","-",INDEX($CE$6:$CE$53,MATCH($AF92,$BD$6:$BD$53,0)))</f>
        <v>-</v>
      </c>
      <c r="M92" s="744"/>
      <c r="N92" s="744" t="str">
        <f t="shared" ref="N92:N97" ca="1" si="290">IF(D92="Pendiente","-",INDEX($CH$6:$CH$53,MATCH($AA92,$BD$6:$BD$53,0)))</f>
        <v>P.1 (2)</v>
      </c>
      <c r="O92" s="744" t="str">
        <f t="shared" ref="O92:O97" ca="1" si="291">IF(D92="Pendiente","-",INDEX($CH$6:$CH$53,MATCH($AF92,$BD$6:$BD$53,0)))</f>
        <v>-</v>
      </c>
      <c r="P92" s="744"/>
      <c r="Q92" s="744" t="str">
        <f t="shared" ref="Q92:Q97" ca="1" si="292">IF(D92="Pendiente","-",INDEX($CN$6:$CN$53,MATCH($AA92,$BD$6:$BD$53,0)))</f>
        <v>P.1 (2)</v>
      </c>
      <c r="R92" s="744" t="str">
        <f t="shared" ref="R92:R97" ca="1" si="293">IF(D92="Pendiente","-",INDEX($CN$6:$CN$53,MATCH($AF92,$BD$6:$BD$53,0)))</f>
        <v>-</v>
      </c>
      <c r="S92" s="744"/>
      <c r="T92" s="744" t="str">
        <f t="shared" ref="T92:T97" ca="1" si="294">IF(D92="Pendiente","-",INDEX($CS$6:$CS$53,MATCH($AA92,$BD$6:$BD$53,0)))</f>
        <v>P.1 (2)</v>
      </c>
      <c r="U92" s="744" t="str">
        <f t="shared" ref="U92:U97" ca="1" si="295">IF(D92="Pendiente","-",INDEX($CS$6:$CS$53,MATCH($AF92,$BD$6:$BD$53,0)))</f>
        <v>-</v>
      </c>
      <c r="V92" s="172"/>
      <c r="W92" s="833"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149999999999999" customHeight="1" x14ac:dyDescent="0.2">
      <c r="A93" s="745" t="str">
        <f ca="1">+Equipos!B46</f>
        <v>Inglaterra</v>
      </c>
      <c r="B93" s="742"/>
      <c r="C93" s="742"/>
      <c r="D93" s="744" t="str">
        <f t="shared" si="283"/>
        <v>Local</v>
      </c>
      <c r="E93" s="744" t="str">
        <f t="shared" ca="1" si="284"/>
        <v>P.1 (2)</v>
      </c>
      <c r="F93" s="744" t="str">
        <f t="shared" ca="1" si="285"/>
        <v>-</v>
      </c>
      <c r="G93" s="744"/>
      <c r="H93" s="744" t="str">
        <f t="shared" ca="1" si="286"/>
        <v>P.1 (2)</v>
      </c>
      <c r="I93" s="744" t="str">
        <f t="shared" ca="1" si="287"/>
        <v>-</v>
      </c>
      <c r="J93" s="744"/>
      <c r="K93" s="744" t="str">
        <f t="shared" ca="1" si="288"/>
        <v>P.1 (2)</v>
      </c>
      <c r="L93" s="744" t="str">
        <f t="shared" ca="1" si="289"/>
        <v>-</v>
      </c>
      <c r="M93" s="744"/>
      <c r="N93" s="744" t="str">
        <f t="shared" ca="1" si="290"/>
        <v>P.1 (2)</v>
      </c>
      <c r="O93" s="744" t="str">
        <f t="shared" ca="1" si="291"/>
        <v>-</v>
      </c>
      <c r="P93" s="744"/>
      <c r="Q93" s="744" t="str">
        <f t="shared" ca="1" si="292"/>
        <v>P.1 (2)</v>
      </c>
      <c r="R93" s="744" t="str">
        <f t="shared" ca="1" si="293"/>
        <v>-</v>
      </c>
      <c r="S93" s="744"/>
      <c r="T93" s="744" t="str">
        <f t="shared" ca="1" si="294"/>
        <v>P.1 (2)</v>
      </c>
      <c r="U93" s="744" t="str">
        <f t="shared" ca="1" si="295"/>
        <v>-</v>
      </c>
      <c r="V93" s="172"/>
      <c r="W93" s="833"/>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149999999999999" customHeight="1" x14ac:dyDescent="0.2">
      <c r="A94" s="745" t="str">
        <f ca="1">+Equipos!B47</f>
        <v>Croacia</v>
      </c>
      <c r="B94" s="742"/>
      <c r="C94" s="746"/>
      <c r="D94" s="744" t="str">
        <f t="shared" si="283"/>
        <v>Empate</v>
      </c>
      <c r="E94" s="744" t="str">
        <f t="shared" ca="1" si="284"/>
        <v>P.1 (2)</v>
      </c>
      <c r="F94" s="744" t="str">
        <f t="shared" ca="1" si="285"/>
        <v>P.1 (2)</v>
      </c>
      <c r="G94" s="744"/>
      <c r="H94" s="744" t="str">
        <f t="shared" ca="1" si="286"/>
        <v>P.1 (2)</v>
      </c>
      <c r="I94" s="744" t="str">
        <f t="shared" ca="1" si="287"/>
        <v>P.1 (2)</v>
      </c>
      <c r="J94" s="744"/>
      <c r="K94" s="744" t="str">
        <f t="shared" ca="1" si="288"/>
        <v>P.1 (2)</v>
      </c>
      <c r="L94" s="744" t="str">
        <f t="shared" ca="1" si="289"/>
        <v>P.1 (2)</v>
      </c>
      <c r="M94" s="744"/>
      <c r="N94" s="744" t="str">
        <f t="shared" ca="1" si="290"/>
        <v>P.1 (2)</v>
      </c>
      <c r="O94" s="744" t="str">
        <f t="shared" ca="1" si="291"/>
        <v>P.1 (2)</v>
      </c>
      <c r="P94" s="744"/>
      <c r="Q94" s="744" t="str">
        <f t="shared" ca="1" si="292"/>
        <v>P.1 (2)</v>
      </c>
      <c r="R94" s="744" t="str">
        <f t="shared" ca="1" si="293"/>
        <v>P.1 (2)</v>
      </c>
      <c r="S94" s="744"/>
      <c r="T94" s="744" t="str">
        <f t="shared" ca="1" si="294"/>
        <v>P.1 (2)</v>
      </c>
      <c r="U94" s="744" t="str">
        <f t="shared" ca="1" si="295"/>
        <v>P.1 (2)</v>
      </c>
      <c r="V94" s="172"/>
      <c r="W94" s="833"/>
      <c r="X94" s="189">
        <f ca="1">Horarios!C94</f>
        <v>46196.916666666664</v>
      </c>
      <c r="Y94" s="190">
        <f ca="1">Horarios!C94</f>
        <v>46196.916666666664</v>
      </c>
      <c r="Z94" s="191" t="str">
        <f>$Z$6</f>
        <v>J2</v>
      </c>
      <c r="AA94" s="192" t="str">
        <f ca="1">A93</f>
        <v>Inglaterra</v>
      </c>
      <c r="AB94" s="478" t="e" cm="1" vm="45">
        <f t="array" aca="1" ref="AB94" ca="1">Ver_flag_local</f>
        <v>#VALUE!</v>
      </c>
      <c r="AC94" s="193">
        <v>0</v>
      </c>
      <c r="AD94" s="194">
        <v>0</v>
      </c>
      <c r="AE94" s="483" t="e" cm="1" vm="47">
        <f t="array" aca="1" ref="AE94" ca="1">Ver_flag_visit</f>
        <v>#VALUE!</v>
      </c>
      <c r="AF94" s="195" t="str">
        <f ca="1">A95</f>
        <v>Ghana</v>
      </c>
      <c r="AG94" s="413">
        <f t="shared" si="296"/>
        <v>1</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4</v>
      </c>
      <c r="AN94" s="214">
        <f t="shared" ca="1" si="300"/>
        <v>2</v>
      </c>
      <c r="AO94" s="214">
        <f t="shared" ca="1" si="300"/>
        <v>1</v>
      </c>
      <c r="AP94" s="214">
        <f t="shared" ca="1" si="300"/>
        <v>1</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149999999999999" customHeight="1" x14ac:dyDescent="0.2">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33"/>
      <c r="X95" s="189">
        <f ca="1">Horarios!C95</f>
        <v>46197.041666666664</v>
      </c>
      <c r="Y95" s="190">
        <f ca="1">Horarios!C95</f>
        <v>46197.041666666664</v>
      </c>
      <c r="Z95" s="191" t="str">
        <f>$Z$6</f>
        <v>J2</v>
      </c>
      <c r="AA95" s="192" t="str">
        <f ca="1">A96</f>
        <v>Panamá</v>
      </c>
      <c r="AB95" s="478" t="e" cm="1" vm="48">
        <f t="array" aca="1" ref="AB95" ca="1">Ver_flag_local</f>
        <v>#VALUE!</v>
      </c>
      <c r="AC95" s="193">
        <v>0</v>
      </c>
      <c r="AD95" s="194">
        <v>1</v>
      </c>
      <c r="AE95" s="483" t="e" cm="1" vm="46">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4</v>
      </c>
      <c r="AN95" s="224">
        <f t="shared" ca="1" si="300"/>
        <v>2</v>
      </c>
      <c r="AO95" s="224">
        <f t="shared" ca="1" si="300"/>
        <v>1</v>
      </c>
      <c r="AP95" s="224">
        <f t="shared" ca="1" si="300"/>
        <v>1</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149999999999999" customHeight="1" x14ac:dyDescent="0.2">
      <c r="A96" s="745" t="str">
        <f ca="1">+Equipos!B49</f>
        <v>Panamá</v>
      </c>
      <c r="B96" s="742"/>
      <c r="C96" s="744"/>
      <c r="D96" s="744" t="str">
        <f t="shared" si="283"/>
        <v>Pendiente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33"/>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6">
        <f t="array" aca="1" ref="AK96" ca="1">Ver_flag_visit</f>
        <v>#VALUE!</v>
      </c>
      <c r="AL96" s="222" t="str">
        <f ca="1">IFERROR(INDEX($BD$6:$BD$53,MATCH(AI96,$BN$6:$BN$53,0)),"")</f>
        <v>Croacia</v>
      </c>
      <c r="AM96" s="223">
        <f t="shared" ca="1" si="300"/>
        <v>3</v>
      </c>
      <c r="AN96" s="224">
        <f t="shared" ca="1" si="300"/>
        <v>2</v>
      </c>
      <c r="AO96" s="224">
        <f t="shared" ca="1" si="300"/>
        <v>1</v>
      </c>
      <c r="AP96" s="224">
        <f t="shared" ca="1" si="300"/>
        <v>0</v>
      </c>
      <c r="AQ96" s="224">
        <f t="shared" ca="1" si="300"/>
        <v>1</v>
      </c>
      <c r="AR96" s="224">
        <f t="shared" ca="1" si="300"/>
        <v>3</v>
      </c>
      <c r="AS96" s="224">
        <f t="shared" ca="1" si="300"/>
        <v>4</v>
      </c>
      <c r="AT96" s="225">
        <f t="shared" ca="1" si="300"/>
        <v>-1</v>
      </c>
      <c r="AU96" s="420">
        <f ca="1">INDEX($DL$6:$DL$53,MATCH(AI96,$DP$6:$DP$53,0))</f>
        <v>1</v>
      </c>
      <c r="AV96" s="217" t="str">
        <f ca="1">INDEX($BD$6:$BD$53,MATCH(AI96,$BM$6:$BM$53,0))</f>
        <v>Croacia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899999999999999" customHeight="1" thickBot="1" x14ac:dyDescent="0.25">
      <c r="A97" s="739"/>
      <c r="B97" s="739"/>
      <c r="C97" s="739"/>
      <c r="D97" s="744" t="str">
        <f t="shared" si="283"/>
        <v>Pendiente</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34"/>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2</v>
      </c>
      <c r="AO97" s="238">
        <f t="shared" ca="1" si="300"/>
        <v>0</v>
      </c>
      <c r="AP97" s="238">
        <f t="shared" ca="1" si="300"/>
        <v>0</v>
      </c>
      <c r="AQ97" s="238">
        <f t="shared" ca="1" si="300"/>
        <v>2</v>
      </c>
      <c r="AR97" s="238">
        <f t="shared" ca="1" si="300"/>
        <v>0</v>
      </c>
      <c r="AS97" s="238">
        <f t="shared" ca="1" si="300"/>
        <v>2</v>
      </c>
      <c r="AT97" s="239">
        <f t="shared" ca="1" si="300"/>
        <v>-2</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75" thickBot="1" x14ac:dyDescent="0.25">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75" thickBot="1" x14ac:dyDescent="0.25">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149999999999999" customHeight="1" x14ac:dyDescent="0.2">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149999999999999" customHeight="1" thickBot="1" x14ac:dyDescent="0.25">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9" t="s">
        <v>483</v>
      </c>
      <c r="X101" s="189">
        <f ca="1">Horarios!C101</f>
        <v>46201.875</v>
      </c>
      <c r="Y101" s="190">
        <f ca="1">Horarios!C101</f>
        <v>46201.875</v>
      </c>
      <c r="Z101" s="276">
        <f>AH101</f>
        <v>73</v>
      </c>
      <c r="AA101" s="277" t="str">
        <f t="shared" ref="AA101:AA116" ca="1" si="305">+INDEX($M$101:$M$147,MATCH(AH101,$J$101:$J$147,0))</f>
        <v>Sudáfrica</v>
      </c>
      <c r="AB101" s="278"/>
      <c r="AC101" s="194"/>
      <c r="AD101" s="194"/>
      <c r="AE101" s="279"/>
      <c r="AF101" s="280" t="str">
        <f t="shared" ref="AF101:AF116" ca="1" si="306">+INDEX($N$101:$N$147,MATCH(AH101,$J$101:$J$147,0))</f>
        <v>Canadá</v>
      </c>
      <c r="AG101" s="417">
        <f t="shared" ref="AG101:AG116" ca="1"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ABDEFGIL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149999999999999" customHeight="1" x14ac:dyDescent="0.2">
      <c r="A102" s="738" t="s">
        <v>661</v>
      </c>
      <c r="B102" s="738" t="s">
        <v>722</v>
      </c>
      <c r="C102" s="739"/>
      <c r="D102" s="747" t="str">
        <f t="shared" ca="1" si="302"/>
        <v>W76</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39"/>
      <c r="X102" s="189">
        <f ca="1">Horarios!C102</f>
        <v>46202.791666666664</v>
      </c>
      <c r="Y102" s="190">
        <f ca="1">Horarios!C102</f>
        <v>46202.791666666664</v>
      </c>
      <c r="Z102" s="276">
        <f t="shared" ref="Z102:Z116" si="309">AH102</f>
        <v>76</v>
      </c>
      <c r="AA102" s="277" t="str">
        <f t="shared" ca="1" si="305"/>
        <v>Brasil</v>
      </c>
      <c r="AB102" s="278"/>
      <c r="AC102" s="281"/>
      <c r="AD102" s="281"/>
      <c r="AE102" s="278"/>
      <c r="AF102" s="280" t="str">
        <f t="shared" ca="1" si="306"/>
        <v>Japón</v>
      </c>
      <c r="AG102" s="417">
        <f t="shared" ca="1" si="307"/>
        <v>0</v>
      </c>
      <c r="AH102" s="196">
        <v>76</v>
      </c>
      <c r="AI102" s="217">
        <v>1</v>
      </c>
      <c r="AJ102" s="282">
        <v>1</v>
      </c>
      <c r="AK102" s="485" t="e" cm="1" vm="23">
        <f t="array" aca="1" ref="AK102" ca="1">Ver_flag_visit</f>
        <v>#VALUE!</v>
      </c>
      <c r="AL102" s="283" t="str">
        <f t="shared" ref="AL102:AL113" ca="1" si="310">+IF($H$113&gt;=48,INDEX($BD$58:$BD$69,MATCH(AI102,$BN$58:$BN$69,0)),BB58)</f>
        <v>Suecia</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7</v>
      </c>
      <c r="AS102" s="286">
        <f t="shared" ca="1" si="311"/>
        <v>7</v>
      </c>
      <c r="AT102" s="287">
        <f t="shared" ca="1" si="311"/>
        <v>0</v>
      </c>
      <c r="AU102" s="420" t="str">
        <f t="shared" ref="AU102:AU113" ca="1" si="312">IF($H$113=144,INDEX($DL$58:$DL$69,MATCH(AI102,$DP$58:$DP$69,0)),"")</f>
        <v/>
      </c>
      <c r="AV102" s="217" t="str">
        <f t="shared" ref="AV102:AV113" ca="1" si="313">INDEX($BD$58:$BD$69,MATCH(AI102,$BM$58:$BM$69,0))</f>
        <v>Suecia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149999999999999" customHeight="1" x14ac:dyDescent="0.2">
      <c r="A103" s="738" t="s">
        <v>664</v>
      </c>
      <c r="B103" s="738" t="s">
        <v>656</v>
      </c>
      <c r="C103" s="739"/>
      <c r="D103" s="747" t="str">
        <f t="shared" ca="1" si="302"/>
        <v>W74</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9"/>
      <c r="X103" s="189">
        <f ca="1">Horarios!C103</f>
        <v>46202.9375</v>
      </c>
      <c r="Y103" s="190">
        <f ca="1">Horarios!C103</f>
        <v>46202.9375</v>
      </c>
      <c r="Z103" s="276">
        <f t="shared" si="309"/>
        <v>74</v>
      </c>
      <c r="AA103" s="277" t="str">
        <f t="shared" ca="1" si="305"/>
        <v>Alemania</v>
      </c>
      <c r="AB103" s="278"/>
      <c r="AC103" s="281"/>
      <c r="AD103" s="281"/>
      <c r="AE103" s="278"/>
      <c r="AF103" s="280" t="str">
        <f t="shared" ca="1" si="306"/>
        <v>3ABCDF</v>
      </c>
      <c r="AG103" s="417">
        <f t="shared" ca="1" si="307"/>
        <v>0</v>
      </c>
      <c r="AH103" s="196">
        <v>74</v>
      </c>
      <c r="AI103" s="217">
        <v>2</v>
      </c>
      <c r="AJ103" s="221">
        <v>2</v>
      </c>
      <c r="AK103" s="486" t="e" cm="1" vm="20">
        <f t="array" aca="1" ref="AK103" ca="1">Ver_flag_visit</f>
        <v>#VALUE!</v>
      </c>
      <c r="AL103" s="289" t="str">
        <f t="shared" ca="1" si="310"/>
        <v>Ecuador</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2</v>
      </c>
      <c r="AS103" s="291">
        <f t="shared" ca="1" si="314"/>
        <v>2</v>
      </c>
      <c r="AT103" s="292">
        <f t="shared" ca="1" si="314"/>
        <v>0</v>
      </c>
      <c r="AU103" s="420" t="str">
        <f t="shared" ca="1" si="312"/>
        <v/>
      </c>
      <c r="AV103" s="217" t="str">
        <f t="shared" ca="1" si="313"/>
        <v>Ecuador</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F</v>
      </c>
      <c r="BG103" s="738">
        <f t="shared" ref="BG103:BG110" ca="1" si="317">COUNTIF($BF$103:$BF$110,"&lt;="&amp;BF103)</f>
        <v>5</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Alemania-3ABCDF</v>
      </c>
      <c r="DU103" s="738"/>
      <c r="DV103" s="738"/>
      <c r="DW103" s="11"/>
    </row>
    <row r="104" spans="1:127" ht="16.149999999999999" customHeight="1" x14ac:dyDescent="0.2">
      <c r="A104" s="738" t="s">
        <v>651</v>
      </c>
      <c r="B104" s="738" t="s">
        <v>665</v>
      </c>
      <c r="C104" s="739"/>
      <c r="D104" s="747" t="str">
        <f t="shared" ca="1" si="302"/>
        <v>W75</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39"/>
      <c r="X104" s="189">
        <f ca="1">Horarios!C104</f>
        <v>46203.125</v>
      </c>
      <c r="Y104" s="190">
        <f ca="1">Horarios!C104</f>
        <v>46203.125</v>
      </c>
      <c r="Z104" s="276">
        <f t="shared" si="309"/>
        <v>75</v>
      </c>
      <c r="AA104" s="277" t="str">
        <f t="shared" ca="1" si="305"/>
        <v>Países Bajos</v>
      </c>
      <c r="AB104" s="278"/>
      <c r="AC104" s="281"/>
      <c r="AD104" s="281"/>
      <c r="AE104" s="278"/>
      <c r="AF104" s="280" t="str">
        <f t="shared" ca="1" si="306"/>
        <v>Marruecos</v>
      </c>
      <c r="AG104" s="417">
        <f t="shared" ca="1" si="307"/>
        <v>0</v>
      </c>
      <c r="AH104" s="196">
        <v>75</v>
      </c>
      <c r="AI104" s="217">
        <v>3</v>
      </c>
      <c r="AJ104" s="221">
        <v>3</v>
      </c>
      <c r="AK104" s="486" t="e" cm="1" vm="6">
        <f t="array" aca="1" ref="AK104" ca="1">Ver_flag_visit</f>
        <v>#VALUE!</v>
      </c>
      <c r="AL104" s="289" t="str">
        <f t="shared" ca="1" si="310"/>
        <v>Bosnia y Herzegovina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5</v>
      </c>
      <c r="AS104" s="291">
        <f t="shared" ca="1" si="319"/>
        <v>6</v>
      </c>
      <c r="AT104" s="292">
        <f t="shared" ca="1" si="319"/>
        <v>-1</v>
      </c>
      <c r="AU104" s="420" t="str">
        <f t="shared" ca="1" si="312"/>
        <v/>
      </c>
      <c r="AV104" s="217" t="str">
        <f t="shared" ca="1" si="313"/>
        <v>Bosnia y Herzegovina</v>
      </c>
      <c r="AW104" s="427"/>
      <c r="AX104" s="288"/>
      <c r="AY104" s="293"/>
      <c r="AZ104" s="294" t="str">
        <f t="shared" ca="1" si="315"/>
        <v>1B - 3G</v>
      </c>
      <c r="BA104" s="175"/>
      <c r="BB104" s="738"/>
      <c r="BC104" s="744"/>
      <c r="BD104" s="738"/>
      <c r="BE104" s="738"/>
      <c r="BF104" s="738" t="str">
        <f t="shared" ca="1" si="316"/>
        <v>E</v>
      </c>
      <c r="BG104" s="738">
        <f t="shared" ca="1" si="317"/>
        <v>4</v>
      </c>
      <c r="BH104" s="738"/>
      <c r="BI104" s="744">
        <v>2</v>
      </c>
      <c r="BJ104" s="738" t="str">
        <f t="shared" ca="1" si="318"/>
        <v>B</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149999999999999" customHeight="1" x14ac:dyDescent="0.2">
      <c r="A105" s="738" t="s">
        <v>673</v>
      </c>
      <c r="B105" s="738" t="s">
        <v>723</v>
      </c>
      <c r="C105" s="739"/>
      <c r="D105" s="747" t="str">
        <f t="shared" ca="1" si="302"/>
        <v>W78</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39"/>
      <c r="X105" s="189">
        <f ca="1">Horarios!C105</f>
        <v>46203.791666666664</v>
      </c>
      <c r="Y105" s="190">
        <f ca="1">Horarios!C105</f>
        <v>46203.791666666664</v>
      </c>
      <c r="Z105" s="276">
        <f t="shared" si="309"/>
        <v>78</v>
      </c>
      <c r="AA105" s="277" t="str">
        <f t="shared" ca="1" si="305"/>
        <v>Costa de Marfil</v>
      </c>
      <c r="AB105" s="278"/>
      <c r="AC105" s="281"/>
      <c r="AD105" s="281"/>
      <c r="AE105" s="278"/>
      <c r="AF105" s="280" t="str">
        <f t="shared" ca="1" si="306"/>
        <v>Noruega</v>
      </c>
      <c r="AG105" s="417">
        <f t="shared" ca="1" si="307"/>
        <v>0</v>
      </c>
      <c r="AH105" s="196">
        <v>78</v>
      </c>
      <c r="AI105" s="217">
        <v>4</v>
      </c>
      <c r="AJ105" s="221">
        <v>4</v>
      </c>
      <c r="AK105" s="486" t="e" cm="1" vm="14">
        <f t="array" aca="1" ref="AK105" ca="1">Ver_flag_visit</f>
        <v>#VALUE!</v>
      </c>
      <c r="AL105" s="289" t="str">
        <f t="shared" ca="1" si="310"/>
        <v>Paraguay</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4</v>
      </c>
      <c r="AT105" s="292">
        <f t="shared" ca="1" si="320"/>
        <v>-2</v>
      </c>
      <c r="AU105" s="420" t="str">
        <f t="shared" ca="1" si="312"/>
        <v/>
      </c>
      <c r="AV105" s="217" t="str">
        <f t="shared" ca="1" si="313"/>
        <v>Paraguay</v>
      </c>
      <c r="AW105" s="427"/>
      <c r="AX105" s="288"/>
      <c r="AY105" s="293"/>
      <c r="AZ105" s="294" t="str">
        <f t="shared" ca="1" si="315"/>
        <v>1D - 3B</v>
      </c>
      <c r="BA105" s="175"/>
      <c r="BB105" s="738"/>
      <c r="BC105" s="744"/>
      <c r="BD105" s="738"/>
      <c r="BE105" s="738"/>
      <c r="BF105" s="738" t="str">
        <f t="shared" ca="1" si="316"/>
        <v>B</v>
      </c>
      <c r="BG105" s="738">
        <f t="shared" ca="1" si="317"/>
        <v>2</v>
      </c>
      <c r="BH105" s="738"/>
      <c r="BI105" s="744">
        <v>3</v>
      </c>
      <c r="BJ105" s="738" t="str">
        <f t="shared" ca="1" si="318"/>
        <v>D</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149999999999999" customHeight="1" x14ac:dyDescent="0.2">
      <c r="A106" s="738" t="s">
        <v>662</v>
      </c>
      <c r="B106" s="738" t="s">
        <v>674</v>
      </c>
      <c r="C106" s="739"/>
      <c r="D106" s="747" t="str">
        <f t="shared" ca="1" si="302"/>
        <v>W77</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39"/>
      <c r="X106" s="189">
        <f ca="1">Horarios!C106</f>
        <v>46203.958333333336</v>
      </c>
      <c r="Y106" s="190">
        <f ca="1">Horarios!C106</f>
        <v>46203.958333333336</v>
      </c>
      <c r="Z106" s="276">
        <f t="shared" si="309"/>
        <v>77</v>
      </c>
      <c r="AA106" s="277" t="str">
        <f t="shared" ca="1" si="305"/>
        <v>Francia</v>
      </c>
      <c r="AB106" s="278"/>
      <c r="AC106" s="281"/>
      <c r="AD106" s="281"/>
      <c r="AE106" s="278"/>
      <c r="AF106" s="280" t="str">
        <f t="shared" ca="1" si="306"/>
        <v>3CDFGH</v>
      </c>
      <c r="AG106" s="417">
        <f t="shared" ca="1" si="307"/>
        <v>0</v>
      </c>
      <c r="AH106" s="196">
        <v>77</v>
      </c>
      <c r="AI106" s="217">
        <v>5</v>
      </c>
      <c r="AJ106" s="221">
        <v>5</v>
      </c>
      <c r="AK106" s="486" t="e" cm="1" vm="34">
        <f t="array" aca="1" ref="AK106" ca="1">Ver_flag_visit</f>
        <v>#VALUE!</v>
      </c>
      <c r="AL106" s="289" t="str">
        <f t="shared" ca="1" si="310"/>
        <v>Senegal</v>
      </c>
      <c r="AM106" s="290">
        <f t="shared" ref="AM106:AT106" ca="1" si="321">+IF($H$113&gt;=48,INDEX($BE$58:$BN$69,MATCH($AL106,$BD$58:$BD$69,0),MATCH(AM$5,$BE$57:$BN$57,0)),$BB62)</f>
        <v>3</v>
      </c>
      <c r="AN106" s="291">
        <f t="shared" ca="1" si="321"/>
        <v>3</v>
      </c>
      <c r="AO106" s="291">
        <f t="shared" ca="1" si="321"/>
        <v>1</v>
      </c>
      <c r="AP106" s="291">
        <f t="shared" ca="1" si="321"/>
        <v>0</v>
      </c>
      <c r="AQ106" s="291">
        <f t="shared" ca="1" si="321"/>
        <v>2</v>
      </c>
      <c r="AR106" s="291">
        <f t="shared" ca="1" si="321"/>
        <v>8</v>
      </c>
      <c r="AS106" s="291">
        <f t="shared" ca="1" si="321"/>
        <v>6</v>
      </c>
      <c r="AT106" s="292">
        <f t="shared" ca="1" si="321"/>
        <v>2</v>
      </c>
      <c r="AU106" s="420" t="str">
        <f t="shared" ca="1" si="312"/>
        <v/>
      </c>
      <c r="AV106" s="217" t="str">
        <f t="shared" ca="1" si="313"/>
        <v>Senegal</v>
      </c>
      <c r="AW106" s="427"/>
      <c r="AX106" s="288"/>
      <c r="AY106" s="293"/>
      <c r="AZ106" s="294" t="str">
        <f t="shared" ca="1" si="315"/>
        <v>1E - 3D</v>
      </c>
      <c r="BA106" s="175"/>
      <c r="BB106" s="738"/>
      <c r="BC106" s="744"/>
      <c r="BD106" s="738"/>
      <c r="BE106" s="738"/>
      <c r="BF106" s="738" t="str">
        <f t="shared" ca="1" si="316"/>
        <v>D</v>
      </c>
      <c r="BG106" s="738">
        <f t="shared" ca="1" si="317"/>
        <v>3</v>
      </c>
      <c r="BH106" s="738"/>
      <c r="BI106" s="744">
        <v>4</v>
      </c>
      <c r="BJ106" s="738" t="str">
        <f t="shared" ca="1" si="318"/>
        <v>E</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Francia-3CDFGH</v>
      </c>
      <c r="DU106" s="738"/>
      <c r="DV106" s="738"/>
      <c r="DW106" s="11"/>
    </row>
    <row r="107" spans="1:127" ht="16.149999999999999" customHeight="1" x14ac:dyDescent="0.2">
      <c r="A107" s="738" t="s">
        <v>645</v>
      </c>
      <c r="B107" s="738" t="s">
        <v>724</v>
      </c>
      <c r="C107" s="739"/>
      <c r="D107" s="747" t="str">
        <f t="shared" ca="1" si="302"/>
        <v>W79</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39"/>
      <c r="X107" s="189">
        <f ca="1">Horarios!C107</f>
        <v>46204.125</v>
      </c>
      <c r="Y107" s="190">
        <f ca="1">Horarios!C107</f>
        <v>46204.125</v>
      </c>
      <c r="Z107" s="276">
        <f t="shared" si="309"/>
        <v>79</v>
      </c>
      <c r="AA107" s="277" t="str">
        <f t="shared" ca="1" si="305"/>
        <v>México</v>
      </c>
      <c r="AB107" s="278"/>
      <c r="AC107" s="281"/>
      <c r="AD107" s="281"/>
      <c r="AE107" s="278"/>
      <c r="AF107" s="280" t="str">
        <f t="shared" ca="1" si="306"/>
        <v>3CEFHI</v>
      </c>
      <c r="AG107" s="417">
        <f t="shared" ca="1" si="307"/>
        <v>0</v>
      </c>
      <c r="AH107" s="196">
        <v>79</v>
      </c>
      <c r="AI107" s="217">
        <v>6</v>
      </c>
      <c r="AJ107" s="221">
        <v>6</v>
      </c>
      <c r="AK107" s="486" t="e" cm="1" vm="27">
        <f t="array" aca="1" ref="AK107" ca="1">Ver_flag_visit</f>
        <v>#VALUE!</v>
      </c>
      <c r="AL107" s="289" t="str">
        <f t="shared" ca="1" si="310"/>
        <v>Irán</v>
      </c>
      <c r="AM107" s="290">
        <f t="shared" ref="AM107:AT107" ca="1" si="322">+IF($H$113&gt;=48,INDEX($BE$58:$BN$69,MATCH($AL107,$BD$58:$BD$69,0),MATCH(AM$5,$BE$57:$BN$57,0)),$BB63)</f>
        <v>3</v>
      </c>
      <c r="AN107" s="291">
        <f t="shared" ca="1" si="322"/>
        <v>3</v>
      </c>
      <c r="AO107" s="291">
        <f t="shared" ca="1" si="322"/>
        <v>0</v>
      </c>
      <c r="AP107" s="291">
        <f t="shared" ca="1" si="322"/>
        <v>3</v>
      </c>
      <c r="AQ107" s="291">
        <f t="shared" ca="1" si="322"/>
        <v>0</v>
      </c>
      <c r="AR107" s="291">
        <f t="shared" ca="1" si="322"/>
        <v>3</v>
      </c>
      <c r="AS107" s="291">
        <f t="shared" ca="1" si="322"/>
        <v>3</v>
      </c>
      <c r="AT107" s="292">
        <f t="shared" ca="1" si="322"/>
        <v>0</v>
      </c>
      <c r="AU107" s="420" t="str">
        <f t="shared" ca="1" si="312"/>
        <v/>
      </c>
      <c r="AV107" s="217" t="str">
        <f ca="1">INDEX($BD$58:$BD$69,MATCH(AI107,$BM$58:$BM$69,0))</f>
        <v>Irán</v>
      </c>
      <c r="AW107" s="427"/>
      <c r="AX107" s="288"/>
      <c r="AY107" s="293"/>
      <c r="AZ107" s="294" t="str">
        <f t="shared" ca="1" si="315"/>
        <v>1G - 3A</v>
      </c>
      <c r="BA107" s="175"/>
      <c r="BB107" s="738"/>
      <c r="BC107" s="744"/>
      <c r="BD107" s="738"/>
      <c r="BE107" s="744"/>
      <c r="BF107" s="738" t="str">
        <f t="shared" ca="1" si="316"/>
        <v>I</v>
      </c>
      <c r="BG107" s="738">
        <f t="shared" ca="1" si="317"/>
        <v>7</v>
      </c>
      <c r="BH107" s="738"/>
      <c r="BI107" s="738">
        <v>5</v>
      </c>
      <c r="BJ107" s="738" t="str">
        <f t="shared" ca="1" si="318"/>
        <v>F</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México-3CEFHI</v>
      </c>
      <c r="DU107" s="738"/>
      <c r="DV107" s="738"/>
      <c r="DW107" s="11"/>
    </row>
    <row r="108" spans="1:127" ht="16.149999999999999" customHeight="1" x14ac:dyDescent="0.2">
      <c r="A108" s="738" t="s">
        <v>682</v>
      </c>
      <c r="B108" s="738" t="s">
        <v>725</v>
      </c>
      <c r="C108" s="739"/>
      <c r="D108" s="747" t="str">
        <f t="shared" ca="1" si="302"/>
        <v>W80</v>
      </c>
      <c r="E108" s="739" t="s">
        <v>238</v>
      </c>
      <c r="F108" s="739" t="s">
        <v>721</v>
      </c>
      <c r="G108" s="748" t="s">
        <v>437</v>
      </c>
      <c r="H108" s="749">
        <f t="shared" ca="1" si="303"/>
        <v>12</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39"/>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ca="1" si="307"/>
        <v>0</v>
      </c>
      <c r="AH108" s="196">
        <v>80</v>
      </c>
      <c r="AI108" s="217">
        <v>7</v>
      </c>
      <c r="AJ108" s="221">
        <v>7</v>
      </c>
      <c r="AK108" s="486" t="e" cm="1" vm="46">
        <f t="array" aca="1" ref="AK108" ca="1">Ver_flag_visit</f>
        <v>#VALUE!</v>
      </c>
      <c r="AL108" s="289" t="str">
        <f t="shared" ca="1" si="310"/>
        <v>Croacia</v>
      </c>
      <c r="AM108" s="290">
        <f t="shared" ref="AM108:AT108" ca="1" si="323">+IF($H$113&gt;=48,INDEX($BE$58:$BN$69,MATCH($AL108,$BD$58:$BD$69,0),MATCH(AM$5,$BE$57:$BN$57,0)),$BB64)</f>
        <v>3</v>
      </c>
      <c r="AN108" s="291">
        <f t="shared" ca="1" si="323"/>
        <v>2</v>
      </c>
      <c r="AO108" s="291">
        <f t="shared" ca="1" si="323"/>
        <v>1</v>
      </c>
      <c r="AP108" s="291">
        <f t="shared" ca="1" si="323"/>
        <v>0</v>
      </c>
      <c r="AQ108" s="291">
        <f t="shared" ca="1" si="323"/>
        <v>1</v>
      </c>
      <c r="AR108" s="291">
        <f t="shared" ca="1" si="323"/>
        <v>3</v>
      </c>
      <c r="AS108" s="291">
        <f t="shared" ca="1" si="323"/>
        <v>4</v>
      </c>
      <c r="AT108" s="292">
        <f t="shared" ca="1" si="323"/>
        <v>-1</v>
      </c>
      <c r="AU108" s="420" t="str">
        <f t="shared" ca="1" si="312"/>
        <v/>
      </c>
      <c r="AV108" s="217" t="str">
        <f t="shared" ca="1" si="313"/>
        <v>Croacia</v>
      </c>
      <c r="AW108" s="427"/>
      <c r="AX108" s="288"/>
      <c r="AY108" s="293"/>
      <c r="AZ108" s="294" t="str">
        <f t="shared" ca="1" si="315"/>
        <v>1I - 3F</v>
      </c>
      <c r="BA108" s="175"/>
      <c r="BB108" s="738"/>
      <c r="BC108" s="738"/>
      <c r="BD108" s="738"/>
      <c r="BE108" s="744"/>
      <c r="BF108" s="738" t="str">
        <f t="shared" ca="1" si="316"/>
        <v>G</v>
      </c>
      <c r="BG108" s="738">
        <f t="shared" ca="1" si="317"/>
        <v>6</v>
      </c>
      <c r="BH108" s="738"/>
      <c r="BI108" s="738">
        <v>6</v>
      </c>
      <c r="BJ108" s="738" t="str">
        <f t="shared" ca="1" si="318"/>
        <v>G</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149999999999999" customHeight="1" x14ac:dyDescent="0.2">
      <c r="A109" s="738" t="s">
        <v>658</v>
      </c>
      <c r="B109" s="738" t="s">
        <v>726</v>
      </c>
      <c r="C109" s="739"/>
      <c r="D109" s="747" t="str">
        <f t="shared" ca="1" si="302"/>
        <v>W82</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39"/>
      <c r="X109" s="189">
        <f ca="1">Horarios!C109</f>
        <v>46204.916666666664</v>
      </c>
      <c r="Y109" s="190">
        <f ca="1">Horarios!C109</f>
        <v>46204.916666666664</v>
      </c>
      <c r="Z109" s="276">
        <f t="shared" si="309"/>
        <v>82</v>
      </c>
      <c r="AA109" s="277" t="str">
        <f t="shared" ca="1" si="305"/>
        <v>Bélgica</v>
      </c>
      <c r="AB109" s="278"/>
      <c r="AC109" s="281"/>
      <c r="AD109" s="281"/>
      <c r="AE109" s="278"/>
      <c r="AF109" s="280" t="str">
        <f t="shared" ca="1" si="306"/>
        <v>3AEHIJ</v>
      </c>
      <c r="AG109" s="417">
        <f t="shared" ca="1" si="307"/>
        <v>0</v>
      </c>
      <c r="AH109" s="196">
        <v>82</v>
      </c>
      <c r="AI109" s="217">
        <v>8</v>
      </c>
      <c r="AJ109" s="221">
        <v>8</v>
      </c>
      <c r="AK109" s="486" t="e" cm="1" vm="3">
        <f t="array" aca="1" ref="AK109" ca="1">Ver_flag_visit</f>
        <v>#VALUE!</v>
      </c>
      <c r="AL109" s="289" t="str">
        <f t="shared" ca="1" si="310"/>
        <v>Corea del Sur</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2</v>
      </c>
      <c r="AS109" s="291">
        <f t="shared" ca="1" si="324"/>
        <v>3</v>
      </c>
      <c r="AT109" s="292">
        <f t="shared" ca="1" si="324"/>
        <v>-1</v>
      </c>
      <c r="AU109" s="420" t="str">
        <f t="shared" ca="1" si="312"/>
        <v/>
      </c>
      <c r="AV109" s="217" t="str">
        <f t="shared" ca="1" si="313"/>
        <v>Corea del Sur</v>
      </c>
      <c r="AW109" s="427"/>
      <c r="AX109" s="288"/>
      <c r="AY109" s="293"/>
      <c r="AZ109" s="294" t="str">
        <f t="shared" ca="1" si="315"/>
        <v>1K - 3L</v>
      </c>
      <c r="BA109" s="175"/>
      <c r="BB109" s="738"/>
      <c r="BC109" s="738"/>
      <c r="BD109" s="738"/>
      <c r="BE109" s="744"/>
      <c r="BF109" s="738" t="str">
        <f t="shared" ca="1" si="316"/>
        <v>L</v>
      </c>
      <c r="BG109" s="738">
        <f t="shared" ca="1" si="317"/>
        <v>8</v>
      </c>
      <c r="BH109" s="738"/>
      <c r="BI109" s="738">
        <v>7</v>
      </c>
      <c r="BJ109" s="738" t="str">
        <f t="shared" ca="1" si="318"/>
        <v>I</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Bélgica-3AEHIJ</v>
      </c>
      <c r="DU109" s="738"/>
      <c r="DV109" s="738"/>
      <c r="DW109" s="11"/>
    </row>
    <row r="110" spans="1:127" ht="16.149999999999999" customHeight="1" x14ac:dyDescent="0.2">
      <c r="A110" s="738" t="s">
        <v>667</v>
      </c>
      <c r="B110" s="738" t="s">
        <v>727</v>
      </c>
      <c r="C110" s="739"/>
      <c r="D110" s="747" t="str">
        <f t="shared" ca="1" si="302"/>
        <v>W81</v>
      </c>
      <c r="E110" s="739" t="s">
        <v>6</v>
      </c>
      <c r="F110" s="739" t="s">
        <v>721</v>
      </c>
      <c r="G110" s="748" t="s">
        <v>5</v>
      </c>
      <c r="H110" s="749">
        <f t="shared" ca="1" si="303"/>
        <v>8</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39"/>
      <c r="X110" s="189">
        <f ca="1">Horarios!C110</f>
        <v>46205.083333333336</v>
      </c>
      <c r="Y110" s="190">
        <f ca="1">Horarios!C110</f>
        <v>46205.083333333336</v>
      </c>
      <c r="Z110" s="276">
        <f t="shared" si="309"/>
        <v>81</v>
      </c>
      <c r="AA110" s="277" t="str">
        <f t="shared" ca="1" si="305"/>
        <v>Estados Unidos</v>
      </c>
      <c r="AB110" s="278"/>
      <c r="AC110" s="281"/>
      <c r="AD110" s="281"/>
      <c r="AE110" s="278"/>
      <c r="AF110" s="280" t="str">
        <f t="shared" ca="1" si="306"/>
        <v>3BEFIJ</v>
      </c>
      <c r="AG110" s="417">
        <f t="shared" ca="1" si="307"/>
        <v>0</v>
      </c>
      <c r="AH110" s="196">
        <v>81</v>
      </c>
      <c r="AI110" s="217">
        <v>9</v>
      </c>
      <c r="AJ110" s="221">
        <v>9</v>
      </c>
      <c r="AK110" s="486" t="e" cm="1" vm="38">
        <f t="array" aca="1" ref="AK110" ca="1">Ver_flag_visit</f>
        <v>#VALUE!</v>
      </c>
      <c r="AL110" s="289" t="str">
        <f t="shared" ca="1" si="310"/>
        <v>Argelia</v>
      </c>
      <c r="AM110" s="290">
        <f t="shared" ref="AM110:AT110" ca="1" si="325">+IF($H$113&gt;=48,INDEX($BE$58:$BN$69,MATCH($AL110,$BD$58:$BD$69,0),MATCH(AM$5,$BE$57:$BN$57,0)),$BB66)</f>
        <v>3</v>
      </c>
      <c r="AN110" s="291">
        <f t="shared" ca="1" si="325"/>
        <v>2</v>
      </c>
      <c r="AO110" s="291">
        <f t="shared" ca="1" si="325"/>
        <v>1</v>
      </c>
      <c r="AP110" s="291">
        <f t="shared" ca="1" si="325"/>
        <v>0</v>
      </c>
      <c r="AQ110" s="291">
        <f t="shared" ca="1" si="325"/>
        <v>1</v>
      </c>
      <c r="AR110" s="291">
        <f t="shared" ca="1" si="325"/>
        <v>2</v>
      </c>
      <c r="AS110" s="291">
        <f t="shared" ca="1" si="325"/>
        <v>4</v>
      </c>
      <c r="AT110" s="292">
        <f t="shared" ca="1" si="325"/>
        <v>-2</v>
      </c>
      <c r="AU110" s="420" t="str">
        <f t="shared" ca="1" si="312"/>
        <v/>
      </c>
      <c r="AV110" s="217" t="str">
        <f t="shared" ca="1" si="313"/>
        <v>Argelia</v>
      </c>
      <c r="AW110" s="427"/>
      <c r="AX110" s="288"/>
      <c r="AY110" s="293"/>
      <c r="AZ110" s="294" t="str">
        <f t="shared" ca="1" si="315"/>
        <v>1L - 3I</v>
      </c>
      <c r="BA110" s="175"/>
      <c r="BB110" s="738"/>
      <c r="BC110" s="738"/>
      <c r="BD110" s="738"/>
      <c r="BE110" s="744"/>
      <c r="BF110" s="738" t="str">
        <f t="shared" ca="1" si="316"/>
        <v>A</v>
      </c>
      <c r="BG110" s="738">
        <f t="shared" ca="1" si="317"/>
        <v>1</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Unidos-3BEFIJ</v>
      </c>
      <c r="DU110" s="738"/>
      <c r="DV110" s="738"/>
      <c r="DW110" s="11"/>
    </row>
    <row r="111" spans="1:127" ht="16.149999999999999" customHeight="1" x14ac:dyDescent="0.2">
      <c r="A111" s="738" t="s">
        <v>680</v>
      </c>
      <c r="B111" s="738" t="s">
        <v>683</v>
      </c>
      <c r="C111" s="739"/>
      <c r="D111" s="747" t="str">
        <f t="shared" ca="1" si="302"/>
        <v>W84</v>
      </c>
      <c r="E111" s="739" t="s">
        <v>439</v>
      </c>
      <c r="F111" s="739" t="s">
        <v>238</v>
      </c>
      <c r="G111" s="748" t="s">
        <v>439</v>
      </c>
      <c r="H111" s="749">
        <f t="shared" ca="1" si="303"/>
        <v>8</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39"/>
      <c r="X111" s="189">
        <f ca="1">Horarios!C111</f>
        <v>46205.875</v>
      </c>
      <c r="Y111" s="190">
        <f ca="1">Horarios!C111</f>
        <v>46205.875</v>
      </c>
      <c r="Z111" s="276">
        <f t="shared" si="309"/>
        <v>84</v>
      </c>
      <c r="AA111" s="277" t="str">
        <f t="shared" ca="1" si="305"/>
        <v>España</v>
      </c>
      <c r="AB111" s="278"/>
      <c r="AC111" s="281"/>
      <c r="AD111" s="281"/>
      <c r="AE111" s="278"/>
      <c r="AF111" s="280" t="str">
        <f t="shared" ca="1" si="306"/>
        <v>2J</v>
      </c>
      <c r="AG111" s="417">
        <f t="shared" ca="1" si="307"/>
        <v>0</v>
      </c>
      <c r="AH111" s="196">
        <v>84</v>
      </c>
      <c r="AI111" s="217">
        <v>10</v>
      </c>
      <c r="AJ111" s="221">
        <v>10</v>
      </c>
      <c r="AK111" s="486" t="e" cm="1" vm="12">
        <f t="array" aca="1" ref="AK111" ca="1">Ver_flag_visit</f>
        <v>#VALUE!</v>
      </c>
      <c r="AL111" s="289" t="str">
        <f t="shared" ca="1" si="310"/>
        <v>Escocia</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1</v>
      </c>
      <c r="AS111" s="291">
        <f t="shared" ca="1" si="326"/>
        <v>4</v>
      </c>
      <c r="AT111" s="292">
        <f t="shared" ca="1" si="326"/>
        <v>-3</v>
      </c>
      <c r="AU111" s="420" t="str">
        <f t="shared" ca="1" si="312"/>
        <v/>
      </c>
      <c r="AV111" s="217" t="str">
        <f t="shared" ca="1" si="313"/>
        <v>Escocia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España-2J</v>
      </c>
      <c r="DU111" s="738"/>
      <c r="DV111" s="738"/>
      <c r="DW111" s="11"/>
    </row>
    <row r="112" spans="1:127" ht="16.149999999999999" customHeight="1" x14ac:dyDescent="0.2">
      <c r="A112" s="738" t="s">
        <v>670</v>
      </c>
      <c r="B112" s="738" t="s">
        <v>677</v>
      </c>
      <c r="C112" s="739"/>
      <c r="D112" s="747" t="str">
        <f t="shared" ca="1" si="302"/>
        <v>W83</v>
      </c>
      <c r="E112" s="739" t="s">
        <v>437</v>
      </c>
      <c r="F112" s="739" t="s">
        <v>5</v>
      </c>
      <c r="G112" s="748" t="s">
        <v>238</v>
      </c>
      <c r="H112" s="749">
        <f t="shared" ca="1" si="303"/>
        <v>8</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39"/>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ca="1" si="307"/>
        <v>0</v>
      </c>
      <c r="AH112" s="196">
        <v>83</v>
      </c>
      <c r="AI112" s="217">
        <v>11</v>
      </c>
      <c r="AJ112" s="221">
        <v>11</v>
      </c>
      <c r="AK112" s="486" t="e" cm="1" vm="32">
        <f t="array" aca="1" ref="AK112" ca="1">Ver_flag_visit</f>
        <v>#VALUE!</v>
      </c>
      <c r="AL112" s="289" t="str">
        <f t="shared" ca="1" si="310"/>
        <v>Uruguay</v>
      </c>
      <c r="AM112" s="290">
        <f t="shared" ref="AM112:AT112" ca="1" si="327">+IF($H$113&gt;=48,INDEX($BE$58:$BN$69,MATCH($AL112,$BD$58:$BD$69,0),MATCH(AM$5,$BE$57:$BN$57,0)),$BB68)</f>
        <v>2</v>
      </c>
      <c r="AN112" s="291">
        <f t="shared" ca="1" si="327"/>
        <v>3</v>
      </c>
      <c r="AO112" s="291">
        <f t="shared" ca="1" si="327"/>
        <v>0</v>
      </c>
      <c r="AP112" s="291">
        <f t="shared" ca="1" si="327"/>
        <v>2</v>
      </c>
      <c r="AQ112" s="291">
        <f t="shared" ca="1" si="327"/>
        <v>1</v>
      </c>
      <c r="AR112" s="291">
        <f t="shared" ca="1" si="327"/>
        <v>3</v>
      </c>
      <c r="AS112" s="291">
        <f t="shared" ca="1" si="327"/>
        <v>4</v>
      </c>
      <c r="AT112" s="292">
        <f t="shared" ca="1" si="327"/>
        <v>-1</v>
      </c>
      <c r="AU112" s="420" t="str">
        <f t="shared" ca="1" si="312"/>
        <v/>
      </c>
      <c r="AV112" s="217" t="str">
        <f t="shared" ca="1" si="313"/>
        <v>Uruguay</v>
      </c>
      <c r="AW112" s="427"/>
      <c r="AX112" s="288"/>
      <c r="AY112" s="295"/>
      <c r="AZ112" s="295"/>
      <c r="BA112" s="175"/>
      <c r="BB112" s="738"/>
      <c r="BC112" s="738"/>
      <c r="BD112" s="746"/>
      <c r="BE112" s="738"/>
      <c r="BF112" s="738"/>
      <c r="BG112" s="738"/>
      <c r="BH112" s="738"/>
      <c r="BI112" s="738" t="str">
        <f ca="1">IFERROR(CONCATENATE(BJ103,BJ104,BJ105,BJ106,BJ107,BJ108,BJ109,BJ110),"¿A/B/C/D/E/F/G/H/I/J/K/L?")</f>
        <v>ABDEFGIL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149999999999999" customHeight="1" thickBot="1" x14ac:dyDescent="0.25">
      <c r="A113" s="738" t="s">
        <v>648</v>
      </c>
      <c r="B113" s="738" t="s">
        <v>728</v>
      </c>
      <c r="C113" s="739"/>
      <c r="D113" s="747" t="str">
        <f t="shared" ca="1" si="302"/>
        <v>W85</v>
      </c>
      <c r="E113" s="739" t="s">
        <v>1</v>
      </c>
      <c r="F113" s="739" t="s">
        <v>721</v>
      </c>
      <c r="G113" s="748" t="s">
        <v>721</v>
      </c>
      <c r="H113" s="749">
        <f ca="1">+IF(AJ99&lt;&gt;144,SUM(H101:H112),AJ99)</f>
        <v>132</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39"/>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3EFGIJ</v>
      </c>
      <c r="AG113" s="417">
        <f t="shared" ca="1" si="307"/>
        <v>0</v>
      </c>
      <c r="AH113" s="196">
        <v>85</v>
      </c>
      <c r="AI113" s="217">
        <v>12</v>
      </c>
      <c r="AJ113" s="235">
        <v>12</v>
      </c>
      <c r="AK113" s="487" t="e" cm="1" vm="42">
        <f t="array" aca="1" ref="AK113" ca="1">Ver_flag_visit</f>
        <v>#VALUE!</v>
      </c>
      <c r="AL113" s="236" t="str">
        <f t="shared" ca="1" si="310"/>
        <v>RD Congo</v>
      </c>
      <c r="AM113" s="237">
        <f t="shared" ref="AM113:AT113" ca="1" si="328">+IF($H$113&gt;=48,INDEX($BE$58:$BN$69,MATCH($AL113,$BD$58:$BD$69,0),MATCH(AM$5,$BE$57:$BN$57,0)),$BB69)</f>
        <v>1</v>
      </c>
      <c r="AN113" s="238">
        <f t="shared" ca="1" si="328"/>
        <v>2</v>
      </c>
      <c r="AO113" s="238">
        <f t="shared" ca="1" si="328"/>
        <v>0</v>
      </c>
      <c r="AP113" s="238">
        <f t="shared" ca="1" si="328"/>
        <v>1</v>
      </c>
      <c r="AQ113" s="238">
        <f t="shared" ca="1" si="328"/>
        <v>1</v>
      </c>
      <c r="AR113" s="238">
        <f t="shared" ca="1" si="328"/>
        <v>1</v>
      </c>
      <c r="AS113" s="238">
        <f t="shared" ca="1" si="328"/>
        <v>2</v>
      </c>
      <c r="AT113" s="239">
        <f t="shared" ca="1" si="328"/>
        <v>-1</v>
      </c>
      <c r="AU113" s="420" t="str">
        <f t="shared" ca="1" si="312"/>
        <v/>
      </c>
      <c r="AV113" s="217" t="str">
        <f t="shared" ca="1" si="313"/>
        <v>RD Congo</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Suiza-3EFGIJ</v>
      </c>
      <c r="DU113" s="738"/>
      <c r="DV113" s="738"/>
      <c r="DW113" s="11"/>
    </row>
    <row r="114" spans="1:127" ht="16.149999999999999" customHeight="1" x14ac:dyDescent="0.2">
      <c r="A114" s="738" t="s">
        <v>676</v>
      </c>
      <c r="B114" s="738" t="s">
        <v>671</v>
      </c>
      <c r="C114" s="739"/>
      <c r="D114" s="747" t="str">
        <f t="shared" ca="1"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39"/>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Egipto</v>
      </c>
      <c r="AG114" s="417">
        <f t="shared" ca="1"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149999999999999" customHeight="1" x14ac:dyDescent="0.2">
      <c r="A115" s="738" t="s">
        <v>679</v>
      </c>
      <c r="B115" s="738" t="s">
        <v>729</v>
      </c>
      <c r="C115" s="739"/>
      <c r="D115" s="747" t="str">
        <f t="shared" ca="1"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39"/>
      <c r="X115" s="189">
        <f ca="1">Horarios!C115</f>
        <v>46207</v>
      </c>
      <c r="Y115" s="190">
        <f ca="1">Horarios!C115</f>
        <v>46207</v>
      </c>
      <c r="Z115" s="276">
        <f t="shared" si="309"/>
        <v>86</v>
      </c>
      <c r="AA115" s="277" t="str">
        <f t="shared" ca="1" si="305"/>
        <v>1J</v>
      </c>
      <c r="AB115" s="278"/>
      <c r="AC115" s="281"/>
      <c r="AD115" s="281"/>
      <c r="AE115" s="278"/>
      <c r="AF115" s="280" t="str">
        <f t="shared" ca="1" si="306"/>
        <v>Cabo Verde</v>
      </c>
      <c r="AG115" s="417">
        <f t="shared" ca="1"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1J-Cabo Verde</v>
      </c>
      <c r="DU115" s="744"/>
      <c r="DV115" s="744"/>
      <c r="DW115" s="8"/>
    </row>
    <row r="116" spans="1:127" ht="16.149999999999999" customHeight="1" thickBot="1" x14ac:dyDescent="0.25">
      <c r="A116" s="738" t="s">
        <v>659</v>
      </c>
      <c r="B116" s="738" t="s">
        <v>668</v>
      </c>
      <c r="C116" s="739"/>
      <c r="D116" s="747" t="str">
        <f t="shared" ca="1" si="302"/>
        <v>W87</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40"/>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ca="1"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149999999999999" customHeight="1" thickBot="1" x14ac:dyDescent="0.25">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149999999999999" customHeight="1" thickBot="1" x14ac:dyDescent="0.25">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3G</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149999999999999" customHeight="1" x14ac:dyDescent="0.2">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149999999999999" customHeight="1" x14ac:dyDescent="0.2">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W74</v>
      </c>
      <c r="N120" s="744" t="str">
        <f t="shared" ca="1" si="330"/>
        <v>W77</v>
      </c>
      <c r="O120" s="744"/>
      <c r="P120" s="744"/>
      <c r="Q120" s="744"/>
      <c r="R120" s="744"/>
      <c r="S120" s="744"/>
      <c r="T120" s="744"/>
      <c r="U120" s="744"/>
      <c r="V120" s="172"/>
      <c r="W120" s="841" t="s">
        <v>88</v>
      </c>
      <c r="X120" s="189">
        <f ca="1">Horarios!C120</f>
        <v>46207.791666666664</v>
      </c>
      <c r="Y120" s="190">
        <f ca="1">Horarios!C120</f>
        <v>46207.791666666664</v>
      </c>
      <c r="Z120" s="276">
        <f t="shared" ref="Z120:Z127" si="331">AH120</f>
        <v>90</v>
      </c>
      <c r="AA120" s="277" t="str">
        <f t="shared" ref="AA120:AA127" ca="1" si="332">+INDEX($M$101:$M$147,MATCH(AH120,$J$101:$J$147,0))</f>
        <v>W73</v>
      </c>
      <c r="AB120" s="278"/>
      <c r="AC120" s="305"/>
      <c r="AD120" s="305"/>
      <c r="AE120" s="278"/>
      <c r="AF120" s="280" t="str">
        <f t="shared" ref="AF120:AF127" ca="1" si="333">+INDEX($N$101:$N$147,MATCH(AH120,$J$101:$J$147,0))</f>
        <v>W75</v>
      </c>
      <c r="AG120" s="417">
        <f t="shared" ref="AG120:AG127" ca="1"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W73-W75</v>
      </c>
      <c r="DU120" s="744"/>
      <c r="DV120" s="744"/>
      <c r="DW120" s="8"/>
    </row>
    <row r="121" spans="1:127" ht="16.149999999999999" customHeight="1" x14ac:dyDescent="0.2">
      <c r="A121" s="738" t="s">
        <v>732</v>
      </c>
      <c r="B121" s="738" t="s">
        <v>733</v>
      </c>
      <c r="C121" s="739"/>
      <c r="D121" s="747" t="str">
        <f t="shared" ca="1" si="329"/>
        <v>W89</v>
      </c>
      <c r="E121" s="744">
        <v>73</v>
      </c>
      <c r="F121" s="744">
        <v>75</v>
      </c>
      <c r="G121" s="744"/>
      <c r="H121" s="744"/>
      <c r="I121" s="744"/>
      <c r="J121" s="738">
        <v>90</v>
      </c>
      <c r="K121" s="738">
        <v>46207.875</v>
      </c>
      <c r="L121" s="738" t="s">
        <v>702</v>
      </c>
      <c r="M121" s="744" t="str">
        <f t="shared" ca="1" si="330"/>
        <v>W73</v>
      </c>
      <c r="N121" s="744" t="str">
        <f t="shared" ca="1" si="330"/>
        <v>W75</v>
      </c>
      <c r="O121" s="744"/>
      <c r="P121" s="744"/>
      <c r="Q121" s="744"/>
      <c r="R121" s="744"/>
      <c r="S121" s="744"/>
      <c r="T121" s="744"/>
      <c r="U121" s="744"/>
      <c r="V121" s="172"/>
      <c r="W121" s="841"/>
      <c r="X121" s="189">
        <f ca="1">Horarios!C121</f>
        <v>46207.958333333336</v>
      </c>
      <c r="Y121" s="190">
        <f ca="1">Horarios!C121</f>
        <v>46207.958333333336</v>
      </c>
      <c r="Z121" s="276">
        <f t="shared" si="331"/>
        <v>89</v>
      </c>
      <c r="AA121" s="277" t="str">
        <f t="shared" ca="1" si="332"/>
        <v>W74</v>
      </c>
      <c r="AB121" s="278"/>
      <c r="AC121" s="307"/>
      <c r="AD121" s="307"/>
      <c r="AE121" s="278"/>
      <c r="AF121" s="280" t="str">
        <f t="shared" ca="1" si="333"/>
        <v>W77</v>
      </c>
      <c r="AG121" s="417">
        <f t="shared" ca="1"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W74-W77</v>
      </c>
      <c r="DU121" s="744"/>
      <c r="DV121" s="744"/>
      <c r="DW121" s="8"/>
    </row>
    <row r="122" spans="1:127" ht="16.149999999999999" customHeight="1" x14ac:dyDescent="0.2">
      <c r="A122" s="738" t="s">
        <v>734</v>
      </c>
      <c r="B122" s="738" t="s">
        <v>735</v>
      </c>
      <c r="C122" s="739"/>
      <c r="D122" s="747" t="str">
        <f t="shared" ca="1" si="329"/>
        <v>W91</v>
      </c>
      <c r="E122" s="744">
        <v>76</v>
      </c>
      <c r="F122" s="744">
        <v>78</v>
      </c>
      <c r="G122" s="744"/>
      <c r="H122" s="744"/>
      <c r="I122" s="744"/>
      <c r="J122" s="738">
        <v>91</v>
      </c>
      <c r="K122" s="738">
        <v>46208.75</v>
      </c>
      <c r="L122" s="738" t="s">
        <v>703</v>
      </c>
      <c r="M122" s="744" t="str">
        <f t="shared" ca="1" si="330"/>
        <v>W76</v>
      </c>
      <c r="N122" s="744" t="str">
        <f t="shared" ca="1" si="330"/>
        <v>W78</v>
      </c>
      <c r="O122" s="744"/>
      <c r="P122" s="744"/>
      <c r="Q122" s="744"/>
      <c r="R122" s="744"/>
      <c r="S122" s="744"/>
      <c r="T122" s="744"/>
      <c r="U122" s="744"/>
      <c r="V122" s="172"/>
      <c r="W122" s="841"/>
      <c r="X122" s="189">
        <f ca="1">Horarios!C122</f>
        <v>46208.916666666664</v>
      </c>
      <c r="Y122" s="190">
        <f ca="1">Horarios!C122</f>
        <v>46208.916666666664</v>
      </c>
      <c r="Z122" s="276">
        <f t="shared" si="331"/>
        <v>91</v>
      </c>
      <c r="AA122" s="277" t="str">
        <f t="shared" ca="1" si="332"/>
        <v>W76</v>
      </c>
      <c r="AB122" s="278"/>
      <c r="AC122" s="307"/>
      <c r="AD122" s="307"/>
      <c r="AE122" s="278"/>
      <c r="AF122" s="280" t="str">
        <f t="shared" ca="1" si="333"/>
        <v>W78</v>
      </c>
      <c r="AG122" s="417">
        <f t="shared" ca="1"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W76-W78</v>
      </c>
      <c r="DU122" s="744"/>
      <c r="DV122" s="744"/>
      <c r="DW122" s="8"/>
    </row>
    <row r="123" spans="1:127" ht="16.149999999999999" customHeight="1" x14ac:dyDescent="0.2">
      <c r="A123" s="738" t="s">
        <v>736</v>
      </c>
      <c r="B123" s="738" t="s">
        <v>737</v>
      </c>
      <c r="C123" s="739"/>
      <c r="D123" s="747" t="str">
        <f t="shared" ca="1" si="329"/>
        <v>W92</v>
      </c>
      <c r="E123" s="744">
        <v>79</v>
      </c>
      <c r="F123" s="744">
        <v>80</v>
      </c>
      <c r="G123" s="744"/>
      <c r="H123" s="744"/>
      <c r="I123" s="744"/>
      <c r="J123" s="738">
        <v>92</v>
      </c>
      <c r="K123" s="738">
        <v>46208.875</v>
      </c>
      <c r="L123" s="738" t="s">
        <v>704</v>
      </c>
      <c r="M123" s="744" t="str">
        <f t="shared" ca="1" si="330"/>
        <v>W79</v>
      </c>
      <c r="N123" s="744" t="str">
        <f t="shared" ca="1" si="330"/>
        <v>W80</v>
      </c>
      <c r="O123" s="744"/>
      <c r="P123" s="744"/>
      <c r="Q123" s="744"/>
      <c r="R123" s="744"/>
      <c r="S123" s="744"/>
      <c r="T123" s="744"/>
      <c r="U123" s="744"/>
      <c r="V123" s="172"/>
      <c r="W123" s="841"/>
      <c r="X123" s="189">
        <f ca="1">Horarios!C123</f>
        <v>46209.083333333336</v>
      </c>
      <c r="Y123" s="190">
        <f ca="1">Horarios!C123</f>
        <v>46209.083333333336</v>
      </c>
      <c r="Z123" s="276">
        <f t="shared" si="331"/>
        <v>92</v>
      </c>
      <c r="AA123" s="277" t="str">
        <f t="shared" ca="1" si="332"/>
        <v>W79</v>
      </c>
      <c r="AB123" s="278"/>
      <c r="AC123" s="307"/>
      <c r="AD123" s="307"/>
      <c r="AE123" s="278"/>
      <c r="AF123" s="280" t="str">
        <f t="shared" ca="1" si="333"/>
        <v>W80</v>
      </c>
      <c r="AG123" s="417">
        <f t="shared" ca="1"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W79-W80</v>
      </c>
      <c r="DU123" s="744"/>
      <c r="DV123" s="744"/>
      <c r="DW123" s="8"/>
    </row>
    <row r="124" spans="1:127" ht="16.149999999999999" customHeight="1" x14ac:dyDescent="0.2">
      <c r="A124" s="738" t="s">
        <v>738</v>
      </c>
      <c r="B124" s="738" t="s">
        <v>739</v>
      </c>
      <c r="C124" s="739"/>
      <c r="D124" s="747" t="str">
        <f t="shared" ca="1" si="329"/>
        <v>W93</v>
      </c>
      <c r="E124" s="744">
        <v>83</v>
      </c>
      <c r="F124" s="744">
        <v>84</v>
      </c>
      <c r="G124" s="744"/>
      <c r="H124" s="744"/>
      <c r="I124" s="744"/>
      <c r="J124" s="738">
        <v>93</v>
      </c>
      <c r="K124" s="738">
        <v>46209.75</v>
      </c>
      <c r="L124" s="738" t="s">
        <v>705</v>
      </c>
      <c r="M124" s="744" t="str">
        <f t="shared" ca="1" si="330"/>
        <v>W83</v>
      </c>
      <c r="N124" s="744" t="str">
        <f t="shared" ca="1" si="330"/>
        <v>W84</v>
      </c>
      <c r="O124" s="744"/>
      <c r="P124" s="744"/>
      <c r="Q124" s="744"/>
      <c r="R124" s="744"/>
      <c r="S124" s="744"/>
      <c r="T124" s="744"/>
      <c r="U124" s="744"/>
      <c r="V124" s="172"/>
      <c r="W124" s="841"/>
      <c r="X124" s="189">
        <f ca="1">Horarios!C124</f>
        <v>46209.875</v>
      </c>
      <c r="Y124" s="190">
        <f ca="1">Horarios!C124</f>
        <v>46209.875</v>
      </c>
      <c r="Z124" s="276">
        <f t="shared" si="331"/>
        <v>93</v>
      </c>
      <c r="AA124" s="277" t="str">
        <f t="shared" ca="1" si="332"/>
        <v>W83</v>
      </c>
      <c r="AB124" s="308"/>
      <c r="AC124" s="307"/>
      <c r="AD124" s="307"/>
      <c r="AE124" s="279"/>
      <c r="AF124" s="280" t="str">
        <f t="shared" ca="1" si="333"/>
        <v>W84</v>
      </c>
      <c r="AG124" s="417">
        <f t="shared" ca="1"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3I</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W83-W84</v>
      </c>
      <c r="DU124" s="744"/>
      <c r="DV124" s="744"/>
      <c r="DW124" s="8"/>
    </row>
    <row r="125" spans="1:127" ht="16.149999999999999" customHeight="1" x14ac:dyDescent="0.2">
      <c r="A125" s="738" t="s">
        <v>740</v>
      </c>
      <c r="B125" s="738" t="s">
        <v>741</v>
      </c>
      <c r="C125" s="739"/>
      <c r="D125" s="747" t="str">
        <f t="shared" ca="1" si="329"/>
        <v>W94</v>
      </c>
      <c r="E125" s="744">
        <v>81</v>
      </c>
      <c r="F125" s="744">
        <v>82</v>
      </c>
      <c r="G125" s="744"/>
      <c r="H125" s="744"/>
      <c r="I125" s="744"/>
      <c r="J125" s="738">
        <v>94</v>
      </c>
      <c r="K125" s="738">
        <v>46209.875</v>
      </c>
      <c r="L125" s="738" t="s">
        <v>706</v>
      </c>
      <c r="M125" s="744" t="str">
        <f t="shared" ca="1" si="330"/>
        <v>W81</v>
      </c>
      <c r="N125" s="744" t="str">
        <f t="shared" ca="1" si="330"/>
        <v>W82</v>
      </c>
      <c r="O125" s="744"/>
      <c r="P125" s="744"/>
      <c r="Q125" s="744"/>
      <c r="R125" s="744"/>
      <c r="S125" s="744"/>
      <c r="T125" s="744"/>
      <c r="U125" s="744"/>
      <c r="V125" s="172"/>
      <c r="W125" s="841"/>
      <c r="X125" s="189">
        <f ca="1">Horarios!C125</f>
        <v>46210.083333333336</v>
      </c>
      <c r="Y125" s="190">
        <f ca="1">Horarios!C125</f>
        <v>46210.083333333336</v>
      </c>
      <c r="Z125" s="276">
        <f t="shared" si="331"/>
        <v>94</v>
      </c>
      <c r="AA125" s="277" t="str">
        <f t="shared" ca="1" si="332"/>
        <v>W81</v>
      </c>
      <c r="AB125" s="278"/>
      <c r="AC125" s="309"/>
      <c r="AD125" s="309"/>
      <c r="AE125" s="278"/>
      <c r="AF125" s="280" t="str">
        <f t="shared" ca="1" si="333"/>
        <v>W82</v>
      </c>
      <c r="AG125" s="417">
        <f t="shared" ca="1"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W81-W82</v>
      </c>
      <c r="DU125" s="744"/>
      <c r="DV125" s="744"/>
      <c r="DW125" s="8"/>
    </row>
    <row r="126" spans="1:127" ht="16.149999999999999" customHeight="1" x14ac:dyDescent="0.2">
      <c r="A126" s="738" t="s">
        <v>742</v>
      </c>
      <c r="B126" s="738" t="s">
        <v>743</v>
      </c>
      <c r="C126" s="739"/>
      <c r="D126" s="747" t="str">
        <f t="shared" ca="1" si="329"/>
        <v>W95</v>
      </c>
      <c r="E126" s="744">
        <v>86</v>
      </c>
      <c r="F126" s="744">
        <v>88</v>
      </c>
      <c r="G126" s="744"/>
      <c r="H126" s="744"/>
      <c r="I126" s="744"/>
      <c r="J126" s="738">
        <v>95</v>
      </c>
      <c r="K126" s="738">
        <v>46210.75</v>
      </c>
      <c r="L126" s="738" t="s">
        <v>707</v>
      </c>
      <c r="M126" s="744" t="str">
        <f t="shared" ca="1" si="330"/>
        <v>W86</v>
      </c>
      <c r="N126" s="744" t="str">
        <f t="shared" ca="1" si="330"/>
        <v>W88</v>
      </c>
      <c r="O126" s="744"/>
      <c r="P126" s="744"/>
      <c r="Q126" s="744"/>
      <c r="R126" s="744"/>
      <c r="S126" s="744"/>
      <c r="T126" s="744"/>
      <c r="U126" s="744"/>
      <c r="V126" s="172"/>
      <c r="W126" s="841"/>
      <c r="X126" s="189">
        <f ca="1">Horarios!C126</f>
        <v>46210.75</v>
      </c>
      <c r="Y126" s="190">
        <f ca="1">Horarios!C126</f>
        <v>46210.75</v>
      </c>
      <c r="Z126" s="276">
        <f t="shared" si="331"/>
        <v>95</v>
      </c>
      <c r="AA126" s="277" t="str">
        <f t="shared" ca="1" si="332"/>
        <v>W86</v>
      </c>
      <c r="AB126" s="278"/>
      <c r="AC126" s="309"/>
      <c r="AD126" s="309"/>
      <c r="AE126" s="278"/>
      <c r="AF126" s="280" t="str">
        <f t="shared" ca="1" si="333"/>
        <v>W88</v>
      </c>
      <c r="AG126" s="417">
        <f t="shared" ca="1"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W86-W88</v>
      </c>
      <c r="DU126" s="744"/>
      <c r="DV126" s="744"/>
      <c r="DW126" s="8"/>
    </row>
    <row r="127" spans="1:127" ht="16.149999999999999" customHeight="1" thickBot="1" x14ac:dyDescent="0.25">
      <c r="A127" s="738" t="s">
        <v>744</v>
      </c>
      <c r="B127" s="738" t="s">
        <v>745</v>
      </c>
      <c r="C127" s="739"/>
      <c r="D127" s="747" t="str">
        <f t="shared" ca="1" si="329"/>
        <v>W96</v>
      </c>
      <c r="E127" s="744">
        <v>85</v>
      </c>
      <c r="F127" s="744">
        <v>87</v>
      </c>
      <c r="G127" s="744"/>
      <c r="H127" s="744"/>
      <c r="I127" s="744"/>
      <c r="J127" s="738">
        <v>96</v>
      </c>
      <c r="K127" s="738">
        <v>46210.875</v>
      </c>
      <c r="L127" s="738" t="s">
        <v>708</v>
      </c>
      <c r="M127" s="744" t="str">
        <f t="shared" ca="1" si="330"/>
        <v>W85</v>
      </c>
      <c r="N127" s="744" t="str">
        <f t="shared" ca="1" si="330"/>
        <v>W87</v>
      </c>
      <c r="O127" s="744"/>
      <c r="P127" s="744"/>
      <c r="Q127" s="744"/>
      <c r="R127" s="744"/>
      <c r="S127" s="744"/>
      <c r="T127" s="744"/>
      <c r="U127" s="744"/>
      <c r="V127" s="172"/>
      <c r="W127" s="842"/>
      <c r="X127" s="228">
        <f ca="1">Horarios!C127</f>
        <v>46210.916666666664</v>
      </c>
      <c r="Y127" s="229">
        <f ca="1">Horarios!C127</f>
        <v>46210.916666666664</v>
      </c>
      <c r="Z127" s="299">
        <f t="shared" si="331"/>
        <v>96</v>
      </c>
      <c r="AA127" s="300" t="str">
        <f t="shared" ca="1" si="332"/>
        <v>W85</v>
      </c>
      <c r="AB127" s="301"/>
      <c r="AC127" s="310"/>
      <c r="AD127" s="310"/>
      <c r="AE127" s="301"/>
      <c r="AF127" s="303" t="str">
        <f t="shared" ca="1" si="333"/>
        <v>W87</v>
      </c>
      <c r="AG127" s="417">
        <f t="shared" ca="1"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W85-W87</v>
      </c>
      <c r="DU127" s="744"/>
      <c r="DV127" s="744"/>
      <c r="DW127" s="8"/>
    </row>
    <row r="128" spans="1:127" ht="16.149999999999999" customHeight="1" thickBot="1" x14ac:dyDescent="0.25">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149999999999999" customHeight="1" thickBot="1" x14ac:dyDescent="0.25">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149999999999999" customHeight="1" x14ac:dyDescent="0.2">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149999999999999" customHeight="1" x14ac:dyDescent="0.2">
      <c r="A131" s="738" t="s">
        <v>746</v>
      </c>
      <c r="B131" s="738" t="s">
        <v>747</v>
      </c>
      <c r="C131" s="739"/>
      <c r="D131" s="747" t="str">
        <f ca="1">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ca="1" si="335">+INDEX($D$101:$D$147,MATCH(E131,$AH$101:$AH$147,0))</f>
        <v>W89</v>
      </c>
      <c r="N131" s="744" t="str">
        <f t="shared" ca="1" si="335"/>
        <v>W90</v>
      </c>
      <c r="O131" s="744"/>
      <c r="P131" s="744"/>
      <c r="Q131" s="744"/>
      <c r="R131" s="744"/>
      <c r="S131" s="744"/>
      <c r="T131" s="744"/>
      <c r="U131" s="744"/>
      <c r="V131" s="172"/>
      <c r="W131" s="843" t="s">
        <v>34</v>
      </c>
      <c r="X131" s="189">
        <f ca="1">Horarios!C131</f>
        <v>46212.916666666664</v>
      </c>
      <c r="Y131" s="190">
        <f ca="1">Horarios!C131</f>
        <v>46212.916666666664</v>
      </c>
      <c r="Z131" s="311">
        <f t="shared" ref="Z131:Z134" si="336">AH131</f>
        <v>97</v>
      </c>
      <c r="AA131" s="277" t="str">
        <f t="shared" ref="AA131:AA134" ca="1" si="337">+INDEX($M$101:$M$147,MATCH(AH131,$J$101:$J$147,0))</f>
        <v>W89</v>
      </c>
      <c r="AB131" s="308"/>
      <c r="AC131" s="305"/>
      <c r="AD131" s="305"/>
      <c r="AE131" s="279"/>
      <c r="AF131" s="312" t="str">
        <f ca="1">+INDEX($N$101:$N$147,MATCH(AH131,$J$101:$J$147,0))</f>
        <v>W90</v>
      </c>
      <c r="AG131" s="417">
        <f ca="1">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W89-W90</v>
      </c>
      <c r="DU131" s="744"/>
      <c r="DV131" s="744"/>
      <c r="DW131" s="8"/>
    </row>
    <row r="132" spans="1:127" ht="16.149999999999999" customHeight="1" x14ac:dyDescent="0.2">
      <c r="A132" s="738" t="s">
        <v>748</v>
      </c>
      <c r="B132" s="738" t="s">
        <v>749</v>
      </c>
      <c r="C132" s="739"/>
      <c r="D132" s="747" t="str">
        <f ca="1">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ca="1" si="335"/>
        <v>W93</v>
      </c>
      <c r="N132" s="744" t="str">
        <f t="shared" ca="1" si="335"/>
        <v>W94</v>
      </c>
      <c r="O132" s="744"/>
      <c r="P132" s="744"/>
      <c r="Q132" s="744"/>
      <c r="R132" s="744"/>
      <c r="S132" s="744"/>
      <c r="T132" s="744"/>
      <c r="U132" s="744"/>
      <c r="V132" s="172"/>
      <c r="W132" s="843"/>
      <c r="X132" s="189">
        <f ca="1">Horarios!C132</f>
        <v>46213.875</v>
      </c>
      <c r="Y132" s="190">
        <f ca="1">Horarios!C132</f>
        <v>46213.875</v>
      </c>
      <c r="Z132" s="311">
        <f t="shared" si="336"/>
        <v>98</v>
      </c>
      <c r="AA132" s="277" t="str">
        <f t="shared" ca="1" si="337"/>
        <v>W93</v>
      </c>
      <c r="AB132" s="278"/>
      <c r="AC132" s="309"/>
      <c r="AD132" s="309"/>
      <c r="AE132" s="278"/>
      <c r="AF132" s="312" t="str">
        <f ca="1">+INDEX($N$101:$N$147,MATCH(AH132,$J$101:$J$147,0))</f>
        <v>W94</v>
      </c>
      <c r="AG132" s="417">
        <f ca="1">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W93-W94</v>
      </c>
      <c r="DU132" s="744"/>
      <c r="DV132" s="744"/>
      <c r="DW132" s="8"/>
    </row>
    <row r="133" spans="1:127" ht="16.149999999999999" customHeight="1" x14ac:dyDescent="0.2">
      <c r="A133" s="738" t="s">
        <v>750</v>
      </c>
      <c r="B133" s="738" t="s">
        <v>751</v>
      </c>
      <c r="C133" s="739"/>
      <c r="D133" s="747" t="str">
        <f ca="1">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ca="1" si="335"/>
        <v>W91</v>
      </c>
      <c r="N133" s="744" t="str">
        <f t="shared" ca="1" si="335"/>
        <v>W92</v>
      </c>
      <c r="O133" s="744"/>
      <c r="P133" s="744"/>
      <c r="Q133" s="744"/>
      <c r="R133" s="744"/>
      <c r="S133" s="744"/>
      <c r="T133" s="744"/>
      <c r="U133" s="744"/>
      <c r="V133" s="172"/>
      <c r="W133" s="843"/>
      <c r="X133" s="189">
        <f ca="1">Horarios!C133</f>
        <v>46214.958333333336</v>
      </c>
      <c r="Y133" s="190">
        <f ca="1">Horarios!C133</f>
        <v>46214.958333333336</v>
      </c>
      <c r="Z133" s="311">
        <f t="shared" si="336"/>
        <v>99</v>
      </c>
      <c r="AA133" s="277" t="str">
        <f t="shared" ca="1" si="337"/>
        <v>W91</v>
      </c>
      <c r="AB133" s="278"/>
      <c r="AC133" s="309"/>
      <c r="AD133" s="309"/>
      <c r="AE133" s="278"/>
      <c r="AF133" s="312" t="str">
        <f ca="1">+INDEX($N$101:$N$147,MATCH(AH133,$J$101:$J$147,0))</f>
        <v>W92</v>
      </c>
      <c r="AG133" s="417">
        <f ca="1">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W91-W92</v>
      </c>
      <c r="DU133" s="744"/>
      <c r="DV133" s="744"/>
      <c r="DW133" s="8"/>
    </row>
    <row r="134" spans="1:127" ht="16.149999999999999" customHeight="1" thickBot="1" x14ac:dyDescent="0.25">
      <c r="A134" s="738" t="s">
        <v>752</v>
      </c>
      <c r="B134" s="738" t="s">
        <v>753</v>
      </c>
      <c r="C134" s="739"/>
      <c r="D134" s="747" t="str">
        <f ca="1">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ca="1" si="335"/>
        <v>W95</v>
      </c>
      <c r="N134" s="744" t="str">
        <f t="shared" ca="1" si="335"/>
        <v>W96</v>
      </c>
      <c r="O134" s="744"/>
      <c r="P134" s="744"/>
      <c r="Q134" s="744"/>
      <c r="R134" s="744"/>
      <c r="S134" s="744"/>
      <c r="T134" s="744"/>
      <c r="U134" s="744"/>
      <c r="V134" s="172"/>
      <c r="W134" s="844"/>
      <c r="X134" s="228">
        <f ca="1">Horarios!C134</f>
        <v>46215.125</v>
      </c>
      <c r="Y134" s="229">
        <f ca="1">Horarios!C134</f>
        <v>46215.125</v>
      </c>
      <c r="Z134" s="314">
        <f t="shared" si="336"/>
        <v>100</v>
      </c>
      <c r="AA134" s="300" t="str">
        <f t="shared" ca="1" si="337"/>
        <v>W95</v>
      </c>
      <c r="AB134" s="301"/>
      <c r="AC134" s="310"/>
      <c r="AD134" s="310"/>
      <c r="AE134" s="301"/>
      <c r="AF134" s="315" t="str">
        <f ca="1">+INDEX($N$101:$N$147,MATCH(AH134,$J$101:$J$147,0))</f>
        <v>W96</v>
      </c>
      <c r="AG134" s="417">
        <f ca="1">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W95-W96</v>
      </c>
      <c r="DU134" s="744"/>
      <c r="DV134" s="744"/>
      <c r="DW134" s="8"/>
    </row>
    <row r="135" spans="1:127" ht="16.149999999999999" customHeight="1" thickBot="1" x14ac:dyDescent="0.25">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149999999999999" customHeight="1" thickBot="1" x14ac:dyDescent="0.25">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149999999999999" customHeight="1" x14ac:dyDescent="0.2">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149999999999999" customHeight="1" x14ac:dyDescent="0.2">
      <c r="A138" s="738" t="s">
        <v>754</v>
      </c>
      <c r="B138" s="738" t="s">
        <v>755</v>
      </c>
      <c r="C138" s="739"/>
      <c r="D138" s="747" t="str">
        <f ca="1">IF(AND(OR(AC138="",AD138="")),"W"&amp;AH138,IF(AC138&gt;AD138,AA138,IF(AC138&lt;AD138,AF138,IF(AND(AC138=AD138,AB138=AE138),"W"&amp;AH138,IF(AND(AC138=AD138,OR(AB138="",AE138="")),"W"&amp;AH138,IF(AND(AC138=AD138,AB138&gt;AE138),AA138,AF138))))))</f>
        <v>W101</v>
      </c>
      <c r="E138" s="744">
        <v>97</v>
      </c>
      <c r="F138" s="744">
        <v>98</v>
      </c>
      <c r="G138" s="744"/>
      <c r="H138" s="744" t="str">
        <f ca="1">IF(AND(OR(AC138="",AD138="")),"L101",IF(AC138&gt;AD138,AF138,IF(AC138&lt;AD138,AA138,IF(AND(AC138=AD138,AB138=AE138),"L101",IF(AND(AC138=AD138,OR(AB138="",AE138="")),"L101",IF(AND(AC138=AD138,AB138&gt;AE138),AF138,AA138))))))</f>
        <v>L101</v>
      </c>
      <c r="I138" s="744"/>
      <c r="J138" s="738">
        <v>101</v>
      </c>
      <c r="K138" s="738">
        <v>46217.875</v>
      </c>
      <c r="L138" s="738" t="s">
        <v>713</v>
      </c>
      <c r="M138" s="738" t="str">
        <f ca="1">+INDEX($D$101:$D$147,MATCH(E138,$AH$101:$AH$147,0))</f>
        <v>W97</v>
      </c>
      <c r="N138" s="738" t="str">
        <f ca="1">+INDEX($D$101:$D$147,MATCH(F138,$AH$101:$AH$147,0))</f>
        <v>W98</v>
      </c>
      <c r="O138" s="738"/>
      <c r="P138" s="738"/>
      <c r="Q138" s="738"/>
      <c r="R138" s="738"/>
      <c r="S138" s="738"/>
      <c r="T138" s="738"/>
      <c r="U138" s="738"/>
      <c r="V138" s="172"/>
      <c r="W138" s="845" t="s">
        <v>35</v>
      </c>
      <c r="X138" s="189">
        <f ca="1">Horarios!C138</f>
        <v>46217.875</v>
      </c>
      <c r="Y138" s="190">
        <f ca="1">Horarios!C138</f>
        <v>46217.875</v>
      </c>
      <c r="Z138" s="311">
        <f t="shared" ref="Z138:Z139" si="339">AH138</f>
        <v>101</v>
      </c>
      <c r="AA138" s="277" t="str">
        <f t="shared" ref="AA138:AA139" ca="1" si="340">+INDEX($M$101:$M$147,MATCH(AH138,$J$101:$J$147,0))</f>
        <v>W97</v>
      </c>
      <c r="AB138" s="278"/>
      <c r="AC138" s="323"/>
      <c r="AD138" s="323"/>
      <c r="AE138" s="278"/>
      <c r="AF138" s="312" t="str">
        <f ca="1">+INDEX($N$101:$N$147,MATCH(AH138,$J$101:$J$147,0))</f>
        <v>W98</v>
      </c>
      <c r="AG138" s="417">
        <f ca="1">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W97-W98</v>
      </c>
      <c r="DU138" s="744"/>
      <c r="DV138" s="744"/>
      <c r="DW138" s="8"/>
    </row>
    <row r="139" spans="1:127" ht="16.149999999999999" customHeight="1" thickBot="1" x14ac:dyDescent="0.25">
      <c r="A139" s="738" t="s">
        <v>756</v>
      </c>
      <c r="B139" s="738" t="s">
        <v>757</v>
      </c>
      <c r="C139" s="739"/>
      <c r="D139" s="747" t="str">
        <f ca="1">IF(AND(OR(AC139="",AD139="")),"W"&amp;AH139,IF(AC139&gt;AD139,AA139,IF(AC139&lt;AD139,AF139,IF(AND(AC139=AD139,AB139=AE139),"W"&amp;AH139,IF(AND(AC139=AD139,OR(AB139="",AE139="")),"W"&amp;AH139,IF(AND(AC139=AD139,AB139&gt;AE139),AA139,AF139))))))</f>
        <v>W102</v>
      </c>
      <c r="E139" s="744">
        <v>99</v>
      </c>
      <c r="F139" s="744">
        <v>100</v>
      </c>
      <c r="G139" s="744"/>
      <c r="H139" s="744" t="str">
        <f ca="1">IF(AND(OR(AC139="",AD139="")),"L102",IF(AC139&gt;AD139,AF139,IF(AC139&lt;AD139,AA139,IF(AND(AC139=AD139,AB139=AE139),"W102",IF(AND(AC139=AD139,OR(AB139="",AE139="")),"L102",IF(AND(AC139=AD139,AB139&gt;AE139),AF139,AA139))))))</f>
        <v>L102</v>
      </c>
      <c r="I139" s="744"/>
      <c r="J139" s="738">
        <v>102</v>
      </c>
      <c r="K139" s="738">
        <v>46218.875</v>
      </c>
      <c r="L139" s="738" t="s">
        <v>714</v>
      </c>
      <c r="M139" s="738" t="str">
        <f ca="1">+INDEX($D$101:$D$147,MATCH(E139,$AH$101:$AH$147,0))</f>
        <v>W99</v>
      </c>
      <c r="N139" s="738" t="str">
        <f ca="1">+INDEX($D$101:$D$147,MATCH(F139,$AH$101:$AH$147,0))</f>
        <v>W100</v>
      </c>
      <c r="O139" s="738"/>
      <c r="P139" s="738"/>
      <c r="Q139" s="738"/>
      <c r="R139" s="738"/>
      <c r="S139" s="738"/>
      <c r="T139" s="738"/>
      <c r="U139" s="738"/>
      <c r="V139" s="172"/>
      <c r="W139" s="846"/>
      <c r="X139" s="324">
        <f ca="1">Horarios!C139</f>
        <v>46218.875</v>
      </c>
      <c r="Y139" s="325">
        <f ca="1">Horarios!C139</f>
        <v>46218.875</v>
      </c>
      <c r="Z139" s="326">
        <f t="shared" si="339"/>
        <v>102</v>
      </c>
      <c r="AA139" s="327" t="str">
        <f t="shared" ca="1" si="340"/>
        <v>W99</v>
      </c>
      <c r="AB139" s="328"/>
      <c r="AC139" s="310"/>
      <c r="AD139" s="310"/>
      <c r="AE139" s="328"/>
      <c r="AF139" s="329" t="str">
        <f ca="1">+INDEX($N$101:$N$147,MATCH(AH139,$J$101:$J$147,0))</f>
        <v>W100</v>
      </c>
      <c r="AG139" s="417">
        <f ca="1">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W99-W100</v>
      </c>
      <c r="DU139" s="744"/>
      <c r="DV139" s="744"/>
      <c r="DW139" s="8"/>
    </row>
    <row r="140" spans="1:127" ht="16.149999999999999" customHeight="1" thickBot="1" x14ac:dyDescent="0.25">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149999999999999" customHeight="1" thickBot="1" x14ac:dyDescent="0.25">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149999999999999" customHeight="1" x14ac:dyDescent="0.2">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149999999999999" customHeight="1" thickBot="1" x14ac:dyDescent="0.25">
      <c r="A143" s="738" t="s">
        <v>758</v>
      </c>
      <c r="B143" s="738" t="s">
        <v>759</v>
      </c>
      <c r="C143" s="739"/>
      <c r="D143" s="747" t="str">
        <f ca="1">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 ca="1">+INDEX($D$101:$D$147,MATCH(E143,$AH$101:$AH$147,0))</f>
        <v>W101</v>
      </c>
      <c r="N143" s="738" t="str">
        <f ca="1">+INDEX($D$101:$D$147,MATCH(F143,$AH$101:$AH$147,0))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L101</v>
      </c>
      <c r="AB143" s="334"/>
      <c r="AC143" s="335"/>
      <c r="AD143" s="335"/>
      <c r="AE143" s="334"/>
      <c r="AF143" s="336" t="str">
        <f ca="1">IF(AND(OR(AC139="",AD139="")),"L102",IF(AC139&gt;AD139,AF139,IF(AC139&lt;AD139,AA139,IF(AND(AC139=AD139,AB139=AE139),"L102",IF(AND(AC139=AD139,OR(AB139="",AE139="")),"L102",IF(AND(AC139=AD139,AB139&gt;AE139),AF139,AA139))))))</f>
        <v>L102</v>
      </c>
      <c r="AG143" s="417">
        <f ca="1">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ca="1" si="338"/>
        <v>L101-L102</v>
      </c>
      <c r="DU143" s="744"/>
      <c r="DV143" s="744"/>
      <c r="DW143" s="8"/>
    </row>
    <row r="144" spans="1:127" ht="16.149999999999999" customHeight="1" thickBot="1" x14ac:dyDescent="0.25">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149999999999999" customHeight="1" thickBot="1" x14ac:dyDescent="0.25">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149999999999999" customHeight="1" x14ac:dyDescent="0.2">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149999999999999" customHeight="1" thickBot="1" x14ac:dyDescent="0.25">
      <c r="A147" s="738" t="s">
        <v>760</v>
      </c>
      <c r="B147" s="738" t="s">
        <v>761</v>
      </c>
      <c r="C147" s="739"/>
      <c r="D147" s="747" t="str">
        <f ca="1">IF(AND(OR(AC147="",AD147="")),"W"&amp;AH147,IF(AC147&gt;AD147,AA147,IF(AC147&lt;AD147,AF147,IF(AND(AC147=AD147,AB147=AE147),"W"&amp;AH147,IF(AND(AC147=AD147,OR(AB147="",AE147="")),"W"&amp;AH147,IF(AND(AC147=AD147,AB147&gt;AE147),AA147,AF147))))))</f>
        <v>W104</v>
      </c>
      <c r="E147" s="744">
        <v>101</v>
      </c>
      <c r="F147" s="744">
        <v>102</v>
      </c>
      <c r="G147" s="744"/>
      <c r="H147" s="744" t="str">
        <f ca="1">IF(AND(OR(AC147="",AD147="")),"LF",IF(AC147&gt;AD147,AF147,IF(AC147&lt;AD147,AA147,IF(AND(AC147=AD147,AB147=AE147),"LF",IF(AND(AC147=AD147,OR(AB147="",AE147="")),"LF",IF(AND(AC147=AD147,AB147&gt;AE147),AF147,AA147))))))</f>
        <v>LF</v>
      </c>
      <c r="I147" s="744"/>
      <c r="J147" s="738">
        <v>104</v>
      </c>
      <c r="K147" s="738">
        <v>46222.875</v>
      </c>
      <c r="L147" s="738" t="s">
        <v>716</v>
      </c>
      <c r="M147" s="738" t="str">
        <f ca="1">+INDEX($D$101:$D$147,MATCH(E147,$AH$101:$AH$147,0))</f>
        <v>W101</v>
      </c>
      <c r="N147" s="738" t="str">
        <f ca="1">+INDEX($D$101:$D$147,MATCH(F147,$AH$101:$AH$147,0))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W101</v>
      </c>
      <c r="AB147" s="334"/>
      <c r="AC147" s="335"/>
      <c r="AD147" s="335"/>
      <c r="AE147" s="334"/>
      <c r="AF147" s="336" t="str">
        <f ca="1">IF(AND(OR(AC139="",AD139="")),"W"&amp;AH139,IF(AC139&gt;AD139,AA139,IF(AC139&lt;AD139,AF139,IF(AND(AC139=AD139,AB139=AE139),"W"&amp;AH139,IF(AND(AC139=AD139,OR(AB139="",AE139="")),"W"&amp;AH139,IF(AND(AC139=AD139,AB139&gt;AE139),AA139,AF139))))))</f>
        <v>W102</v>
      </c>
      <c r="AG147" s="417">
        <f ca="1">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ca="1" si="338"/>
        <v>W101-W102</v>
      </c>
      <c r="DU147" s="744"/>
      <c r="DV147" s="744"/>
      <c r="DW147" s="8"/>
    </row>
    <row r="148" spans="1:127" ht="16.149999999999999" customHeight="1" thickBot="1" x14ac:dyDescent="0.25">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149999999999999" customHeight="1" thickBot="1" x14ac:dyDescent="0.25">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149999999999999" customHeight="1" thickBot="1" x14ac:dyDescent="0.25">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 ca="1">IF(AND(OR(AC147="",AD147="")),"WF",IF(AC147&gt;AD147,AA147,IF(AC147&lt;AD147,AF147,IF(AND(AC147=AD147,AB147=AE147),"WF",IF(AND(AC147=AD147,OR(AB147="",AE147="")),"WF",IF(AND(AC147=AD147,AB147&gt;AE147),AA147,AF147))))))</f>
        <v>WF</v>
      </c>
      <c r="AB150" s="350"/>
      <c r="AC150" s="350"/>
      <c r="AD150" s="350"/>
      <c r="AE150" s="350"/>
      <c r="AF150" s="351"/>
      <c r="AG150" s="417">
        <f ca="1">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149999999999999" customHeight="1" x14ac:dyDescent="0.2">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 ca="1">IF(AND(OR(AC147="",AD147="")),"LF",IF(AC147&gt;AD147,AF147,IF(AC147&lt;AD147,AA147,IF(AND(AC147=AD147,AB147=AE147),"LF",IF(AND(AC147=AD147,OR(AB147="",AE147="")),"LF",IF(AND(AC147=AD147,AB147&gt;AE147),AF147,AA147))))))</f>
        <v>LF</v>
      </c>
      <c r="AB151" s="353"/>
      <c r="AC151" s="353"/>
      <c r="AD151" s="353"/>
      <c r="AE151" s="353"/>
      <c r="AF151" s="354"/>
      <c r="AG151" s="417">
        <f ca="1">IF(AA151="LF",0,1)</f>
        <v>0</v>
      </c>
      <c r="AH151" s="345"/>
      <c r="AI151" s="345"/>
      <c r="AJ151" s="809" t="str">
        <f ca="1">IF(SUM(COUNTIF(AG4:AG97,0),COUNTIF(AG101:AG160,0)&gt;0),AL148,AL149)</f>
        <v>MUNDIAL EN CURSO</v>
      </c>
      <c r="AK151" s="810"/>
      <c r="AL151" s="810"/>
      <c r="AM151" s="810"/>
      <c r="AN151" s="810"/>
      <c r="AO151" s="810"/>
      <c r="AP151" s="810"/>
      <c r="AQ151" s="810"/>
      <c r="AR151" s="810"/>
      <c r="AS151" s="810"/>
      <c r="AT151" s="810"/>
      <c r="AU151" s="811"/>
      <c r="AV151" s="355"/>
      <c r="AW151" s="243"/>
      <c r="AX151" s="242"/>
      <c r="AY151" s="244"/>
      <c r="AZ151" s="245"/>
      <c r="BA151" s="175"/>
      <c r="DW151" s="8"/>
    </row>
    <row r="152" spans="1:127" ht="16.149999999999999" customHeight="1" thickBot="1" x14ac:dyDescent="0.25">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 ca="1">IF(AND(OR(AC143="",AD143="")),"W34",IF(AC143&gt;AD143,AA143,IF(AC143&lt;AD143,AF143,IF(AND(AC143=AD143,AB143=AE143),"W34",IF(AND(AC143=AD143,OR(AB143="",AE143="")),"W34",IF(AND(AC143=AD143,AB143&gt;AE143),AA143,AF143))))))</f>
        <v>W34</v>
      </c>
      <c r="AB152" s="360"/>
      <c r="AC152" s="360"/>
      <c r="AD152" s="360"/>
      <c r="AE152" s="360"/>
      <c r="AF152" s="361"/>
      <c r="AG152" s="417">
        <f ca="1">IF(AA152="W34",0,1)</f>
        <v>0</v>
      </c>
      <c r="AH152" s="345"/>
      <c r="AI152" s="345"/>
      <c r="AJ152" s="812"/>
      <c r="AK152" s="813"/>
      <c r="AL152" s="813"/>
      <c r="AM152" s="813"/>
      <c r="AN152" s="813"/>
      <c r="AO152" s="813"/>
      <c r="AP152" s="813"/>
      <c r="AQ152" s="813"/>
      <c r="AR152" s="813"/>
      <c r="AS152" s="813"/>
      <c r="AT152" s="813"/>
      <c r="AU152" s="814"/>
      <c r="AV152" s="355"/>
      <c r="AW152" s="243"/>
      <c r="AX152" s="242"/>
      <c r="AY152" s="244"/>
      <c r="AZ152" s="245"/>
      <c r="BA152" s="175"/>
      <c r="DW152" s="8"/>
    </row>
    <row r="153" spans="1:127" ht="16.149999999999999" customHeight="1" thickBot="1" x14ac:dyDescent="0.25">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2"/>
      <c r="AK153" s="813"/>
      <c r="AL153" s="813"/>
      <c r="AM153" s="813"/>
      <c r="AN153" s="813"/>
      <c r="AO153" s="813"/>
      <c r="AP153" s="813"/>
      <c r="AQ153" s="813"/>
      <c r="AR153" s="813"/>
      <c r="AS153" s="813"/>
      <c r="AT153" s="813"/>
      <c r="AU153" s="814"/>
      <c r="AV153" s="355"/>
      <c r="AW153" s="243"/>
      <c r="AX153" s="242"/>
      <c r="AY153" s="244"/>
      <c r="AZ153" s="245"/>
      <c r="BA153" s="175"/>
      <c r="DW153" s="8"/>
    </row>
    <row r="154" spans="1:127" ht="16.149999999999999" customHeight="1" x14ac:dyDescent="0.2">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2"/>
      <c r="AK154" s="813"/>
      <c r="AL154" s="813"/>
      <c r="AM154" s="813"/>
      <c r="AN154" s="813"/>
      <c r="AO154" s="813"/>
      <c r="AP154" s="813"/>
      <c r="AQ154" s="813"/>
      <c r="AR154" s="813"/>
      <c r="AS154" s="813"/>
      <c r="AT154" s="813"/>
      <c r="AU154" s="814"/>
      <c r="AV154" s="355"/>
      <c r="AW154" s="243"/>
      <c r="AX154" s="242"/>
      <c r="AY154" s="244"/>
      <c r="AZ154" s="245"/>
      <c r="BA154" s="175"/>
      <c r="DW154" s="8"/>
    </row>
    <row r="155" spans="1:127" ht="16.149999999999999" customHeight="1" x14ac:dyDescent="0.2">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1" t="str">
        <f ca="1">IF(SUM(COUNTIF(AG4:AG97,0),COUNTIF(AG101:AG160,0)&gt;0),AM148,AM149)</f>
        <v>Todavía hay emoción</v>
      </c>
      <c r="AK155" s="822"/>
      <c r="AL155" s="822"/>
      <c r="AM155" s="822"/>
      <c r="AN155" s="822"/>
      <c r="AO155" s="822"/>
      <c r="AP155" s="822"/>
      <c r="AQ155" s="822"/>
      <c r="AR155" s="822"/>
      <c r="AS155" s="822"/>
      <c r="AT155" s="822"/>
      <c r="AU155" s="823"/>
      <c r="AV155" s="355"/>
      <c r="AW155" s="243"/>
      <c r="AX155" s="242"/>
      <c r="AY155" s="244"/>
      <c r="AZ155" s="245"/>
      <c r="BA155" s="373"/>
      <c r="DW155" s="8"/>
    </row>
    <row r="156" spans="1:127" ht="16.149999999999999" customHeight="1" thickBot="1" x14ac:dyDescent="0.25">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1"/>
      <c r="AK156" s="822"/>
      <c r="AL156" s="822"/>
      <c r="AM156" s="822"/>
      <c r="AN156" s="822"/>
      <c r="AO156" s="822"/>
      <c r="AP156" s="822"/>
      <c r="AQ156" s="822"/>
      <c r="AR156" s="822"/>
      <c r="AS156" s="822"/>
      <c r="AT156" s="822"/>
      <c r="AU156" s="823"/>
      <c r="AV156" s="355"/>
      <c r="AW156" s="243"/>
      <c r="AX156" s="242"/>
      <c r="AY156" s="244"/>
      <c r="AZ156" s="245"/>
      <c r="BA156" s="373"/>
      <c r="DW156" s="8"/>
    </row>
    <row r="157" spans="1:127" ht="16.149999999999999" customHeight="1" thickBot="1" x14ac:dyDescent="0.25">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4"/>
      <c r="AK157" s="825"/>
      <c r="AL157" s="825"/>
      <c r="AM157" s="825"/>
      <c r="AN157" s="825"/>
      <c r="AO157" s="825"/>
      <c r="AP157" s="825"/>
      <c r="AQ157" s="825"/>
      <c r="AR157" s="825"/>
      <c r="AS157" s="825"/>
      <c r="AT157" s="825"/>
      <c r="AU157" s="826"/>
      <c r="AV157" s="355"/>
      <c r="AW157" s="243"/>
      <c r="AX157" s="242"/>
      <c r="AY157" s="244"/>
      <c r="AZ157" s="245"/>
      <c r="BA157" s="373"/>
      <c r="DW157" s="8"/>
    </row>
    <row r="158" spans="1:127" ht="16.149999999999999" customHeight="1" x14ac:dyDescent="0.2">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149999999999999" customHeight="1" x14ac:dyDescent="0.2">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149999999999999" customHeight="1" thickBot="1" x14ac:dyDescent="0.25">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899999999999999" customHeight="1" thickBot="1" x14ac:dyDescent="0.25">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149999999999999" customHeight="1" thickBot="1" x14ac:dyDescent="0.25">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149999999999999" customHeight="1" x14ac:dyDescent="0.2">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149999999999999" customHeight="1" x14ac:dyDescent="0.2">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149999999999999" customHeight="1" x14ac:dyDescent="0.2">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x14ac:dyDescent="0.2">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x14ac:dyDescent="0.2">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x14ac:dyDescent="0.2">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5" x14ac:dyDescent="0.2"/>
  <cols>
    <col min="1" max="1" width="4.9765625" style="1" hidden="1" customWidth="1"/>
    <col min="2" max="2" width="3.49609375" style="1" customWidth="1"/>
    <col min="3" max="3" width="47.75390625" style="1" bestFit="1" customWidth="1"/>
    <col min="4" max="4" width="11.296875" style="1" customWidth="1"/>
    <col min="5" max="5" width="4.4375" style="7" customWidth="1"/>
    <col min="6" max="6" width="10.76171875" style="721" hidden="1" customWidth="1"/>
    <col min="7" max="7" width="7.80078125" style="5" hidden="1" customWidth="1"/>
    <col min="8" max="8" width="14.125" style="5" hidden="1" customWidth="1"/>
    <col min="9" max="9" width="6.45703125" style="61" customWidth="1"/>
    <col min="10" max="10" width="8.33984375" style="104" customWidth="1"/>
    <col min="11" max="11" width="30.66796875" style="86" bestFit="1" customWidth="1"/>
    <col min="12" max="12" width="2.82421875" style="61" customWidth="1"/>
    <col min="13" max="13" width="29.99609375" style="86" customWidth="1"/>
    <col min="14" max="14" width="3.62890625" style="444" hidden="1" customWidth="1"/>
    <col min="15" max="15" width="3.09375" style="444" hidden="1" customWidth="1"/>
    <col min="16" max="16" width="2.82421875" style="444" hidden="1" customWidth="1"/>
    <col min="17" max="17" width="3.09375" style="444" hidden="1" customWidth="1"/>
    <col min="18" max="18" width="2.82421875" style="5" customWidth="1"/>
    <col min="19" max="19" width="29.7265625" style="86" bestFit="1" customWidth="1"/>
    <col min="20" max="20" width="5.109375" style="86" customWidth="1"/>
    <col min="21" max="21" width="2.82421875" style="20" customWidth="1"/>
    <col min="22" max="22" width="29.7265625" style="86" bestFit="1" customWidth="1"/>
    <col min="23" max="23" width="5.109375" style="86" customWidth="1"/>
    <col min="24" max="24" width="2.82421875" style="20" customWidth="1"/>
    <col min="25" max="25" width="29.7265625" style="86" bestFit="1" customWidth="1"/>
    <col min="26" max="26" width="5.109375" style="86" customWidth="1"/>
    <col min="27" max="27" width="2.82421875" style="20" customWidth="1"/>
    <col min="28" max="28" width="29.7265625" style="86" bestFit="1" customWidth="1"/>
    <col min="29" max="29" width="5.109375" style="86" customWidth="1"/>
    <col min="30" max="30" width="2.82421875" style="20" customWidth="1"/>
    <col min="31" max="31" width="29.7265625" style="86" bestFit="1" customWidth="1"/>
    <col min="32" max="32" width="5.109375" style="86" customWidth="1"/>
    <col min="33" max="33" width="2.82421875" style="20" customWidth="1"/>
    <col min="34" max="34" width="29.7265625" style="86" bestFit="1" customWidth="1"/>
    <col min="35" max="35" width="5.109375" style="86" customWidth="1"/>
    <col min="36" max="36" width="2.82421875" style="20" customWidth="1"/>
    <col min="37" max="37" width="29.7265625" style="86" bestFit="1" customWidth="1"/>
    <col min="38" max="38" width="5.109375" style="86" customWidth="1"/>
    <col min="39" max="39" width="2.82421875" style="20" customWidth="1"/>
    <col min="40" max="40" width="29.7265625" style="86" bestFit="1" customWidth="1"/>
    <col min="41" max="41" width="5.109375" style="86" customWidth="1"/>
    <col min="42" max="42" width="2.82421875" style="20" customWidth="1"/>
    <col min="43" max="43" width="29.7265625" style="86" bestFit="1" customWidth="1"/>
    <col min="44" max="44" width="5.109375" style="86" customWidth="1"/>
    <col min="45" max="45" width="2.82421875" style="20" customWidth="1"/>
    <col min="46" max="46" width="29.7265625" style="86" bestFit="1" customWidth="1"/>
    <col min="47" max="47" width="5.109375" style="86" customWidth="1"/>
    <col min="48" max="48" width="2.82421875" style="20" customWidth="1"/>
    <col min="49" max="49" width="29.7265625" style="86" bestFit="1" customWidth="1"/>
    <col min="50" max="50" width="5.109375" style="86" customWidth="1"/>
    <col min="51" max="51" width="2.82421875" style="20" customWidth="1"/>
    <col min="52" max="52" width="29.7265625" style="86" bestFit="1" customWidth="1"/>
    <col min="53" max="53" width="5.109375" style="86" customWidth="1"/>
    <col min="54" max="54" width="2.82421875" style="20" customWidth="1"/>
    <col min="55" max="55" width="29.7265625" style="86" bestFit="1" customWidth="1"/>
    <col min="56" max="56" width="5.109375" style="86" customWidth="1"/>
    <col min="57" max="57" width="2.82421875" style="20" customWidth="1"/>
    <col min="58" max="58" width="29.7265625" style="86" bestFit="1" customWidth="1"/>
    <col min="59" max="59" width="5.109375" style="86" customWidth="1"/>
    <col min="60" max="60" width="2.82421875" style="20" customWidth="1"/>
    <col min="61" max="61" width="29.7265625" style="86" bestFit="1" customWidth="1"/>
    <col min="62" max="62" width="5.109375" style="86" customWidth="1"/>
    <col min="63" max="63" width="2.82421875" style="20" customWidth="1"/>
    <col min="64" max="64" width="29.7265625" style="86" bestFit="1" customWidth="1"/>
    <col min="65" max="65" width="5.109375" style="86" customWidth="1"/>
    <col min="66" max="66" width="2.82421875" style="20" customWidth="1"/>
    <col min="67" max="67" width="29.7265625" style="86" bestFit="1" customWidth="1"/>
    <col min="68" max="68" width="5.109375" style="86" customWidth="1"/>
    <col min="69" max="69" width="2.82421875" style="20" customWidth="1"/>
    <col min="70" max="70" width="29.7265625" style="86" bestFit="1" customWidth="1"/>
    <col min="71" max="71" width="5.109375" style="86" customWidth="1"/>
    <col min="72" max="72" width="2.82421875" style="20" customWidth="1"/>
    <col min="73" max="73" width="29.7265625" style="86" bestFit="1" customWidth="1"/>
    <col min="74" max="74" width="5.109375" style="86" customWidth="1"/>
    <col min="75" max="75" width="2.82421875" style="20" customWidth="1"/>
    <col min="76" max="76" width="29.7265625" style="86" bestFit="1" customWidth="1"/>
    <col min="77" max="77" width="5.109375" style="86" customWidth="1"/>
    <col min="78" max="78" width="2.82421875" style="20" customWidth="1"/>
    <col min="79" max="79" width="29.7265625" style="86" bestFit="1" customWidth="1"/>
    <col min="80" max="80" width="5.109375" style="86" customWidth="1"/>
    <col min="81" max="81" width="2.82421875" style="20" customWidth="1"/>
    <col min="82" max="82" width="29.7265625" style="86" bestFit="1" customWidth="1"/>
    <col min="83" max="83" width="5.109375" style="86" customWidth="1"/>
    <col min="84" max="84" width="2.82421875" style="20" customWidth="1"/>
    <col min="85" max="85" width="29.7265625" style="86" bestFit="1" customWidth="1"/>
    <col min="86" max="86" width="5.109375" style="86" customWidth="1"/>
    <col min="87" max="87" width="2.82421875" style="20" customWidth="1"/>
    <col min="88" max="88" width="29.7265625" style="86" bestFit="1" customWidth="1"/>
    <col min="89" max="89" width="5.109375" style="86" customWidth="1"/>
    <col min="90" max="90" width="2.82421875" style="20" customWidth="1"/>
    <col min="91" max="91" width="29.7265625" style="86" bestFit="1" customWidth="1"/>
    <col min="92" max="92" width="5.109375" style="86" customWidth="1"/>
    <col min="93" max="93" width="2.82421875" style="20" customWidth="1"/>
    <col min="94" max="94" width="29.7265625" style="86" bestFit="1" customWidth="1"/>
    <col min="95" max="95" width="5.109375" style="86" customWidth="1"/>
    <col min="96" max="96" width="2.82421875" style="20" customWidth="1"/>
    <col min="97" max="97" width="29.7265625" style="86" bestFit="1" customWidth="1"/>
    <col min="98" max="98" width="5.109375" style="86" customWidth="1"/>
    <col min="99" max="99" width="2.82421875" style="20" customWidth="1"/>
    <col min="100" max="100" width="29.7265625" style="86" bestFit="1" customWidth="1"/>
    <col min="101" max="101" width="5.109375" style="86" customWidth="1"/>
    <col min="102" max="102" width="2.82421875" style="20" customWidth="1"/>
    <col min="103" max="103" width="29.7265625" style="86" bestFit="1" customWidth="1"/>
    <col min="104" max="104" width="5.109375" style="86" customWidth="1"/>
    <col min="105" max="105" width="2.82421875" style="20" customWidth="1"/>
    <col min="106" max="106" width="29.7265625" style="86" bestFit="1" customWidth="1"/>
    <col min="107" max="107" width="5.109375" style="86" customWidth="1"/>
    <col min="108" max="108" width="2.82421875" style="20" customWidth="1"/>
    <col min="109" max="109" width="29.7265625" style="86" bestFit="1" customWidth="1"/>
    <col min="110" max="110" width="5.109375" style="86" customWidth="1"/>
    <col min="111" max="111" width="2.82421875" style="20" customWidth="1"/>
    <col min="112" max="112" width="29.7265625" style="86" bestFit="1" customWidth="1"/>
    <col min="113" max="113" width="5.109375" style="86" customWidth="1"/>
    <col min="114" max="114" width="2.82421875" style="20" customWidth="1"/>
    <col min="115" max="115" width="29.7265625" style="86" bestFit="1" customWidth="1"/>
    <col min="116" max="116" width="5.109375" style="86" customWidth="1"/>
    <col min="117" max="117" width="2.82421875" style="20" customWidth="1"/>
    <col min="118" max="118" width="29.7265625" style="86" bestFit="1" customWidth="1"/>
    <col min="119" max="119" width="5.109375" style="86" customWidth="1"/>
    <col min="120" max="120" width="2.82421875" style="20" customWidth="1"/>
    <col min="121" max="121" width="29.7265625" style="86" bestFit="1" customWidth="1"/>
    <col min="122" max="122" width="5.109375" style="86" customWidth="1"/>
    <col min="123" max="123" width="2.82421875" style="20" customWidth="1"/>
    <col min="124" max="124" width="29.7265625" style="86" bestFit="1" customWidth="1"/>
    <col min="125" max="125" width="5.109375" style="86" customWidth="1"/>
    <col min="126" max="126" width="2.82421875" style="20" customWidth="1"/>
    <col min="127" max="127" width="29.7265625" style="86" bestFit="1" customWidth="1"/>
    <col min="128" max="128" width="5.109375" style="86" customWidth="1"/>
    <col min="129" max="129" width="2.82421875" style="20" customWidth="1"/>
    <col min="130" max="130" width="29.7265625" style="86" bestFit="1" customWidth="1"/>
    <col min="131" max="131" width="5.109375" style="86" customWidth="1"/>
    <col min="132" max="132" width="2.82421875" style="20" customWidth="1"/>
    <col min="133" max="133" width="29.7265625" style="86" bestFit="1" customWidth="1"/>
    <col min="134" max="134" width="5.109375" style="86" customWidth="1"/>
    <col min="135" max="135" width="2.82421875" style="20" customWidth="1"/>
    <col min="136" max="136" width="29.7265625" style="86" bestFit="1" customWidth="1"/>
    <col min="137" max="137" width="5.109375" style="86" customWidth="1"/>
    <col min="138" max="138" width="2.82421875" style="20" customWidth="1"/>
    <col min="139" max="139" width="29.7265625" style="86" bestFit="1" customWidth="1"/>
    <col min="140" max="140" width="5.109375" style="86" customWidth="1"/>
    <col min="141" max="141" width="2.82421875" style="20" customWidth="1"/>
    <col min="142" max="142" width="29.7265625" style="86" bestFit="1" customWidth="1"/>
    <col min="143" max="143" width="5.109375" style="86" customWidth="1"/>
    <col min="144" max="144" width="2.82421875" style="20" customWidth="1"/>
    <col min="145" max="145" width="29.7265625" style="86" bestFit="1" customWidth="1"/>
    <col min="146" max="146" width="5.109375" style="86" customWidth="1"/>
    <col min="147" max="147" width="2.82421875" style="20" customWidth="1"/>
    <col min="148" max="148" width="29.7265625" style="86" bestFit="1" customWidth="1"/>
    <col min="149" max="149" width="5.109375" style="86" customWidth="1"/>
    <col min="150" max="150" width="2.82421875" style="20" customWidth="1"/>
    <col min="151" max="151" width="29.7265625" style="86" bestFit="1" customWidth="1"/>
    <col min="152" max="152" width="5.109375" style="86" customWidth="1"/>
    <col min="153" max="153" width="2.82421875" style="20" customWidth="1"/>
    <col min="154" max="154" width="29.7265625" style="86" bestFit="1" customWidth="1"/>
    <col min="155" max="155" width="5.109375" style="86" customWidth="1"/>
    <col min="156" max="156" width="2.82421875" style="20" customWidth="1"/>
    <col min="157" max="157" width="29.7265625" style="86" bestFit="1" customWidth="1"/>
    <col min="158" max="158" width="5.109375" style="86" customWidth="1"/>
    <col min="159" max="159" width="2.82421875" style="20" customWidth="1"/>
    <col min="160" max="160" width="29.7265625" style="86" bestFit="1" customWidth="1"/>
    <col min="161" max="161" width="5.109375" style="86" customWidth="1"/>
    <col min="162" max="162" width="2.82421875" style="20" customWidth="1"/>
    <col min="163" max="163" width="29.7265625" style="86" bestFit="1" customWidth="1"/>
    <col min="164" max="164" width="5.109375" style="86" customWidth="1"/>
    <col min="165" max="165" width="2.82421875" style="20" customWidth="1"/>
    <col min="166" max="166" width="29.7265625" style="86" bestFit="1" customWidth="1"/>
    <col min="167" max="167" width="5.109375" style="86" customWidth="1"/>
    <col min="168" max="169" width="2.82421875" style="20" customWidth="1"/>
    <col min="170" max="1518" width="0" style="1" hidden="1" customWidth="1"/>
    <col min="1519" max="16384" width="10.76171875" style="1" hidden="1"/>
  </cols>
  <sheetData>
    <row r="1" spans="1:169" s="20" customFormat="1" x14ac:dyDescent="0.2">
      <c r="A1" s="65"/>
      <c r="B1" s="65"/>
      <c r="C1" s="65"/>
      <c r="D1" s="65"/>
      <c r="E1" s="111"/>
      <c r="F1" s="730"/>
      <c r="G1" s="49"/>
      <c r="H1" s="49"/>
      <c r="I1" s="65"/>
      <c r="J1" s="93"/>
      <c r="K1" s="665"/>
      <c r="L1" s="65"/>
      <c r="M1" s="87"/>
      <c r="N1" s="25"/>
      <c r="O1" s="25"/>
      <c r="P1" s="25"/>
      <c r="Q1" s="25"/>
      <c r="R1" s="49"/>
      <c r="S1" s="87">
        <f ca="1">+IFERROR(RANK(S2,OFFSET($S$2,0,0,1,$D$5*3),0),"-")</f>
        <v>36</v>
      </c>
      <c r="T1" s="87"/>
      <c r="U1" s="65"/>
      <c r="V1" s="87">
        <f ca="1">+IFERROR(RANK(V2,OFFSET($S$2,0,0,1,$D$5*3),0),"-")</f>
        <v>37</v>
      </c>
      <c r="W1" s="87"/>
      <c r="X1" s="65"/>
      <c r="Y1" s="87">
        <f ca="1">+IFERROR(RANK(Y2,OFFSET($S$2,0,0,1,$D$5*3),0),"-")</f>
        <v>5</v>
      </c>
      <c r="Z1" s="87"/>
      <c r="AA1" s="65"/>
      <c r="AB1" s="87">
        <f ca="1">+IFERROR(RANK(AB2,OFFSET($S$2,0,0,1,$D$5*3),0),"-")</f>
        <v>3</v>
      </c>
      <c r="AC1" s="87"/>
      <c r="AD1" s="65"/>
      <c r="AE1" s="87">
        <f ca="1">+IFERROR(RANK(AE2,OFFSET($S$2,0,0,1,$D$5*3),0),"-")</f>
        <v>18</v>
      </c>
      <c r="AF1" s="87"/>
      <c r="AG1" s="65"/>
      <c r="AH1" s="87">
        <f ca="1">+IFERROR(RANK(AH2,OFFSET($S$2,0,0,1,$D$5*3),0),"-")</f>
        <v>24</v>
      </c>
      <c r="AI1" s="87"/>
      <c r="AJ1" s="65"/>
      <c r="AK1" s="87">
        <f ca="1">+IFERROR(RANK(AK2,OFFSET($S$2,0,0,1,$D$5*3),0),"-")</f>
        <v>30</v>
      </c>
      <c r="AL1" s="87"/>
      <c r="AM1" s="65"/>
      <c r="AN1" s="87">
        <f ca="1">+IFERROR(RANK(AN2,OFFSET($S$2,0,0,1,$D$5*3),0),"-")</f>
        <v>13</v>
      </c>
      <c r="AO1" s="87"/>
      <c r="AP1" s="65"/>
      <c r="AQ1" s="87">
        <f ca="1">+IFERROR(RANK(AQ2,OFFSET($S$2,0,0,1,$D$5*3),0),"-")</f>
        <v>1</v>
      </c>
      <c r="AR1" s="87"/>
      <c r="AS1" s="65"/>
      <c r="AT1" s="87">
        <f ca="1">+IFERROR(RANK(AT2,OFFSET($S$2,0,0,1,$D$5*3),0),"-")</f>
        <v>31</v>
      </c>
      <c r="AU1" s="87"/>
      <c r="AV1" s="65"/>
      <c r="AW1" s="87">
        <f ca="1">+IFERROR(RANK(AW2,OFFSET($S$2,0,0,1,$D$5*3),0),"-")</f>
        <v>25</v>
      </c>
      <c r="AX1" s="87"/>
      <c r="AY1" s="65"/>
      <c r="AZ1" s="87">
        <f ca="1">+IFERROR(RANK(AZ2,OFFSET($S$2,0,0,1,$D$5*3),0),"-")</f>
        <v>23</v>
      </c>
      <c r="BA1" s="87"/>
      <c r="BB1" s="65"/>
      <c r="BC1" s="87">
        <f ca="1">+IFERROR(RANK(BC2,OFFSET($S$2,0,0,1,$D$5*3),0),"-")</f>
        <v>19</v>
      </c>
      <c r="BD1" s="87"/>
      <c r="BE1" s="65"/>
      <c r="BF1" s="87">
        <f ca="1">+IFERROR(RANK(BF2,OFFSET($S$2,0,0,1,$D$5*3),0),"-")</f>
        <v>6</v>
      </c>
      <c r="BG1" s="87"/>
      <c r="BH1" s="65"/>
      <c r="BI1" s="87">
        <f ca="1">+IFERROR(RANK(BI2,OFFSET($S$2,0,0,1,$D$5*3),0),"-")</f>
        <v>14</v>
      </c>
      <c r="BJ1" s="87"/>
      <c r="BK1" s="65"/>
      <c r="BL1" s="87">
        <f ca="1">+IFERROR(RANK(BL2,OFFSET($S$2,0,0,1,$D$5*3),0),"-")</f>
        <v>7</v>
      </c>
      <c r="BM1" s="87"/>
      <c r="BN1" s="65"/>
      <c r="BO1" s="87">
        <f ca="1">+IFERROR(RANK(BO2,OFFSET($S$2,0,0,1,$D$5*3),0),"-")</f>
        <v>15</v>
      </c>
      <c r="BP1" s="87"/>
      <c r="BQ1" s="65"/>
      <c r="BR1" s="87">
        <f ca="1">+IFERROR(RANK(BR2,OFFSET($S$2,0,0,1,$D$5*3),0),"-")</f>
        <v>17</v>
      </c>
      <c r="BS1" s="87"/>
      <c r="BT1" s="65"/>
      <c r="BU1" s="87">
        <f ca="1">+IFERROR(RANK(BU2,OFFSET($S$2,0,0,1,$D$5*3),0),"-")</f>
        <v>38</v>
      </c>
      <c r="BV1" s="87"/>
      <c r="BW1" s="65"/>
      <c r="BX1" s="87">
        <f ca="1">+IFERROR(RANK(BX2,OFFSET($S$2,0,0,1,$D$5*3),0),"-")</f>
        <v>26</v>
      </c>
      <c r="BY1" s="87"/>
      <c r="BZ1" s="65"/>
      <c r="CA1" s="87">
        <f ca="1">+IFERROR(RANK(CA2,OFFSET($S$2,0,0,1,$D$5*3),0),"-")</f>
        <v>27</v>
      </c>
      <c r="CB1" s="87"/>
      <c r="CC1" s="65"/>
      <c r="CD1" s="87">
        <f ca="1">+IFERROR(RANK(CD2,OFFSET($S$2,0,0,1,$D$5*3),0),"-")</f>
        <v>21</v>
      </c>
      <c r="CE1" s="87"/>
      <c r="CF1" s="65"/>
      <c r="CG1" s="87">
        <f ca="1">+IFERROR(RANK(CG2,OFFSET($S$2,0,0,1,$D$5*3),0),"-")</f>
        <v>34</v>
      </c>
      <c r="CH1" s="87"/>
      <c r="CI1" s="65"/>
      <c r="CJ1" s="87">
        <f ca="1">+IFERROR(RANK(CJ2,OFFSET($S$2,0,0,1,$D$5*3),0),"-")</f>
        <v>8</v>
      </c>
      <c r="CK1" s="87"/>
      <c r="CL1" s="65"/>
      <c r="CM1" s="87">
        <f ca="1">+IFERROR(RANK(CM2,OFFSET($S$2,0,0,1,$D$5*3),0),"-")</f>
        <v>28</v>
      </c>
      <c r="CN1" s="87"/>
      <c r="CO1" s="65"/>
      <c r="CP1" s="87">
        <f ca="1">+IFERROR(RANK(CP2,OFFSET($S$2,0,0,1,$D$5*3),0),"-")</f>
        <v>16</v>
      </c>
      <c r="CQ1" s="87"/>
      <c r="CR1" s="65"/>
      <c r="CS1" s="87">
        <f ca="1">+IFERROR(RANK(CS2,OFFSET($S$2,0,0,1,$D$5*3),0),"-")</f>
        <v>4</v>
      </c>
      <c r="CT1" s="87"/>
      <c r="CU1" s="65"/>
      <c r="CV1" s="87">
        <f ca="1">+IFERROR(RANK(CV2,OFFSET($S$2,0,0,1,$D$5*3),0),"-")</f>
        <v>10</v>
      </c>
      <c r="CW1" s="87"/>
      <c r="CX1" s="65"/>
      <c r="CY1" s="87">
        <f ca="1">+IFERROR(RANK(CY2,OFFSET($S$2,0,0,1,$D$5*3),0),"-")</f>
        <v>39</v>
      </c>
      <c r="CZ1" s="87"/>
      <c r="DA1" s="65"/>
      <c r="DB1" s="87">
        <f ca="1">+IFERROR(RANK(DB2,OFFSET($S$2,0,0,1,$D$5*3),0),"-")</f>
        <v>9</v>
      </c>
      <c r="DC1" s="87"/>
      <c r="DD1" s="65"/>
      <c r="DE1" s="87">
        <f ca="1">+IFERROR(RANK(DE2,OFFSET($S$2,0,0,1,$D$5*3),0),"-")</f>
        <v>22</v>
      </c>
      <c r="DF1" s="87"/>
      <c r="DG1" s="65"/>
      <c r="DH1" s="87">
        <f ca="1">+IFERROR(RANK(DH2,OFFSET($S$2,0,0,1,$D$5*3),0),"-")</f>
        <v>11</v>
      </c>
      <c r="DI1" s="87"/>
      <c r="DJ1" s="65"/>
      <c r="DK1" s="87">
        <f ca="1">+IFERROR(RANK(DK2,OFFSET($S$2,0,0,1,$D$5*3),0),"-")</f>
        <v>20</v>
      </c>
      <c r="DL1" s="87"/>
      <c r="DM1" s="65"/>
      <c r="DN1" s="87">
        <f ca="1">+IFERROR(RANK(DN2,OFFSET($S$2,0,0,1,$D$5*3),0),"-")</f>
        <v>32</v>
      </c>
      <c r="DO1" s="87"/>
      <c r="DP1" s="65"/>
      <c r="DQ1" s="87">
        <f ca="1">+IFERROR(RANK(DQ2,OFFSET($S$2,0,0,1,$D$5*3),0),"-")</f>
        <v>41</v>
      </c>
      <c r="DR1" s="87"/>
      <c r="DS1" s="65"/>
      <c r="DT1" s="87">
        <f ca="1">+IFERROR(RANK(DT2,OFFSET($S$2,0,0,1,$D$5*3),0),"-")</f>
        <v>35</v>
      </c>
      <c r="DU1" s="87"/>
      <c r="DV1" s="65"/>
      <c r="DW1" s="87">
        <f ca="1">+IFERROR(RANK(DW2,OFFSET($S$2,0,0,1,$D$5*3),0),"-")</f>
        <v>2</v>
      </c>
      <c r="DX1" s="87"/>
      <c r="DY1" s="65"/>
      <c r="DZ1" s="87">
        <f ca="1">+IFERROR(RANK(DZ2,OFFSET($S$2,0,0,1,$D$5*3),0),"-")</f>
        <v>33</v>
      </c>
      <c r="EA1" s="87"/>
      <c r="EB1" s="65"/>
      <c r="EC1" s="87">
        <f ca="1">+IFERROR(RANK(EC2,OFFSET($S$2,0,0,1,$D$5*3),0),"-")</f>
        <v>40</v>
      </c>
      <c r="ED1" s="87"/>
      <c r="EE1" s="65"/>
      <c r="EF1" s="87">
        <f ca="1">+IFERROR(RANK(EF2,OFFSET($S$2,0,0,1,$D$5*3),0),"-")</f>
        <v>29</v>
      </c>
      <c r="EG1" s="87"/>
      <c r="EH1" s="65"/>
      <c r="EI1" s="87">
        <f ca="1">+IFERROR(RANK(EI2,OFFSET($S$2,0,0,1,$D$5*3),0),"-")</f>
        <v>12</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15" customHeight="1" x14ac:dyDescent="0.2">
      <c r="A2" s="65"/>
      <c r="B2" s="65"/>
      <c r="C2" s="65"/>
      <c r="D2" s="65"/>
      <c r="E2" s="111"/>
      <c r="F2" s="730"/>
      <c r="G2" s="49"/>
      <c r="H2" s="49"/>
      <c r="I2" s="65"/>
      <c r="J2" s="93"/>
      <c r="K2" s="25"/>
      <c r="L2" s="65"/>
      <c r="M2" s="87"/>
      <c r="N2" s="25"/>
      <c r="O2" s="25"/>
      <c r="P2" s="25"/>
      <c r="Q2" s="25"/>
      <c r="R2" s="49"/>
      <c r="S2" s="87">
        <f ca="1">S4-(COLUMN()/10000)</f>
        <v>139.99809999999999</v>
      </c>
      <c r="T2" s="87"/>
      <c r="U2" s="65"/>
      <c r="V2" s="87">
        <f t="shared" ref="V2" ca="1" si="0">V4-(COLUMN()/10000)</f>
        <v>139.99780000000001</v>
      </c>
      <c r="W2" s="87"/>
      <c r="X2" s="65"/>
      <c r="Y2" s="87">
        <f t="shared" ref="Y2" ca="1" si="1">Y4-(COLUMN()/10000)</f>
        <v>162.9975</v>
      </c>
      <c r="Z2" s="87"/>
      <c r="AA2" s="65"/>
      <c r="AB2" s="87">
        <f t="shared" ref="AB2" ca="1" si="2">AB4-(COLUMN()/10000)</f>
        <v>167.99719999999999</v>
      </c>
      <c r="AC2" s="87"/>
      <c r="AD2" s="65"/>
      <c r="AE2" s="87">
        <f t="shared" ref="AE2" ca="1" si="3">AE4-(COLUMN()/10000)</f>
        <v>155.99690000000001</v>
      </c>
      <c r="AF2" s="87"/>
      <c r="AG2" s="65"/>
      <c r="AH2" s="87">
        <f t="shared" ref="AH2" ca="1" si="4">AH4-(COLUMN()/10000)</f>
        <v>146.9966</v>
      </c>
      <c r="AI2" s="87"/>
      <c r="AJ2" s="65"/>
      <c r="AK2" s="87">
        <f t="shared" ref="AK2" ca="1" si="5">AK4-(COLUMN()/10000)</f>
        <v>144.99629999999999</v>
      </c>
      <c r="AL2" s="87"/>
      <c r="AM2" s="65"/>
      <c r="AN2" s="87">
        <f t="shared" ref="AN2" ca="1" si="6">AN4-(COLUMN()/10000)</f>
        <v>158.99600000000001</v>
      </c>
      <c r="AO2" s="87"/>
      <c r="AP2" s="65"/>
      <c r="AQ2" s="87">
        <f t="shared" ref="AQ2" ca="1" si="7">AQ4-(COLUMN()/10000)</f>
        <v>176.9957</v>
      </c>
      <c r="AR2" s="87"/>
      <c r="AS2" s="65"/>
      <c r="AT2" s="87">
        <f t="shared" ref="AT2" ca="1" si="8">AT4-(COLUMN()/10000)</f>
        <v>142.99539999999999</v>
      </c>
      <c r="AU2" s="87"/>
      <c r="AV2" s="65"/>
      <c r="AW2" s="87">
        <f t="shared" ref="AW2" ca="1" si="9">AW4-(COLUMN()/10000)</f>
        <v>145.99510000000001</v>
      </c>
      <c r="AX2" s="87"/>
      <c r="AY2" s="65"/>
      <c r="AZ2" s="87">
        <f t="shared" ref="AZ2" ca="1" si="10">AZ4-(COLUMN()/10000)</f>
        <v>147.9948</v>
      </c>
      <c r="BA2" s="87"/>
      <c r="BB2" s="65"/>
      <c r="BC2" s="87">
        <f t="shared" ref="BC2" ca="1" si="11">BC4-(COLUMN()/10000)</f>
        <v>153.99449999999999</v>
      </c>
      <c r="BD2" s="87"/>
      <c r="BE2" s="65"/>
      <c r="BF2" s="87">
        <f t="shared" ref="BF2" ca="1" si="12">BF4-(COLUMN()/10000)</f>
        <v>162.99420000000001</v>
      </c>
      <c r="BG2" s="87"/>
      <c r="BH2" s="65"/>
      <c r="BI2" s="87">
        <f t="shared" ref="BI2" ca="1" si="13">BI4-(COLUMN()/10000)</f>
        <v>158.9939</v>
      </c>
      <c r="BJ2" s="87"/>
      <c r="BK2" s="65"/>
      <c r="BL2" s="87">
        <f t="shared" ref="BL2" ca="1" si="14">BL4-(COLUMN()/10000)</f>
        <v>162.99359999999999</v>
      </c>
      <c r="BM2" s="87"/>
      <c r="BN2" s="65"/>
      <c r="BO2" s="87">
        <f t="shared" ref="BO2" ca="1" si="15">BO4-(COLUMN()/10000)</f>
        <v>158.9933</v>
      </c>
      <c r="BP2" s="87"/>
      <c r="BQ2" s="65"/>
      <c r="BR2" s="87">
        <f t="shared" ref="BR2" ca="1" si="16">BR4-(COLUMN()/10000)</f>
        <v>156.99299999999999</v>
      </c>
      <c r="BS2" s="87"/>
      <c r="BT2" s="65"/>
      <c r="BU2" s="87">
        <f t="shared" ref="BU2" ca="1" si="17">BU4-(COLUMN()/10000)</f>
        <v>137.99270000000001</v>
      </c>
      <c r="BV2" s="87"/>
      <c r="BW2" s="65"/>
      <c r="BX2" s="87">
        <f t="shared" ref="BX2" ca="1" si="18">BX4-(COLUMN()/10000)</f>
        <v>145.9924</v>
      </c>
      <c r="BY2" s="87"/>
      <c r="BZ2" s="65"/>
      <c r="CA2" s="87">
        <f t="shared" ref="CA2" ca="1" si="19">CA4-(COLUMN()/10000)</f>
        <v>145.99209999999999</v>
      </c>
      <c r="CB2" s="87"/>
      <c r="CC2" s="65"/>
      <c r="CD2" s="87">
        <f t="shared" ref="CD2" ca="1" si="20">CD4-(COLUMN()/10000)</f>
        <v>150.99180000000001</v>
      </c>
      <c r="CE2" s="87"/>
      <c r="CF2" s="65"/>
      <c r="CG2" s="87">
        <f t="shared" ref="CG2" ca="1" si="21">CG4-(COLUMN()/10000)</f>
        <v>141.9915</v>
      </c>
      <c r="CH2" s="87"/>
      <c r="CI2" s="65"/>
      <c r="CJ2" s="87">
        <f t="shared" ref="CJ2" ca="1" si="22">CJ4-(COLUMN()/10000)</f>
        <v>162.99119999999999</v>
      </c>
      <c r="CK2" s="87"/>
      <c r="CL2" s="65"/>
      <c r="CM2" s="87">
        <f t="shared" ref="CM2" ca="1" si="23">CM4-(COLUMN()/10000)</f>
        <v>145.99090000000001</v>
      </c>
      <c r="CN2" s="87"/>
      <c r="CO2" s="65"/>
      <c r="CP2" s="87">
        <f t="shared" ref="CP2" ca="1" si="24">CP4-(COLUMN()/10000)</f>
        <v>157.9906</v>
      </c>
      <c r="CQ2" s="87"/>
      <c r="CR2" s="65"/>
      <c r="CS2" s="87">
        <f t="shared" ref="CS2" ca="1" si="25">CS4-(COLUMN()/10000)</f>
        <v>164.99029999999999</v>
      </c>
      <c r="CT2" s="87"/>
      <c r="CU2" s="65"/>
      <c r="CV2" s="87">
        <f t="shared" ref="CV2" ca="1" si="26">CV4-(COLUMN()/10000)</f>
        <v>161.99</v>
      </c>
      <c r="CW2" s="87"/>
      <c r="CX2" s="65"/>
      <c r="CY2" s="87">
        <f t="shared" ref="CY2" ca="1" si="27">CY4-(COLUMN()/10000)</f>
        <v>136.9897</v>
      </c>
      <c r="CZ2" s="87"/>
      <c r="DA2" s="65"/>
      <c r="DB2" s="87">
        <f t="shared" ref="DB2" ca="1" si="28">DB4-(COLUMN()/10000)</f>
        <v>162.98939999999999</v>
      </c>
      <c r="DC2" s="87"/>
      <c r="DD2" s="65"/>
      <c r="DE2" s="87">
        <f t="shared" ref="DE2" ca="1" si="29">DE4-(COLUMN()/10000)</f>
        <v>148.98910000000001</v>
      </c>
      <c r="DF2" s="87"/>
      <c r="DG2" s="65"/>
      <c r="DH2" s="87">
        <f t="shared" ref="DH2" ca="1" si="30">DH4-(COLUMN()/10000)</f>
        <v>159.9888</v>
      </c>
      <c r="DI2" s="87"/>
      <c r="DJ2" s="65"/>
      <c r="DK2" s="87">
        <f t="shared" ref="DK2" ca="1" si="31">DK4-(COLUMN()/10000)</f>
        <v>152.98849999999999</v>
      </c>
      <c r="DL2" s="87"/>
      <c r="DM2" s="65"/>
      <c r="DN2" s="87">
        <f t="shared" ref="DN2" ca="1" si="32">DN4-(COLUMN()/10000)</f>
        <v>142.98820000000001</v>
      </c>
      <c r="DO2" s="87"/>
      <c r="DP2" s="65"/>
      <c r="DQ2" s="87">
        <f t="shared" ref="DQ2" ca="1" si="33">DQ4-(COLUMN()/10000)</f>
        <v>114.9879</v>
      </c>
      <c r="DR2" s="87"/>
      <c r="DS2" s="65"/>
      <c r="DT2" s="87">
        <f t="shared" ref="DT2" ca="1" si="34">DT4-(COLUMN()/10000)</f>
        <v>140.98759999999999</v>
      </c>
      <c r="DU2" s="87"/>
      <c r="DV2" s="65"/>
      <c r="DW2" s="87">
        <f t="shared" ref="DW2" ca="1" si="35">DW4-(COLUMN()/10000)</f>
        <v>176.9873</v>
      </c>
      <c r="DX2" s="87"/>
      <c r="DY2" s="65"/>
      <c r="DZ2" s="87">
        <f t="shared" ref="DZ2" ca="1" si="36">DZ4-(COLUMN()/10000)</f>
        <v>142.98699999999999</v>
      </c>
      <c r="EA2" s="87"/>
      <c r="EB2" s="65"/>
      <c r="EC2" s="87">
        <f t="shared" ref="EC2" ca="1" si="37">EC4-(COLUMN()/10000)</f>
        <v>133.98670000000001</v>
      </c>
      <c r="ED2" s="87"/>
      <c r="EE2" s="65"/>
      <c r="EF2" s="87">
        <f t="shared" ref="EF2" ca="1" si="38">EF4-(COLUMN()/10000)</f>
        <v>145.9864</v>
      </c>
      <c r="EG2" s="87"/>
      <c r="EH2" s="65"/>
      <c r="EI2" s="87">
        <f t="shared" ref="EI2" ca="1" si="39">EI4-(COLUMN()/10000)</f>
        <v>159.98609999999999</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x14ac:dyDescent="0.2">
      <c r="A3" s="65"/>
      <c r="B3" s="65"/>
      <c r="C3" s="65"/>
      <c r="D3" s="65"/>
      <c r="E3" s="111"/>
      <c r="F3" s="730"/>
      <c r="G3" s="49"/>
      <c r="H3" s="49"/>
      <c r="I3" s="65"/>
      <c r="J3" s="93"/>
      <c r="K3" s="87"/>
      <c r="L3" s="65"/>
      <c r="M3" s="87"/>
      <c r="N3" s="25"/>
      <c r="O3" s="25"/>
      <c r="P3" s="25"/>
      <c r="Q3" s="25"/>
      <c r="R3" s="49"/>
      <c r="S3" s="87">
        <f ca="1">RANK(S4,OFFSET($S$4,0,0,1,$D$5*3),0)</f>
        <v>36</v>
      </c>
      <c r="T3" s="87"/>
      <c r="U3" s="65"/>
      <c r="V3" s="87">
        <f ca="1">RANK(V4,OFFSET($S$4,0,0,1,$D$5*3),0)</f>
        <v>36</v>
      </c>
      <c r="W3" s="87"/>
      <c r="X3" s="65"/>
      <c r="Y3" s="87">
        <f ca="1">RANK(Y4,OFFSET($S$4,0,0,1,$D$5*3),0)</f>
        <v>5</v>
      </c>
      <c r="Z3" s="87"/>
      <c r="AA3" s="65"/>
      <c r="AB3" s="87">
        <f ca="1">RANK(AB4,OFFSET($S$4,0,0,1,$D$5*3),0)</f>
        <v>3</v>
      </c>
      <c r="AC3" s="87"/>
      <c r="AD3" s="65"/>
      <c r="AE3" s="87">
        <f ca="1">RANK(AE4,OFFSET($S$4,0,0,1,$D$5*3),0)</f>
        <v>18</v>
      </c>
      <c r="AF3" s="87"/>
      <c r="AG3" s="65"/>
      <c r="AH3" s="87">
        <f ca="1">RANK(AH4,OFFSET($S$4,0,0,1,$D$5*3),0)</f>
        <v>24</v>
      </c>
      <c r="AI3" s="87"/>
      <c r="AJ3" s="65"/>
      <c r="AK3" s="87">
        <f ca="1">RANK(AK4,OFFSET($S$4,0,0,1,$D$5*3),0)</f>
        <v>30</v>
      </c>
      <c r="AL3" s="87"/>
      <c r="AM3" s="65"/>
      <c r="AN3" s="87">
        <f ca="1">RANK(AN4,OFFSET($S$4,0,0,1,$D$5*3),0)</f>
        <v>13</v>
      </c>
      <c r="AO3" s="87"/>
      <c r="AP3" s="65"/>
      <c r="AQ3" s="87">
        <f ca="1">RANK(AQ4,OFFSET($S$4,0,0,1,$D$5*3),0)</f>
        <v>1</v>
      </c>
      <c r="AR3" s="87"/>
      <c r="AS3" s="65"/>
      <c r="AT3" s="87">
        <f ca="1">RANK(AT4,OFFSET($S$4,0,0,1,$D$5*3),0)</f>
        <v>31</v>
      </c>
      <c r="AU3" s="87"/>
      <c r="AV3" s="65"/>
      <c r="AW3" s="87">
        <f ca="1">RANK(AW4,OFFSET($S$4,0,0,1,$D$5*3),0)</f>
        <v>25</v>
      </c>
      <c r="AX3" s="87"/>
      <c r="AY3" s="65"/>
      <c r="AZ3" s="87">
        <f ca="1">RANK(AZ4,OFFSET($S$4,0,0,1,$D$5*3),0)</f>
        <v>23</v>
      </c>
      <c r="BA3" s="87"/>
      <c r="BB3" s="65"/>
      <c r="BC3" s="87">
        <f ca="1">RANK(BC4,OFFSET($S$4,0,0,1,$D$5*3),0)</f>
        <v>19</v>
      </c>
      <c r="BD3" s="87"/>
      <c r="BE3" s="65"/>
      <c r="BF3" s="87">
        <f ca="1">RANK(BF4,OFFSET($S$4,0,0,1,$D$5*3),0)</f>
        <v>5</v>
      </c>
      <c r="BG3" s="87"/>
      <c r="BH3" s="65"/>
      <c r="BI3" s="87">
        <f ca="1">RANK(BI4,OFFSET($S$4,0,0,1,$D$5*3),0)</f>
        <v>13</v>
      </c>
      <c r="BJ3" s="87"/>
      <c r="BK3" s="65"/>
      <c r="BL3" s="87">
        <f ca="1">RANK(BL4,OFFSET($S$4,0,0,1,$D$5*3),0)</f>
        <v>5</v>
      </c>
      <c r="BM3" s="87"/>
      <c r="BN3" s="65"/>
      <c r="BO3" s="87">
        <f ca="1">RANK(BO4,OFFSET($S$4,0,0,1,$D$5*3),0)</f>
        <v>13</v>
      </c>
      <c r="BP3" s="87"/>
      <c r="BQ3" s="65"/>
      <c r="BR3" s="87">
        <f ca="1">RANK(BR4,OFFSET($S$4,0,0,1,$D$5*3),0)</f>
        <v>17</v>
      </c>
      <c r="BS3" s="87"/>
      <c r="BT3" s="65"/>
      <c r="BU3" s="87">
        <f ca="1">RANK(BU4,OFFSET($S$4,0,0,1,$D$5*3),0)</f>
        <v>38</v>
      </c>
      <c r="BV3" s="87"/>
      <c r="BW3" s="65"/>
      <c r="BX3" s="87">
        <f ca="1">RANK(BX4,OFFSET($S$4,0,0,1,$D$5*3),0)</f>
        <v>25</v>
      </c>
      <c r="BY3" s="87"/>
      <c r="BZ3" s="65"/>
      <c r="CA3" s="87">
        <f ca="1">RANK(CA4,OFFSET($S$4,0,0,1,$D$5*3),0)</f>
        <v>25</v>
      </c>
      <c r="CB3" s="87"/>
      <c r="CC3" s="65"/>
      <c r="CD3" s="87">
        <f ca="1">RANK(CD4,OFFSET($S$4,0,0,1,$D$5*3),0)</f>
        <v>21</v>
      </c>
      <c r="CE3" s="87"/>
      <c r="CF3" s="65"/>
      <c r="CG3" s="87">
        <f ca="1">RANK(CG4,OFFSET($S$4,0,0,1,$D$5*3),0)</f>
        <v>34</v>
      </c>
      <c r="CH3" s="87"/>
      <c r="CI3" s="65"/>
      <c r="CJ3" s="87">
        <f ca="1">RANK(CJ4,OFFSET($S$4,0,0,1,$D$5*3),0)</f>
        <v>5</v>
      </c>
      <c r="CK3" s="87"/>
      <c r="CL3" s="65"/>
      <c r="CM3" s="87">
        <f ca="1">RANK(CM4,OFFSET($S$4,0,0,1,$D$5*3),0)</f>
        <v>25</v>
      </c>
      <c r="CN3" s="87"/>
      <c r="CO3" s="65"/>
      <c r="CP3" s="87">
        <f ca="1">RANK(CP4,OFFSET($S$4,0,0,1,$D$5*3),0)</f>
        <v>16</v>
      </c>
      <c r="CQ3" s="87"/>
      <c r="CR3" s="65"/>
      <c r="CS3" s="87">
        <f ca="1">RANK(CS4,OFFSET($S$4,0,0,1,$D$5*3),0)</f>
        <v>4</v>
      </c>
      <c r="CT3" s="87"/>
      <c r="CU3" s="65"/>
      <c r="CV3" s="87">
        <f ca="1">RANK(CV4,OFFSET($S$4,0,0,1,$D$5*3),0)</f>
        <v>10</v>
      </c>
      <c r="CW3" s="87"/>
      <c r="CX3" s="65"/>
      <c r="CY3" s="87">
        <f ca="1">RANK(CY4,OFFSET($S$4,0,0,1,$D$5*3),0)</f>
        <v>39</v>
      </c>
      <c r="CZ3" s="87"/>
      <c r="DA3" s="65"/>
      <c r="DB3" s="87">
        <f ca="1">RANK(DB4,OFFSET($S$4,0,0,1,$D$5*3),0)</f>
        <v>5</v>
      </c>
      <c r="DC3" s="87"/>
      <c r="DD3" s="65"/>
      <c r="DE3" s="87">
        <f ca="1">RANK(DE4,OFFSET($S$4,0,0,1,$D$5*3),0)</f>
        <v>22</v>
      </c>
      <c r="DF3" s="87"/>
      <c r="DG3" s="65"/>
      <c r="DH3" s="87">
        <f ca="1">RANK(DH4,OFFSET($S$4,0,0,1,$D$5*3),0)</f>
        <v>11</v>
      </c>
      <c r="DI3" s="87"/>
      <c r="DJ3" s="65"/>
      <c r="DK3" s="87">
        <f ca="1">RANK(DK4,OFFSET($S$4,0,0,1,$D$5*3),0)</f>
        <v>20</v>
      </c>
      <c r="DL3" s="87"/>
      <c r="DM3" s="65"/>
      <c r="DN3" s="87">
        <f ca="1">RANK(DN4,OFFSET($S$4,0,0,1,$D$5*3),0)</f>
        <v>31</v>
      </c>
      <c r="DO3" s="87"/>
      <c r="DP3" s="65"/>
      <c r="DQ3" s="87">
        <f ca="1">RANK(DQ4,OFFSET($S$4,0,0,1,$D$5*3),0)</f>
        <v>41</v>
      </c>
      <c r="DR3" s="87"/>
      <c r="DS3" s="65"/>
      <c r="DT3" s="87">
        <f ca="1">RANK(DT4,OFFSET($S$4,0,0,1,$D$5*3),0)</f>
        <v>35</v>
      </c>
      <c r="DU3" s="87"/>
      <c r="DV3" s="65"/>
      <c r="DW3" s="87">
        <f ca="1">RANK(DW4,OFFSET($S$4,0,0,1,$D$5*3),0)</f>
        <v>1</v>
      </c>
      <c r="DX3" s="87"/>
      <c r="DY3" s="65"/>
      <c r="DZ3" s="87">
        <f ca="1">RANK(DZ4,OFFSET($S$4,0,0,1,$D$5*3),0)</f>
        <v>31</v>
      </c>
      <c r="EA3" s="87"/>
      <c r="EB3" s="65"/>
      <c r="EC3" s="87">
        <f ca="1">RANK(EC4,OFFSET($S$4,0,0,1,$D$5*3),0)</f>
        <v>40</v>
      </c>
      <c r="ED3" s="87"/>
      <c r="EE3" s="65"/>
      <c r="EF3" s="87">
        <f ca="1">RANK(EF4,OFFSET($S$4,0,0,1,$D$5*3),0)</f>
        <v>25</v>
      </c>
      <c r="EG3" s="87"/>
      <c r="EH3" s="65"/>
      <c r="EI3" s="87">
        <f ca="1">RANK(EI4,OFFSET($S$4,0,0,1,$D$5*3),0)</f>
        <v>11</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x14ac:dyDescent="0.25">
      <c r="A4" s="49"/>
      <c r="B4" s="49"/>
      <c r="C4" s="50"/>
      <c r="D4" s="49"/>
      <c r="E4" s="111"/>
      <c r="F4" s="730"/>
      <c r="G4" s="49"/>
      <c r="H4" s="49"/>
      <c r="I4" s="666"/>
      <c r="J4" s="93"/>
      <c r="K4" s="87"/>
      <c r="L4" s="65"/>
      <c r="M4" s="87"/>
      <c r="N4" s="25"/>
      <c r="O4" s="25"/>
      <c r="P4" s="25"/>
      <c r="Q4" s="25"/>
      <c r="R4" s="49"/>
      <c r="S4" s="67">
        <f ca="1">SUM(T6:T259)/2</f>
        <v>140</v>
      </c>
      <c r="T4" s="68"/>
      <c r="U4" s="65"/>
      <c r="V4" s="67">
        <f ca="1">SUM(W6:W259)/2</f>
        <v>140</v>
      </c>
      <c r="W4" s="68"/>
      <c r="X4" s="65"/>
      <c r="Y4" s="67">
        <f ca="1">SUM(Z6:Z259)/2</f>
        <v>163</v>
      </c>
      <c r="Z4" s="68"/>
      <c r="AA4" s="65"/>
      <c r="AB4" s="67">
        <f ca="1">SUM(AC6:AC259)/2</f>
        <v>168</v>
      </c>
      <c r="AC4" s="68"/>
      <c r="AD4" s="65"/>
      <c r="AE4" s="67">
        <f ca="1">SUM(AF6:AF259)/2</f>
        <v>156</v>
      </c>
      <c r="AF4" s="68"/>
      <c r="AG4" s="65"/>
      <c r="AH4" s="67">
        <f ca="1">SUM(AI6:AI259)/2</f>
        <v>147</v>
      </c>
      <c r="AI4" s="68"/>
      <c r="AJ4" s="65"/>
      <c r="AK4" s="67">
        <f ca="1">SUM(AL6:AL259)/2</f>
        <v>145</v>
      </c>
      <c r="AL4" s="68"/>
      <c r="AM4" s="65"/>
      <c r="AN4" s="67">
        <f ca="1">SUM(AO6:AO259)/2</f>
        <v>159</v>
      </c>
      <c r="AO4" s="68"/>
      <c r="AP4" s="65"/>
      <c r="AQ4" s="67">
        <f ca="1">SUM(AR6:AR259)/2</f>
        <v>177</v>
      </c>
      <c r="AR4" s="68"/>
      <c r="AS4" s="65"/>
      <c r="AT4" s="67">
        <f ca="1">SUM(AU6:AU259)/2</f>
        <v>143</v>
      </c>
      <c r="AU4" s="68"/>
      <c r="AV4" s="65"/>
      <c r="AW4" s="67">
        <f ca="1">SUM(AX6:AX259)/2</f>
        <v>146</v>
      </c>
      <c r="AX4" s="68"/>
      <c r="AY4" s="65"/>
      <c r="AZ4" s="67">
        <f ca="1">SUM(BA6:BA259)/2</f>
        <v>148</v>
      </c>
      <c r="BA4" s="68"/>
      <c r="BB4" s="65"/>
      <c r="BC4" s="67">
        <f ca="1">SUM(BD6:BD259)/2</f>
        <v>154</v>
      </c>
      <c r="BD4" s="68"/>
      <c r="BE4" s="65"/>
      <c r="BF4" s="67">
        <f ca="1">SUM(BG6:BG259)/2</f>
        <v>163</v>
      </c>
      <c r="BG4" s="68"/>
      <c r="BH4" s="65"/>
      <c r="BI4" s="67">
        <f ca="1">SUM(BJ6:BJ259)/2</f>
        <v>159</v>
      </c>
      <c r="BJ4" s="68"/>
      <c r="BK4" s="65"/>
      <c r="BL4" s="67">
        <f ca="1">SUM(BM6:BM259)/2</f>
        <v>163</v>
      </c>
      <c r="BM4" s="68"/>
      <c r="BN4" s="65"/>
      <c r="BO4" s="67">
        <f ca="1">SUM(BP6:BP259)/2</f>
        <v>159</v>
      </c>
      <c r="BP4" s="68"/>
      <c r="BQ4" s="65"/>
      <c r="BR4" s="67">
        <f ca="1">SUM(BS6:BS259)/2</f>
        <v>157</v>
      </c>
      <c r="BS4" s="68"/>
      <c r="BT4" s="65"/>
      <c r="BU4" s="67">
        <f ca="1">SUM(BV6:BV259)/2</f>
        <v>138</v>
      </c>
      <c r="BV4" s="68"/>
      <c r="BW4" s="65"/>
      <c r="BX4" s="67">
        <f ca="1">SUM(BY6:BY259)/2</f>
        <v>146</v>
      </c>
      <c r="BY4" s="68"/>
      <c r="BZ4" s="65"/>
      <c r="CA4" s="67">
        <f ca="1">SUM(CB6:CB259)/2</f>
        <v>146</v>
      </c>
      <c r="CB4" s="68"/>
      <c r="CC4" s="65"/>
      <c r="CD4" s="67">
        <f ca="1">SUM(CE6:CE259)/2</f>
        <v>151</v>
      </c>
      <c r="CE4" s="68"/>
      <c r="CF4" s="65"/>
      <c r="CG4" s="67">
        <f ca="1">SUM(CH6:CH259)/2</f>
        <v>142</v>
      </c>
      <c r="CH4" s="68"/>
      <c r="CI4" s="65"/>
      <c r="CJ4" s="67">
        <f ca="1">SUM(CK6:CK259)/2</f>
        <v>163</v>
      </c>
      <c r="CK4" s="68"/>
      <c r="CL4" s="65"/>
      <c r="CM4" s="67">
        <f ca="1">SUM(CN6:CN259)/2</f>
        <v>146</v>
      </c>
      <c r="CN4" s="68"/>
      <c r="CO4" s="65"/>
      <c r="CP4" s="67">
        <f ca="1">SUM(CQ6:CQ259)/2</f>
        <v>158</v>
      </c>
      <c r="CQ4" s="68"/>
      <c r="CR4" s="65"/>
      <c r="CS4" s="67">
        <f ca="1">SUM(CT6:CT259)/2</f>
        <v>165</v>
      </c>
      <c r="CT4" s="68"/>
      <c r="CU4" s="65"/>
      <c r="CV4" s="67">
        <f ca="1">SUM(CW6:CW259)/2</f>
        <v>162</v>
      </c>
      <c r="CW4" s="68"/>
      <c r="CX4" s="65"/>
      <c r="CY4" s="67">
        <f ca="1">SUM(CZ6:CZ259)/2</f>
        <v>137</v>
      </c>
      <c r="CZ4" s="68"/>
      <c r="DA4" s="65"/>
      <c r="DB4" s="67">
        <f ca="1">SUM(DC6:DC259)/2</f>
        <v>163</v>
      </c>
      <c r="DC4" s="68"/>
      <c r="DD4" s="65"/>
      <c r="DE4" s="67">
        <f ca="1">SUM(DF6:DF259)/2</f>
        <v>149</v>
      </c>
      <c r="DF4" s="68"/>
      <c r="DG4" s="65"/>
      <c r="DH4" s="67">
        <f ca="1">SUM(DI6:DI259)/2</f>
        <v>160</v>
      </c>
      <c r="DI4" s="68"/>
      <c r="DJ4" s="65"/>
      <c r="DK4" s="67">
        <f ca="1">SUM(DL6:DL259)/2</f>
        <v>153</v>
      </c>
      <c r="DL4" s="68"/>
      <c r="DM4" s="65"/>
      <c r="DN4" s="67">
        <f ca="1">SUM(DO6:DO259)/2</f>
        <v>143</v>
      </c>
      <c r="DO4" s="68"/>
      <c r="DP4" s="65"/>
      <c r="DQ4" s="67">
        <f ca="1">SUM(DR6:DR259)/2</f>
        <v>115</v>
      </c>
      <c r="DR4" s="68"/>
      <c r="DS4" s="65"/>
      <c r="DT4" s="67">
        <f ca="1">SUM(DU6:DU259)/2</f>
        <v>141</v>
      </c>
      <c r="DU4" s="68"/>
      <c r="DV4" s="65"/>
      <c r="DW4" s="67">
        <f ca="1">SUM(DX6:DX259)/2</f>
        <v>177</v>
      </c>
      <c r="DX4" s="68"/>
      <c r="DY4" s="65"/>
      <c r="DZ4" s="67">
        <f ca="1">SUM(EA6:EA259)/2</f>
        <v>143</v>
      </c>
      <c r="EA4" s="68"/>
      <c r="EB4" s="65"/>
      <c r="EC4" s="67">
        <f ca="1">SUM(ED6:ED259)/2</f>
        <v>134</v>
      </c>
      <c r="ED4" s="68"/>
      <c r="EE4" s="65"/>
      <c r="EF4" s="67">
        <f ca="1">SUM(EG6:EG259)/2</f>
        <v>146</v>
      </c>
      <c r="EG4" s="68"/>
      <c r="EH4" s="65"/>
      <c r="EI4" s="67">
        <f ca="1">SUM(EJ6:EJ259)/2</f>
        <v>160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75" thickBot="1" x14ac:dyDescent="0.25">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75" thickBot="1" x14ac:dyDescent="0.25">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x14ac:dyDescent="0.2">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x14ac:dyDescent="0.2">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x14ac:dyDescent="0.2">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x14ac:dyDescent="0.2">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x14ac:dyDescent="0.2">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x14ac:dyDescent="0.2">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x14ac:dyDescent="0.2">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x14ac:dyDescent="0.2">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x14ac:dyDescent="0.2">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x14ac:dyDescent="0.2">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x14ac:dyDescent="0.2">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x14ac:dyDescent="0.2">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x14ac:dyDescent="0.2">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x14ac:dyDescent="0.2">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x14ac:dyDescent="0.2">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x14ac:dyDescent="0.2">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x14ac:dyDescent="0.2">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x14ac:dyDescent="0.2">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x14ac:dyDescent="0.2">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x14ac:dyDescent="0.2">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x14ac:dyDescent="0.2">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x14ac:dyDescent="0.2">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x14ac:dyDescent="0.2">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x14ac:dyDescent="0.2">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x14ac:dyDescent="0.2">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x14ac:dyDescent="0.2">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x14ac:dyDescent="0.2">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x14ac:dyDescent="0.2">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x14ac:dyDescent="0.2">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x14ac:dyDescent="0.2">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x14ac:dyDescent="0.2">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x14ac:dyDescent="0.2">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x14ac:dyDescent="0.2">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x14ac:dyDescent="0.2">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x14ac:dyDescent="0.2">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x14ac:dyDescent="0.2">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x14ac:dyDescent="0.2">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x14ac:dyDescent="0.2">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x14ac:dyDescent="0.2">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x14ac:dyDescent="0.2">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x14ac:dyDescent="0.2">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x14ac:dyDescent="0.2">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75" thickBot="1" x14ac:dyDescent="0.25">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75" thickBot="1" x14ac:dyDescent="0.25">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x14ac:dyDescent="0.2">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x14ac:dyDescent="0.2">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x14ac:dyDescent="0.2">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x14ac:dyDescent="0.2">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x14ac:dyDescent="0.2">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x14ac:dyDescent="0.2">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x14ac:dyDescent="0.2">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x14ac:dyDescent="0.2">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x14ac:dyDescent="0.2">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x14ac:dyDescent="0.2">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x14ac:dyDescent="0.2">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x14ac:dyDescent="0.2">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x14ac:dyDescent="0.2">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x14ac:dyDescent="0.2">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x14ac:dyDescent="0.2">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x14ac:dyDescent="0.2">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x14ac:dyDescent="0.2">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x14ac:dyDescent="0.2">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x14ac:dyDescent="0.2">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x14ac:dyDescent="0.2">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x14ac:dyDescent="0.2">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x14ac:dyDescent="0.2">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x14ac:dyDescent="0.2">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x14ac:dyDescent="0.2">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x14ac:dyDescent="0.2">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x14ac:dyDescent="0.2">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x14ac:dyDescent="0.2">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x14ac:dyDescent="0.2">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57</v>
      </c>
      <c r="U78" s="64"/>
      <c r="V78" s="82"/>
      <c r="W78" s="83">
        <f>SUM(W6:W77)</f>
        <v>54</v>
      </c>
      <c r="X78" s="64"/>
      <c r="Y78" s="82"/>
      <c r="Z78" s="83">
        <f t="shared" ref="Z78" si="127">SUM(Z6:Z77)</f>
        <v>70</v>
      </c>
      <c r="AA78" s="64"/>
      <c r="AB78" s="82"/>
      <c r="AC78" s="83">
        <f t="shared" ref="AC78" si="128">SUM(AC6:AC77)</f>
        <v>80</v>
      </c>
      <c r="AD78" s="64"/>
      <c r="AE78" s="82"/>
      <c r="AF78" s="83">
        <f t="shared" ref="AF78" si="129">SUM(AF6:AF77)</f>
        <v>63</v>
      </c>
      <c r="AG78" s="64"/>
      <c r="AH78" s="82"/>
      <c r="AI78" s="83">
        <f t="shared" ref="AI78" si="130">SUM(AI6:AI77)</f>
        <v>63</v>
      </c>
      <c r="AJ78" s="64"/>
      <c r="AK78" s="82"/>
      <c r="AL78" s="83">
        <f t="shared" ref="AL78" si="131">SUM(AL6:AL77)</f>
        <v>61</v>
      </c>
      <c r="AM78" s="64"/>
      <c r="AN78" s="82"/>
      <c r="AO78" s="83">
        <f t="shared" ref="AO78" si="132">SUM(AO6:AO77)</f>
        <v>66</v>
      </c>
      <c r="AP78" s="64"/>
      <c r="AQ78" s="82"/>
      <c r="AR78" s="83">
        <f t="shared" ref="AR78" si="133">SUM(AR6:AR77)</f>
        <v>89</v>
      </c>
      <c r="AS78" s="64"/>
      <c r="AT78" s="82"/>
      <c r="AU78" s="83">
        <f t="shared" ref="AU78" si="134">SUM(AU6:AU77)</f>
        <v>52</v>
      </c>
      <c r="AV78" s="64"/>
      <c r="AW78" s="82"/>
      <c r="AX78" s="83">
        <f t="shared" ref="AX78" si="135">SUM(AX6:AX77)</f>
        <v>55</v>
      </c>
      <c r="AY78" s="64"/>
      <c r="AZ78" s="82"/>
      <c r="BA78" s="83">
        <f t="shared" ref="BA78" si="136">SUM(BA6:BA77)</f>
        <v>59</v>
      </c>
      <c r="BB78" s="64"/>
      <c r="BC78" s="82"/>
      <c r="BD78" s="83">
        <f t="shared" ref="BD78" si="137">SUM(BD6:BD77)</f>
        <v>66</v>
      </c>
      <c r="BE78" s="64"/>
      <c r="BF78" s="82"/>
      <c r="BG78" s="83">
        <f t="shared" ref="BG78" si="138">SUM(BG6:BG77)</f>
        <v>68</v>
      </c>
      <c r="BH78" s="64"/>
      <c r="BI78" s="82"/>
      <c r="BJ78" s="83">
        <f t="shared" ref="BJ78" si="139">SUM(BJ6:BJ77)</f>
        <v>68</v>
      </c>
      <c r="BK78" s="64"/>
      <c r="BL78" s="82"/>
      <c r="BM78" s="83">
        <f t="shared" ref="BM78" si="140">SUM(BM6:BM77)</f>
        <v>76</v>
      </c>
      <c r="BN78" s="64"/>
      <c r="BO78" s="82"/>
      <c r="BP78" s="83">
        <f t="shared" ref="BP78" si="141">SUM(BP6:BP77)</f>
        <v>72</v>
      </c>
      <c r="BQ78" s="64"/>
      <c r="BR78" s="82"/>
      <c r="BS78" s="83">
        <f t="shared" ref="BS78" si="142">SUM(BS6:BS77)</f>
        <v>73</v>
      </c>
      <c r="BT78" s="64"/>
      <c r="BU78" s="82"/>
      <c r="BV78" s="83">
        <f t="shared" ref="BV78" si="143">SUM(BV6:BV77)</f>
        <v>57</v>
      </c>
      <c r="BW78" s="64"/>
      <c r="BX78" s="82"/>
      <c r="BY78" s="83">
        <f t="shared" ref="BY78" si="144">SUM(BY6:BY77)</f>
        <v>66</v>
      </c>
      <c r="BZ78" s="64"/>
      <c r="CA78" s="82"/>
      <c r="CB78" s="83">
        <f t="shared" ref="CB78" si="145">SUM(CB6:CB77)</f>
        <v>62</v>
      </c>
      <c r="CC78" s="64"/>
      <c r="CD78" s="82"/>
      <c r="CE78" s="83">
        <f t="shared" ref="CE78" si="146">SUM(CE6:CE77)</f>
        <v>65</v>
      </c>
      <c r="CF78" s="64"/>
      <c r="CG78" s="82"/>
      <c r="CH78" s="83">
        <f t="shared" ref="CH78" si="147">SUM(CH6:CH77)</f>
        <v>58</v>
      </c>
      <c r="CI78" s="64"/>
      <c r="CJ78" s="82"/>
      <c r="CK78" s="83">
        <f t="shared" ref="CK78" si="148">SUM(CK6:CK77)</f>
        <v>74</v>
      </c>
      <c r="CL78" s="64"/>
      <c r="CM78" s="82"/>
      <c r="CN78" s="83">
        <f t="shared" ref="CN78" si="149">SUM(CN6:CN77)</f>
        <v>59</v>
      </c>
      <c r="CO78" s="64"/>
      <c r="CP78" s="82"/>
      <c r="CQ78" s="83">
        <f t="shared" ref="CQ78" si="150">SUM(CQ6:CQ77)</f>
        <v>66</v>
      </c>
      <c r="CR78" s="64"/>
      <c r="CS78" s="82"/>
      <c r="CT78" s="83">
        <f t="shared" ref="CT78" si="151">SUM(CT6:CT77)</f>
        <v>64</v>
      </c>
      <c r="CU78" s="64"/>
      <c r="CV78" s="82"/>
      <c r="CW78" s="83">
        <f t="shared" ref="CW78" si="152">SUM(CW6:CW77)</f>
        <v>71</v>
      </c>
      <c r="CX78" s="64"/>
      <c r="CY78" s="82"/>
      <c r="CZ78" s="83">
        <f t="shared" ref="CZ78" si="153">SUM(CZ6:CZ77)</f>
        <v>54</v>
      </c>
      <c r="DA78" s="64"/>
      <c r="DB78" s="82"/>
      <c r="DC78" s="83">
        <f t="shared" ref="DC78" si="154">SUM(DC6:DC77)</f>
        <v>66</v>
      </c>
      <c r="DD78" s="64"/>
      <c r="DE78" s="82"/>
      <c r="DF78" s="83">
        <f t="shared" ref="DF78" si="155">SUM(DF6:DF77)</f>
        <v>58</v>
      </c>
      <c r="DG78" s="64"/>
      <c r="DH78" s="82"/>
      <c r="DI78" s="83">
        <f t="shared" ref="DI78" si="156">SUM(DI6:DI77)</f>
        <v>71</v>
      </c>
      <c r="DJ78" s="64"/>
      <c r="DK78" s="82"/>
      <c r="DL78" s="83">
        <f t="shared" ref="DL78" si="157">SUM(DL6:DL77)</f>
        <v>73</v>
      </c>
      <c r="DM78" s="64"/>
      <c r="DN78" s="796"/>
      <c r="DO78" s="83">
        <f t="shared" ref="DO78" si="158">SUM(DO6:DO77)</f>
        <v>57</v>
      </c>
      <c r="DP78" s="64"/>
      <c r="DQ78" s="796"/>
      <c r="DR78" s="83">
        <f t="shared" ref="DR78" si="159">SUM(DR6:DR77)</f>
        <v>49</v>
      </c>
      <c r="DS78" s="64"/>
      <c r="DT78" s="82"/>
      <c r="DU78" s="83">
        <f t="shared" ref="DU78" si="160">SUM(DU6:DU77)</f>
        <v>61</v>
      </c>
      <c r="DV78" s="64"/>
      <c r="DW78" s="82"/>
      <c r="DX78" s="83">
        <f t="shared" ref="DX78" si="161">SUM(DX6:DX77)</f>
        <v>82</v>
      </c>
      <c r="DY78" s="64"/>
      <c r="DZ78" s="82"/>
      <c r="EA78" s="83">
        <f t="shared" ref="EA78" si="162">SUM(EA6:EA77)</f>
        <v>63</v>
      </c>
      <c r="EB78" s="64"/>
      <c r="EC78" s="82"/>
      <c r="ED78" s="83">
        <f t="shared" ref="ED78" si="163">SUM(ED6:ED77)</f>
        <v>63</v>
      </c>
      <c r="EE78" s="64"/>
      <c r="EF78" s="82"/>
      <c r="EG78" s="83">
        <f t="shared" ref="EG78" si="164">SUM(EG6:EG77)</f>
        <v>58</v>
      </c>
      <c r="EH78" s="64"/>
      <c r="EI78" s="82"/>
      <c r="EJ78" s="83">
        <f t="shared" ref="EJ78" si="165">SUM(EJ6:EJ77)</f>
        <v>73</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x14ac:dyDescent="0.2">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x14ac:dyDescent="0.2">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x14ac:dyDescent="0.2">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x14ac:dyDescent="0.2">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x14ac:dyDescent="0.2">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x14ac:dyDescent="0.2">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x14ac:dyDescent="0.2">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x14ac:dyDescent="0.2">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x14ac:dyDescent="0.2">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x14ac:dyDescent="0.2">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x14ac:dyDescent="0.2">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x14ac:dyDescent="0.2">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x14ac:dyDescent="0.2">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x14ac:dyDescent="0.2">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x14ac:dyDescent="0.2">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x14ac:dyDescent="0.2">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x14ac:dyDescent="0.2">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x14ac:dyDescent="0.2">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x14ac:dyDescent="0.2">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x14ac:dyDescent="0.2">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x14ac:dyDescent="0.2">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x14ac:dyDescent="0.2">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x14ac:dyDescent="0.2">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x14ac:dyDescent="0.2">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x14ac:dyDescent="0.2">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x14ac:dyDescent="0.2">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x14ac:dyDescent="0.2">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x14ac:dyDescent="0.2">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x14ac:dyDescent="0.2">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x14ac:dyDescent="0.2">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x14ac:dyDescent="0.2">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x14ac:dyDescent="0.2">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x14ac:dyDescent="0.2">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x14ac:dyDescent="0.2">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x14ac:dyDescent="0.2">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x14ac:dyDescent="0.2">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x14ac:dyDescent="0.2">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x14ac:dyDescent="0.2">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x14ac:dyDescent="0.2">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x14ac:dyDescent="0.2">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x14ac:dyDescent="0.2">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x14ac:dyDescent="0.2">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x14ac:dyDescent="0.2">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x14ac:dyDescent="0.2">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x14ac:dyDescent="0.2">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x14ac:dyDescent="0.2">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x14ac:dyDescent="0.2">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x14ac:dyDescent="0.2">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x14ac:dyDescent="0.2">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x14ac:dyDescent="0.2">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38</v>
      </c>
      <c r="U128" s="65"/>
      <c r="V128" s="84"/>
      <c r="W128" s="71">
        <f t="shared" ref="W128" ca="1" si="591">SUM(W80:W127)</f>
        <v>44</v>
      </c>
      <c r="X128" s="65"/>
      <c r="Y128" s="84"/>
      <c r="Z128" s="71">
        <f t="shared" ref="Z128" ca="1" si="592">SUM(Z80:Z127)</f>
        <v>48</v>
      </c>
      <c r="AA128" s="65"/>
      <c r="AB128" s="84"/>
      <c r="AC128" s="71">
        <f t="shared" ref="AC128" ca="1" si="593">SUM(AC80:AC127)</f>
        <v>46</v>
      </c>
      <c r="AD128" s="65"/>
      <c r="AE128" s="84"/>
      <c r="AF128" s="71">
        <f t="shared" ref="AF128" ca="1" si="594">SUM(AF80:AF127)</f>
        <v>48</v>
      </c>
      <c r="AG128" s="65"/>
      <c r="AH128" s="84"/>
      <c r="AI128" s="71">
        <f t="shared" ref="AI128" ca="1" si="595">SUM(AI80:AI127)</f>
        <v>42</v>
      </c>
      <c r="AJ128" s="65"/>
      <c r="AK128" s="84"/>
      <c r="AL128" s="71">
        <f t="shared" ref="AL128" ca="1" si="596">SUM(AL80:AL127)</f>
        <v>42</v>
      </c>
      <c r="AM128" s="65"/>
      <c r="AN128" s="84"/>
      <c r="AO128" s="71">
        <f t="shared" ref="AO128" ca="1" si="597">SUM(AO80:AO127)</f>
        <v>48</v>
      </c>
      <c r="AP128" s="65"/>
      <c r="AQ128" s="84"/>
      <c r="AR128" s="71">
        <f t="shared" ref="AR128" ca="1" si="598">SUM(AR80:AR127)</f>
        <v>46</v>
      </c>
      <c r="AS128" s="65"/>
      <c r="AT128" s="84"/>
      <c r="AU128" s="71">
        <f t="shared" ref="AU128" ca="1" si="599">SUM(AU80:AU127)</f>
        <v>46</v>
      </c>
      <c r="AV128" s="65"/>
      <c r="AW128" s="84"/>
      <c r="AX128" s="71">
        <f t="shared" ref="AX128" ca="1" si="600">SUM(AX80:AX127)</f>
        <v>46</v>
      </c>
      <c r="AY128" s="65"/>
      <c r="AZ128" s="84"/>
      <c r="BA128" s="71">
        <f t="shared" ref="BA128" ca="1" si="601">SUM(BA80:BA127)</f>
        <v>44</v>
      </c>
      <c r="BB128" s="65"/>
      <c r="BC128" s="84"/>
      <c r="BD128" s="71">
        <f t="shared" ref="BD128" ca="1" si="602">SUM(BD80:BD127)</f>
        <v>40</v>
      </c>
      <c r="BE128" s="65"/>
      <c r="BF128" s="84"/>
      <c r="BG128" s="71">
        <f t="shared" ref="BG128" ca="1" si="603">SUM(BG80:BG127)</f>
        <v>50</v>
      </c>
      <c r="BH128" s="65"/>
      <c r="BI128" s="84"/>
      <c r="BJ128" s="71">
        <f t="shared" ref="BJ128" ca="1" si="604">SUM(BJ80:BJ127)</f>
        <v>46</v>
      </c>
      <c r="BK128" s="65"/>
      <c r="BL128" s="84"/>
      <c r="BM128" s="71">
        <f t="shared" ref="BM128" ca="1" si="605">SUM(BM80:BM127)</f>
        <v>42</v>
      </c>
      <c r="BN128" s="65"/>
      <c r="BO128" s="84"/>
      <c r="BP128" s="71">
        <f t="shared" ref="BP128" ca="1" si="606">SUM(BP80:BP127)</f>
        <v>42</v>
      </c>
      <c r="BQ128" s="65"/>
      <c r="BR128" s="84"/>
      <c r="BS128" s="71">
        <f t="shared" ref="BS128" ca="1" si="607">SUM(BS80:BS127)</f>
        <v>42</v>
      </c>
      <c r="BT128" s="65"/>
      <c r="BU128" s="84"/>
      <c r="BV128" s="71">
        <f t="shared" ref="BV128" ca="1" si="608">SUM(BV80:BV127)</f>
        <v>36</v>
      </c>
      <c r="BW128" s="65"/>
      <c r="BX128" s="84"/>
      <c r="BY128" s="71">
        <f t="shared" ref="BY128" ca="1" si="609">SUM(BY80:BY127)</f>
        <v>38</v>
      </c>
      <c r="BZ128" s="65"/>
      <c r="CA128" s="84"/>
      <c r="CB128" s="71">
        <f t="shared" ref="CB128" ca="1" si="610">SUM(CB80:CB127)</f>
        <v>36</v>
      </c>
      <c r="CC128" s="65"/>
      <c r="CD128" s="84"/>
      <c r="CE128" s="71">
        <f t="shared" ref="CE128" ca="1" si="611">SUM(CE80:CE127)</f>
        <v>38</v>
      </c>
      <c r="CF128" s="65"/>
      <c r="CG128" s="84"/>
      <c r="CH128" s="71">
        <f t="shared" ref="CH128" ca="1" si="612">SUM(CH80:CH127)</f>
        <v>42</v>
      </c>
      <c r="CI128" s="65"/>
      <c r="CJ128" s="84"/>
      <c r="CK128" s="71">
        <f t="shared" ref="CK128" ca="1" si="613">SUM(CK80:CK127)</f>
        <v>44</v>
      </c>
      <c r="CL128" s="65"/>
      <c r="CM128" s="84"/>
      <c r="CN128" s="71">
        <f t="shared" ref="CN128" ca="1" si="614">SUM(CN80:CN127)</f>
        <v>42</v>
      </c>
      <c r="CO128" s="65"/>
      <c r="CP128" s="84"/>
      <c r="CQ128" s="71">
        <f t="shared" ref="CQ128" ca="1" si="615">SUM(CQ80:CQ127)</f>
        <v>44</v>
      </c>
      <c r="CR128" s="65"/>
      <c r="CS128" s="84"/>
      <c r="CT128" s="71">
        <f t="shared" ref="CT128" ca="1" si="616">SUM(CT80:CT127)</f>
        <v>56</v>
      </c>
      <c r="CU128" s="65"/>
      <c r="CV128" s="84"/>
      <c r="CW128" s="71">
        <f t="shared" ref="CW128" ca="1" si="617">SUM(CW80:CW127)</f>
        <v>46</v>
      </c>
      <c r="CX128" s="65"/>
      <c r="CY128" s="84"/>
      <c r="CZ128" s="71">
        <f t="shared" ref="CZ128" ca="1" si="618">SUM(CZ80:CZ127)</f>
        <v>44</v>
      </c>
      <c r="DA128" s="65"/>
      <c r="DB128" s="84"/>
      <c r="DC128" s="71">
        <f t="shared" ref="DC128" ca="1" si="619">SUM(DC80:DC127)</f>
        <v>52</v>
      </c>
      <c r="DD128" s="65"/>
      <c r="DE128" s="84"/>
      <c r="DF128" s="71">
        <f t="shared" ref="DF128" ca="1" si="620">SUM(DF80:DF127)</f>
        <v>46</v>
      </c>
      <c r="DG128" s="65"/>
      <c r="DH128" s="84"/>
      <c r="DI128" s="71">
        <f t="shared" ref="DI128" ca="1" si="621">SUM(DI80:DI127)</f>
        <v>44</v>
      </c>
      <c r="DJ128" s="65"/>
      <c r="DK128" s="84"/>
      <c r="DL128" s="71">
        <f t="shared" ref="DL128" ca="1" si="622">SUM(DL80:DL127)</f>
        <v>38</v>
      </c>
      <c r="DM128" s="65"/>
      <c r="DN128" s="796"/>
      <c r="DO128" s="71">
        <f t="shared" ref="DO128" ca="1" si="623">SUM(DO80:DO127)</f>
        <v>44</v>
      </c>
      <c r="DP128" s="65"/>
      <c r="DQ128" s="796"/>
      <c r="DR128" s="71">
        <f t="shared" ref="DR128" ca="1" si="624">SUM(DR80:DR127)</f>
        <v>24</v>
      </c>
      <c r="DS128" s="65"/>
      <c r="DT128" s="84"/>
      <c r="DU128" s="71">
        <f t="shared" ref="DU128" ca="1" si="625">SUM(DU80:DU127)</f>
        <v>32</v>
      </c>
      <c r="DV128" s="65"/>
      <c r="DW128" s="84"/>
      <c r="DX128" s="71">
        <f t="shared" ref="DX128" ca="1" si="626">SUM(DX80:DX127)</f>
        <v>50</v>
      </c>
      <c r="DY128" s="65"/>
      <c r="DZ128" s="84"/>
      <c r="EA128" s="71">
        <f t="shared" ref="EA128" ca="1" si="627">SUM(EA80:EA127)</f>
        <v>38</v>
      </c>
      <c r="EB128" s="65"/>
      <c r="EC128" s="84"/>
      <c r="ED128" s="71">
        <f t="shared" ref="ED128" ca="1" si="628">SUM(ED80:ED127)</f>
        <v>32</v>
      </c>
      <c r="EE128" s="65"/>
      <c r="EF128" s="84"/>
      <c r="EG128" s="71">
        <f t="shared" ref="EG128" ca="1" si="629">SUM(EG80:EG127)</f>
        <v>40</v>
      </c>
      <c r="EH128" s="65"/>
      <c r="EI128" s="84"/>
      <c r="EJ128" s="71">
        <f t="shared" ref="EJ128" ca="1" si="630">SUM(EJ80:EJ127)</f>
        <v>42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x14ac:dyDescent="0.2">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x14ac:dyDescent="0.2">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x14ac:dyDescent="0.2">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x14ac:dyDescent="0.2">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0</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x14ac:dyDescent="0.2">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0</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0</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x14ac:dyDescent="0.2">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0</v>
      </c>
      <c r="X134" s="64"/>
      <c r="Y134" s="74" t="s">
        <v>1633</v>
      </c>
      <c r="Z134" s="73">
        <f t="shared" ca="1" si="642"/>
        <v>3</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3</v>
      </c>
      <c r="AP134" s="64"/>
      <c r="AQ134" s="74" t="s">
        <v>1261</v>
      </c>
      <c r="AR134" s="73">
        <f t="shared" ca="1" si="648"/>
        <v>0</v>
      </c>
      <c r="AS134" s="64"/>
      <c r="AT134" s="74" t="s">
        <v>1261</v>
      </c>
      <c r="AU134" s="73">
        <f t="shared" ca="1" si="649"/>
        <v>0</v>
      </c>
      <c r="AV134" s="64"/>
      <c r="AW134" s="74" t="s">
        <v>1633</v>
      </c>
      <c r="AX134" s="73">
        <f t="shared" ca="1" si="650"/>
        <v>3</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3</v>
      </c>
      <c r="BK134" s="64"/>
      <c r="BL134" s="74" t="s">
        <v>1261</v>
      </c>
      <c r="BM134" s="73">
        <f t="shared" ca="1" si="655"/>
        <v>0</v>
      </c>
      <c r="BN134" s="64"/>
      <c r="BO134" s="74" t="s">
        <v>1633</v>
      </c>
      <c r="BP134" s="73">
        <f t="shared" ca="1" si="656"/>
        <v>3</v>
      </c>
      <c r="BQ134" s="64"/>
      <c r="BR134" s="74" t="s">
        <v>1261</v>
      </c>
      <c r="BS134" s="73">
        <f t="shared" ca="1" si="657"/>
        <v>0</v>
      </c>
      <c r="BT134" s="64"/>
      <c r="BU134" s="74" t="s">
        <v>1633</v>
      </c>
      <c r="BV134" s="73">
        <f t="shared" ca="1" si="658"/>
        <v>3</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3</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3</v>
      </c>
      <c r="CU134" s="64"/>
      <c r="CV134" s="74" t="s">
        <v>1261</v>
      </c>
      <c r="CW134" s="73">
        <f t="shared" ca="1" si="667"/>
        <v>0</v>
      </c>
      <c r="CX134" s="64"/>
      <c r="CY134" s="74" t="s">
        <v>1633</v>
      </c>
      <c r="CZ134" s="73">
        <f t="shared" ca="1" si="668"/>
        <v>3</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x14ac:dyDescent="0.2">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0</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x14ac:dyDescent="0.2">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x14ac:dyDescent="0.2">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x14ac:dyDescent="0.2">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x14ac:dyDescent="0.2">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x14ac:dyDescent="0.2">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x14ac:dyDescent="0.2">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x14ac:dyDescent="0.2">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0</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x14ac:dyDescent="0.2">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3</v>
      </c>
      <c r="AP143" s="64"/>
      <c r="AQ143" s="74" t="s">
        <v>1319</v>
      </c>
      <c r="AR143" s="73">
        <f t="shared" ca="1" si="648"/>
        <v>0</v>
      </c>
      <c r="AS143" s="64"/>
      <c r="AT143" s="74" t="s">
        <v>497</v>
      </c>
      <c r="AU143" s="73">
        <f t="shared" ca="1" si="649"/>
        <v>3</v>
      </c>
      <c r="AV143" s="64"/>
      <c r="AW143" s="74" t="s">
        <v>1319</v>
      </c>
      <c r="AX143" s="73">
        <f t="shared" ca="1" si="650"/>
        <v>0</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3</v>
      </c>
      <c r="BQ143" s="64"/>
      <c r="BR143" s="74" t="s">
        <v>1319</v>
      </c>
      <c r="BS143" s="73">
        <f t="shared" ca="1" si="657"/>
        <v>0</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x14ac:dyDescent="0.2">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x14ac:dyDescent="0.2">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x14ac:dyDescent="0.2">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3</v>
      </c>
      <c r="AG146" s="64"/>
      <c r="AH146" s="74" t="s">
        <v>1259</v>
      </c>
      <c r="AI146" s="73">
        <f t="shared" ca="1" si="645"/>
        <v>3</v>
      </c>
      <c r="AJ146" s="64"/>
      <c r="AK146" s="74" t="s">
        <v>1841</v>
      </c>
      <c r="AL146" s="73">
        <f t="shared" ca="1" si="646"/>
        <v>0</v>
      </c>
      <c r="AM146" s="64"/>
      <c r="AN146" s="74" t="s">
        <v>1259</v>
      </c>
      <c r="AO146" s="73">
        <f t="shared" ca="1" si="647"/>
        <v>3</v>
      </c>
      <c r="AP146" s="64"/>
      <c r="AQ146" s="74" t="s">
        <v>1259</v>
      </c>
      <c r="AR146" s="73">
        <f t="shared" ca="1" si="648"/>
        <v>3</v>
      </c>
      <c r="AS146" s="64"/>
      <c r="AT146" s="74" t="s">
        <v>1841</v>
      </c>
      <c r="AU146" s="73">
        <f t="shared" ca="1" si="649"/>
        <v>0</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0</v>
      </c>
      <c r="BK146" s="64"/>
      <c r="BL146" s="74" t="s">
        <v>1259</v>
      </c>
      <c r="BM146" s="73">
        <f t="shared" ca="1" si="655"/>
        <v>3</v>
      </c>
      <c r="BN146" s="64"/>
      <c r="BO146" s="74" t="s">
        <v>1259</v>
      </c>
      <c r="BP146" s="73">
        <f t="shared" ca="1" si="656"/>
        <v>3</v>
      </c>
      <c r="BQ146" s="64"/>
      <c r="BR146" s="74" t="s">
        <v>1841</v>
      </c>
      <c r="BS146" s="73">
        <f t="shared" ca="1" si="657"/>
        <v>0</v>
      </c>
      <c r="BT146" s="64"/>
      <c r="BU146" s="74" t="s">
        <v>1841</v>
      </c>
      <c r="BV146" s="73">
        <f t="shared" ca="1" si="658"/>
        <v>0</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0</v>
      </c>
      <c r="CX146" s="64"/>
      <c r="CY146" s="74" t="s">
        <v>1841</v>
      </c>
      <c r="CZ146" s="73">
        <f t="shared" ca="1" si="668"/>
        <v>0</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0</v>
      </c>
      <c r="EE146" s="64"/>
      <c r="EF146" s="74" t="s">
        <v>1259</v>
      </c>
      <c r="EG146" s="73">
        <f t="shared" ca="1" si="679"/>
        <v>3</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x14ac:dyDescent="0.2">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0</v>
      </c>
      <c r="AJ147" s="64"/>
      <c r="AK147" s="74" t="s">
        <v>1263</v>
      </c>
      <c r="AL147" s="73">
        <f t="shared" ca="1" si="646"/>
        <v>3</v>
      </c>
      <c r="AM147" s="64"/>
      <c r="AN147" s="74" t="s">
        <v>1263</v>
      </c>
      <c r="AO147" s="73">
        <f t="shared" ca="1" si="647"/>
        <v>3</v>
      </c>
      <c r="AP147" s="64"/>
      <c r="AQ147" s="74" t="s">
        <v>1833</v>
      </c>
      <c r="AR147" s="73">
        <f t="shared" ca="1" si="648"/>
        <v>0</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0</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0</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0</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x14ac:dyDescent="0.2">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0</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x14ac:dyDescent="0.2">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x14ac:dyDescent="0.2">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0</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0</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3</v>
      </c>
      <c r="CF150" s="64"/>
      <c r="CG150" s="74" t="s">
        <v>1634</v>
      </c>
      <c r="CH150" s="73">
        <f t="shared" ca="1" si="662"/>
        <v>0</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0</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0</v>
      </c>
      <c r="EE150" s="64"/>
      <c r="EF150" s="74" t="s">
        <v>74</v>
      </c>
      <c r="EG150" s="73">
        <f t="shared" ca="1" si="679"/>
        <v>3</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x14ac:dyDescent="0.2">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3</v>
      </c>
      <c r="AJ151" s="64"/>
      <c r="AK151" s="74" t="s">
        <v>1833</v>
      </c>
      <c r="AL151" s="73">
        <f t="shared" ca="1" si="646"/>
        <v>0</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0</v>
      </c>
      <c r="BH151" s="64"/>
      <c r="BI151" s="74" t="s">
        <v>497</v>
      </c>
      <c r="BJ151" s="73">
        <f t="shared" ca="1" si="654"/>
        <v>3</v>
      </c>
      <c r="BK151" s="64"/>
      <c r="BL151" s="74" t="s">
        <v>1833</v>
      </c>
      <c r="BM151" s="73">
        <f t="shared" ca="1" si="655"/>
        <v>0</v>
      </c>
      <c r="BN151" s="64"/>
      <c r="BO151" s="74" t="s">
        <v>1833</v>
      </c>
      <c r="BP151" s="73">
        <f t="shared" ca="1" si="656"/>
        <v>0</v>
      </c>
      <c r="BQ151" s="64"/>
      <c r="BR151" s="74" t="s">
        <v>497</v>
      </c>
      <c r="BS151" s="73">
        <f t="shared" ca="1" si="657"/>
        <v>3</v>
      </c>
      <c r="BT151" s="64"/>
      <c r="BU151" s="74" t="s">
        <v>1833</v>
      </c>
      <c r="BV151" s="73">
        <f t="shared" ca="1" si="658"/>
        <v>0</v>
      </c>
      <c r="BW151" s="64"/>
      <c r="BX151" s="74" t="s">
        <v>1319</v>
      </c>
      <c r="BY151" s="73">
        <f t="shared" ca="1" si="659"/>
        <v>0</v>
      </c>
      <c r="BZ151" s="64"/>
      <c r="CA151" s="74" t="s">
        <v>1263</v>
      </c>
      <c r="CB151" s="73">
        <f t="shared" ca="1" si="660"/>
        <v>3</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0</v>
      </c>
      <c r="DY151" s="64"/>
      <c r="DZ151" s="74" t="s">
        <v>1321</v>
      </c>
      <c r="EA151" s="73">
        <f t="shared" ca="1" si="677"/>
        <v>3</v>
      </c>
      <c r="EB151" s="64"/>
      <c r="EC151" s="74" t="s">
        <v>1833</v>
      </c>
      <c r="ED151" s="73">
        <f t="shared" ca="1" si="678"/>
        <v>0</v>
      </c>
      <c r="EE151" s="64"/>
      <c r="EF151" s="74" t="s">
        <v>1257</v>
      </c>
      <c r="EG151" s="73">
        <f t="shared" ca="1" si="679"/>
        <v>3</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x14ac:dyDescent="0.2">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3</v>
      </c>
      <c r="AV152" s="64"/>
      <c r="AW152" s="74" t="s">
        <v>1261</v>
      </c>
      <c r="AX152" s="73">
        <f t="shared" ca="1" si="650"/>
        <v>0</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0</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x14ac:dyDescent="0.2">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3</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0</v>
      </c>
      <c r="BW153" s="64"/>
      <c r="BX153" s="74" t="s">
        <v>1839</v>
      </c>
      <c r="BY153" s="73">
        <f t="shared" ca="1" si="659"/>
        <v>0</v>
      </c>
      <c r="BZ153" s="64"/>
      <c r="CA153" s="74" t="s">
        <v>135</v>
      </c>
      <c r="CB153" s="73">
        <f t="shared" ca="1" si="660"/>
        <v>3</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3</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3</v>
      </c>
      <c r="DV153" s="64"/>
      <c r="DW153" s="74" t="s">
        <v>1634</v>
      </c>
      <c r="DX153" s="73">
        <f t="shared" ca="1" si="676"/>
        <v>0</v>
      </c>
      <c r="DY153" s="64"/>
      <c r="DZ153" s="74" t="s">
        <v>1839</v>
      </c>
      <c r="EA153" s="73">
        <f t="shared" ca="1" si="677"/>
        <v>0</v>
      </c>
      <c r="EB153" s="64"/>
      <c r="EC153" s="74" t="s">
        <v>135</v>
      </c>
      <c r="ED153" s="73">
        <f t="shared" ca="1" si="678"/>
        <v>3</v>
      </c>
      <c r="EE153" s="64"/>
      <c r="EF153" s="74" t="s">
        <v>135</v>
      </c>
      <c r="EG153" s="73">
        <f t="shared" ca="1" si="679"/>
        <v>3</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x14ac:dyDescent="0.2">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x14ac:dyDescent="0.2">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0</v>
      </c>
      <c r="AJ155" s="64"/>
      <c r="AK155" s="74" t="s">
        <v>1633</v>
      </c>
      <c r="AL155" s="73">
        <f t="shared" ca="1" si="646"/>
        <v>3</v>
      </c>
      <c r="AM155" s="64"/>
      <c r="AN155" s="74" t="s">
        <v>1634</v>
      </c>
      <c r="AO155" s="73">
        <f t="shared" ca="1" si="647"/>
        <v>0</v>
      </c>
      <c r="AP155" s="64"/>
      <c r="AQ155" s="74" t="s">
        <v>1841</v>
      </c>
      <c r="AR155" s="73">
        <f t="shared" ca="1" si="648"/>
        <v>0</v>
      </c>
      <c r="AS155" s="64"/>
      <c r="AT155" s="74" t="s">
        <v>1259</v>
      </c>
      <c r="AU155" s="73">
        <f t="shared" ca="1" si="649"/>
        <v>3</v>
      </c>
      <c r="AV155" s="64"/>
      <c r="AW155" s="74" t="s">
        <v>1259</v>
      </c>
      <c r="AX155" s="73">
        <f t="shared" ca="1" si="650"/>
        <v>3</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0</v>
      </c>
      <c r="BQ155" s="64"/>
      <c r="BR155" s="74" t="s">
        <v>1259</v>
      </c>
      <c r="BS155" s="73">
        <f t="shared" ca="1" si="657"/>
        <v>3</v>
      </c>
      <c r="BT155" s="64"/>
      <c r="BU155" s="74" t="s">
        <v>1259</v>
      </c>
      <c r="BV155" s="73">
        <f t="shared" ca="1" si="658"/>
        <v>3</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3</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0</v>
      </c>
      <c r="DV155" s="64"/>
      <c r="DW155" s="74" t="s">
        <v>1633</v>
      </c>
      <c r="DX155" s="73">
        <f t="shared" ca="1" si="676"/>
        <v>3</v>
      </c>
      <c r="DY155" s="64"/>
      <c r="DZ155" s="74" t="s">
        <v>1841</v>
      </c>
      <c r="EA155" s="73">
        <f t="shared" ca="1" si="677"/>
        <v>0</v>
      </c>
      <c r="EB155" s="64"/>
      <c r="EC155" s="74" t="s">
        <v>1633</v>
      </c>
      <c r="ED155" s="73">
        <f t="shared" ca="1" si="678"/>
        <v>3</v>
      </c>
      <c r="EE155" s="64"/>
      <c r="EF155" s="74" t="s">
        <v>80</v>
      </c>
      <c r="EG155" s="73">
        <f t="shared" ca="1" si="679"/>
        <v>0</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x14ac:dyDescent="0.2">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x14ac:dyDescent="0.2">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x14ac:dyDescent="0.2">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x14ac:dyDescent="0.2">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x14ac:dyDescent="0.2">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x14ac:dyDescent="0.2">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3</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0</v>
      </c>
      <c r="CL161" s="64"/>
      <c r="CM161" s="80" t="s">
        <v>1633</v>
      </c>
      <c r="CN161" s="81">
        <f t="shared" ca="1" si="664"/>
        <v>3</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3</v>
      </c>
      <c r="DA161" s="64"/>
      <c r="DB161" s="80" t="s">
        <v>1634</v>
      </c>
      <c r="DC161" s="81">
        <f t="shared" ca="1" si="669"/>
        <v>0</v>
      </c>
      <c r="DD161" s="64"/>
      <c r="DE161" s="80" t="s">
        <v>1551</v>
      </c>
      <c r="DF161" s="81">
        <f t="shared" ca="1" si="670"/>
        <v>0</v>
      </c>
      <c r="DG161" s="64"/>
      <c r="DH161" s="80" t="s">
        <v>1633</v>
      </c>
      <c r="DI161" s="81">
        <f t="shared" ca="1" si="671"/>
        <v>3</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x14ac:dyDescent="0.2">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45</v>
      </c>
      <c r="U162" s="65"/>
      <c r="V162" s="84"/>
      <c r="W162" s="71">
        <f t="shared" ref="W162" ca="1" si="691">SUM(W130:W161)</f>
        <v>42</v>
      </c>
      <c r="X162" s="65"/>
      <c r="Y162" s="84"/>
      <c r="Z162" s="71">
        <f t="shared" ref="Z162" ca="1" si="692">SUM(Z130:Z161)</f>
        <v>45</v>
      </c>
      <c r="AA162" s="65"/>
      <c r="AB162" s="84"/>
      <c r="AC162" s="71">
        <f t="shared" ref="AC162" ca="1" si="693">SUM(AC130:AC161)</f>
        <v>42</v>
      </c>
      <c r="AD162" s="65"/>
      <c r="AE162" s="84"/>
      <c r="AF162" s="71">
        <f t="shared" ref="AF162" ca="1" si="694">SUM(AF130:AF161)</f>
        <v>45</v>
      </c>
      <c r="AG162" s="65"/>
      <c r="AH162" s="84"/>
      <c r="AI162" s="71">
        <f t="shared" ref="AI162" ca="1" si="695">SUM(AI130:AI161)</f>
        <v>42</v>
      </c>
      <c r="AJ162" s="65"/>
      <c r="AK162" s="84"/>
      <c r="AL162" s="71">
        <f t="shared" ref="AL162" ca="1" si="696">SUM(AL130:AL161)</f>
        <v>42</v>
      </c>
      <c r="AM162" s="65"/>
      <c r="AN162" s="84"/>
      <c r="AO162" s="71">
        <f t="shared" ref="AO162" ca="1" si="697">SUM(AO130:AO161)</f>
        <v>45</v>
      </c>
      <c r="AP162" s="65"/>
      <c r="AQ162" s="84"/>
      <c r="AR162" s="71">
        <f t="shared" ref="AR162" ca="1" si="698">SUM(AR130:AR161)</f>
        <v>42</v>
      </c>
      <c r="AS162" s="65"/>
      <c r="AT162" s="84"/>
      <c r="AU162" s="71">
        <f t="shared" ref="AU162" ca="1" si="699">SUM(AU130:AU161)</f>
        <v>45</v>
      </c>
      <c r="AV162" s="65"/>
      <c r="AW162" s="84"/>
      <c r="AX162" s="71">
        <f t="shared" ref="AX162" ca="1" si="700">SUM(AX130:AX161)</f>
        <v>45</v>
      </c>
      <c r="AY162" s="65"/>
      <c r="AZ162" s="84"/>
      <c r="BA162" s="71">
        <f t="shared" ref="BA162" ca="1" si="701">SUM(BA130:BA161)</f>
        <v>45</v>
      </c>
      <c r="BB162" s="65"/>
      <c r="BC162" s="84"/>
      <c r="BD162" s="71">
        <f t="shared" ref="BD162" ca="1" si="702">SUM(BD130:BD161)</f>
        <v>48</v>
      </c>
      <c r="BE162" s="65"/>
      <c r="BF162" s="84"/>
      <c r="BG162" s="71">
        <f t="shared" ref="BG162" ca="1" si="703">SUM(BG130:BG161)</f>
        <v>45</v>
      </c>
      <c r="BH162" s="65"/>
      <c r="BI162" s="84"/>
      <c r="BJ162" s="71">
        <f t="shared" ref="BJ162" ca="1" si="704">SUM(BJ130:BJ161)</f>
        <v>45</v>
      </c>
      <c r="BK162" s="65"/>
      <c r="BL162" s="84"/>
      <c r="BM162" s="71">
        <f t="shared" ref="BM162" ca="1" si="705">SUM(BM130:BM161)</f>
        <v>45</v>
      </c>
      <c r="BN162" s="65"/>
      <c r="BO162" s="84"/>
      <c r="BP162" s="71">
        <f t="shared" ref="BP162" ca="1" si="706">SUM(BP130:BP161)</f>
        <v>45</v>
      </c>
      <c r="BQ162" s="65"/>
      <c r="BR162" s="84"/>
      <c r="BS162" s="71">
        <f t="shared" ref="BS162" ca="1" si="707">SUM(BS130:BS161)</f>
        <v>42</v>
      </c>
      <c r="BT162" s="65"/>
      <c r="BU162" s="84"/>
      <c r="BV162" s="71">
        <f t="shared" ref="BV162" ca="1" si="708">SUM(BV130:BV161)</f>
        <v>45</v>
      </c>
      <c r="BW162" s="65"/>
      <c r="BX162" s="84"/>
      <c r="BY162" s="71">
        <f t="shared" ref="BY162" ca="1" si="709">SUM(BY130:BY161)</f>
        <v>42</v>
      </c>
      <c r="BZ162" s="65"/>
      <c r="CA162" s="84"/>
      <c r="CB162" s="71">
        <f t="shared" ref="CB162" ca="1" si="710">SUM(CB130:CB161)</f>
        <v>48</v>
      </c>
      <c r="CC162" s="65"/>
      <c r="CD162" s="84"/>
      <c r="CE162" s="71">
        <f t="shared" ref="CE162" ca="1" si="711">SUM(CE130:CE161)</f>
        <v>48</v>
      </c>
      <c r="CF162" s="65"/>
      <c r="CG162" s="84"/>
      <c r="CH162" s="71">
        <f t="shared" ref="CH162" ca="1" si="712">SUM(CH130:CH161)</f>
        <v>42</v>
      </c>
      <c r="CI162" s="65"/>
      <c r="CJ162" s="84"/>
      <c r="CK162" s="71">
        <f t="shared" ref="CK162" ca="1" si="713">SUM(CK130:CK161)</f>
        <v>45</v>
      </c>
      <c r="CL162" s="65"/>
      <c r="CM162" s="84"/>
      <c r="CN162" s="71">
        <f t="shared" ref="CN162" ca="1" si="714">SUM(CN130:CN161)</f>
        <v>45</v>
      </c>
      <c r="CO162" s="65"/>
      <c r="CP162" s="84"/>
      <c r="CQ162" s="71">
        <f t="shared" ref="CQ162" ca="1" si="715">SUM(CQ130:CQ161)</f>
        <v>48</v>
      </c>
      <c r="CR162" s="65"/>
      <c r="CS162" s="84"/>
      <c r="CT162" s="71">
        <f t="shared" ref="CT162" ca="1" si="716">SUM(CT130:CT161)</f>
        <v>45</v>
      </c>
      <c r="CU162" s="65"/>
      <c r="CV162" s="84"/>
      <c r="CW162" s="71">
        <f t="shared" ref="CW162" ca="1" si="717">SUM(CW130:CW161)</f>
        <v>45</v>
      </c>
      <c r="CX162" s="65"/>
      <c r="CY162" s="84"/>
      <c r="CZ162" s="71">
        <f t="shared" ref="CZ162" ca="1" si="718">SUM(CZ130:CZ161)</f>
        <v>39</v>
      </c>
      <c r="DA162" s="65"/>
      <c r="DB162" s="84"/>
      <c r="DC162" s="71">
        <f t="shared" ref="DC162" ca="1" si="719">SUM(DC130:DC161)</f>
        <v>45</v>
      </c>
      <c r="DD162" s="65"/>
      <c r="DE162" s="84"/>
      <c r="DF162" s="71">
        <f t="shared" ref="DF162" ca="1" si="720">SUM(DF130:DF161)</f>
        <v>45</v>
      </c>
      <c r="DG162" s="65"/>
      <c r="DH162" s="84"/>
      <c r="DI162" s="71">
        <f t="shared" ref="DI162" ca="1" si="721">SUM(DI130:DI161)</f>
        <v>45</v>
      </c>
      <c r="DJ162" s="65"/>
      <c r="DK162" s="84"/>
      <c r="DL162" s="71">
        <f t="shared" ref="DL162" ca="1" si="722">SUM(DL130:DL161)</f>
        <v>42</v>
      </c>
      <c r="DM162" s="65"/>
      <c r="DN162" s="796"/>
      <c r="DO162" s="71">
        <f t="shared" ref="DO162" ca="1" si="723">SUM(DO130:DO161)</f>
        <v>42</v>
      </c>
      <c r="DP162" s="65"/>
      <c r="DQ162" s="796"/>
      <c r="DR162" s="71">
        <f t="shared" ref="DR162" ca="1" si="724">SUM(DR130:DR161)</f>
        <v>42</v>
      </c>
      <c r="DS162" s="65"/>
      <c r="DT162" s="84"/>
      <c r="DU162" s="71">
        <f t="shared" ref="DU162" ca="1" si="725">SUM(DU130:DU161)</f>
        <v>48</v>
      </c>
      <c r="DV162" s="65"/>
      <c r="DW162" s="84"/>
      <c r="DX162" s="71">
        <f t="shared" ref="DX162" ca="1" si="726">SUM(DX130:DX161)</f>
        <v>45</v>
      </c>
      <c r="DY162" s="65"/>
      <c r="DZ162" s="84"/>
      <c r="EA162" s="71">
        <f t="shared" ref="EA162" ca="1" si="727">SUM(EA130:EA161)</f>
        <v>42</v>
      </c>
      <c r="EB162" s="65"/>
      <c r="EC162" s="84"/>
      <c r="ED162" s="71">
        <f t="shared" ref="ED162" ca="1" si="728">SUM(ED130:ED161)</f>
        <v>39</v>
      </c>
      <c r="EE162" s="65"/>
      <c r="EF162" s="84"/>
      <c r="EG162" s="71">
        <f t="shared" ref="EG162" ca="1" si="729">SUM(EG130:EG161)</f>
        <v>48</v>
      </c>
      <c r="EH162" s="65"/>
      <c r="EI162" s="84"/>
      <c r="EJ162" s="71">
        <f t="shared" ref="EJ162" ca="1" si="730">SUM(EJ130:EJ161)</f>
        <v>45</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x14ac:dyDescent="0.2">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x14ac:dyDescent="0.2">
      <c r="A164" s="25">
        <f>WORLDCUP!AD101</f>
        <v>0</v>
      </c>
      <c r="B164" s="25">
        <f>WORLDCUP!AC101</f>
        <v>0</v>
      </c>
      <c r="C164" s="25" t="str">
        <f ca="1">CONCATENATE(WORLDCUP!AF101,"-",WORLDCUP!AA101)</f>
        <v>Canadá-Sudáfrica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x14ac:dyDescent="0.2">
      <c r="A165" s="25">
        <f>WORLDCUP!AD102</f>
        <v>0</v>
      </c>
      <c r="B165" s="25">
        <f>WORLDCUP!AC102</f>
        <v>0</v>
      </c>
      <c r="C165" s="25" t="str">
        <f ca="1">CONCATENATE(WORLDCUP!AF102,"-",WORLDCUP!AA102)</f>
        <v>Japón-Brasil</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49"/>
      <c r="K165" s="56" t="str">
        <f ca="1">CONCATENATE(WORLDCUP!AA102,"-",WORLDCUP!AF102)</f>
        <v>Brasil-Japón</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x14ac:dyDescent="0.2">
      <c r="A166" s="25">
        <f>WORLDCUP!AD103</f>
        <v>0</v>
      </c>
      <c r="B166" s="25">
        <f>WORLDCUP!AC103</f>
        <v>0</v>
      </c>
      <c r="C166" s="25" t="str">
        <f ca="1">CONCATENATE(WORLDCUP!AF103,"-",WORLDCUP!AA103)</f>
        <v>3ABCDF-Alemania</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49"/>
      <c r="K166" s="56" t="str">
        <f ca="1">CONCATENATE(WORLDCUP!AA103,"-",WORLDCUP!AF103)</f>
        <v>Alemania-3ABCDF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x14ac:dyDescent="0.2">
      <c r="A167" s="25">
        <f>WORLDCUP!AD104</f>
        <v>0</v>
      </c>
      <c r="B167" s="25">
        <f>WORLDCUP!AC104</f>
        <v>0</v>
      </c>
      <c r="C167" s="25" t="str">
        <f ca="1">CONCATENATE(WORLDCUP!AF104,"-",WORLDCUP!AA104)</f>
        <v>Marruecos-Países Bajos</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49"/>
      <c r="K167" s="56" t="str">
        <f ca="1">CONCATENATE(WORLDCUP!AA104,"-",WORLDCUP!AF104)</f>
        <v>Países Bajos-Marruecos</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x14ac:dyDescent="0.2">
      <c r="A168" s="25">
        <f>WORLDCUP!AD105</f>
        <v>0</v>
      </c>
      <c r="B168" s="25">
        <f>WORLDCUP!AC105</f>
        <v>0</v>
      </c>
      <c r="C168" s="25" t="str">
        <f ca="1">CONCATENATE(WORLDCUP!AF105,"-",WORLDCUP!AA105)</f>
        <v>Noruega-Costa de Marfil</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49"/>
      <c r="K168" s="56" t="str">
        <f ca="1">CONCATENATE(WORLDCUP!AA105,"-",WORLDCUP!AF105)</f>
        <v>Costa de Marfil-Noruega</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x14ac:dyDescent="0.2">
      <c r="A169" s="25">
        <f>WORLDCUP!AD106</f>
        <v>0</v>
      </c>
      <c r="B169" s="25">
        <f>WORLDCUP!AC106</f>
        <v>0</v>
      </c>
      <c r="C169" s="25" t="str">
        <f ca="1">CONCATENATE(WORLDCUP!AF106,"-",WORLDCUP!AA106)</f>
        <v>3CDFGH-Francia</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49"/>
      <c r="K169" s="56" t="str">
        <f ca="1">CONCATENATE(WORLDCUP!AA106,"-",WORLDCUP!AF106)</f>
        <v>Francia-3CDFGH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x14ac:dyDescent="0.2">
      <c r="A170" s="25">
        <f>WORLDCUP!AD107</f>
        <v>0</v>
      </c>
      <c r="B170" s="25">
        <f>WORLDCUP!AC107</f>
        <v>0</v>
      </c>
      <c r="C170" s="25" t="str">
        <f ca="1">CONCATENATE(WORLDCUP!AF107,"-",WORLDCUP!AA107)</f>
        <v>3CEFHI-México</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49"/>
      <c r="K170" s="56" t="str">
        <f ca="1">CONCATENATE(WORLDCUP!AA107,"-",WORLDCUP!AF107)</f>
        <v>México-3CEFHI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x14ac:dyDescent="0.2">
      <c r="A172" s="25">
        <f>WORLDCUP!AD109</f>
        <v>0</v>
      </c>
      <c r="B172" s="25">
        <f>WORLDCUP!AC109</f>
        <v>0</v>
      </c>
      <c r="C172" s="25" t="str">
        <f ca="1">CONCATENATE(WORLDCUP!AF109,"-",WORLDCUP!AA109)</f>
        <v>3AEHIJ-Bélgica</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Bélgica-3AEHIJ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x14ac:dyDescent="0.2">
      <c r="A173" s="25">
        <f>WORLDCUP!AD110</f>
        <v>0</v>
      </c>
      <c r="B173" s="25">
        <f>WORLDCUP!AC110</f>
        <v>0</v>
      </c>
      <c r="C173" s="25" t="str">
        <f ca="1">CONCATENATE(WORLDCUP!AF110,"-",WORLDCUP!AA110)</f>
        <v>3BEFIJ-Estados Unidos</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Estados Unidos-3BEFIJ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x14ac:dyDescent="0.2">
      <c r="A174" s="25">
        <f>WORLDCUP!AD111</f>
        <v>0</v>
      </c>
      <c r="B174" s="25">
        <f>WORLDCUP!AC111</f>
        <v>0</v>
      </c>
      <c r="C174" s="25" t="str">
        <f ca="1">CONCATENATE(WORLDCUP!AF111,"-",WORLDCUP!AA111)</f>
        <v>2J-España</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España-2J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x14ac:dyDescent="0.2">
      <c r="A176" s="25">
        <f>WORLDCUP!AD113</f>
        <v>0</v>
      </c>
      <c r="B176" s="25">
        <f>WORLDCUP!AC113</f>
        <v>0</v>
      </c>
      <c r="C176" s="25" t="str">
        <f ca="1">CONCATENATE(WORLDCUP!AF113,"-",WORLDCUP!AA113)</f>
        <v>3EFGIJ-Suiza</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Suiza-3EFGIJ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x14ac:dyDescent="0.2">
      <c r="A177" s="25">
        <f>WORLDCUP!AD114</f>
        <v>0</v>
      </c>
      <c r="B177" s="25">
        <f>WORLDCUP!AC114</f>
        <v>0</v>
      </c>
      <c r="C177" s="25" t="str">
        <f ca="1">CONCATENATE(WORLDCUP!AF114,"-",WORLDCUP!AA114)</f>
        <v>Egipto-Australia</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Australia-Egipto</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x14ac:dyDescent="0.2">
      <c r="A178" s="25">
        <f>WORLDCUP!AD115</f>
        <v>0</v>
      </c>
      <c r="B178" s="25">
        <f>WORLDCUP!AC115</f>
        <v>0</v>
      </c>
      <c r="C178" s="25" t="str">
        <f ca="1">CONCATENATE(WORLDCUP!AF115,"-",WORLDCUP!AA115)</f>
        <v>Cabo Verde-1J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1J-Cabo Verde</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x14ac:dyDescent="0.2">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x14ac:dyDescent="0.2">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x14ac:dyDescent="0.2">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W73</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0</v>
      </c>
      <c r="AG182" s="64"/>
      <c r="AH182" s="76" t="s">
        <v>1259</v>
      </c>
      <c r="AI182" s="77">
        <f t="shared" ref="AI182:AI197" ca="1" si="852">COUNTIF($M$182:$M$197,AH182)*$D$19</f>
        <v>0</v>
      </c>
      <c r="AJ182" s="64"/>
      <c r="AK182" s="76" t="s">
        <v>1843</v>
      </c>
      <c r="AL182" s="77">
        <f t="shared" ref="AL182:AL197" ca="1" si="853">COUNTIF($M$182:$M$197,AK182)*$D$19</f>
        <v>0</v>
      </c>
      <c r="AM182" s="64"/>
      <c r="AN182" s="76" t="s">
        <v>1259</v>
      </c>
      <c r="AO182" s="77">
        <f t="shared" ref="AO182:AO197" ca="1" si="854">COUNTIF($M$182:$M$197,AN182)*$D$19</f>
        <v>0</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0</v>
      </c>
      <c r="BE182" s="64"/>
      <c r="BF182" s="76" t="s">
        <v>1259</v>
      </c>
      <c r="BG182" s="77">
        <f t="shared" ref="BG182:BG197" ca="1" si="860">COUNTIF($M$182:$M$197,BF182)*$D$19</f>
        <v>0</v>
      </c>
      <c r="BH182" s="64"/>
      <c r="BI182" s="76" t="s">
        <v>1843</v>
      </c>
      <c r="BJ182" s="77">
        <f t="shared" ref="BJ182:BJ197" ca="1" si="861">COUNTIF($M$182:$M$197,BI182)*$D$19</f>
        <v>0</v>
      </c>
      <c r="BK182" s="64"/>
      <c r="BL182" s="76" t="s">
        <v>1259</v>
      </c>
      <c r="BM182" s="77">
        <f t="shared" ref="BM182:BM197" ca="1" si="862">COUNTIF($M$182:$M$197,BL182)*$D$19</f>
        <v>0</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0</v>
      </c>
      <c r="BW182" s="64"/>
      <c r="BX182" s="76" t="s">
        <v>1260</v>
      </c>
      <c r="BY182" s="77">
        <f t="shared" ref="BY182:BY197" ca="1" si="866">COUNTIF($M$182:$M$197,BX182)*$D$19</f>
        <v>0</v>
      </c>
      <c r="BZ182" s="64"/>
      <c r="CA182" s="76" t="s">
        <v>1259</v>
      </c>
      <c r="CB182" s="77">
        <f t="shared" ref="CB182:CB197" ca="1" si="867">COUNTIF($M$182:$M$197,CA182)*$D$19</f>
        <v>0</v>
      </c>
      <c r="CC182" s="64"/>
      <c r="CD182" s="76" t="s">
        <v>1260</v>
      </c>
      <c r="CE182" s="77">
        <f t="shared" ref="CE182:CE197" ca="1" si="868">COUNTIF($M$182:$M$197,CD182)*$D$19</f>
        <v>0</v>
      </c>
      <c r="CF182" s="64"/>
      <c r="CG182" s="76" t="s">
        <v>75</v>
      </c>
      <c r="CH182" s="77">
        <f t="shared" ref="CH182:CH197" ca="1" si="869">COUNTIF($M$182:$M$197,CG182)*$D$19</f>
        <v>0</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0</v>
      </c>
      <c r="CR182" s="64"/>
      <c r="CS182" s="76" t="s">
        <v>1259</v>
      </c>
      <c r="CT182" s="77">
        <f t="shared" ref="CT182:CT197" ca="1" si="873">COUNTIF($M$182:$M$197,CS182)*$D$19</f>
        <v>0</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0</v>
      </c>
      <c r="DG182" s="64"/>
      <c r="DH182" s="76" t="s">
        <v>1259</v>
      </c>
      <c r="DI182" s="77">
        <f t="shared" ref="DI182:DI197" ca="1" si="878">COUNTIF($M$182:$M$197,DH182)*$D$19</f>
        <v>0</v>
      </c>
      <c r="DJ182" s="64"/>
      <c r="DK182" s="76" t="s">
        <v>1265</v>
      </c>
      <c r="DL182" s="77">
        <f t="shared" ref="DL182:DL197" ca="1" si="879">COUNTIF($M$182:$M$197,DK182)*$D$19</f>
        <v>0</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0</v>
      </c>
      <c r="DV182" s="64"/>
      <c r="DW182" s="76" t="s">
        <v>1260</v>
      </c>
      <c r="DX182" s="77">
        <f t="shared" ref="DX182:DX197" ca="1" si="883">COUNTIF($M$182:$M$197,DW182)*$D$19</f>
        <v>0</v>
      </c>
      <c r="DY182" s="64"/>
      <c r="DZ182" s="76" t="s">
        <v>75</v>
      </c>
      <c r="EA182" s="77">
        <f t="shared" ref="EA182:EA197" ca="1" si="884">COUNTIF($M$182:$M$197,DZ182)*$D$19</f>
        <v>0</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x14ac:dyDescent="0.2">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W74</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0</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x14ac:dyDescent="0.2">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W76</v>
      </c>
      <c r="N184" s="25"/>
      <c r="O184" s="25"/>
      <c r="P184" s="25"/>
      <c r="Q184" s="25"/>
      <c r="R184" s="110"/>
      <c r="S184" s="74" t="s">
        <v>1258</v>
      </c>
      <c r="T184" s="73">
        <f t="shared" ca="1" si="847"/>
        <v>0</v>
      </c>
      <c r="U184" s="64"/>
      <c r="V184" s="74" t="s">
        <v>1258</v>
      </c>
      <c r="W184" s="73">
        <f t="shared" ca="1" si="848"/>
        <v>0</v>
      </c>
      <c r="X184" s="64"/>
      <c r="Y184" s="74" t="s">
        <v>1258</v>
      </c>
      <c r="Z184" s="73">
        <f t="shared" ca="1" si="849"/>
        <v>0</v>
      </c>
      <c r="AA184" s="64"/>
      <c r="AB184" s="74" t="s">
        <v>1258</v>
      </c>
      <c r="AC184" s="73">
        <f t="shared" ca="1" si="850"/>
        <v>0</v>
      </c>
      <c r="AD184" s="64"/>
      <c r="AE184" s="74" t="s">
        <v>1258</v>
      </c>
      <c r="AF184" s="73">
        <f t="shared" ca="1" si="851"/>
        <v>0</v>
      </c>
      <c r="AG184" s="64"/>
      <c r="AH184" s="74" t="s">
        <v>1321</v>
      </c>
      <c r="AI184" s="73">
        <f t="shared" ca="1" si="852"/>
        <v>0</v>
      </c>
      <c r="AJ184" s="64"/>
      <c r="AK184" s="74" t="s">
        <v>1258</v>
      </c>
      <c r="AL184" s="73">
        <f t="shared" ca="1" si="853"/>
        <v>0</v>
      </c>
      <c r="AM184" s="64"/>
      <c r="AN184" s="74" t="s">
        <v>1258</v>
      </c>
      <c r="AO184" s="73">
        <f t="shared" ca="1" si="854"/>
        <v>0</v>
      </c>
      <c r="AP184" s="64"/>
      <c r="AQ184" s="74" t="s">
        <v>1258</v>
      </c>
      <c r="AR184" s="73">
        <f t="shared" ca="1" si="855"/>
        <v>0</v>
      </c>
      <c r="AS184" s="64"/>
      <c r="AT184" s="74" t="s">
        <v>1258</v>
      </c>
      <c r="AU184" s="73">
        <f t="shared" ca="1" si="856"/>
        <v>0</v>
      </c>
      <c r="AV184" s="64"/>
      <c r="AW184" s="74" t="s">
        <v>1258</v>
      </c>
      <c r="AX184" s="73">
        <f t="shared" ca="1" si="857"/>
        <v>0</v>
      </c>
      <c r="AY184" s="64"/>
      <c r="AZ184" s="74" t="s">
        <v>1258</v>
      </c>
      <c r="BA184" s="73">
        <f t="shared" ca="1" si="858"/>
        <v>0</v>
      </c>
      <c r="BB184" s="64"/>
      <c r="BC184" s="74" t="s">
        <v>1258</v>
      </c>
      <c r="BD184" s="73">
        <f t="shared" ca="1" si="859"/>
        <v>0</v>
      </c>
      <c r="BE184" s="64"/>
      <c r="BF184" s="74" t="s">
        <v>1258</v>
      </c>
      <c r="BG184" s="73">
        <f t="shared" ca="1" si="860"/>
        <v>0</v>
      </c>
      <c r="BH184" s="64"/>
      <c r="BI184" s="74" t="s">
        <v>1258</v>
      </c>
      <c r="BJ184" s="73">
        <f t="shared" ca="1" si="861"/>
        <v>0</v>
      </c>
      <c r="BK184" s="64"/>
      <c r="BL184" s="74" t="s">
        <v>1258</v>
      </c>
      <c r="BM184" s="73">
        <f t="shared" ca="1" si="862"/>
        <v>0</v>
      </c>
      <c r="BN184" s="64"/>
      <c r="BO184" s="74" t="s">
        <v>1258</v>
      </c>
      <c r="BP184" s="73">
        <f t="shared" ca="1" si="863"/>
        <v>0</v>
      </c>
      <c r="BQ184" s="64"/>
      <c r="BR184" s="74" t="s">
        <v>1258</v>
      </c>
      <c r="BS184" s="73">
        <f t="shared" ca="1" si="864"/>
        <v>0</v>
      </c>
      <c r="BT184" s="64"/>
      <c r="BU184" s="74" t="s">
        <v>1258</v>
      </c>
      <c r="BV184" s="73">
        <f t="shared" ca="1" si="865"/>
        <v>0</v>
      </c>
      <c r="BW184" s="64"/>
      <c r="BX184" s="74" t="s">
        <v>1258</v>
      </c>
      <c r="BY184" s="73">
        <f t="shared" ca="1" si="866"/>
        <v>0</v>
      </c>
      <c r="BZ184" s="64"/>
      <c r="CA184" s="74" t="s">
        <v>134</v>
      </c>
      <c r="CB184" s="73">
        <f t="shared" ca="1" si="867"/>
        <v>0</v>
      </c>
      <c r="CC184" s="64"/>
      <c r="CD184" s="74" t="s">
        <v>1258</v>
      </c>
      <c r="CE184" s="73">
        <f t="shared" ca="1" si="868"/>
        <v>0</v>
      </c>
      <c r="CF184" s="64"/>
      <c r="CG184" s="74" t="s">
        <v>1258</v>
      </c>
      <c r="CH184" s="73">
        <f t="shared" ca="1" si="869"/>
        <v>0</v>
      </c>
      <c r="CI184" s="64"/>
      <c r="CJ184" s="74" t="s">
        <v>1258</v>
      </c>
      <c r="CK184" s="73">
        <f t="shared" ca="1" si="870"/>
        <v>0</v>
      </c>
      <c r="CL184" s="64"/>
      <c r="CM184" s="74" t="s">
        <v>1258</v>
      </c>
      <c r="CN184" s="73">
        <f t="shared" ca="1" si="871"/>
        <v>0</v>
      </c>
      <c r="CO184" s="64"/>
      <c r="CP184" s="74" t="s">
        <v>1258</v>
      </c>
      <c r="CQ184" s="73">
        <f t="shared" ca="1" si="872"/>
        <v>0</v>
      </c>
      <c r="CR184" s="64"/>
      <c r="CS184" s="74" t="s">
        <v>1258</v>
      </c>
      <c r="CT184" s="73">
        <f t="shared" ca="1" si="873"/>
        <v>0</v>
      </c>
      <c r="CU184" s="64"/>
      <c r="CV184" s="74" t="s">
        <v>1258</v>
      </c>
      <c r="CW184" s="73">
        <f t="shared" ca="1" si="874"/>
        <v>0</v>
      </c>
      <c r="CX184" s="64"/>
      <c r="CY184" s="74" t="s">
        <v>1258</v>
      </c>
      <c r="CZ184" s="73">
        <f t="shared" ca="1" si="875"/>
        <v>0</v>
      </c>
      <c r="DA184" s="64"/>
      <c r="DB184" s="74" t="s">
        <v>1258</v>
      </c>
      <c r="DC184" s="73">
        <f t="shared" ca="1" si="876"/>
        <v>0</v>
      </c>
      <c r="DD184" s="64"/>
      <c r="DE184" s="74" t="s">
        <v>1258</v>
      </c>
      <c r="DF184" s="73">
        <f t="shared" ca="1" si="877"/>
        <v>0</v>
      </c>
      <c r="DG184" s="64"/>
      <c r="DH184" s="74" t="s">
        <v>1258</v>
      </c>
      <c r="DI184" s="73">
        <f t="shared" ca="1" si="878"/>
        <v>0</v>
      </c>
      <c r="DJ184" s="64"/>
      <c r="DK184" s="74" t="s">
        <v>1321</v>
      </c>
      <c r="DL184" s="73">
        <f t="shared" ca="1" si="879"/>
        <v>0</v>
      </c>
      <c r="DM184" s="64"/>
      <c r="DN184" s="795" t="s">
        <v>1258</v>
      </c>
      <c r="DO184" s="73">
        <f t="shared" ca="1" si="880"/>
        <v>0</v>
      </c>
      <c r="DP184" s="64"/>
      <c r="DQ184" s="795" t="s">
        <v>111</v>
      </c>
      <c r="DR184" s="73">
        <f t="shared" ca="1" si="881"/>
        <v>0</v>
      </c>
      <c r="DS184" s="64"/>
      <c r="DT184" s="74" t="s">
        <v>1321</v>
      </c>
      <c r="DU184" s="73">
        <f t="shared" ca="1" si="882"/>
        <v>0</v>
      </c>
      <c r="DV184" s="64"/>
      <c r="DW184" s="74" t="s">
        <v>1258</v>
      </c>
      <c r="DX184" s="73">
        <f t="shared" ca="1" si="883"/>
        <v>0</v>
      </c>
      <c r="DY184" s="64"/>
      <c r="DZ184" s="74" t="s">
        <v>1258</v>
      </c>
      <c r="EA184" s="73">
        <f t="shared" ca="1" si="884"/>
        <v>0</v>
      </c>
      <c r="EB184" s="64"/>
      <c r="EC184" s="74" t="s">
        <v>1258</v>
      </c>
      <c r="ED184" s="73">
        <f t="shared" ca="1" si="885"/>
        <v>0</v>
      </c>
      <c r="EE184" s="64"/>
      <c r="EF184" s="74" t="s">
        <v>1258</v>
      </c>
      <c r="EG184" s="73">
        <f t="shared" ca="1" si="886"/>
        <v>0</v>
      </c>
      <c r="EH184" s="64"/>
      <c r="EI184" s="74" t="s">
        <v>1258</v>
      </c>
      <c r="EJ184" s="73">
        <f t="shared" ca="1" si="887"/>
        <v>0</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x14ac:dyDescent="0.2">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W79</v>
      </c>
      <c r="N185" s="25"/>
      <c r="O185" s="25"/>
      <c r="P185" s="25"/>
      <c r="Q185" s="25"/>
      <c r="R185" s="110"/>
      <c r="S185" s="74" t="s">
        <v>1265</v>
      </c>
      <c r="T185" s="73">
        <f t="shared" ca="1" si="847"/>
        <v>0</v>
      </c>
      <c r="U185" s="64"/>
      <c r="V185" s="74" t="s">
        <v>1633</v>
      </c>
      <c r="W185" s="73">
        <f t="shared" ca="1" si="848"/>
        <v>0</v>
      </c>
      <c r="X185" s="64"/>
      <c r="Y185" s="74" t="s">
        <v>1265</v>
      </c>
      <c r="Z185" s="73">
        <f t="shared" ca="1" si="849"/>
        <v>0</v>
      </c>
      <c r="AA185" s="64"/>
      <c r="AB185" s="74" t="s">
        <v>1265</v>
      </c>
      <c r="AC185" s="73">
        <f t="shared" ca="1" si="850"/>
        <v>0</v>
      </c>
      <c r="AD185" s="64"/>
      <c r="AE185" s="74" t="s">
        <v>1265</v>
      </c>
      <c r="AF185" s="73">
        <f t="shared" ca="1" si="851"/>
        <v>0</v>
      </c>
      <c r="AG185" s="64"/>
      <c r="AH185" s="74" t="s">
        <v>1265</v>
      </c>
      <c r="AI185" s="73">
        <f t="shared" ca="1" si="852"/>
        <v>0</v>
      </c>
      <c r="AJ185" s="64"/>
      <c r="AK185" s="74" t="s">
        <v>134</v>
      </c>
      <c r="AL185" s="73">
        <f t="shared" ca="1" si="853"/>
        <v>0</v>
      </c>
      <c r="AM185" s="64"/>
      <c r="AN185" s="74" t="s">
        <v>1261</v>
      </c>
      <c r="AO185" s="73">
        <f t="shared" ca="1" si="854"/>
        <v>0</v>
      </c>
      <c r="AP185" s="64"/>
      <c r="AQ185" s="74" t="s">
        <v>1265</v>
      </c>
      <c r="AR185" s="73">
        <f t="shared" ca="1" si="855"/>
        <v>0</v>
      </c>
      <c r="AS185" s="64"/>
      <c r="AT185" s="74" t="s">
        <v>1265</v>
      </c>
      <c r="AU185" s="73">
        <f t="shared" ca="1" si="856"/>
        <v>0</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0</v>
      </c>
      <c r="BH185" s="64"/>
      <c r="BI185" s="74" t="s">
        <v>1265</v>
      </c>
      <c r="BJ185" s="73">
        <f t="shared" ca="1" si="861"/>
        <v>0</v>
      </c>
      <c r="BK185" s="64"/>
      <c r="BL185" s="74" t="s">
        <v>1265</v>
      </c>
      <c r="BM185" s="73">
        <f t="shared" ca="1" si="862"/>
        <v>0</v>
      </c>
      <c r="BN185" s="64"/>
      <c r="BO185" s="74" t="s">
        <v>1265</v>
      </c>
      <c r="BP185" s="73">
        <f t="shared" ca="1" si="863"/>
        <v>0</v>
      </c>
      <c r="BQ185" s="64"/>
      <c r="BR185" s="74" t="s">
        <v>1265</v>
      </c>
      <c r="BS185" s="73">
        <f t="shared" ca="1" si="864"/>
        <v>0</v>
      </c>
      <c r="BT185" s="64"/>
      <c r="BU185" s="74" t="s">
        <v>1260</v>
      </c>
      <c r="BV185" s="73">
        <f t="shared" ca="1" si="865"/>
        <v>0</v>
      </c>
      <c r="BW185" s="64"/>
      <c r="BX185" s="74" t="s">
        <v>1265</v>
      </c>
      <c r="BY185" s="73">
        <f t="shared" ca="1" si="866"/>
        <v>0</v>
      </c>
      <c r="BZ185" s="64"/>
      <c r="CA185" s="74" t="s">
        <v>1260</v>
      </c>
      <c r="CB185" s="73">
        <f t="shared" ca="1" si="867"/>
        <v>0</v>
      </c>
      <c r="CC185" s="64"/>
      <c r="CD185" s="74" t="s">
        <v>1265</v>
      </c>
      <c r="CE185" s="73">
        <f t="shared" ca="1" si="868"/>
        <v>0</v>
      </c>
      <c r="CF185" s="64"/>
      <c r="CG185" s="74" t="s">
        <v>1265</v>
      </c>
      <c r="CH185" s="73">
        <f t="shared" ca="1" si="869"/>
        <v>0</v>
      </c>
      <c r="CI185" s="64"/>
      <c r="CJ185" s="74" t="s">
        <v>1265</v>
      </c>
      <c r="CK185" s="73">
        <f t="shared" ca="1" si="870"/>
        <v>0</v>
      </c>
      <c r="CL185" s="64"/>
      <c r="CM185" s="74" t="s">
        <v>1265</v>
      </c>
      <c r="CN185" s="73">
        <f t="shared" ca="1" si="871"/>
        <v>0</v>
      </c>
      <c r="CO185" s="64"/>
      <c r="CP185" s="74" t="s">
        <v>1265</v>
      </c>
      <c r="CQ185" s="73">
        <f t="shared" ca="1" si="872"/>
        <v>0</v>
      </c>
      <c r="CR185" s="64"/>
      <c r="CS185" s="74" t="s">
        <v>1265</v>
      </c>
      <c r="CT185" s="73">
        <f t="shared" ca="1" si="873"/>
        <v>0</v>
      </c>
      <c r="CU185" s="64"/>
      <c r="CV185" s="74" t="s">
        <v>1265</v>
      </c>
      <c r="CW185" s="73">
        <f t="shared" ca="1" si="874"/>
        <v>0</v>
      </c>
      <c r="CX185" s="64"/>
      <c r="CY185" s="74" t="s">
        <v>1265</v>
      </c>
      <c r="CZ185" s="73">
        <f t="shared" ca="1" si="875"/>
        <v>0</v>
      </c>
      <c r="DA185" s="64"/>
      <c r="DB185" s="74" t="s">
        <v>1265</v>
      </c>
      <c r="DC185" s="73">
        <f t="shared" ca="1" si="876"/>
        <v>0</v>
      </c>
      <c r="DD185" s="64"/>
      <c r="DE185" s="74" t="s">
        <v>1265</v>
      </c>
      <c r="DF185" s="73">
        <f t="shared" ca="1" si="877"/>
        <v>0</v>
      </c>
      <c r="DG185" s="64"/>
      <c r="DH185" s="74" t="s">
        <v>1260</v>
      </c>
      <c r="DI185" s="73">
        <f t="shared" ca="1" si="878"/>
        <v>0</v>
      </c>
      <c r="DJ185" s="64"/>
      <c r="DK185" s="74" t="s">
        <v>1633</v>
      </c>
      <c r="DL185" s="73">
        <f t="shared" ca="1" si="879"/>
        <v>0</v>
      </c>
      <c r="DM185" s="64"/>
      <c r="DN185" s="795" t="s">
        <v>1265</v>
      </c>
      <c r="DO185" s="73">
        <f t="shared" ca="1" si="880"/>
        <v>0</v>
      </c>
      <c r="DP185" s="64"/>
      <c r="DQ185" s="795" t="s">
        <v>1633</v>
      </c>
      <c r="DR185" s="73">
        <f t="shared" ca="1" si="881"/>
        <v>0</v>
      </c>
      <c r="DS185" s="64"/>
      <c r="DT185" s="74" t="s">
        <v>1258</v>
      </c>
      <c r="DU185" s="73">
        <f t="shared" ca="1" si="882"/>
        <v>0</v>
      </c>
      <c r="DV185" s="64"/>
      <c r="DW185" s="74" t="s">
        <v>1265</v>
      </c>
      <c r="DX185" s="73">
        <f t="shared" ca="1" si="883"/>
        <v>0</v>
      </c>
      <c r="DY185" s="64"/>
      <c r="DZ185" s="74" t="s">
        <v>1265</v>
      </c>
      <c r="EA185" s="73">
        <f t="shared" ca="1" si="884"/>
        <v>0</v>
      </c>
      <c r="EB185" s="64"/>
      <c r="EC185" s="74" t="s">
        <v>1265</v>
      </c>
      <c r="ED185" s="73">
        <f t="shared" ca="1" si="885"/>
        <v>0</v>
      </c>
      <c r="EE185" s="64"/>
      <c r="EF185" s="74" t="s">
        <v>1265</v>
      </c>
      <c r="EG185" s="73">
        <f t="shared" ca="1" si="886"/>
        <v>0</v>
      </c>
      <c r="EH185" s="64"/>
      <c r="EI185" s="74" t="s">
        <v>1265</v>
      </c>
      <c r="EJ185" s="73">
        <f t="shared" ca="1" si="887"/>
        <v>0</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x14ac:dyDescent="0.2">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W83</v>
      </c>
      <c r="N186" s="25"/>
      <c r="O186" s="25"/>
      <c r="P186" s="25"/>
      <c r="Q186" s="25"/>
      <c r="R186" s="110"/>
      <c r="S186" s="74" t="s">
        <v>79</v>
      </c>
      <c r="T186" s="73">
        <f t="shared" ca="1" si="847"/>
        <v>0</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0</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0</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0</v>
      </c>
      <c r="BZ186" s="64"/>
      <c r="CA186" s="74" t="s">
        <v>78</v>
      </c>
      <c r="CB186" s="73">
        <f t="shared" ca="1" si="867"/>
        <v>0</v>
      </c>
      <c r="CC186" s="64"/>
      <c r="CD186" s="74" t="s">
        <v>76</v>
      </c>
      <c r="CE186" s="73">
        <f t="shared" ca="1" si="868"/>
        <v>0</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0</v>
      </c>
      <c r="DM186" s="64"/>
      <c r="DN186" s="795" t="s">
        <v>1320</v>
      </c>
      <c r="DO186" s="73">
        <f t="shared" ca="1" si="880"/>
        <v>0</v>
      </c>
      <c r="DP186" s="64"/>
      <c r="DQ186" s="795" t="s">
        <v>76</v>
      </c>
      <c r="DR186" s="73">
        <f t="shared" ca="1" si="881"/>
        <v>0</v>
      </c>
      <c r="DS186" s="64"/>
      <c r="DT186" s="74" t="s">
        <v>79</v>
      </c>
      <c r="DU186" s="73">
        <f t="shared" ca="1" si="882"/>
        <v>0</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t="s">
        <v>1320</v>
      </c>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x14ac:dyDescent="0.2">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W81</v>
      </c>
      <c r="N187" s="25"/>
      <c r="O187" s="25"/>
      <c r="P187" s="25"/>
      <c r="Q187" s="25"/>
      <c r="R187" s="110"/>
      <c r="S187" s="74" t="s">
        <v>497</v>
      </c>
      <c r="T187" s="73">
        <f t="shared" ca="1" si="847"/>
        <v>0</v>
      </c>
      <c r="U187" s="64"/>
      <c r="V187" s="74" t="s">
        <v>135</v>
      </c>
      <c r="W187" s="73">
        <f t="shared" ca="1" si="848"/>
        <v>0</v>
      </c>
      <c r="X187" s="64"/>
      <c r="Y187" s="74" t="s">
        <v>1835</v>
      </c>
      <c r="Z187" s="73">
        <f t="shared" ca="1" si="849"/>
        <v>0</v>
      </c>
      <c r="AA187" s="64"/>
      <c r="AB187" s="76" t="s">
        <v>1835</v>
      </c>
      <c r="AC187" s="73">
        <f t="shared" ca="1" si="850"/>
        <v>0</v>
      </c>
      <c r="AD187" s="64"/>
      <c r="AE187" s="74" t="s">
        <v>497</v>
      </c>
      <c r="AF187" s="73">
        <f t="shared" ca="1" si="851"/>
        <v>0</v>
      </c>
      <c r="AG187" s="64"/>
      <c r="AH187" s="74" t="s">
        <v>497</v>
      </c>
      <c r="AI187" s="73">
        <f t="shared" ca="1" si="852"/>
        <v>0</v>
      </c>
      <c r="AJ187" s="64"/>
      <c r="AK187" s="74" t="s">
        <v>1835</v>
      </c>
      <c r="AL187" s="73">
        <f t="shared" ca="1" si="853"/>
        <v>0</v>
      </c>
      <c r="AM187" s="64"/>
      <c r="AN187" s="74" t="s">
        <v>1835</v>
      </c>
      <c r="AO187" s="73">
        <f t="shared" ca="1" si="854"/>
        <v>0</v>
      </c>
      <c r="AP187" s="64"/>
      <c r="AQ187" s="74" t="s">
        <v>497</v>
      </c>
      <c r="AR187" s="73">
        <f t="shared" ca="1" si="855"/>
        <v>0</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0</v>
      </c>
      <c r="BH187" s="64"/>
      <c r="BI187" s="74" t="s">
        <v>1835</v>
      </c>
      <c r="BJ187" s="73">
        <f t="shared" ca="1" si="861"/>
        <v>0</v>
      </c>
      <c r="BK187" s="64"/>
      <c r="BL187" s="74" t="s">
        <v>497</v>
      </c>
      <c r="BM187" s="73">
        <f t="shared" ca="1" si="862"/>
        <v>0</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0</v>
      </c>
      <c r="CI187" s="64"/>
      <c r="CJ187" s="74" t="s">
        <v>497</v>
      </c>
      <c r="CK187" s="73">
        <f t="shared" ca="1" si="870"/>
        <v>0</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0</v>
      </c>
      <c r="DS187" s="64"/>
      <c r="DT187" s="74" t="s">
        <v>497</v>
      </c>
      <c r="DU187" s="73">
        <f t="shared" ca="1" si="882"/>
        <v>0</v>
      </c>
      <c r="DV187" s="64"/>
      <c r="DW187" s="74" t="s">
        <v>1633</v>
      </c>
      <c r="DX187" s="73">
        <f t="shared" ca="1" si="883"/>
        <v>0</v>
      </c>
      <c r="DY187" s="64"/>
      <c r="DZ187" s="74" t="s">
        <v>497</v>
      </c>
      <c r="EA187" s="73">
        <f t="shared" ca="1" si="884"/>
        <v>0</v>
      </c>
      <c r="EB187" s="64"/>
      <c r="EC187" s="74" t="s">
        <v>1835</v>
      </c>
      <c r="ED187" s="73">
        <f t="shared" ca="1" si="885"/>
        <v>0</v>
      </c>
      <c r="EE187" s="64"/>
      <c r="EF187" s="74" t="s">
        <v>497</v>
      </c>
      <c r="EG187" s="73">
        <f t="shared" ca="1" si="886"/>
        <v>0</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x14ac:dyDescent="0.2">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 ca="1">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t="s">
        <v>1256</v>
      </c>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x14ac:dyDescent="0.2">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W85</v>
      </c>
      <c r="N189" s="25"/>
      <c r="O189" s="25"/>
      <c r="P189" s="25"/>
      <c r="Q189" s="25"/>
      <c r="R189" s="110"/>
      <c r="S189" s="74" t="s">
        <v>1558</v>
      </c>
      <c r="T189" s="73">
        <f t="shared" ca="1" si="847"/>
        <v>0</v>
      </c>
      <c r="U189" s="64"/>
      <c r="V189" s="74" t="s">
        <v>75</v>
      </c>
      <c r="W189" s="73">
        <f t="shared" ca="1" si="848"/>
        <v>0</v>
      </c>
      <c r="X189" s="64"/>
      <c r="Y189" s="74" t="s">
        <v>1261</v>
      </c>
      <c r="Z189" s="73">
        <f t="shared" ca="1" si="849"/>
        <v>0</v>
      </c>
      <c r="AA189" s="64"/>
      <c r="AB189" s="74" t="s">
        <v>75</v>
      </c>
      <c r="AC189" s="73">
        <f t="shared" ca="1" si="850"/>
        <v>0</v>
      </c>
      <c r="AD189" s="64"/>
      <c r="AE189" s="74" t="s">
        <v>75</v>
      </c>
      <c r="AF189" s="73">
        <f t="shared" ca="1" si="851"/>
        <v>0</v>
      </c>
      <c r="AG189" s="64"/>
      <c r="AH189" s="74" t="s">
        <v>75</v>
      </c>
      <c r="AI189" s="73">
        <f t="shared" ca="1" si="852"/>
        <v>0</v>
      </c>
      <c r="AJ189" s="64"/>
      <c r="AK189" s="74" t="s">
        <v>75</v>
      </c>
      <c r="AL189" s="73">
        <f t="shared" ca="1" si="853"/>
        <v>0</v>
      </c>
      <c r="AM189" s="64"/>
      <c r="AN189" s="74" t="s">
        <v>80</v>
      </c>
      <c r="AO189" s="73">
        <f t="shared" ca="1" si="854"/>
        <v>0</v>
      </c>
      <c r="AP189" s="64"/>
      <c r="AQ189" s="74" t="s">
        <v>75</v>
      </c>
      <c r="AR189" s="73">
        <f t="shared" ca="1" si="855"/>
        <v>0</v>
      </c>
      <c r="AS189" s="64"/>
      <c r="AT189" s="74" t="s">
        <v>75</v>
      </c>
      <c r="AU189" s="73">
        <f t="shared" ca="1" si="856"/>
        <v>0</v>
      </c>
      <c r="AV189" s="64"/>
      <c r="AW189" s="74" t="s">
        <v>80</v>
      </c>
      <c r="AX189" s="73">
        <f t="shared" ca="1" si="857"/>
        <v>0</v>
      </c>
      <c r="AY189" s="64"/>
      <c r="AZ189" s="74" t="s">
        <v>1266</v>
      </c>
      <c r="BA189" s="73">
        <f t="shared" ca="1" si="858"/>
        <v>0</v>
      </c>
      <c r="BB189" s="64"/>
      <c r="BC189" s="74" t="s">
        <v>75</v>
      </c>
      <c r="BD189" s="73">
        <f t="shared" ca="1" si="859"/>
        <v>0</v>
      </c>
      <c r="BE189" s="64"/>
      <c r="BF189" s="74" t="s">
        <v>75</v>
      </c>
      <c r="BG189" s="73">
        <f t="shared" ca="1" si="860"/>
        <v>0</v>
      </c>
      <c r="BH189" s="64"/>
      <c r="BI189" s="74" t="s">
        <v>75</v>
      </c>
      <c r="BJ189" s="73">
        <f t="shared" ca="1" si="861"/>
        <v>0</v>
      </c>
      <c r="BK189" s="64"/>
      <c r="BL189" s="74" t="s">
        <v>75</v>
      </c>
      <c r="BM189" s="73">
        <f t="shared" ca="1" si="862"/>
        <v>0</v>
      </c>
      <c r="BN189" s="64"/>
      <c r="BO189" s="74" t="s">
        <v>75</v>
      </c>
      <c r="BP189" s="73">
        <f t="shared" ca="1" si="863"/>
        <v>0</v>
      </c>
      <c r="BQ189" s="64"/>
      <c r="BR189" s="74" t="s">
        <v>75</v>
      </c>
      <c r="BS189" s="73">
        <f t="shared" ca="1" si="864"/>
        <v>0</v>
      </c>
      <c r="BT189" s="64"/>
      <c r="BU189" s="74" t="s">
        <v>75</v>
      </c>
      <c r="BV189" s="73">
        <f t="shared" ca="1" si="865"/>
        <v>0</v>
      </c>
      <c r="BW189" s="64"/>
      <c r="BX189" s="74" t="s">
        <v>75</v>
      </c>
      <c r="BY189" s="73">
        <f t="shared" ca="1" si="866"/>
        <v>0</v>
      </c>
      <c r="BZ189" s="64"/>
      <c r="CA189" s="74" t="s">
        <v>75</v>
      </c>
      <c r="CB189" s="73">
        <f t="shared" ca="1" si="867"/>
        <v>0</v>
      </c>
      <c r="CC189" s="64"/>
      <c r="CD189" s="74" t="s">
        <v>75</v>
      </c>
      <c r="CE189" s="73">
        <f t="shared" ca="1" si="868"/>
        <v>0</v>
      </c>
      <c r="CF189" s="64"/>
      <c r="CG189" s="74" t="s">
        <v>1259</v>
      </c>
      <c r="CH189" s="73">
        <f t="shared" ca="1" si="869"/>
        <v>0</v>
      </c>
      <c r="CI189" s="64"/>
      <c r="CJ189" s="74" t="s">
        <v>75</v>
      </c>
      <c r="CK189" s="73">
        <f t="shared" ca="1" si="870"/>
        <v>0</v>
      </c>
      <c r="CL189" s="64"/>
      <c r="CM189" s="74" t="s">
        <v>75</v>
      </c>
      <c r="CN189" s="73">
        <f t="shared" ca="1" si="871"/>
        <v>0</v>
      </c>
      <c r="CO189" s="64"/>
      <c r="CP189" s="74" t="s">
        <v>75</v>
      </c>
      <c r="CQ189" s="73">
        <f t="shared" ca="1" si="872"/>
        <v>0</v>
      </c>
      <c r="CR189" s="64"/>
      <c r="CS189" s="74" t="s">
        <v>75</v>
      </c>
      <c r="CT189" s="73">
        <f t="shared" ca="1" si="873"/>
        <v>0</v>
      </c>
      <c r="CU189" s="64"/>
      <c r="CV189" s="74" t="s">
        <v>75</v>
      </c>
      <c r="CW189" s="73">
        <f t="shared" ca="1" si="874"/>
        <v>0</v>
      </c>
      <c r="CX189" s="64"/>
      <c r="CY189" s="74" t="s">
        <v>75</v>
      </c>
      <c r="CZ189" s="73">
        <f t="shared" ca="1" si="875"/>
        <v>0</v>
      </c>
      <c r="DA189" s="64"/>
      <c r="DB189" s="74" t="s">
        <v>75</v>
      </c>
      <c r="DC189" s="73">
        <f t="shared" ca="1" si="876"/>
        <v>0</v>
      </c>
      <c r="DD189" s="64"/>
      <c r="DE189" s="74" t="s">
        <v>75</v>
      </c>
      <c r="DF189" s="73">
        <f t="shared" ca="1" si="877"/>
        <v>0</v>
      </c>
      <c r="DG189" s="64"/>
      <c r="DH189" s="74" t="s">
        <v>75</v>
      </c>
      <c r="DI189" s="73">
        <f t="shared" ca="1" si="878"/>
        <v>0</v>
      </c>
      <c r="DJ189" s="64"/>
      <c r="DK189" s="74" t="s">
        <v>75</v>
      </c>
      <c r="DL189" s="73">
        <f t="shared" ca="1" si="879"/>
        <v>0</v>
      </c>
      <c r="DM189" s="64"/>
      <c r="DN189" s="795" t="s">
        <v>75</v>
      </c>
      <c r="DO189" s="73">
        <f t="shared" ca="1" si="880"/>
        <v>0</v>
      </c>
      <c r="DP189" s="64"/>
      <c r="DQ189" s="795" t="s">
        <v>75</v>
      </c>
      <c r="DR189" s="73">
        <f t="shared" ca="1" si="881"/>
        <v>0</v>
      </c>
      <c r="DS189" s="64"/>
      <c r="DT189" s="74" t="s">
        <v>75</v>
      </c>
      <c r="DU189" s="73">
        <f t="shared" ca="1" si="882"/>
        <v>0</v>
      </c>
      <c r="DV189" s="64"/>
      <c r="DW189" s="74" t="s">
        <v>75</v>
      </c>
      <c r="DX189" s="73">
        <f t="shared" ca="1" si="883"/>
        <v>0</v>
      </c>
      <c r="DY189" s="64"/>
      <c r="DZ189" s="74" t="s">
        <v>1259</v>
      </c>
      <c r="EA189" s="73">
        <f t="shared" ca="1" si="884"/>
        <v>0</v>
      </c>
      <c r="EB189" s="64"/>
      <c r="EC189" s="74" t="s">
        <v>75</v>
      </c>
      <c r="ED189" s="73">
        <f t="shared" ca="1" si="885"/>
        <v>0</v>
      </c>
      <c r="EE189" s="64"/>
      <c r="EF189" s="74" t="s">
        <v>75</v>
      </c>
      <c r="EG189" s="73">
        <f t="shared" ca="1" si="886"/>
        <v>0</v>
      </c>
      <c r="EH189" s="64"/>
      <c r="EI189" s="74" t="s">
        <v>75</v>
      </c>
      <c r="EJ189" s="73">
        <f t="shared" ca="1" si="887"/>
        <v>0</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x14ac:dyDescent="0.2">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W75</v>
      </c>
      <c r="N190" s="25"/>
      <c r="O190" s="25"/>
      <c r="P190" s="25"/>
      <c r="Q190" s="25"/>
      <c r="R190" s="110"/>
      <c r="S190" s="74" t="s">
        <v>1321</v>
      </c>
      <c r="T190" s="73">
        <f t="shared" ca="1" si="847"/>
        <v>0</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0</v>
      </c>
      <c r="AG190" s="64"/>
      <c r="AH190" s="74" t="s">
        <v>1258</v>
      </c>
      <c r="AI190" s="73">
        <f t="shared" ca="1" si="852"/>
        <v>0</v>
      </c>
      <c r="AJ190" s="64"/>
      <c r="AK190" s="74" t="s">
        <v>111</v>
      </c>
      <c r="AL190" s="73">
        <f t="shared" ca="1" si="853"/>
        <v>0</v>
      </c>
      <c r="AM190" s="64"/>
      <c r="AN190" s="74" t="s">
        <v>111</v>
      </c>
      <c r="AO190" s="73">
        <f t="shared" ca="1" si="854"/>
        <v>0</v>
      </c>
      <c r="AP190" s="64"/>
      <c r="AQ190" s="74" t="s">
        <v>1321</v>
      </c>
      <c r="AR190" s="73">
        <f t="shared" ca="1" si="855"/>
        <v>0</v>
      </c>
      <c r="AS190" s="64"/>
      <c r="AT190" s="74" t="s">
        <v>111</v>
      </c>
      <c r="AU190" s="73">
        <f t="shared" ca="1" si="856"/>
        <v>0</v>
      </c>
      <c r="AV190" s="64"/>
      <c r="AW190" s="74" t="s">
        <v>111</v>
      </c>
      <c r="AX190" s="73">
        <f t="shared" ca="1" si="857"/>
        <v>0</v>
      </c>
      <c r="AY190" s="64"/>
      <c r="AZ190" s="74" t="s">
        <v>1321</v>
      </c>
      <c r="BA190" s="73">
        <f t="shared" ca="1" si="858"/>
        <v>0</v>
      </c>
      <c r="BB190" s="64"/>
      <c r="BC190" s="74" t="s">
        <v>1321</v>
      </c>
      <c r="BD190" s="73">
        <f t="shared" ca="1" si="859"/>
        <v>0</v>
      </c>
      <c r="BE190" s="64"/>
      <c r="BF190" s="74" t="s">
        <v>111</v>
      </c>
      <c r="BG190" s="73">
        <f t="shared" ca="1" si="860"/>
        <v>0</v>
      </c>
      <c r="BH190" s="64"/>
      <c r="BI190" s="74" t="s">
        <v>111</v>
      </c>
      <c r="BJ190" s="73">
        <f t="shared" ca="1" si="861"/>
        <v>0</v>
      </c>
      <c r="BK190" s="64"/>
      <c r="BL190" s="74" t="s">
        <v>1321</v>
      </c>
      <c r="BM190" s="73">
        <f t="shared" ca="1" si="862"/>
        <v>0</v>
      </c>
      <c r="BN190" s="64"/>
      <c r="BO190" s="74" t="s">
        <v>1321</v>
      </c>
      <c r="BP190" s="73">
        <f t="shared" ca="1" si="863"/>
        <v>0</v>
      </c>
      <c r="BQ190" s="64"/>
      <c r="BR190" s="74" t="s">
        <v>1321</v>
      </c>
      <c r="BS190" s="73">
        <f t="shared" ca="1" si="864"/>
        <v>0</v>
      </c>
      <c r="BT190" s="64"/>
      <c r="BU190" s="74" t="s">
        <v>1263</v>
      </c>
      <c r="BV190" s="73">
        <f t="shared" ca="1" si="865"/>
        <v>0</v>
      </c>
      <c r="BW190" s="64"/>
      <c r="BX190" s="74" t="s">
        <v>1321</v>
      </c>
      <c r="BY190" s="73">
        <f t="shared" ca="1" si="866"/>
        <v>0</v>
      </c>
      <c r="BZ190" s="64"/>
      <c r="CA190" s="74" t="s">
        <v>1258</v>
      </c>
      <c r="CB190" s="73">
        <f t="shared" ca="1" si="867"/>
        <v>0</v>
      </c>
      <c r="CC190" s="64"/>
      <c r="CD190" s="74" t="s">
        <v>1321</v>
      </c>
      <c r="CE190" s="73">
        <f t="shared" ca="1" si="868"/>
        <v>0</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0</v>
      </c>
      <c r="CR190" s="64"/>
      <c r="CS190" s="74" t="s">
        <v>1321</v>
      </c>
      <c r="CT190" s="73">
        <f t="shared" ca="1" si="873"/>
        <v>0</v>
      </c>
      <c r="CU190" s="64"/>
      <c r="CV190" s="74" t="s">
        <v>1321</v>
      </c>
      <c r="CW190" s="73">
        <f t="shared" ca="1" si="874"/>
        <v>0</v>
      </c>
      <c r="CX190" s="64"/>
      <c r="CY190" s="74" t="s">
        <v>1833</v>
      </c>
      <c r="CZ190" s="73">
        <f t="shared" ca="1" si="875"/>
        <v>0</v>
      </c>
      <c r="DA190" s="64"/>
      <c r="DB190" s="74" t="s">
        <v>1321</v>
      </c>
      <c r="DC190" s="73">
        <f t="shared" ca="1" si="876"/>
        <v>0</v>
      </c>
      <c r="DD190" s="64"/>
      <c r="DE190" s="74" t="s">
        <v>111</v>
      </c>
      <c r="DF190" s="73">
        <f t="shared" ca="1" si="877"/>
        <v>0</v>
      </c>
      <c r="DG190" s="64"/>
      <c r="DH190" s="74" t="s">
        <v>111</v>
      </c>
      <c r="DI190" s="73">
        <f t="shared" ca="1" si="878"/>
        <v>0</v>
      </c>
      <c r="DJ190" s="64"/>
      <c r="DK190" s="74" t="s">
        <v>1258</v>
      </c>
      <c r="DL190" s="73">
        <f t="shared" ca="1" si="879"/>
        <v>0</v>
      </c>
      <c r="DM190" s="64"/>
      <c r="DN190" s="795" t="s">
        <v>111</v>
      </c>
      <c r="DO190" s="73">
        <f t="shared" ca="1" si="880"/>
        <v>0</v>
      </c>
      <c r="DP190" s="64"/>
      <c r="DQ190" s="795" t="s">
        <v>1258</v>
      </c>
      <c r="DR190" s="73">
        <f t="shared" ca="1" si="881"/>
        <v>0</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0</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x14ac:dyDescent="0.2">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W77</v>
      </c>
      <c r="N191" s="25"/>
      <c r="O191" s="25"/>
      <c r="P191" s="25"/>
      <c r="Q191" s="25"/>
      <c r="R191" s="110"/>
      <c r="S191" s="74" t="s">
        <v>74</v>
      </c>
      <c r="T191" s="73">
        <f t="shared" ca="1" si="847"/>
        <v>0</v>
      </c>
      <c r="U191" s="64"/>
      <c r="V191" s="74" t="s">
        <v>74</v>
      </c>
      <c r="W191" s="73">
        <f t="shared" ca="1" si="848"/>
        <v>0</v>
      </c>
      <c r="X191" s="64"/>
      <c r="Y191" s="74" t="s">
        <v>74</v>
      </c>
      <c r="Z191" s="73">
        <f t="shared" ca="1" si="849"/>
        <v>0</v>
      </c>
      <c r="AA191" s="64"/>
      <c r="AB191" s="74" t="s">
        <v>74</v>
      </c>
      <c r="AC191" s="73">
        <f t="shared" ca="1" si="850"/>
        <v>0</v>
      </c>
      <c r="AD191" s="64"/>
      <c r="AE191" s="74" t="s">
        <v>74</v>
      </c>
      <c r="AF191" s="73">
        <f t="shared" ca="1" si="851"/>
        <v>0</v>
      </c>
      <c r="AG191" s="64"/>
      <c r="AH191" s="74" t="s">
        <v>74</v>
      </c>
      <c r="AI191" s="73">
        <f t="shared" ca="1" si="852"/>
        <v>0</v>
      </c>
      <c r="AJ191" s="64"/>
      <c r="AK191" s="74" t="s">
        <v>74</v>
      </c>
      <c r="AL191" s="73">
        <f t="shared" ca="1" si="853"/>
        <v>0</v>
      </c>
      <c r="AM191" s="64"/>
      <c r="AN191" s="74" t="s">
        <v>74</v>
      </c>
      <c r="AO191" s="73">
        <f t="shared" ca="1" si="854"/>
        <v>0</v>
      </c>
      <c r="AP191" s="64"/>
      <c r="AQ191" s="74" t="s">
        <v>74</v>
      </c>
      <c r="AR191" s="73">
        <f t="shared" ca="1" si="855"/>
        <v>0</v>
      </c>
      <c r="AS191" s="64"/>
      <c r="AT191" s="74" t="s">
        <v>74</v>
      </c>
      <c r="AU191" s="73">
        <f t="shared" ca="1" si="856"/>
        <v>0</v>
      </c>
      <c r="AV191" s="64"/>
      <c r="AW191" s="74" t="s">
        <v>74</v>
      </c>
      <c r="AX191" s="73">
        <f t="shared" ca="1" si="857"/>
        <v>0</v>
      </c>
      <c r="AY191" s="64"/>
      <c r="AZ191" s="74" t="s">
        <v>74</v>
      </c>
      <c r="BA191" s="73">
        <f t="shared" ca="1" si="858"/>
        <v>0</v>
      </c>
      <c r="BB191" s="64"/>
      <c r="BC191" s="74" t="s">
        <v>74</v>
      </c>
      <c r="BD191" s="73">
        <f t="shared" ca="1" si="859"/>
        <v>0</v>
      </c>
      <c r="BE191" s="64"/>
      <c r="BF191" s="74" t="s">
        <v>74</v>
      </c>
      <c r="BG191" s="73">
        <f t="shared" ca="1" si="860"/>
        <v>0</v>
      </c>
      <c r="BH191" s="64"/>
      <c r="BI191" s="74" t="s">
        <v>74</v>
      </c>
      <c r="BJ191" s="73">
        <f t="shared" ca="1" si="861"/>
        <v>0</v>
      </c>
      <c r="BK191" s="64"/>
      <c r="BL191" s="74" t="s">
        <v>74</v>
      </c>
      <c r="BM191" s="73">
        <f t="shared" ca="1" si="862"/>
        <v>0</v>
      </c>
      <c r="BN191" s="64"/>
      <c r="BO191" s="74" t="s">
        <v>74</v>
      </c>
      <c r="BP191" s="73">
        <f t="shared" ca="1" si="863"/>
        <v>0</v>
      </c>
      <c r="BQ191" s="64"/>
      <c r="BR191" s="74" t="s">
        <v>74</v>
      </c>
      <c r="BS191" s="73">
        <f t="shared" ca="1" si="864"/>
        <v>0</v>
      </c>
      <c r="BT191" s="64"/>
      <c r="BU191" s="74" t="s">
        <v>74</v>
      </c>
      <c r="BV191" s="73">
        <f t="shared" ca="1" si="865"/>
        <v>0</v>
      </c>
      <c r="BW191" s="64"/>
      <c r="BX191" s="74" t="s">
        <v>74</v>
      </c>
      <c r="BY191" s="73">
        <f t="shared" ca="1" si="866"/>
        <v>0</v>
      </c>
      <c r="BZ191" s="64"/>
      <c r="CA191" s="74" t="s">
        <v>74</v>
      </c>
      <c r="CB191" s="73">
        <f t="shared" ca="1" si="867"/>
        <v>0</v>
      </c>
      <c r="CC191" s="64"/>
      <c r="CD191" s="74" t="s">
        <v>74</v>
      </c>
      <c r="CE191" s="73">
        <f t="shared" ca="1" si="868"/>
        <v>0</v>
      </c>
      <c r="CF191" s="64"/>
      <c r="CG191" s="74" t="s">
        <v>74</v>
      </c>
      <c r="CH191" s="73">
        <f t="shared" ca="1" si="869"/>
        <v>0</v>
      </c>
      <c r="CI191" s="64"/>
      <c r="CJ191" s="74" t="s">
        <v>74</v>
      </c>
      <c r="CK191" s="73">
        <f t="shared" ca="1" si="870"/>
        <v>0</v>
      </c>
      <c r="CL191" s="64"/>
      <c r="CM191" s="74" t="s">
        <v>74</v>
      </c>
      <c r="CN191" s="73">
        <f t="shared" ca="1" si="871"/>
        <v>0</v>
      </c>
      <c r="CO191" s="64"/>
      <c r="CP191" s="74" t="s">
        <v>74</v>
      </c>
      <c r="CQ191" s="73">
        <f t="shared" ca="1" si="872"/>
        <v>0</v>
      </c>
      <c r="CR191" s="64"/>
      <c r="CS191" s="74" t="s">
        <v>74</v>
      </c>
      <c r="CT191" s="73">
        <f t="shared" ca="1" si="873"/>
        <v>0</v>
      </c>
      <c r="CU191" s="64"/>
      <c r="CV191" s="74" t="s">
        <v>74</v>
      </c>
      <c r="CW191" s="73">
        <f t="shared" ca="1" si="874"/>
        <v>0</v>
      </c>
      <c r="CX191" s="64"/>
      <c r="CY191" s="74" t="s">
        <v>74</v>
      </c>
      <c r="CZ191" s="73">
        <f t="shared" ca="1" si="875"/>
        <v>0</v>
      </c>
      <c r="DA191" s="64"/>
      <c r="DB191" s="74" t="s">
        <v>74</v>
      </c>
      <c r="DC191" s="73">
        <f t="shared" ca="1" si="876"/>
        <v>0</v>
      </c>
      <c r="DD191" s="64"/>
      <c r="DE191" s="74" t="s">
        <v>74</v>
      </c>
      <c r="DF191" s="73">
        <f t="shared" ca="1" si="877"/>
        <v>0</v>
      </c>
      <c r="DG191" s="64"/>
      <c r="DH191" s="74" t="s">
        <v>74</v>
      </c>
      <c r="DI191" s="73">
        <f t="shared" ca="1" si="878"/>
        <v>0</v>
      </c>
      <c r="DJ191" s="64"/>
      <c r="DK191" s="74" t="s">
        <v>74</v>
      </c>
      <c r="DL191" s="73">
        <f t="shared" ca="1" si="879"/>
        <v>0</v>
      </c>
      <c r="DM191" s="64"/>
      <c r="DN191" s="795" t="s">
        <v>74</v>
      </c>
      <c r="DO191" s="73">
        <f t="shared" ca="1" si="880"/>
        <v>0</v>
      </c>
      <c r="DP191" s="64"/>
      <c r="DQ191" s="795" t="s">
        <v>1318</v>
      </c>
      <c r="DR191" s="73">
        <f t="shared" ca="1" si="881"/>
        <v>0</v>
      </c>
      <c r="DS191" s="64"/>
      <c r="DT191" s="74" t="s">
        <v>74</v>
      </c>
      <c r="DU191" s="73">
        <f t="shared" ca="1" si="882"/>
        <v>0</v>
      </c>
      <c r="DV191" s="64"/>
      <c r="DW191" s="74" t="s">
        <v>74</v>
      </c>
      <c r="DX191" s="73">
        <f t="shared" ca="1" si="883"/>
        <v>0</v>
      </c>
      <c r="DY191" s="64"/>
      <c r="DZ191" s="74" t="s">
        <v>74</v>
      </c>
      <c r="EA191" s="73">
        <f t="shared" ca="1" si="884"/>
        <v>0</v>
      </c>
      <c r="EB191" s="64"/>
      <c r="EC191" s="74" t="s">
        <v>74</v>
      </c>
      <c r="ED191" s="73">
        <f t="shared" ca="1" si="885"/>
        <v>0</v>
      </c>
      <c r="EE191" s="64"/>
      <c r="EF191" s="74" t="s">
        <v>1634</v>
      </c>
      <c r="EG191" s="73">
        <f t="shared" ca="1" si="886"/>
        <v>0</v>
      </c>
      <c r="EH191" s="64"/>
      <c r="EI191" s="74" t="s">
        <v>74</v>
      </c>
      <c r="EJ191" s="73">
        <f t="shared" ca="1" si="887"/>
        <v>0</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x14ac:dyDescent="0.2">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W78</v>
      </c>
      <c r="N192" s="25"/>
      <c r="O192" s="25"/>
      <c r="P192" s="25"/>
      <c r="Q192" s="25"/>
      <c r="R192" s="110"/>
      <c r="S192" s="74" t="s">
        <v>135</v>
      </c>
      <c r="T192" s="73">
        <f t="shared" ca="1" si="847"/>
        <v>0</v>
      </c>
      <c r="U192" s="64"/>
      <c r="V192" s="74" t="s">
        <v>1634</v>
      </c>
      <c r="W192" s="73">
        <f t="shared" ca="1" si="848"/>
        <v>0</v>
      </c>
      <c r="X192" s="64"/>
      <c r="Y192" s="74" t="s">
        <v>135</v>
      </c>
      <c r="Z192" s="73">
        <f t="shared" ca="1" si="849"/>
        <v>0</v>
      </c>
      <c r="AA192" s="64"/>
      <c r="AB192" s="74" t="s">
        <v>135</v>
      </c>
      <c r="AC192" s="73">
        <f t="shared" ca="1" si="850"/>
        <v>0</v>
      </c>
      <c r="AD192" s="64"/>
      <c r="AE192" s="74" t="s">
        <v>135</v>
      </c>
      <c r="AF192" s="73">
        <f t="shared" ca="1" si="851"/>
        <v>0</v>
      </c>
      <c r="AG192" s="64"/>
      <c r="AH192" s="74" t="s">
        <v>135</v>
      </c>
      <c r="AI192" s="73">
        <f t="shared" ca="1" si="852"/>
        <v>0</v>
      </c>
      <c r="AJ192" s="64"/>
      <c r="AK192" s="74" t="s">
        <v>1261</v>
      </c>
      <c r="AL192" s="73">
        <f t="shared" ca="1" si="853"/>
        <v>0</v>
      </c>
      <c r="AM192" s="64"/>
      <c r="AN192" s="74" t="s">
        <v>135</v>
      </c>
      <c r="AO192" s="73">
        <f t="shared" ca="1" si="854"/>
        <v>0</v>
      </c>
      <c r="AP192" s="64"/>
      <c r="AQ192" s="74" t="s">
        <v>135</v>
      </c>
      <c r="AR192" s="73">
        <f t="shared" ca="1" si="855"/>
        <v>0</v>
      </c>
      <c r="AS192" s="64"/>
      <c r="AT192" s="74" t="s">
        <v>1261</v>
      </c>
      <c r="AU192" s="73">
        <f t="shared" ca="1" si="856"/>
        <v>0</v>
      </c>
      <c r="AV192" s="64"/>
      <c r="AW192" s="74" t="s">
        <v>1633</v>
      </c>
      <c r="AX192" s="73">
        <f t="shared" ca="1" si="857"/>
        <v>0</v>
      </c>
      <c r="AY192" s="64"/>
      <c r="AZ192" s="74" t="s">
        <v>135</v>
      </c>
      <c r="BA192" s="73">
        <f t="shared" ca="1" si="858"/>
        <v>0</v>
      </c>
      <c r="BB192" s="64"/>
      <c r="BC192" s="74" t="s">
        <v>1261</v>
      </c>
      <c r="BD192" s="73">
        <f t="shared" ca="1" si="859"/>
        <v>0</v>
      </c>
      <c r="BE192" s="64"/>
      <c r="BF192" s="74" t="s">
        <v>135</v>
      </c>
      <c r="BG192" s="73">
        <f t="shared" ca="1" si="860"/>
        <v>0</v>
      </c>
      <c r="BH192" s="64"/>
      <c r="BI192" s="74" t="s">
        <v>135</v>
      </c>
      <c r="BJ192" s="73">
        <f t="shared" ca="1" si="861"/>
        <v>0</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0</v>
      </c>
      <c r="CF192" s="64"/>
      <c r="CG192" s="74" t="s">
        <v>1633</v>
      </c>
      <c r="CH192" s="73">
        <f t="shared" ca="1" si="869"/>
        <v>0</v>
      </c>
      <c r="CI192" s="64"/>
      <c r="CJ192" s="74" t="s">
        <v>135</v>
      </c>
      <c r="CK192" s="73">
        <f t="shared" ca="1" si="870"/>
        <v>0</v>
      </c>
      <c r="CL192" s="64"/>
      <c r="CM192" s="74" t="s">
        <v>135</v>
      </c>
      <c r="CN192" s="73">
        <f t="shared" ca="1" si="871"/>
        <v>0</v>
      </c>
      <c r="CO192" s="64"/>
      <c r="CP192" s="74" t="s">
        <v>135</v>
      </c>
      <c r="CQ192" s="73">
        <f t="shared" ca="1" si="872"/>
        <v>0</v>
      </c>
      <c r="CR192" s="64"/>
      <c r="CS192" s="74" t="s">
        <v>1633</v>
      </c>
      <c r="CT192" s="73">
        <f t="shared" ca="1" si="873"/>
        <v>0</v>
      </c>
      <c r="CU192" s="64"/>
      <c r="CV192" s="74" t="s">
        <v>135</v>
      </c>
      <c r="CW192" s="73">
        <f t="shared" ca="1" si="874"/>
        <v>0</v>
      </c>
      <c r="CX192" s="64"/>
      <c r="CY192" s="74" t="s">
        <v>135</v>
      </c>
      <c r="CZ192" s="73">
        <f t="shared" ca="1" si="875"/>
        <v>0</v>
      </c>
      <c r="DA192" s="64"/>
      <c r="DB192" s="74" t="s">
        <v>135</v>
      </c>
      <c r="DC192" s="73">
        <f t="shared" ca="1" si="876"/>
        <v>0</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0</v>
      </c>
      <c r="DP192" s="64"/>
      <c r="DQ192" s="795" t="s">
        <v>1261</v>
      </c>
      <c r="DR192" s="73">
        <f t="shared" ca="1" si="881"/>
        <v>0</v>
      </c>
      <c r="DS192" s="64"/>
      <c r="DT192" s="74" t="s">
        <v>135</v>
      </c>
      <c r="DU192" s="73">
        <f t="shared" ca="1" si="882"/>
        <v>0</v>
      </c>
      <c r="DV192" s="64"/>
      <c r="DW192" s="74" t="s">
        <v>135</v>
      </c>
      <c r="DX192" s="73">
        <f t="shared" ca="1" si="883"/>
        <v>0</v>
      </c>
      <c r="DY192" s="64"/>
      <c r="DZ192" s="74" t="s">
        <v>135</v>
      </c>
      <c r="EA192" s="73">
        <f t="shared" ca="1" si="884"/>
        <v>0</v>
      </c>
      <c r="EB192" s="64"/>
      <c r="EC192" s="74" t="s">
        <v>1261</v>
      </c>
      <c r="ED192" s="73">
        <f t="shared" ca="1" si="885"/>
        <v>0</v>
      </c>
      <c r="EE192" s="64"/>
      <c r="EF192" s="74" t="s">
        <v>74</v>
      </c>
      <c r="EG192" s="73">
        <f t="shared" ca="1" si="886"/>
        <v>0</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x14ac:dyDescent="0.2">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W80</v>
      </c>
      <c r="N193" s="25"/>
      <c r="O193" s="25"/>
      <c r="P193" s="25"/>
      <c r="Q193" s="25"/>
      <c r="R193" s="110"/>
      <c r="S193" s="74" t="s">
        <v>76</v>
      </c>
      <c r="T193" s="73">
        <f t="shared" ca="1" si="847"/>
        <v>0</v>
      </c>
      <c r="U193" s="64"/>
      <c r="V193" s="74" t="s">
        <v>76</v>
      </c>
      <c r="W193" s="73">
        <f t="shared" ca="1" si="848"/>
        <v>0</v>
      </c>
      <c r="X193" s="64"/>
      <c r="Y193" s="74" t="s">
        <v>76</v>
      </c>
      <c r="Z193" s="73">
        <f t="shared" ca="1" si="849"/>
        <v>0</v>
      </c>
      <c r="AA193" s="64"/>
      <c r="AB193" s="74" t="s">
        <v>76</v>
      </c>
      <c r="AC193" s="73">
        <f t="shared" ca="1" si="850"/>
        <v>0</v>
      </c>
      <c r="AD193" s="64"/>
      <c r="AE193" s="74" t="s">
        <v>76</v>
      </c>
      <c r="AF193" s="73">
        <f t="shared" ca="1" si="851"/>
        <v>0</v>
      </c>
      <c r="AG193" s="64"/>
      <c r="AH193" s="74" t="s">
        <v>78</v>
      </c>
      <c r="AI193" s="73">
        <f t="shared" ca="1" si="852"/>
        <v>0</v>
      </c>
      <c r="AJ193" s="64"/>
      <c r="AK193" s="74" t="s">
        <v>76</v>
      </c>
      <c r="AL193" s="73">
        <f t="shared" ca="1" si="853"/>
        <v>0</v>
      </c>
      <c r="AM193" s="64"/>
      <c r="AN193" s="74" t="s">
        <v>76</v>
      </c>
      <c r="AO193" s="73">
        <f t="shared" ca="1" si="854"/>
        <v>0</v>
      </c>
      <c r="AP193" s="64"/>
      <c r="AQ193" s="74" t="s">
        <v>76</v>
      </c>
      <c r="AR193" s="73">
        <f t="shared" ca="1" si="855"/>
        <v>0</v>
      </c>
      <c r="AS193" s="64"/>
      <c r="AT193" s="74" t="s">
        <v>76</v>
      </c>
      <c r="AU193" s="73">
        <f t="shared" ca="1" si="856"/>
        <v>0</v>
      </c>
      <c r="AV193" s="64"/>
      <c r="AW193" s="74" t="s">
        <v>76</v>
      </c>
      <c r="AX193" s="73">
        <f t="shared" ca="1" si="857"/>
        <v>0</v>
      </c>
      <c r="AY193" s="64"/>
      <c r="AZ193" s="74" t="s">
        <v>76</v>
      </c>
      <c r="BA193" s="73">
        <f t="shared" ca="1" si="858"/>
        <v>0</v>
      </c>
      <c r="BB193" s="64"/>
      <c r="BC193" s="74" t="s">
        <v>78</v>
      </c>
      <c r="BD193" s="73">
        <f t="shared" ca="1" si="859"/>
        <v>0</v>
      </c>
      <c r="BE193" s="64"/>
      <c r="BF193" s="74" t="s">
        <v>76</v>
      </c>
      <c r="BG193" s="73">
        <f t="shared" ca="1" si="860"/>
        <v>0</v>
      </c>
      <c r="BH193" s="64"/>
      <c r="BI193" s="74" t="s">
        <v>76</v>
      </c>
      <c r="BJ193" s="73">
        <f t="shared" ca="1" si="861"/>
        <v>0</v>
      </c>
      <c r="BK193" s="64"/>
      <c r="BL193" s="74" t="s">
        <v>76</v>
      </c>
      <c r="BM193" s="73">
        <f t="shared" ca="1" si="862"/>
        <v>0</v>
      </c>
      <c r="BN193" s="64"/>
      <c r="BO193" s="74" t="s">
        <v>76</v>
      </c>
      <c r="BP193" s="73">
        <f t="shared" ca="1" si="863"/>
        <v>0</v>
      </c>
      <c r="BQ193" s="64"/>
      <c r="BR193" s="74" t="s">
        <v>76</v>
      </c>
      <c r="BS193" s="73">
        <f t="shared" ca="1" si="864"/>
        <v>0</v>
      </c>
      <c r="BT193" s="64"/>
      <c r="BU193" s="74" t="s">
        <v>76</v>
      </c>
      <c r="BV193" s="73">
        <f t="shared" ca="1" si="865"/>
        <v>0</v>
      </c>
      <c r="BW193" s="64"/>
      <c r="BX193" s="74" t="s">
        <v>76</v>
      </c>
      <c r="BY193" s="73">
        <f t="shared" ca="1" si="866"/>
        <v>0</v>
      </c>
      <c r="BZ193" s="64"/>
      <c r="CA193" s="74" t="s">
        <v>76</v>
      </c>
      <c r="CB193" s="73">
        <f t="shared" ca="1" si="867"/>
        <v>0</v>
      </c>
      <c r="CC193" s="64"/>
      <c r="CD193" s="74" t="s">
        <v>78</v>
      </c>
      <c r="CE193" s="73">
        <f t="shared" ca="1" si="868"/>
        <v>0</v>
      </c>
      <c r="CF193" s="64"/>
      <c r="CG193" s="74" t="s">
        <v>76</v>
      </c>
      <c r="CH193" s="73">
        <f t="shared" ca="1" si="869"/>
        <v>0</v>
      </c>
      <c r="CI193" s="64"/>
      <c r="CJ193" s="74" t="s">
        <v>76</v>
      </c>
      <c r="CK193" s="73">
        <f t="shared" ca="1" si="870"/>
        <v>0</v>
      </c>
      <c r="CL193" s="64"/>
      <c r="CM193" s="74" t="s">
        <v>76</v>
      </c>
      <c r="CN193" s="73">
        <f t="shared" ca="1" si="871"/>
        <v>0</v>
      </c>
      <c r="CO193" s="64"/>
      <c r="CP193" s="74" t="s">
        <v>76</v>
      </c>
      <c r="CQ193" s="73">
        <f t="shared" ca="1" si="872"/>
        <v>0</v>
      </c>
      <c r="CR193" s="64"/>
      <c r="CS193" s="74" t="s">
        <v>76</v>
      </c>
      <c r="CT193" s="73">
        <f t="shared" ca="1" si="873"/>
        <v>0</v>
      </c>
      <c r="CU193" s="64"/>
      <c r="CV193" s="74" t="s">
        <v>76</v>
      </c>
      <c r="CW193" s="73">
        <f t="shared" ca="1" si="874"/>
        <v>0</v>
      </c>
      <c r="CX193" s="64"/>
      <c r="CY193" s="74" t="s">
        <v>76</v>
      </c>
      <c r="CZ193" s="73">
        <f t="shared" ca="1" si="875"/>
        <v>0</v>
      </c>
      <c r="DA193" s="64"/>
      <c r="DB193" s="74" t="s">
        <v>76</v>
      </c>
      <c r="DC193" s="73">
        <f t="shared" ca="1" si="876"/>
        <v>0</v>
      </c>
      <c r="DD193" s="64"/>
      <c r="DE193" s="74" t="s">
        <v>135</v>
      </c>
      <c r="DF193" s="73">
        <f t="shared" ca="1" si="877"/>
        <v>0</v>
      </c>
      <c r="DG193" s="64"/>
      <c r="DH193" s="74" t="s">
        <v>76</v>
      </c>
      <c r="DI193" s="73">
        <f t="shared" ca="1" si="878"/>
        <v>0</v>
      </c>
      <c r="DJ193" s="64"/>
      <c r="DK193" s="74" t="s">
        <v>1634</v>
      </c>
      <c r="DL193" s="73">
        <f t="shared" ca="1" si="879"/>
        <v>0</v>
      </c>
      <c r="DM193" s="64"/>
      <c r="DN193" s="795" t="s">
        <v>76</v>
      </c>
      <c r="DO193" s="73">
        <f t="shared" ca="1" si="880"/>
        <v>0</v>
      </c>
      <c r="DP193" s="64"/>
      <c r="DQ193" s="795" t="s">
        <v>78</v>
      </c>
      <c r="DR193" s="73">
        <f t="shared" ca="1" si="881"/>
        <v>0</v>
      </c>
      <c r="DS193" s="64"/>
      <c r="DT193" s="74" t="s">
        <v>78</v>
      </c>
      <c r="DU193" s="73">
        <f t="shared" ca="1" si="882"/>
        <v>0</v>
      </c>
      <c r="DV193" s="64"/>
      <c r="DW193" s="74" t="s">
        <v>76</v>
      </c>
      <c r="DX193" s="73">
        <f t="shared" ca="1" si="883"/>
        <v>0</v>
      </c>
      <c r="DY193" s="64"/>
      <c r="DZ193" s="74" t="s">
        <v>76</v>
      </c>
      <c r="EA193" s="73">
        <f t="shared" ca="1" si="884"/>
        <v>0</v>
      </c>
      <c r="EB193" s="64"/>
      <c r="EC193" s="74" t="s">
        <v>76</v>
      </c>
      <c r="ED193" s="73">
        <f t="shared" ca="1" si="885"/>
        <v>0</v>
      </c>
      <c r="EE193" s="64"/>
      <c r="EF193" s="74" t="s">
        <v>76</v>
      </c>
      <c r="EG193" s="73">
        <f t="shared" ca="1" si="886"/>
        <v>0</v>
      </c>
      <c r="EH193" s="64"/>
      <c r="EI193" s="74" t="s">
        <v>76</v>
      </c>
      <c r="EJ193" s="73">
        <f t="shared" ca="1" si="887"/>
        <v>0</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x14ac:dyDescent="0.2">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W84</v>
      </c>
      <c r="N194" s="25"/>
      <c r="O194" s="25"/>
      <c r="P194" s="25"/>
      <c r="Q194" s="25"/>
      <c r="R194" s="110"/>
      <c r="S194" s="74" t="s">
        <v>38</v>
      </c>
      <c r="T194" s="73">
        <f t="shared" ca="1" si="847"/>
        <v>0</v>
      </c>
      <c r="U194" s="64"/>
      <c r="V194" s="74" t="s">
        <v>38</v>
      </c>
      <c r="W194" s="73">
        <f t="shared" ca="1" si="848"/>
        <v>0</v>
      </c>
      <c r="X194" s="64"/>
      <c r="Y194" s="74" t="s">
        <v>38</v>
      </c>
      <c r="Z194" s="73">
        <f t="shared" ca="1" si="849"/>
        <v>0</v>
      </c>
      <c r="AA194" s="64"/>
      <c r="AB194" s="74" t="s">
        <v>38</v>
      </c>
      <c r="AC194" s="73">
        <f t="shared" ca="1" si="850"/>
        <v>0</v>
      </c>
      <c r="AD194" s="64"/>
      <c r="AE194" s="74" t="s">
        <v>38</v>
      </c>
      <c r="AF194" s="73">
        <f t="shared" ca="1" si="851"/>
        <v>0</v>
      </c>
      <c r="AG194" s="64"/>
      <c r="AH194" s="74" t="s">
        <v>38</v>
      </c>
      <c r="AI194" s="73">
        <f t="shared" ca="1" si="852"/>
        <v>0</v>
      </c>
      <c r="AJ194" s="64"/>
      <c r="AK194" s="74" t="s">
        <v>38</v>
      </c>
      <c r="AL194" s="73">
        <f t="shared" ca="1" si="853"/>
        <v>0</v>
      </c>
      <c r="AM194" s="64"/>
      <c r="AN194" s="74" t="s">
        <v>38</v>
      </c>
      <c r="AO194" s="73">
        <f t="shared" ca="1" si="854"/>
        <v>0</v>
      </c>
      <c r="AP194" s="64"/>
      <c r="AQ194" s="74" t="s">
        <v>38</v>
      </c>
      <c r="AR194" s="73">
        <f t="shared" ca="1" si="855"/>
        <v>0</v>
      </c>
      <c r="AS194" s="64"/>
      <c r="AT194" s="74" t="s">
        <v>38</v>
      </c>
      <c r="AU194" s="73">
        <f t="shared" ca="1" si="856"/>
        <v>0</v>
      </c>
      <c r="AV194" s="64"/>
      <c r="AW194" s="74" t="s">
        <v>38</v>
      </c>
      <c r="AX194" s="73">
        <f t="shared" ca="1" si="857"/>
        <v>0</v>
      </c>
      <c r="AY194" s="64"/>
      <c r="AZ194" s="74" t="s">
        <v>38</v>
      </c>
      <c r="BA194" s="73">
        <f t="shared" ca="1" si="858"/>
        <v>0</v>
      </c>
      <c r="BB194" s="64"/>
      <c r="BC194" s="74" t="s">
        <v>38</v>
      </c>
      <c r="BD194" s="73">
        <f t="shared" ca="1" si="859"/>
        <v>0</v>
      </c>
      <c r="BE194" s="64"/>
      <c r="BF194" s="74" t="s">
        <v>38</v>
      </c>
      <c r="BG194" s="73">
        <f t="shared" ca="1" si="860"/>
        <v>0</v>
      </c>
      <c r="BH194" s="64"/>
      <c r="BI194" s="74" t="s">
        <v>38</v>
      </c>
      <c r="BJ194" s="73">
        <f t="shared" ca="1" si="861"/>
        <v>0</v>
      </c>
      <c r="BK194" s="64"/>
      <c r="BL194" s="74" t="s">
        <v>38</v>
      </c>
      <c r="BM194" s="73">
        <f t="shared" ca="1" si="862"/>
        <v>0</v>
      </c>
      <c r="BN194" s="64"/>
      <c r="BO194" s="74" t="s">
        <v>38</v>
      </c>
      <c r="BP194" s="73">
        <f t="shared" ca="1" si="863"/>
        <v>0</v>
      </c>
      <c r="BQ194" s="64"/>
      <c r="BR194" s="74" t="s">
        <v>38</v>
      </c>
      <c r="BS194" s="73">
        <f t="shared" ca="1" si="864"/>
        <v>0</v>
      </c>
      <c r="BT194" s="64"/>
      <c r="BU194" s="74" t="s">
        <v>38</v>
      </c>
      <c r="BV194" s="73">
        <f t="shared" ca="1" si="865"/>
        <v>0</v>
      </c>
      <c r="BW194" s="64"/>
      <c r="BX194" s="74" t="s">
        <v>38</v>
      </c>
      <c r="BY194" s="73">
        <f t="shared" ca="1" si="866"/>
        <v>0</v>
      </c>
      <c r="BZ194" s="64"/>
      <c r="CA194" s="74" t="s">
        <v>38</v>
      </c>
      <c r="CB194" s="73">
        <f t="shared" ca="1" si="867"/>
        <v>0</v>
      </c>
      <c r="CC194" s="64"/>
      <c r="CD194" s="74" t="s">
        <v>38</v>
      </c>
      <c r="CE194" s="73">
        <f t="shared" ca="1" si="868"/>
        <v>0</v>
      </c>
      <c r="CF194" s="64"/>
      <c r="CG194" s="74" t="s">
        <v>38</v>
      </c>
      <c r="CH194" s="73">
        <f t="shared" ca="1" si="869"/>
        <v>0</v>
      </c>
      <c r="CI194" s="64"/>
      <c r="CJ194" s="74" t="s">
        <v>38</v>
      </c>
      <c r="CK194" s="73">
        <f t="shared" ca="1" si="870"/>
        <v>0</v>
      </c>
      <c r="CL194" s="64"/>
      <c r="CM194" s="74" t="s">
        <v>38</v>
      </c>
      <c r="CN194" s="73">
        <f t="shared" ca="1" si="871"/>
        <v>0</v>
      </c>
      <c r="CO194" s="64"/>
      <c r="CP194" s="74" t="s">
        <v>38</v>
      </c>
      <c r="CQ194" s="73">
        <f t="shared" ca="1" si="872"/>
        <v>0</v>
      </c>
      <c r="CR194" s="64"/>
      <c r="CS194" s="74" t="s">
        <v>38</v>
      </c>
      <c r="CT194" s="73">
        <f t="shared" ca="1" si="873"/>
        <v>0</v>
      </c>
      <c r="CU194" s="64"/>
      <c r="CV194" s="74" t="s">
        <v>38</v>
      </c>
      <c r="CW194" s="73">
        <f t="shared" ca="1" si="874"/>
        <v>0</v>
      </c>
      <c r="CX194" s="64"/>
      <c r="CY194" s="74" t="s">
        <v>38</v>
      </c>
      <c r="CZ194" s="73">
        <f t="shared" ca="1" si="875"/>
        <v>0</v>
      </c>
      <c r="DA194" s="64"/>
      <c r="DB194" s="74" t="s">
        <v>38</v>
      </c>
      <c r="DC194" s="73">
        <f t="shared" ca="1" si="876"/>
        <v>0</v>
      </c>
      <c r="DD194" s="64"/>
      <c r="DE194" s="74" t="s">
        <v>38</v>
      </c>
      <c r="DF194" s="73">
        <f t="shared" ca="1" si="877"/>
        <v>0</v>
      </c>
      <c r="DG194" s="64"/>
      <c r="DH194" s="74" t="s">
        <v>38</v>
      </c>
      <c r="DI194" s="73">
        <f t="shared" ca="1" si="878"/>
        <v>0</v>
      </c>
      <c r="DJ194" s="64"/>
      <c r="DK194" s="74" t="s">
        <v>38</v>
      </c>
      <c r="DL194" s="73">
        <f t="shared" ca="1" si="879"/>
        <v>0</v>
      </c>
      <c r="DM194" s="64"/>
      <c r="DN194" s="795" t="s">
        <v>38</v>
      </c>
      <c r="DO194" s="73">
        <f t="shared" ca="1" si="880"/>
        <v>0</v>
      </c>
      <c r="DP194" s="64"/>
      <c r="DQ194" s="795" t="s">
        <v>38</v>
      </c>
      <c r="DR194" s="73">
        <f t="shared" ca="1" si="881"/>
        <v>0</v>
      </c>
      <c r="DS194" s="64"/>
      <c r="DT194" s="74" t="s">
        <v>38</v>
      </c>
      <c r="DU194" s="73">
        <f t="shared" ca="1" si="882"/>
        <v>0</v>
      </c>
      <c r="DV194" s="64"/>
      <c r="DW194" s="74" t="s">
        <v>38</v>
      </c>
      <c r="DX194" s="73">
        <f t="shared" ca="1" si="883"/>
        <v>0</v>
      </c>
      <c r="DY194" s="64"/>
      <c r="DZ194" s="74" t="s">
        <v>38</v>
      </c>
      <c r="EA194" s="73">
        <f t="shared" ca="1" si="884"/>
        <v>0</v>
      </c>
      <c r="EB194" s="64"/>
      <c r="EC194" s="74" t="s">
        <v>38</v>
      </c>
      <c r="ED194" s="73">
        <f t="shared" ca="1" si="885"/>
        <v>0</v>
      </c>
      <c r="EE194" s="64"/>
      <c r="EF194" s="74" t="s">
        <v>38</v>
      </c>
      <c r="EG194" s="73">
        <f t="shared" ca="1" si="886"/>
        <v>0</v>
      </c>
      <c r="EH194" s="64"/>
      <c r="EI194" s="74" t="s">
        <v>38</v>
      </c>
      <c r="EJ194" s="73">
        <f t="shared" ca="1" si="887"/>
        <v>0</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x14ac:dyDescent="0.2">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W82</v>
      </c>
      <c r="N195" s="25"/>
      <c r="O195" s="25"/>
      <c r="P195" s="25"/>
      <c r="Q195" s="25"/>
      <c r="R195" s="110"/>
      <c r="S195" s="74" t="s">
        <v>1843</v>
      </c>
      <c r="T195" s="73">
        <f t="shared" ca="1" si="847"/>
        <v>0</v>
      </c>
      <c r="U195" s="64"/>
      <c r="V195" s="74" t="s">
        <v>110</v>
      </c>
      <c r="W195" s="73">
        <f t="shared" ca="1" si="848"/>
        <v>0</v>
      </c>
      <c r="X195" s="64"/>
      <c r="Y195" s="74" t="s">
        <v>110</v>
      </c>
      <c r="Z195" s="73">
        <f t="shared" ca="1" si="849"/>
        <v>0</v>
      </c>
      <c r="AA195" s="64"/>
      <c r="AB195" s="74" t="s">
        <v>110</v>
      </c>
      <c r="AC195" s="73">
        <f t="shared" ca="1" si="850"/>
        <v>0</v>
      </c>
      <c r="AD195" s="64"/>
      <c r="AE195" s="74" t="s">
        <v>110</v>
      </c>
      <c r="AF195" s="73">
        <f t="shared" ca="1" si="851"/>
        <v>0</v>
      </c>
      <c r="AG195" s="64"/>
      <c r="AH195" s="74" t="s">
        <v>110</v>
      </c>
      <c r="AI195" s="73">
        <f t="shared" ca="1" si="852"/>
        <v>0</v>
      </c>
      <c r="AJ195" s="64"/>
      <c r="AK195" s="74" t="s">
        <v>110</v>
      </c>
      <c r="AL195" s="73">
        <f t="shared" ca="1" si="853"/>
        <v>0</v>
      </c>
      <c r="AM195" s="64"/>
      <c r="AN195" s="74" t="s">
        <v>110</v>
      </c>
      <c r="AO195" s="73">
        <f t="shared" ca="1" si="854"/>
        <v>0</v>
      </c>
      <c r="AP195" s="64"/>
      <c r="AQ195" s="74" t="s">
        <v>110</v>
      </c>
      <c r="AR195" s="73">
        <f t="shared" ca="1" si="855"/>
        <v>0</v>
      </c>
      <c r="AS195" s="64"/>
      <c r="AT195" s="74" t="s">
        <v>1634</v>
      </c>
      <c r="AU195" s="73">
        <f t="shared" ca="1" si="856"/>
        <v>0</v>
      </c>
      <c r="AV195" s="64"/>
      <c r="AW195" s="74" t="s">
        <v>110</v>
      </c>
      <c r="AX195" s="73">
        <f t="shared" ca="1" si="857"/>
        <v>0</v>
      </c>
      <c r="AY195" s="64"/>
      <c r="AZ195" s="74" t="s">
        <v>110</v>
      </c>
      <c r="BA195" s="73">
        <f t="shared" ca="1" si="858"/>
        <v>0</v>
      </c>
      <c r="BB195" s="64"/>
      <c r="BC195" s="74" t="s">
        <v>110</v>
      </c>
      <c r="BD195" s="73">
        <f t="shared" ca="1" si="859"/>
        <v>0</v>
      </c>
      <c r="BE195" s="64"/>
      <c r="BF195" s="74" t="s">
        <v>110</v>
      </c>
      <c r="BG195" s="73">
        <f t="shared" ca="1" si="860"/>
        <v>0</v>
      </c>
      <c r="BH195" s="64"/>
      <c r="BI195" s="74" t="s">
        <v>110</v>
      </c>
      <c r="BJ195" s="73">
        <f t="shared" ca="1" si="861"/>
        <v>0</v>
      </c>
      <c r="BK195" s="64"/>
      <c r="BL195" s="74" t="s">
        <v>110</v>
      </c>
      <c r="BM195" s="73">
        <f t="shared" ca="1" si="862"/>
        <v>0</v>
      </c>
      <c r="BN195" s="64"/>
      <c r="BO195" s="74" t="s">
        <v>110</v>
      </c>
      <c r="BP195" s="73">
        <f t="shared" ca="1" si="863"/>
        <v>0</v>
      </c>
      <c r="BQ195" s="64"/>
      <c r="BR195" s="74" t="s">
        <v>110</v>
      </c>
      <c r="BS195" s="73">
        <f t="shared" ca="1" si="864"/>
        <v>0</v>
      </c>
      <c r="BT195" s="64"/>
      <c r="BU195" s="74" t="s">
        <v>110</v>
      </c>
      <c r="BV195" s="73">
        <f t="shared" ca="1" si="865"/>
        <v>0</v>
      </c>
      <c r="BW195" s="64"/>
      <c r="BX195" s="74" t="s">
        <v>135</v>
      </c>
      <c r="BY195" s="73">
        <f t="shared" ca="1" si="866"/>
        <v>0</v>
      </c>
      <c r="BZ195" s="64"/>
      <c r="CA195" s="74" t="s">
        <v>110</v>
      </c>
      <c r="CB195" s="73">
        <f t="shared" ca="1" si="867"/>
        <v>0</v>
      </c>
      <c r="CC195" s="64"/>
      <c r="CD195" s="74" t="s">
        <v>110</v>
      </c>
      <c r="CE195" s="73">
        <f t="shared" ca="1" si="868"/>
        <v>0</v>
      </c>
      <c r="CF195" s="64"/>
      <c r="CG195" s="74" t="s">
        <v>135</v>
      </c>
      <c r="CH195" s="73">
        <f t="shared" ca="1" si="869"/>
        <v>0</v>
      </c>
      <c r="CI195" s="64"/>
      <c r="CJ195" s="74" t="s">
        <v>110</v>
      </c>
      <c r="CK195" s="73">
        <f t="shared" ca="1" si="870"/>
        <v>0</v>
      </c>
      <c r="CL195" s="64"/>
      <c r="CM195" s="74" t="s">
        <v>1843</v>
      </c>
      <c r="CN195" s="73">
        <f t="shared" ca="1" si="871"/>
        <v>0</v>
      </c>
      <c r="CO195" s="64"/>
      <c r="CP195" s="74" t="s">
        <v>110</v>
      </c>
      <c r="CQ195" s="73">
        <f t="shared" ca="1" si="872"/>
        <v>0</v>
      </c>
      <c r="CR195" s="64"/>
      <c r="CS195" s="74" t="s">
        <v>110</v>
      </c>
      <c r="CT195" s="73">
        <f t="shared" ca="1" si="873"/>
        <v>0</v>
      </c>
      <c r="CU195" s="64"/>
      <c r="CV195" s="74" t="s">
        <v>110</v>
      </c>
      <c r="CW195" s="73">
        <f t="shared" ca="1" si="874"/>
        <v>0</v>
      </c>
      <c r="CX195" s="64"/>
      <c r="CY195" s="74" t="s">
        <v>110</v>
      </c>
      <c r="CZ195" s="73">
        <f t="shared" ca="1" si="875"/>
        <v>0</v>
      </c>
      <c r="DA195" s="64"/>
      <c r="DB195" s="74" t="s">
        <v>110</v>
      </c>
      <c r="DC195" s="73">
        <f t="shared" ca="1" si="876"/>
        <v>0</v>
      </c>
      <c r="DD195" s="64"/>
      <c r="DE195" s="74" t="s">
        <v>110</v>
      </c>
      <c r="DF195" s="73">
        <f t="shared" ca="1" si="877"/>
        <v>0</v>
      </c>
      <c r="DG195" s="64"/>
      <c r="DH195" s="74" t="s">
        <v>110</v>
      </c>
      <c r="DI195" s="73">
        <f t="shared" ca="1" si="878"/>
        <v>0</v>
      </c>
      <c r="DJ195" s="64"/>
      <c r="DK195" s="74" t="s">
        <v>110</v>
      </c>
      <c r="DL195" s="73">
        <f t="shared" ca="1" si="879"/>
        <v>0</v>
      </c>
      <c r="DM195" s="64"/>
      <c r="DN195" s="795" t="s">
        <v>110</v>
      </c>
      <c r="DO195" s="73">
        <f t="shared" ca="1" si="880"/>
        <v>0</v>
      </c>
      <c r="DP195" s="64"/>
      <c r="DQ195" s="795" t="s">
        <v>135</v>
      </c>
      <c r="DR195" s="73">
        <f t="shared" ca="1" si="881"/>
        <v>0</v>
      </c>
      <c r="DS195" s="64"/>
      <c r="DT195" s="74" t="s">
        <v>110</v>
      </c>
      <c r="DU195" s="73">
        <f t="shared" ca="1" si="882"/>
        <v>0</v>
      </c>
      <c r="DV195" s="64"/>
      <c r="DW195" s="74" t="s">
        <v>1558</v>
      </c>
      <c r="DX195" s="73">
        <f t="shared" ca="1" si="883"/>
        <v>0</v>
      </c>
      <c r="DY195" s="64"/>
      <c r="DZ195" s="74" t="s">
        <v>110</v>
      </c>
      <c r="EA195" s="73">
        <f t="shared" ca="1" si="884"/>
        <v>0</v>
      </c>
      <c r="EB195" s="64"/>
      <c r="EC195" s="74" t="s">
        <v>110</v>
      </c>
      <c r="ED195" s="73">
        <f t="shared" ca="1" si="885"/>
        <v>0</v>
      </c>
      <c r="EE195" s="64"/>
      <c r="EF195" s="74" t="s">
        <v>110</v>
      </c>
      <c r="EG195" s="73">
        <f t="shared" ca="1" si="886"/>
        <v>0</v>
      </c>
      <c r="EH195" s="64"/>
      <c r="EI195" s="74" t="s">
        <v>110</v>
      </c>
      <c r="EJ195" s="73">
        <f t="shared" ca="1" si="887"/>
        <v>0</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x14ac:dyDescent="0.2">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 ca="1">WORLDCUP!AF126</f>
        <v>W88</v>
      </c>
      <c r="N196" s="25"/>
      <c r="O196" s="25"/>
      <c r="P196" s="25"/>
      <c r="Q196" s="25"/>
      <c r="R196" s="110"/>
      <c r="S196" s="74" t="s">
        <v>1835</v>
      </c>
      <c r="T196" s="73">
        <f t="shared" ca="1" si="847"/>
        <v>0</v>
      </c>
      <c r="U196" s="64"/>
      <c r="V196" s="74" t="s">
        <v>497</v>
      </c>
      <c r="W196" s="73">
        <f t="shared" ca="1" si="848"/>
        <v>0</v>
      </c>
      <c r="X196" s="64"/>
      <c r="Y196" s="74" t="s">
        <v>1550</v>
      </c>
      <c r="Z196" s="73">
        <f t="shared" ca="1" si="849"/>
        <v>0</v>
      </c>
      <c r="AA196" s="64"/>
      <c r="AB196" s="74" t="s">
        <v>497</v>
      </c>
      <c r="AC196" s="73">
        <f t="shared" ca="1" si="850"/>
        <v>0</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0</v>
      </c>
      <c r="AP196" s="64"/>
      <c r="AQ196" s="74" t="s">
        <v>1319</v>
      </c>
      <c r="AR196" s="73">
        <f t="shared" ca="1" si="855"/>
        <v>0</v>
      </c>
      <c r="AS196" s="64"/>
      <c r="AT196" s="74" t="s">
        <v>497</v>
      </c>
      <c r="AU196" s="73">
        <f t="shared" ca="1" si="856"/>
        <v>0</v>
      </c>
      <c r="AV196" s="64"/>
      <c r="AW196" s="74" t="s">
        <v>1319</v>
      </c>
      <c r="AX196" s="73">
        <f t="shared" ca="1" si="857"/>
        <v>0</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0</v>
      </c>
      <c r="BK196" s="64"/>
      <c r="BL196" s="74" t="s">
        <v>1835</v>
      </c>
      <c r="BM196" s="73">
        <f t="shared" ca="1" si="862"/>
        <v>0</v>
      </c>
      <c r="BN196" s="64"/>
      <c r="BO196" s="74" t="s">
        <v>497</v>
      </c>
      <c r="BP196" s="73">
        <f t="shared" ca="1" si="863"/>
        <v>0</v>
      </c>
      <c r="BQ196" s="64"/>
      <c r="BR196" s="74" t="s">
        <v>1319</v>
      </c>
      <c r="BS196" s="73">
        <f t="shared" ca="1" si="864"/>
        <v>0</v>
      </c>
      <c r="BT196" s="64"/>
      <c r="BU196" s="74" t="s">
        <v>497</v>
      </c>
      <c r="BV196" s="73">
        <f t="shared" ca="1" si="865"/>
        <v>0</v>
      </c>
      <c r="BW196" s="64"/>
      <c r="BX196" s="74" t="s">
        <v>110</v>
      </c>
      <c r="BY196" s="73">
        <f t="shared" ca="1" si="866"/>
        <v>0</v>
      </c>
      <c r="BZ196" s="64"/>
      <c r="CA196" s="74" t="s">
        <v>497</v>
      </c>
      <c r="CB196" s="73">
        <f t="shared" ca="1" si="867"/>
        <v>0</v>
      </c>
      <c r="CC196" s="64"/>
      <c r="CD196" s="74" t="s">
        <v>497</v>
      </c>
      <c r="CE196" s="73">
        <f t="shared" ca="1" si="868"/>
        <v>0</v>
      </c>
      <c r="CF196" s="64"/>
      <c r="CG196" s="74" t="s">
        <v>1835</v>
      </c>
      <c r="CH196" s="73">
        <f t="shared" ca="1" si="869"/>
        <v>0</v>
      </c>
      <c r="CI196" s="64"/>
      <c r="CJ196" s="74" t="s">
        <v>1835</v>
      </c>
      <c r="CK196" s="73">
        <f t="shared" ca="1" si="870"/>
        <v>0</v>
      </c>
      <c r="CL196" s="64"/>
      <c r="CM196" s="74" t="s">
        <v>497</v>
      </c>
      <c r="CN196" s="73">
        <f t="shared" ca="1" si="871"/>
        <v>0</v>
      </c>
      <c r="CO196" s="64"/>
      <c r="CP196" s="74" t="s">
        <v>497</v>
      </c>
      <c r="CQ196" s="73">
        <f t="shared" ca="1" si="872"/>
        <v>0</v>
      </c>
      <c r="CR196" s="64"/>
      <c r="CS196" s="74" t="s">
        <v>497</v>
      </c>
      <c r="CT196" s="73">
        <f t="shared" ca="1" si="873"/>
        <v>0</v>
      </c>
      <c r="CU196" s="64"/>
      <c r="CV196" s="74" t="s">
        <v>1550</v>
      </c>
      <c r="CW196" s="73">
        <f t="shared" ca="1" si="874"/>
        <v>0</v>
      </c>
      <c r="CX196" s="64"/>
      <c r="CY196" s="74" t="s">
        <v>497</v>
      </c>
      <c r="CZ196" s="73">
        <f t="shared" ca="1" si="875"/>
        <v>0</v>
      </c>
      <c r="DA196" s="64"/>
      <c r="DB196" s="74" t="s">
        <v>497</v>
      </c>
      <c r="DC196" s="73">
        <f t="shared" ca="1" si="876"/>
        <v>0</v>
      </c>
      <c r="DD196" s="64"/>
      <c r="DE196" s="74" t="s">
        <v>497</v>
      </c>
      <c r="DF196" s="73">
        <f t="shared" ca="1" si="877"/>
        <v>0</v>
      </c>
      <c r="DG196" s="64"/>
      <c r="DH196" s="74" t="s">
        <v>497</v>
      </c>
      <c r="DI196" s="73">
        <f t="shared" ca="1" si="878"/>
        <v>0</v>
      </c>
      <c r="DJ196" s="64"/>
      <c r="DK196" s="74" t="s">
        <v>497</v>
      </c>
      <c r="DL196" s="73">
        <f t="shared" ca="1" si="879"/>
        <v>0</v>
      </c>
      <c r="DM196" s="64"/>
      <c r="DN196" s="795" t="s">
        <v>1319</v>
      </c>
      <c r="DO196" s="73">
        <f t="shared" ca="1" si="880"/>
        <v>0</v>
      </c>
      <c r="DP196" s="64"/>
      <c r="DQ196" s="795" t="s">
        <v>110</v>
      </c>
      <c r="DR196" s="73">
        <f t="shared" ca="1" si="881"/>
        <v>0</v>
      </c>
      <c r="DS196" s="64"/>
      <c r="DT196" s="74" t="s">
        <v>1835</v>
      </c>
      <c r="DU196" s="73">
        <f t="shared" ca="1" si="882"/>
        <v>0</v>
      </c>
      <c r="DV196" s="64"/>
      <c r="DW196" s="74" t="s">
        <v>497</v>
      </c>
      <c r="DX196" s="73">
        <f t="shared" ca="1" si="883"/>
        <v>0</v>
      </c>
      <c r="DY196" s="64"/>
      <c r="DZ196" s="74" t="s">
        <v>1835</v>
      </c>
      <c r="EA196" s="73">
        <f t="shared" ca="1" si="884"/>
        <v>0</v>
      </c>
      <c r="EB196" s="64"/>
      <c r="EC196" s="74" t="s">
        <v>1319</v>
      </c>
      <c r="ED196" s="73">
        <f t="shared" ca="1" si="885"/>
        <v>0</v>
      </c>
      <c r="EE196" s="64"/>
      <c r="EF196" s="74" t="s">
        <v>1835</v>
      </c>
      <c r="EG196" s="73">
        <f t="shared" ca="1" si="886"/>
        <v>0</v>
      </c>
      <c r="EH196" s="64"/>
      <c r="EI196" s="74" t="s">
        <v>497</v>
      </c>
      <c r="EJ196" s="73">
        <f t="shared" ca="1" si="887"/>
        <v>0</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x14ac:dyDescent="0.2">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 ca="1">WORLDCUP!AF127</f>
        <v>W87</v>
      </c>
      <c r="N197" s="25"/>
      <c r="O197" s="25"/>
      <c r="P197" s="25"/>
      <c r="Q197" s="25"/>
      <c r="R197" s="110"/>
      <c r="S197" s="80" t="s">
        <v>1320</v>
      </c>
      <c r="T197" s="81">
        <f t="shared" ca="1" si="847"/>
        <v>0</v>
      </c>
      <c r="U197" s="64"/>
      <c r="V197" s="80" t="s">
        <v>79</v>
      </c>
      <c r="W197" s="81">
        <f t="shared" ca="1" si="848"/>
        <v>0</v>
      </c>
      <c r="X197" s="64"/>
      <c r="Y197" s="80" t="s">
        <v>79</v>
      </c>
      <c r="Z197" s="81">
        <f t="shared" ca="1" si="849"/>
        <v>0</v>
      </c>
      <c r="AA197" s="64"/>
      <c r="AB197" s="80" t="s">
        <v>79</v>
      </c>
      <c r="AC197" s="81">
        <f t="shared" ca="1" si="850"/>
        <v>0</v>
      </c>
      <c r="AD197" s="64"/>
      <c r="AE197" s="80" t="s">
        <v>1320</v>
      </c>
      <c r="AF197" s="81">
        <f t="shared" ca="1" si="851"/>
        <v>0</v>
      </c>
      <c r="AG197" s="64"/>
      <c r="AH197" s="80" t="s">
        <v>79</v>
      </c>
      <c r="AI197" s="81">
        <f t="shared" ca="1" si="852"/>
        <v>0</v>
      </c>
      <c r="AJ197" s="64"/>
      <c r="AK197" s="80" t="s">
        <v>79</v>
      </c>
      <c r="AL197" s="81">
        <f t="shared" ca="1" si="853"/>
        <v>0</v>
      </c>
      <c r="AM197" s="64"/>
      <c r="AN197" s="80" t="s">
        <v>79</v>
      </c>
      <c r="AO197" s="81">
        <f t="shared" ca="1" si="854"/>
        <v>0</v>
      </c>
      <c r="AP197" s="64"/>
      <c r="AQ197" s="80" t="s">
        <v>79</v>
      </c>
      <c r="AR197" s="81">
        <f t="shared" ca="1" si="855"/>
        <v>0</v>
      </c>
      <c r="AS197" s="64"/>
      <c r="AT197" s="80" t="s">
        <v>79</v>
      </c>
      <c r="AU197" s="81">
        <f t="shared" ca="1" si="856"/>
        <v>0</v>
      </c>
      <c r="AV197" s="64"/>
      <c r="AW197" s="80" t="s">
        <v>79</v>
      </c>
      <c r="AX197" s="81">
        <f t="shared" ca="1" si="857"/>
        <v>0</v>
      </c>
      <c r="AY197" s="64"/>
      <c r="AZ197" s="80" t="s">
        <v>79</v>
      </c>
      <c r="BA197" s="81">
        <f t="shared" ca="1" si="858"/>
        <v>0</v>
      </c>
      <c r="BB197" s="64"/>
      <c r="BC197" s="80" t="s">
        <v>79</v>
      </c>
      <c r="BD197" s="81">
        <f t="shared" ca="1" si="859"/>
        <v>0</v>
      </c>
      <c r="BE197" s="64"/>
      <c r="BF197" s="80" t="s">
        <v>79</v>
      </c>
      <c r="BG197" s="81">
        <f t="shared" ca="1" si="860"/>
        <v>0</v>
      </c>
      <c r="BH197" s="64"/>
      <c r="BI197" s="80" t="s">
        <v>79</v>
      </c>
      <c r="BJ197" s="81">
        <f t="shared" ca="1" si="861"/>
        <v>0</v>
      </c>
      <c r="BK197" s="64"/>
      <c r="BL197" s="80" t="s">
        <v>79</v>
      </c>
      <c r="BM197" s="81">
        <f t="shared" ca="1" si="862"/>
        <v>0</v>
      </c>
      <c r="BN197" s="64"/>
      <c r="BO197" s="80" t="s">
        <v>79</v>
      </c>
      <c r="BP197" s="81">
        <f t="shared" ca="1" si="863"/>
        <v>0</v>
      </c>
      <c r="BQ197" s="64"/>
      <c r="BR197" s="80" t="s">
        <v>79</v>
      </c>
      <c r="BS197" s="81">
        <f t="shared" ca="1" si="864"/>
        <v>0</v>
      </c>
      <c r="BT197" s="64"/>
      <c r="BU197" s="80" t="s">
        <v>79</v>
      </c>
      <c r="BV197" s="81">
        <f t="shared" ca="1" si="865"/>
        <v>0</v>
      </c>
      <c r="BW197" s="64"/>
      <c r="BX197" s="80" t="s">
        <v>1320</v>
      </c>
      <c r="BY197" s="81">
        <f t="shared" ca="1" si="866"/>
        <v>0</v>
      </c>
      <c r="BZ197" s="64"/>
      <c r="CA197" s="80" t="s">
        <v>79</v>
      </c>
      <c r="CB197" s="81">
        <f t="shared" ca="1" si="867"/>
        <v>0</v>
      </c>
      <c r="CC197" s="64"/>
      <c r="CD197" s="80" t="s">
        <v>79</v>
      </c>
      <c r="CE197" s="81">
        <f t="shared" ca="1" si="868"/>
        <v>0</v>
      </c>
      <c r="CF197" s="64"/>
      <c r="CG197" s="80" t="s">
        <v>79</v>
      </c>
      <c r="CH197" s="81">
        <f t="shared" ca="1" si="869"/>
        <v>0</v>
      </c>
      <c r="CI197" s="64"/>
      <c r="CJ197" s="80" t="s">
        <v>79</v>
      </c>
      <c r="CK197" s="81">
        <f t="shared" ca="1" si="870"/>
        <v>0</v>
      </c>
      <c r="CL197" s="64"/>
      <c r="CM197" s="80" t="s">
        <v>79</v>
      </c>
      <c r="CN197" s="81">
        <f t="shared" ca="1" si="871"/>
        <v>0</v>
      </c>
      <c r="CO197" s="64"/>
      <c r="CP197" s="80" t="s">
        <v>79</v>
      </c>
      <c r="CQ197" s="81">
        <f t="shared" ca="1" si="872"/>
        <v>0</v>
      </c>
      <c r="CR197" s="64"/>
      <c r="CS197" s="80" t="s">
        <v>79</v>
      </c>
      <c r="CT197" s="81">
        <f t="shared" ca="1" si="873"/>
        <v>0</v>
      </c>
      <c r="CU197" s="64"/>
      <c r="CV197" s="80" t="s">
        <v>79</v>
      </c>
      <c r="CW197" s="81">
        <f t="shared" ca="1" si="874"/>
        <v>0</v>
      </c>
      <c r="CX197" s="64"/>
      <c r="CY197" s="80" t="s">
        <v>79</v>
      </c>
      <c r="CZ197" s="81">
        <f t="shared" ca="1" si="875"/>
        <v>0</v>
      </c>
      <c r="DA197" s="64"/>
      <c r="DB197" s="80" t="s">
        <v>79</v>
      </c>
      <c r="DC197" s="81">
        <f t="shared" ca="1" si="876"/>
        <v>0</v>
      </c>
      <c r="DD197" s="64"/>
      <c r="DE197" s="80" t="s">
        <v>79</v>
      </c>
      <c r="DF197" s="81">
        <f t="shared" ca="1" si="877"/>
        <v>0</v>
      </c>
      <c r="DG197" s="64"/>
      <c r="DH197" s="80" t="s">
        <v>79</v>
      </c>
      <c r="DI197" s="81">
        <f t="shared" ca="1" si="878"/>
        <v>0</v>
      </c>
      <c r="DJ197" s="64"/>
      <c r="DK197" s="80" t="s">
        <v>79</v>
      </c>
      <c r="DL197" s="81">
        <f t="shared" ca="1" si="879"/>
        <v>0</v>
      </c>
      <c r="DM197" s="64"/>
      <c r="DN197" s="795" t="s">
        <v>79</v>
      </c>
      <c r="DO197" s="81">
        <f t="shared" ca="1" si="880"/>
        <v>0</v>
      </c>
      <c r="DP197" s="64"/>
      <c r="DQ197" s="795" t="s">
        <v>79</v>
      </c>
      <c r="DR197" s="81">
        <f t="shared" ca="1" si="881"/>
        <v>0</v>
      </c>
      <c r="DS197" s="64"/>
      <c r="DT197" s="80" t="s">
        <v>1320</v>
      </c>
      <c r="DU197" s="81">
        <f t="shared" ca="1" si="882"/>
        <v>0</v>
      </c>
      <c r="DV197" s="64"/>
      <c r="DW197" s="80" t="s">
        <v>79</v>
      </c>
      <c r="DX197" s="81">
        <f t="shared" ca="1" si="883"/>
        <v>0</v>
      </c>
      <c r="DY197" s="64"/>
      <c r="DZ197" s="80" t="s">
        <v>79</v>
      </c>
      <c r="EA197" s="81">
        <f t="shared" ca="1" si="884"/>
        <v>0</v>
      </c>
      <c r="EB197" s="64"/>
      <c r="EC197" s="80" t="s">
        <v>79</v>
      </c>
      <c r="ED197" s="81">
        <f t="shared" ca="1" si="885"/>
        <v>0</v>
      </c>
      <c r="EE197" s="64"/>
      <c r="EF197" s="80" t="s">
        <v>79</v>
      </c>
      <c r="EG197" s="81">
        <f t="shared" ca="1" si="886"/>
        <v>0</v>
      </c>
      <c r="EH197" s="64"/>
      <c r="EI197" s="80" t="s">
        <v>79</v>
      </c>
      <c r="EJ197" s="81">
        <f t="shared" ca="1" si="887"/>
        <v>0</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x14ac:dyDescent="0.2">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0</v>
      </c>
      <c r="U198" s="65"/>
      <c r="V198" s="84"/>
      <c r="W198" s="71">
        <f t="shared" ref="W198" ca="1" si="898">SUM(W182:W197)</f>
        <v>0</v>
      </c>
      <c r="X198" s="65"/>
      <c r="Y198" s="84"/>
      <c r="Z198" s="71">
        <f t="shared" ref="Z198" ca="1" si="899">SUM(Z182:Z197)</f>
        <v>0</v>
      </c>
      <c r="AA198" s="65"/>
      <c r="AB198" s="84"/>
      <c r="AC198" s="71">
        <f t="shared" ref="AC198" ca="1" si="900">SUM(AC182:AC197)</f>
        <v>0</v>
      </c>
      <c r="AD198" s="65"/>
      <c r="AE198" s="84"/>
      <c r="AF198" s="71">
        <f t="shared" ref="AF198" ca="1" si="901">SUM(AF182:AF197)</f>
        <v>0</v>
      </c>
      <c r="AG198" s="65"/>
      <c r="AH198" s="84"/>
      <c r="AI198" s="71">
        <f t="shared" ref="AI198" ca="1" si="902">SUM(AI182:AI197)</f>
        <v>0</v>
      </c>
      <c r="AJ198" s="65"/>
      <c r="AK198" s="84"/>
      <c r="AL198" s="71">
        <f t="shared" ref="AL198" ca="1" si="903">SUM(AL182:AL197)</f>
        <v>0</v>
      </c>
      <c r="AM198" s="65"/>
      <c r="AN198" s="84"/>
      <c r="AO198" s="71">
        <f t="shared" ref="AO198" ca="1" si="904">SUM(AO182:AO197)</f>
        <v>0</v>
      </c>
      <c r="AP198" s="65"/>
      <c r="AQ198" s="84"/>
      <c r="AR198" s="71">
        <f t="shared" ref="AR198" ca="1" si="905">SUM(AR182:AR197)</f>
        <v>0</v>
      </c>
      <c r="AS198" s="65"/>
      <c r="AT198" s="84"/>
      <c r="AU198" s="71">
        <f t="shared" ref="AU198" ca="1" si="906">SUM(AU182:AU197)</f>
        <v>0</v>
      </c>
      <c r="AV198" s="65"/>
      <c r="AW198" s="84"/>
      <c r="AX198" s="71">
        <f t="shared" ref="AX198" ca="1" si="907">SUM(AX182:AX197)</f>
        <v>0</v>
      </c>
      <c r="AY198" s="65"/>
      <c r="AZ198" s="84"/>
      <c r="BA198" s="71">
        <f t="shared" ref="BA198" ca="1" si="908">SUM(BA182:BA197)</f>
        <v>0</v>
      </c>
      <c r="BB198" s="65"/>
      <c r="BC198" s="84"/>
      <c r="BD198" s="71">
        <f t="shared" ref="BD198" ca="1" si="909">SUM(BD182:BD197)</f>
        <v>0</v>
      </c>
      <c r="BE198" s="65"/>
      <c r="BF198" s="84"/>
      <c r="BG198" s="71">
        <f t="shared" ref="BG198" ca="1" si="910">SUM(BG182:BG197)</f>
        <v>0</v>
      </c>
      <c r="BH198" s="65"/>
      <c r="BI198" s="84"/>
      <c r="BJ198" s="71">
        <f t="shared" ref="BJ198" ca="1" si="911">SUM(BJ182:BJ197)</f>
        <v>0</v>
      </c>
      <c r="BK198" s="65"/>
      <c r="BL198" s="84"/>
      <c r="BM198" s="71">
        <f t="shared" ref="BM198" ca="1" si="912">SUM(BM182:BM197)</f>
        <v>0</v>
      </c>
      <c r="BN198" s="65"/>
      <c r="BO198" s="84"/>
      <c r="BP198" s="71">
        <f t="shared" ref="BP198" ca="1" si="913">SUM(BP182:BP197)</f>
        <v>0</v>
      </c>
      <c r="BQ198" s="65"/>
      <c r="BR198" s="84"/>
      <c r="BS198" s="71">
        <f t="shared" ref="BS198" ca="1" si="914">SUM(BS182:BS197)</f>
        <v>0</v>
      </c>
      <c r="BT198" s="65"/>
      <c r="BU198" s="84"/>
      <c r="BV198" s="71">
        <f t="shared" ref="BV198" ca="1" si="915">SUM(BV182:BV197)</f>
        <v>0</v>
      </c>
      <c r="BW198" s="65"/>
      <c r="BX198" s="84"/>
      <c r="BY198" s="71">
        <f t="shared" ref="BY198" ca="1" si="916">SUM(BY182:BY197)</f>
        <v>0</v>
      </c>
      <c r="BZ198" s="65"/>
      <c r="CA198" s="84"/>
      <c r="CB198" s="71">
        <f t="shared" ref="CB198" ca="1" si="917">SUM(CB182:CB197)</f>
        <v>0</v>
      </c>
      <c r="CC198" s="65"/>
      <c r="CD198" s="84"/>
      <c r="CE198" s="71">
        <f t="shared" ref="CE198" ca="1" si="918">SUM(CE182:CE197)</f>
        <v>0</v>
      </c>
      <c r="CF198" s="65"/>
      <c r="CG198" s="84"/>
      <c r="CH198" s="71">
        <f t="shared" ref="CH198" ca="1" si="919">SUM(CH182:CH197)</f>
        <v>0</v>
      </c>
      <c r="CI198" s="65"/>
      <c r="CJ198" s="84"/>
      <c r="CK198" s="71">
        <f t="shared" ref="CK198" ca="1" si="920">SUM(CK182:CK197)</f>
        <v>0</v>
      </c>
      <c r="CL198" s="65"/>
      <c r="CM198" s="84"/>
      <c r="CN198" s="71">
        <f t="shared" ref="CN198" ca="1" si="921">SUM(CN182:CN197)</f>
        <v>0</v>
      </c>
      <c r="CO198" s="65"/>
      <c r="CP198" s="84"/>
      <c r="CQ198" s="71">
        <f t="shared" ref="CQ198" ca="1" si="922">SUM(CQ182:CQ197)</f>
        <v>0</v>
      </c>
      <c r="CR198" s="65"/>
      <c r="CS198" s="84"/>
      <c r="CT198" s="71">
        <f t="shared" ref="CT198" ca="1" si="923">SUM(CT182:CT197)</f>
        <v>0</v>
      </c>
      <c r="CU198" s="65"/>
      <c r="CV198" s="84"/>
      <c r="CW198" s="71">
        <f t="shared" ref="CW198" ca="1" si="924">SUM(CW182:CW197)</f>
        <v>0</v>
      </c>
      <c r="CX198" s="65"/>
      <c r="CY198" s="84"/>
      <c r="CZ198" s="71">
        <f t="shared" ref="CZ198" ca="1" si="925">SUM(CZ182:CZ197)</f>
        <v>0</v>
      </c>
      <c r="DA198" s="65"/>
      <c r="DB198" s="84"/>
      <c r="DC198" s="71">
        <f t="shared" ref="DC198" ca="1" si="926">SUM(DC182:DC197)</f>
        <v>0</v>
      </c>
      <c r="DD198" s="65"/>
      <c r="DE198" s="84"/>
      <c r="DF198" s="71">
        <f t="shared" ref="DF198" ca="1" si="927">SUM(DF182:DF197)</f>
        <v>0</v>
      </c>
      <c r="DG198" s="65"/>
      <c r="DH198" s="84"/>
      <c r="DI198" s="71">
        <f t="shared" ref="DI198" ca="1" si="928">SUM(DI182:DI197)</f>
        <v>0</v>
      </c>
      <c r="DJ198" s="65"/>
      <c r="DK198" s="84"/>
      <c r="DL198" s="71">
        <f t="shared" ref="DL198" ca="1" si="929">SUM(DL182:DL197)</f>
        <v>0</v>
      </c>
      <c r="DM198" s="65"/>
      <c r="DN198" s="796"/>
      <c r="DO198" s="71">
        <f t="shared" ref="DO198" ca="1" si="930">SUM(DO182:DO197)</f>
        <v>0</v>
      </c>
      <c r="DP198" s="65"/>
      <c r="DQ198" s="796"/>
      <c r="DR198" s="71">
        <f t="shared" ref="DR198" ca="1" si="931">SUM(DR182:DR197)</f>
        <v>0</v>
      </c>
      <c r="DS198" s="65"/>
      <c r="DT198" s="84"/>
      <c r="DU198" s="71">
        <f t="shared" ref="DU198" ca="1" si="932">SUM(DU182:DU197)</f>
        <v>0</v>
      </c>
      <c r="DV198" s="65"/>
      <c r="DW198" s="84"/>
      <c r="DX198" s="71">
        <f t="shared" ref="DX198" ca="1" si="933">SUM(DX182:DX197)</f>
        <v>0</v>
      </c>
      <c r="DY198" s="65"/>
      <c r="DZ198" s="84"/>
      <c r="EA198" s="71">
        <f t="shared" ref="EA198" ca="1" si="934">SUM(EA182:EA197)</f>
        <v>0</v>
      </c>
      <c r="EB198" s="65"/>
      <c r="EC198" s="84"/>
      <c r="ED198" s="71">
        <f t="shared" ref="ED198" ca="1" si="935">SUM(ED182:ED197)</f>
        <v>0</v>
      </c>
      <c r="EE198" s="65"/>
      <c r="EF198" s="84"/>
      <c r="EG198" s="71">
        <f t="shared" ref="EG198" ca="1" si="936">SUM(EG182:EG197)</f>
        <v>0</v>
      </c>
      <c r="EH198" s="65"/>
      <c r="EI198" s="84"/>
      <c r="EJ198" s="71">
        <f t="shared" ref="EJ198" ca="1" si="937">SUM(EJ182:EJ197)</f>
        <v>0</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x14ac:dyDescent="0.2">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x14ac:dyDescent="0.2">
      <c r="A200" s="25">
        <f>WORLDCUP!AD120</f>
        <v>0</v>
      </c>
      <c r="B200" s="25">
        <f>WORLDCUP!AC120</f>
        <v>0</v>
      </c>
      <c r="C200" s="25" t="str">
        <f ca="1">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 ca="1">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x14ac:dyDescent="0.2">
      <c r="A201" s="25">
        <f>WORLDCUP!AD121</f>
        <v>0</v>
      </c>
      <c r="B201" s="25">
        <f>WORLDCUP!AC121</f>
        <v>0</v>
      </c>
      <c r="C201" s="25" t="str">
        <f ca="1">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 ca="1">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x14ac:dyDescent="0.2">
      <c r="A202" s="25">
        <f>WORLDCUP!AD122</f>
        <v>0</v>
      </c>
      <c r="B202" s="25">
        <f>WORLDCUP!AC122</f>
        <v>0</v>
      </c>
      <c r="C202" s="25" t="str">
        <f ca="1">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 ca="1">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x14ac:dyDescent="0.2">
      <c r="A203" s="25">
        <f>WORLDCUP!AD123</f>
        <v>0</v>
      </c>
      <c r="B203" s="25">
        <f>WORLDCUP!AC123</f>
        <v>0</v>
      </c>
      <c r="C203" s="25" t="str">
        <f ca="1">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 ca="1">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x14ac:dyDescent="0.2">
      <c r="A204" s="25">
        <f>WORLDCUP!AD124</f>
        <v>0</v>
      </c>
      <c r="B204" s="25">
        <f>WORLDCUP!AC124</f>
        <v>0</v>
      </c>
      <c r="C204" s="25" t="str">
        <f ca="1">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 ca="1">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x14ac:dyDescent="0.2">
      <c r="A205" s="25">
        <f>WORLDCUP!AD125</f>
        <v>0</v>
      </c>
      <c r="B205" s="25">
        <f>WORLDCUP!AC125</f>
        <v>0</v>
      </c>
      <c r="C205" s="25" t="str">
        <f ca="1">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 ca="1">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x14ac:dyDescent="0.2">
      <c r="A206" s="25">
        <f>WORLDCUP!AD126</f>
        <v>0</v>
      </c>
      <c r="B206" s="25">
        <f>WORLDCUP!AC126</f>
        <v>0</v>
      </c>
      <c r="C206" s="25" t="str">
        <f ca="1">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 ca="1">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x14ac:dyDescent="0.2">
      <c r="A207" s="25">
        <f>WORLDCUP!AD127</f>
        <v>0</v>
      </c>
      <c r="B207" s="25">
        <f>WORLDCUP!AC127</f>
        <v>0</v>
      </c>
      <c r="C207" s="25" t="str">
        <f ca="1">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 ca="1">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x14ac:dyDescent="0.2">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x14ac:dyDescent="0.2">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x14ac:dyDescent="0.2">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 ca="1">WORLDCUP!AA131</f>
        <v>W89</v>
      </c>
      <c r="N210" s="25"/>
      <c r="O210" s="25"/>
      <c r="P210" s="25"/>
      <c r="Q210" s="25"/>
      <c r="R210" s="110"/>
      <c r="S210" s="76" t="s">
        <v>77</v>
      </c>
      <c r="T210" s="77">
        <f t="shared" ref="T210:T217" ca="1" si="1050">COUNTIF($M$210:$M$217,S210)*$D$23</f>
        <v>0</v>
      </c>
      <c r="U210" s="110"/>
      <c r="V210" s="76" t="s">
        <v>74</v>
      </c>
      <c r="W210" s="77">
        <f t="shared" ref="W210:W217" ca="1" si="1051">COUNTIF($M$210:$M$217,V210)*$D$23</f>
        <v>0</v>
      </c>
      <c r="X210" s="110"/>
      <c r="Y210" s="76" t="s">
        <v>74</v>
      </c>
      <c r="Z210" s="77">
        <f t="shared" ref="Z210:Z217" ca="1" si="1052">COUNTIF($M$210:$M$217,Y210)*$D$23</f>
        <v>0</v>
      </c>
      <c r="AA210" s="110"/>
      <c r="AB210" s="76" t="s">
        <v>74</v>
      </c>
      <c r="AC210" s="77">
        <f t="shared" ref="AC210:AC217" ca="1" si="1053">COUNTIF($M$210:$M$217,AB210)*$D$23</f>
        <v>0</v>
      </c>
      <c r="AD210" s="110"/>
      <c r="AE210" s="76" t="s">
        <v>74</v>
      </c>
      <c r="AF210" s="77">
        <f t="shared" ref="AF210:AF217" ca="1" si="1054">COUNTIF($M$210:$M$217,AE210)*$D$23</f>
        <v>0</v>
      </c>
      <c r="AG210" s="110"/>
      <c r="AH210" s="76" t="s">
        <v>74</v>
      </c>
      <c r="AI210" s="77">
        <f t="shared" ref="AI210:AI217" ca="1" si="1055">COUNTIF($M$210:$M$217,AH210)*$D$23</f>
        <v>0</v>
      </c>
      <c r="AJ210" s="110"/>
      <c r="AK210" s="76" t="s">
        <v>74</v>
      </c>
      <c r="AL210" s="77">
        <f t="shared" ref="AL210:AL217" ca="1" si="1056">COUNTIF($M$210:$M$217,AK210)*$D$23</f>
        <v>0</v>
      </c>
      <c r="AM210" s="110"/>
      <c r="AN210" s="76" t="s">
        <v>74</v>
      </c>
      <c r="AO210" s="77">
        <f t="shared" ref="AO210:AO217" ca="1" si="1057">COUNTIF($M$210:$M$217,AN210)*$D$23</f>
        <v>0</v>
      </c>
      <c r="AP210" s="110"/>
      <c r="AQ210" s="76" t="s">
        <v>74</v>
      </c>
      <c r="AR210" s="77">
        <f t="shared" ref="AR210:AR217" ca="1" si="1058">COUNTIF($M$210:$M$217,AQ210)*$D$23</f>
        <v>0</v>
      </c>
      <c r="AS210" s="110"/>
      <c r="AT210" s="76" t="s">
        <v>74</v>
      </c>
      <c r="AU210" s="77">
        <f t="shared" ref="AU210:AU217" ca="1" si="1059">COUNTIF($M$210:$M$217,AT210)*$D$23</f>
        <v>0</v>
      </c>
      <c r="AV210" s="110"/>
      <c r="AW210" s="76" t="s">
        <v>74</v>
      </c>
      <c r="AX210" s="77">
        <f t="shared" ref="AX210:AX217" ca="1" si="1060">COUNTIF($M$210:$M$217,AW210)*$D$23</f>
        <v>0</v>
      </c>
      <c r="AY210" s="110"/>
      <c r="AZ210" s="76" t="s">
        <v>74</v>
      </c>
      <c r="BA210" s="77">
        <f t="shared" ref="BA210:BA217" ca="1" si="1061">COUNTIF($M$210:$M$217,AZ210)*$D$23</f>
        <v>0</v>
      </c>
      <c r="BB210" s="110"/>
      <c r="BC210" s="76" t="s">
        <v>74</v>
      </c>
      <c r="BD210" s="77">
        <f t="shared" ref="BD210:BD217" ca="1" si="1062">COUNTIF($M$210:$M$217,BC210)*$D$23</f>
        <v>0</v>
      </c>
      <c r="BE210" s="110"/>
      <c r="BF210" s="76" t="s">
        <v>74</v>
      </c>
      <c r="BG210" s="77">
        <f t="shared" ref="BG210:BG217" ca="1" si="1063">COUNTIF($M$210:$M$217,BF210)*$D$23</f>
        <v>0</v>
      </c>
      <c r="BH210" s="110"/>
      <c r="BI210" s="76" t="s">
        <v>74</v>
      </c>
      <c r="BJ210" s="77">
        <f t="shared" ref="BJ210:BJ217" ca="1" si="1064">COUNTIF($M$210:$M$217,BI210)*$D$23</f>
        <v>0</v>
      </c>
      <c r="BK210" s="110"/>
      <c r="BL210" s="76" t="s">
        <v>74</v>
      </c>
      <c r="BM210" s="77">
        <f t="shared" ref="BM210:BM217" ca="1" si="1065">COUNTIF($M$210:$M$217,BL210)*$D$23</f>
        <v>0</v>
      </c>
      <c r="BN210" s="110"/>
      <c r="BO210" s="76" t="s">
        <v>74</v>
      </c>
      <c r="BP210" s="77">
        <f t="shared" ref="BP210:BP217" ca="1" si="1066">COUNTIF($M$210:$M$217,BO210)*$D$23</f>
        <v>0</v>
      </c>
      <c r="BQ210" s="110"/>
      <c r="BR210" s="76" t="s">
        <v>74</v>
      </c>
      <c r="BS210" s="77">
        <f t="shared" ref="BS210:BS217" ca="1" si="1067">COUNTIF($M$210:$M$217,BR210)*$D$23</f>
        <v>0</v>
      </c>
      <c r="BT210" s="110"/>
      <c r="BU210" s="76" t="s">
        <v>74</v>
      </c>
      <c r="BV210" s="77">
        <f t="shared" ref="BV210:BV217" ca="1" si="1068">COUNTIF($M$210:$M$217,BU210)*$D$23</f>
        <v>0</v>
      </c>
      <c r="BW210" s="110"/>
      <c r="BX210" s="76" t="s">
        <v>74</v>
      </c>
      <c r="BY210" s="77">
        <f t="shared" ref="BY210:BY217" ca="1" si="1069">COUNTIF($M$210:$M$217,BX210)*$D$23</f>
        <v>0</v>
      </c>
      <c r="BZ210" s="110"/>
      <c r="CA210" s="76" t="s">
        <v>77</v>
      </c>
      <c r="CB210" s="77">
        <f t="shared" ref="CB210:CB217" ca="1" si="1070">COUNTIF($M$210:$M$217,CA210)*$D$23</f>
        <v>0</v>
      </c>
      <c r="CC210" s="110"/>
      <c r="CD210" s="76" t="s">
        <v>74</v>
      </c>
      <c r="CE210" s="77">
        <f t="shared" ref="CE210:CE217" ca="1" si="1071">COUNTIF($M$210:$M$217,CD210)*$D$23</f>
        <v>0</v>
      </c>
      <c r="CF210" s="110"/>
      <c r="CG210" s="76" t="s">
        <v>74</v>
      </c>
      <c r="CH210" s="77">
        <f t="shared" ref="CH210:CH217" ca="1" si="1072">COUNTIF($M$210:$M$217,CG210)*$D$23</f>
        <v>0</v>
      </c>
      <c r="CI210" s="110"/>
      <c r="CJ210" s="76" t="s">
        <v>74</v>
      </c>
      <c r="CK210" s="77">
        <f t="shared" ref="CK210:CK217" ca="1" si="1073">COUNTIF($M$210:$M$217,CJ210)*$D$23</f>
        <v>0</v>
      </c>
      <c r="CL210" s="110"/>
      <c r="CM210" s="76" t="s">
        <v>74</v>
      </c>
      <c r="CN210" s="77">
        <f t="shared" ref="CN210:CN217" ca="1" si="1074">COUNTIF($M$210:$M$217,CM210)*$D$23</f>
        <v>0</v>
      </c>
      <c r="CO210" s="110"/>
      <c r="CP210" s="76" t="s">
        <v>74</v>
      </c>
      <c r="CQ210" s="77">
        <f t="shared" ref="CQ210:CQ217" ca="1" si="1075">COUNTIF($M$210:$M$217,CP210)*$D$23</f>
        <v>0</v>
      </c>
      <c r="CR210" s="110"/>
      <c r="CS210" s="76" t="s">
        <v>74</v>
      </c>
      <c r="CT210" s="77">
        <f t="shared" ref="CT210:CT217" ca="1" si="1076">COUNTIF($M$210:$M$217,CS210)*$D$23</f>
        <v>0</v>
      </c>
      <c r="CU210" s="110"/>
      <c r="CV210" s="76" t="s">
        <v>74</v>
      </c>
      <c r="CW210" s="77">
        <f t="shared" ref="CW210:CW217" ca="1" si="1077">COUNTIF($M$210:$M$217,CV210)*$D$23</f>
        <v>0</v>
      </c>
      <c r="CX210" s="110"/>
      <c r="CY210" s="76" t="s">
        <v>74</v>
      </c>
      <c r="CZ210" s="77">
        <f t="shared" ref="CZ210:CZ217" ca="1" si="1078">COUNTIF($M$210:$M$217,CY210)*$D$23</f>
        <v>0</v>
      </c>
      <c r="DA210" s="110"/>
      <c r="DB210" s="76" t="s">
        <v>74</v>
      </c>
      <c r="DC210" s="77">
        <f t="shared" ref="DC210:DC217" ca="1" si="1079">COUNTIF($M$210:$M$217,DB210)*$D$23</f>
        <v>0</v>
      </c>
      <c r="DD210" s="110"/>
      <c r="DE210" s="76" t="s">
        <v>77</v>
      </c>
      <c r="DF210" s="77">
        <f t="shared" ref="DF210:DF217" ca="1" si="1080">COUNTIF($M$210:$M$217,DE210)*$D$23</f>
        <v>0</v>
      </c>
      <c r="DG210" s="110"/>
      <c r="DH210" s="76" t="s">
        <v>74</v>
      </c>
      <c r="DI210" s="77">
        <f t="shared" ref="DI210:DI217" ca="1" si="1081">COUNTIF($M$210:$M$217,DH210)*$D$23</f>
        <v>0</v>
      </c>
      <c r="DJ210" s="110"/>
      <c r="DK210" s="76" t="s">
        <v>74</v>
      </c>
      <c r="DL210" s="77">
        <f t="shared" ref="DL210:DL217" ca="1" si="1082">COUNTIF($M$210:$M$217,DK210)*$D$23</f>
        <v>0</v>
      </c>
      <c r="DM210" s="110"/>
      <c r="DN210" s="795" t="s">
        <v>74</v>
      </c>
      <c r="DO210" s="77">
        <f t="shared" ref="DO210:DO217" ca="1" si="1083">COUNTIF($M$210:$M$217,DN210)*$D$23</f>
        <v>0</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0</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0</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x14ac:dyDescent="0.2">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 ca="1">WORLDCUP!AA132</f>
        <v>W93</v>
      </c>
      <c r="N211" s="25"/>
      <c r="O211" s="25"/>
      <c r="P211" s="25"/>
      <c r="Q211" s="25"/>
      <c r="R211" s="110"/>
      <c r="S211" s="74" t="s">
        <v>38</v>
      </c>
      <c r="T211" s="73">
        <f t="shared" ca="1" si="1050"/>
        <v>0</v>
      </c>
      <c r="U211" s="110"/>
      <c r="V211" s="74" t="s">
        <v>38</v>
      </c>
      <c r="W211" s="73">
        <f t="shared" ca="1" si="1051"/>
        <v>0</v>
      </c>
      <c r="X211" s="110"/>
      <c r="Y211" s="74" t="s">
        <v>38</v>
      </c>
      <c r="Z211" s="73">
        <f t="shared" ca="1" si="1052"/>
        <v>0</v>
      </c>
      <c r="AA211" s="110"/>
      <c r="AB211" s="74" t="s">
        <v>38</v>
      </c>
      <c r="AC211" s="73">
        <f t="shared" ca="1" si="1053"/>
        <v>0</v>
      </c>
      <c r="AD211" s="110"/>
      <c r="AE211" s="74" t="s">
        <v>38</v>
      </c>
      <c r="AF211" s="73">
        <f t="shared" ca="1" si="1054"/>
        <v>0</v>
      </c>
      <c r="AG211" s="110"/>
      <c r="AH211" s="74" t="s">
        <v>38</v>
      </c>
      <c r="AI211" s="73">
        <f t="shared" ca="1" si="1055"/>
        <v>0</v>
      </c>
      <c r="AJ211" s="110"/>
      <c r="AK211" s="74" t="s">
        <v>38</v>
      </c>
      <c r="AL211" s="73">
        <f t="shared" ca="1" si="1056"/>
        <v>0</v>
      </c>
      <c r="AM211" s="110"/>
      <c r="AN211" s="74" t="s">
        <v>1320</v>
      </c>
      <c r="AO211" s="73">
        <f t="shared" ca="1" si="1057"/>
        <v>0</v>
      </c>
      <c r="AP211" s="110"/>
      <c r="AQ211" s="74" t="s">
        <v>38</v>
      </c>
      <c r="AR211" s="73">
        <f t="shared" ca="1" si="1058"/>
        <v>0</v>
      </c>
      <c r="AS211" s="110"/>
      <c r="AT211" s="74" t="s">
        <v>38</v>
      </c>
      <c r="AU211" s="73">
        <f t="shared" ca="1" si="1059"/>
        <v>0</v>
      </c>
      <c r="AV211" s="110"/>
      <c r="AW211" s="74" t="s">
        <v>38</v>
      </c>
      <c r="AX211" s="73">
        <f t="shared" ca="1" si="1060"/>
        <v>0</v>
      </c>
      <c r="AY211" s="110"/>
      <c r="AZ211" s="74" t="s">
        <v>38</v>
      </c>
      <c r="BA211" s="73">
        <f t="shared" ca="1" si="1061"/>
        <v>0</v>
      </c>
      <c r="BB211" s="110"/>
      <c r="BC211" s="74" t="s">
        <v>38</v>
      </c>
      <c r="BD211" s="73">
        <f t="shared" ca="1" si="1062"/>
        <v>0</v>
      </c>
      <c r="BE211" s="110"/>
      <c r="BF211" s="74" t="s">
        <v>38</v>
      </c>
      <c r="BG211" s="73">
        <f t="shared" ca="1" si="1063"/>
        <v>0</v>
      </c>
      <c r="BH211" s="110"/>
      <c r="BI211" s="74" t="s">
        <v>38</v>
      </c>
      <c r="BJ211" s="73">
        <f t="shared" ca="1" si="1064"/>
        <v>0</v>
      </c>
      <c r="BK211" s="110"/>
      <c r="BL211" s="74" t="s">
        <v>38</v>
      </c>
      <c r="BM211" s="73">
        <f t="shared" ca="1" si="1065"/>
        <v>0</v>
      </c>
      <c r="BN211" s="110"/>
      <c r="BO211" s="74" t="s">
        <v>38</v>
      </c>
      <c r="BP211" s="73">
        <f t="shared" ca="1" si="1066"/>
        <v>0</v>
      </c>
      <c r="BQ211" s="110"/>
      <c r="BR211" s="74" t="s">
        <v>38</v>
      </c>
      <c r="BS211" s="73">
        <f t="shared" ca="1" si="1067"/>
        <v>0</v>
      </c>
      <c r="BT211" s="110"/>
      <c r="BU211" s="74" t="s">
        <v>38</v>
      </c>
      <c r="BV211" s="73">
        <f t="shared" ca="1" si="1068"/>
        <v>0</v>
      </c>
      <c r="BW211" s="110"/>
      <c r="BX211" s="74" t="s">
        <v>38</v>
      </c>
      <c r="BY211" s="73">
        <f t="shared" ca="1" si="1069"/>
        <v>0</v>
      </c>
      <c r="BZ211" s="110"/>
      <c r="CA211" s="74" t="s">
        <v>38</v>
      </c>
      <c r="CB211" s="73">
        <f t="shared" ca="1" si="1070"/>
        <v>0</v>
      </c>
      <c r="CC211" s="110"/>
      <c r="CD211" s="74" t="s">
        <v>38</v>
      </c>
      <c r="CE211" s="73">
        <f t="shared" ca="1" si="1071"/>
        <v>0</v>
      </c>
      <c r="CF211" s="110"/>
      <c r="CG211" s="74" t="s">
        <v>38</v>
      </c>
      <c r="CH211" s="73">
        <f t="shared" ca="1" si="1072"/>
        <v>0</v>
      </c>
      <c r="CI211" s="110"/>
      <c r="CJ211" s="74" t="s">
        <v>38</v>
      </c>
      <c r="CK211" s="73">
        <f t="shared" ca="1" si="1073"/>
        <v>0</v>
      </c>
      <c r="CL211" s="110"/>
      <c r="CM211" s="74" t="s">
        <v>38</v>
      </c>
      <c r="CN211" s="73">
        <f t="shared" ca="1" si="1074"/>
        <v>0</v>
      </c>
      <c r="CO211" s="110"/>
      <c r="CP211" s="74" t="s">
        <v>38</v>
      </c>
      <c r="CQ211" s="73">
        <f t="shared" ca="1" si="1075"/>
        <v>0</v>
      </c>
      <c r="CR211" s="110"/>
      <c r="CS211" s="74" t="s">
        <v>38</v>
      </c>
      <c r="CT211" s="73">
        <f t="shared" ca="1" si="1076"/>
        <v>0</v>
      </c>
      <c r="CU211" s="110"/>
      <c r="CV211" s="74" t="s">
        <v>38</v>
      </c>
      <c r="CW211" s="73">
        <f t="shared" ca="1" si="1077"/>
        <v>0</v>
      </c>
      <c r="CX211" s="110"/>
      <c r="CY211" s="74" t="s">
        <v>38</v>
      </c>
      <c r="CZ211" s="73">
        <f t="shared" ca="1" si="1078"/>
        <v>0</v>
      </c>
      <c r="DA211" s="110"/>
      <c r="DB211" s="74" t="s">
        <v>38</v>
      </c>
      <c r="DC211" s="73">
        <f t="shared" ca="1" si="1079"/>
        <v>0</v>
      </c>
      <c r="DD211" s="110"/>
      <c r="DE211" s="74" t="s">
        <v>78</v>
      </c>
      <c r="DF211" s="73">
        <f t="shared" ca="1" si="1080"/>
        <v>0</v>
      </c>
      <c r="DG211" s="110"/>
      <c r="DH211" s="74" t="s">
        <v>38</v>
      </c>
      <c r="DI211" s="73">
        <f t="shared" ca="1" si="1081"/>
        <v>0</v>
      </c>
      <c r="DJ211" s="110"/>
      <c r="DK211" s="74" t="s">
        <v>38</v>
      </c>
      <c r="DL211" s="73">
        <f t="shared" ca="1" si="1082"/>
        <v>0</v>
      </c>
      <c r="DM211" s="110"/>
      <c r="DN211" s="795" t="s">
        <v>38</v>
      </c>
      <c r="DO211" s="73">
        <f t="shared" ca="1" si="1083"/>
        <v>0</v>
      </c>
      <c r="DP211" s="110"/>
      <c r="DQ211" s="795" t="s">
        <v>76</v>
      </c>
      <c r="DR211" s="73">
        <f t="shared" ca="1" si="1084"/>
        <v>0</v>
      </c>
      <c r="DS211" s="110"/>
      <c r="DT211" s="74" t="s">
        <v>38</v>
      </c>
      <c r="DU211" s="73">
        <f t="shared" ca="1" si="1085"/>
        <v>0</v>
      </c>
      <c r="DV211" s="110"/>
      <c r="DW211" s="74" t="s">
        <v>38</v>
      </c>
      <c r="DX211" s="73">
        <f t="shared" ca="1" si="1086"/>
        <v>0</v>
      </c>
      <c r="DY211" s="110"/>
      <c r="DZ211" s="74" t="s">
        <v>38</v>
      </c>
      <c r="EA211" s="73">
        <f t="shared" ca="1" si="1087"/>
        <v>0</v>
      </c>
      <c r="EB211" s="110"/>
      <c r="EC211" s="74" t="s">
        <v>38</v>
      </c>
      <c r="ED211" s="73">
        <f t="shared" ca="1" si="1088"/>
        <v>0</v>
      </c>
      <c r="EE211" s="110"/>
      <c r="EF211" s="74" t="s">
        <v>38</v>
      </c>
      <c r="EG211" s="73">
        <f t="shared" ca="1" si="1089"/>
        <v>0</v>
      </c>
      <c r="EH211" s="110"/>
      <c r="EI211" s="74" t="s">
        <v>38</v>
      </c>
      <c r="EJ211" s="73">
        <f t="shared" ca="1" si="1090"/>
        <v>0</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x14ac:dyDescent="0.2">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 ca="1">WORLDCUP!AA133</f>
        <v>W91</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0</v>
      </c>
      <c r="AJ212" s="110"/>
      <c r="AK212" s="74" t="s">
        <v>1261</v>
      </c>
      <c r="AL212" s="73">
        <f t="shared" ca="1" si="1056"/>
        <v>0</v>
      </c>
      <c r="AM212" s="110"/>
      <c r="AN212" s="74" t="s">
        <v>135</v>
      </c>
      <c r="AO212" s="73">
        <f t="shared" ca="1" si="1057"/>
        <v>0</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0</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0</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0</v>
      </c>
      <c r="DV212" s="110"/>
      <c r="DW212" s="74" t="s">
        <v>135</v>
      </c>
      <c r="DX212" s="73">
        <f t="shared" ca="1" si="1086"/>
        <v>0</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x14ac:dyDescent="0.2">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 ca="1">WORLDCUP!AA134</f>
        <v>W95</v>
      </c>
      <c r="N213" s="25"/>
      <c r="O213" s="25"/>
      <c r="P213" s="25"/>
      <c r="Q213" s="25"/>
      <c r="R213" s="110"/>
      <c r="S213" s="74" t="s">
        <v>1256</v>
      </c>
      <c r="T213" s="73">
        <f t="shared" ca="1" si="1050"/>
        <v>0</v>
      </c>
      <c r="U213" s="110"/>
      <c r="V213" s="74" t="s">
        <v>1256</v>
      </c>
      <c r="W213" s="73">
        <f t="shared" ca="1" si="1051"/>
        <v>0</v>
      </c>
      <c r="X213" s="110"/>
      <c r="Y213" s="74" t="s">
        <v>1256</v>
      </c>
      <c r="Z213" s="73">
        <f t="shared" ca="1" si="1052"/>
        <v>0</v>
      </c>
      <c r="AA213" s="110"/>
      <c r="AB213" s="74" t="s">
        <v>1256</v>
      </c>
      <c r="AC213" s="73">
        <f t="shared" ca="1" si="1053"/>
        <v>0</v>
      </c>
      <c r="AD213" s="110"/>
      <c r="AE213" s="74" t="s">
        <v>1256</v>
      </c>
      <c r="AF213" s="73">
        <f t="shared" ca="1" si="1054"/>
        <v>0</v>
      </c>
      <c r="AG213" s="110"/>
      <c r="AH213" s="74" t="s">
        <v>1256</v>
      </c>
      <c r="AI213" s="73">
        <f t="shared" ca="1" si="1055"/>
        <v>0</v>
      </c>
      <c r="AJ213" s="110"/>
      <c r="AK213" s="74" t="s">
        <v>1256</v>
      </c>
      <c r="AL213" s="73">
        <f t="shared" ca="1" si="1056"/>
        <v>0</v>
      </c>
      <c r="AM213" s="110"/>
      <c r="AN213" s="74" t="s">
        <v>1318</v>
      </c>
      <c r="AO213" s="73">
        <f t="shared" ca="1" si="1057"/>
        <v>0</v>
      </c>
      <c r="AP213" s="110"/>
      <c r="AQ213" s="74" t="s">
        <v>1256</v>
      </c>
      <c r="AR213" s="73">
        <f t="shared" ca="1" si="1058"/>
        <v>0</v>
      </c>
      <c r="AS213" s="110"/>
      <c r="AT213" s="74" t="s">
        <v>1318</v>
      </c>
      <c r="AU213" s="73">
        <f t="shared" ca="1" si="1059"/>
        <v>0</v>
      </c>
      <c r="AV213" s="110"/>
      <c r="AW213" s="74" t="s">
        <v>1319</v>
      </c>
      <c r="AX213" s="73">
        <f t="shared" ca="1" si="1060"/>
        <v>0</v>
      </c>
      <c r="AY213" s="110"/>
      <c r="AZ213" s="74" t="s">
        <v>1256</v>
      </c>
      <c r="BA213" s="73">
        <f t="shared" ca="1" si="1061"/>
        <v>0</v>
      </c>
      <c r="BB213" s="110"/>
      <c r="BC213" s="74" t="s">
        <v>1256</v>
      </c>
      <c r="BD213" s="73">
        <f t="shared" ca="1" si="1062"/>
        <v>0</v>
      </c>
      <c r="BE213" s="110"/>
      <c r="BF213" s="74" t="s">
        <v>1256</v>
      </c>
      <c r="BG213" s="73">
        <f t="shared" ca="1" si="1063"/>
        <v>0</v>
      </c>
      <c r="BH213" s="110"/>
      <c r="BI213" s="74" t="s">
        <v>1256</v>
      </c>
      <c r="BJ213" s="73">
        <f t="shared" ca="1" si="1064"/>
        <v>0</v>
      </c>
      <c r="BK213" s="110"/>
      <c r="BL213" s="74" t="s">
        <v>1256</v>
      </c>
      <c r="BM213" s="73">
        <f t="shared" ca="1" si="1065"/>
        <v>0</v>
      </c>
      <c r="BN213" s="110"/>
      <c r="BO213" s="74" t="s">
        <v>1256</v>
      </c>
      <c r="BP213" s="73">
        <f t="shared" ca="1" si="1066"/>
        <v>0</v>
      </c>
      <c r="BQ213" s="110"/>
      <c r="BR213" s="74" t="s">
        <v>1256</v>
      </c>
      <c r="BS213" s="73">
        <f t="shared" ca="1" si="1067"/>
        <v>0</v>
      </c>
      <c r="BT213" s="110"/>
      <c r="BU213" s="74" t="s">
        <v>1256</v>
      </c>
      <c r="BV213" s="73">
        <f t="shared" ca="1" si="1068"/>
        <v>0</v>
      </c>
      <c r="BW213" s="110"/>
      <c r="BX213" s="74" t="s">
        <v>1256</v>
      </c>
      <c r="BY213" s="73">
        <f t="shared" ca="1" si="1069"/>
        <v>0</v>
      </c>
      <c r="BZ213" s="110"/>
      <c r="CA213" s="74" t="s">
        <v>1256</v>
      </c>
      <c r="CB213" s="73">
        <f t="shared" ca="1" si="1070"/>
        <v>0</v>
      </c>
      <c r="CC213" s="110"/>
      <c r="CD213" s="74" t="s">
        <v>1256</v>
      </c>
      <c r="CE213" s="73">
        <f t="shared" ca="1" si="1071"/>
        <v>0</v>
      </c>
      <c r="CF213" s="110"/>
      <c r="CG213" s="74" t="s">
        <v>1256</v>
      </c>
      <c r="CH213" s="73">
        <f t="shared" ca="1" si="1072"/>
        <v>0</v>
      </c>
      <c r="CI213" s="110"/>
      <c r="CJ213" s="74" t="s">
        <v>1256</v>
      </c>
      <c r="CK213" s="73">
        <f t="shared" ca="1" si="1073"/>
        <v>0</v>
      </c>
      <c r="CL213" s="110"/>
      <c r="CM213" s="74" t="s">
        <v>1256</v>
      </c>
      <c r="CN213" s="73">
        <f t="shared" ca="1" si="1074"/>
        <v>0</v>
      </c>
      <c r="CO213" s="110"/>
      <c r="CP213" s="74" t="s">
        <v>1256</v>
      </c>
      <c r="CQ213" s="73">
        <f t="shared" ca="1" si="1075"/>
        <v>0</v>
      </c>
      <c r="CR213" s="110"/>
      <c r="CS213" s="74" t="s">
        <v>1256</v>
      </c>
      <c r="CT213" s="73">
        <f t="shared" ca="1" si="1076"/>
        <v>0</v>
      </c>
      <c r="CU213" s="110"/>
      <c r="CV213" s="74" t="s">
        <v>1256</v>
      </c>
      <c r="CW213" s="73">
        <f t="shared" ca="1" si="1077"/>
        <v>0</v>
      </c>
      <c r="CX213" s="110"/>
      <c r="CY213" s="74" t="s">
        <v>1256</v>
      </c>
      <c r="CZ213" s="73">
        <f t="shared" ca="1" si="1078"/>
        <v>0</v>
      </c>
      <c r="DA213" s="110"/>
      <c r="DB213" s="74" t="s">
        <v>1256</v>
      </c>
      <c r="DC213" s="73">
        <f t="shared" ca="1" si="1079"/>
        <v>0</v>
      </c>
      <c r="DD213" s="110"/>
      <c r="DE213" s="74" t="s">
        <v>1256</v>
      </c>
      <c r="DF213" s="73">
        <f t="shared" ca="1" si="1080"/>
        <v>0</v>
      </c>
      <c r="DG213" s="110"/>
      <c r="DH213" s="74" t="s">
        <v>1256</v>
      </c>
      <c r="DI213" s="73">
        <f t="shared" ca="1" si="1081"/>
        <v>0</v>
      </c>
      <c r="DJ213" s="110"/>
      <c r="DK213" s="74" t="s">
        <v>1256</v>
      </c>
      <c r="DL213" s="73">
        <f t="shared" ca="1" si="1082"/>
        <v>0</v>
      </c>
      <c r="DM213" s="110"/>
      <c r="DN213" s="795" t="s">
        <v>1256</v>
      </c>
      <c r="DO213" s="73">
        <f t="shared" ca="1" si="1083"/>
        <v>0</v>
      </c>
      <c r="DP213" s="110"/>
      <c r="DQ213" s="795" t="s">
        <v>1256</v>
      </c>
      <c r="DR213" s="73">
        <f t="shared" ca="1" si="1084"/>
        <v>0</v>
      </c>
      <c r="DS213" s="110"/>
      <c r="DT213" s="74" t="s">
        <v>1835</v>
      </c>
      <c r="DU213" s="73">
        <f t="shared" ca="1" si="1085"/>
        <v>0</v>
      </c>
      <c r="DV213" s="110"/>
      <c r="DW213" s="74" t="s">
        <v>1256</v>
      </c>
      <c r="DX213" s="73">
        <f t="shared" ca="1" si="1086"/>
        <v>0</v>
      </c>
      <c r="DY213" s="110"/>
      <c r="DZ213" s="74" t="s">
        <v>1256</v>
      </c>
      <c r="EA213" s="73">
        <f t="shared" ca="1" si="1087"/>
        <v>0</v>
      </c>
      <c r="EB213" s="110"/>
      <c r="EC213" s="74" t="s">
        <v>1256</v>
      </c>
      <c r="ED213" s="73">
        <f t="shared" ca="1" si="1088"/>
        <v>0</v>
      </c>
      <c r="EE213" s="110"/>
      <c r="EF213" s="74" t="s">
        <v>1318</v>
      </c>
      <c r="EG213" s="73">
        <f t="shared" ca="1" si="1089"/>
        <v>0</v>
      </c>
      <c r="EH213" s="110"/>
      <c r="EI213" s="74" t="s">
        <v>1256</v>
      </c>
      <c r="EJ213" s="73">
        <f t="shared" ca="1" si="1090"/>
        <v>0</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x14ac:dyDescent="0.2">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 ca="1">WORLDCUP!AF131</f>
        <v>W90</v>
      </c>
      <c r="N214" s="25"/>
      <c r="O214" s="25"/>
      <c r="P214" s="25"/>
      <c r="Q214" s="25"/>
      <c r="R214" s="110"/>
      <c r="S214" s="74" t="s">
        <v>1321</v>
      </c>
      <c r="T214" s="73">
        <f t="shared" ca="1" si="1050"/>
        <v>0</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0</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0</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0</v>
      </c>
      <c r="BN214" s="110"/>
      <c r="BO214" s="74" t="s">
        <v>1321</v>
      </c>
      <c r="BP214" s="73">
        <f t="shared" ca="1" si="1066"/>
        <v>0</v>
      </c>
      <c r="BQ214" s="110"/>
      <c r="BR214" s="74" t="s">
        <v>1321</v>
      </c>
      <c r="BS214" s="73">
        <f t="shared" ca="1" si="1067"/>
        <v>0</v>
      </c>
      <c r="BT214" s="110"/>
      <c r="BU214" s="74" t="s">
        <v>1265</v>
      </c>
      <c r="BV214" s="73">
        <f t="shared" ca="1" si="1068"/>
        <v>0</v>
      </c>
      <c r="BW214" s="110"/>
      <c r="BX214" s="74" t="s">
        <v>1321</v>
      </c>
      <c r="BY214" s="73">
        <f t="shared" ca="1" si="1069"/>
        <v>0</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0</v>
      </c>
      <c r="CR214" s="110"/>
      <c r="CS214" s="74" t="s">
        <v>1321</v>
      </c>
      <c r="CT214" s="73">
        <f t="shared" ca="1" si="1076"/>
        <v>0</v>
      </c>
      <c r="CU214" s="110"/>
      <c r="CV214" s="74" t="s">
        <v>1321</v>
      </c>
      <c r="CW214" s="73">
        <f t="shared" ca="1" si="1077"/>
        <v>0</v>
      </c>
      <c r="CX214" s="110"/>
      <c r="CY214" s="74" t="s">
        <v>1833</v>
      </c>
      <c r="CZ214" s="73">
        <f t="shared" ca="1" si="1078"/>
        <v>0</v>
      </c>
      <c r="DA214" s="110"/>
      <c r="DB214" s="74" t="s">
        <v>1321</v>
      </c>
      <c r="DC214" s="73">
        <f t="shared" ca="1" si="1079"/>
        <v>0</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0</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x14ac:dyDescent="0.2">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 ca="1">WORLDCUP!AF132</f>
        <v>W94</v>
      </c>
      <c r="N215" s="25"/>
      <c r="O215" s="25"/>
      <c r="P215" s="25"/>
      <c r="Q215" s="25"/>
      <c r="R215" s="110"/>
      <c r="S215" s="74" t="s">
        <v>497</v>
      </c>
      <c r="T215" s="73">
        <f t="shared" ca="1" si="1050"/>
        <v>0</v>
      </c>
      <c r="U215" s="110"/>
      <c r="V215" s="74" t="s">
        <v>135</v>
      </c>
      <c r="W215" s="73">
        <f t="shared" ca="1" si="1051"/>
        <v>0</v>
      </c>
      <c r="X215" s="110"/>
      <c r="Y215" s="74" t="s">
        <v>110</v>
      </c>
      <c r="Z215" s="73">
        <f t="shared" ca="1" si="1052"/>
        <v>0</v>
      </c>
      <c r="AA215" s="110"/>
      <c r="AB215" s="74" t="s">
        <v>1835</v>
      </c>
      <c r="AC215" s="73">
        <f t="shared" ca="1" si="1053"/>
        <v>0</v>
      </c>
      <c r="AD215" s="110"/>
      <c r="AE215" s="74" t="s">
        <v>110</v>
      </c>
      <c r="AF215" s="73">
        <f t="shared" ca="1" si="1054"/>
        <v>0</v>
      </c>
      <c r="AG215" s="110"/>
      <c r="AH215" s="74" t="s">
        <v>110</v>
      </c>
      <c r="AI215" s="73">
        <f t="shared" ca="1" si="1055"/>
        <v>0</v>
      </c>
      <c r="AJ215" s="110"/>
      <c r="AK215" s="74" t="s">
        <v>1835</v>
      </c>
      <c r="AL215" s="73">
        <f t="shared" ca="1" si="1056"/>
        <v>0</v>
      </c>
      <c r="AM215" s="110"/>
      <c r="AN215" s="74" t="s">
        <v>110</v>
      </c>
      <c r="AO215" s="73">
        <f t="shared" ca="1" si="1057"/>
        <v>0</v>
      </c>
      <c r="AP215" s="110"/>
      <c r="AQ215" s="74" t="s">
        <v>110</v>
      </c>
      <c r="AR215" s="73">
        <f t="shared" ca="1" si="1058"/>
        <v>0</v>
      </c>
      <c r="AS215" s="110"/>
      <c r="AT215" s="74" t="s">
        <v>1835</v>
      </c>
      <c r="AU215" s="73">
        <f t="shared" ca="1" si="1059"/>
        <v>0</v>
      </c>
      <c r="AV215" s="110"/>
      <c r="AW215" s="74" t="s">
        <v>110</v>
      </c>
      <c r="AX215" s="73">
        <f t="shared" ca="1" si="1060"/>
        <v>0</v>
      </c>
      <c r="AY215" s="110"/>
      <c r="AZ215" s="74" t="s">
        <v>1835</v>
      </c>
      <c r="BA215" s="73">
        <f t="shared" ca="1" si="1061"/>
        <v>0</v>
      </c>
      <c r="BB215" s="110"/>
      <c r="BC215" s="74" t="s">
        <v>110</v>
      </c>
      <c r="BD215" s="73">
        <f t="shared" ca="1" si="1062"/>
        <v>0</v>
      </c>
      <c r="BE215" s="110"/>
      <c r="BF215" s="74" t="s">
        <v>110</v>
      </c>
      <c r="BG215" s="73">
        <f t="shared" ca="1" si="1063"/>
        <v>0</v>
      </c>
      <c r="BH215" s="110"/>
      <c r="BI215" s="74" t="s">
        <v>1835</v>
      </c>
      <c r="BJ215" s="73">
        <f t="shared" ca="1" si="1064"/>
        <v>0</v>
      </c>
      <c r="BK215" s="110"/>
      <c r="BL215" s="74" t="s">
        <v>110</v>
      </c>
      <c r="BM215" s="73">
        <f t="shared" ca="1" si="1065"/>
        <v>0</v>
      </c>
      <c r="BN215" s="110"/>
      <c r="BO215" s="74" t="s">
        <v>1835</v>
      </c>
      <c r="BP215" s="73">
        <f t="shared" ca="1" si="1066"/>
        <v>0</v>
      </c>
      <c r="BQ215" s="110"/>
      <c r="BR215" s="74" t="s">
        <v>1835</v>
      </c>
      <c r="BS215" s="73">
        <f t="shared" ca="1" si="1067"/>
        <v>0</v>
      </c>
      <c r="BT215" s="110"/>
      <c r="BU215" s="74" t="s">
        <v>110</v>
      </c>
      <c r="BV215" s="73">
        <f t="shared" ca="1" si="1068"/>
        <v>0</v>
      </c>
      <c r="BW215" s="110"/>
      <c r="BX215" s="74" t="s">
        <v>135</v>
      </c>
      <c r="BY215" s="73">
        <f t="shared" ca="1" si="1069"/>
        <v>0</v>
      </c>
      <c r="BZ215" s="110"/>
      <c r="CA215" s="74" t="s">
        <v>110</v>
      </c>
      <c r="CB215" s="73">
        <f t="shared" ca="1" si="1070"/>
        <v>0</v>
      </c>
      <c r="CC215" s="110"/>
      <c r="CD215" s="74" t="s">
        <v>1835</v>
      </c>
      <c r="CE215" s="73">
        <f t="shared" ca="1" si="1071"/>
        <v>0</v>
      </c>
      <c r="CF215" s="110"/>
      <c r="CG215" s="74" t="s">
        <v>135</v>
      </c>
      <c r="CH215" s="73">
        <f t="shared" ca="1" si="1072"/>
        <v>0</v>
      </c>
      <c r="CI215" s="110"/>
      <c r="CJ215" s="74" t="s">
        <v>110</v>
      </c>
      <c r="CK215" s="73">
        <f t="shared" ca="1" si="1073"/>
        <v>0</v>
      </c>
      <c r="CL215" s="110"/>
      <c r="CM215" s="74" t="s">
        <v>1835</v>
      </c>
      <c r="CN215" s="73">
        <f t="shared" ca="1" si="1074"/>
        <v>0</v>
      </c>
      <c r="CO215" s="110"/>
      <c r="CP215" s="74" t="s">
        <v>1835</v>
      </c>
      <c r="CQ215" s="73">
        <f t="shared" ca="1" si="1075"/>
        <v>0</v>
      </c>
      <c r="CR215" s="110"/>
      <c r="CS215" s="74" t="s">
        <v>110</v>
      </c>
      <c r="CT215" s="73">
        <f t="shared" ca="1" si="1076"/>
        <v>0</v>
      </c>
      <c r="CU215" s="110"/>
      <c r="CV215" s="74" t="s">
        <v>110</v>
      </c>
      <c r="CW215" s="73">
        <f t="shared" ca="1" si="1077"/>
        <v>0</v>
      </c>
      <c r="CX215" s="110"/>
      <c r="CY215" s="74" t="s">
        <v>110</v>
      </c>
      <c r="CZ215" s="73">
        <f t="shared" ca="1" si="1078"/>
        <v>0</v>
      </c>
      <c r="DA215" s="110"/>
      <c r="DB215" s="74" t="s">
        <v>110</v>
      </c>
      <c r="DC215" s="73">
        <f t="shared" ca="1" si="1079"/>
        <v>0</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0</v>
      </c>
      <c r="DS215" s="110"/>
      <c r="DT215" s="74" t="s">
        <v>110</v>
      </c>
      <c r="DU215" s="73">
        <f t="shared" ca="1" si="1085"/>
        <v>0</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x14ac:dyDescent="0.2">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 ca="1">WORLDCUP!AF133</f>
        <v>W92</v>
      </c>
      <c r="N216" s="25"/>
      <c r="O216" s="25"/>
      <c r="P216" s="25"/>
      <c r="Q216" s="25"/>
      <c r="R216" s="110"/>
      <c r="S216" s="74" t="s">
        <v>76</v>
      </c>
      <c r="T216" s="73">
        <f t="shared" ca="1" si="1050"/>
        <v>0</v>
      </c>
      <c r="U216" s="110"/>
      <c r="V216" s="74" t="s">
        <v>76</v>
      </c>
      <c r="W216" s="73">
        <f t="shared" ca="1" si="1051"/>
        <v>0</v>
      </c>
      <c r="X216" s="110"/>
      <c r="Y216" s="74" t="s">
        <v>76</v>
      </c>
      <c r="Z216" s="73">
        <f t="shared" ca="1" si="1052"/>
        <v>0</v>
      </c>
      <c r="AA216" s="110"/>
      <c r="AB216" s="74" t="s">
        <v>76</v>
      </c>
      <c r="AC216" s="73">
        <f t="shared" ca="1" si="1053"/>
        <v>0</v>
      </c>
      <c r="AD216" s="110"/>
      <c r="AE216" s="74" t="s">
        <v>76</v>
      </c>
      <c r="AF216" s="73">
        <f t="shared" ca="1" si="1054"/>
        <v>0</v>
      </c>
      <c r="AG216" s="110"/>
      <c r="AH216" s="74" t="s">
        <v>78</v>
      </c>
      <c r="AI216" s="73">
        <f t="shared" ca="1" si="1055"/>
        <v>0</v>
      </c>
      <c r="AJ216" s="110"/>
      <c r="AK216" s="74" t="s">
        <v>76</v>
      </c>
      <c r="AL216" s="73">
        <f t="shared" ca="1" si="1056"/>
        <v>0</v>
      </c>
      <c r="AM216" s="110"/>
      <c r="AN216" s="74" t="s">
        <v>76</v>
      </c>
      <c r="AO216" s="73">
        <f t="shared" ca="1" si="1057"/>
        <v>0</v>
      </c>
      <c r="AP216" s="110"/>
      <c r="AQ216" s="74" t="s">
        <v>76</v>
      </c>
      <c r="AR216" s="73">
        <f t="shared" ca="1" si="1058"/>
        <v>0</v>
      </c>
      <c r="AS216" s="110"/>
      <c r="AT216" s="74" t="s">
        <v>76</v>
      </c>
      <c r="AU216" s="73">
        <f t="shared" ca="1" si="1059"/>
        <v>0</v>
      </c>
      <c r="AV216" s="110"/>
      <c r="AW216" s="74" t="s">
        <v>76</v>
      </c>
      <c r="AX216" s="73">
        <f t="shared" ca="1" si="1060"/>
        <v>0</v>
      </c>
      <c r="AY216" s="110"/>
      <c r="AZ216" s="74" t="s">
        <v>76</v>
      </c>
      <c r="BA216" s="73">
        <f t="shared" ca="1" si="1061"/>
        <v>0</v>
      </c>
      <c r="BB216" s="110"/>
      <c r="BC216" s="74" t="s">
        <v>78</v>
      </c>
      <c r="BD216" s="73">
        <f t="shared" ca="1" si="1062"/>
        <v>0</v>
      </c>
      <c r="BE216" s="110"/>
      <c r="BF216" s="74" t="s">
        <v>76</v>
      </c>
      <c r="BG216" s="73">
        <f t="shared" ca="1" si="1063"/>
        <v>0</v>
      </c>
      <c r="BH216" s="110"/>
      <c r="BI216" s="74" t="s">
        <v>76</v>
      </c>
      <c r="BJ216" s="73">
        <f t="shared" ca="1" si="1064"/>
        <v>0</v>
      </c>
      <c r="BK216" s="110"/>
      <c r="BL216" s="74" t="s">
        <v>76</v>
      </c>
      <c r="BM216" s="73">
        <f t="shared" ca="1" si="1065"/>
        <v>0</v>
      </c>
      <c r="BN216" s="110"/>
      <c r="BO216" s="74" t="s">
        <v>76</v>
      </c>
      <c r="BP216" s="73">
        <f t="shared" ca="1" si="1066"/>
        <v>0</v>
      </c>
      <c r="BQ216" s="110"/>
      <c r="BR216" s="74" t="s">
        <v>76</v>
      </c>
      <c r="BS216" s="73">
        <f t="shared" ca="1" si="1067"/>
        <v>0</v>
      </c>
      <c r="BT216" s="110"/>
      <c r="BU216" s="74" t="s">
        <v>76</v>
      </c>
      <c r="BV216" s="73">
        <f t="shared" ca="1" si="1068"/>
        <v>0</v>
      </c>
      <c r="BW216" s="110"/>
      <c r="BX216" s="74" t="s">
        <v>76</v>
      </c>
      <c r="BY216" s="73">
        <f t="shared" ca="1" si="1069"/>
        <v>0</v>
      </c>
      <c r="BZ216" s="110"/>
      <c r="CA216" s="74" t="s">
        <v>76</v>
      </c>
      <c r="CB216" s="73">
        <f t="shared" ca="1" si="1070"/>
        <v>0</v>
      </c>
      <c r="CC216" s="110"/>
      <c r="CD216" s="74" t="s">
        <v>1265</v>
      </c>
      <c r="CE216" s="73">
        <f t="shared" ca="1" si="1071"/>
        <v>0</v>
      </c>
      <c r="CF216" s="110"/>
      <c r="CG216" s="74" t="s">
        <v>1265</v>
      </c>
      <c r="CH216" s="73">
        <f t="shared" ca="1" si="1072"/>
        <v>0</v>
      </c>
      <c r="CI216" s="110"/>
      <c r="CJ216" s="74" t="s">
        <v>76</v>
      </c>
      <c r="CK216" s="73">
        <f t="shared" ca="1" si="1073"/>
        <v>0</v>
      </c>
      <c r="CL216" s="110"/>
      <c r="CM216" s="74" t="s">
        <v>76</v>
      </c>
      <c r="CN216" s="73">
        <f t="shared" ca="1" si="1074"/>
        <v>0</v>
      </c>
      <c r="CO216" s="110"/>
      <c r="CP216" s="74" t="s">
        <v>76</v>
      </c>
      <c r="CQ216" s="73">
        <f t="shared" ca="1" si="1075"/>
        <v>0</v>
      </c>
      <c r="CR216" s="110"/>
      <c r="CS216" s="74" t="s">
        <v>76</v>
      </c>
      <c r="CT216" s="73">
        <f t="shared" ca="1" si="1076"/>
        <v>0</v>
      </c>
      <c r="CU216" s="110"/>
      <c r="CV216" s="74" t="s">
        <v>76</v>
      </c>
      <c r="CW216" s="73">
        <f t="shared" ca="1" si="1077"/>
        <v>0</v>
      </c>
      <c r="CX216" s="110"/>
      <c r="CY216" s="74" t="s">
        <v>76</v>
      </c>
      <c r="CZ216" s="73">
        <f t="shared" ca="1" si="1078"/>
        <v>0</v>
      </c>
      <c r="DA216" s="110"/>
      <c r="DB216" s="74" t="s">
        <v>76</v>
      </c>
      <c r="DC216" s="73">
        <f t="shared" ca="1" si="1079"/>
        <v>0</v>
      </c>
      <c r="DD216" s="110"/>
      <c r="DE216" s="74" t="s">
        <v>135</v>
      </c>
      <c r="DF216" s="73">
        <f t="shared" ca="1" si="1080"/>
        <v>0</v>
      </c>
      <c r="DG216" s="110"/>
      <c r="DH216" s="74" t="s">
        <v>76</v>
      </c>
      <c r="DI216" s="73">
        <f t="shared" ca="1" si="1081"/>
        <v>0</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0</v>
      </c>
      <c r="DY216" s="110"/>
      <c r="DZ216" s="74" t="s">
        <v>1265</v>
      </c>
      <c r="EA216" s="73">
        <f t="shared" ca="1" si="1087"/>
        <v>0</v>
      </c>
      <c r="EB216" s="110"/>
      <c r="EC216" s="74" t="s">
        <v>76</v>
      </c>
      <c r="ED216" s="73">
        <f t="shared" ca="1" si="1088"/>
        <v>0</v>
      </c>
      <c r="EE216" s="110"/>
      <c r="EF216" s="74" t="s">
        <v>76</v>
      </c>
      <c r="EG216" s="73">
        <f t="shared" ca="1" si="1089"/>
        <v>0</v>
      </c>
      <c r="EH216" s="110"/>
      <c r="EI216" s="74" t="s">
        <v>76</v>
      </c>
      <c r="EJ216" s="73">
        <f t="shared" ca="1" si="1090"/>
        <v>0</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x14ac:dyDescent="0.2">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 ca="1">WORLDCUP!AF134</f>
        <v>W96</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0</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x14ac:dyDescent="0.2">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0</v>
      </c>
      <c r="U218" s="49"/>
      <c r="V218" s="84"/>
      <c r="W218" s="71">
        <f t="shared" ref="W218" ca="1" si="1101">SUM(W210:W217)</f>
        <v>0</v>
      </c>
      <c r="X218" s="49"/>
      <c r="Y218" s="84"/>
      <c r="Z218" s="71">
        <f t="shared" ref="Z218" ca="1" si="1102">SUM(Z210:Z217)</f>
        <v>0</v>
      </c>
      <c r="AA218" s="49"/>
      <c r="AB218" s="84"/>
      <c r="AC218" s="71">
        <f t="shared" ref="AC218" ca="1" si="1103">SUM(AC210:AC217)</f>
        <v>0</v>
      </c>
      <c r="AD218" s="49"/>
      <c r="AE218" s="84"/>
      <c r="AF218" s="71">
        <f t="shared" ref="AF218" ca="1" si="1104">SUM(AF210:AF217)</f>
        <v>0</v>
      </c>
      <c r="AG218" s="49"/>
      <c r="AH218" s="84"/>
      <c r="AI218" s="71">
        <f t="shared" ref="AI218" ca="1" si="1105">SUM(AI210:AI217)</f>
        <v>0</v>
      </c>
      <c r="AJ218" s="49"/>
      <c r="AK218" s="84"/>
      <c r="AL218" s="71">
        <f t="shared" ref="AL218" ca="1" si="1106">SUM(AL210:AL217)</f>
        <v>0</v>
      </c>
      <c r="AM218" s="49"/>
      <c r="AN218" s="84"/>
      <c r="AO218" s="71">
        <f t="shared" ref="AO218" ca="1" si="1107">SUM(AO210:AO217)</f>
        <v>0</v>
      </c>
      <c r="AP218" s="49"/>
      <c r="AQ218" s="84"/>
      <c r="AR218" s="71">
        <f t="shared" ref="AR218" ca="1" si="1108">SUM(AR210:AR217)</f>
        <v>0</v>
      </c>
      <c r="AS218" s="49"/>
      <c r="AT218" s="84"/>
      <c r="AU218" s="71">
        <f t="shared" ref="AU218" ca="1" si="1109">SUM(AU210:AU217)</f>
        <v>0</v>
      </c>
      <c r="AV218" s="49"/>
      <c r="AW218" s="84"/>
      <c r="AX218" s="71">
        <f t="shared" ref="AX218" ca="1" si="1110">SUM(AX210:AX217)</f>
        <v>0</v>
      </c>
      <c r="AY218" s="49"/>
      <c r="AZ218" s="84"/>
      <c r="BA218" s="71">
        <f t="shared" ref="BA218" ca="1" si="1111">SUM(BA210:BA217)</f>
        <v>0</v>
      </c>
      <c r="BB218" s="49"/>
      <c r="BC218" s="84"/>
      <c r="BD218" s="71">
        <f t="shared" ref="BD218" ca="1" si="1112">SUM(BD210:BD217)</f>
        <v>0</v>
      </c>
      <c r="BE218" s="49"/>
      <c r="BF218" s="84"/>
      <c r="BG218" s="71">
        <f t="shared" ref="BG218" ca="1" si="1113">SUM(BG210:BG217)</f>
        <v>0</v>
      </c>
      <c r="BH218" s="49"/>
      <c r="BI218" s="84"/>
      <c r="BJ218" s="71">
        <f t="shared" ref="BJ218" ca="1" si="1114">SUM(BJ210:BJ217)</f>
        <v>0</v>
      </c>
      <c r="BK218" s="49"/>
      <c r="BL218" s="84"/>
      <c r="BM218" s="71">
        <f t="shared" ref="BM218" ca="1" si="1115">SUM(BM210:BM217)</f>
        <v>0</v>
      </c>
      <c r="BN218" s="49"/>
      <c r="BO218" s="84"/>
      <c r="BP218" s="71">
        <f t="shared" ref="BP218" ca="1" si="1116">SUM(BP210:BP217)</f>
        <v>0</v>
      </c>
      <c r="BQ218" s="49"/>
      <c r="BR218" s="84"/>
      <c r="BS218" s="71">
        <f t="shared" ref="BS218" ca="1" si="1117">SUM(BS210:BS217)</f>
        <v>0</v>
      </c>
      <c r="BT218" s="49"/>
      <c r="BU218" s="84"/>
      <c r="BV218" s="71">
        <f t="shared" ref="BV218" ca="1" si="1118">SUM(BV210:BV217)</f>
        <v>0</v>
      </c>
      <c r="BW218" s="49"/>
      <c r="BX218" s="84"/>
      <c r="BY218" s="71">
        <f t="shared" ref="BY218" ca="1" si="1119">SUM(BY210:BY217)</f>
        <v>0</v>
      </c>
      <c r="BZ218" s="49"/>
      <c r="CA218" s="84"/>
      <c r="CB218" s="71">
        <f t="shared" ref="CB218" ca="1" si="1120">SUM(CB210:CB217)</f>
        <v>0</v>
      </c>
      <c r="CC218" s="49"/>
      <c r="CD218" s="84"/>
      <c r="CE218" s="71">
        <f t="shared" ref="CE218" ca="1" si="1121">SUM(CE210:CE217)</f>
        <v>0</v>
      </c>
      <c r="CF218" s="49"/>
      <c r="CG218" s="84"/>
      <c r="CH218" s="71">
        <f t="shared" ref="CH218" ca="1" si="1122">SUM(CH210:CH217)</f>
        <v>0</v>
      </c>
      <c r="CI218" s="49"/>
      <c r="CJ218" s="84"/>
      <c r="CK218" s="71">
        <f t="shared" ref="CK218" ca="1" si="1123">SUM(CK210:CK217)</f>
        <v>0</v>
      </c>
      <c r="CL218" s="49"/>
      <c r="CM218" s="84"/>
      <c r="CN218" s="71">
        <f t="shared" ref="CN218" ca="1" si="1124">SUM(CN210:CN217)</f>
        <v>0</v>
      </c>
      <c r="CO218" s="49"/>
      <c r="CP218" s="84"/>
      <c r="CQ218" s="71">
        <f t="shared" ref="CQ218" ca="1" si="1125">SUM(CQ210:CQ217)</f>
        <v>0</v>
      </c>
      <c r="CR218" s="49"/>
      <c r="CS218" s="84"/>
      <c r="CT218" s="71">
        <f t="shared" ref="CT218" ca="1" si="1126">SUM(CT210:CT217)</f>
        <v>0</v>
      </c>
      <c r="CU218" s="49"/>
      <c r="CV218" s="84"/>
      <c r="CW218" s="71">
        <f t="shared" ref="CW218" ca="1" si="1127">SUM(CW210:CW217)</f>
        <v>0</v>
      </c>
      <c r="CX218" s="49"/>
      <c r="CY218" s="84"/>
      <c r="CZ218" s="71">
        <f t="shared" ref="CZ218" ca="1" si="1128">SUM(CZ210:CZ217)</f>
        <v>0</v>
      </c>
      <c r="DA218" s="49"/>
      <c r="DB218" s="84"/>
      <c r="DC218" s="71">
        <f t="shared" ref="DC218" ca="1" si="1129">SUM(DC210:DC217)</f>
        <v>0</v>
      </c>
      <c r="DD218" s="49"/>
      <c r="DE218" s="84"/>
      <c r="DF218" s="71">
        <f t="shared" ref="DF218" ca="1" si="1130">SUM(DF210:DF217)</f>
        <v>0</v>
      </c>
      <c r="DG218" s="49"/>
      <c r="DH218" s="84"/>
      <c r="DI218" s="71">
        <f t="shared" ref="DI218" ca="1" si="1131">SUM(DI210:DI217)</f>
        <v>0</v>
      </c>
      <c r="DJ218" s="49"/>
      <c r="DK218" s="84"/>
      <c r="DL218" s="71">
        <f t="shared" ref="DL218" ca="1" si="1132">SUM(DL210:DL217)</f>
        <v>0</v>
      </c>
      <c r="DM218" s="49"/>
      <c r="DN218" s="796"/>
      <c r="DO218" s="71">
        <f t="shared" ref="DO218" ca="1" si="1133">SUM(DO210:DO217)</f>
        <v>0</v>
      </c>
      <c r="DP218" s="49"/>
      <c r="DQ218" s="796"/>
      <c r="DR218" s="71">
        <f t="shared" ref="DR218" ca="1" si="1134">SUM(DR210:DR217)</f>
        <v>0</v>
      </c>
      <c r="DS218" s="49"/>
      <c r="DT218" s="84"/>
      <c r="DU218" s="71">
        <f t="shared" ref="DU218" ca="1" si="1135">SUM(DU210:DU217)</f>
        <v>0</v>
      </c>
      <c r="DV218" s="49"/>
      <c r="DW218" s="84"/>
      <c r="DX218" s="71">
        <f t="shared" ref="DX218" ca="1" si="1136">SUM(DX210:DX217)</f>
        <v>0</v>
      </c>
      <c r="DY218" s="49"/>
      <c r="DZ218" s="84"/>
      <c r="EA218" s="71">
        <f t="shared" ref="EA218" ca="1" si="1137">SUM(EA210:EA217)</f>
        <v>0</v>
      </c>
      <c r="EB218" s="49"/>
      <c r="EC218" s="84"/>
      <c r="ED218" s="71">
        <f t="shared" ref="ED218" ca="1" si="1138">SUM(ED210:ED217)</f>
        <v>0</v>
      </c>
      <c r="EE218" s="49"/>
      <c r="EF218" s="84"/>
      <c r="EG218" s="71">
        <f t="shared" ref="EG218" ca="1" si="1139">SUM(EG210:EG217)</f>
        <v>0</v>
      </c>
      <c r="EH218" s="49"/>
      <c r="EI218" s="84"/>
      <c r="EJ218" s="71">
        <f t="shared" ref="EJ218" ca="1" si="1140">SUM(EJ210:EJ217)</f>
        <v>0</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x14ac:dyDescent="0.2">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x14ac:dyDescent="0.2">
      <c r="A220" s="25">
        <f>WORLDCUP!AD131</f>
        <v>0</v>
      </c>
      <c r="B220" s="25">
        <f>WORLDCUP!AC131</f>
        <v>0</v>
      </c>
      <c r="C220" s="25" t="str">
        <f ca="1">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 ca="1">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x14ac:dyDescent="0.2">
      <c r="A221" s="25">
        <f>WORLDCUP!AD132</f>
        <v>0</v>
      </c>
      <c r="B221" s="25">
        <f>WORLDCUP!AC132</f>
        <v>0</v>
      </c>
      <c r="C221" s="25" t="str">
        <f ca="1">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 ca="1">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x14ac:dyDescent="0.2">
      <c r="A222" s="25">
        <f>WORLDCUP!AD133</f>
        <v>0</v>
      </c>
      <c r="B222" s="25">
        <f>WORLDCUP!AC133</f>
        <v>0</v>
      </c>
      <c r="C222" s="25" t="str">
        <f ca="1">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 ca="1">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x14ac:dyDescent="0.2">
      <c r="A223" s="25">
        <f>WORLDCUP!AD134</f>
        <v>0</v>
      </c>
      <c r="B223" s="25">
        <f>WORLDCUP!AC134</f>
        <v>0</v>
      </c>
      <c r="C223" s="25" t="str">
        <f ca="1">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 ca="1">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x14ac:dyDescent="0.2">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0</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0</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0</v>
      </c>
      <c r="BN224" s="65"/>
      <c r="BO224" s="84"/>
      <c r="BP224" s="71">
        <f t="shared" ref="BP224" ca="1" si="1218">SUM(BP220:BP223)</f>
        <v>0</v>
      </c>
      <c r="BQ224" s="65"/>
      <c r="BR224" s="84"/>
      <c r="BS224" s="71">
        <f t="shared" ref="BS224" ca="1" si="1219">SUM(BS220:BS223)</f>
        <v>0</v>
      </c>
      <c r="BT224" s="65"/>
      <c r="BU224" s="84"/>
      <c r="BV224" s="71">
        <f t="shared" ref="BV224" ca="1" si="1220">SUM(BV220:BV223)</f>
        <v>0</v>
      </c>
      <c r="BW224" s="65"/>
      <c r="BX224" s="84"/>
      <c r="BY224" s="71">
        <f t="shared" ref="BY224" ca="1" si="1221">SUM(BY220:BY223)</f>
        <v>0</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0</v>
      </c>
      <c r="CR224" s="65"/>
      <c r="CS224" s="84"/>
      <c r="CT224" s="71">
        <f t="shared" ref="CT224" ca="1" si="1228">SUM(CT220:CT223)</f>
        <v>0</v>
      </c>
      <c r="CU224" s="65"/>
      <c r="CV224" s="84"/>
      <c r="CW224" s="71">
        <f t="shared" ref="CW224" ca="1" si="1229">SUM(CW220:CW223)</f>
        <v>0</v>
      </c>
      <c r="CX224" s="65"/>
      <c r="CY224" s="84"/>
      <c r="CZ224" s="71">
        <f t="shared" ref="CZ224" ca="1" si="1230">SUM(CZ220:CZ223)</f>
        <v>0</v>
      </c>
      <c r="DA224" s="65"/>
      <c r="DB224" s="84"/>
      <c r="DC224" s="71">
        <f t="shared" ref="DC224" ca="1" si="1231">SUM(DC220:DC223)</f>
        <v>0</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0</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x14ac:dyDescent="0.2">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x14ac:dyDescent="0.2">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 ca="1">WORLDCUP!AA138</f>
        <v>W97</v>
      </c>
      <c r="N226" s="25"/>
      <c r="O226" s="25"/>
      <c r="P226" s="25"/>
      <c r="Q226" s="25"/>
      <c r="R226" s="110"/>
      <c r="S226" s="76" t="s">
        <v>77</v>
      </c>
      <c r="T226" s="77">
        <f ca="1">COUNTIF($M$226:$M$229,S226)*$D$27</f>
        <v>0</v>
      </c>
      <c r="U226" s="64"/>
      <c r="V226" s="76" t="s">
        <v>74</v>
      </c>
      <c r="W226" s="77">
        <f t="shared" ref="W226" ca="1" si="1252">COUNTIF($M$226:$M$229,V226)*$D$27</f>
        <v>0</v>
      </c>
      <c r="X226" s="64"/>
      <c r="Y226" s="76" t="s">
        <v>74</v>
      </c>
      <c r="Z226" s="77">
        <f t="shared" ref="Z226" ca="1" si="1253">COUNTIF($M$226:$M$229,Y226)*$D$27</f>
        <v>0</v>
      </c>
      <c r="AA226" s="64"/>
      <c r="AB226" s="76" t="s">
        <v>74</v>
      </c>
      <c r="AC226" s="77">
        <f t="shared" ref="AC226" ca="1" si="1254">COUNTIF($M$226:$M$229,AB226)*$D$27</f>
        <v>0</v>
      </c>
      <c r="AD226" s="64"/>
      <c r="AE226" s="76" t="s">
        <v>74</v>
      </c>
      <c r="AF226" s="77">
        <f t="shared" ref="AF226" ca="1" si="1255">COUNTIF($M$226:$M$229,AE226)*$D$27</f>
        <v>0</v>
      </c>
      <c r="AG226" s="64"/>
      <c r="AH226" s="76" t="s">
        <v>74</v>
      </c>
      <c r="AI226" s="77">
        <f t="shared" ref="AI226" ca="1" si="1256">COUNTIF($M$226:$M$229,AH226)*$D$27</f>
        <v>0</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0</v>
      </c>
      <c r="AS226" s="64"/>
      <c r="AT226" s="76" t="s">
        <v>74</v>
      </c>
      <c r="AU226" s="77">
        <f t="shared" ref="AU226" ca="1" si="1260">COUNTIF($M$226:$M$229,AT226)*$D$27</f>
        <v>0</v>
      </c>
      <c r="AV226" s="64"/>
      <c r="AW226" s="76" t="s">
        <v>74</v>
      </c>
      <c r="AX226" s="77">
        <f t="shared" ref="AX226" ca="1" si="1261">COUNTIF($M$226:$M$229,AW226)*$D$27</f>
        <v>0</v>
      </c>
      <c r="AY226" s="64"/>
      <c r="AZ226" s="76" t="s">
        <v>74</v>
      </c>
      <c r="BA226" s="77">
        <f t="shared" ref="BA226" ca="1" si="1262">COUNTIF($M$226:$M$229,AZ226)*$D$27</f>
        <v>0</v>
      </c>
      <c r="BB226" s="64"/>
      <c r="BC226" s="76" t="s">
        <v>74</v>
      </c>
      <c r="BD226" s="77">
        <f t="shared" ref="BD226" ca="1" si="1263">COUNTIF($M$226:$M$229,BC226)*$D$27</f>
        <v>0</v>
      </c>
      <c r="BE226" s="64"/>
      <c r="BF226" s="76" t="s">
        <v>74</v>
      </c>
      <c r="BG226" s="77">
        <f t="shared" ref="BG226" ca="1" si="1264">COUNTIF($M$226:$M$229,BF226)*$D$27</f>
        <v>0</v>
      </c>
      <c r="BH226" s="64"/>
      <c r="BI226" s="76" t="s">
        <v>74</v>
      </c>
      <c r="BJ226" s="77">
        <f t="shared" ref="BJ226" ca="1" si="1265">COUNTIF($M$226:$M$229,BI226)*$D$27</f>
        <v>0</v>
      </c>
      <c r="BK226" s="64"/>
      <c r="BL226" s="76" t="s">
        <v>74</v>
      </c>
      <c r="BM226" s="77">
        <f t="shared" ref="BM226" ca="1" si="1266">COUNTIF($M$226:$M$229,BL226)*$D$27</f>
        <v>0</v>
      </c>
      <c r="BN226" s="64"/>
      <c r="BO226" s="76" t="s">
        <v>74</v>
      </c>
      <c r="BP226" s="77">
        <f t="shared" ref="BP226" ca="1" si="1267">COUNTIF($M$226:$M$229,BO226)*$D$27</f>
        <v>0</v>
      </c>
      <c r="BQ226" s="64"/>
      <c r="BR226" s="76" t="s">
        <v>74</v>
      </c>
      <c r="BS226" s="77">
        <f t="shared" ref="BS226" ca="1" si="1268">COUNTIF($M$226:$M$229,BR226)*$D$27</f>
        <v>0</v>
      </c>
      <c r="BT226" s="64"/>
      <c r="BU226" s="76" t="s">
        <v>74</v>
      </c>
      <c r="BV226" s="77">
        <f t="shared" ref="BV226" ca="1" si="1269">COUNTIF($M$226:$M$229,BU226)*$D$27</f>
        <v>0</v>
      </c>
      <c r="BW226" s="64"/>
      <c r="BX226" s="76" t="s">
        <v>74</v>
      </c>
      <c r="BY226" s="77">
        <f t="shared" ref="BY226" ca="1" si="1270">COUNTIF($M$226:$M$229,BX226)*$D$27</f>
        <v>0</v>
      </c>
      <c r="BZ226" s="64"/>
      <c r="CA226" s="76" t="s">
        <v>77</v>
      </c>
      <c r="CB226" s="77">
        <f t="shared" ref="CB226" ca="1" si="1271">COUNTIF($M$226:$M$229,CA226)*$D$27</f>
        <v>0</v>
      </c>
      <c r="CC226" s="64"/>
      <c r="CD226" s="76" t="s">
        <v>74</v>
      </c>
      <c r="CE226" s="77">
        <f t="shared" ref="CE226" ca="1" si="1272">COUNTIF($M$226:$M$229,CD226)*$D$27</f>
        <v>0</v>
      </c>
      <c r="CF226" s="64"/>
      <c r="CG226" s="76" t="s">
        <v>74</v>
      </c>
      <c r="CH226" s="77">
        <f t="shared" ref="CH226" ca="1" si="1273">COUNTIF($M$226:$M$229,CG226)*$D$27</f>
        <v>0</v>
      </c>
      <c r="CI226" s="64"/>
      <c r="CJ226" s="76" t="s">
        <v>74</v>
      </c>
      <c r="CK226" s="77">
        <f t="shared" ref="CK226" ca="1" si="1274">COUNTIF($M$226:$M$229,CJ226)*$D$27</f>
        <v>0</v>
      </c>
      <c r="CL226" s="64"/>
      <c r="CM226" s="76" t="s">
        <v>74</v>
      </c>
      <c r="CN226" s="77">
        <f t="shared" ref="CN226" ca="1" si="1275">COUNTIF($M$226:$M$229,CM226)*$D$27</f>
        <v>0</v>
      </c>
      <c r="CO226" s="64"/>
      <c r="CP226" s="76" t="s">
        <v>74</v>
      </c>
      <c r="CQ226" s="77">
        <f t="shared" ref="CQ226" ca="1" si="1276">COUNTIF($M$226:$M$229,CP226)*$D$27</f>
        <v>0</v>
      </c>
      <c r="CR226" s="64"/>
      <c r="CS226" s="76" t="s">
        <v>74</v>
      </c>
      <c r="CT226" s="77">
        <f t="shared" ref="CT226" ca="1" si="1277">COUNTIF($M$226:$M$229,CS226)*$D$27</f>
        <v>0</v>
      </c>
      <c r="CU226" s="64"/>
      <c r="CV226" s="76" t="s">
        <v>74</v>
      </c>
      <c r="CW226" s="77">
        <f t="shared" ref="CW226" ca="1" si="1278">COUNTIF($M$226:$M$229,CV226)*$D$27</f>
        <v>0</v>
      </c>
      <c r="CX226" s="64"/>
      <c r="CY226" s="76" t="s">
        <v>74</v>
      </c>
      <c r="CZ226" s="77">
        <f t="shared" ref="CZ226" ca="1" si="1279">COUNTIF($M$226:$M$229,CY226)*$D$27</f>
        <v>0</v>
      </c>
      <c r="DA226" s="64"/>
      <c r="DB226" s="76" t="s">
        <v>74</v>
      </c>
      <c r="DC226" s="77">
        <f t="shared" ref="DC226" ca="1" si="1280">COUNTIF($M$226:$M$229,DB226)*$D$27</f>
        <v>0</v>
      </c>
      <c r="DD226" s="64"/>
      <c r="DE226" s="76" t="s">
        <v>77</v>
      </c>
      <c r="DF226" s="77">
        <f t="shared" ref="DF226" ca="1" si="1281">COUNTIF($M$226:$M$229,DE226)*$D$27</f>
        <v>0</v>
      </c>
      <c r="DG226" s="64"/>
      <c r="DH226" s="76" t="s">
        <v>74</v>
      </c>
      <c r="DI226" s="77">
        <f t="shared" ref="DI226" ca="1" si="1282">COUNTIF($M$226:$M$229,DH226)*$D$27</f>
        <v>0</v>
      </c>
      <c r="DJ226" s="64"/>
      <c r="DK226" s="76" t="s">
        <v>74</v>
      </c>
      <c r="DL226" s="77">
        <f t="shared" ref="DL226" ca="1" si="1283">COUNTIF($M$226:$M$229,DK226)*$D$27</f>
        <v>0</v>
      </c>
      <c r="DM226" s="64"/>
      <c r="DN226" s="795" t="s">
        <v>74</v>
      </c>
      <c r="DO226" s="77">
        <f t="shared" ref="DO226" ca="1" si="1284">COUNTIF($M$226:$M$229,DN226)*$D$27</f>
        <v>0</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0</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t="s">
        <v>74</v>
      </c>
      <c r="EJ226" s="77">
        <f t="shared" ref="EJ226" ca="1" si="1291">COUNTIF($M$226:$M$229,EI226)*$D$27</f>
        <v>0</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x14ac:dyDescent="0.2">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 ca="1">WORLDCUP!AA139</f>
        <v>W99</v>
      </c>
      <c r="N227" s="25"/>
      <c r="O227" s="25"/>
      <c r="P227" s="25"/>
      <c r="Q227" s="25"/>
      <c r="R227" s="110"/>
      <c r="S227" s="74" t="s">
        <v>76</v>
      </c>
      <c r="T227" s="73">
        <f ca="1">COUNTIF($M$226:$M$229,S227)*$D$27</f>
        <v>0</v>
      </c>
      <c r="U227" s="64"/>
      <c r="V227" s="74" t="s">
        <v>76</v>
      </c>
      <c r="W227" s="73">
        <f t="shared" ref="W227" ca="1" si="1302">COUNTIF($M$226:$M$229,V227)*$D$27</f>
        <v>0</v>
      </c>
      <c r="X227" s="64"/>
      <c r="Y227" s="74" t="s">
        <v>1258</v>
      </c>
      <c r="Z227" s="73">
        <f t="shared" ref="Z227" ca="1" si="1303">COUNTIF($M$226:$M$229,Y227)*$D$27</f>
        <v>0</v>
      </c>
      <c r="AA227" s="64"/>
      <c r="AB227" s="74" t="s">
        <v>76</v>
      </c>
      <c r="AC227" s="73">
        <f t="shared" ref="AC227" ca="1" si="1304">COUNTIF($M$226:$M$229,AB227)*$D$27</f>
        <v>0</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0</v>
      </c>
      <c r="AM227" s="64"/>
      <c r="AN227" s="74" t="s">
        <v>76</v>
      </c>
      <c r="AO227" s="73">
        <f t="shared" ref="AO227" ca="1" si="1308">COUNTIF($M$226:$M$229,AN227)*$D$27</f>
        <v>0</v>
      </c>
      <c r="AP227" s="64"/>
      <c r="AQ227" s="74" t="s">
        <v>76</v>
      </c>
      <c r="AR227" s="73">
        <f t="shared" ref="AR227" ca="1" si="1309">COUNTIF($M$226:$M$229,AQ227)*$D$27</f>
        <v>0</v>
      </c>
      <c r="AS227" s="64"/>
      <c r="AT227" s="74" t="s">
        <v>76</v>
      </c>
      <c r="AU227" s="73">
        <f t="shared" ref="AU227" ca="1" si="1310">COUNTIF($M$226:$M$229,AT227)*$D$27</f>
        <v>0</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0</v>
      </c>
      <c r="BH227" s="64"/>
      <c r="BI227" s="74" t="s">
        <v>1258</v>
      </c>
      <c r="BJ227" s="73">
        <f t="shared" ref="BJ227" ca="1" si="1315">COUNTIF($M$226:$M$229,BI227)*$D$27</f>
        <v>0</v>
      </c>
      <c r="BK227" s="64"/>
      <c r="BL227" s="74" t="s">
        <v>76</v>
      </c>
      <c r="BM227" s="73">
        <f t="shared" ref="BM227" ca="1" si="1316">COUNTIF($M$226:$M$229,BL227)*$D$27</f>
        <v>0</v>
      </c>
      <c r="BN227" s="64"/>
      <c r="BO227" s="74" t="s">
        <v>76</v>
      </c>
      <c r="BP227" s="73">
        <f t="shared" ref="BP227" ca="1" si="1317">COUNTIF($M$226:$M$229,BO227)*$D$27</f>
        <v>0</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0</v>
      </c>
      <c r="BZ227" s="64"/>
      <c r="CA227" s="74" t="s">
        <v>76</v>
      </c>
      <c r="CB227" s="73">
        <f t="shared" ref="CB227" ca="1" si="1321">COUNTIF($M$226:$M$229,CA227)*$D$27</f>
        <v>0</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0</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0</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0</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0</v>
      </c>
      <c r="EH227" s="64"/>
      <c r="EI227" s="74" t="s">
        <v>76</v>
      </c>
      <c r="EJ227" s="73">
        <f t="shared" ref="EJ227" ca="1" si="1341">COUNTIF($M$226:$M$229,EI227)*$D$27</f>
        <v>0</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x14ac:dyDescent="0.2">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 ca="1">WORLDCUP!AF138</f>
        <v>W98</v>
      </c>
      <c r="N228" s="25"/>
      <c r="O228" s="25"/>
      <c r="P228" s="25"/>
      <c r="Q228" s="25"/>
      <c r="R228" s="110"/>
      <c r="S228" s="74" t="s">
        <v>38</v>
      </c>
      <c r="T228" s="73">
        <f ca="1">COUNTIF($M$226:$M$229,S228)*$D$27</f>
        <v>0</v>
      </c>
      <c r="U228" s="64"/>
      <c r="V228" s="74" t="s">
        <v>38</v>
      </c>
      <c r="W228" s="73">
        <f t="shared" ref="W228" ca="1" si="1351">COUNTIF($M$226:$M$229,V228)*$D$27</f>
        <v>0</v>
      </c>
      <c r="X228" s="64"/>
      <c r="Y228" s="74" t="s">
        <v>38</v>
      </c>
      <c r="Z228" s="73">
        <f t="shared" ref="Z228" ca="1" si="1352">COUNTIF($M$226:$M$229,Y228)*$D$27</f>
        <v>0</v>
      </c>
      <c r="AA228" s="64"/>
      <c r="AB228" s="74" t="s">
        <v>38</v>
      </c>
      <c r="AC228" s="73">
        <f t="shared" ref="AC228" ca="1" si="1353">COUNTIF($M$226:$M$229,AB228)*$D$27</f>
        <v>0</v>
      </c>
      <c r="AD228" s="64"/>
      <c r="AE228" s="74" t="s">
        <v>38</v>
      </c>
      <c r="AF228" s="73">
        <f t="shared" ref="AF228" ca="1" si="1354">COUNTIF($M$226:$M$229,AE228)*$D$27</f>
        <v>0</v>
      </c>
      <c r="AG228" s="64"/>
      <c r="AH228" s="74" t="s">
        <v>38</v>
      </c>
      <c r="AI228" s="73">
        <f t="shared" ref="AI228" ca="1" si="1355">COUNTIF($M$226:$M$229,AH228)*$D$27</f>
        <v>0</v>
      </c>
      <c r="AJ228" s="64"/>
      <c r="AK228" s="74" t="s">
        <v>38</v>
      </c>
      <c r="AL228" s="73">
        <f t="shared" ref="AL228" ca="1" si="1356">COUNTIF($M$226:$M$229,AK228)*$D$27</f>
        <v>0</v>
      </c>
      <c r="AM228" s="64"/>
      <c r="AN228" s="74" t="s">
        <v>1320</v>
      </c>
      <c r="AO228" s="73">
        <f t="shared" ref="AO228" ca="1" si="1357">COUNTIF($M$226:$M$229,AN228)*$D$27</f>
        <v>0</v>
      </c>
      <c r="AP228" s="64"/>
      <c r="AQ228" s="74" t="s">
        <v>38</v>
      </c>
      <c r="AR228" s="73">
        <f t="shared" ref="AR228" ca="1" si="1358">COUNTIF($M$226:$M$229,AQ228)*$D$27</f>
        <v>0</v>
      </c>
      <c r="AS228" s="64"/>
      <c r="AT228" s="74" t="s">
        <v>38</v>
      </c>
      <c r="AU228" s="73">
        <f t="shared" ref="AU228" ca="1" si="1359">COUNTIF($M$226:$M$229,AT228)*$D$27</f>
        <v>0</v>
      </c>
      <c r="AV228" s="64"/>
      <c r="AW228" s="74" t="s">
        <v>38</v>
      </c>
      <c r="AX228" s="73">
        <f t="shared" ref="AX228" ca="1" si="1360">COUNTIF($M$226:$M$229,AW228)*$D$27</f>
        <v>0</v>
      </c>
      <c r="AY228" s="64"/>
      <c r="AZ228" s="74" t="s">
        <v>38</v>
      </c>
      <c r="BA228" s="73">
        <f t="shared" ref="BA228" ca="1" si="1361">COUNTIF($M$226:$M$229,AZ228)*$D$27</f>
        <v>0</v>
      </c>
      <c r="BB228" s="64"/>
      <c r="BC228" s="74" t="s">
        <v>38</v>
      </c>
      <c r="BD228" s="73">
        <f t="shared" ref="BD228" ca="1" si="1362">COUNTIF($M$226:$M$229,BC228)*$D$27</f>
        <v>0</v>
      </c>
      <c r="BE228" s="64"/>
      <c r="BF228" s="74" t="s">
        <v>38</v>
      </c>
      <c r="BG228" s="73">
        <f t="shared" ref="BG228" ca="1" si="1363">COUNTIF($M$226:$M$229,BF228)*$D$27</f>
        <v>0</v>
      </c>
      <c r="BH228" s="64"/>
      <c r="BI228" s="74" t="s">
        <v>38</v>
      </c>
      <c r="BJ228" s="73">
        <f t="shared" ref="BJ228" ca="1" si="1364">COUNTIF($M$226:$M$229,BI228)*$D$27</f>
        <v>0</v>
      </c>
      <c r="BK228" s="64"/>
      <c r="BL228" s="74" t="s">
        <v>38</v>
      </c>
      <c r="BM228" s="73">
        <f t="shared" ref="BM228" ca="1" si="1365">COUNTIF($M$226:$M$229,BL228)*$D$27</f>
        <v>0</v>
      </c>
      <c r="BN228" s="64"/>
      <c r="BO228" s="74" t="s">
        <v>38</v>
      </c>
      <c r="BP228" s="73">
        <f t="shared" ref="BP228" ca="1" si="1366">COUNTIF($M$226:$M$229,BO228)*$D$27</f>
        <v>0</v>
      </c>
      <c r="BQ228" s="64"/>
      <c r="BR228" s="74" t="s">
        <v>38</v>
      </c>
      <c r="BS228" s="73">
        <f t="shared" ref="BS228" ca="1" si="1367">COUNTIF($M$226:$M$229,BR228)*$D$27</f>
        <v>0</v>
      </c>
      <c r="BT228" s="64"/>
      <c r="BU228" s="74" t="s">
        <v>38</v>
      </c>
      <c r="BV228" s="73">
        <f t="shared" ref="BV228" ca="1" si="1368">COUNTIF($M$226:$M$229,BU228)*$D$27</f>
        <v>0</v>
      </c>
      <c r="BW228" s="64"/>
      <c r="BX228" s="74" t="s">
        <v>38</v>
      </c>
      <c r="BY228" s="73">
        <f t="shared" ref="BY228" ca="1" si="1369">COUNTIF($M$226:$M$229,BX228)*$D$27</f>
        <v>0</v>
      </c>
      <c r="BZ228" s="64"/>
      <c r="CA228" s="74" t="s">
        <v>38</v>
      </c>
      <c r="CB228" s="73">
        <f t="shared" ref="CB228" ca="1" si="1370">COUNTIF($M$226:$M$229,CA228)*$D$27</f>
        <v>0</v>
      </c>
      <c r="CC228" s="64"/>
      <c r="CD228" s="74" t="s">
        <v>38</v>
      </c>
      <c r="CE228" s="73">
        <f t="shared" ref="CE228" ca="1" si="1371">COUNTIF($M$226:$M$229,CD228)*$D$27</f>
        <v>0</v>
      </c>
      <c r="CF228" s="64"/>
      <c r="CG228" s="74" t="s">
        <v>38</v>
      </c>
      <c r="CH228" s="73">
        <f t="shared" ref="CH228" ca="1" si="1372">COUNTIF($M$226:$M$229,CG228)*$D$27</f>
        <v>0</v>
      </c>
      <c r="CI228" s="64"/>
      <c r="CJ228" s="74" t="s">
        <v>38</v>
      </c>
      <c r="CK228" s="73">
        <f t="shared" ref="CK228" ca="1" si="1373">COUNTIF($M$226:$M$229,CJ228)*$D$27</f>
        <v>0</v>
      </c>
      <c r="CL228" s="64"/>
      <c r="CM228" s="74" t="s">
        <v>38</v>
      </c>
      <c r="CN228" s="73">
        <f t="shared" ref="CN228" ca="1" si="1374">COUNTIF($M$226:$M$229,CM228)*$D$27</f>
        <v>0</v>
      </c>
      <c r="CO228" s="64"/>
      <c r="CP228" s="74" t="s">
        <v>38</v>
      </c>
      <c r="CQ228" s="73">
        <f t="shared" ref="CQ228" ca="1" si="1375">COUNTIF($M$226:$M$229,CP228)*$D$27</f>
        <v>0</v>
      </c>
      <c r="CR228" s="64"/>
      <c r="CS228" s="74" t="s">
        <v>38</v>
      </c>
      <c r="CT228" s="73">
        <f t="shared" ref="CT228" ca="1" si="1376">COUNTIF($M$226:$M$229,CS228)*$D$27</f>
        <v>0</v>
      </c>
      <c r="CU228" s="64"/>
      <c r="CV228" s="74" t="s">
        <v>38</v>
      </c>
      <c r="CW228" s="73">
        <f t="shared" ref="CW228" ca="1" si="1377">COUNTIF($M$226:$M$229,CV228)*$D$27</f>
        <v>0</v>
      </c>
      <c r="CX228" s="64"/>
      <c r="CY228" s="74" t="s">
        <v>38</v>
      </c>
      <c r="CZ228" s="73">
        <f t="shared" ref="CZ228" ca="1" si="1378">COUNTIF($M$226:$M$229,CY228)*$D$27</f>
        <v>0</v>
      </c>
      <c r="DA228" s="64"/>
      <c r="DB228" s="74" t="s">
        <v>38</v>
      </c>
      <c r="DC228" s="73">
        <f t="shared" ref="DC228" ca="1" si="1379">COUNTIF($M$226:$M$229,DB228)*$D$27</f>
        <v>0</v>
      </c>
      <c r="DD228" s="64"/>
      <c r="DE228" s="74" t="s">
        <v>1835</v>
      </c>
      <c r="DF228" s="73">
        <f t="shared" ref="DF228" ca="1" si="1380">COUNTIF($M$226:$M$229,DE228)*$D$27</f>
        <v>0</v>
      </c>
      <c r="DG228" s="64"/>
      <c r="DH228" s="74" t="s">
        <v>38</v>
      </c>
      <c r="DI228" s="73">
        <f t="shared" ref="DI228" ca="1" si="1381">COUNTIF($M$226:$M$229,DH228)*$D$27</f>
        <v>0</v>
      </c>
      <c r="DJ228" s="64"/>
      <c r="DK228" s="74" t="s">
        <v>38</v>
      </c>
      <c r="DL228" s="73">
        <f t="shared" ref="DL228" ca="1" si="1382">COUNTIF($M$226:$M$229,DK228)*$D$27</f>
        <v>0</v>
      </c>
      <c r="DM228" s="64"/>
      <c r="DN228" s="795" t="s">
        <v>38</v>
      </c>
      <c r="DO228" s="73">
        <f t="shared" ref="DO228" ca="1" si="1383">COUNTIF($M$226:$M$229,DN228)*$D$27</f>
        <v>0</v>
      </c>
      <c r="DP228" s="64"/>
      <c r="DQ228" s="795" t="s">
        <v>76</v>
      </c>
      <c r="DR228" s="73">
        <f t="shared" ref="DR228" ca="1" si="1384">COUNTIF($M$226:$M$229,DQ228)*$D$27</f>
        <v>0</v>
      </c>
      <c r="DS228" s="64"/>
      <c r="DT228" s="74" t="s">
        <v>38</v>
      </c>
      <c r="DU228" s="73">
        <f t="shared" ref="DU228" ca="1" si="1385">COUNTIF($M$226:$M$229,DT228)*$D$27</f>
        <v>0</v>
      </c>
      <c r="DV228" s="64"/>
      <c r="DW228" s="74" t="s">
        <v>38</v>
      </c>
      <c r="DX228" s="73">
        <f t="shared" ref="DX228" ca="1" si="1386">COUNTIF($M$226:$M$229,DW228)*$D$27</f>
        <v>0</v>
      </c>
      <c r="DY228" s="64"/>
      <c r="DZ228" s="74" t="s">
        <v>38</v>
      </c>
      <c r="EA228" s="73">
        <f t="shared" ref="EA228" ca="1" si="1387">COUNTIF($M$226:$M$229,DZ228)*$D$27</f>
        <v>0</v>
      </c>
      <c r="EB228" s="64"/>
      <c r="EC228" s="74" t="s">
        <v>38</v>
      </c>
      <c r="ED228" s="73">
        <f t="shared" ref="ED228" ca="1" si="1388">COUNTIF($M$226:$M$229,EC228)*$D$27</f>
        <v>0</v>
      </c>
      <c r="EE228" s="64"/>
      <c r="EF228" s="74" t="s">
        <v>38</v>
      </c>
      <c r="EG228" s="73">
        <f t="shared" ref="EG228" ca="1" si="1389">COUNTIF($M$226:$M$229,EF228)*$D$27</f>
        <v>0</v>
      </c>
      <c r="EH228" s="64"/>
      <c r="EI228" s="74" t="s">
        <v>38</v>
      </c>
      <c r="EJ228" s="73">
        <f t="shared" ref="EJ228" ca="1" si="1390">COUNTIF($M$226:$M$229,EI228)*$D$27</f>
        <v>0</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x14ac:dyDescent="0.2">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 ca="1">WORLDCUP!AF139</f>
        <v>W100</v>
      </c>
      <c r="N229" s="25"/>
      <c r="O229" s="25"/>
      <c r="P229" s="25"/>
      <c r="Q229" s="25"/>
      <c r="R229" s="110"/>
      <c r="S229" s="80" t="s">
        <v>1256</v>
      </c>
      <c r="T229" s="81">
        <f ca="1">COUNTIF($M$226:$M$229,S229)*$D$27</f>
        <v>0</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0</v>
      </c>
      <c r="AD229" s="64"/>
      <c r="AE229" s="80" t="s">
        <v>1256</v>
      </c>
      <c r="AF229" s="81">
        <f t="shared" ref="AF229" ca="1" si="1403">COUNTIF($M$226:$M$229,AE229)*$D$27</f>
        <v>0</v>
      </c>
      <c r="AG229" s="64"/>
      <c r="AH229" s="80" t="s">
        <v>1256</v>
      </c>
      <c r="AI229" s="81">
        <f t="shared" ref="AI229" ca="1" si="1404">COUNTIF($M$226:$M$229,AH229)*$D$27</f>
        <v>0</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0</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0</v>
      </c>
      <c r="BH229" s="64"/>
      <c r="BI229" s="80" t="s">
        <v>79</v>
      </c>
      <c r="BJ229" s="81">
        <f t="shared" ref="BJ229" ca="1" si="1413">COUNTIF($M$226:$M$229,BI229)*$D$27</f>
        <v>0</v>
      </c>
      <c r="BK229" s="64"/>
      <c r="BL229" s="80" t="s">
        <v>1256</v>
      </c>
      <c r="BM229" s="81">
        <f t="shared" ref="BM229" ca="1" si="1414">COUNTIF($M$226:$M$229,BL229)*$D$27</f>
        <v>0</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0</v>
      </c>
      <c r="CC229" s="64"/>
      <c r="CD229" s="80" t="s">
        <v>79</v>
      </c>
      <c r="CE229" s="81">
        <f t="shared" ref="CE229" ca="1" si="1420">COUNTIF($M$226:$M$229,CD229)*$D$27</f>
        <v>0</v>
      </c>
      <c r="CF229" s="64"/>
      <c r="CG229" s="80" t="s">
        <v>1256</v>
      </c>
      <c r="CH229" s="81">
        <f t="shared" ref="CH229" ca="1" si="1421">COUNTIF($M$226:$M$229,CG229)*$D$27</f>
        <v>0</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0</v>
      </c>
      <c r="CU229" s="64"/>
      <c r="CV229" s="80" t="s">
        <v>79</v>
      </c>
      <c r="CW229" s="81">
        <f t="shared" ref="CW229" ca="1" si="1426">COUNTIF($M$226:$M$229,CV229)*$D$27</f>
        <v>0</v>
      </c>
      <c r="CX229" s="64"/>
      <c r="CY229" s="80" t="s">
        <v>1256</v>
      </c>
      <c r="CZ229" s="81">
        <f t="shared" ref="CZ229" ca="1" si="1427">COUNTIF($M$226:$M$229,CY229)*$D$27</f>
        <v>0</v>
      </c>
      <c r="DA229" s="64"/>
      <c r="DB229" s="80" t="s">
        <v>1256</v>
      </c>
      <c r="DC229" s="81">
        <f t="shared" ref="DC229" ca="1" si="1428">COUNTIF($M$226:$M$229,DB229)*$D$27</f>
        <v>0</v>
      </c>
      <c r="DD229" s="64"/>
      <c r="DE229" s="80" t="s">
        <v>1256</v>
      </c>
      <c r="DF229" s="81">
        <f t="shared" ref="DF229" ca="1" si="1429">COUNTIF($M$226:$M$229,DE229)*$D$27</f>
        <v>0</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0</v>
      </c>
      <c r="EB229" s="64"/>
      <c r="EC229" s="80" t="s">
        <v>79</v>
      </c>
      <c r="ED229" s="81">
        <f t="shared" ref="ED229" ca="1" si="1437">COUNTIF($M$226:$M$229,EC229)*$D$27</f>
        <v>0</v>
      </c>
      <c r="EE229" s="64"/>
      <c r="EF229" s="80" t="s">
        <v>1318</v>
      </c>
      <c r="EG229" s="81">
        <f t="shared" ref="EG229" ca="1" si="1438">COUNTIF($M$226:$M$229,EF229)*$D$27</f>
        <v>0</v>
      </c>
      <c r="EH229" s="64"/>
      <c r="EI229" s="80" t="s">
        <v>79</v>
      </c>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x14ac:dyDescent="0.2">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0</v>
      </c>
      <c r="U230" s="65"/>
      <c r="V230" s="84"/>
      <c r="W230" s="71">
        <f t="shared" ref="W230" ca="1" si="1449">SUM(W226:W229)</f>
        <v>0</v>
      </c>
      <c r="X230" s="65"/>
      <c r="Y230" s="84"/>
      <c r="Z230" s="71">
        <f t="shared" ref="Z230" ca="1" si="1450">SUM(Z226:Z229)</f>
        <v>0</v>
      </c>
      <c r="AA230" s="65"/>
      <c r="AB230" s="84"/>
      <c r="AC230" s="71">
        <f t="shared" ref="AC230" ca="1" si="1451">SUM(AC226:AC229)</f>
        <v>0</v>
      </c>
      <c r="AD230" s="65"/>
      <c r="AE230" s="84"/>
      <c r="AF230" s="71">
        <f t="shared" ref="AF230" ca="1" si="1452">SUM(AF226:AF229)</f>
        <v>0</v>
      </c>
      <c r="AG230" s="65"/>
      <c r="AH230" s="84"/>
      <c r="AI230" s="71">
        <f t="shared" ref="AI230" ca="1" si="1453">SUM(AI226:AI229)</f>
        <v>0</v>
      </c>
      <c r="AJ230" s="65"/>
      <c r="AK230" s="84"/>
      <c r="AL230" s="71">
        <f t="shared" ref="AL230" ca="1" si="1454">SUM(AL226:AL229)</f>
        <v>0</v>
      </c>
      <c r="AM230" s="65"/>
      <c r="AN230" s="84"/>
      <c r="AO230" s="71">
        <f t="shared" ref="AO230" ca="1" si="1455">SUM(AO226:AO229)</f>
        <v>0</v>
      </c>
      <c r="AP230" s="65"/>
      <c r="AQ230" s="84"/>
      <c r="AR230" s="71">
        <f t="shared" ref="AR230" ca="1" si="1456">SUM(AR226:AR229)</f>
        <v>0</v>
      </c>
      <c r="AS230" s="65"/>
      <c r="AT230" s="84"/>
      <c r="AU230" s="71">
        <f t="shared" ref="AU230" ca="1" si="1457">SUM(AU226:AU229)</f>
        <v>0</v>
      </c>
      <c r="AV230" s="65"/>
      <c r="AW230" s="84"/>
      <c r="AX230" s="71">
        <f t="shared" ref="AX230" ca="1" si="1458">SUM(AX226:AX229)</f>
        <v>0</v>
      </c>
      <c r="AY230" s="65"/>
      <c r="AZ230" s="84"/>
      <c r="BA230" s="71">
        <f t="shared" ref="BA230" ca="1" si="1459">SUM(BA226:BA229)</f>
        <v>0</v>
      </c>
      <c r="BB230" s="65"/>
      <c r="BC230" s="84"/>
      <c r="BD230" s="71">
        <f t="shared" ref="BD230" ca="1" si="1460">SUM(BD226:BD229)</f>
        <v>0</v>
      </c>
      <c r="BE230" s="65"/>
      <c r="BF230" s="84"/>
      <c r="BG230" s="71">
        <f t="shared" ref="BG230" ca="1" si="1461">SUM(BG226:BG229)</f>
        <v>0</v>
      </c>
      <c r="BH230" s="65"/>
      <c r="BI230" s="84"/>
      <c r="BJ230" s="71">
        <f t="shared" ref="BJ230" ca="1" si="1462">SUM(BJ226:BJ229)</f>
        <v>0</v>
      </c>
      <c r="BK230" s="65"/>
      <c r="BL230" s="84"/>
      <c r="BM230" s="71">
        <f t="shared" ref="BM230" ca="1" si="1463">SUM(BM226:BM229)</f>
        <v>0</v>
      </c>
      <c r="BN230" s="65"/>
      <c r="BO230" s="84"/>
      <c r="BP230" s="71">
        <f t="shared" ref="BP230" ca="1" si="1464">SUM(BP226:BP229)</f>
        <v>0</v>
      </c>
      <c r="BQ230" s="65"/>
      <c r="BR230" s="84"/>
      <c r="BS230" s="71">
        <f t="shared" ref="BS230" ca="1" si="1465">SUM(BS226:BS229)</f>
        <v>0</v>
      </c>
      <c r="BT230" s="65"/>
      <c r="BU230" s="84"/>
      <c r="BV230" s="71">
        <f t="shared" ref="BV230" ca="1" si="1466">SUM(BV226:BV229)</f>
        <v>0</v>
      </c>
      <c r="BW230" s="65"/>
      <c r="BX230" s="84"/>
      <c r="BY230" s="71">
        <f t="shared" ref="BY230" ca="1" si="1467">SUM(BY226:BY229)</f>
        <v>0</v>
      </c>
      <c r="BZ230" s="65"/>
      <c r="CA230" s="84"/>
      <c r="CB230" s="71">
        <f t="shared" ref="CB230" ca="1" si="1468">SUM(CB226:CB229)</f>
        <v>0</v>
      </c>
      <c r="CC230" s="65"/>
      <c r="CD230" s="84"/>
      <c r="CE230" s="71">
        <f t="shared" ref="CE230" ca="1" si="1469">SUM(CE226:CE229)</f>
        <v>0</v>
      </c>
      <c r="CF230" s="65"/>
      <c r="CG230" s="84"/>
      <c r="CH230" s="71">
        <f t="shared" ref="CH230" ca="1" si="1470">SUM(CH226:CH229)</f>
        <v>0</v>
      </c>
      <c r="CI230" s="65"/>
      <c r="CJ230" s="84"/>
      <c r="CK230" s="71">
        <f t="shared" ref="CK230" ca="1" si="1471">SUM(CK226:CK229)</f>
        <v>0</v>
      </c>
      <c r="CL230" s="65"/>
      <c r="CM230" s="84"/>
      <c r="CN230" s="71">
        <f t="shared" ref="CN230" ca="1" si="1472">SUM(CN226:CN229)</f>
        <v>0</v>
      </c>
      <c r="CO230" s="65"/>
      <c r="CP230" s="84"/>
      <c r="CQ230" s="71">
        <f t="shared" ref="CQ230" ca="1" si="1473">SUM(CQ226:CQ229)</f>
        <v>0</v>
      </c>
      <c r="CR230" s="65"/>
      <c r="CS230" s="84"/>
      <c r="CT230" s="71">
        <f t="shared" ref="CT230" ca="1" si="1474">SUM(CT226:CT229)</f>
        <v>0</v>
      </c>
      <c r="CU230" s="65"/>
      <c r="CV230" s="84"/>
      <c r="CW230" s="71">
        <f t="shared" ref="CW230" ca="1" si="1475">SUM(CW226:CW229)</f>
        <v>0</v>
      </c>
      <c r="CX230" s="65"/>
      <c r="CY230" s="84"/>
      <c r="CZ230" s="71">
        <f t="shared" ref="CZ230" ca="1" si="1476">SUM(CZ226:CZ229)</f>
        <v>0</v>
      </c>
      <c r="DA230" s="65"/>
      <c r="DB230" s="84"/>
      <c r="DC230" s="71">
        <f t="shared" ref="DC230" ca="1" si="1477">SUM(DC226:DC229)</f>
        <v>0</v>
      </c>
      <c r="DD230" s="65"/>
      <c r="DE230" s="84"/>
      <c r="DF230" s="71">
        <f t="shared" ref="DF230" ca="1" si="1478">SUM(DF226:DF229)</f>
        <v>0</v>
      </c>
      <c r="DG230" s="65"/>
      <c r="DH230" s="84"/>
      <c r="DI230" s="71">
        <f t="shared" ref="DI230" ca="1" si="1479">SUM(DI226:DI229)</f>
        <v>0</v>
      </c>
      <c r="DJ230" s="65"/>
      <c r="DK230" s="84"/>
      <c r="DL230" s="71">
        <f t="shared" ref="DL230" ca="1" si="1480">SUM(DL226:DL229)</f>
        <v>0</v>
      </c>
      <c r="DM230" s="65"/>
      <c r="DN230" s="796"/>
      <c r="DO230" s="71">
        <f t="shared" ref="DO230" ca="1" si="1481">SUM(DO226:DO229)</f>
        <v>0</v>
      </c>
      <c r="DP230" s="65"/>
      <c r="DQ230" s="796"/>
      <c r="DR230" s="71">
        <f t="shared" ref="DR230" ca="1" si="1482">SUM(DR226:DR229)</f>
        <v>0</v>
      </c>
      <c r="DS230" s="65"/>
      <c r="DT230" s="84"/>
      <c r="DU230" s="71">
        <f t="shared" ref="DU230" ca="1" si="1483">SUM(DU226:DU229)</f>
        <v>0</v>
      </c>
      <c r="DV230" s="65"/>
      <c r="DW230" s="84"/>
      <c r="DX230" s="71">
        <f t="shared" ref="DX230" ca="1" si="1484">SUM(DX226:DX229)</f>
        <v>0</v>
      </c>
      <c r="DY230" s="65"/>
      <c r="DZ230" s="84"/>
      <c r="EA230" s="71">
        <f t="shared" ref="EA230" ca="1" si="1485">SUM(EA226:EA229)</f>
        <v>0</v>
      </c>
      <c r="EB230" s="65"/>
      <c r="EC230" s="84"/>
      <c r="ED230" s="71">
        <f t="shared" ref="ED230" ca="1" si="1486">SUM(ED226:ED229)</f>
        <v>0</v>
      </c>
      <c r="EE230" s="65"/>
      <c r="EF230" s="84"/>
      <c r="EG230" s="71">
        <f t="shared" ref="EG230" ca="1" si="1487">SUM(EG226:EG229)</f>
        <v>0</v>
      </c>
      <c r="EH230" s="65"/>
      <c r="EI230" s="84"/>
      <c r="EJ230" s="71">
        <f t="shared" ref="EJ230" ca="1" si="1488">SUM(EJ226:EJ229)</f>
        <v>0</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x14ac:dyDescent="0.2">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x14ac:dyDescent="0.2">
      <c r="A232" s="25">
        <f>WORLDCUP!AD138</f>
        <v>0</v>
      </c>
      <c r="B232" s="25">
        <f>WORLDCUP!AC138</f>
        <v>0</v>
      </c>
      <c r="C232" s="25" t="str">
        <f ca="1">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 ca="1">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x14ac:dyDescent="0.2">
      <c r="A233" s="25">
        <f>WORLDCUP!AD139</f>
        <v>0</v>
      </c>
      <c r="B233" s="25">
        <f>WORLDCUP!AC139</f>
        <v>0</v>
      </c>
      <c r="C233" s="25" t="str">
        <f ca="1">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 ca="1">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x14ac:dyDescent="0.2">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0</v>
      </c>
      <c r="X234" s="49"/>
      <c r="Y234" s="84"/>
      <c r="Z234" s="71">
        <f t="shared" ref="Z234" ca="1" si="1598">SUM(Z232:Z233)</f>
        <v>0</v>
      </c>
      <c r="AA234" s="49"/>
      <c r="AB234" s="84"/>
      <c r="AC234" s="71">
        <f t="shared" ref="AC234" ca="1" si="1599">SUM(AC232:AC233)</f>
        <v>0</v>
      </c>
      <c r="AD234" s="111"/>
      <c r="AE234" s="84"/>
      <c r="AF234" s="71">
        <f t="shared" ref="AF234" ca="1" si="1600">SUM(AF232:AF233)</f>
        <v>0</v>
      </c>
      <c r="AG234" s="49"/>
      <c r="AH234" s="84"/>
      <c r="AI234" s="71">
        <f t="shared" ref="AI234" ca="1" si="1601">SUM(AI232:AI233)</f>
        <v>0</v>
      </c>
      <c r="AJ234" s="49"/>
      <c r="AK234" s="84"/>
      <c r="AL234" s="71">
        <f t="shared" ref="AL234" ca="1" si="1602">SUM(AL232:AL233)</f>
        <v>0</v>
      </c>
      <c r="AM234" s="49"/>
      <c r="AN234" s="84"/>
      <c r="AO234" s="71">
        <f t="shared" ref="AO234" ca="1" si="1603">SUM(AO232:AO233)</f>
        <v>0</v>
      </c>
      <c r="AP234" s="49"/>
      <c r="AQ234" s="84"/>
      <c r="AR234" s="71">
        <f t="shared" ref="AR234" ca="1" si="1604">SUM(AR232:AR233)</f>
        <v>0</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0</v>
      </c>
      <c r="BE234" s="49"/>
      <c r="BF234" s="84"/>
      <c r="BG234" s="71">
        <f t="shared" ref="BG234" ca="1" si="1609">SUM(BG232:BG233)</f>
        <v>0</v>
      </c>
      <c r="BH234" s="49"/>
      <c r="BI234" s="84"/>
      <c r="BJ234" s="71">
        <f t="shared" ref="BJ234" ca="1" si="1610">SUM(BJ232:BJ233)</f>
        <v>0</v>
      </c>
      <c r="BK234" s="49"/>
      <c r="BL234" s="84"/>
      <c r="BM234" s="71">
        <f t="shared" ref="BM234" ca="1" si="1611">SUM(BM232:BM233)</f>
        <v>0</v>
      </c>
      <c r="BN234" s="49"/>
      <c r="BO234" s="84"/>
      <c r="BP234" s="71">
        <f t="shared" ref="BP234" ca="1" si="1612">SUM(BP232:BP233)</f>
        <v>0</v>
      </c>
      <c r="BQ234" s="49"/>
      <c r="BR234" s="84"/>
      <c r="BS234" s="71">
        <f t="shared" ref="BS234" ca="1" si="1613">SUM(BS232:BS233)</f>
        <v>0</v>
      </c>
      <c r="BT234" s="49"/>
      <c r="BU234" s="84"/>
      <c r="BV234" s="71">
        <f t="shared" ref="BV234" ca="1" si="1614">SUM(BV232:BV233)</f>
        <v>0</v>
      </c>
      <c r="BW234" s="49"/>
      <c r="BX234" s="84"/>
      <c r="BY234" s="71">
        <f t="shared" ref="BY234" ca="1" si="1615">SUM(BY232:BY233)</f>
        <v>0</v>
      </c>
      <c r="BZ234" s="49"/>
      <c r="CA234" s="84"/>
      <c r="CB234" s="71">
        <f t="shared" ref="CB234" ca="1" si="1616">SUM(CB232:CB233)</f>
        <v>0</v>
      </c>
      <c r="CC234" s="49"/>
      <c r="CD234" s="84"/>
      <c r="CE234" s="71">
        <f t="shared" ref="CE234" ca="1" si="1617">SUM(CE232:CE233)</f>
        <v>0</v>
      </c>
      <c r="CF234" s="49"/>
      <c r="CG234" s="84"/>
      <c r="CH234" s="71">
        <f t="shared" ref="CH234" ca="1" si="1618">SUM(CH232:CH233)</f>
        <v>0</v>
      </c>
      <c r="CI234" s="49"/>
      <c r="CJ234" s="84"/>
      <c r="CK234" s="71">
        <f t="shared" ref="CK234" ca="1" si="1619">SUM(CK232:CK233)</f>
        <v>0</v>
      </c>
      <c r="CL234" s="49"/>
      <c r="CM234" s="84"/>
      <c r="CN234" s="71">
        <f t="shared" ref="CN234" ca="1" si="1620">SUM(CN232:CN233)</f>
        <v>0</v>
      </c>
      <c r="CO234" s="49"/>
      <c r="CP234" s="84"/>
      <c r="CQ234" s="71">
        <f t="shared" ref="CQ234" ca="1" si="1621">SUM(CQ232:CQ233)</f>
        <v>0</v>
      </c>
      <c r="CR234" s="49"/>
      <c r="CS234" s="84"/>
      <c r="CT234" s="71">
        <f t="shared" ref="CT234" ca="1" si="1622">SUM(CT232:CT233)</f>
        <v>0</v>
      </c>
      <c r="CU234" s="49"/>
      <c r="CV234" s="84"/>
      <c r="CW234" s="71">
        <f t="shared" ref="CW234" ca="1" si="1623">SUM(CW232:CW233)</f>
        <v>0</v>
      </c>
      <c r="CX234" s="49"/>
      <c r="CY234" s="84"/>
      <c r="CZ234" s="71">
        <f t="shared" ref="CZ234" ca="1" si="1624">SUM(CZ232:CZ233)</f>
        <v>0</v>
      </c>
      <c r="DA234" s="49"/>
      <c r="DB234" s="84"/>
      <c r="DC234" s="71">
        <f t="shared" ref="DC234" ca="1" si="1625">SUM(DC232:DC233)</f>
        <v>0</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0</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0</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x14ac:dyDescent="0.2">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x14ac:dyDescent="0.2">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 ca="1">WORLDCUP!AA143</f>
        <v>L101</v>
      </c>
      <c r="N236" s="25"/>
      <c r="O236" s="25"/>
      <c r="P236" s="25"/>
      <c r="Q236" s="25"/>
      <c r="R236" s="17"/>
      <c r="S236" s="76" t="s">
        <v>38</v>
      </c>
      <c r="T236" s="77">
        <f ca="1">COUNTIF($M$236:$M$237,S236)*$D$31</f>
        <v>0</v>
      </c>
      <c r="U236" s="110"/>
      <c r="V236" s="76" t="s">
        <v>74</v>
      </c>
      <c r="W236" s="77">
        <f t="shared" ref="W236" ca="1" si="1646">COUNTIF($M$236:$M$237,V236)*$D$31</f>
        <v>0</v>
      </c>
      <c r="X236" s="110"/>
      <c r="Y236" s="76" t="s">
        <v>74</v>
      </c>
      <c r="Z236" s="77">
        <f t="shared" ref="Z236" ca="1" si="1647">COUNTIF($M$236:$M$237,Y236)*$D$31</f>
        <v>0</v>
      </c>
      <c r="AA236" s="110"/>
      <c r="AB236" s="76" t="s">
        <v>38</v>
      </c>
      <c r="AC236" s="77">
        <f t="shared" ref="AC236" ca="1" si="1648">COUNTIF($M$236:$M$237,AB236)*$D$31</f>
        <v>0</v>
      </c>
      <c r="AD236" s="110"/>
      <c r="AE236" s="76" t="s">
        <v>38</v>
      </c>
      <c r="AF236" s="77">
        <f t="shared" ref="AF236" ca="1" si="1649">COUNTIF($M$236:$M$237,AE236)*$D$31</f>
        <v>0</v>
      </c>
      <c r="AG236" s="110"/>
      <c r="AH236" s="76" t="s">
        <v>74</v>
      </c>
      <c r="AI236" s="77">
        <f t="shared" ref="AI236" ca="1" si="1650">COUNTIF($M$236:$M$237,AH236)*$D$31</f>
        <v>0</v>
      </c>
      <c r="AJ236" s="110"/>
      <c r="AK236" s="76" t="s">
        <v>111</v>
      </c>
      <c r="AL236" s="77">
        <f t="shared" ref="AL236" ca="1" si="1651">COUNTIF($M$236:$M$237,AK236)*$D$31</f>
        <v>0</v>
      </c>
      <c r="AM236" s="110"/>
      <c r="AN236" s="76" t="s">
        <v>1320</v>
      </c>
      <c r="AO236" s="77">
        <f t="shared" ref="AO236" ca="1" si="1652">COUNTIF($M$236:$M$237,AN236)*$D$31</f>
        <v>0</v>
      </c>
      <c r="AP236" s="110"/>
      <c r="AQ236" s="76" t="s">
        <v>74</v>
      </c>
      <c r="AR236" s="77">
        <f t="shared" ref="AR236" ca="1" si="1653">COUNTIF($M$236:$M$237,AQ236)*$D$31</f>
        <v>0</v>
      </c>
      <c r="AS236" s="110"/>
      <c r="AT236" s="76" t="s">
        <v>38</v>
      </c>
      <c r="AU236" s="77">
        <f t="shared" ref="AU236" ca="1" si="1654">COUNTIF($M$236:$M$237,AT236)*$D$31</f>
        <v>0</v>
      </c>
      <c r="AV236" s="110"/>
      <c r="AW236" s="76" t="s">
        <v>38</v>
      </c>
      <c r="AX236" s="77">
        <f t="shared" ref="AX236" ca="1" si="1655">COUNTIF($M$236:$M$237,AW236)*$D$31</f>
        <v>0</v>
      </c>
      <c r="AY236" s="110"/>
      <c r="AZ236" s="76" t="s">
        <v>74</v>
      </c>
      <c r="BA236" s="77">
        <f t="shared" ref="BA236" ca="1" si="1656">COUNTIF($M$236:$M$237,AZ236)*$D$31</f>
        <v>0</v>
      </c>
      <c r="BB236" s="110"/>
      <c r="BC236" s="76" t="s">
        <v>74</v>
      </c>
      <c r="BD236" s="77">
        <f t="shared" ref="BD236" ca="1" si="1657">COUNTIF($M$236:$M$237,BC236)*$D$31</f>
        <v>0</v>
      </c>
      <c r="BE236" s="110"/>
      <c r="BF236" s="76" t="s">
        <v>74</v>
      </c>
      <c r="BG236" s="77">
        <f t="shared" ref="BG236" ca="1" si="1658">COUNTIF($M$236:$M$237,BF236)*$D$31</f>
        <v>0</v>
      </c>
      <c r="BH236" s="110"/>
      <c r="BI236" s="76" t="s">
        <v>74</v>
      </c>
      <c r="BJ236" s="77">
        <f t="shared" ref="BJ236" ca="1" si="1659">COUNTIF($M$236:$M$237,BI236)*$D$31</f>
        <v>0</v>
      </c>
      <c r="BK236" s="110"/>
      <c r="BL236" s="76" t="s">
        <v>74</v>
      </c>
      <c r="BM236" s="77">
        <f t="shared" ref="BM236" ca="1" si="1660">COUNTIF($M$236:$M$237,BL236)*$D$31</f>
        <v>0</v>
      </c>
      <c r="BN236" s="110"/>
      <c r="BO236" s="76" t="s">
        <v>74</v>
      </c>
      <c r="BP236" s="77">
        <f t="shared" ref="BP236" ca="1" si="1661">COUNTIF($M$236:$M$237,BO236)*$D$31</f>
        <v>0</v>
      </c>
      <c r="BQ236" s="110"/>
      <c r="BR236" s="76" t="s">
        <v>74</v>
      </c>
      <c r="BS236" s="77">
        <f t="shared" ref="BS236" ca="1" si="1662">COUNTIF($M$236:$M$237,BR236)*$D$31</f>
        <v>0</v>
      </c>
      <c r="BT236" s="110"/>
      <c r="BU236" s="76" t="s">
        <v>74</v>
      </c>
      <c r="BV236" s="77">
        <f t="shared" ref="BV236" ca="1" si="1663">COUNTIF($M$236:$M$237,BU236)*$D$31</f>
        <v>0</v>
      </c>
      <c r="BW236" s="110"/>
      <c r="BX236" s="76" t="s">
        <v>38</v>
      </c>
      <c r="BY236" s="77">
        <f t="shared" ref="BY236" ca="1" si="1664">COUNTIF($M$236:$M$237,BX236)*$D$31</f>
        <v>0</v>
      </c>
      <c r="BZ236" s="110"/>
      <c r="CA236" s="76" t="s">
        <v>77</v>
      </c>
      <c r="CB236" s="77">
        <f t="shared" ref="CB236" ca="1" si="1665">COUNTIF($M$236:$M$237,CA236)*$D$31</f>
        <v>0</v>
      </c>
      <c r="CC236" s="110"/>
      <c r="CD236" s="76" t="s">
        <v>38</v>
      </c>
      <c r="CE236" s="77">
        <f t="shared" ref="CE236" ca="1" si="1666">COUNTIF($M$236:$M$237,CD236)*$D$31</f>
        <v>0</v>
      </c>
      <c r="CF236" s="110"/>
      <c r="CG236" s="76" t="s">
        <v>74</v>
      </c>
      <c r="CH236" s="77">
        <f t="shared" ref="CH236" ca="1" si="1667">COUNTIF($M$236:$M$237,CG236)*$D$31</f>
        <v>0</v>
      </c>
      <c r="CI236" s="110"/>
      <c r="CJ236" s="76" t="s">
        <v>74</v>
      </c>
      <c r="CK236" s="77">
        <f t="shared" ref="CK236" ca="1" si="1668">COUNTIF($M$236:$M$237,CJ236)*$D$31</f>
        <v>0</v>
      </c>
      <c r="CL236" s="110"/>
      <c r="CM236" s="76" t="s">
        <v>74</v>
      </c>
      <c r="CN236" s="77">
        <f t="shared" ref="CN236" ca="1" si="1669">COUNTIF($M$236:$M$237,CM236)*$D$31</f>
        <v>0</v>
      </c>
      <c r="CO236" s="110"/>
      <c r="CP236" s="76" t="s">
        <v>74</v>
      </c>
      <c r="CQ236" s="77">
        <f t="shared" ref="CQ236" ca="1" si="1670">COUNTIF($M$236:$M$237,CP236)*$D$31</f>
        <v>0</v>
      </c>
      <c r="CR236" s="110"/>
      <c r="CS236" s="76" t="s">
        <v>74</v>
      </c>
      <c r="CT236" s="77">
        <f t="shared" ref="CT236" ca="1" si="1671">COUNTIF($M$236:$M$237,CS236)*$D$31</f>
        <v>0</v>
      </c>
      <c r="CU236" s="110"/>
      <c r="CV236" s="76" t="s">
        <v>74</v>
      </c>
      <c r="CW236" s="77">
        <f t="shared" ref="CW236" ca="1" si="1672">COUNTIF($M$236:$M$237,CV236)*$D$31</f>
        <v>0</v>
      </c>
      <c r="CX236" s="110"/>
      <c r="CY236" s="76" t="s">
        <v>38</v>
      </c>
      <c r="CZ236" s="77">
        <f t="shared" ref="CZ236" ca="1" si="1673">COUNTIF($M$236:$M$237,CY236)*$D$31</f>
        <v>0</v>
      </c>
      <c r="DA236" s="110"/>
      <c r="DB236" s="76" t="s">
        <v>74</v>
      </c>
      <c r="DC236" s="77">
        <f t="shared" ref="DC236" ca="1" si="1674">COUNTIF($M$236:$M$237,DB236)*$D$31</f>
        <v>0</v>
      </c>
      <c r="DD236" s="110"/>
      <c r="DE236" s="76" t="s">
        <v>1835</v>
      </c>
      <c r="DF236" s="77">
        <f t="shared" ref="DF236" ca="1" si="1675">COUNTIF($M$236:$M$237,DE236)*$D$31</f>
        <v>0</v>
      </c>
      <c r="DG236" s="110"/>
      <c r="DH236" s="76" t="s">
        <v>38</v>
      </c>
      <c r="DI236" s="77">
        <f t="shared" ref="DI236" ca="1" si="1676">COUNTIF($M$236:$M$237,DH236)*$D$31</f>
        <v>0</v>
      </c>
      <c r="DJ236" s="110"/>
      <c r="DK236" s="76" t="s">
        <v>38</v>
      </c>
      <c r="DL236" s="77">
        <f t="shared" ref="DL236" ca="1" si="1677">COUNTIF($M$236:$M$237,DK236)*$D$31</f>
        <v>0</v>
      </c>
      <c r="DM236" s="110"/>
      <c r="DN236" s="795" t="s">
        <v>74</v>
      </c>
      <c r="DO236" s="77">
        <f t="shared" ref="DO236" ca="1" si="1678">COUNTIF($M$236:$M$237,DN236)*$D$31</f>
        <v>0</v>
      </c>
      <c r="DP236" s="110"/>
      <c r="DQ236" s="795" t="s">
        <v>76</v>
      </c>
      <c r="DR236" s="77">
        <f t="shared" ref="DR236" ca="1" si="1679">COUNTIF($M$236:$M$237,DQ236)*$D$31</f>
        <v>0</v>
      </c>
      <c r="DS236" s="110"/>
      <c r="DT236" s="76" t="s">
        <v>77</v>
      </c>
      <c r="DU236" s="77">
        <f t="shared" ref="DU236" ca="1" si="1680">COUNTIF($M$236:$M$237,DT236)*$D$31</f>
        <v>0</v>
      </c>
      <c r="DV236" s="110"/>
      <c r="DW236" s="76" t="s">
        <v>74</v>
      </c>
      <c r="DX236" s="77">
        <f t="shared" ref="DX236" ca="1" si="1681">COUNTIF($M$236:$M$237,DW236)*$D$31</f>
        <v>0</v>
      </c>
      <c r="DY236" s="110"/>
      <c r="DZ236" s="76" t="s">
        <v>77</v>
      </c>
      <c r="EA236" s="77">
        <f t="shared" ref="EA236" ca="1" si="1682">COUNTIF($M$236:$M$237,DZ236)*$D$31</f>
        <v>0</v>
      </c>
      <c r="EB236" s="110"/>
      <c r="EC236" s="76" t="s">
        <v>77</v>
      </c>
      <c r="ED236" s="77">
        <f t="shared" ref="ED236" ca="1" si="1683">COUNTIF($M$236:$M$237,EC236)*$D$31</f>
        <v>0</v>
      </c>
      <c r="EE236" s="110"/>
      <c r="EF236" s="76" t="s">
        <v>77</v>
      </c>
      <c r="EG236" s="77">
        <f t="shared" ref="EG236" ca="1" si="1684">COUNTIF($M$236:$M$237,EF236)*$D$31</f>
        <v>0</v>
      </c>
      <c r="EH236" s="110"/>
      <c r="EI236" s="76" t="s">
        <v>74</v>
      </c>
      <c r="EJ236" s="77">
        <f t="shared" ref="EJ236" ca="1" si="1685">COUNTIF($M$236:$M$237,EI236)*$D$31</f>
        <v>0</v>
      </c>
      <c r="EK236" s="110"/>
      <c r="EL236" s="76"/>
      <c r="EM236" s="77">
        <f t="shared" ref="EM236" ca="1" si="1686">COUNTIF($M$236:$M$237,EL236)*$D$31</f>
        <v>0</v>
      </c>
      <c r="EN236" s="110"/>
      <c r="EO236" s="76"/>
      <c r="EP236" s="77">
        <f t="shared" ref="EP236" ca="1" si="1687">COUNTIF($M$236:$M$237,EO236)*$D$31</f>
        <v>0</v>
      </c>
      <c r="EQ236" s="110"/>
      <c r="ER236" s="76"/>
      <c r="ES236" s="77">
        <f t="shared" ref="ES236" ca="1" si="1688">COUNTIF($M$236:$M$237,ER236)*$D$31</f>
        <v>0</v>
      </c>
      <c r="ET236" s="110"/>
      <c r="EU236" s="76"/>
      <c r="EV236" s="77">
        <f t="shared" ref="EV236" ca="1" si="1689">COUNTIF($M$236:$M$237,EU236)*$D$31</f>
        <v>0</v>
      </c>
      <c r="EW236" s="110"/>
      <c r="EX236" s="76"/>
      <c r="EY236" s="77">
        <f t="shared" ref="EY236" ca="1" si="1690">COUNTIF($M$236:$M$237,EX236)*$D$31</f>
        <v>0</v>
      </c>
      <c r="EZ236" s="110"/>
      <c r="FA236" s="76"/>
      <c r="FB236" s="77">
        <f t="shared" ref="FB236" ca="1" si="1691">COUNTIF($M$236:$M$237,FA236)*$D$31</f>
        <v>0</v>
      </c>
      <c r="FC236" s="110"/>
      <c r="FD236" s="76"/>
      <c r="FE236" s="77">
        <f t="shared" ref="FE236" ca="1" si="1692">COUNTIF($M$236:$M$237,FD236)*$D$31</f>
        <v>0</v>
      </c>
      <c r="FF236" s="110"/>
      <c r="FG236" s="76"/>
      <c r="FH236" s="77">
        <f t="shared" ref="FH236" ca="1" si="1693">COUNTIF($M$236:$M$237,FG236)*$D$31</f>
        <v>0</v>
      </c>
      <c r="FI236" s="110"/>
      <c r="FJ236" s="76"/>
      <c r="FK236" s="77">
        <f t="shared" ref="FK236" ca="1" si="1694">COUNTIF($M$236:$M$237,FJ236)*$D$31</f>
        <v>0</v>
      </c>
      <c r="FL236" s="110"/>
      <c r="FM236" s="110"/>
    </row>
    <row r="237" spans="1:169" x14ac:dyDescent="0.2">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 ca="1">WORLDCUP!AF143</f>
        <v>L102</v>
      </c>
      <c r="N237" s="25"/>
      <c r="O237" s="25"/>
      <c r="P237" s="25"/>
      <c r="Q237" s="25"/>
      <c r="R237" s="17"/>
      <c r="S237" s="80" t="s">
        <v>1256</v>
      </c>
      <c r="T237" s="81">
        <f ca="1">COUNTIF($M$236:$M$237,S237)*$D$31</f>
        <v>0</v>
      </c>
      <c r="U237" s="110"/>
      <c r="V237" s="80" t="s">
        <v>76</v>
      </c>
      <c r="W237" s="81">
        <f t="shared" ref="W237" ca="1" si="1695">COUNTIF($M$236:$M$237,V237)*$D$31</f>
        <v>0</v>
      </c>
      <c r="X237" s="110"/>
      <c r="Y237" s="80" t="s">
        <v>1258</v>
      </c>
      <c r="Z237" s="81">
        <f t="shared" ref="Z237" ca="1" si="1696">COUNTIF($M$236:$M$237,Y237)*$D$31</f>
        <v>0</v>
      </c>
      <c r="AA237" s="110"/>
      <c r="AB237" s="80" t="s">
        <v>1256</v>
      </c>
      <c r="AC237" s="81">
        <f t="shared" ref="AC237" ca="1" si="1697">COUNTIF($M$236:$M$237,AB237)*$D$31</f>
        <v>0</v>
      </c>
      <c r="AD237" s="110"/>
      <c r="AE237" s="80" t="s">
        <v>1256</v>
      </c>
      <c r="AF237" s="81">
        <f t="shared" ref="AF237" ca="1" si="1698">COUNTIF($M$236:$M$237,AE237)*$D$31</f>
        <v>0</v>
      </c>
      <c r="AG237" s="110"/>
      <c r="AH237" s="80" t="s">
        <v>1321</v>
      </c>
      <c r="AI237" s="81">
        <f t="shared" ref="AI237" ca="1" si="1699">COUNTIF($M$236:$M$237,AH237)*$D$31</f>
        <v>0</v>
      </c>
      <c r="AJ237" s="110"/>
      <c r="AK237" s="80" t="s">
        <v>76</v>
      </c>
      <c r="AL237" s="81">
        <f t="shared" ref="AL237" ca="1" si="1700">COUNTIF($M$236:$M$237,AK237)*$D$31</f>
        <v>0</v>
      </c>
      <c r="AM237" s="110"/>
      <c r="AN237" s="80" t="s">
        <v>76</v>
      </c>
      <c r="AO237" s="81">
        <f t="shared" ref="AO237" ca="1" si="1701">COUNTIF($M$236:$M$237,AN237)*$D$31</f>
        <v>0</v>
      </c>
      <c r="AP237" s="110"/>
      <c r="AQ237" s="80" t="s">
        <v>76</v>
      </c>
      <c r="AR237" s="81">
        <f t="shared" ref="AR237" ca="1" si="1702">COUNTIF($M$236:$M$237,AQ237)*$D$31</f>
        <v>0</v>
      </c>
      <c r="AS237" s="110"/>
      <c r="AT237" s="80" t="s">
        <v>76</v>
      </c>
      <c r="AU237" s="81">
        <f t="shared" ref="AU237" ca="1" si="1703">COUNTIF($M$236:$M$237,AT237)*$D$31</f>
        <v>0</v>
      </c>
      <c r="AV237" s="110"/>
      <c r="AW237" s="80" t="s">
        <v>1258</v>
      </c>
      <c r="AX237" s="81">
        <f t="shared" ref="AX237" ca="1" si="1704">COUNTIF($M$236:$M$237,AW237)*$D$31</f>
        <v>0</v>
      </c>
      <c r="AY237" s="110"/>
      <c r="AZ237" s="80" t="s">
        <v>1258</v>
      </c>
      <c r="BA237" s="81">
        <f t="shared" ref="BA237" ca="1" si="1705">COUNTIF($M$236:$M$237,AZ237)*$D$31</f>
        <v>0</v>
      </c>
      <c r="BB237" s="110"/>
      <c r="BC237" s="80" t="s">
        <v>79</v>
      </c>
      <c r="BD237" s="81">
        <f t="shared" ref="BD237" ca="1" si="1706">COUNTIF($M$236:$M$237,BC237)*$D$31</f>
        <v>0</v>
      </c>
      <c r="BE237" s="110"/>
      <c r="BF237" s="80" t="s">
        <v>76</v>
      </c>
      <c r="BG237" s="81">
        <f t="shared" ref="BG237" ca="1" si="1707">COUNTIF($M$236:$M$237,BF237)*$D$31</f>
        <v>0</v>
      </c>
      <c r="BH237" s="110"/>
      <c r="BI237" s="80" t="s">
        <v>79</v>
      </c>
      <c r="BJ237" s="81">
        <f t="shared" ref="BJ237" ca="1" si="1708">COUNTIF($M$236:$M$237,BI237)*$D$31</f>
        <v>0</v>
      </c>
      <c r="BK237" s="110"/>
      <c r="BL237" s="80" t="s">
        <v>76</v>
      </c>
      <c r="BM237" s="81">
        <f t="shared" ref="BM237" ca="1" si="1709">COUNTIF($M$236:$M$237,BL237)*$D$31</f>
        <v>0</v>
      </c>
      <c r="BN237" s="110"/>
      <c r="BO237" s="80" t="s">
        <v>76</v>
      </c>
      <c r="BP237" s="81">
        <f t="shared" ref="BP237" ca="1" si="1710">COUNTIF($M$236:$M$237,BO237)*$D$31</f>
        <v>0</v>
      </c>
      <c r="BQ237" s="110"/>
      <c r="BR237" s="80" t="s">
        <v>1258</v>
      </c>
      <c r="BS237" s="81">
        <f t="shared" ref="BS237" ca="1" si="1711">COUNTIF($M$236:$M$237,BR237)*$D$31</f>
        <v>0</v>
      </c>
      <c r="BT237" s="110"/>
      <c r="BU237" s="80" t="s">
        <v>1258</v>
      </c>
      <c r="BV237" s="81">
        <f t="shared" ref="BV237" ca="1" si="1712">COUNTIF($M$236:$M$237,BU237)*$D$31</f>
        <v>0</v>
      </c>
      <c r="BW237" s="110"/>
      <c r="BX237" s="80" t="s">
        <v>1320</v>
      </c>
      <c r="BY237" s="81">
        <f t="shared" ref="BY237" ca="1" si="1713">COUNTIF($M$236:$M$237,BX237)*$D$31</f>
        <v>0</v>
      </c>
      <c r="BZ237" s="110"/>
      <c r="CA237" s="80" t="s">
        <v>76</v>
      </c>
      <c r="CB237" s="81">
        <f t="shared" ref="CB237" ca="1" si="1714">COUNTIF($M$236:$M$237,CA237)*$D$31</f>
        <v>0</v>
      </c>
      <c r="CC237" s="110"/>
      <c r="CD237" s="80" t="s">
        <v>1258</v>
      </c>
      <c r="CE237" s="81">
        <f t="shared" ref="CE237" ca="1" si="1715">COUNTIF($M$236:$M$237,CD237)*$D$31</f>
        <v>0</v>
      </c>
      <c r="CF237" s="110"/>
      <c r="CG237" s="80" t="s">
        <v>1256</v>
      </c>
      <c r="CH237" s="81">
        <f t="shared" ref="CH237" ca="1" si="1716">COUNTIF($M$236:$M$237,CG237)*$D$31</f>
        <v>0</v>
      </c>
      <c r="CI237" s="110"/>
      <c r="CJ237" s="80" t="s">
        <v>76</v>
      </c>
      <c r="CK237" s="81">
        <f t="shared" ref="CK237" ca="1" si="1717">COUNTIF($M$236:$M$237,CJ237)*$D$31</f>
        <v>0</v>
      </c>
      <c r="CL237" s="110"/>
      <c r="CM237" s="80" t="s">
        <v>135</v>
      </c>
      <c r="CN237" s="81">
        <f t="shared" ref="CN237" ca="1" si="1718">COUNTIF($M$236:$M$237,CM237)*$D$31</f>
        <v>0</v>
      </c>
      <c r="CO237" s="110"/>
      <c r="CP237" s="80" t="s">
        <v>1258</v>
      </c>
      <c r="CQ237" s="81">
        <f t="shared" ref="CQ237" ca="1" si="1719">COUNTIF($M$236:$M$237,CP237)*$D$31</f>
        <v>0</v>
      </c>
      <c r="CR237" s="110"/>
      <c r="CS237" s="80" t="s">
        <v>1258</v>
      </c>
      <c r="CT237" s="81">
        <f t="shared" ref="CT237" ca="1" si="1720">COUNTIF($M$236:$M$237,CS237)*$D$31</f>
        <v>0</v>
      </c>
      <c r="CU237" s="110"/>
      <c r="CV237" s="80" t="s">
        <v>1258</v>
      </c>
      <c r="CW237" s="81">
        <f t="shared" ref="CW237" ca="1" si="1721">COUNTIF($M$236:$M$237,CV237)*$D$31</f>
        <v>0</v>
      </c>
      <c r="CX237" s="110"/>
      <c r="CY237" s="80" t="s">
        <v>1256</v>
      </c>
      <c r="CZ237" s="81">
        <f t="shared" ref="CZ237" ca="1" si="1722">COUNTIF($M$236:$M$237,CY237)*$D$31</f>
        <v>0</v>
      </c>
      <c r="DA237" s="110"/>
      <c r="DB237" s="80" t="s">
        <v>1258</v>
      </c>
      <c r="DC237" s="81">
        <f t="shared" ref="DC237" ca="1" si="1723">COUNTIF($M$236:$M$237,DB237)*$D$31</f>
        <v>0</v>
      </c>
      <c r="DD237" s="110"/>
      <c r="DE237" s="80" t="s">
        <v>1256</v>
      </c>
      <c r="DF237" s="81">
        <f t="shared" ref="DF237" ca="1" si="1724">COUNTIF($M$236:$M$237,DE237)*$D$31</f>
        <v>0</v>
      </c>
      <c r="DG237" s="110"/>
      <c r="DH237" s="80" t="s">
        <v>1258</v>
      </c>
      <c r="DI237" s="81">
        <f t="shared" ref="DI237" ca="1" si="1725">COUNTIF($M$236:$M$237,DH237)*$D$31</f>
        <v>0</v>
      </c>
      <c r="DJ237" s="110"/>
      <c r="DK237" s="80" t="s">
        <v>1261</v>
      </c>
      <c r="DL237" s="81">
        <f t="shared" ref="DL237" ca="1" si="1726">COUNTIF($M$236:$M$237,DK237)*$D$31</f>
        <v>0</v>
      </c>
      <c r="DM237" s="110"/>
      <c r="DN237" s="795" t="s">
        <v>1258</v>
      </c>
      <c r="DO237" s="81">
        <f t="shared" ref="DO237" ca="1" si="1727">COUNTIF($M$236:$M$237,DN237)*$D$31</f>
        <v>0</v>
      </c>
      <c r="DP237" s="110"/>
      <c r="DQ237" s="795" t="s">
        <v>111</v>
      </c>
      <c r="DR237" s="81">
        <f t="shared" ref="DR237" ca="1" si="1728">COUNTIF($M$236:$M$237,DQ237)*$D$31</f>
        <v>0</v>
      </c>
      <c r="DS237" s="110"/>
      <c r="DT237" s="80" t="s">
        <v>1320</v>
      </c>
      <c r="DU237" s="81">
        <f t="shared" ref="DU237" ca="1" si="1729">COUNTIF($M$236:$M$237,DT237)*$D$31</f>
        <v>0</v>
      </c>
      <c r="DV237" s="110"/>
      <c r="DW237" s="80" t="s">
        <v>76</v>
      </c>
      <c r="DX237" s="81">
        <f t="shared" ref="DX237" ca="1" si="1730">COUNTIF($M$236:$M$237,DW237)*$D$31</f>
        <v>0</v>
      </c>
      <c r="DY237" s="110"/>
      <c r="DZ237" s="80" t="s">
        <v>1258</v>
      </c>
      <c r="EA237" s="81">
        <f t="shared" ref="EA237" ca="1" si="1731">COUNTIF($M$236:$M$237,DZ237)*$D$31</f>
        <v>0</v>
      </c>
      <c r="EB237" s="110"/>
      <c r="EC237" s="80" t="s">
        <v>1258</v>
      </c>
      <c r="ED237" s="81">
        <f t="shared" ref="ED237" ca="1" si="1732">COUNTIF($M$236:$M$237,EC237)*$D$31</f>
        <v>0</v>
      </c>
      <c r="EE237" s="110"/>
      <c r="EF237" s="80" t="s">
        <v>1318</v>
      </c>
      <c r="EG237" s="81">
        <f t="shared" ref="EG237" ca="1" si="1733">COUNTIF($M$236:$M$237,EF237)*$D$31</f>
        <v>0</v>
      </c>
      <c r="EH237" s="110"/>
      <c r="EI237" s="80" t="s">
        <v>76</v>
      </c>
      <c r="EJ237" s="81">
        <f t="shared" ref="EJ237" ca="1" si="1734">COUNTIF($M$236:$M$237,EI237)*$D$31</f>
        <v>0</v>
      </c>
      <c r="EK237" s="110"/>
      <c r="EL237" s="80"/>
      <c r="EM237" s="81">
        <f t="shared" ref="EM237" ca="1" si="1735">COUNTIF($M$236:$M$237,EL237)*$D$31</f>
        <v>0</v>
      </c>
      <c r="EN237" s="110"/>
      <c r="EO237" s="80"/>
      <c r="EP237" s="81">
        <f t="shared" ref="EP237" ca="1" si="1736">COUNTIF($M$236:$M$237,EO237)*$D$31</f>
        <v>0</v>
      </c>
      <c r="EQ237" s="110"/>
      <c r="ER237" s="80"/>
      <c r="ES237" s="81">
        <f t="shared" ref="ES237" ca="1" si="1737">COUNTIF($M$236:$M$237,ER237)*$D$31</f>
        <v>0</v>
      </c>
      <c r="ET237" s="110"/>
      <c r="EU237" s="80"/>
      <c r="EV237" s="81">
        <f t="shared" ref="EV237" ca="1" si="1738">COUNTIF($M$236:$M$237,EU237)*$D$31</f>
        <v>0</v>
      </c>
      <c r="EW237" s="110"/>
      <c r="EX237" s="80"/>
      <c r="EY237" s="81">
        <f t="shared" ref="EY237" ca="1" si="1739">COUNTIF($M$236:$M$237,EX237)*$D$31</f>
        <v>0</v>
      </c>
      <c r="EZ237" s="110"/>
      <c r="FA237" s="80"/>
      <c r="FB237" s="81">
        <f t="shared" ref="FB237" ca="1" si="1740">COUNTIF($M$236:$M$237,FA237)*$D$31</f>
        <v>0</v>
      </c>
      <c r="FC237" s="110"/>
      <c r="FD237" s="80"/>
      <c r="FE237" s="81">
        <f t="shared" ref="FE237" ca="1" si="1741">COUNTIF($M$236:$M$237,FD237)*$D$31</f>
        <v>0</v>
      </c>
      <c r="FF237" s="110"/>
      <c r="FG237" s="80"/>
      <c r="FH237" s="81">
        <f t="shared" ref="FH237" ca="1" si="1742">COUNTIF($M$236:$M$237,FG237)*$D$31</f>
        <v>0</v>
      </c>
      <c r="FI237" s="110"/>
      <c r="FJ237" s="80"/>
      <c r="FK237" s="81">
        <f t="shared" ref="FK237" ca="1" si="1743">COUNTIF($M$236:$M$237,FJ237)*$D$31</f>
        <v>0</v>
      </c>
      <c r="FL237" s="110"/>
      <c r="FM237" s="110"/>
    </row>
    <row r="238" spans="1:169" x14ac:dyDescent="0.2">
      <c r="A238" s="25"/>
      <c r="B238" s="25"/>
      <c r="C238" s="25"/>
      <c r="D238" s="25"/>
      <c r="E238" s="25"/>
      <c r="F238" s="407"/>
      <c r="G238" s="407"/>
      <c r="H238" s="65"/>
      <c r="I238" s="50"/>
      <c r="J238" s="94"/>
      <c r="K238" s="434" t="str">
        <f>Idiomas!D465</f>
        <v>Equipos 3-4</v>
      </c>
      <c r="L238" s="435"/>
      <c r="M238" s="434" t="str">
        <f ca="1">"Max: "&amp;$D$31*COUNT(T236:T237)</f>
        <v>Max: 12</v>
      </c>
      <c r="N238" s="25"/>
      <c r="O238" s="25"/>
      <c r="P238" s="25"/>
      <c r="Q238" s="25"/>
      <c r="R238" s="17"/>
      <c r="S238" s="84"/>
      <c r="T238" s="71">
        <f ca="1">SUM(T236:T237)</f>
        <v>0</v>
      </c>
      <c r="U238" s="49"/>
      <c r="V238" s="84"/>
      <c r="W238" s="71">
        <f t="shared" ref="W238" ca="1" si="1744">SUM(W236:W237)</f>
        <v>0</v>
      </c>
      <c r="X238" s="49"/>
      <c r="Y238" s="84"/>
      <c r="Z238" s="71">
        <f t="shared" ref="Z238" ca="1" si="1745">SUM(Z236:Z237)</f>
        <v>0</v>
      </c>
      <c r="AA238" s="49"/>
      <c r="AB238" s="84"/>
      <c r="AC238" s="71">
        <f t="shared" ref="AC238" ca="1" si="1746">SUM(AC236:AC237)</f>
        <v>0</v>
      </c>
      <c r="AD238" s="49"/>
      <c r="AE238" s="84"/>
      <c r="AF238" s="71">
        <f t="shared" ref="AF238" ca="1" si="1747">SUM(AF236:AF237)</f>
        <v>0</v>
      </c>
      <c r="AG238" s="49"/>
      <c r="AH238" s="84"/>
      <c r="AI238" s="71">
        <f t="shared" ref="AI238" ca="1" si="1748">SUM(AI236:AI237)</f>
        <v>0</v>
      </c>
      <c r="AJ238" s="49"/>
      <c r="AK238" s="84"/>
      <c r="AL238" s="71">
        <f t="shared" ref="AL238" ca="1" si="1749">SUM(AL236:AL237)</f>
        <v>0</v>
      </c>
      <c r="AM238" s="49"/>
      <c r="AN238" s="84"/>
      <c r="AO238" s="71">
        <f t="shared" ref="AO238" ca="1" si="1750">SUM(AO236:AO237)</f>
        <v>0</v>
      </c>
      <c r="AP238" s="49"/>
      <c r="AQ238" s="84"/>
      <c r="AR238" s="71">
        <f t="shared" ref="AR238" ca="1" si="1751">SUM(AR236:AR237)</f>
        <v>0</v>
      </c>
      <c r="AS238" s="49"/>
      <c r="AT238" s="84"/>
      <c r="AU238" s="71">
        <f t="shared" ref="AU238" ca="1" si="1752">SUM(AU236:AU237)</f>
        <v>0</v>
      </c>
      <c r="AV238" s="49"/>
      <c r="AW238" s="84"/>
      <c r="AX238" s="71">
        <f t="shared" ref="AX238" ca="1" si="1753">SUM(AX236:AX237)</f>
        <v>0</v>
      </c>
      <c r="AY238" s="49"/>
      <c r="AZ238" s="84"/>
      <c r="BA238" s="71">
        <f t="shared" ref="BA238" ca="1" si="1754">SUM(BA236:BA237)</f>
        <v>0</v>
      </c>
      <c r="BB238" s="49"/>
      <c r="BC238" s="84"/>
      <c r="BD238" s="71">
        <f t="shared" ref="BD238" ca="1" si="1755">SUM(BD236:BD237)</f>
        <v>0</v>
      </c>
      <c r="BE238" s="49"/>
      <c r="BF238" s="84"/>
      <c r="BG238" s="71">
        <f t="shared" ref="BG238" ca="1" si="1756">SUM(BG236:BG237)</f>
        <v>0</v>
      </c>
      <c r="BH238" s="49"/>
      <c r="BI238" s="84"/>
      <c r="BJ238" s="71">
        <f t="shared" ref="BJ238" ca="1" si="1757">SUM(BJ236:BJ237)</f>
        <v>0</v>
      </c>
      <c r="BK238" s="49"/>
      <c r="BL238" s="84"/>
      <c r="BM238" s="71">
        <f t="shared" ref="BM238" ca="1" si="1758">SUM(BM236:BM237)</f>
        <v>0</v>
      </c>
      <c r="BN238" s="49"/>
      <c r="BO238" s="84"/>
      <c r="BP238" s="71">
        <f t="shared" ref="BP238" ca="1" si="1759">SUM(BP236:BP237)</f>
        <v>0</v>
      </c>
      <c r="BQ238" s="49"/>
      <c r="BR238" s="84"/>
      <c r="BS238" s="71">
        <f t="shared" ref="BS238" ca="1" si="1760">SUM(BS236:BS237)</f>
        <v>0</v>
      </c>
      <c r="BT238" s="49"/>
      <c r="BU238" s="84"/>
      <c r="BV238" s="71">
        <f t="shared" ref="BV238" ca="1" si="1761">SUM(BV236:BV237)</f>
        <v>0</v>
      </c>
      <c r="BW238" s="49"/>
      <c r="BX238" s="84"/>
      <c r="BY238" s="71">
        <f t="shared" ref="BY238" ca="1" si="1762">SUM(BY236:BY237)</f>
        <v>0</v>
      </c>
      <c r="BZ238" s="49"/>
      <c r="CA238" s="84"/>
      <c r="CB238" s="71">
        <f t="shared" ref="CB238" ca="1" si="1763">SUM(CB236:CB237)</f>
        <v>0</v>
      </c>
      <c r="CC238" s="49"/>
      <c r="CD238" s="84"/>
      <c r="CE238" s="71">
        <f t="shared" ref="CE238" ca="1" si="1764">SUM(CE236:CE237)</f>
        <v>0</v>
      </c>
      <c r="CF238" s="49"/>
      <c r="CG238" s="84"/>
      <c r="CH238" s="71">
        <f t="shared" ref="CH238" ca="1" si="1765">SUM(CH236:CH237)</f>
        <v>0</v>
      </c>
      <c r="CI238" s="49"/>
      <c r="CJ238" s="84"/>
      <c r="CK238" s="71">
        <f t="shared" ref="CK238" ca="1" si="1766">SUM(CK236:CK237)</f>
        <v>0</v>
      </c>
      <c r="CL238" s="49"/>
      <c r="CM238" s="84"/>
      <c r="CN238" s="71">
        <f t="shared" ref="CN238" ca="1" si="1767">SUM(CN236:CN237)</f>
        <v>0</v>
      </c>
      <c r="CO238" s="49"/>
      <c r="CP238" s="84"/>
      <c r="CQ238" s="71">
        <f t="shared" ref="CQ238" ca="1" si="1768">SUM(CQ236:CQ237)</f>
        <v>0</v>
      </c>
      <c r="CR238" s="49"/>
      <c r="CS238" s="84"/>
      <c r="CT238" s="71">
        <f t="shared" ref="CT238" ca="1" si="1769">SUM(CT236:CT237)</f>
        <v>0</v>
      </c>
      <c r="CU238" s="49"/>
      <c r="CV238" s="84"/>
      <c r="CW238" s="71">
        <f t="shared" ref="CW238" ca="1" si="1770">SUM(CW236:CW237)</f>
        <v>0</v>
      </c>
      <c r="CX238" s="49"/>
      <c r="CY238" s="84"/>
      <c r="CZ238" s="71">
        <f t="shared" ref="CZ238" ca="1" si="1771">SUM(CZ236:CZ237)</f>
        <v>0</v>
      </c>
      <c r="DA238" s="49"/>
      <c r="DB238" s="84"/>
      <c r="DC238" s="71">
        <f t="shared" ref="DC238" ca="1" si="1772">SUM(DC236:DC237)</f>
        <v>0</v>
      </c>
      <c r="DD238" s="49"/>
      <c r="DE238" s="84"/>
      <c r="DF238" s="71">
        <f t="shared" ref="DF238" ca="1" si="1773">SUM(DF236:DF237)</f>
        <v>0</v>
      </c>
      <c r="DG238" s="49"/>
      <c r="DH238" s="84"/>
      <c r="DI238" s="71">
        <f t="shared" ref="DI238" ca="1" si="1774">SUM(DI236:DI237)</f>
        <v>0</v>
      </c>
      <c r="DJ238" s="49"/>
      <c r="DK238" s="84"/>
      <c r="DL238" s="71">
        <f t="shared" ref="DL238" ca="1" si="1775">SUM(DL236:DL237)</f>
        <v>0</v>
      </c>
      <c r="DM238" s="49"/>
      <c r="DN238" s="796"/>
      <c r="DO238" s="71">
        <f t="shared" ref="DO238" ca="1" si="1776">SUM(DO236:DO237)</f>
        <v>0</v>
      </c>
      <c r="DP238" s="49"/>
      <c r="DQ238" s="796"/>
      <c r="DR238" s="71">
        <f t="shared" ref="DR238" ca="1" si="1777">SUM(DR236:DR237)</f>
        <v>0</v>
      </c>
      <c r="DS238" s="49"/>
      <c r="DT238" s="84"/>
      <c r="DU238" s="71">
        <f t="shared" ref="DU238" ca="1" si="1778">SUM(DU236:DU237)</f>
        <v>0</v>
      </c>
      <c r="DV238" s="49"/>
      <c r="DW238" s="84"/>
      <c r="DX238" s="71">
        <f t="shared" ref="DX238" ca="1" si="1779">SUM(DX236:DX237)</f>
        <v>0</v>
      </c>
      <c r="DY238" s="49"/>
      <c r="DZ238" s="84"/>
      <c r="EA238" s="71">
        <f t="shared" ref="EA238" ca="1" si="1780">SUM(EA236:EA237)</f>
        <v>0</v>
      </c>
      <c r="EB238" s="49"/>
      <c r="EC238" s="84"/>
      <c r="ED238" s="71">
        <f t="shared" ref="ED238" ca="1" si="1781">SUM(ED236:ED237)</f>
        <v>0</v>
      </c>
      <c r="EE238" s="49"/>
      <c r="EF238" s="84"/>
      <c r="EG238" s="71">
        <f t="shared" ref="EG238" ca="1" si="1782">SUM(EG236:EG237)</f>
        <v>0</v>
      </c>
      <c r="EH238" s="49"/>
      <c r="EI238" s="84"/>
      <c r="EJ238" s="71">
        <f t="shared" ref="EJ238" ca="1" si="1783">SUM(EJ236:EJ237)</f>
        <v>0</v>
      </c>
      <c r="EK238" s="49"/>
      <c r="EL238" s="84"/>
      <c r="EM238" s="71">
        <f t="shared" ref="EM238" ca="1" si="1784">SUM(EM236:EM237)</f>
        <v>0</v>
      </c>
      <c r="EN238" s="49"/>
      <c r="EO238" s="84"/>
      <c r="EP238" s="71">
        <f t="shared" ref="EP238" ca="1" si="1785">SUM(EP236:EP237)</f>
        <v>0</v>
      </c>
      <c r="EQ238" s="49"/>
      <c r="ER238" s="84"/>
      <c r="ES238" s="71">
        <f t="shared" ref="ES238" ca="1" si="1786">SUM(ES236:ES237)</f>
        <v>0</v>
      </c>
      <c r="ET238" s="49"/>
      <c r="EU238" s="84"/>
      <c r="EV238" s="71">
        <f t="shared" ref="EV238" ca="1" si="1787">SUM(EV236:EV237)</f>
        <v>0</v>
      </c>
      <c r="EW238" s="49"/>
      <c r="EX238" s="84"/>
      <c r="EY238" s="71">
        <f t="shared" ref="EY238" ca="1" si="1788">SUM(EY236:EY237)</f>
        <v>0</v>
      </c>
      <c r="EZ238" s="49"/>
      <c r="FA238" s="84"/>
      <c r="FB238" s="71">
        <f t="shared" ref="FB238" ca="1" si="1789">SUM(FB236:FB237)</f>
        <v>0</v>
      </c>
      <c r="FC238" s="49"/>
      <c r="FD238" s="84"/>
      <c r="FE238" s="71">
        <f t="shared" ref="FE238" ca="1" si="1790">SUM(FE236:FE237)</f>
        <v>0</v>
      </c>
      <c r="FF238" s="49"/>
      <c r="FG238" s="84"/>
      <c r="FH238" s="71">
        <f t="shared" ref="FH238" ca="1" si="1791">SUM(FH236:FH237)</f>
        <v>0</v>
      </c>
      <c r="FI238" s="49"/>
      <c r="FJ238" s="84"/>
      <c r="FK238" s="71">
        <f t="shared" ref="FK238" ca="1" si="1792">SUM(FK236:FK237)</f>
        <v>0</v>
      </c>
      <c r="FL238" s="49"/>
      <c r="FM238" s="49"/>
    </row>
    <row r="239" spans="1:169" x14ac:dyDescent="0.2">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x14ac:dyDescent="0.2">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 ca="1">WORLDCUP!AA147</f>
        <v>W101</v>
      </c>
      <c r="N240" s="25"/>
      <c r="O240" s="25"/>
      <c r="P240" s="25"/>
      <c r="Q240" s="25"/>
      <c r="R240" s="17"/>
      <c r="S240" s="76" t="s">
        <v>77</v>
      </c>
      <c r="T240" s="77">
        <f ca="1">COUNTIF($M$240:$M$241,S240)*$D$32</f>
        <v>0</v>
      </c>
      <c r="U240" s="110"/>
      <c r="V240" s="76" t="s">
        <v>38</v>
      </c>
      <c r="W240" s="77">
        <f t="shared" ref="W240" ca="1" si="1793">COUNTIF($M$240:$M$241,V240)*$D$32</f>
        <v>0</v>
      </c>
      <c r="X240" s="110"/>
      <c r="Y240" s="76" t="s">
        <v>38</v>
      </c>
      <c r="Z240" s="77">
        <f t="shared" ref="Z240" ca="1" si="1794">COUNTIF($M$240:$M$241,Y240)*$D$32</f>
        <v>0</v>
      </c>
      <c r="AA240" s="110"/>
      <c r="AB240" s="76" t="s">
        <v>74</v>
      </c>
      <c r="AC240" s="77">
        <f t="shared" ref="AC240" ca="1" si="1795">COUNTIF($M$240:$M$241,AB240)*$D$32</f>
        <v>0</v>
      </c>
      <c r="AD240" s="110"/>
      <c r="AE240" s="76" t="s">
        <v>74</v>
      </c>
      <c r="AF240" s="77">
        <f t="shared" ref="AF240" ca="1" si="1796">COUNTIF($M$240:$M$241,AE240)*$D$32</f>
        <v>0</v>
      </c>
      <c r="AG240" s="110"/>
      <c r="AH240" s="76" t="s">
        <v>38</v>
      </c>
      <c r="AI240" s="77">
        <f t="shared" ref="AI240" ca="1" si="1797">COUNTIF($M$240:$M$241,AH240)*$D$32</f>
        <v>0</v>
      </c>
      <c r="AJ240" s="110"/>
      <c r="AK240" s="76" t="s">
        <v>38</v>
      </c>
      <c r="AL240" s="77">
        <f t="shared" ref="AL240" ca="1" si="1798">COUNTIF($M$240:$M$241,AK240)*$D$32</f>
        <v>0</v>
      </c>
      <c r="AM240" s="110"/>
      <c r="AN240" s="76" t="s">
        <v>111</v>
      </c>
      <c r="AO240" s="77">
        <f t="shared" ref="AO240" ca="1" si="1799">COUNTIF($M$240:$M$241,AN240)*$D$32</f>
        <v>0</v>
      </c>
      <c r="AP240" s="110"/>
      <c r="AQ240" s="76" t="s">
        <v>38</v>
      </c>
      <c r="AR240" s="77">
        <f t="shared" ref="AR240" ca="1" si="1800">COUNTIF($M$240:$M$241,AQ240)*$D$32</f>
        <v>0</v>
      </c>
      <c r="AS240" s="110"/>
      <c r="AT240" s="76" t="s">
        <v>74</v>
      </c>
      <c r="AU240" s="77">
        <f t="shared" ref="AU240" ca="1" si="1801">COUNTIF($M$240:$M$241,AT240)*$D$32</f>
        <v>0</v>
      </c>
      <c r="AV240" s="110"/>
      <c r="AW240" s="76" t="s">
        <v>74</v>
      </c>
      <c r="AX240" s="77">
        <f t="shared" ref="AX240" ca="1" si="1802">COUNTIF($M$240:$M$241,AW240)*$D$32</f>
        <v>0</v>
      </c>
      <c r="AY240" s="110"/>
      <c r="AZ240" s="76" t="s">
        <v>38</v>
      </c>
      <c r="BA240" s="77">
        <f t="shared" ref="BA240" ca="1" si="1803">COUNTIF($M$240:$M$241,AZ240)*$D$32</f>
        <v>0</v>
      </c>
      <c r="BB240" s="110"/>
      <c r="BC240" s="76" t="s">
        <v>38</v>
      </c>
      <c r="BD240" s="77">
        <f t="shared" ref="BD240" ca="1" si="1804">COUNTIF($M$240:$M$241,BC240)*$D$32</f>
        <v>0</v>
      </c>
      <c r="BE240" s="110"/>
      <c r="BF240" s="76" t="s">
        <v>38</v>
      </c>
      <c r="BG240" s="77">
        <f t="shared" ref="BG240" ca="1" si="1805">COUNTIF($M$240:$M$241,BF240)*$D$32</f>
        <v>0</v>
      </c>
      <c r="BH240" s="110"/>
      <c r="BI240" s="76" t="s">
        <v>38</v>
      </c>
      <c r="BJ240" s="77">
        <f t="shared" ref="BJ240" ca="1" si="1806">COUNTIF($M$240:$M$241,BI240)*$D$32</f>
        <v>0</v>
      </c>
      <c r="BK240" s="110"/>
      <c r="BL240" s="76" t="s">
        <v>38</v>
      </c>
      <c r="BM240" s="77">
        <f t="shared" ref="BM240" ca="1" si="1807">COUNTIF($M$240:$M$241,BL240)*$D$32</f>
        <v>0</v>
      </c>
      <c r="BN240" s="110"/>
      <c r="BO240" s="76" t="s">
        <v>38</v>
      </c>
      <c r="BP240" s="77">
        <f t="shared" ref="BP240" ca="1" si="1808">COUNTIF($M$240:$M$241,BO240)*$D$32</f>
        <v>0</v>
      </c>
      <c r="BQ240" s="110"/>
      <c r="BR240" s="76" t="s">
        <v>38</v>
      </c>
      <c r="BS240" s="77">
        <f t="shared" ref="BS240" ca="1" si="1809">COUNTIF($M$240:$M$241,BR240)*$D$32</f>
        <v>0</v>
      </c>
      <c r="BT240" s="110"/>
      <c r="BU240" s="76" t="s">
        <v>38</v>
      </c>
      <c r="BV240" s="77">
        <f t="shared" ref="BV240" ca="1" si="1810">COUNTIF($M$240:$M$241,BU240)*$D$32</f>
        <v>0</v>
      </c>
      <c r="BW240" s="110"/>
      <c r="BX240" s="76" t="s">
        <v>74</v>
      </c>
      <c r="BY240" s="77">
        <f t="shared" ref="BY240" ca="1" si="1811">COUNTIF($M$240:$M$241,BX240)*$D$32</f>
        <v>0</v>
      </c>
      <c r="BZ240" s="110"/>
      <c r="CA240" s="76" t="s">
        <v>38</v>
      </c>
      <c r="CB240" s="77">
        <f t="shared" ref="CB240" ca="1" si="1812">COUNTIF($M$240:$M$241,CA240)*$D$32</f>
        <v>0</v>
      </c>
      <c r="CC240" s="110"/>
      <c r="CD240" s="76" t="s">
        <v>74</v>
      </c>
      <c r="CE240" s="77">
        <f t="shared" ref="CE240" ca="1" si="1813">COUNTIF($M$240:$M$241,CD240)*$D$32</f>
        <v>0</v>
      </c>
      <c r="CF240" s="110"/>
      <c r="CG240" s="76" t="s">
        <v>38</v>
      </c>
      <c r="CH240" s="77">
        <f t="shared" ref="CH240" ca="1" si="1814">COUNTIF($M$240:$M$241,CG240)*$D$32</f>
        <v>0</v>
      </c>
      <c r="CI240" s="110"/>
      <c r="CJ240" s="76" t="s">
        <v>38</v>
      </c>
      <c r="CK240" s="77">
        <f t="shared" ref="CK240" ca="1" si="1815">COUNTIF($M$240:$M$241,CJ240)*$D$32</f>
        <v>0</v>
      </c>
      <c r="CL240" s="110"/>
      <c r="CM240" s="76" t="s">
        <v>38</v>
      </c>
      <c r="CN240" s="77">
        <f t="shared" ref="CN240" ca="1" si="1816">COUNTIF($M$240:$M$241,CM240)*$D$32</f>
        <v>0</v>
      </c>
      <c r="CO240" s="110"/>
      <c r="CP240" s="76" t="s">
        <v>38</v>
      </c>
      <c r="CQ240" s="77">
        <f t="shared" ref="CQ240" ca="1" si="1817">COUNTIF($M$240:$M$241,CP240)*$D$32</f>
        <v>0</v>
      </c>
      <c r="CR240" s="110"/>
      <c r="CS240" s="76" t="s">
        <v>38</v>
      </c>
      <c r="CT240" s="77">
        <f t="shared" ref="CT240" ca="1" si="1818">COUNTIF($M$240:$M$241,CS240)*$D$32</f>
        <v>0</v>
      </c>
      <c r="CU240" s="110"/>
      <c r="CV240" s="76" t="s">
        <v>38</v>
      </c>
      <c r="CW240" s="77">
        <f t="shared" ref="CW240" ca="1" si="1819">COUNTIF($M$240:$M$241,CV240)*$D$32</f>
        <v>0</v>
      </c>
      <c r="CX240" s="110"/>
      <c r="CY240" s="76" t="s">
        <v>74</v>
      </c>
      <c r="CZ240" s="77">
        <f t="shared" ref="CZ240" ca="1" si="1820">COUNTIF($M$240:$M$241,CY240)*$D$32</f>
        <v>0</v>
      </c>
      <c r="DA240" s="110"/>
      <c r="DB240" s="76" t="s">
        <v>38</v>
      </c>
      <c r="DC240" s="77">
        <f t="shared" ref="DC240" ca="1" si="1821">COUNTIF($M$240:$M$241,DB240)*$D$32</f>
        <v>0</v>
      </c>
      <c r="DD240" s="110"/>
      <c r="DE240" s="76" t="s">
        <v>77</v>
      </c>
      <c r="DF240" s="77">
        <f t="shared" ref="DF240" ca="1" si="1822">COUNTIF($M$240:$M$241,DE240)*$D$32</f>
        <v>0</v>
      </c>
      <c r="DG240" s="110"/>
      <c r="DH240" s="76" t="s">
        <v>74</v>
      </c>
      <c r="DI240" s="77">
        <f t="shared" ref="DI240" ca="1" si="1823">COUNTIF($M$240:$M$241,DH240)*$D$32</f>
        <v>0</v>
      </c>
      <c r="DJ240" s="110"/>
      <c r="DK240" s="76" t="s">
        <v>74</v>
      </c>
      <c r="DL240" s="77">
        <f t="shared" ref="DL240" ca="1" si="1824">COUNTIF($M$240:$M$241,DK240)*$D$32</f>
        <v>0</v>
      </c>
      <c r="DM240" s="110"/>
      <c r="DN240" s="795" t="s">
        <v>38</v>
      </c>
      <c r="DO240" s="77">
        <f t="shared" ref="DO240" ca="1" si="1825">COUNTIF($M$240:$M$241,DN240)*$D$32</f>
        <v>0</v>
      </c>
      <c r="DP240" s="110"/>
      <c r="DQ240" s="795" t="s">
        <v>1258</v>
      </c>
      <c r="DR240" s="77">
        <f t="shared" ref="DR240" ca="1" si="1826">COUNTIF($M$240:$M$241,DQ240)*$D$32</f>
        <v>0</v>
      </c>
      <c r="DS240" s="110"/>
      <c r="DT240" s="76" t="s">
        <v>38</v>
      </c>
      <c r="DU240" s="77">
        <f t="shared" ref="DU240" ca="1" si="1827">COUNTIF($M$240:$M$241,DT240)*$D$32</f>
        <v>0</v>
      </c>
      <c r="DV240" s="110"/>
      <c r="DW240" s="76" t="s">
        <v>38</v>
      </c>
      <c r="DX240" s="77">
        <f t="shared" ref="DX240" ca="1" si="1828">COUNTIF($M$240:$M$241,DW240)*$D$32</f>
        <v>0</v>
      </c>
      <c r="DY240" s="110"/>
      <c r="DZ240" s="76" t="s">
        <v>38</v>
      </c>
      <c r="EA240" s="77">
        <f t="shared" ref="EA240" ca="1" si="1829">COUNTIF($M$240:$M$241,DZ240)*$D$32</f>
        <v>0</v>
      </c>
      <c r="EB240" s="110"/>
      <c r="EC240" s="76" t="s">
        <v>38</v>
      </c>
      <c r="ED240" s="77">
        <f t="shared" ref="ED240" ca="1" si="1830">COUNTIF($M$240:$M$241,EC240)*$D$32</f>
        <v>0</v>
      </c>
      <c r="EE240" s="110"/>
      <c r="EF240" s="76" t="s">
        <v>38</v>
      </c>
      <c r="EG240" s="77">
        <f t="shared" ref="EG240" ca="1" si="1831">COUNTIF($M$240:$M$241,EF240)*$D$32</f>
        <v>0</v>
      </c>
      <c r="EH240" s="110"/>
      <c r="EI240" s="76" t="s">
        <v>38</v>
      </c>
      <c r="EJ240" s="77">
        <f t="shared" ref="EJ240" ca="1" si="1832">COUNTIF($M$240:$M$241,EI240)*$D$32</f>
        <v>0</v>
      </c>
      <c r="EK240" s="110"/>
      <c r="EL240" s="76"/>
      <c r="EM240" s="77">
        <f t="shared" ref="EM240" ca="1" si="1833">COUNTIF($M$240:$M$241,EL240)*$D$32</f>
        <v>0</v>
      </c>
      <c r="EN240" s="110"/>
      <c r="EO240" s="76"/>
      <c r="EP240" s="77">
        <f t="shared" ref="EP240" ca="1" si="1834">COUNTIF($M$240:$M$241,EO240)*$D$32</f>
        <v>0</v>
      </c>
      <c r="EQ240" s="110"/>
      <c r="ER240" s="76"/>
      <c r="ES240" s="77">
        <f t="shared" ref="ES240" ca="1" si="1835">COUNTIF($M$240:$M$241,ER240)*$D$32</f>
        <v>0</v>
      </c>
      <c r="ET240" s="110"/>
      <c r="EU240" s="76"/>
      <c r="EV240" s="77">
        <f t="shared" ref="EV240" ca="1" si="1836">COUNTIF($M$240:$M$241,EU240)*$D$32</f>
        <v>0</v>
      </c>
      <c r="EW240" s="110"/>
      <c r="EX240" s="76"/>
      <c r="EY240" s="77">
        <f t="shared" ref="EY240" ca="1" si="1837">COUNTIF($M$240:$M$241,EX240)*$D$32</f>
        <v>0</v>
      </c>
      <c r="EZ240" s="110"/>
      <c r="FA240" s="76"/>
      <c r="FB240" s="77">
        <f t="shared" ref="FB240" ca="1" si="1838">COUNTIF($M$240:$M$241,FA240)*$D$32</f>
        <v>0</v>
      </c>
      <c r="FC240" s="110"/>
      <c r="FD240" s="76"/>
      <c r="FE240" s="77">
        <f t="shared" ref="FE240" ca="1" si="1839">COUNTIF($M$240:$M$241,FD240)*$D$32</f>
        <v>0</v>
      </c>
      <c r="FF240" s="110"/>
      <c r="FG240" s="76"/>
      <c r="FH240" s="77">
        <f t="shared" ref="FH240" ca="1" si="1840">COUNTIF($M$240:$M$241,FG240)*$D$32</f>
        <v>0</v>
      </c>
      <c r="FI240" s="110"/>
      <c r="FJ240" s="76"/>
      <c r="FK240" s="77">
        <f t="shared" ref="FK240" ca="1" si="1841">COUNTIF($M$240:$M$241,FJ240)*$D$32</f>
        <v>0</v>
      </c>
      <c r="FL240" s="110"/>
      <c r="FM240" s="110"/>
    </row>
    <row r="241" spans="1:169" x14ac:dyDescent="0.2">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 ca="1">WORLDCUP!AF147</f>
        <v>W102</v>
      </c>
      <c r="N241" s="25"/>
      <c r="O241" s="25"/>
      <c r="P241" s="25"/>
      <c r="Q241" s="25"/>
      <c r="R241" s="17"/>
      <c r="S241" s="80" t="s">
        <v>76</v>
      </c>
      <c r="T241" s="81">
        <f ca="1">COUNTIF($M$240:$M$241,S241)*$D$32</f>
        <v>0</v>
      </c>
      <c r="U241" s="110"/>
      <c r="V241" s="80" t="s">
        <v>79</v>
      </c>
      <c r="W241" s="81">
        <f t="shared" ref="W241" ca="1" si="1842">COUNTIF($M$240:$M$241,V241)*$D$32</f>
        <v>0</v>
      </c>
      <c r="X241" s="110"/>
      <c r="Y241" s="80" t="s">
        <v>79</v>
      </c>
      <c r="Z241" s="81">
        <f t="shared" ref="Z241" ca="1" si="1843">COUNTIF($M$240:$M$241,Y241)*$D$32</f>
        <v>0</v>
      </c>
      <c r="AA241" s="110"/>
      <c r="AB241" s="80" t="s">
        <v>76</v>
      </c>
      <c r="AC241" s="81">
        <f t="shared" ref="AC241" ca="1" si="1844">COUNTIF($M$240:$M$241,AB241)*$D$32</f>
        <v>0</v>
      </c>
      <c r="AD241" s="110"/>
      <c r="AE241" s="80" t="s">
        <v>1258</v>
      </c>
      <c r="AF241" s="81">
        <f t="shared" ref="AF241" ca="1" si="1845">COUNTIF($M$240:$M$241,AE241)*$D$32</f>
        <v>0</v>
      </c>
      <c r="AG241" s="110"/>
      <c r="AH241" s="80" t="s">
        <v>1256</v>
      </c>
      <c r="AI241" s="81">
        <f t="shared" ref="AI241" ca="1" si="1846">COUNTIF($M$240:$M$241,AH241)*$D$32</f>
        <v>0</v>
      </c>
      <c r="AJ241" s="110"/>
      <c r="AK241" s="80" t="s">
        <v>79</v>
      </c>
      <c r="AL241" s="81">
        <f t="shared" ref="AL241" ca="1" si="1847">COUNTIF($M$240:$M$241,AK241)*$D$32</f>
        <v>0</v>
      </c>
      <c r="AM241" s="110"/>
      <c r="AN241" s="80" t="s">
        <v>79</v>
      </c>
      <c r="AO241" s="81">
        <f t="shared" ref="AO241" ca="1" si="1848">COUNTIF($M$240:$M$241,AN241)*$D$32</f>
        <v>0</v>
      </c>
      <c r="AP241" s="110"/>
      <c r="AQ241" s="80" t="s">
        <v>1256</v>
      </c>
      <c r="AR241" s="81">
        <f t="shared" ref="AR241" ca="1" si="1849">COUNTIF($M$240:$M$241,AQ241)*$D$32</f>
        <v>0</v>
      </c>
      <c r="AS241" s="110"/>
      <c r="AT241" s="80" t="s">
        <v>79</v>
      </c>
      <c r="AU241" s="81">
        <f t="shared" ref="AU241" ca="1" si="1850">COUNTIF($M$240:$M$241,AT241)*$D$32</f>
        <v>0</v>
      </c>
      <c r="AV241" s="110"/>
      <c r="AW241" s="80" t="s">
        <v>79</v>
      </c>
      <c r="AX241" s="81">
        <f t="shared" ref="AX241" ca="1" si="1851">COUNTIF($M$240:$M$241,AW241)*$D$32</f>
        <v>0</v>
      </c>
      <c r="AY241" s="110"/>
      <c r="AZ241" s="80" t="s">
        <v>79</v>
      </c>
      <c r="BA241" s="81">
        <f t="shared" ref="BA241" ca="1" si="1852">COUNTIF($M$240:$M$241,AZ241)*$D$32</f>
        <v>0</v>
      </c>
      <c r="BB241" s="110"/>
      <c r="BC241" s="80" t="s">
        <v>1258</v>
      </c>
      <c r="BD241" s="81">
        <f t="shared" ref="BD241" ca="1" si="1853">COUNTIF($M$240:$M$241,BC241)*$D$32</f>
        <v>0</v>
      </c>
      <c r="BE241" s="110"/>
      <c r="BF241" s="80" t="s">
        <v>1256</v>
      </c>
      <c r="BG241" s="81">
        <f t="shared" ref="BG241" ca="1" si="1854">COUNTIF($M$240:$M$241,BF241)*$D$32</f>
        <v>0</v>
      </c>
      <c r="BH241" s="110"/>
      <c r="BI241" s="80" t="s">
        <v>1258</v>
      </c>
      <c r="BJ241" s="81">
        <f t="shared" ref="BJ241" ca="1" si="1855">COUNTIF($M$240:$M$241,BI241)*$D$32</f>
        <v>0</v>
      </c>
      <c r="BK241" s="110"/>
      <c r="BL241" s="80" t="s">
        <v>1256</v>
      </c>
      <c r="BM241" s="81">
        <f t="shared" ref="BM241" ca="1" si="1856">COUNTIF($M$240:$M$241,BL241)*$D$32</f>
        <v>0</v>
      </c>
      <c r="BN241" s="110"/>
      <c r="BO241" s="80" t="s">
        <v>79</v>
      </c>
      <c r="BP241" s="81">
        <f t="shared" ref="BP241" ca="1" si="1857">COUNTIF($M$240:$M$241,BO241)*$D$32</f>
        <v>0</v>
      </c>
      <c r="BQ241" s="110"/>
      <c r="BR241" s="80" t="s">
        <v>79</v>
      </c>
      <c r="BS241" s="81">
        <f t="shared" ref="BS241" ca="1" si="1858">COUNTIF($M$240:$M$241,BR241)*$D$32</f>
        <v>0</v>
      </c>
      <c r="BT241" s="110"/>
      <c r="BU241" s="80" t="s">
        <v>79</v>
      </c>
      <c r="BV241" s="81">
        <f t="shared" ref="BV241" ca="1" si="1859">COUNTIF($M$240:$M$241,BU241)*$D$32</f>
        <v>0</v>
      </c>
      <c r="BW241" s="110"/>
      <c r="BX241" s="80" t="s">
        <v>76</v>
      </c>
      <c r="BY241" s="81">
        <f t="shared" ref="BY241" ca="1" si="1860">COUNTIF($M$240:$M$241,BX241)*$D$32</f>
        <v>0</v>
      </c>
      <c r="BZ241" s="110"/>
      <c r="CA241" s="80" t="s">
        <v>1256</v>
      </c>
      <c r="CB241" s="81">
        <f t="shared" ref="CB241" ca="1" si="1861">COUNTIF($M$240:$M$241,CA241)*$D$32</f>
        <v>0</v>
      </c>
      <c r="CC241" s="110"/>
      <c r="CD241" s="80" t="s">
        <v>79</v>
      </c>
      <c r="CE241" s="81">
        <f t="shared" ref="CE241" ca="1" si="1862">COUNTIF($M$240:$M$241,CD241)*$D$32</f>
        <v>0</v>
      </c>
      <c r="CF241" s="110"/>
      <c r="CG241" s="80" t="s">
        <v>1258</v>
      </c>
      <c r="CH241" s="81">
        <f t="shared" ref="CH241" ca="1" si="1863">COUNTIF($M$240:$M$241,CG241)*$D$32</f>
        <v>0</v>
      </c>
      <c r="CI241" s="110"/>
      <c r="CJ241" s="80" t="s">
        <v>79</v>
      </c>
      <c r="CK241" s="81">
        <f t="shared" ref="CK241" ca="1" si="1864">COUNTIF($M$240:$M$241,CJ241)*$D$32</f>
        <v>0</v>
      </c>
      <c r="CL241" s="110"/>
      <c r="CM241" s="80" t="s">
        <v>79</v>
      </c>
      <c r="CN241" s="81">
        <f t="shared" ref="CN241" ca="1" si="1865">COUNTIF($M$240:$M$241,CM241)*$D$32</f>
        <v>0</v>
      </c>
      <c r="CO241" s="110"/>
      <c r="CP241" s="80" t="s">
        <v>79</v>
      </c>
      <c r="CQ241" s="81">
        <f t="shared" ref="CQ241" ca="1" si="1866">COUNTIF($M$240:$M$241,CP241)*$D$32</f>
        <v>0</v>
      </c>
      <c r="CR241" s="110"/>
      <c r="CS241" s="80" t="s">
        <v>1256</v>
      </c>
      <c r="CT241" s="81">
        <f t="shared" ref="CT241" ca="1" si="1867">COUNTIF($M$240:$M$241,CS241)*$D$32</f>
        <v>0</v>
      </c>
      <c r="CU241" s="110"/>
      <c r="CV241" s="80" t="s">
        <v>79</v>
      </c>
      <c r="CW241" s="81">
        <f t="shared" ref="CW241" ca="1" si="1868">COUNTIF($M$240:$M$241,CV241)*$D$32</f>
        <v>0</v>
      </c>
      <c r="CX241" s="110"/>
      <c r="CY241" s="80" t="s">
        <v>76</v>
      </c>
      <c r="CZ241" s="81">
        <f t="shared" ref="CZ241" ca="1" si="1869">COUNTIF($M$240:$M$241,CY241)*$D$32</f>
        <v>0</v>
      </c>
      <c r="DA241" s="110"/>
      <c r="DB241" s="80" t="s">
        <v>1256</v>
      </c>
      <c r="DC241" s="81">
        <f t="shared" ref="DC241" ca="1" si="1870">COUNTIF($M$240:$M$241,DB241)*$D$32</f>
        <v>0</v>
      </c>
      <c r="DD241" s="110"/>
      <c r="DE241" s="80" t="s">
        <v>1258</v>
      </c>
      <c r="DF241" s="81">
        <f t="shared" ref="DF241" ca="1" si="1871">COUNTIF($M$240:$M$241,DE241)*$D$32</f>
        <v>0</v>
      </c>
      <c r="DG241" s="110"/>
      <c r="DH241" s="80" t="s">
        <v>79</v>
      </c>
      <c r="DI241" s="81">
        <f t="shared" ref="DI241" ca="1" si="1872">COUNTIF($M$240:$M$241,DH241)*$D$32</f>
        <v>0</v>
      </c>
      <c r="DJ241" s="110"/>
      <c r="DK241" s="80" t="s">
        <v>79</v>
      </c>
      <c r="DL241" s="81">
        <f t="shared" ref="DL241" ca="1" si="1873">COUNTIF($M$240:$M$241,DK241)*$D$32</f>
        <v>0</v>
      </c>
      <c r="DM241" s="110"/>
      <c r="DN241" s="795" t="s">
        <v>79</v>
      </c>
      <c r="DO241" s="81">
        <f t="shared" ref="DO241" ca="1" si="1874">COUNTIF($M$240:$M$241,DN241)*$D$32</f>
        <v>0</v>
      </c>
      <c r="DP241" s="110"/>
      <c r="DQ241" s="795" t="s">
        <v>79</v>
      </c>
      <c r="DR241" s="81">
        <f t="shared" ref="DR241" ca="1" si="1875">COUNTIF($M$240:$M$241,DQ241)*$D$32</f>
        <v>0</v>
      </c>
      <c r="DS241" s="110"/>
      <c r="DT241" s="80" t="s">
        <v>1258</v>
      </c>
      <c r="DU241" s="81">
        <f t="shared" ref="DU241" ca="1" si="1876">COUNTIF($M$240:$M$241,DT241)*$D$32</f>
        <v>0</v>
      </c>
      <c r="DV241" s="110"/>
      <c r="DW241" s="80" t="s">
        <v>79</v>
      </c>
      <c r="DX241" s="81">
        <f t="shared" ref="DX241" ca="1" si="1877">COUNTIF($M$240:$M$241,DW241)*$D$32</f>
        <v>0</v>
      </c>
      <c r="DY241" s="110"/>
      <c r="DZ241" s="80" t="s">
        <v>1256</v>
      </c>
      <c r="EA241" s="81">
        <f t="shared" ref="EA241" ca="1" si="1878">COUNTIF($M$240:$M$241,DZ241)*$D$32</f>
        <v>0</v>
      </c>
      <c r="EB241" s="110"/>
      <c r="EC241" s="80" t="s">
        <v>79</v>
      </c>
      <c r="ED241" s="81">
        <f t="shared" ref="ED241" ca="1" si="1879">COUNTIF($M$240:$M$241,EC241)*$D$32</f>
        <v>0</v>
      </c>
      <c r="EE241" s="110"/>
      <c r="EF241" s="80" t="s">
        <v>76</v>
      </c>
      <c r="EG241" s="81">
        <f t="shared" ref="EG241" ca="1" si="1880">COUNTIF($M$240:$M$241,EF241)*$D$32</f>
        <v>0</v>
      </c>
      <c r="EH241" s="110"/>
      <c r="EI241" s="80" t="s">
        <v>79</v>
      </c>
      <c r="EJ241" s="81">
        <f t="shared" ref="EJ241" ca="1" si="1881">COUNTIF($M$240:$M$241,EI241)*$D$32</f>
        <v>0</v>
      </c>
      <c r="EK241" s="110"/>
      <c r="EL241" s="80"/>
      <c r="EM241" s="81">
        <f t="shared" ref="EM241" ca="1" si="1882">COUNTIF($M$240:$M$241,EL241)*$D$32</f>
        <v>0</v>
      </c>
      <c r="EN241" s="110"/>
      <c r="EO241" s="80"/>
      <c r="EP241" s="81">
        <f t="shared" ref="EP241" ca="1" si="1883">COUNTIF($M$240:$M$241,EO241)*$D$32</f>
        <v>0</v>
      </c>
      <c r="EQ241" s="110"/>
      <c r="ER241" s="80"/>
      <c r="ES241" s="81">
        <f t="shared" ref="ES241" ca="1" si="1884">COUNTIF($M$240:$M$241,ER241)*$D$32</f>
        <v>0</v>
      </c>
      <c r="ET241" s="110"/>
      <c r="EU241" s="80"/>
      <c r="EV241" s="81">
        <f t="shared" ref="EV241" ca="1" si="1885">COUNTIF($M$240:$M$241,EU241)*$D$32</f>
        <v>0</v>
      </c>
      <c r="EW241" s="110"/>
      <c r="EX241" s="80"/>
      <c r="EY241" s="81">
        <f t="shared" ref="EY241" ca="1" si="1886">COUNTIF($M$240:$M$241,EX241)*$D$32</f>
        <v>0</v>
      </c>
      <c r="EZ241" s="110"/>
      <c r="FA241" s="80"/>
      <c r="FB241" s="81">
        <f t="shared" ref="FB241" ca="1" si="1887">COUNTIF($M$240:$M$241,FA241)*$D$32</f>
        <v>0</v>
      </c>
      <c r="FC241" s="110"/>
      <c r="FD241" s="80"/>
      <c r="FE241" s="81">
        <f t="shared" ref="FE241" ca="1" si="1888">COUNTIF($M$240:$M$241,FD241)*$D$32</f>
        <v>0</v>
      </c>
      <c r="FF241" s="110"/>
      <c r="FG241" s="80"/>
      <c r="FH241" s="81">
        <f t="shared" ref="FH241" ca="1" si="1889">COUNTIF($M$240:$M$241,FG241)*$D$32</f>
        <v>0</v>
      </c>
      <c r="FI241" s="110"/>
      <c r="FJ241" s="80"/>
      <c r="FK241" s="81">
        <f t="shared" ref="FK241" ca="1" si="1890">COUNTIF($M$240:$M$241,FJ241)*$D$32</f>
        <v>0</v>
      </c>
      <c r="FL241" s="110"/>
      <c r="FM241" s="110"/>
    </row>
    <row r="242" spans="1:169" x14ac:dyDescent="0.2">
      <c r="A242" s="25"/>
      <c r="B242" s="25"/>
      <c r="C242" s="25"/>
      <c r="D242" s="25"/>
      <c r="E242" s="25"/>
      <c r="F242" s="407"/>
      <c r="G242" s="407"/>
      <c r="H242" s="65"/>
      <c r="I242" s="50"/>
      <c r="J242" s="94"/>
      <c r="K242" s="434" t="str">
        <f>Idiomas!D466</f>
        <v>Equipos Final</v>
      </c>
      <c r="L242" s="435"/>
      <c r="M242" s="434" t="str">
        <f ca="1">"Max: "&amp;$D$32*COUNT(T240:T241)</f>
        <v>Max: 14</v>
      </c>
      <c r="N242" s="25"/>
      <c r="O242" s="25"/>
      <c r="P242" s="25"/>
      <c r="Q242" s="25"/>
      <c r="R242" s="17"/>
      <c r="S242" s="84"/>
      <c r="T242" s="71">
        <f ca="1">SUM(T240:T241)</f>
        <v>0</v>
      </c>
      <c r="U242" s="49"/>
      <c r="V242" s="84"/>
      <c r="W242" s="71">
        <f t="shared" ref="W242" ca="1" si="1891">SUM(W240:W241)</f>
        <v>0</v>
      </c>
      <c r="X242" s="49"/>
      <c r="Y242" s="84"/>
      <c r="Z242" s="71">
        <f t="shared" ref="Z242" ca="1" si="1892">SUM(Z240:Z241)</f>
        <v>0</v>
      </c>
      <c r="AA242" s="49"/>
      <c r="AB242" s="84"/>
      <c r="AC242" s="71">
        <f t="shared" ref="AC242" ca="1" si="1893">SUM(AC240:AC241)</f>
        <v>0</v>
      </c>
      <c r="AD242" s="49"/>
      <c r="AE242" s="84"/>
      <c r="AF242" s="71">
        <f t="shared" ref="AF242" ca="1" si="1894">SUM(AF240:AF241)</f>
        <v>0</v>
      </c>
      <c r="AG242" s="49"/>
      <c r="AH242" s="84"/>
      <c r="AI242" s="71">
        <f t="shared" ref="AI242" ca="1" si="1895">SUM(AI240:AI241)</f>
        <v>0</v>
      </c>
      <c r="AJ242" s="49"/>
      <c r="AK242" s="84"/>
      <c r="AL242" s="71">
        <f t="shared" ref="AL242" ca="1" si="1896">SUM(AL240:AL241)</f>
        <v>0</v>
      </c>
      <c r="AM242" s="49"/>
      <c r="AN242" s="84"/>
      <c r="AO242" s="71">
        <f t="shared" ref="AO242" ca="1" si="1897">SUM(AO240:AO241)</f>
        <v>0</v>
      </c>
      <c r="AP242" s="49"/>
      <c r="AQ242" s="84"/>
      <c r="AR242" s="71">
        <f t="shared" ref="AR242" ca="1" si="1898">SUM(AR240:AR241)</f>
        <v>0</v>
      </c>
      <c r="AS242" s="49"/>
      <c r="AT242" s="84"/>
      <c r="AU242" s="71">
        <f t="shared" ref="AU242" ca="1" si="1899">SUM(AU240:AU241)</f>
        <v>0</v>
      </c>
      <c r="AV242" s="49"/>
      <c r="AW242" s="84"/>
      <c r="AX242" s="71">
        <f t="shared" ref="AX242" ca="1" si="1900">SUM(AX240:AX241)</f>
        <v>0</v>
      </c>
      <c r="AY242" s="49"/>
      <c r="AZ242" s="84"/>
      <c r="BA242" s="71">
        <f t="shared" ref="BA242" ca="1" si="1901">SUM(BA240:BA241)</f>
        <v>0</v>
      </c>
      <c r="BB242" s="49"/>
      <c r="BC242" s="84"/>
      <c r="BD242" s="71">
        <f t="shared" ref="BD242" ca="1" si="1902">SUM(BD240:BD241)</f>
        <v>0</v>
      </c>
      <c r="BE242" s="49"/>
      <c r="BF242" s="84"/>
      <c r="BG242" s="71">
        <f t="shared" ref="BG242" ca="1" si="1903">SUM(BG240:BG241)</f>
        <v>0</v>
      </c>
      <c r="BH242" s="49"/>
      <c r="BI242" s="84"/>
      <c r="BJ242" s="71">
        <f t="shared" ref="BJ242" ca="1" si="1904">SUM(BJ240:BJ241)</f>
        <v>0</v>
      </c>
      <c r="BK242" s="49"/>
      <c r="BL242" s="84"/>
      <c r="BM242" s="71">
        <f t="shared" ref="BM242" ca="1" si="1905">SUM(BM240:BM241)</f>
        <v>0</v>
      </c>
      <c r="BN242" s="49"/>
      <c r="BO242" s="84"/>
      <c r="BP242" s="71">
        <f t="shared" ref="BP242" ca="1" si="1906">SUM(BP240:BP241)</f>
        <v>0</v>
      </c>
      <c r="BQ242" s="49"/>
      <c r="BR242" s="84"/>
      <c r="BS242" s="71">
        <f t="shared" ref="BS242" ca="1" si="1907">SUM(BS240:BS241)</f>
        <v>0</v>
      </c>
      <c r="BT242" s="49"/>
      <c r="BU242" s="84"/>
      <c r="BV242" s="71">
        <f t="shared" ref="BV242" ca="1" si="1908">SUM(BV240:BV241)</f>
        <v>0</v>
      </c>
      <c r="BW242" s="49"/>
      <c r="BX242" s="84"/>
      <c r="BY242" s="71">
        <f t="shared" ref="BY242" ca="1" si="1909">SUM(BY240:BY241)</f>
        <v>0</v>
      </c>
      <c r="BZ242" s="49"/>
      <c r="CA242" s="84"/>
      <c r="CB242" s="71">
        <f t="shared" ref="CB242" ca="1" si="1910">SUM(CB240:CB241)</f>
        <v>0</v>
      </c>
      <c r="CC242" s="49"/>
      <c r="CD242" s="84"/>
      <c r="CE242" s="71">
        <f t="shared" ref="CE242" ca="1" si="1911">SUM(CE240:CE241)</f>
        <v>0</v>
      </c>
      <c r="CF242" s="49"/>
      <c r="CG242" s="84"/>
      <c r="CH242" s="71">
        <f t="shared" ref="CH242" ca="1" si="1912">SUM(CH240:CH241)</f>
        <v>0</v>
      </c>
      <c r="CI242" s="49"/>
      <c r="CJ242" s="84"/>
      <c r="CK242" s="71">
        <f t="shared" ref="CK242" ca="1" si="1913">SUM(CK240:CK241)</f>
        <v>0</v>
      </c>
      <c r="CL242" s="49"/>
      <c r="CM242" s="84"/>
      <c r="CN242" s="71">
        <f t="shared" ref="CN242" ca="1" si="1914">SUM(CN240:CN241)</f>
        <v>0</v>
      </c>
      <c r="CO242" s="49"/>
      <c r="CP242" s="84"/>
      <c r="CQ242" s="71">
        <f t="shared" ref="CQ242" ca="1" si="1915">SUM(CQ240:CQ241)</f>
        <v>0</v>
      </c>
      <c r="CR242" s="49"/>
      <c r="CS242" s="84"/>
      <c r="CT242" s="71">
        <f t="shared" ref="CT242" ca="1" si="1916">SUM(CT240:CT241)</f>
        <v>0</v>
      </c>
      <c r="CU242" s="49"/>
      <c r="CV242" s="84"/>
      <c r="CW242" s="71">
        <f t="shared" ref="CW242" ca="1" si="1917">SUM(CW240:CW241)</f>
        <v>0</v>
      </c>
      <c r="CX242" s="49"/>
      <c r="CY242" s="84"/>
      <c r="CZ242" s="71">
        <f t="shared" ref="CZ242" ca="1" si="1918">SUM(CZ240:CZ241)</f>
        <v>0</v>
      </c>
      <c r="DA242" s="49"/>
      <c r="DB242" s="84"/>
      <c r="DC242" s="71">
        <f t="shared" ref="DC242" ca="1" si="1919">SUM(DC240:DC241)</f>
        <v>0</v>
      </c>
      <c r="DD242" s="49"/>
      <c r="DE242" s="84"/>
      <c r="DF242" s="71">
        <f t="shared" ref="DF242" ca="1" si="1920">SUM(DF240:DF241)</f>
        <v>0</v>
      </c>
      <c r="DG242" s="49"/>
      <c r="DH242" s="84"/>
      <c r="DI242" s="71">
        <f t="shared" ref="DI242" ca="1" si="1921">SUM(DI240:DI241)</f>
        <v>0</v>
      </c>
      <c r="DJ242" s="49"/>
      <c r="DK242" s="84"/>
      <c r="DL242" s="71">
        <f t="shared" ref="DL242" ca="1" si="1922">SUM(DL240:DL241)</f>
        <v>0</v>
      </c>
      <c r="DM242" s="49"/>
      <c r="DN242" s="796"/>
      <c r="DO242" s="71">
        <f t="shared" ref="DO242" ca="1" si="1923">SUM(DO240:DO241)</f>
        <v>0</v>
      </c>
      <c r="DP242" s="49"/>
      <c r="DQ242" s="796"/>
      <c r="DR242" s="71">
        <f t="shared" ref="DR242" ca="1" si="1924">SUM(DR240:DR241)</f>
        <v>0</v>
      </c>
      <c r="DS242" s="49"/>
      <c r="DT242" s="84"/>
      <c r="DU242" s="71">
        <f t="shared" ref="DU242" ca="1" si="1925">SUM(DU240:DU241)</f>
        <v>0</v>
      </c>
      <c r="DV242" s="49"/>
      <c r="DW242" s="84"/>
      <c r="DX242" s="71">
        <f t="shared" ref="DX242" ca="1" si="1926">SUM(DX240:DX241)</f>
        <v>0</v>
      </c>
      <c r="DY242" s="49"/>
      <c r="DZ242" s="84"/>
      <c r="EA242" s="71">
        <f t="shared" ref="EA242" ca="1" si="1927">SUM(EA240:EA241)</f>
        <v>0</v>
      </c>
      <c r="EB242" s="49"/>
      <c r="EC242" s="84"/>
      <c r="ED242" s="71">
        <f t="shared" ref="ED242" ca="1" si="1928">SUM(ED240:ED241)</f>
        <v>0</v>
      </c>
      <c r="EE242" s="49"/>
      <c r="EF242" s="84"/>
      <c r="EG242" s="71">
        <f t="shared" ref="EG242" ca="1" si="1929">SUM(EG240:EG241)</f>
        <v>0</v>
      </c>
      <c r="EH242" s="49"/>
      <c r="EI242" s="84"/>
      <c r="EJ242" s="71">
        <f t="shared" ref="EJ242" ca="1" si="1930">SUM(EJ240:EJ241)</f>
        <v>0</v>
      </c>
      <c r="EK242" s="49"/>
      <c r="EL242" s="84"/>
      <c r="EM242" s="71">
        <f t="shared" ref="EM242" ca="1" si="1931">SUM(EM240:EM241)</f>
        <v>0</v>
      </c>
      <c r="EN242" s="49"/>
      <c r="EO242" s="84"/>
      <c r="EP242" s="71">
        <f t="shared" ref="EP242" ca="1" si="1932">SUM(EP240:EP241)</f>
        <v>0</v>
      </c>
      <c r="EQ242" s="49"/>
      <c r="ER242" s="84"/>
      <c r="ES242" s="71">
        <f t="shared" ref="ES242" ca="1" si="1933">SUM(ES240:ES241)</f>
        <v>0</v>
      </c>
      <c r="ET242" s="49"/>
      <c r="EU242" s="84"/>
      <c r="EV242" s="71">
        <f t="shared" ref="EV242" ca="1" si="1934">SUM(EV240:EV241)</f>
        <v>0</v>
      </c>
      <c r="EW242" s="49"/>
      <c r="EX242" s="84"/>
      <c r="EY242" s="71">
        <f t="shared" ref="EY242" ca="1" si="1935">SUM(EY240:EY241)</f>
        <v>0</v>
      </c>
      <c r="EZ242" s="49"/>
      <c r="FA242" s="84"/>
      <c r="FB242" s="71">
        <f t="shared" ref="FB242" ca="1" si="1936">SUM(FB240:FB241)</f>
        <v>0</v>
      </c>
      <c r="FC242" s="49"/>
      <c r="FD242" s="84"/>
      <c r="FE242" s="71">
        <f t="shared" ref="FE242" ca="1" si="1937">SUM(FE240:FE241)</f>
        <v>0</v>
      </c>
      <c r="FF242" s="49"/>
      <c r="FG242" s="84"/>
      <c r="FH242" s="71">
        <f t="shared" ref="FH242" ca="1" si="1938">SUM(FH240:FH241)</f>
        <v>0</v>
      </c>
      <c r="FI242" s="49"/>
      <c r="FJ242" s="84"/>
      <c r="FK242" s="71">
        <f t="shared" ref="FK242" ca="1" si="1939">SUM(FK240:FK241)</f>
        <v>0</v>
      </c>
      <c r="FL242" s="49"/>
      <c r="FM242" s="49"/>
    </row>
    <row r="243" spans="1:169" x14ac:dyDescent="0.2">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25" x14ac:dyDescent="0.2">
      <c r="A244" s="25">
        <f>WORLDCUP!AD143</f>
        <v>0</v>
      </c>
      <c r="B244" s="25">
        <f>WORLDCUP!AC143</f>
        <v>0</v>
      </c>
      <c r="C244" s="25" t="str">
        <f ca="1">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 ca="1">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ca="1"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ca="1"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ca="1"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ca="1"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ca="1"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ca="1"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ca="1"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ca="1"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ca="1"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ca="1"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ca="1"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ca="1"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ca="1"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ca="1"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ca="1"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ca="1"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ca="1"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ca="1"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ca="1"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ca="1"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ca="1"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ca="1"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ca="1"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ca="1"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ca="1"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ca="1"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ca="1"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ca="1"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ca="1"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ca="1"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ca="1"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ca="1"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ca="1"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ca="1"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ca="1"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ca="1"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ca="1"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ca="1"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ca="1"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ca="1"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ca="1"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ca="1"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ca="1"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ca="1"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ca="1"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ca="1"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ca="1"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ca="1"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ca="1"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x14ac:dyDescent="0.2">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 ca="1">T244</f>
        <v>0</v>
      </c>
      <c r="U245" s="110"/>
      <c r="V245" s="84"/>
      <c r="W245" s="83">
        <f t="shared" ref="W245" ca="1" si="1989">W244</f>
        <v>0</v>
      </c>
      <c r="X245" s="110"/>
      <c r="Y245" s="84"/>
      <c r="Z245" s="83">
        <f t="shared" ref="Z245" ca="1" si="1990">Z244</f>
        <v>0</v>
      </c>
      <c r="AA245" s="110"/>
      <c r="AB245" s="82"/>
      <c r="AC245" s="83">
        <f t="shared" ref="AC245" ca="1" si="1991">AC244</f>
        <v>0</v>
      </c>
      <c r="AD245" s="110"/>
      <c r="AE245" s="84"/>
      <c r="AF245" s="83">
        <f t="shared" ref="AF245" ca="1" si="1992">AF244</f>
        <v>0</v>
      </c>
      <c r="AG245" s="110"/>
      <c r="AH245" s="84"/>
      <c r="AI245" s="83">
        <f t="shared" ref="AI245" ca="1" si="1993">AI244</f>
        <v>0</v>
      </c>
      <c r="AJ245" s="110"/>
      <c r="AK245" s="84"/>
      <c r="AL245" s="83">
        <f t="shared" ref="AL245" ca="1" si="1994">AL244</f>
        <v>0</v>
      </c>
      <c r="AM245" s="110"/>
      <c r="AN245" s="84"/>
      <c r="AO245" s="83">
        <f t="shared" ref="AO245" ca="1" si="1995">AO244</f>
        <v>0</v>
      </c>
      <c r="AP245" s="110"/>
      <c r="AQ245" s="84"/>
      <c r="AR245" s="83">
        <f t="shared" ref="AR245" ca="1" si="1996">AR244</f>
        <v>0</v>
      </c>
      <c r="AS245" s="110"/>
      <c r="AT245" s="84"/>
      <c r="AU245" s="83">
        <f t="shared" ref="AU245" ca="1" si="1997">AU244</f>
        <v>0</v>
      </c>
      <c r="AV245" s="110"/>
      <c r="AW245" s="84"/>
      <c r="AX245" s="83">
        <f t="shared" ref="AX245" ca="1" si="1998">AX244</f>
        <v>0</v>
      </c>
      <c r="AY245" s="110"/>
      <c r="AZ245" s="84"/>
      <c r="BA245" s="83">
        <f t="shared" ref="BA245" ca="1" si="1999">BA244</f>
        <v>0</v>
      </c>
      <c r="BB245" s="110"/>
      <c r="BC245" s="84"/>
      <c r="BD245" s="83">
        <f t="shared" ref="BD245" ca="1" si="2000">BD244</f>
        <v>0</v>
      </c>
      <c r="BE245" s="110"/>
      <c r="BF245" s="84"/>
      <c r="BG245" s="83">
        <f t="shared" ref="BG245" ca="1" si="2001">BG244</f>
        <v>0</v>
      </c>
      <c r="BH245" s="110"/>
      <c r="BI245" s="84"/>
      <c r="BJ245" s="83">
        <f t="shared" ref="BJ245" ca="1" si="2002">BJ244</f>
        <v>0</v>
      </c>
      <c r="BK245" s="110"/>
      <c r="BL245" s="84"/>
      <c r="BM245" s="83">
        <f t="shared" ref="BM245" ca="1" si="2003">BM244</f>
        <v>0</v>
      </c>
      <c r="BN245" s="110"/>
      <c r="BO245" s="84"/>
      <c r="BP245" s="83">
        <f t="shared" ref="BP245" ca="1" si="2004">BP244</f>
        <v>0</v>
      </c>
      <c r="BQ245" s="110"/>
      <c r="BR245" s="84"/>
      <c r="BS245" s="83">
        <f t="shared" ref="BS245" ca="1" si="2005">BS244</f>
        <v>0</v>
      </c>
      <c r="BT245" s="110"/>
      <c r="BU245" s="84"/>
      <c r="BV245" s="83">
        <f t="shared" ref="BV245" ca="1" si="2006">BV244</f>
        <v>0</v>
      </c>
      <c r="BW245" s="110"/>
      <c r="BX245" s="84"/>
      <c r="BY245" s="83">
        <f t="shared" ref="BY245" ca="1" si="2007">BY244</f>
        <v>0</v>
      </c>
      <c r="BZ245" s="110"/>
      <c r="CA245" s="84"/>
      <c r="CB245" s="83">
        <f t="shared" ref="CB245" ca="1" si="2008">CB244</f>
        <v>0</v>
      </c>
      <c r="CC245" s="110"/>
      <c r="CD245" s="84"/>
      <c r="CE245" s="83">
        <f t="shared" ref="CE245" ca="1" si="2009">CE244</f>
        <v>0</v>
      </c>
      <c r="CF245" s="110"/>
      <c r="CG245" s="84"/>
      <c r="CH245" s="83">
        <f t="shared" ref="CH245" ca="1" si="2010">CH244</f>
        <v>0</v>
      </c>
      <c r="CI245" s="110"/>
      <c r="CJ245" s="84"/>
      <c r="CK245" s="83">
        <f t="shared" ref="CK245" ca="1" si="2011">CK244</f>
        <v>0</v>
      </c>
      <c r="CL245" s="110"/>
      <c r="CM245" s="84"/>
      <c r="CN245" s="83">
        <f t="shared" ref="CN245" ca="1" si="2012">CN244</f>
        <v>0</v>
      </c>
      <c r="CO245" s="110"/>
      <c r="CP245" s="84"/>
      <c r="CQ245" s="83">
        <f t="shared" ref="CQ245" ca="1" si="2013">CQ244</f>
        <v>0</v>
      </c>
      <c r="CR245" s="110"/>
      <c r="CS245" s="84"/>
      <c r="CT245" s="83">
        <f t="shared" ref="CT245" ca="1" si="2014">CT244</f>
        <v>0</v>
      </c>
      <c r="CU245" s="110"/>
      <c r="CV245" s="84"/>
      <c r="CW245" s="83">
        <f t="shared" ref="CW245" ca="1" si="2015">CW244</f>
        <v>0</v>
      </c>
      <c r="CX245" s="110"/>
      <c r="CY245" s="84"/>
      <c r="CZ245" s="83">
        <f t="shared" ref="CZ245" ca="1" si="2016">CZ244</f>
        <v>0</v>
      </c>
      <c r="DA245" s="110"/>
      <c r="DB245" s="84"/>
      <c r="DC245" s="83">
        <f t="shared" ref="DC245" ca="1" si="2017">DC244</f>
        <v>0</v>
      </c>
      <c r="DD245" s="110"/>
      <c r="DE245" s="84"/>
      <c r="DF245" s="83">
        <f t="shared" ref="DF245" ca="1" si="2018">DF244</f>
        <v>0</v>
      </c>
      <c r="DG245" s="110"/>
      <c r="DH245" s="84"/>
      <c r="DI245" s="83">
        <f t="shared" ref="DI245" ca="1" si="2019">DI244</f>
        <v>0</v>
      </c>
      <c r="DJ245" s="110"/>
      <c r="DK245" s="84"/>
      <c r="DL245" s="83">
        <f t="shared" ref="DL245" ca="1" si="2020">DL244</f>
        <v>0</v>
      </c>
      <c r="DM245" s="110"/>
      <c r="DN245" s="796"/>
      <c r="DO245" s="83">
        <f t="shared" ref="DO245" ca="1" si="2021">DO244</f>
        <v>0</v>
      </c>
      <c r="DP245" s="110"/>
      <c r="DQ245" s="796"/>
      <c r="DR245" s="83">
        <f t="shared" ref="DR245" ca="1" si="2022">DR244</f>
        <v>0</v>
      </c>
      <c r="DS245" s="110"/>
      <c r="DT245" s="84"/>
      <c r="DU245" s="83">
        <f t="shared" ref="DU245" ca="1" si="2023">DU244</f>
        <v>0</v>
      </c>
      <c r="DV245" s="110"/>
      <c r="DW245" s="84"/>
      <c r="DX245" s="83">
        <f t="shared" ref="DX245" ca="1" si="2024">DX244</f>
        <v>0</v>
      </c>
      <c r="DY245" s="110"/>
      <c r="DZ245" s="84"/>
      <c r="EA245" s="83">
        <f t="shared" ref="EA245" ca="1" si="2025">EA244</f>
        <v>0</v>
      </c>
      <c r="EB245" s="110"/>
      <c r="EC245" s="84"/>
      <c r="ED245" s="83">
        <f t="shared" ref="ED245" ca="1" si="2026">ED244</f>
        <v>0</v>
      </c>
      <c r="EE245" s="110"/>
      <c r="EF245" s="84"/>
      <c r="EG245" s="83">
        <f t="shared" ref="EG245" ca="1" si="2027">EG244</f>
        <v>0</v>
      </c>
      <c r="EH245" s="110"/>
      <c r="EI245" s="84"/>
      <c r="EJ245" s="83">
        <f t="shared" ref="EJ245" ca="1" si="2028">EJ244</f>
        <v>0</v>
      </c>
      <c r="EK245" s="110"/>
      <c r="EL245" s="84"/>
      <c r="EM245" s="83">
        <f t="shared" ref="EM245" ca="1" si="2029">EM244</f>
        <v>0</v>
      </c>
      <c r="EN245" s="110"/>
      <c r="EO245" s="84"/>
      <c r="EP245" s="83">
        <f t="shared" ref="EP245" ca="1" si="2030">EP244</f>
        <v>0</v>
      </c>
      <c r="EQ245" s="110"/>
      <c r="ER245" s="84"/>
      <c r="ES245" s="83">
        <f t="shared" ref="ES245" ca="1" si="2031">ES244</f>
        <v>0</v>
      </c>
      <c r="ET245" s="110"/>
      <c r="EU245" s="84"/>
      <c r="EV245" s="83">
        <f t="shared" ref="EV245" ca="1" si="2032">EV244</f>
        <v>0</v>
      </c>
      <c r="EW245" s="110"/>
      <c r="EX245" s="84"/>
      <c r="EY245" s="83">
        <f t="shared" ref="EY245" ca="1" si="2033">EY244</f>
        <v>0</v>
      </c>
      <c r="EZ245" s="110"/>
      <c r="FA245" s="84"/>
      <c r="FB245" s="83">
        <f t="shared" ref="FB245" ca="1" si="2034">FB244</f>
        <v>0</v>
      </c>
      <c r="FC245" s="110"/>
      <c r="FD245" s="84"/>
      <c r="FE245" s="83">
        <f t="shared" ref="FE245" ca="1" si="2035">FE244</f>
        <v>0</v>
      </c>
      <c r="FF245" s="110"/>
      <c r="FG245" s="84"/>
      <c r="FH245" s="83">
        <f t="shared" ref="FH245" ca="1" si="2036">FH244</f>
        <v>0</v>
      </c>
      <c r="FI245" s="110"/>
      <c r="FJ245" s="84"/>
      <c r="FK245" s="83">
        <f t="shared" ref="FK245" ca="1" si="2037">FK244</f>
        <v>0</v>
      </c>
      <c r="FL245" s="110"/>
      <c r="FM245" s="110"/>
    </row>
    <row r="246" spans="1:169" x14ac:dyDescent="0.2">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25" x14ac:dyDescent="0.2">
      <c r="A247" s="25">
        <f>WORLDCUP!AD147</f>
        <v>0</v>
      </c>
      <c r="B247" s="25">
        <f>WORLDCUP!AC147</f>
        <v>0</v>
      </c>
      <c r="C247" s="25" t="str">
        <f ca="1">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 ca="1">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ca="1"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ca="1"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ca="1"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ca="1"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ca="1"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ca="1"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ca="1"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ca="1"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ca="1"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ca="1"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ca="1"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ca="1"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ca="1"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ca="1"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ca="1"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ca="1"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ca="1"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ca="1"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ca="1"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ca="1"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ca="1"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ca="1"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ca="1"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ca="1"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ca="1"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ca="1"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ca="1"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ca="1"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ca="1"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ca="1"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ca="1"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ca="1"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ca="1"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ca="1"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ca="1"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ca="1"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ca="1"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ca="1"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ca="1"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ca="1"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ca="1"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ca="1"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ca="1"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ca="1"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ca="1"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ca="1"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ca="1"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ca="1"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x14ac:dyDescent="0.2">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 ca="1">T247</f>
        <v>0</v>
      </c>
      <c r="U248" s="65"/>
      <c r="V248" s="84"/>
      <c r="W248" s="71">
        <f t="shared" ref="W248" ca="1" si="2086">W247</f>
        <v>0</v>
      </c>
      <c r="X248" s="65"/>
      <c r="Y248" s="84"/>
      <c r="Z248" s="71">
        <f t="shared" ref="Z248" ca="1" si="2087">Z247</f>
        <v>0</v>
      </c>
      <c r="AA248" s="65"/>
      <c r="AB248" s="84"/>
      <c r="AC248" s="71">
        <f t="shared" ref="AC248" ca="1" si="2088">AC247</f>
        <v>0</v>
      </c>
      <c r="AD248" s="65"/>
      <c r="AE248" s="84"/>
      <c r="AF248" s="71">
        <f t="shared" ref="AF248" ca="1" si="2089">AF247</f>
        <v>0</v>
      </c>
      <c r="AG248" s="65"/>
      <c r="AH248" s="84"/>
      <c r="AI248" s="71">
        <f t="shared" ref="AI248" ca="1" si="2090">AI247</f>
        <v>0</v>
      </c>
      <c r="AJ248" s="65"/>
      <c r="AK248" s="84"/>
      <c r="AL248" s="71">
        <f t="shared" ref="AL248" ca="1" si="2091">AL247</f>
        <v>0</v>
      </c>
      <c r="AM248" s="65"/>
      <c r="AN248" s="84"/>
      <c r="AO248" s="71">
        <f t="shared" ref="AO248" ca="1" si="2092">AO247</f>
        <v>0</v>
      </c>
      <c r="AP248" s="65"/>
      <c r="AQ248" s="84"/>
      <c r="AR248" s="71">
        <f t="shared" ref="AR248" ca="1" si="2093">AR247</f>
        <v>0</v>
      </c>
      <c r="AS248" s="65"/>
      <c r="AT248" s="84"/>
      <c r="AU248" s="71">
        <f t="shared" ref="AU248" ca="1" si="2094">AU247</f>
        <v>0</v>
      </c>
      <c r="AV248" s="65"/>
      <c r="AW248" s="84"/>
      <c r="AX248" s="71">
        <f t="shared" ref="AX248" ca="1" si="2095">AX247</f>
        <v>0</v>
      </c>
      <c r="AY248" s="65"/>
      <c r="AZ248" s="84"/>
      <c r="BA248" s="71">
        <f t="shared" ref="BA248" ca="1" si="2096">BA247</f>
        <v>0</v>
      </c>
      <c r="BB248" s="65"/>
      <c r="BC248" s="84"/>
      <c r="BD248" s="71">
        <f t="shared" ref="BD248" ca="1" si="2097">BD247</f>
        <v>0</v>
      </c>
      <c r="BE248" s="65"/>
      <c r="BF248" s="84"/>
      <c r="BG248" s="71">
        <f t="shared" ref="BG248" ca="1" si="2098">BG247</f>
        <v>0</v>
      </c>
      <c r="BH248" s="65"/>
      <c r="BI248" s="84"/>
      <c r="BJ248" s="71">
        <f t="shared" ref="BJ248" ca="1" si="2099">BJ247</f>
        <v>0</v>
      </c>
      <c r="BK248" s="65"/>
      <c r="BL248" s="84"/>
      <c r="BM248" s="71">
        <f t="shared" ref="BM248" ca="1" si="2100">BM247</f>
        <v>0</v>
      </c>
      <c r="BN248" s="65"/>
      <c r="BO248" s="84"/>
      <c r="BP248" s="71">
        <f t="shared" ref="BP248" ca="1" si="2101">BP247</f>
        <v>0</v>
      </c>
      <c r="BQ248" s="65"/>
      <c r="BR248" s="84"/>
      <c r="BS248" s="71">
        <f t="shared" ref="BS248" ca="1" si="2102">BS247</f>
        <v>0</v>
      </c>
      <c r="BT248" s="65"/>
      <c r="BU248" s="84"/>
      <c r="BV248" s="71">
        <f t="shared" ref="BV248" ca="1" si="2103">BV247</f>
        <v>0</v>
      </c>
      <c r="BW248" s="65"/>
      <c r="BX248" s="84"/>
      <c r="BY248" s="71">
        <f t="shared" ref="BY248" ca="1" si="2104">BY247</f>
        <v>0</v>
      </c>
      <c r="BZ248" s="65"/>
      <c r="CA248" s="84"/>
      <c r="CB248" s="71">
        <f t="shared" ref="CB248" ca="1" si="2105">CB247</f>
        <v>0</v>
      </c>
      <c r="CC248" s="65"/>
      <c r="CD248" s="84"/>
      <c r="CE248" s="71">
        <f t="shared" ref="CE248" ca="1" si="2106">CE247</f>
        <v>0</v>
      </c>
      <c r="CF248" s="65"/>
      <c r="CG248" s="84"/>
      <c r="CH248" s="71">
        <f t="shared" ref="CH248" ca="1" si="2107">CH247</f>
        <v>0</v>
      </c>
      <c r="CI248" s="65"/>
      <c r="CJ248" s="84"/>
      <c r="CK248" s="71">
        <f t="shared" ref="CK248" ca="1" si="2108">CK247</f>
        <v>0</v>
      </c>
      <c r="CL248" s="65"/>
      <c r="CM248" s="84"/>
      <c r="CN248" s="71">
        <f t="shared" ref="CN248" ca="1" si="2109">CN247</f>
        <v>0</v>
      </c>
      <c r="CO248" s="65"/>
      <c r="CP248" s="84"/>
      <c r="CQ248" s="71">
        <f t="shared" ref="CQ248" ca="1" si="2110">CQ247</f>
        <v>0</v>
      </c>
      <c r="CR248" s="65"/>
      <c r="CS248" s="84"/>
      <c r="CT248" s="71">
        <f t="shared" ref="CT248" ca="1" si="2111">CT247</f>
        <v>0</v>
      </c>
      <c r="CU248" s="65"/>
      <c r="CV248" s="84"/>
      <c r="CW248" s="71">
        <f t="shared" ref="CW248" ca="1" si="2112">CW247</f>
        <v>0</v>
      </c>
      <c r="CX248" s="65"/>
      <c r="CY248" s="84"/>
      <c r="CZ248" s="71">
        <f t="shared" ref="CZ248" ca="1" si="2113">CZ247</f>
        <v>0</v>
      </c>
      <c r="DA248" s="65"/>
      <c r="DB248" s="84"/>
      <c r="DC248" s="71">
        <f t="shared" ref="DC248" ca="1" si="2114">DC247</f>
        <v>0</v>
      </c>
      <c r="DD248" s="65"/>
      <c r="DE248" s="84"/>
      <c r="DF248" s="71">
        <f t="shared" ref="DF248" ca="1" si="2115">DF247</f>
        <v>0</v>
      </c>
      <c r="DG248" s="65"/>
      <c r="DH248" s="84"/>
      <c r="DI248" s="71">
        <f t="shared" ref="DI248" ca="1" si="2116">DI247</f>
        <v>0</v>
      </c>
      <c r="DJ248" s="65"/>
      <c r="DK248" s="84"/>
      <c r="DL248" s="71">
        <f t="shared" ref="DL248" ca="1" si="2117">DL247</f>
        <v>0</v>
      </c>
      <c r="DM248" s="65"/>
      <c r="DN248" s="796"/>
      <c r="DO248" s="71">
        <f t="shared" ref="DO248" ca="1" si="2118">DO247</f>
        <v>0</v>
      </c>
      <c r="DP248" s="65"/>
      <c r="DQ248" s="796"/>
      <c r="DR248" s="71">
        <f t="shared" ref="DR248" ca="1" si="2119">DR247</f>
        <v>0</v>
      </c>
      <c r="DS248" s="65"/>
      <c r="DT248" s="84"/>
      <c r="DU248" s="71">
        <f t="shared" ref="DU248" ca="1" si="2120">DU247</f>
        <v>0</v>
      </c>
      <c r="DV248" s="65"/>
      <c r="DW248" s="84"/>
      <c r="DX248" s="71">
        <f t="shared" ref="DX248" ca="1" si="2121">DX247</f>
        <v>0</v>
      </c>
      <c r="DY248" s="65"/>
      <c r="DZ248" s="84"/>
      <c r="EA248" s="71">
        <f t="shared" ref="EA248" ca="1" si="2122">EA247</f>
        <v>0</v>
      </c>
      <c r="EB248" s="65"/>
      <c r="EC248" s="84"/>
      <c r="ED248" s="71">
        <f t="shared" ref="ED248" ca="1" si="2123">ED247</f>
        <v>0</v>
      </c>
      <c r="EE248" s="65"/>
      <c r="EF248" s="84"/>
      <c r="EG248" s="71">
        <f t="shared" ref="EG248" ca="1" si="2124">EG247</f>
        <v>0</v>
      </c>
      <c r="EH248" s="65"/>
      <c r="EI248" s="84"/>
      <c r="EJ248" s="71">
        <f t="shared" ref="EJ248" ca="1" si="2125">EJ247</f>
        <v>0</v>
      </c>
      <c r="EK248" s="65"/>
      <c r="EL248" s="84"/>
      <c r="EM248" s="71">
        <f t="shared" ref="EM248" ca="1" si="2126">EM247</f>
        <v>0</v>
      </c>
      <c r="EN248" s="65"/>
      <c r="EO248" s="84"/>
      <c r="EP248" s="71">
        <f t="shared" ref="EP248" ca="1" si="2127">EP247</f>
        <v>0</v>
      </c>
      <c r="EQ248" s="65"/>
      <c r="ER248" s="84"/>
      <c r="ES248" s="71">
        <f t="shared" ref="ES248" ca="1" si="2128">ES247</f>
        <v>0</v>
      </c>
      <c r="ET248" s="65"/>
      <c r="EU248" s="84"/>
      <c r="EV248" s="71">
        <f t="shared" ref="EV248" ca="1" si="2129">EV247</f>
        <v>0</v>
      </c>
      <c r="EW248" s="65"/>
      <c r="EX248" s="84"/>
      <c r="EY248" s="71">
        <f t="shared" ref="EY248" ca="1" si="2130">EY247</f>
        <v>0</v>
      </c>
      <c r="EZ248" s="65"/>
      <c r="FA248" s="84"/>
      <c r="FB248" s="71">
        <f t="shared" ref="FB248" ca="1" si="2131">FB247</f>
        <v>0</v>
      </c>
      <c r="FC248" s="65"/>
      <c r="FD248" s="84"/>
      <c r="FE248" s="71">
        <f t="shared" ref="FE248" ca="1" si="2132">FE247</f>
        <v>0</v>
      </c>
      <c r="FF248" s="65"/>
      <c r="FG248" s="84"/>
      <c r="FH248" s="71">
        <f t="shared" ref="FH248" ca="1" si="2133">FH247</f>
        <v>0</v>
      </c>
      <c r="FI248" s="65"/>
      <c r="FJ248" s="84"/>
      <c r="FK248" s="71">
        <f t="shared" ref="FK248" ca="1" si="2134">FK247</f>
        <v>0</v>
      </c>
      <c r="FL248" s="65"/>
      <c r="FM248" s="65"/>
    </row>
    <row r="249" spans="1:169" x14ac:dyDescent="0.2">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149999999999999" customHeight="1" x14ac:dyDescent="0.2">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 ca="1">WORLDCUP!AA150</f>
        <v>WF</v>
      </c>
      <c r="N250" s="25"/>
      <c r="O250" s="25"/>
      <c r="P250" s="25"/>
      <c r="Q250" s="25"/>
      <c r="R250" s="17"/>
      <c r="S250" s="76" t="s">
        <v>77</v>
      </c>
      <c r="T250" s="77">
        <f ca="1">COUNTIF($M$250,S250)*$D$39</f>
        <v>0</v>
      </c>
      <c r="U250" s="64"/>
      <c r="V250" s="76" t="s">
        <v>38</v>
      </c>
      <c r="W250" s="77">
        <f t="shared" ref="W250" ca="1" si="2136">COUNTIF($M$250,V250)*$D$39</f>
        <v>0</v>
      </c>
      <c r="X250" s="64"/>
      <c r="Y250" s="76" t="s">
        <v>38</v>
      </c>
      <c r="Z250" s="77">
        <f t="shared" ref="Z250" ca="1" si="2137">COUNTIF($M$250,Y250)*$D$39</f>
        <v>0</v>
      </c>
      <c r="AA250" s="64"/>
      <c r="AB250" s="76" t="s">
        <v>74</v>
      </c>
      <c r="AC250" s="77">
        <f t="shared" ref="AC250" ca="1" si="2138">COUNTIF($M$250,AB250)*$D$39</f>
        <v>0</v>
      </c>
      <c r="AD250" s="64"/>
      <c r="AE250" s="76" t="s">
        <v>74</v>
      </c>
      <c r="AF250" s="77">
        <f t="shared" ref="AF250" ca="1" si="2139">COUNTIF($M$250,AE250)*$D$39</f>
        <v>0</v>
      </c>
      <c r="AG250" s="64"/>
      <c r="AH250" s="76" t="s">
        <v>38</v>
      </c>
      <c r="AI250" s="77">
        <f t="shared" ref="AI250" ca="1" si="2140">COUNTIF($M$250,AH250)*$D$39</f>
        <v>0</v>
      </c>
      <c r="AJ250" s="64"/>
      <c r="AK250" s="76" t="s">
        <v>79</v>
      </c>
      <c r="AL250" s="77">
        <f t="shared" ref="AL250" ca="1" si="2141">COUNTIF($M$250,AK250)*$D$39</f>
        <v>0</v>
      </c>
      <c r="AM250" s="64"/>
      <c r="AN250" s="76" t="s">
        <v>79</v>
      </c>
      <c r="AO250" s="77">
        <f t="shared" ref="AO250" ca="1" si="2142">COUNTIF($M$250,AN250)*$D$39</f>
        <v>0</v>
      </c>
      <c r="AP250" s="64"/>
      <c r="AQ250" s="76" t="s">
        <v>38</v>
      </c>
      <c r="AR250" s="77">
        <f t="shared" ref="AR250" ca="1" si="2143">COUNTIF($M$250,AQ250)*$D$39</f>
        <v>0</v>
      </c>
      <c r="AS250" s="64"/>
      <c r="AT250" s="76" t="s">
        <v>79</v>
      </c>
      <c r="AU250" s="77">
        <f t="shared" ref="AU250" ca="1" si="2144">COUNTIF($M$250,AT250)*$D$39</f>
        <v>0</v>
      </c>
      <c r="AV250" s="64"/>
      <c r="AW250" s="76" t="s">
        <v>79</v>
      </c>
      <c r="AX250" s="77">
        <f t="shared" ref="AX250" ca="1" si="2145">COUNTIF($M$250,AW250)*$D$39</f>
        <v>0</v>
      </c>
      <c r="AY250" s="64"/>
      <c r="AZ250" s="76" t="s">
        <v>38</v>
      </c>
      <c r="BA250" s="77">
        <f t="shared" ref="BA250" ca="1" si="2146">COUNTIF($M$250,AZ250)*$D$39</f>
        <v>0</v>
      </c>
      <c r="BB250" s="64"/>
      <c r="BC250" s="76" t="s">
        <v>1258</v>
      </c>
      <c r="BD250" s="77">
        <f t="shared" ref="BD250" ca="1" si="2147">COUNTIF($M$250,BC250)*$D$39</f>
        <v>0</v>
      </c>
      <c r="BE250" s="64"/>
      <c r="BF250" s="76" t="s">
        <v>38</v>
      </c>
      <c r="BG250" s="77">
        <f t="shared" ref="BG250" ca="1" si="2148">COUNTIF($M$250,BF250)*$D$39</f>
        <v>0</v>
      </c>
      <c r="BH250" s="64"/>
      <c r="BI250" s="76" t="s">
        <v>38</v>
      </c>
      <c r="BJ250" s="77">
        <f t="shared" ref="BJ250" ca="1" si="2149">COUNTIF($M$250,BI250)*$D$39</f>
        <v>0</v>
      </c>
      <c r="BK250" s="64"/>
      <c r="BL250" s="76" t="s">
        <v>38</v>
      </c>
      <c r="BM250" s="77">
        <f t="shared" ref="BM250" ca="1" si="2150">COUNTIF($M$250,BL250)*$D$39</f>
        <v>0</v>
      </c>
      <c r="BN250" s="64"/>
      <c r="BO250" s="76" t="s">
        <v>38</v>
      </c>
      <c r="BP250" s="77">
        <f t="shared" ref="BP250" ca="1" si="2151">COUNTIF($M$250,BO250)*$D$39</f>
        <v>0</v>
      </c>
      <c r="BQ250" s="64"/>
      <c r="BR250" s="76" t="s">
        <v>79</v>
      </c>
      <c r="BS250" s="77">
        <f t="shared" ref="BS250" ca="1" si="2152">COUNTIF($M$250,BR250)*$D$39</f>
        <v>0</v>
      </c>
      <c r="BT250" s="64"/>
      <c r="BU250" s="76" t="s">
        <v>38</v>
      </c>
      <c r="BV250" s="77">
        <f t="shared" ref="BV250" ca="1" si="2153">COUNTIF($M$250,BU250)*$D$39</f>
        <v>0</v>
      </c>
      <c r="BW250" s="64"/>
      <c r="BX250" s="76" t="s">
        <v>74</v>
      </c>
      <c r="BY250" s="77">
        <f t="shared" ref="BY250" ca="1" si="2154">COUNTIF($M$250,BX250)*$D$39</f>
        <v>0</v>
      </c>
      <c r="BZ250" s="64"/>
      <c r="CA250" s="76" t="s">
        <v>38</v>
      </c>
      <c r="CB250" s="77">
        <f t="shared" ref="CB250" ca="1" si="2155">COUNTIF($M$250,CA250)*$D$39</f>
        <v>0</v>
      </c>
      <c r="CC250" s="64"/>
      <c r="CD250" s="76" t="s">
        <v>79</v>
      </c>
      <c r="CE250" s="77">
        <f t="shared" ref="CE250" ca="1" si="2156">COUNTIF($M$250,CD250)*$D$39</f>
        <v>0</v>
      </c>
      <c r="CF250" s="64"/>
      <c r="CG250" s="76" t="s">
        <v>38</v>
      </c>
      <c r="CH250" s="77">
        <f t="shared" ref="CH250" ca="1" si="2157">COUNTIF($M$250,CG250)*$D$39</f>
        <v>0</v>
      </c>
      <c r="CI250" s="64"/>
      <c r="CJ250" s="76" t="s">
        <v>38</v>
      </c>
      <c r="CK250" s="77">
        <f t="shared" ref="CK250" ca="1" si="2158">COUNTIF($M$250,CJ250)*$D$39</f>
        <v>0</v>
      </c>
      <c r="CL250" s="64"/>
      <c r="CM250" s="76" t="s">
        <v>38</v>
      </c>
      <c r="CN250" s="77">
        <f t="shared" ref="CN250" ca="1" si="2159">COUNTIF($M$250,CM250)*$D$39</f>
        <v>0</v>
      </c>
      <c r="CO250" s="64"/>
      <c r="CP250" s="76" t="s">
        <v>38</v>
      </c>
      <c r="CQ250" s="77">
        <f t="shared" ref="CQ250" ca="1" si="2160">COUNTIF($M$250,CP250)*$D$39</f>
        <v>0</v>
      </c>
      <c r="CR250" s="64"/>
      <c r="CS250" s="76" t="s">
        <v>38</v>
      </c>
      <c r="CT250" s="77">
        <f t="shared" ref="CT250" ca="1" si="2161">COUNTIF($M$250,CS250)*$D$39</f>
        <v>0</v>
      </c>
      <c r="CU250" s="64"/>
      <c r="CV250" s="76" t="s">
        <v>79</v>
      </c>
      <c r="CW250" s="77">
        <f t="shared" ref="CW250" ca="1" si="2162">COUNTIF($M$250,CV250)*$D$39</f>
        <v>0</v>
      </c>
      <c r="CX250" s="64"/>
      <c r="CY250" s="76" t="s">
        <v>76</v>
      </c>
      <c r="CZ250" s="77">
        <f t="shared" ref="CZ250" ca="1" si="2163">COUNTIF($M$250,CY250)*$D$39</f>
        <v>0</v>
      </c>
      <c r="DA250" s="64"/>
      <c r="DB250" s="76" t="s">
        <v>38</v>
      </c>
      <c r="DC250" s="77">
        <f t="shared" ref="DC250" ca="1" si="2164">COUNTIF($M$250,DB250)*$D$39</f>
        <v>0</v>
      </c>
      <c r="DD250" s="64"/>
      <c r="DE250" s="76" t="s">
        <v>1258</v>
      </c>
      <c r="DF250" s="77">
        <f t="shared" ref="DF250" ca="1" si="2165">COUNTIF($M$250,DE250)*$D$39</f>
        <v>0</v>
      </c>
      <c r="DG250" s="64"/>
      <c r="DH250" s="76" t="s">
        <v>79</v>
      </c>
      <c r="DI250" s="77">
        <f t="shared" ref="DI250" ca="1" si="2166">COUNTIF($M$250,DH250)*$D$39</f>
        <v>0</v>
      </c>
      <c r="DJ250" s="64"/>
      <c r="DK250" s="76" t="s">
        <v>74</v>
      </c>
      <c r="DL250" s="77">
        <f t="shared" ref="DL250" ca="1" si="2167">COUNTIF($M$250,DK250)*$D$39</f>
        <v>0</v>
      </c>
      <c r="DM250" s="64"/>
      <c r="DN250" s="795" t="s">
        <v>38</v>
      </c>
      <c r="DO250" s="77">
        <f t="shared" ref="DO250" ca="1" si="2168">COUNTIF($M$250,DN250)*$D$39</f>
        <v>0</v>
      </c>
      <c r="DP250" s="64"/>
      <c r="DQ250" s="795" t="s">
        <v>1258</v>
      </c>
      <c r="DR250" s="77">
        <f t="shared" ref="DR250" ca="1" si="2169">COUNTIF($M$250,DQ250)*$D$39</f>
        <v>0</v>
      </c>
      <c r="DS250" s="64"/>
      <c r="DT250" s="76" t="s">
        <v>38</v>
      </c>
      <c r="DU250" s="77">
        <f t="shared" ref="DU250" ca="1" si="2170">COUNTIF($M$250,DT250)*$D$39</f>
        <v>0</v>
      </c>
      <c r="DV250" s="64"/>
      <c r="DW250" s="76" t="s">
        <v>79</v>
      </c>
      <c r="DX250" s="77">
        <f t="shared" ref="DX250" ca="1" si="2171">COUNTIF($M$250,DW250)*$D$39</f>
        <v>0</v>
      </c>
      <c r="DY250" s="64"/>
      <c r="DZ250" s="76" t="s">
        <v>38</v>
      </c>
      <c r="EA250" s="77">
        <f t="shared" ref="EA250" ca="1" si="2172">COUNTIF($M$250,DZ250)*$D$39</f>
        <v>0</v>
      </c>
      <c r="EB250" s="64"/>
      <c r="EC250" s="76" t="s">
        <v>38</v>
      </c>
      <c r="ED250" s="77">
        <f t="shared" ref="ED250" ca="1" si="2173">COUNTIF($M$250,EC250)*$D$39</f>
        <v>0</v>
      </c>
      <c r="EE250" s="64"/>
      <c r="EF250" s="76" t="s">
        <v>38</v>
      </c>
      <c r="EG250" s="77">
        <f t="shared" ref="EG250" ca="1" si="2174">COUNTIF($M$250,EF250)*$D$39</f>
        <v>0</v>
      </c>
      <c r="EH250" s="64"/>
      <c r="EI250" s="76" t="s">
        <v>38</v>
      </c>
      <c r="EJ250" s="77">
        <f t="shared" ref="EJ250" ca="1" si="2175">COUNTIF($M$250,EI250)*$D$39</f>
        <v>0</v>
      </c>
      <c r="EK250" s="64"/>
      <c r="EL250" s="76"/>
      <c r="EM250" s="77">
        <f t="shared" ref="EM250" ca="1" si="2176">COUNTIF($M$250,EL250)*$D$39</f>
        <v>0</v>
      </c>
      <c r="EN250" s="64"/>
      <c r="EO250" s="76"/>
      <c r="EP250" s="77">
        <f t="shared" ref="EP250" ca="1" si="2177">COUNTIF($M$250,EO250)*$D$39</f>
        <v>0</v>
      </c>
      <c r="EQ250" s="64"/>
      <c r="ER250" s="76"/>
      <c r="ES250" s="77">
        <f t="shared" ref="ES250" ca="1" si="2178">COUNTIF($M$250,ER250)*$D$39</f>
        <v>0</v>
      </c>
      <c r="ET250" s="64"/>
      <c r="EU250" s="76"/>
      <c r="EV250" s="77">
        <f t="shared" ref="EV250" ca="1" si="2179">COUNTIF($M$250,EU250)*$D$39</f>
        <v>0</v>
      </c>
      <c r="EW250" s="64"/>
      <c r="EX250" s="76"/>
      <c r="EY250" s="77">
        <f t="shared" ref="EY250" ca="1" si="2180">COUNTIF($M$250,EX250)*$D$39</f>
        <v>0</v>
      </c>
      <c r="EZ250" s="64"/>
      <c r="FA250" s="76"/>
      <c r="FB250" s="77">
        <f t="shared" ref="FB250" ca="1" si="2181">COUNTIF($M$250,FA250)*$D$39</f>
        <v>0</v>
      </c>
      <c r="FC250" s="64"/>
      <c r="FD250" s="76"/>
      <c r="FE250" s="77">
        <f t="shared" ref="FE250" ca="1" si="2182">COUNTIF($M$250,FD250)*$D$39</f>
        <v>0</v>
      </c>
      <c r="FF250" s="64"/>
      <c r="FG250" s="76"/>
      <c r="FH250" s="77">
        <f t="shared" ref="FH250" ca="1" si="2183">COUNTIF($M$250,FG250)*$D$39</f>
        <v>0</v>
      </c>
      <c r="FI250" s="64"/>
      <c r="FJ250" s="76"/>
      <c r="FK250" s="77">
        <f t="shared" ref="FK250" ca="1" si="2184">COUNTIF($M$250,FJ250)*$D$39</f>
        <v>0</v>
      </c>
      <c r="FL250" s="64"/>
      <c r="FM250" s="64"/>
    </row>
    <row r="251" spans="1:169" ht="16.149999999999999" customHeight="1" x14ac:dyDescent="0.2">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 ca="1">WORLDCUP!AA151</f>
        <v>LF</v>
      </c>
      <c r="N251" s="25"/>
      <c r="O251" s="25"/>
      <c r="P251" s="25"/>
      <c r="Q251" s="25"/>
      <c r="R251" s="17"/>
      <c r="S251" s="74" t="s">
        <v>76</v>
      </c>
      <c r="T251" s="73">
        <f ca="1">COUNTIF($M$251,S251)*$D$40</f>
        <v>0</v>
      </c>
      <c r="U251" s="64"/>
      <c r="V251" s="74" t="s">
        <v>79</v>
      </c>
      <c r="W251" s="73">
        <f t="shared" ref="W251" ca="1" si="2185">COUNTIF($M$251,V251)*$D$40</f>
        <v>0</v>
      </c>
      <c r="X251" s="64"/>
      <c r="Y251" s="74" t="s">
        <v>79</v>
      </c>
      <c r="Z251" s="73">
        <f t="shared" ref="Z251" ca="1" si="2186">COUNTIF($M$251,Y251)*$D$40</f>
        <v>0</v>
      </c>
      <c r="AA251" s="64"/>
      <c r="AB251" s="74" t="s">
        <v>76</v>
      </c>
      <c r="AC251" s="73">
        <f t="shared" ref="AC251" ca="1" si="2187">COUNTIF($M$251,AB251)*$D$40</f>
        <v>0</v>
      </c>
      <c r="AD251" s="64"/>
      <c r="AE251" s="74" t="s">
        <v>1258</v>
      </c>
      <c r="AF251" s="73">
        <f t="shared" ref="AF251" ca="1" si="2188">COUNTIF($M$251,AE251)*$D$40</f>
        <v>0</v>
      </c>
      <c r="AG251" s="64"/>
      <c r="AH251" s="74" t="s">
        <v>1256</v>
      </c>
      <c r="AI251" s="73">
        <f t="shared" ref="AI251" ca="1" si="2189">COUNTIF($M$251,AH251)*$D$40</f>
        <v>0</v>
      </c>
      <c r="AJ251" s="64"/>
      <c r="AK251" s="74" t="s">
        <v>38</v>
      </c>
      <c r="AL251" s="73">
        <f t="shared" ref="AL251" ca="1" si="2190">COUNTIF($M$251,AK251)*$D$40</f>
        <v>0</v>
      </c>
      <c r="AM251" s="64"/>
      <c r="AN251" s="74" t="s">
        <v>111</v>
      </c>
      <c r="AO251" s="73">
        <f t="shared" ref="AO251" ca="1" si="2191">COUNTIF($M$251,AN251)*$D$40</f>
        <v>0</v>
      </c>
      <c r="AP251" s="64"/>
      <c r="AQ251" s="74" t="s">
        <v>1256</v>
      </c>
      <c r="AR251" s="73">
        <f t="shared" ref="AR251" ca="1" si="2192">COUNTIF($M$251,AQ251)*$D$40</f>
        <v>0</v>
      </c>
      <c r="AS251" s="64"/>
      <c r="AT251" s="74" t="s">
        <v>74</v>
      </c>
      <c r="AU251" s="73">
        <f t="shared" ref="AU251" ca="1" si="2193">COUNTIF($M$251,AT251)*$D$40</f>
        <v>0</v>
      </c>
      <c r="AV251" s="64"/>
      <c r="AW251" s="74" t="s">
        <v>74</v>
      </c>
      <c r="AX251" s="73">
        <f t="shared" ref="AX251" ca="1" si="2194">COUNTIF($M$251,AW251)*$D$40</f>
        <v>0</v>
      </c>
      <c r="AY251" s="64"/>
      <c r="AZ251" s="74" t="s">
        <v>79</v>
      </c>
      <c r="BA251" s="73">
        <f t="shared" ref="BA251" ca="1" si="2195">COUNTIF($M$251,AZ251)*$D$40</f>
        <v>0</v>
      </c>
      <c r="BB251" s="64"/>
      <c r="BC251" s="74" t="s">
        <v>38</v>
      </c>
      <c r="BD251" s="73">
        <f t="shared" ref="BD251" ca="1" si="2196">COUNTIF($M$251,BC251)*$D$40</f>
        <v>0</v>
      </c>
      <c r="BE251" s="64"/>
      <c r="BF251" s="74" t="s">
        <v>1256</v>
      </c>
      <c r="BG251" s="73">
        <f t="shared" ref="BG251" ca="1" si="2197">COUNTIF($M$251,BF251)*$D$40</f>
        <v>0</v>
      </c>
      <c r="BH251" s="64"/>
      <c r="BI251" s="74" t="s">
        <v>1258</v>
      </c>
      <c r="BJ251" s="73">
        <f t="shared" ref="BJ251" ca="1" si="2198">COUNTIF($M$251,BI251)*$D$40</f>
        <v>0</v>
      </c>
      <c r="BK251" s="64"/>
      <c r="BL251" s="74" t="s">
        <v>1256</v>
      </c>
      <c r="BM251" s="73">
        <f t="shared" ref="BM251" ca="1" si="2199">COUNTIF($M$251,BL251)*$D$40</f>
        <v>0</v>
      </c>
      <c r="BN251" s="64"/>
      <c r="BO251" s="74" t="s">
        <v>79</v>
      </c>
      <c r="BP251" s="73">
        <f t="shared" ref="BP251" ca="1" si="2200">COUNTIF($M$251,BO251)*$D$40</f>
        <v>0</v>
      </c>
      <c r="BQ251" s="64"/>
      <c r="BR251" s="74" t="s">
        <v>38</v>
      </c>
      <c r="BS251" s="73">
        <f t="shared" ref="BS251" ca="1" si="2201">COUNTIF($M$251,BR251)*$D$40</f>
        <v>0</v>
      </c>
      <c r="BT251" s="64"/>
      <c r="BU251" s="74" t="s">
        <v>79</v>
      </c>
      <c r="BV251" s="73">
        <f t="shared" ref="BV251" ca="1" si="2202">COUNTIF($M$251,BU251)*$D$40</f>
        <v>0</v>
      </c>
      <c r="BW251" s="64"/>
      <c r="BX251" s="74" t="s">
        <v>76</v>
      </c>
      <c r="BY251" s="73">
        <f t="shared" ref="BY251" ca="1" si="2203">COUNTIF($M$251,BX251)*$D$40</f>
        <v>0</v>
      </c>
      <c r="BZ251" s="64"/>
      <c r="CA251" s="74" t="s">
        <v>1256</v>
      </c>
      <c r="CB251" s="73">
        <f t="shared" ref="CB251" ca="1" si="2204">COUNTIF($M$251,CA251)*$D$40</f>
        <v>0</v>
      </c>
      <c r="CC251" s="64"/>
      <c r="CD251" s="74" t="s">
        <v>74</v>
      </c>
      <c r="CE251" s="73">
        <f t="shared" ref="CE251" ca="1" si="2205">COUNTIF($M$251,CD251)*$D$40</f>
        <v>0</v>
      </c>
      <c r="CF251" s="64"/>
      <c r="CG251" s="74" t="s">
        <v>1258</v>
      </c>
      <c r="CH251" s="73">
        <f t="shared" ref="CH251" ca="1" si="2206">COUNTIF($M$251,CG251)*$D$40</f>
        <v>0</v>
      </c>
      <c r="CI251" s="64"/>
      <c r="CJ251" s="74" t="s">
        <v>79</v>
      </c>
      <c r="CK251" s="73">
        <f t="shared" ref="CK251" ca="1" si="2207">COUNTIF($M$251,CJ251)*$D$40</f>
        <v>0</v>
      </c>
      <c r="CL251" s="64"/>
      <c r="CM251" s="74" t="s">
        <v>79</v>
      </c>
      <c r="CN251" s="73">
        <f t="shared" ref="CN251" ca="1" si="2208">COUNTIF($M$251,CM251)*$D$40</f>
        <v>0</v>
      </c>
      <c r="CO251" s="64"/>
      <c r="CP251" s="74" t="s">
        <v>79</v>
      </c>
      <c r="CQ251" s="73">
        <f t="shared" ref="CQ251" ca="1" si="2209">COUNTIF($M$251,CP251)*$D$40</f>
        <v>0</v>
      </c>
      <c r="CR251" s="64"/>
      <c r="CS251" s="74" t="s">
        <v>1256</v>
      </c>
      <c r="CT251" s="73">
        <f t="shared" ref="CT251" ca="1" si="2210">COUNTIF($M$251,CS251)*$D$40</f>
        <v>0</v>
      </c>
      <c r="CU251" s="64"/>
      <c r="CV251" s="74" t="s">
        <v>38</v>
      </c>
      <c r="CW251" s="73">
        <f t="shared" ref="CW251" ca="1" si="2211">COUNTIF($M$251,CV251)*$D$40</f>
        <v>0</v>
      </c>
      <c r="CX251" s="64"/>
      <c r="CY251" s="74" t="s">
        <v>74</v>
      </c>
      <c r="CZ251" s="73">
        <f t="shared" ref="CZ251" ca="1" si="2212">COUNTIF($M$251,CY251)*$D$40</f>
        <v>0</v>
      </c>
      <c r="DA251" s="64"/>
      <c r="DB251" s="74" t="s">
        <v>1256</v>
      </c>
      <c r="DC251" s="73">
        <f t="shared" ref="DC251" ca="1" si="2213">COUNTIF($M$251,DB251)*$D$40</f>
        <v>0</v>
      </c>
      <c r="DD251" s="64"/>
      <c r="DE251" s="74" t="s">
        <v>77</v>
      </c>
      <c r="DF251" s="73">
        <f t="shared" ref="DF251" ca="1" si="2214">COUNTIF($M$251,DE251)*$D$40</f>
        <v>0</v>
      </c>
      <c r="DG251" s="64"/>
      <c r="DH251" s="74" t="s">
        <v>74</v>
      </c>
      <c r="DI251" s="73">
        <f t="shared" ref="DI251" ca="1" si="2215">COUNTIF($M$251,DH251)*$D$40</f>
        <v>0</v>
      </c>
      <c r="DJ251" s="64"/>
      <c r="DK251" s="74" t="s">
        <v>79</v>
      </c>
      <c r="DL251" s="73">
        <f t="shared" ref="DL251" ca="1" si="2216">COUNTIF($M$251,DK251)*$D$40</f>
        <v>0</v>
      </c>
      <c r="DM251" s="64"/>
      <c r="DN251" s="795" t="s">
        <v>79</v>
      </c>
      <c r="DO251" s="73">
        <f t="shared" ref="DO251" ca="1" si="2217">COUNTIF($M$251,DN251)*$D$40</f>
        <v>0</v>
      </c>
      <c r="DP251" s="64"/>
      <c r="DQ251" s="795" t="s">
        <v>79</v>
      </c>
      <c r="DR251" s="73">
        <f t="shared" ref="DR251" ca="1" si="2218">COUNTIF($M$251,DQ251)*$D$40</f>
        <v>0</v>
      </c>
      <c r="DS251" s="64"/>
      <c r="DT251" s="74" t="s">
        <v>1258</v>
      </c>
      <c r="DU251" s="73">
        <f t="shared" ref="DU251" ca="1" si="2219">COUNTIF($M$251,DT251)*$D$40</f>
        <v>0</v>
      </c>
      <c r="DV251" s="64"/>
      <c r="DW251" s="74" t="s">
        <v>38</v>
      </c>
      <c r="DX251" s="73">
        <f t="shared" ref="DX251" ca="1" si="2220">COUNTIF($M$251,DW251)*$D$40</f>
        <v>0</v>
      </c>
      <c r="DY251" s="64"/>
      <c r="DZ251" s="74" t="s">
        <v>1256</v>
      </c>
      <c r="EA251" s="73">
        <f t="shared" ref="EA251" ca="1" si="2221">COUNTIF($M$251,DZ251)*$D$40</f>
        <v>0</v>
      </c>
      <c r="EB251" s="64"/>
      <c r="EC251" s="74" t="s">
        <v>79</v>
      </c>
      <c r="ED251" s="73">
        <f t="shared" ref="ED251" ca="1" si="2222">COUNTIF($M$251,EC251)*$D$40</f>
        <v>0</v>
      </c>
      <c r="EE251" s="64"/>
      <c r="EF251" s="74" t="s">
        <v>76</v>
      </c>
      <c r="EG251" s="73">
        <f t="shared" ref="EG251" ca="1" si="2223">COUNTIF($M$251,EF251)*$D$40</f>
        <v>0</v>
      </c>
      <c r="EH251" s="64"/>
      <c r="EI251" s="74" t="s">
        <v>79</v>
      </c>
      <c r="EJ251" s="73">
        <f t="shared" ref="EJ251" ca="1" si="2224">COUNTIF($M$251,EI251)*$D$40</f>
        <v>0</v>
      </c>
      <c r="EK251" s="64"/>
      <c r="EL251" s="74"/>
      <c r="EM251" s="73">
        <f t="shared" ref="EM251" ca="1" si="2225">COUNTIF($M$251,EL251)*$D$40</f>
        <v>0</v>
      </c>
      <c r="EN251" s="64"/>
      <c r="EO251" s="74"/>
      <c r="EP251" s="73">
        <f t="shared" ref="EP251" ca="1" si="2226">COUNTIF($M$251,EO251)*$D$40</f>
        <v>0</v>
      </c>
      <c r="EQ251" s="64"/>
      <c r="ER251" s="74"/>
      <c r="ES251" s="73">
        <f t="shared" ref="ES251" ca="1" si="2227">COUNTIF($M$251,ER251)*$D$40</f>
        <v>0</v>
      </c>
      <c r="ET251" s="64"/>
      <c r="EU251" s="74"/>
      <c r="EV251" s="73">
        <f t="shared" ref="EV251" ca="1" si="2228">COUNTIF($M$251,EU251)*$D$40</f>
        <v>0</v>
      </c>
      <c r="EW251" s="64"/>
      <c r="EX251" s="74"/>
      <c r="EY251" s="73">
        <f t="shared" ref="EY251" ca="1" si="2229">COUNTIF($M$251,EX251)*$D$40</f>
        <v>0</v>
      </c>
      <c r="EZ251" s="64"/>
      <c r="FA251" s="74"/>
      <c r="FB251" s="73">
        <f t="shared" ref="FB251" ca="1" si="2230">COUNTIF($M$251,FA251)*$D$40</f>
        <v>0</v>
      </c>
      <c r="FC251" s="64"/>
      <c r="FD251" s="74"/>
      <c r="FE251" s="73">
        <f t="shared" ref="FE251" ca="1" si="2231">COUNTIF($M$251,FD251)*$D$40</f>
        <v>0</v>
      </c>
      <c r="FF251" s="64"/>
      <c r="FG251" s="74"/>
      <c r="FH251" s="73">
        <f t="shared" ref="FH251" ca="1" si="2232">COUNTIF($M$251,FG251)*$D$40</f>
        <v>0</v>
      </c>
      <c r="FI251" s="64"/>
      <c r="FJ251" s="74"/>
      <c r="FK251" s="73">
        <f t="shared" ref="FK251" ca="1" si="2233">COUNTIF($M$251,FJ251)*$D$40</f>
        <v>0</v>
      </c>
      <c r="FL251" s="64"/>
      <c r="FM251" s="64"/>
    </row>
    <row r="252" spans="1:169" ht="16.149999999999999" customHeight="1" x14ac:dyDescent="0.2">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 ca="1">WORLDCUP!AA152</f>
        <v>W34</v>
      </c>
      <c r="N252" s="25"/>
      <c r="O252" s="25"/>
      <c r="P252" s="25"/>
      <c r="Q252" s="25"/>
      <c r="R252" s="17"/>
      <c r="S252" s="74" t="s">
        <v>38</v>
      </c>
      <c r="T252" s="73">
        <f ca="1">COUNTIF($M$252,S252)*$D$41</f>
        <v>0</v>
      </c>
      <c r="U252" s="64"/>
      <c r="V252" s="74" t="s">
        <v>74</v>
      </c>
      <c r="W252" s="73">
        <f t="shared" ref="W252" ca="1" si="2234">COUNTIF($M$252,V252)*$D$41</f>
        <v>0</v>
      </c>
      <c r="X252" s="64"/>
      <c r="Y252" s="74" t="s">
        <v>1258</v>
      </c>
      <c r="Z252" s="73">
        <f t="shared" ref="Z252" ca="1" si="2235">COUNTIF($M$252,Y252)*$D$41</f>
        <v>0</v>
      </c>
      <c r="AA252" s="64"/>
      <c r="AB252" s="74" t="s">
        <v>38</v>
      </c>
      <c r="AC252" s="73">
        <f t="shared" ref="AC252" ca="1" si="2236">COUNTIF($M$252,AB252)*$D$41</f>
        <v>0</v>
      </c>
      <c r="AD252" s="64"/>
      <c r="AE252" s="74" t="s">
        <v>38</v>
      </c>
      <c r="AF252" s="73">
        <f t="shared" ref="AF252" ca="1" si="2237">COUNTIF($M$252,AE252)*$D$41</f>
        <v>0</v>
      </c>
      <c r="AG252" s="64"/>
      <c r="AH252" s="74" t="s">
        <v>74</v>
      </c>
      <c r="AI252" s="73">
        <f t="shared" ref="AI252" ca="1" si="2238">COUNTIF($M$252,AH252)*$D$41</f>
        <v>0</v>
      </c>
      <c r="AJ252" s="64"/>
      <c r="AK252" s="74" t="s">
        <v>111</v>
      </c>
      <c r="AL252" s="73">
        <f t="shared" ref="AL252" ca="1" si="2239">COUNTIF($M$252,AK252)*$D$41</f>
        <v>0</v>
      </c>
      <c r="AM252" s="64"/>
      <c r="AN252" s="74" t="s">
        <v>76</v>
      </c>
      <c r="AO252" s="73">
        <f t="shared" ref="AO252" ca="1" si="2240">COUNTIF($M$252,AN252)*$D$41</f>
        <v>0</v>
      </c>
      <c r="AP252" s="64"/>
      <c r="AQ252" s="74" t="s">
        <v>74</v>
      </c>
      <c r="AR252" s="73">
        <f t="shared" ref="AR252" ca="1" si="2241">COUNTIF($M$252,AQ252)*$D$41</f>
        <v>0</v>
      </c>
      <c r="AS252" s="64"/>
      <c r="AT252" s="74" t="s">
        <v>38</v>
      </c>
      <c r="AU252" s="73">
        <f t="shared" ref="AU252" ca="1" si="2242">COUNTIF($M$252,AT252)*$D$41</f>
        <v>0</v>
      </c>
      <c r="AV252" s="64"/>
      <c r="AW252" s="74" t="s">
        <v>38</v>
      </c>
      <c r="AX252" s="73">
        <f t="shared" ref="AX252" ca="1" si="2243">COUNTIF($M$252,AW252)*$D$41</f>
        <v>0</v>
      </c>
      <c r="AY252" s="64"/>
      <c r="AZ252" s="74" t="s">
        <v>1258</v>
      </c>
      <c r="BA252" s="73">
        <f t="shared" ref="BA252" ca="1" si="2244">COUNTIF($M$252,AZ252)*$D$41</f>
        <v>0</v>
      </c>
      <c r="BB252" s="64"/>
      <c r="BC252" s="74" t="s">
        <v>79</v>
      </c>
      <c r="BD252" s="73">
        <f t="shared" ref="BD252" ca="1" si="2245">COUNTIF($M$252,BC252)*$D$41</f>
        <v>0</v>
      </c>
      <c r="BE252" s="64"/>
      <c r="BF252" s="74" t="s">
        <v>74</v>
      </c>
      <c r="BG252" s="73">
        <f t="shared" ref="BG252" ca="1" si="2246">COUNTIF($M$252,BF252)*$D$41</f>
        <v>0</v>
      </c>
      <c r="BH252" s="64"/>
      <c r="BI252" s="74" t="s">
        <v>79</v>
      </c>
      <c r="BJ252" s="73">
        <f t="shared" ref="BJ252" ca="1" si="2247">COUNTIF($M$252,BI252)*$D$41</f>
        <v>0</v>
      </c>
      <c r="BK252" s="64"/>
      <c r="BL252" s="74" t="s">
        <v>74</v>
      </c>
      <c r="BM252" s="73">
        <f t="shared" ref="BM252" ca="1" si="2248">COUNTIF($M$252,BL252)*$D$41</f>
        <v>0</v>
      </c>
      <c r="BN252" s="64"/>
      <c r="BO252" s="74" t="s">
        <v>74</v>
      </c>
      <c r="BP252" s="73">
        <f t="shared" ref="BP252" ca="1" si="2249">COUNTIF($M$252,BO252)*$D$41</f>
        <v>0</v>
      </c>
      <c r="BQ252" s="64"/>
      <c r="BR252" s="74" t="s">
        <v>1258</v>
      </c>
      <c r="BS252" s="73">
        <f t="shared" ref="BS252" ca="1" si="2250">COUNTIF($M$252,BR252)*$D$41</f>
        <v>0</v>
      </c>
      <c r="BT252" s="64"/>
      <c r="BU252" s="74" t="s">
        <v>74</v>
      </c>
      <c r="BV252" s="73">
        <f t="shared" ref="BV252" ca="1" si="2251">COUNTIF($M$252,BU252)*$D$41</f>
        <v>0</v>
      </c>
      <c r="BW252" s="64"/>
      <c r="BX252" s="74" t="s">
        <v>38</v>
      </c>
      <c r="BY252" s="73">
        <f t="shared" ref="BY252" ca="1" si="2252">COUNTIF($M$252,BX252)*$D$41</f>
        <v>0</v>
      </c>
      <c r="BZ252" s="64"/>
      <c r="CA252" s="74" t="s">
        <v>76</v>
      </c>
      <c r="CB252" s="73">
        <f t="shared" ref="CB252" ca="1" si="2253">COUNTIF($M$252,CA252)*$D$41</f>
        <v>0</v>
      </c>
      <c r="CC252" s="64"/>
      <c r="CD252" s="74" t="s">
        <v>38</v>
      </c>
      <c r="CE252" s="73">
        <f t="shared" ref="CE252" ca="1" si="2254">COUNTIF($M$252,CD252)*$D$41</f>
        <v>0</v>
      </c>
      <c r="CF252" s="64"/>
      <c r="CG252" s="74" t="s">
        <v>74</v>
      </c>
      <c r="CH252" s="73">
        <f t="shared" ref="CH252" ca="1" si="2255">COUNTIF($M$252,CG252)*$D$41</f>
        <v>0</v>
      </c>
      <c r="CI252" s="64"/>
      <c r="CJ252" s="74" t="s">
        <v>74</v>
      </c>
      <c r="CK252" s="73">
        <f t="shared" ref="CK252" ca="1" si="2256">COUNTIF($M$252,CJ252)*$D$41</f>
        <v>0</v>
      </c>
      <c r="CL252" s="64"/>
      <c r="CM252" s="74" t="s">
        <v>74</v>
      </c>
      <c r="CN252" s="73">
        <f t="shared" ref="CN252" ca="1" si="2257">COUNTIF($M$252,CM252)*$D$41</f>
        <v>0</v>
      </c>
      <c r="CO252" s="64"/>
      <c r="CP252" s="74" t="s">
        <v>74</v>
      </c>
      <c r="CQ252" s="73">
        <f t="shared" ref="CQ252" ca="1" si="2258">COUNTIF($M$252,CP252)*$D$41</f>
        <v>0</v>
      </c>
      <c r="CR252" s="64"/>
      <c r="CS252" s="74" t="s">
        <v>74</v>
      </c>
      <c r="CT252" s="73">
        <f t="shared" ref="CT252" ca="1" si="2259">COUNTIF($M$252,CS252)*$D$41</f>
        <v>0</v>
      </c>
      <c r="CU252" s="64"/>
      <c r="CV252" s="74" t="s">
        <v>74</v>
      </c>
      <c r="CW252" s="73">
        <f t="shared" ref="CW252" ca="1" si="2260">COUNTIF($M$252,CV252)*$D$41</f>
        <v>0</v>
      </c>
      <c r="CX252" s="64"/>
      <c r="CY252" s="74" t="s">
        <v>38</v>
      </c>
      <c r="CZ252" s="73">
        <f t="shared" ref="CZ252" ca="1" si="2261">COUNTIF($M$252,CY252)*$D$41</f>
        <v>0</v>
      </c>
      <c r="DA252" s="64"/>
      <c r="DB252" s="74" t="s">
        <v>74</v>
      </c>
      <c r="DC252" s="73">
        <f t="shared" ref="DC252" ca="1" si="2262">COUNTIF($M$252,DB252)*$D$41</f>
        <v>0</v>
      </c>
      <c r="DD252" s="64"/>
      <c r="DE252" s="74" t="s">
        <v>1256</v>
      </c>
      <c r="DF252" s="73">
        <f t="shared" ref="DF252" ca="1" si="2263">COUNTIF($M$252,DE252)*$D$41</f>
        <v>0</v>
      </c>
      <c r="DG252" s="64"/>
      <c r="DH252" s="74" t="s">
        <v>38</v>
      </c>
      <c r="DI252" s="73">
        <f t="shared" ref="DI252" ca="1" si="2264">COUNTIF($M$252,DH252)*$D$41</f>
        <v>0</v>
      </c>
      <c r="DJ252" s="64"/>
      <c r="DK252" s="74" t="s">
        <v>1261</v>
      </c>
      <c r="DL252" s="73">
        <f t="shared" ref="DL252" ca="1" si="2265">COUNTIF($M$252,DK252)*$D$41</f>
        <v>0</v>
      </c>
      <c r="DM252" s="64"/>
      <c r="DN252" s="795" t="s">
        <v>1258</v>
      </c>
      <c r="DO252" s="73">
        <f t="shared" ref="DO252" ca="1" si="2266">COUNTIF($M$252,DN252)*$D$41</f>
        <v>0</v>
      </c>
      <c r="DP252" s="64"/>
      <c r="DQ252" s="795" t="s">
        <v>76</v>
      </c>
      <c r="DR252" s="73">
        <f t="shared" ref="DR252" ca="1" si="2267">COUNTIF($M$252,DQ252)*$D$41</f>
        <v>0</v>
      </c>
      <c r="DS252" s="64"/>
      <c r="DT252" s="74" t="s">
        <v>77</v>
      </c>
      <c r="DU252" s="73">
        <f t="shared" ref="DU252" ca="1" si="2268">COUNTIF($M$252,DT252)*$D$41</f>
        <v>0</v>
      </c>
      <c r="DV252" s="64"/>
      <c r="DW252" s="74" t="s">
        <v>74</v>
      </c>
      <c r="DX252" s="73">
        <f t="shared" ref="DX252" ca="1" si="2269">COUNTIF($M$252,DW252)*$D$41</f>
        <v>0</v>
      </c>
      <c r="DY252" s="64"/>
      <c r="DZ252" s="74" t="s">
        <v>77</v>
      </c>
      <c r="EA252" s="73">
        <f t="shared" ref="EA252" ca="1" si="2270">COUNTIF($M$252,DZ252)*$D$41</f>
        <v>0</v>
      </c>
      <c r="EB252" s="64"/>
      <c r="EC252" s="74" t="s">
        <v>1258</v>
      </c>
      <c r="ED252" s="73">
        <f t="shared" ref="ED252" ca="1" si="2271">COUNTIF($M$252,EC252)*$D$41</f>
        <v>0</v>
      </c>
      <c r="EE252" s="64"/>
      <c r="EF252" s="74" t="s">
        <v>1318</v>
      </c>
      <c r="EG252" s="73">
        <f t="shared" ref="EG252" ca="1" si="2272">COUNTIF($M$252,EF252)*$D$41</f>
        <v>0</v>
      </c>
      <c r="EH252" s="64"/>
      <c r="EI252" s="74" t="s">
        <v>74</v>
      </c>
      <c r="EJ252" s="73">
        <f t="shared" ref="EJ252" ca="1" si="2273">COUNTIF($M$252,EI252)*$D$41</f>
        <v>0</v>
      </c>
      <c r="EK252" s="64"/>
      <c r="EL252" s="74"/>
      <c r="EM252" s="73">
        <f t="shared" ref="EM252" ca="1" si="2274">COUNTIF($M$252,EL252)*$D$41</f>
        <v>0</v>
      </c>
      <c r="EN252" s="64"/>
      <c r="EO252" s="74"/>
      <c r="EP252" s="73">
        <f t="shared" ref="EP252" ca="1" si="2275">COUNTIF($M$252,EO252)*$D$41</f>
        <v>0</v>
      </c>
      <c r="EQ252" s="64"/>
      <c r="ER252" s="74"/>
      <c r="ES252" s="73">
        <f t="shared" ref="ES252" ca="1" si="2276">COUNTIF($M$252,ER252)*$D$41</f>
        <v>0</v>
      </c>
      <c r="ET252" s="64"/>
      <c r="EU252" s="74"/>
      <c r="EV252" s="73">
        <f t="shared" ref="EV252" ca="1" si="2277">COUNTIF($M$252,EU252)*$D$41</f>
        <v>0</v>
      </c>
      <c r="EW252" s="64"/>
      <c r="EX252" s="74"/>
      <c r="EY252" s="73">
        <f t="shared" ref="EY252" ca="1" si="2278">COUNTIF($M$252,EX252)*$D$41</f>
        <v>0</v>
      </c>
      <c r="EZ252" s="64"/>
      <c r="FA252" s="74"/>
      <c r="FB252" s="73">
        <f t="shared" ref="FB252" ca="1" si="2279">COUNTIF($M$252,FA252)*$D$41</f>
        <v>0</v>
      </c>
      <c r="FC252" s="64"/>
      <c r="FD252" s="74"/>
      <c r="FE252" s="73">
        <f t="shared" ref="FE252" ca="1" si="2280">COUNTIF($M$252,FD252)*$D$41</f>
        <v>0</v>
      </c>
      <c r="FF252" s="64"/>
      <c r="FG252" s="74"/>
      <c r="FH252" s="73">
        <f t="shared" ref="FH252" ca="1" si="2281">COUNTIF($M$252,FG252)*$D$41</f>
        <v>0</v>
      </c>
      <c r="FI252" s="64"/>
      <c r="FJ252" s="74"/>
      <c r="FK252" s="73">
        <f t="shared" ref="FK252" ca="1" si="2282">COUNTIF($M$252,FJ252)*$D$41</f>
        <v>0</v>
      </c>
      <c r="FL252" s="64"/>
      <c r="FM252" s="64"/>
    </row>
    <row r="253" spans="1:169" ht="16.149999999999999" customHeight="1" x14ac:dyDescent="0.2">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149999999999999" customHeight="1" x14ac:dyDescent="0.2">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149999999999999" customHeight="1" x14ac:dyDescent="0.2">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149999999999999" customHeight="1" x14ac:dyDescent="0.2">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149999999999999" customHeight="1" x14ac:dyDescent="0.2">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149999999999999" customHeight="1" x14ac:dyDescent="0.2">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x14ac:dyDescent="0.2">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 ca="1">SUM(T250:T258)</f>
        <v>0</v>
      </c>
      <c r="U259" s="65"/>
      <c r="V259" s="71"/>
      <c r="W259" s="71">
        <f t="shared" ref="W259" ca="1" si="2577">SUM(W250:W258)</f>
        <v>0</v>
      </c>
      <c r="X259" s="65"/>
      <c r="Y259" s="71"/>
      <c r="Z259" s="71">
        <f t="shared" ref="Z259" ca="1" si="2578">SUM(Z250:Z258)</f>
        <v>0</v>
      </c>
      <c r="AA259" s="65"/>
      <c r="AB259" s="71"/>
      <c r="AC259" s="71">
        <f t="shared" ref="AC259" ca="1" si="2579">SUM(AC250:AC258)</f>
        <v>0</v>
      </c>
      <c r="AD259" s="65"/>
      <c r="AE259" s="71"/>
      <c r="AF259" s="71">
        <f t="shared" ref="AF259" ca="1" si="2580">SUM(AF250:AF258)</f>
        <v>0</v>
      </c>
      <c r="AG259" s="65"/>
      <c r="AH259" s="71"/>
      <c r="AI259" s="71">
        <f t="shared" ref="AI259" ca="1" si="2581">SUM(AI250:AI258)</f>
        <v>0</v>
      </c>
      <c r="AJ259" s="65"/>
      <c r="AK259" s="71"/>
      <c r="AL259" s="71">
        <f t="shared" ref="AL259" ca="1" si="2582">SUM(AL250:AL258)</f>
        <v>0</v>
      </c>
      <c r="AM259" s="65"/>
      <c r="AN259" s="71"/>
      <c r="AO259" s="71">
        <f t="shared" ref="AO259" ca="1" si="2583">SUM(AO250:AO258)</f>
        <v>0</v>
      </c>
      <c r="AP259" s="65"/>
      <c r="AQ259" s="71"/>
      <c r="AR259" s="71">
        <f t="shared" ref="AR259" ca="1" si="2584">SUM(AR250:AR258)</f>
        <v>0</v>
      </c>
      <c r="AS259" s="65"/>
      <c r="AT259" s="71"/>
      <c r="AU259" s="71">
        <f t="shared" ref="AU259" ca="1" si="2585">SUM(AU250:AU258)</f>
        <v>0</v>
      </c>
      <c r="AV259" s="65"/>
      <c r="AW259" s="71"/>
      <c r="AX259" s="71">
        <f t="shared" ref="AX259" ca="1" si="2586">SUM(AX250:AX258)</f>
        <v>0</v>
      </c>
      <c r="AY259" s="65"/>
      <c r="AZ259" s="71"/>
      <c r="BA259" s="71">
        <f t="shared" ref="BA259" ca="1" si="2587">SUM(BA250:BA258)</f>
        <v>0</v>
      </c>
      <c r="BB259" s="65"/>
      <c r="BC259" s="71"/>
      <c r="BD259" s="71">
        <f t="shared" ref="BD259" ca="1" si="2588">SUM(BD250:BD258)</f>
        <v>0</v>
      </c>
      <c r="BE259" s="65"/>
      <c r="BF259" s="71"/>
      <c r="BG259" s="71">
        <f t="shared" ref="BG259" ca="1" si="2589">SUM(BG250:BG258)</f>
        <v>0</v>
      </c>
      <c r="BH259" s="65"/>
      <c r="BI259" s="71"/>
      <c r="BJ259" s="71">
        <f t="shared" ref="BJ259" ca="1" si="2590">SUM(BJ250:BJ258)</f>
        <v>0</v>
      </c>
      <c r="BK259" s="65"/>
      <c r="BL259" s="71"/>
      <c r="BM259" s="71">
        <f t="shared" ref="BM259" ca="1" si="2591">SUM(BM250:BM258)</f>
        <v>0</v>
      </c>
      <c r="BN259" s="65"/>
      <c r="BO259" s="71"/>
      <c r="BP259" s="71">
        <f t="shared" ref="BP259" ca="1" si="2592">SUM(BP250:BP258)</f>
        <v>0</v>
      </c>
      <c r="BQ259" s="65"/>
      <c r="BR259" s="71"/>
      <c r="BS259" s="71">
        <f t="shared" ref="BS259" ca="1" si="2593">SUM(BS250:BS258)</f>
        <v>0</v>
      </c>
      <c r="BT259" s="65"/>
      <c r="BU259" s="71"/>
      <c r="BV259" s="71">
        <f t="shared" ref="BV259" ca="1" si="2594">SUM(BV250:BV258)</f>
        <v>0</v>
      </c>
      <c r="BW259" s="65"/>
      <c r="BX259" s="71"/>
      <c r="BY259" s="71">
        <f t="shared" ref="BY259" ca="1" si="2595">SUM(BY250:BY258)</f>
        <v>0</v>
      </c>
      <c r="BZ259" s="65"/>
      <c r="CA259" s="71"/>
      <c r="CB259" s="71">
        <f t="shared" ref="CB259" ca="1" si="2596">SUM(CB250:CB258)</f>
        <v>0</v>
      </c>
      <c r="CC259" s="65"/>
      <c r="CD259" s="71"/>
      <c r="CE259" s="71">
        <f t="shared" ref="CE259" ca="1" si="2597">SUM(CE250:CE258)</f>
        <v>0</v>
      </c>
      <c r="CF259" s="65"/>
      <c r="CG259" s="71"/>
      <c r="CH259" s="71">
        <f t="shared" ref="CH259" ca="1" si="2598">SUM(CH250:CH258)</f>
        <v>0</v>
      </c>
      <c r="CI259" s="65"/>
      <c r="CJ259" s="71"/>
      <c r="CK259" s="71">
        <f t="shared" ref="CK259" ca="1" si="2599">SUM(CK250:CK258)</f>
        <v>0</v>
      </c>
      <c r="CL259" s="65"/>
      <c r="CM259" s="71"/>
      <c r="CN259" s="71">
        <f t="shared" ref="CN259" ca="1" si="2600">SUM(CN250:CN258)</f>
        <v>0</v>
      </c>
      <c r="CO259" s="65"/>
      <c r="CP259" s="71"/>
      <c r="CQ259" s="71">
        <f t="shared" ref="CQ259" ca="1" si="2601">SUM(CQ250:CQ258)</f>
        <v>0</v>
      </c>
      <c r="CR259" s="65"/>
      <c r="CS259" s="71"/>
      <c r="CT259" s="71">
        <f t="shared" ref="CT259" ca="1" si="2602">SUM(CT250:CT258)</f>
        <v>0</v>
      </c>
      <c r="CU259" s="65"/>
      <c r="CV259" s="71"/>
      <c r="CW259" s="71">
        <f t="shared" ref="CW259" ca="1" si="2603">SUM(CW250:CW258)</f>
        <v>0</v>
      </c>
      <c r="CX259" s="65"/>
      <c r="CY259" s="71"/>
      <c r="CZ259" s="71">
        <f t="shared" ref="CZ259" ca="1" si="2604">SUM(CZ250:CZ258)</f>
        <v>0</v>
      </c>
      <c r="DA259" s="65"/>
      <c r="DB259" s="71"/>
      <c r="DC259" s="71">
        <f t="shared" ref="DC259" ca="1" si="2605">SUM(DC250:DC258)</f>
        <v>0</v>
      </c>
      <c r="DD259" s="65"/>
      <c r="DE259" s="71"/>
      <c r="DF259" s="71">
        <f t="shared" ref="DF259" ca="1" si="2606">SUM(DF250:DF258)</f>
        <v>0</v>
      </c>
      <c r="DG259" s="65"/>
      <c r="DH259" s="71"/>
      <c r="DI259" s="71">
        <f t="shared" ref="DI259" ca="1" si="2607">SUM(DI250:DI258)</f>
        <v>0</v>
      </c>
      <c r="DJ259" s="65"/>
      <c r="DK259" s="71"/>
      <c r="DL259" s="71">
        <f t="shared" ref="DL259" ca="1" si="2608">SUM(DL250:DL258)</f>
        <v>0</v>
      </c>
      <c r="DM259" s="65"/>
      <c r="DN259" s="71"/>
      <c r="DO259" s="71">
        <f t="shared" ref="DO259" ca="1" si="2609">SUM(DO250:DO258)</f>
        <v>0</v>
      </c>
      <c r="DP259" s="65"/>
      <c r="DQ259" s="71"/>
      <c r="DR259" s="71">
        <f t="shared" ref="DR259" ca="1" si="2610">SUM(DR250:DR258)</f>
        <v>0</v>
      </c>
      <c r="DS259" s="65"/>
      <c r="DT259" s="71"/>
      <c r="DU259" s="71">
        <f t="shared" ref="DU259" ca="1" si="2611">SUM(DU250:DU258)</f>
        <v>0</v>
      </c>
      <c r="DV259" s="65"/>
      <c r="DW259" s="71"/>
      <c r="DX259" s="71">
        <f t="shared" ref="DX259" ca="1" si="2612">SUM(DX250:DX258)</f>
        <v>0</v>
      </c>
      <c r="DY259" s="65"/>
      <c r="DZ259" s="71"/>
      <c r="EA259" s="71">
        <f t="shared" ref="EA259" ca="1" si="2613">SUM(EA250:EA258)</f>
        <v>0</v>
      </c>
      <c r="EB259" s="65"/>
      <c r="EC259" s="71"/>
      <c r="ED259" s="71">
        <f t="shared" ref="ED259" ca="1" si="2614">SUM(ED250:ED258)</f>
        <v>0</v>
      </c>
      <c r="EE259" s="65"/>
      <c r="EF259" s="71"/>
      <c r="EG259" s="71">
        <f t="shared" ref="EG259" ca="1" si="2615">SUM(EG250:EG258)</f>
        <v>0</v>
      </c>
      <c r="EH259" s="65"/>
      <c r="EI259" s="71"/>
      <c r="EJ259" s="71">
        <f t="shared" ref="EJ259" ca="1" si="2616">SUM(EJ250:EJ258)</f>
        <v>0</v>
      </c>
      <c r="EK259" s="65"/>
      <c r="EL259" s="71"/>
      <c r="EM259" s="71">
        <f t="shared" ref="EM259" ca="1" si="2617">SUM(EM250:EM258)</f>
        <v>0</v>
      </c>
      <c r="EN259" s="65"/>
      <c r="EO259" s="71"/>
      <c r="EP259" s="71">
        <f t="shared" ref="EP259" ca="1" si="2618">SUM(EP250:EP258)</f>
        <v>0</v>
      </c>
      <c r="EQ259" s="65"/>
      <c r="ER259" s="71"/>
      <c r="ES259" s="71">
        <f t="shared" ref="ES259" ca="1" si="2619">SUM(ES250:ES258)</f>
        <v>0</v>
      </c>
      <c r="ET259" s="65"/>
      <c r="EU259" s="71"/>
      <c r="EV259" s="71">
        <f t="shared" ref="EV259" ca="1" si="2620">SUM(EV250:EV258)</f>
        <v>0</v>
      </c>
      <c r="EW259" s="65"/>
      <c r="EX259" s="71"/>
      <c r="EY259" s="71">
        <f t="shared" ref="EY259" ca="1" si="2621">SUM(EY250:EY258)</f>
        <v>0</v>
      </c>
      <c r="EZ259" s="65"/>
      <c r="FA259" s="71"/>
      <c r="FB259" s="71">
        <f t="shared" ref="FB259" ca="1" si="2622">SUM(FB250:FB258)</f>
        <v>0</v>
      </c>
      <c r="FC259" s="65"/>
      <c r="FD259" s="71"/>
      <c r="FE259" s="71">
        <f t="shared" ref="FE259" ca="1" si="2623">SUM(FE250:FE258)</f>
        <v>0</v>
      </c>
      <c r="FF259" s="65"/>
      <c r="FG259" s="71"/>
      <c r="FH259" s="71">
        <f t="shared" ref="FH259" ca="1" si="2624">SUM(FH250:FH258)</f>
        <v>0</v>
      </c>
      <c r="FI259" s="65"/>
      <c r="FJ259" s="71"/>
      <c r="FK259" s="71">
        <f t="shared" ref="FK259" ca="1" si="2625">SUM(FK250:FK258)</f>
        <v>0</v>
      </c>
      <c r="FL259" s="65"/>
      <c r="FM259" s="65"/>
    </row>
    <row r="260" spans="1:169" x14ac:dyDescent="0.2">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x14ac:dyDescent="0.2">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x14ac:dyDescent="0.2">
      <c r="A262" s="17"/>
      <c r="B262" s="17"/>
      <c r="C262" s="17"/>
      <c r="D262" s="17"/>
      <c r="E262" s="89"/>
      <c r="F262" s="729"/>
      <c r="G262" s="729"/>
      <c r="H262" s="729"/>
      <c r="I262" s="17"/>
      <c r="J262" s="25" t="s">
        <v>1706</v>
      </c>
      <c r="K262" s="25"/>
      <c r="L262" s="25"/>
      <c r="M262" s="25">
        <f>DailyClas!I1</f>
        <v>46196</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x14ac:dyDescent="0.2">
      <c r="A263" s="17"/>
      <c r="B263" s="17"/>
      <c r="C263" s="17"/>
      <c r="D263" s="17"/>
      <c r="E263" s="89"/>
      <c r="F263" s="729"/>
      <c r="G263" s="729"/>
      <c r="H263" s="729"/>
      <c r="I263" s="17"/>
      <c r="J263" s="25"/>
      <c r="K263" s="25"/>
      <c r="L263" s="25"/>
      <c r="M263" s="25" t="s">
        <v>1707</v>
      </c>
      <c r="N263" s="25"/>
      <c r="O263" s="25"/>
      <c r="P263" s="25"/>
      <c r="Q263" s="25"/>
      <c r="R263" s="25"/>
      <c r="S263" s="25">
        <f ca="1">RANK(S264,OFFSET($S$264,0,0,1,$D$5*3),0)</f>
        <v>13</v>
      </c>
      <c r="T263" s="25"/>
      <c r="U263" s="25"/>
      <c r="V263" s="25">
        <f ca="1">RANK(V264,OFFSET($S$264,0,0,1,$D$5*3),0)</f>
        <v>14</v>
      </c>
      <c r="W263" s="25"/>
      <c r="X263" s="25"/>
      <c r="Y263" s="25">
        <f ca="1">RANK(Y264,OFFSET($S$264,0,0,1,$D$5*3),0)</f>
        <v>6</v>
      </c>
      <c r="Z263" s="25"/>
      <c r="AA263" s="25"/>
      <c r="AB263" s="25">
        <f ca="1">RANK(AB264,OFFSET($S$264,0,0,1,$D$5*3),0)</f>
        <v>29</v>
      </c>
      <c r="AC263" s="25"/>
      <c r="AD263" s="25"/>
      <c r="AE263" s="25">
        <f ca="1">RANK(AE264,OFFSET($S$264,0,0,1,$D$5*3),0)</f>
        <v>39</v>
      </c>
      <c r="AF263" s="25"/>
      <c r="AG263" s="25"/>
      <c r="AH263" s="25">
        <f ca="1">RANK(AH264,OFFSET($S$264,0,0,1,$D$5*3),0)</f>
        <v>18</v>
      </c>
      <c r="AI263" s="25"/>
      <c r="AJ263" s="25"/>
      <c r="AK263" s="25">
        <f ca="1">RANK(AK264,OFFSET($S$264,0,0,1,$D$5*3),0)</f>
        <v>1</v>
      </c>
      <c r="AL263" s="25"/>
      <c r="AM263" s="25"/>
      <c r="AN263" s="25">
        <f ca="1">RANK(AN264,OFFSET($S$264,0,0,1,$D$5*3),0)</f>
        <v>3</v>
      </c>
      <c r="AO263" s="25"/>
      <c r="AP263" s="25"/>
      <c r="AQ263" s="25">
        <f ca="1">RANK(AQ264,OFFSET($S$264,0,0,1,$D$5*3),0)</f>
        <v>30</v>
      </c>
      <c r="AR263" s="25"/>
      <c r="AS263" s="25"/>
      <c r="AT263" s="25">
        <f ca="1">RANK(AT264,OFFSET($S$264,0,0,1,$D$5*3),0)</f>
        <v>31</v>
      </c>
      <c r="AU263" s="25"/>
      <c r="AV263" s="25"/>
      <c r="AW263" s="25">
        <f ca="1">RANK(AW264,OFFSET($S$264,0,0,1,$D$5*3),0)</f>
        <v>32</v>
      </c>
      <c r="AX263" s="25"/>
      <c r="AY263" s="25"/>
      <c r="AZ263" s="25">
        <f ca="1">RANK(AZ264,OFFSET($S$264,0,0,1,$D$5*3),0)</f>
        <v>23</v>
      </c>
      <c r="BA263" s="25"/>
      <c r="BB263" s="25"/>
      <c r="BC263" s="25">
        <f ca="1">RANK(BC264,OFFSET($S$264,0,0,1,$D$5*3),0)</f>
        <v>7</v>
      </c>
      <c r="BD263" s="25"/>
      <c r="BE263" s="25"/>
      <c r="BF263" s="25">
        <f ca="1">RANK(BF264,OFFSET($S$264,0,0,1,$D$5*3),0)</f>
        <v>33</v>
      </c>
      <c r="BG263" s="25"/>
      <c r="BH263" s="25"/>
      <c r="BI263" s="25">
        <f ca="1">RANK(BI264,OFFSET($S$264,0,0,1,$D$5*3),0)</f>
        <v>8</v>
      </c>
      <c r="BJ263" s="25"/>
      <c r="BK263" s="25"/>
      <c r="BL263" s="25">
        <f ca="1">RANK(BL264,OFFSET($S$264,0,0,1,$D$5*3),0)</f>
        <v>9</v>
      </c>
      <c r="BM263" s="25"/>
      <c r="BN263" s="25"/>
      <c r="BO263" s="25">
        <f ca="1">RANK(BO264,OFFSET($S$264,0,0,1,$D$5*3),0)</f>
        <v>15</v>
      </c>
      <c r="BP263" s="25"/>
      <c r="BQ263" s="25"/>
      <c r="BR263" s="25">
        <f ca="1">RANK(BR264,OFFSET($S$264,0,0,1,$D$5*3),0)</f>
        <v>19</v>
      </c>
      <c r="BS263" s="25"/>
      <c r="BT263" s="25"/>
      <c r="BU263" s="25">
        <f ca="1">RANK(BU264,OFFSET($S$264,0,0,1,$D$5*3),0)</f>
        <v>16</v>
      </c>
      <c r="BV263" s="25"/>
      <c r="BW263" s="25"/>
      <c r="BX263" s="25">
        <f ca="1">RANK(BX264,OFFSET($S$264,0,0,1,$D$5*3),0)</f>
        <v>10</v>
      </c>
      <c r="BY263" s="25"/>
      <c r="BZ263" s="25"/>
      <c r="CA263" s="25">
        <f ca="1">RANK(CA264,OFFSET($S$264,0,0,1,$D$5*3),0)</f>
        <v>40</v>
      </c>
      <c r="CB263" s="25"/>
      <c r="CC263" s="25"/>
      <c r="CD263" s="25">
        <f ca="1">RANK(CD264,OFFSET($S$264,0,0,1,$D$5*3),0)</f>
        <v>41</v>
      </c>
      <c r="CE263" s="25"/>
      <c r="CF263" s="25"/>
      <c r="CG263" s="25">
        <f ca="1">RANK(CG264,OFFSET($S$264,0,0,1,$D$5*3),0)</f>
        <v>20</v>
      </c>
      <c r="CH263" s="25"/>
      <c r="CI263" s="25"/>
      <c r="CJ263" s="25">
        <f ca="1">RANK(CJ264,OFFSET($S$264,0,0,1,$D$5*3),0)</f>
        <v>24</v>
      </c>
      <c r="CK263" s="25"/>
      <c r="CL263" s="25"/>
      <c r="CM263" s="25">
        <f ca="1">RANK(CM264,OFFSET($S$264,0,0,1,$D$5*3),0)</f>
        <v>11</v>
      </c>
      <c r="CN263" s="25"/>
      <c r="CO263" s="25"/>
      <c r="CP263" s="25">
        <f ca="1">RANK(CP264,OFFSET($S$264,0,0,1,$D$5*3),0)</f>
        <v>34</v>
      </c>
      <c r="CQ263" s="25"/>
      <c r="CR263" s="25"/>
      <c r="CS263" s="25">
        <f ca="1">RANK(CS264,OFFSET($S$264,0,0,1,$D$5*3),0)</f>
        <v>35</v>
      </c>
      <c r="CT263" s="25"/>
      <c r="CU263" s="25"/>
      <c r="CV263" s="25">
        <f ca="1">RANK(CV264,OFFSET($S$264,0,0,1,$D$5*3),0)</f>
        <v>25</v>
      </c>
      <c r="CW263" s="25"/>
      <c r="CX263" s="25"/>
      <c r="CY263" s="25">
        <f ca="1">RANK(CY264,OFFSET($S$264,0,0,1,$D$5*3),0)</f>
        <v>21</v>
      </c>
      <c r="CZ263" s="25"/>
      <c r="DA263" s="25"/>
      <c r="DB263" s="25">
        <f ca="1">RANK(DB264,OFFSET($S$264,0,0,1,$D$5*3),0)</f>
        <v>12</v>
      </c>
      <c r="DC263" s="25"/>
      <c r="DD263" s="25"/>
      <c r="DE263" s="25">
        <f ca="1">RANK(DE264,OFFSET($S$264,0,0,1,$D$5*3),0)</f>
        <v>26</v>
      </c>
      <c r="DF263" s="25"/>
      <c r="DG263" s="25"/>
      <c r="DH263" s="25">
        <f ca="1">RANK(DH264,OFFSET($S$264,0,0,1,$D$5*3),0)</f>
        <v>36</v>
      </c>
      <c r="DI263" s="25"/>
      <c r="DJ263" s="25"/>
      <c r="DK263" s="25">
        <f ca="1">RANK(DK264,OFFSET($S$264,0,0,1,$D$5*3),0)</f>
        <v>4</v>
      </c>
      <c r="DL263" s="25"/>
      <c r="DM263" s="25"/>
      <c r="DN263" s="25">
        <f ca="1">RANK(DN264,OFFSET($S$264,0,0,1,$D$5*3),0)</f>
        <v>22</v>
      </c>
      <c r="DO263" s="25"/>
      <c r="DP263" s="25"/>
      <c r="DQ263" s="25">
        <f ca="1">RANK(DQ264,OFFSET($S$264,0,0,1,$D$5*3),0)</f>
        <v>27</v>
      </c>
      <c r="DR263" s="25"/>
      <c r="DS263" s="25"/>
      <c r="DT263" s="25">
        <f ca="1">RANK(DT264,OFFSET($S$264,0,0,1,$D$5*3),0)</f>
        <v>5</v>
      </c>
      <c r="DU263" s="25"/>
      <c r="DV263" s="25"/>
      <c r="DW263" s="25">
        <f ca="1">RANK(DW264,OFFSET($S$264,0,0,1,$D$5*3),0)</f>
        <v>37</v>
      </c>
      <c r="DX263" s="25"/>
      <c r="DY263" s="25"/>
      <c r="DZ263" s="25">
        <f ca="1">RANK(DZ264,OFFSET($S$264,0,0,1,$D$5*3),0)</f>
        <v>2</v>
      </c>
      <c r="EA263" s="25"/>
      <c r="EB263" s="25"/>
      <c r="EC263" s="25">
        <f ca="1">RANK(EC264,OFFSET($S$264,0,0,1,$D$5*3),0)</f>
        <v>28</v>
      </c>
      <c r="ED263" s="25"/>
      <c r="EE263" s="25"/>
      <c r="EF263" s="25">
        <f ca="1">RANK(EF264,OFFSET($S$264,0,0,1,$D$5*3),0)</f>
        <v>17</v>
      </c>
      <c r="EG263" s="25"/>
      <c r="EH263" s="25"/>
      <c r="EI263" s="25">
        <f ca="1">RANK(EI264,OFFSET($S$264,0,0,1,$D$5*3),0)</f>
        <v>38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x14ac:dyDescent="0.2">
      <c r="A264" s="17"/>
      <c r="B264" s="17"/>
      <c r="C264" s="17"/>
      <c r="D264" s="17"/>
      <c r="E264" s="89"/>
      <c r="F264" s="729"/>
      <c r="G264" s="729"/>
      <c r="H264" s="729"/>
      <c r="I264" s="17"/>
      <c r="J264" s="25"/>
      <c r="K264" s="25"/>
      <c r="L264" s="25"/>
      <c r="M264" s="25" t="s">
        <v>1709</v>
      </c>
      <c r="N264" s="25"/>
      <c r="O264" s="25"/>
      <c r="P264" s="25"/>
      <c r="Q264" s="25"/>
      <c r="R264" s="25"/>
      <c r="S264" s="25">
        <f ca="1">S266-(COLUMN()/10000)</f>
        <v>5.9981</v>
      </c>
      <c r="T264" s="25"/>
      <c r="U264" s="25"/>
      <c r="V264" s="25">
        <f t="shared" ref="V264" ca="1" si="2626">V266-(COLUMN()/10000)</f>
        <v>5.9977999999999998</v>
      </c>
      <c r="W264" s="25"/>
      <c r="X264" s="25"/>
      <c r="Y264" s="25">
        <f t="shared" ref="Y264" ca="1" si="2627">Y266-(COLUMN()/10000)</f>
        <v>6.9974999999999996</v>
      </c>
      <c r="Z264" s="25"/>
      <c r="AA264" s="25"/>
      <c r="AB264" s="25">
        <f t="shared" ref="AB264" ca="1" si="2628">AB266-(COLUMN()/10000)</f>
        <v>2.9971999999999999</v>
      </c>
      <c r="AC264" s="25"/>
      <c r="AD264" s="25"/>
      <c r="AE264" s="25">
        <f t="shared" ref="AE264" ca="1" si="2629">AE266-(COLUMN()/10000)</f>
        <v>1.9968999999999999</v>
      </c>
      <c r="AF264" s="25"/>
      <c r="AG264" s="25"/>
      <c r="AH264" s="25">
        <f t="shared" ref="AH264" ca="1" si="2630">AH266-(COLUMN()/10000)</f>
        <v>4.9965999999999999</v>
      </c>
      <c r="AI264" s="25"/>
      <c r="AJ264" s="25"/>
      <c r="AK264" s="25">
        <f t="shared" ref="AK264" ca="1" si="2631">AK266-(COLUMN()/10000)</f>
        <v>8.9962999999999997</v>
      </c>
      <c r="AL264" s="25"/>
      <c r="AM264" s="25"/>
      <c r="AN264" s="25">
        <f t="shared" ref="AN264" ca="1" si="2632">AN266-(COLUMN()/10000)</f>
        <v>7.9960000000000004</v>
      </c>
      <c r="AO264" s="25"/>
      <c r="AP264" s="25"/>
      <c r="AQ264" s="25">
        <f t="shared" ref="AQ264" ca="1" si="2633">AQ266-(COLUMN()/10000)</f>
        <v>2.9956999999999998</v>
      </c>
      <c r="AR264" s="25"/>
      <c r="AS264" s="25"/>
      <c r="AT264" s="25">
        <f t="shared" ref="AT264" ca="1" si="2634">AT266-(COLUMN()/10000)</f>
        <v>2.9954000000000001</v>
      </c>
      <c r="AU264" s="25"/>
      <c r="AV264" s="25"/>
      <c r="AW264" s="25">
        <f t="shared" ref="AW264" ca="1" si="2635">AW266-(COLUMN()/10000)</f>
        <v>2.9950999999999999</v>
      </c>
      <c r="AX264" s="25"/>
      <c r="AY264" s="25"/>
      <c r="AZ264" s="25">
        <f t="shared" ref="AZ264" ca="1" si="2636">AZ266-(COLUMN()/10000)</f>
        <v>3.9948000000000001</v>
      </c>
      <c r="BA264" s="25"/>
      <c r="BB264" s="25"/>
      <c r="BC264" s="25">
        <f t="shared" ref="BC264" ca="1" si="2637">BC266-(COLUMN()/10000)</f>
        <v>6.9945000000000004</v>
      </c>
      <c r="BD264" s="25"/>
      <c r="BE264" s="25"/>
      <c r="BF264" s="25">
        <f t="shared" ref="BF264" ca="1" si="2638">BF266-(COLUMN()/10000)</f>
        <v>2.9942000000000002</v>
      </c>
      <c r="BG264" s="25"/>
      <c r="BH264" s="25"/>
      <c r="BI264" s="25">
        <f t="shared" ref="BI264" ca="1" si="2639">BI266-(COLUMN()/10000)</f>
        <v>6.9939</v>
      </c>
      <c r="BJ264" s="25"/>
      <c r="BK264" s="25"/>
      <c r="BL264" s="25">
        <f t="shared" ref="BL264" ca="1" si="2640">BL266-(COLUMN()/10000)</f>
        <v>6.9935999999999998</v>
      </c>
      <c r="BM264" s="25"/>
      <c r="BN264" s="25"/>
      <c r="BO264" s="25">
        <f t="shared" ref="BO264" ca="1" si="2641">BO266-(COLUMN()/10000)</f>
        <v>5.9932999999999996</v>
      </c>
      <c r="BP264" s="25"/>
      <c r="BQ264" s="25"/>
      <c r="BR264" s="25">
        <f t="shared" ref="BR264" ca="1" si="2642">BR266-(COLUMN()/10000)</f>
        <v>4.9930000000000003</v>
      </c>
      <c r="BS264" s="25"/>
      <c r="BT264" s="25"/>
      <c r="BU264" s="25">
        <f t="shared" ref="BU264" ca="1" si="2643">BU266-(COLUMN()/10000)</f>
        <v>5.9927000000000001</v>
      </c>
      <c r="BV264" s="25"/>
      <c r="BW264" s="25"/>
      <c r="BX264" s="25">
        <f t="shared" ref="BX264" ca="1" si="2644">BX266-(COLUMN()/10000)</f>
        <v>6.9923999999999999</v>
      </c>
      <c r="BY264" s="25"/>
      <c r="BZ264" s="25"/>
      <c r="CA264" s="25">
        <f t="shared" ref="CA264" ca="1" si="2645">CA266-(COLUMN()/10000)</f>
        <v>1.9921</v>
      </c>
      <c r="CB264" s="25"/>
      <c r="CC264" s="25"/>
      <c r="CD264" s="25">
        <f t="shared" ref="CD264" ca="1" si="2646">CD266-(COLUMN()/10000)</f>
        <v>1.9918</v>
      </c>
      <c r="CE264" s="25"/>
      <c r="CF264" s="25"/>
      <c r="CG264" s="25">
        <f t="shared" ref="CG264" ca="1" si="2647">CG266-(COLUMN()/10000)</f>
        <v>4.9915000000000003</v>
      </c>
      <c r="CH264" s="25"/>
      <c r="CI264" s="25"/>
      <c r="CJ264" s="25">
        <f t="shared" ref="CJ264" ca="1" si="2648">CJ266-(COLUMN()/10000)</f>
        <v>3.9912000000000001</v>
      </c>
      <c r="CK264" s="25"/>
      <c r="CL264" s="25"/>
      <c r="CM264" s="25">
        <f t="shared" ref="CM264" ca="1" si="2649">CM266-(COLUMN()/10000)</f>
        <v>6.9908999999999999</v>
      </c>
      <c r="CN264" s="25"/>
      <c r="CO264" s="25"/>
      <c r="CP264" s="25">
        <f t="shared" ref="CP264" ca="1" si="2650">CP266-(COLUMN()/10000)</f>
        <v>2.9906000000000001</v>
      </c>
      <c r="CQ264" s="25"/>
      <c r="CR264" s="25"/>
      <c r="CS264" s="25">
        <f t="shared" ref="CS264" ca="1" si="2651">CS266-(COLUMN()/10000)</f>
        <v>2.9903</v>
      </c>
      <c r="CT264" s="25"/>
      <c r="CU264" s="25"/>
      <c r="CV264" s="25">
        <f t="shared" ref="CV264" ca="1" si="2652">CV266-(COLUMN()/10000)</f>
        <v>3.99</v>
      </c>
      <c r="CW264" s="25"/>
      <c r="CX264" s="25"/>
      <c r="CY264" s="25">
        <f t="shared" ref="CY264" ca="1" si="2653">CY266-(COLUMN()/10000)</f>
        <v>4.9897</v>
      </c>
      <c r="CZ264" s="25"/>
      <c r="DA264" s="25"/>
      <c r="DB264" s="25">
        <f t="shared" ref="DB264" ca="1" si="2654">DB266-(COLUMN()/10000)</f>
        <v>6.9893999999999998</v>
      </c>
      <c r="DC264" s="25"/>
      <c r="DD264" s="25"/>
      <c r="DE264" s="25">
        <f t="shared" ref="DE264" ca="1" si="2655">DE266-(COLUMN()/10000)</f>
        <v>3.9891000000000001</v>
      </c>
      <c r="DF264" s="25"/>
      <c r="DG264" s="25"/>
      <c r="DH264" s="25">
        <f t="shared" ref="DH264" ca="1" si="2656">DH266-(COLUMN()/10000)</f>
        <v>2.9887999999999999</v>
      </c>
      <c r="DI264" s="25"/>
      <c r="DJ264" s="25"/>
      <c r="DK264" s="25">
        <f t="shared" ref="DK264" ca="1" si="2657">DK266-(COLUMN()/10000)</f>
        <v>7.9885000000000002</v>
      </c>
      <c r="DL264" s="25"/>
      <c r="DM264" s="25"/>
      <c r="DN264" s="25">
        <f t="shared" ref="DN264" ca="1" si="2658">DN266-(COLUMN()/10000)</f>
        <v>4.9882</v>
      </c>
      <c r="DO264" s="25"/>
      <c r="DP264" s="25"/>
      <c r="DQ264" s="25">
        <f t="shared" ref="DQ264" ca="1" si="2659">DQ266-(COLUMN()/10000)</f>
        <v>3.9878999999999998</v>
      </c>
      <c r="DR264" s="25"/>
      <c r="DS264" s="25"/>
      <c r="DT264" s="25">
        <f t="shared" ref="DT264" ca="1" si="2660">DT266-(COLUMN()/10000)</f>
        <v>7.9875999999999996</v>
      </c>
      <c r="DU264" s="25"/>
      <c r="DV264" s="25"/>
      <c r="DW264" s="25">
        <f t="shared" ref="DW264" ca="1" si="2661">DW266-(COLUMN()/10000)</f>
        <v>2.9872999999999998</v>
      </c>
      <c r="DX264" s="25"/>
      <c r="DY264" s="25"/>
      <c r="DZ264" s="25">
        <f t="shared" ref="DZ264" ca="1" si="2662">DZ266-(COLUMN()/10000)</f>
        <v>8.9870000000000001</v>
      </c>
      <c r="EA264" s="25"/>
      <c r="EB264" s="25"/>
      <c r="EC264" s="25">
        <f t="shared" ref="EC264" ca="1" si="2663">EC266-(COLUMN()/10000)</f>
        <v>3.9866999999999999</v>
      </c>
      <c r="ED264" s="25"/>
      <c r="EE264" s="25"/>
      <c r="EF264" s="25">
        <f t="shared" ref="EF264" ca="1" si="2664">EF266-(COLUMN()/10000)</f>
        <v>5.9863999999999997</v>
      </c>
      <c r="EG264" s="25"/>
      <c r="EH264" s="25"/>
      <c r="EI264" s="25">
        <f t="shared" ref="EI264" ca="1" si="2665">EI266-(COLUMN()/10000)</f>
        <v>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x14ac:dyDescent="0.2">
      <c r="A265" s="17"/>
      <c r="B265" s="17"/>
      <c r="C265" s="17"/>
      <c r="D265" s="17"/>
      <c r="E265" s="89"/>
      <c r="F265" s="729"/>
      <c r="G265" s="729"/>
      <c r="H265" s="729"/>
      <c r="I265" s="17"/>
      <c r="J265" s="25"/>
      <c r="K265" s="25"/>
      <c r="L265" s="25"/>
      <c r="M265" s="25" t="s">
        <v>1708</v>
      </c>
      <c r="N265" s="25"/>
      <c r="O265" s="25"/>
      <c r="P265" s="25"/>
      <c r="Q265" s="25"/>
      <c r="R265" s="25"/>
      <c r="S265" s="25">
        <f ca="1">RANK(S266,OFFSET($S$266,0,0,1,$D$5*3),0)</f>
        <v>13</v>
      </c>
      <c r="T265" s="25"/>
      <c r="U265" s="25"/>
      <c r="V265" s="25">
        <f ca="1">RANK(V266,OFFSET($S$266,0,0,1,$D$5*3),0)</f>
        <v>13</v>
      </c>
      <c r="W265" s="25"/>
      <c r="X265" s="25"/>
      <c r="Y265" s="25">
        <f ca="1">RANK(Y266,OFFSET($S$266,0,0,1,$D$5*3),0)</f>
        <v>6</v>
      </c>
      <c r="Z265" s="25"/>
      <c r="AA265" s="25"/>
      <c r="AB265" s="25">
        <f ca="1">RANK(AB266,OFFSET($S$266,0,0,1,$D$5*3),0)</f>
        <v>29</v>
      </c>
      <c r="AC265" s="25"/>
      <c r="AD265" s="25"/>
      <c r="AE265" s="25">
        <f ca="1">RANK(AE266,OFFSET($S$266,0,0,1,$D$5*3),0)</f>
        <v>39</v>
      </c>
      <c r="AF265" s="25"/>
      <c r="AG265" s="25"/>
      <c r="AH265" s="25">
        <f ca="1">RANK(AH266,OFFSET($S$266,0,0,1,$D$5*3),0)</f>
        <v>18</v>
      </c>
      <c r="AI265" s="25"/>
      <c r="AJ265" s="25"/>
      <c r="AK265" s="25">
        <f ca="1">RANK(AK266,OFFSET($S$266,0,0,1,$D$5*3),0)</f>
        <v>1</v>
      </c>
      <c r="AL265" s="25"/>
      <c r="AM265" s="25"/>
      <c r="AN265" s="25">
        <f ca="1">RANK(AN266,OFFSET($S$266,0,0,1,$D$5*3),0)</f>
        <v>3</v>
      </c>
      <c r="AO265" s="25"/>
      <c r="AP265" s="25"/>
      <c r="AQ265" s="25">
        <f ca="1">RANK(AQ266,OFFSET($S$266,0,0,1,$D$5*3),0)</f>
        <v>29</v>
      </c>
      <c r="AR265" s="25"/>
      <c r="AS265" s="25"/>
      <c r="AT265" s="25">
        <f ca="1">RANK(AT266,OFFSET($S$266,0,0,1,$D$5*3),0)</f>
        <v>29</v>
      </c>
      <c r="AU265" s="25"/>
      <c r="AV265" s="25"/>
      <c r="AW265" s="25">
        <f ca="1">RANK(AW266,OFFSET($S$266,0,0,1,$D$5*3),0)</f>
        <v>29</v>
      </c>
      <c r="AX265" s="25"/>
      <c r="AY265" s="25"/>
      <c r="AZ265" s="25">
        <f ca="1">RANK(AZ266,OFFSET($S$266,0,0,1,$D$5*3),0)</f>
        <v>23</v>
      </c>
      <c r="BA265" s="25"/>
      <c r="BB265" s="25"/>
      <c r="BC265" s="25">
        <f ca="1">RANK(BC266,OFFSET($S$266,0,0,1,$D$5*3),0)</f>
        <v>6</v>
      </c>
      <c r="BD265" s="25"/>
      <c r="BE265" s="25"/>
      <c r="BF265" s="25">
        <f ca="1">RANK(BF266,OFFSET($S$266,0,0,1,$D$5*3),0)</f>
        <v>29</v>
      </c>
      <c r="BG265" s="25"/>
      <c r="BH265" s="25"/>
      <c r="BI265" s="25">
        <f ca="1">RANK(BI266,OFFSET($S$266,0,0,1,$D$5*3),0)</f>
        <v>6</v>
      </c>
      <c r="BJ265" s="25"/>
      <c r="BK265" s="25"/>
      <c r="BL265" s="25">
        <f ca="1">RANK(BL266,OFFSET($S$266,0,0,1,$D$5*3),0)</f>
        <v>6</v>
      </c>
      <c r="BM265" s="25"/>
      <c r="BN265" s="25"/>
      <c r="BO265" s="25">
        <f ca="1">RANK(BO266,OFFSET($S$266,0,0,1,$D$5*3),0)</f>
        <v>13</v>
      </c>
      <c r="BP265" s="25"/>
      <c r="BQ265" s="25"/>
      <c r="BR265" s="25">
        <f ca="1">RANK(BR266,OFFSET($S$266,0,0,1,$D$5*3),0)</f>
        <v>18</v>
      </c>
      <c r="BS265" s="25"/>
      <c r="BT265" s="25"/>
      <c r="BU265" s="25">
        <f ca="1">RANK(BU266,OFFSET($S$266,0,0,1,$D$5*3),0)</f>
        <v>13</v>
      </c>
      <c r="BV265" s="25"/>
      <c r="BW265" s="25"/>
      <c r="BX265" s="25">
        <f ca="1">RANK(BX266,OFFSET($S$266,0,0,1,$D$5*3),0)</f>
        <v>6</v>
      </c>
      <c r="BY265" s="25"/>
      <c r="BZ265" s="25"/>
      <c r="CA265" s="25">
        <f ca="1">RANK(CA266,OFFSET($S$266,0,0,1,$D$5*3),0)</f>
        <v>39</v>
      </c>
      <c r="CB265" s="25"/>
      <c r="CC265" s="25"/>
      <c r="CD265" s="25">
        <f ca="1">RANK(CD266,OFFSET($S$266,0,0,1,$D$5*3),0)</f>
        <v>39</v>
      </c>
      <c r="CE265" s="25"/>
      <c r="CF265" s="25"/>
      <c r="CG265" s="25">
        <f ca="1">RANK(CG266,OFFSET($S$266,0,0,1,$D$5*3),0)</f>
        <v>18</v>
      </c>
      <c r="CH265" s="25"/>
      <c r="CI265" s="25"/>
      <c r="CJ265" s="25">
        <f ca="1">RANK(CJ266,OFFSET($S$266,0,0,1,$D$5*3),0)</f>
        <v>23</v>
      </c>
      <c r="CK265" s="25"/>
      <c r="CL265" s="25"/>
      <c r="CM265" s="25">
        <f ca="1">RANK(CM266,OFFSET($S$266,0,0,1,$D$5*3),0)</f>
        <v>6</v>
      </c>
      <c r="CN265" s="25"/>
      <c r="CO265" s="25"/>
      <c r="CP265" s="25">
        <f ca="1">RANK(CP266,OFFSET($S$266,0,0,1,$D$5*3),0)</f>
        <v>29</v>
      </c>
      <c r="CQ265" s="25"/>
      <c r="CR265" s="25"/>
      <c r="CS265" s="25">
        <f ca="1">RANK(CS266,OFFSET($S$266,0,0,1,$D$5*3),0)</f>
        <v>29</v>
      </c>
      <c r="CT265" s="25"/>
      <c r="CU265" s="25"/>
      <c r="CV265" s="25">
        <f ca="1">RANK(CV266,OFFSET($S$266,0,0,1,$D$5*3),0)</f>
        <v>23</v>
      </c>
      <c r="CW265" s="25"/>
      <c r="CX265" s="25"/>
      <c r="CY265" s="25">
        <f ca="1">RANK(CY266,OFFSET($S$266,0,0,1,$D$5*3),0)</f>
        <v>18</v>
      </c>
      <c r="CZ265" s="25"/>
      <c r="DA265" s="25"/>
      <c r="DB265" s="25">
        <f ca="1">RANK(DB266,OFFSET($S$266,0,0,1,$D$5*3),0)</f>
        <v>6</v>
      </c>
      <c r="DC265" s="25"/>
      <c r="DD265" s="25"/>
      <c r="DE265" s="25">
        <f ca="1">RANK(DE266,OFFSET($S$266,0,0,1,$D$5*3),0)</f>
        <v>23</v>
      </c>
      <c r="DF265" s="25"/>
      <c r="DG265" s="25"/>
      <c r="DH265" s="25">
        <f ca="1">RANK(DH266,OFFSET($S$266,0,0,1,$D$5*3),0)</f>
        <v>29</v>
      </c>
      <c r="DI265" s="25"/>
      <c r="DJ265" s="25"/>
      <c r="DK265" s="25">
        <f ca="1">RANK(DK266,OFFSET($S$266,0,0,1,$D$5*3),0)</f>
        <v>3</v>
      </c>
      <c r="DL265" s="25"/>
      <c r="DM265" s="25"/>
      <c r="DN265" s="25">
        <f ca="1">RANK(DN266,OFFSET($S$266,0,0,1,$D$5*3),0)</f>
        <v>18</v>
      </c>
      <c r="DO265" s="25"/>
      <c r="DP265" s="25"/>
      <c r="DQ265" s="25">
        <f ca="1">RANK(DQ266,OFFSET($S$266,0,0,1,$D$5*3),0)</f>
        <v>23</v>
      </c>
      <c r="DR265" s="25"/>
      <c r="DS265" s="25"/>
      <c r="DT265" s="25">
        <f ca="1">RANK(DT266,OFFSET($S$266,0,0,1,$D$5*3),0)</f>
        <v>3</v>
      </c>
      <c r="DU265" s="25"/>
      <c r="DV265" s="25"/>
      <c r="DW265" s="25">
        <f ca="1">RANK(DW266,OFFSET($S$266,0,0,1,$D$5*3),0)</f>
        <v>29</v>
      </c>
      <c r="DX265" s="25"/>
      <c r="DY265" s="25"/>
      <c r="DZ265" s="25">
        <f ca="1">RANK(DZ266,OFFSET($S$266,0,0,1,$D$5*3),0)</f>
        <v>1</v>
      </c>
      <c r="EA265" s="25"/>
      <c r="EB265" s="25"/>
      <c r="EC265" s="25">
        <f ca="1">RANK(EC266,OFFSET($S$266,0,0,1,$D$5*3),0)</f>
        <v>23</v>
      </c>
      <c r="ED265" s="25"/>
      <c r="EE265" s="25"/>
      <c r="EF265" s="25">
        <f ca="1">RANK(EF266,OFFSET($S$266,0,0,1,$D$5*3),0)</f>
        <v>13</v>
      </c>
      <c r="EG265" s="25"/>
      <c r="EH265" s="25"/>
      <c r="EI265" s="25">
        <f ca="1">RANK(EI266,OFFSET($S$266,0,0,1,$D$5*3),0)</f>
        <v>29</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x14ac:dyDescent="0.2">
      <c r="A266" s="17"/>
      <c r="B266" s="17"/>
      <c r="C266" s="17"/>
      <c r="D266" s="17"/>
      <c r="E266" s="89"/>
      <c r="F266" s="729"/>
      <c r="G266" s="729"/>
      <c r="H266" s="729"/>
      <c r="I266" s="17"/>
      <c r="J266" s="25"/>
      <c r="K266" s="25"/>
      <c r="L266" s="25"/>
      <c r="M266" s="25" t="s">
        <v>614</v>
      </c>
      <c r="N266" s="25"/>
      <c r="O266" s="25"/>
      <c r="P266" s="25"/>
      <c r="Q266" s="25"/>
      <c r="R266" s="25"/>
      <c r="S266" s="25">
        <f ca="1">SUMIFS((T6:T259),$H$6:$H$259,$M$262)</f>
        <v>6</v>
      </c>
      <c r="T266" s="25"/>
      <c r="U266" s="25"/>
      <c r="V266" s="25">
        <f ca="1">SUMIFS((W6:W259),$H$6:$H$259,$M$262)</f>
        <v>6</v>
      </c>
      <c r="W266" s="25"/>
      <c r="X266" s="25"/>
      <c r="Y266" s="25">
        <f ca="1">SUMIFS((Z6:Z259),$H$6:$H$259,$M$262)</f>
        <v>7</v>
      </c>
      <c r="Z266" s="25"/>
      <c r="AA266" s="25"/>
      <c r="AB266" s="25">
        <f ca="1">SUMIFS((AC6:AC259),$H$6:$H$259,$M$262)</f>
        <v>3</v>
      </c>
      <c r="AC266" s="25"/>
      <c r="AD266" s="25"/>
      <c r="AE266" s="25">
        <f ca="1">SUMIFS((AF6:AF259),$H$6:$H$259,$M$262)</f>
        <v>2</v>
      </c>
      <c r="AF266" s="25"/>
      <c r="AG266" s="25"/>
      <c r="AH266" s="25">
        <f ca="1">SUMIFS((AI6:AI259),$H$6:$H$259,$M$262)</f>
        <v>5</v>
      </c>
      <c r="AI266" s="25"/>
      <c r="AJ266" s="25"/>
      <c r="AK266" s="25">
        <f ca="1">SUMIFS((AL6:AL259),$H$6:$H$259,$M$262)</f>
        <v>9</v>
      </c>
      <c r="AL266" s="25"/>
      <c r="AM266" s="25"/>
      <c r="AN266" s="25">
        <f ca="1">SUMIFS((AO6:AO259),$H$6:$H$259,$M$262)</f>
        <v>8</v>
      </c>
      <c r="AO266" s="25"/>
      <c r="AP266" s="25"/>
      <c r="AQ266" s="25">
        <f ca="1">SUMIFS((AR6:AR259),$H$6:$H$259,$M$262)</f>
        <v>3</v>
      </c>
      <c r="AR266" s="25"/>
      <c r="AS266" s="25"/>
      <c r="AT266" s="25">
        <f ca="1">SUMIFS((AU6:AU259),$H$6:$H$259,$M$262)</f>
        <v>3</v>
      </c>
      <c r="AU266" s="25"/>
      <c r="AV266" s="25"/>
      <c r="AW266" s="25">
        <f ca="1">SUMIFS((AX6:AX259),$H$6:$H$259,$M$262)</f>
        <v>3</v>
      </c>
      <c r="AX266" s="25"/>
      <c r="AY266" s="25"/>
      <c r="AZ266" s="25">
        <f ca="1">SUMIFS((BA6:BA259),$H$6:$H$259,$M$262)</f>
        <v>4</v>
      </c>
      <c r="BA266" s="25"/>
      <c r="BB266" s="25"/>
      <c r="BC266" s="25">
        <f ca="1">SUMIFS((BD6:BD259),$H$6:$H$259,$M$262)</f>
        <v>7</v>
      </c>
      <c r="BD266" s="25"/>
      <c r="BE266" s="25"/>
      <c r="BF266" s="25">
        <f ca="1">SUMIFS((BG6:BG259),$H$6:$H$259,$M$262)</f>
        <v>3</v>
      </c>
      <c r="BG266" s="25"/>
      <c r="BH266" s="25"/>
      <c r="BI266" s="25">
        <f ca="1">SUMIFS((BJ6:BJ259),$H$6:$H$259,$M$262)</f>
        <v>7</v>
      </c>
      <c r="BJ266" s="25"/>
      <c r="BK266" s="25"/>
      <c r="BL266" s="25">
        <f ca="1">SUMIFS((BM6:BM259),$H$6:$H$259,$M$262)</f>
        <v>7</v>
      </c>
      <c r="BM266" s="25"/>
      <c r="BN266" s="25"/>
      <c r="BO266" s="25">
        <f ca="1">SUMIFS((BP6:BP259),$H$6:$H$259,$M$262)</f>
        <v>6</v>
      </c>
      <c r="BP266" s="25"/>
      <c r="BQ266" s="25"/>
      <c r="BR266" s="25">
        <f ca="1">SUMIFS((BS6:BS259),$H$6:$H$259,$M$262)</f>
        <v>5</v>
      </c>
      <c r="BS266" s="25"/>
      <c r="BT266" s="25"/>
      <c r="BU266" s="25">
        <f ca="1">SUMIFS((BV6:BV259),$H$6:$H$259,$M$262)</f>
        <v>6</v>
      </c>
      <c r="BV266" s="25"/>
      <c r="BW266" s="25"/>
      <c r="BX266" s="25">
        <f ca="1">SUMIFS((BY6:BY259),$H$6:$H$259,$M$262)</f>
        <v>7</v>
      </c>
      <c r="BY266" s="25"/>
      <c r="BZ266" s="25"/>
      <c r="CA266" s="25">
        <f ca="1">SUMIFS((CB6:CB259),$H$6:$H$259,$M$262)</f>
        <v>2</v>
      </c>
      <c r="CB266" s="25"/>
      <c r="CC266" s="25"/>
      <c r="CD266" s="25">
        <f ca="1">SUMIFS((CE6:CE259),$H$6:$H$259,$M$262)</f>
        <v>2</v>
      </c>
      <c r="CE266" s="25"/>
      <c r="CF266" s="25"/>
      <c r="CG266" s="25">
        <f ca="1">SUMIFS((CH6:CH259),$H$6:$H$259,$M$262)</f>
        <v>5</v>
      </c>
      <c r="CH266" s="25"/>
      <c r="CI266" s="25"/>
      <c r="CJ266" s="25">
        <f ca="1">SUMIFS((CK6:CK259),$H$6:$H$259,$M$262)</f>
        <v>4</v>
      </c>
      <c r="CK266" s="25"/>
      <c r="CL266" s="25"/>
      <c r="CM266" s="25">
        <f ca="1">SUMIFS((CN6:CN259),$H$6:$H$259,$M$262)</f>
        <v>7</v>
      </c>
      <c r="CN266" s="25"/>
      <c r="CO266" s="25"/>
      <c r="CP266" s="25">
        <f ca="1">SUMIFS((CQ6:CQ259),$H$6:$H$259,$M$262)</f>
        <v>3</v>
      </c>
      <c r="CQ266" s="25"/>
      <c r="CR266" s="25"/>
      <c r="CS266" s="25">
        <f ca="1">SUMIFS((CT6:CT259),$H$6:$H$259,$M$262)</f>
        <v>3</v>
      </c>
      <c r="CT266" s="25"/>
      <c r="CU266" s="25"/>
      <c r="CV266" s="25">
        <f ca="1">SUMIFS((CW6:CW259),$H$6:$H$259,$M$262)</f>
        <v>4</v>
      </c>
      <c r="CW266" s="25"/>
      <c r="CX266" s="25"/>
      <c r="CY266" s="25">
        <f ca="1">SUMIFS((CZ6:CZ259),$H$6:$H$259,$M$262)</f>
        <v>5</v>
      </c>
      <c r="CZ266" s="25"/>
      <c r="DA266" s="25"/>
      <c r="DB266" s="25">
        <f ca="1">SUMIFS((DC6:DC259),$H$6:$H$259,$M$262)</f>
        <v>7</v>
      </c>
      <c r="DC266" s="25"/>
      <c r="DD266" s="25"/>
      <c r="DE266" s="25">
        <f ca="1">SUMIFS((DF6:DF259),$H$6:$H$259,$M$262)</f>
        <v>4</v>
      </c>
      <c r="DF266" s="25"/>
      <c r="DG266" s="25"/>
      <c r="DH266" s="25">
        <f ca="1">SUMIFS((DI6:DI259),$H$6:$H$259,$M$262)</f>
        <v>3</v>
      </c>
      <c r="DI266" s="25"/>
      <c r="DJ266" s="25"/>
      <c r="DK266" s="25">
        <f ca="1">SUMIFS((DL6:DL259),$H$6:$H$259,$M$262)</f>
        <v>8</v>
      </c>
      <c r="DL266" s="25"/>
      <c r="DM266" s="25"/>
      <c r="DN266" s="25">
        <f ca="1">SUMIFS((DO6:DO259),$H$6:$H$259,$M$262)</f>
        <v>5</v>
      </c>
      <c r="DO266" s="25"/>
      <c r="DP266" s="25"/>
      <c r="DQ266" s="25">
        <f ca="1">SUMIFS((DR6:DR259),$H$6:$H$259,$M$262)</f>
        <v>4</v>
      </c>
      <c r="DR266" s="25"/>
      <c r="DS266" s="25"/>
      <c r="DT266" s="25">
        <f ca="1">SUMIFS((DU6:DU259),$H$6:$H$259,$M$262)</f>
        <v>8</v>
      </c>
      <c r="DU266" s="25"/>
      <c r="DV266" s="25"/>
      <c r="DW266" s="25">
        <f ca="1">SUMIFS((DX6:DX259),$H$6:$H$259,$M$262)</f>
        <v>3</v>
      </c>
      <c r="DX266" s="25"/>
      <c r="DY266" s="25"/>
      <c r="DZ266" s="25">
        <f ca="1">SUMIFS((EA6:EA259),$H$6:$H$259,$M$262)</f>
        <v>9</v>
      </c>
      <c r="EA266" s="25"/>
      <c r="EB266" s="25"/>
      <c r="EC266" s="25">
        <f ca="1">SUMIFS((ED6:ED259),$H$6:$H$259,$M$262)</f>
        <v>4</v>
      </c>
      <c r="ED266" s="25"/>
      <c r="EE266" s="25"/>
      <c r="EF266" s="25">
        <f ca="1">SUMIFS((EG6:EG259),$H$6:$H$259,$M$262)</f>
        <v>6</v>
      </c>
      <c r="EG266" s="25"/>
      <c r="EH266" s="25"/>
      <c r="EI266" s="25">
        <f ca="1">SUMIFS((EJ6:EJ259),$H$6:$H$259,$M$262)</f>
        <v>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x14ac:dyDescent="0.2">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x14ac:dyDescent="0.2">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x14ac:dyDescent="0.2">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5" zoomScale="85" zoomScaleNormal="85" workbookViewId="0">
      <selection activeCell="E26" sqref="E26"/>
    </sheetView>
  </sheetViews>
  <sheetFormatPr defaultColWidth="0" defaultRowHeight="15" x14ac:dyDescent="0.2"/>
  <cols>
    <col min="1" max="1" width="4.70703125" style="7" customWidth="1"/>
    <col min="2" max="2" width="4.70703125" style="1" bestFit="1" customWidth="1"/>
    <col min="3" max="3" width="22.59765625" style="1" customWidth="1"/>
    <col min="4" max="21" width="10.76171875" style="1" customWidth="1"/>
    <col min="22" max="16384" width="10.76171875" style="1" hidden="1"/>
  </cols>
  <sheetData>
    <row r="1" spans="1:21" ht="46.5" thickBot="1" x14ac:dyDescent="0.25">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x14ac:dyDescent="0.2">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x14ac:dyDescent="0.25">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5" thickTop="1" thickBot="1" x14ac:dyDescent="0.25">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x14ac:dyDescent="0.2">
      <c r="A5" s="19">
        <f>ROW()-4</f>
        <v>1</v>
      </c>
      <c r="B5" s="22">
        <f ca="1">IFERROR(HLOOKUP(A5,Rango_Admin_Clas,3,FALSE),"-")</f>
        <v>1</v>
      </c>
      <c r="C5" s="18" t="str">
        <f ca="1">IFERROR(HLOOKUP(A5,Rango_Admin_Clas,5,FALSE),"-")</f>
        <v>Carlos Murciano</v>
      </c>
      <c r="D5" s="91">
        <f ca="1">IFERROR(HLOOKUP(A5,Rango_Admin_Clas,4,FALSE),"-")</f>
        <v>177</v>
      </c>
      <c r="E5" s="92" cm="1">
        <f t="array" aca="1" ref="E5" ca="1">IFERROR(INDEX(Rango_Admin_Clas_Total,E$2,MATCH($A5,Rango_Admin_Clas_Primera,0)+1),"-")</f>
        <v>89</v>
      </c>
      <c r="F5" s="92" cm="1">
        <f t="array" aca="1" ref="F5" ca="1">IFERROR(INDEX(Rango_Admin_Clas_Total,F$2,MATCH($A5,Rango_Admin_Clas_Primera,0)+1),"-")</f>
        <v>46</v>
      </c>
      <c r="G5" s="92" cm="1">
        <f t="array" aca="1" ref="G5" ca="1">IFERROR(INDEX(Rango_Admin_Clas_Total,G$2,MATCH($A5,Rango_Admin_Clas_Primera,0)+1),"-")</f>
        <v>42</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x14ac:dyDescent="0.2">
      <c r="A6" s="19">
        <f t="shared" ref="A6:A54" si="0">ROW()-4</f>
        <v>2</v>
      </c>
      <c r="B6" s="22">
        <f ca="1">IFERROR(HLOOKUP(A6,Rango_Admin_Clas,3,FALSE),"-")</f>
        <v>1</v>
      </c>
      <c r="C6" s="18" t="str">
        <f ca="1">IFERROR(HLOOKUP(A6,Rango_Admin_Clas,5,FALSE),"-")</f>
        <v>IGNACIO LAFUENTE</v>
      </c>
      <c r="D6" s="91">
        <f ca="1">IFERROR(HLOOKUP(A6,Rango_Admin_Clas,4,FALSE),"-")</f>
        <v>177</v>
      </c>
      <c r="E6" s="92" cm="1">
        <f t="array" aca="1" ref="E6" ca="1">IFERROR(INDEX(Rango_Admin_Clas_Total,E$2,MATCH($A6,Rango_Admin_Clas_Primera,0)+1),"-")</f>
        <v>82</v>
      </c>
      <c r="F6" s="92" cm="1">
        <f t="array" aca="1" ref="F6" ca="1">IFERROR(INDEX(Rango_Admin_Clas_Total,F$2,MATCH($A6,Rango_Admin_Clas_Primera,0)+1),"-")</f>
        <v>50</v>
      </c>
      <c r="G6" s="92" cm="1">
        <f t="array" aca="1" ref="G6" ca="1">IFERROR(INDEX(Rango_Admin_Clas_Total,G$2,MATCH($A6,Rango_Admin_Clas_Primera,0)+1),"-")</f>
        <v>45</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x14ac:dyDescent="0.2">
      <c r="A7" s="19">
        <f t="shared" si="0"/>
        <v>3</v>
      </c>
      <c r="B7" s="22">
        <f ca="1">IFERROR(HLOOKUP(A7,Rango_Admin_Clas,3,FALSE),"-")</f>
        <v>3</v>
      </c>
      <c r="C7" s="18" t="str">
        <f ca="1">IFERROR(HLOOKUP(A7,Rango_Admin_Clas,5,FALSE),"-")</f>
        <v>Jaime Lafuente</v>
      </c>
      <c r="D7" s="91">
        <f ca="1">IFERROR(HLOOKUP(A7,Rango_Admin_Clas,4,FALSE),"-")</f>
        <v>168</v>
      </c>
      <c r="E7" s="92" cm="1">
        <f t="array" aca="1" ref="E7" ca="1">IFERROR(INDEX(Rango_Admin_Clas_Total,E$2,MATCH($A7,Rango_Admin_Clas_Primera,0)+1),"-")</f>
        <v>80</v>
      </c>
      <c r="F7" s="92" cm="1">
        <f t="array" aca="1" ref="F7" ca="1">IFERROR(INDEX(Rango_Admin_Clas_Total,F$2,MATCH($A7,Rango_Admin_Clas_Primera,0)+1),"-")</f>
        <v>46</v>
      </c>
      <c r="G7" s="92" cm="1">
        <f t="array" aca="1" ref="G7" ca="1">IFERROR(INDEX(Rango_Admin_Clas_Total,G$2,MATCH($A7,Rango_Admin_Clas_Primera,0)+1),"-")</f>
        <v>42</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x14ac:dyDescent="0.2">
      <c r="A8" s="19">
        <f t="shared" si="0"/>
        <v>4</v>
      </c>
      <c r="B8" s="22">
        <f ca="1">IFERROR(HLOOKUP(A8,Rango_Admin_Clas,3,FALSE),"-")</f>
        <v>4</v>
      </c>
      <c r="C8" s="18" t="str">
        <f ca="1">IFERROR(HLOOKUP(A8,Rango_Admin_Clas,5,FALSE),"-")</f>
        <v>Kurtischamp</v>
      </c>
      <c r="D8" s="91">
        <f ca="1">IFERROR(HLOOKUP(A8,Rango_Admin_Clas,4,FALSE),"-")</f>
        <v>165</v>
      </c>
      <c r="E8" s="92" cm="1">
        <f t="array" aca="1" ref="E8" ca="1">IFERROR(INDEX(Rango_Admin_Clas_Total,E$2,MATCH($A8,Rango_Admin_Clas_Primera,0)+1),"-")</f>
        <v>64</v>
      </c>
      <c r="F8" s="92" cm="1">
        <f t="array" aca="1" ref="F8" ca="1">IFERROR(INDEX(Rango_Admin_Clas_Total,F$2,MATCH($A8,Rango_Admin_Clas_Primera,0)+1),"-")</f>
        <v>56</v>
      </c>
      <c r="G8" s="92" cm="1">
        <f t="array" aca="1" ref="G8" ca="1">IFERROR(INDEX(Rango_Admin_Clas_Total,G$2,MATCH($A8,Rango_Admin_Clas_Primera,0)+1),"-")</f>
        <v>45</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x14ac:dyDescent="0.2">
      <c r="A9" s="19">
        <f t="shared" si="0"/>
        <v>5</v>
      </c>
      <c r="B9" s="22">
        <f ca="1">IFERROR(HLOOKUP(A9,Rango_Admin_Clas,3,FALSE),"-")</f>
        <v>5</v>
      </c>
      <c r="C9" s="18" t="str">
        <f ca="1">IFERROR(HLOOKUP(A9,Rango_Admin_Clas,5,FALSE),"-")</f>
        <v>Alejandro Lafuente</v>
      </c>
      <c r="D9" s="91">
        <f ca="1">IFERROR(HLOOKUP(A9,Rango_Admin_Clas,4,FALSE),"-")</f>
        <v>163</v>
      </c>
      <c r="E9" s="92" cm="1">
        <f t="array" aca="1" ref="E9" ca="1">IFERROR(INDEX(Rango_Admin_Clas_Total,E$2,MATCH($A9,Rango_Admin_Clas_Primera,0)+1),"-")</f>
        <v>70</v>
      </c>
      <c r="F9" s="92" cm="1">
        <f t="array" aca="1" ref="F9" ca="1">IFERROR(INDEX(Rango_Admin_Clas_Total,F$2,MATCH($A9,Rango_Admin_Clas_Primera,0)+1),"-")</f>
        <v>48</v>
      </c>
      <c r="G9" s="92" cm="1">
        <f t="array" aca="1" ref="G9" ca="1">IFERROR(INDEX(Rango_Admin_Clas_Total,G$2,MATCH($A9,Rango_Admin_Clas_Primera,0)+1),"-")</f>
        <v>45</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x14ac:dyDescent="0.2">
      <c r="A10" s="19">
        <f t="shared" si="0"/>
        <v>6</v>
      </c>
      <c r="B10" s="22">
        <f ca="1">IFERROR(HLOOKUP(A10,Rango_Admin_Clas,3,FALSE),"-")</f>
        <v>5</v>
      </c>
      <c r="C10" s="18" t="str">
        <f ca="1">IFERROR(HLOOKUP(A10,Rango_Admin_Clas,5,FALSE),"-")</f>
        <v>JCU</v>
      </c>
      <c r="D10" s="91">
        <f ca="1">IFERROR(HLOOKUP(A10,Rango_Admin_Clas,4,FALSE),"-")</f>
        <v>163</v>
      </c>
      <c r="E10" s="92" cm="1">
        <f t="array" aca="1" ref="E10" ca="1">IFERROR(INDEX(Rango_Admin_Clas_Total,E$2,MATCH($A10,Rango_Admin_Clas_Primera,0)+1),"-")</f>
        <v>68</v>
      </c>
      <c r="F10" s="92" cm="1">
        <f t="array" aca="1" ref="F10" ca="1">IFERROR(INDEX(Rango_Admin_Clas_Total,F$2,MATCH($A10,Rango_Admin_Clas_Primera,0)+1),"-")</f>
        <v>50</v>
      </c>
      <c r="G10" s="92" cm="1">
        <f t="array" aca="1" ref="G10" ca="1">IFERROR(INDEX(Rango_Admin_Clas_Total,G$2,MATCH($A10,Rango_Admin_Clas_Primera,0)+1),"-")</f>
        <v>45</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x14ac:dyDescent="0.2">
      <c r="A11" s="19">
        <f t="shared" si="0"/>
        <v>7</v>
      </c>
      <c r="B11" s="22">
        <f ca="1">IFERROR(HLOOKUP(A11,Rango_Admin_Clas,3,FALSE),"-")</f>
        <v>5</v>
      </c>
      <c r="C11" s="18" t="str">
        <f ca="1">IFERROR(HLOOKUP(A11,Rango_Admin_Clas,5,FALSE),"-")</f>
        <v>Migay Marcos</v>
      </c>
      <c r="D11" s="91">
        <f ca="1">IFERROR(HLOOKUP(A11,Rango_Admin_Clas,4,FALSE),"-")</f>
        <v>163</v>
      </c>
      <c r="E11" s="92" cm="1">
        <f t="array" aca="1" ref="E11" ca="1">IFERROR(INDEX(Rango_Admin_Clas_Total,E$2,MATCH($A11,Rango_Admin_Clas_Primera,0)+1),"-")</f>
        <v>76</v>
      </c>
      <c r="F11" s="92" cm="1">
        <f t="array" aca="1" ref="F11" ca="1">IFERROR(INDEX(Rango_Admin_Clas_Total,F$2,MATCH($A11,Rango_Admin_Clas_Primera,0)+1),"-")</f>
        <v>42</v>
      </c>
      <c r="G11" s="92" cm="1">
        <f t="array" aca="1" ref="G11" ca="1">IFERROR(INDEX(Rango_Admin_Clas_Total,G$2,MATCH($A11,Rango_Admin_Clas_Primera,0)+1),"-")</f>
        <v>45</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x14ac:dyDescent="0.2">
      <c r="A12" s="19">
        <f t="shared" si="0"/>
        <v>8</v>
      </c>
      <c r="B12" s="22">
        <f ca="1">IFERROR(HLOOKUP(A12,Rango_Admin_Clas,3,FALSE),"-")</f>
        <v>5</v>
      </c>
      <c r="C12" s="18" t="str">
        <f ca="1">IFERROR(HLOOKUP(A12,Rango_Admin_Clas,5,FALSE),"-")</f>
        <v>Lucas Oriol</v>
      </c>
      <c r="D12" s="91">
        <f ca="1">IFERROR(HLOOKUP(A12,Rango_Admin_Clas,4,FALSE),"-")</f>
        <v>163</v>
      </c>
      <c r="E12" s="92" cm="1">
        <f t="array" aca="1" ref="E12" ca="1">IFERROR(INDEX(Rango_Admin_Clas_Total,E$2,MATCH($A12,Rango_Admin_Clas_Primera,0)+1),"-")</f>
        <v>74</v>
      </c>
      <c r="F12" s="92" cm="1">
        <f t="array" aca="1" ref="F12" ca="1">IFERROR(INDEX(Rango_Admin_Clas_Total,F$2,MATCH($A12,Rango_Admin_Clas_Primera,0)+1),"-")</f>
        <v>44</v>
      </c>
      <c r="G12" s="92" cm="1">
        <f t="array" aca="1" ref="G12" ca="1">IFERROR(INDEX(Rango_Admin_Clas_Total,G$2,MATCH($A12,Rango_Admin_Clas_Primera,0)+1),"-")</f>
        <v>45</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x14ac:dyDescent="0.2">
      <c r="A13" s="19">
        <f t="shared" si="0"/>
        <v>9</v>
      </c>
      <c r="B13" s="22">
        <f ca="1">IFERROR(HLOOKUP(A13,Rango_Admin_Clas,3,FALSE),"-")</f>
        <v>5</v>
      </c>
      <c r="C13" s="18" t="str">
        <f ca="1">IFERROR(HLOOKUP(A13,Rango_Admin_Clas,5,FALSE),"-")</f>
        <v>Fernando Carlos García-Ramos Redondo</v>
      </c>
      <c r="D13" s="91">
        <f ca="1">IFERROR(HLOOKUP(A13,Rango_Admin_Clas,4,FALSE),"-")</f>
        <v>163</v>
      </c>
      <c r="E13" s="92" cm="1">
        <f t="array" aca="1" ref="E13" ca="1">IFERROR(INDEX(Rango_Admin_Clas_Total,E$2,MATCH($A13,Rango_Admin_Clas_Primera,0)+1),"-")</f>
        <v>66</v>
      </c>
      <c r="F13" s="92" cm="1">
        <f t="array" aca="1" ref="F13" ca="1">IFERROR(INDEX(Rango_Admin_Clas_Total,F$2,MATCH($A13,Rango_Admin_Clas_Primera,0)+1),"-")</f>
        <v>52</v>
      </c>
      <c r="G13" s="92" cm="1">
        <f t="array" aca="1" ref="G13" ca="1">IFERROR(INDEX(Rango_Admin_Clas_Total,G$2,MATCH($A13,Rango_Admin_Clas_Primera,0)+1),"-")</f>
        <v>45</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x14ac:dyDescent="0.2">
      <c r="A14" s="19">
        <f t="shared" si="0"/>
        <v>10</v>
      </c>
      <c r="B14" s="22">
        <f ca="1">IFERROR(HLOOKUP(A14,Rango_Admin_Clas,3,FALSE),"-")</f>
        <v>10</v>
      </c>
      <c r="C14" s="18" t="str">
        <f ca="1">IFERROR(HLOOKUP(A14,Rango_Admin_Clas,5,FALSE),"-")</f>
        <v>KIRICOCHO</v>
      </c>
      <c r="D14" s="91">
        <f ca="1">IFERROR(HLOOKUP(A14,Rango_Admin_Clas,4,FALSE),"-")</f>
        <v>162</v>
      </c>
      <c r="E14" s="92" cm="1">
        <f t="array" aca="1" ref="E14" ca="1">IFERROR(INDEX(Rango_Admin_Clas_Total,E$2,MATCH($A14,Rango_Admin_Clas_Primera,0)+1),"-")</f>
        <v>71</v>
      </c>
      <c r="F14" s="92" cm="1">
        <f t="array" aca="1" ref="F14" ca="1">IFERROR(INDEX(Rango_Admin_Clas_Total,F$2,MATCH($A14,Rango_Admin_Clas_Primera,0)+1),"-")</f>
        <v>46</v>
      </c>
      <c r="G14" s="92" cm="1">
        <f t="array" aca="1" ref="G14" ca="1">IFERROR(INDEX(Rango_Admin_Clas_Total,G$2,MATCH($A14,Rango_Admin_Clas_Primera,0)+1),"-")</f>
        <v>45</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x14ac:dyDescent="0.2">
      <c r="A15" s="19">
        <f t="shared" si="0"/>
        <v>11</v>
      </c>
      <c r="B15" s="22">
        <f ca="1">IFERROR(HLOOKUP(A15,Rango_Admin_Clas,3,FALSE),"-")</f>
        <v>11</v>
      </c>
      <c r="C15" s="18" t="str">
        <f ca="1">IFERROR(HLOOKUP(A15,Rango_Admin_Clas,5,FALSE),"-")</f>
        <v>Miguel Suárez-Zuloaga</v>
      </c>
      <c r="D15" s="91">
        <f ca="1">IFERROR(HLOOKUP(A15,Rango_Admin_Clas,4,FALSE),"-")</f>
        <v>160</v>
      </c>
      <c r="E15" s="92" cm="1">
        <f t="array" aca="1" ref="E15" ca="1">IFERROR(INDEX(Rango_Admin_Clas_Total,E$2,MATCH($A15,Rango_Admin_Clas_Primera,0)+1),"-")</f>
        <v>71</v>
      </c>
      <c r="F15" s="92" cm="1">
        <f t="array" aca="1" ref="F15" ca="1">IFERROR(INDEX(Rango_Admin_Clas_Total,F$2,MATCH($A15,Rango_Admin_Clas_Primera,0)+1),"-")</f>
        <v>44</v>
      </c>
      <c r="G15" s="92" cm="1">
        <f t="array" aca="1" ref="G15" ca="1">IFERROR(INDEX(Rango_Admin_Clas_Total,G$2,MATCH($A15,Rango_Admin_Clas_Primera,0)+1),"-")</f>
        <v>45</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x14ac:dyDescent="0.2">
      <c r="A16" s="19">
        <f t="shared" si="0"/>
        <v>12</v>
      </c>
      <c r="B16" s="22">
        <f ca="1">IFERROR(HLOOKUP(A16,Rango_Admin_Clas,3,FALSE),"-")</f>
        <v>11</v>
      </c>
      <c r="C16" s="18" t="str">
        <f ca="1">IFERROR(HLOOKUP(A16,Rango_Admin_Clas,5,FALSE),"-")</f>
        <v>Alexander Schulte</v>
      </c>
      <c r="D16" s="91">
        <f ca="1">IFERROR(HLOOKUP(A16,Rango_Admin_Clas,4,FALSE),"-")</f>
        <v>160</v>
      </c>
      <c r="E16" s="92" cm="1">
        <f t="array" aca="1" ref="E16" ca="1">IFERROR(INDEX(Rango_Admin_Clas_Total,E$2,MATCH($A16,Rango_Admin_Clas_Primera,0)+1),"-")</f>
        <v>73</v>
      </c>
      <c r="F16" s="92" cm="1">
        <f t="array" aca="1" ref="F16" ca="1">IFERROR(INDEX(Rango_Admin_Clas_Total,F$2,MATCH($A16,Rango_Admin_Clas_Primera,0)+1),"-")</f>
        <v>42</v>
      </c>
      <c r="G16" s="92" cm="1">
        <f t="array" aca="1" ref="G16" ca="1">IFERROR(INDEX(Rango_Admin_Clas_Total,G$2,MATCH($A16,Rango_Admin_Clas_Primera,0)+1),"-")</f>
        <v>45</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x14ac:dyDescent="0.2">
      <c r="A17" s="19">
        <f t="shared" si="0"/>
        <v>13</v>
      </c>
      <c r="B17" s="22">
        <f ca="1">IFERROR(HLOOKUP(A17,Rango_Admin_Clas,3,FALSE),"-")</f>
        <v>13</v>
      </c>
      <c r="C17" s="18" t="str">
        <f ca="1">IFERROR(HLOOKUP(A17,Rango_Admin_Clas,5,FALSE),"-")</f>
        <v>Antonio Zulueta Ramos</v>
      </c>
      <c r="D17" s="91">
        <f ca="1">IFERROR(HLOOKUP(A17,Rango_Admin_Clas,4,FALSE),"-")</f>
        <v>159</v>
      </c>
      <c r="E17" s="92" cm="1">
        <f t="array" aca="1" ref="E17" ca="1">IFERROR(INDEX(Rango_Admin_Clas_Total,E$2,MATCH($A17,Rango_Admin_Clas_Primera,0)+1),"-")</f>
        <v>66</v>
      </c>
      <c r="F17" s="92" cm="1">
        <f t="array" aca="1" ref="F17" ca="1">IFERROR(INDEX(Rango_Admin_Clas_Total,F$2,MATCH($A17,Rango_Admin_Clas_Primera,0)+1),"-")</f>
        <v>48</v>
      </c>
      <c r="G17" s="92" cm="1">
        <f t="array" aca="1" ref="G17" ca="1">IFERROR(INDEX(Rango_Admin_Clas_Total,G$2,MATCH($A17,Rango_Admin_Clas_Primera,0)+1),"-")</f>
        <v>45</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x14ac:dyDescent="0.2">
      <c r="A18" s="19">
        <f t="shared" si="0"/>
        <v>14</v>
      </c>
      <c r="B18" s="22">
        <f ca="1">IFERROR(HLOOKUP(A18,Rango_Admin_Clas,3,FALSE),"-")</f>
        <v>13</v>
      </c>
      <c r="C18" s="18" t="str">
        <f ca="1">IFERROR(HLOOKUP(A18,Rango_Admin_Clas,5,FALSE),"-")</f>
        <v>Joserra</v>
      </c>
      <c r="D18" s="91">
        <f ca="1">IFERROR(HLOOKUP(A18,Rango_Admin_Clas,4,FALSE),"-")</f>
        <v>159</v>
      </c>
      <c r="E18" s="92" cm="1">
        <f t="array" aca="1" ref="E18" ca="1">IFERROR(INDEX(Rango_Admin_Clas_Total,E$2,MATCH($A18,Rango_Admin_Clas_Primera,0)+1),"-")</f>
        <v>68</v>
      </c>
      <c r="F18" s="92" cm="1">
        <f t="array" aca="1" ref="F18" ca="1">IFERROR(INDEX(Rango_Admin_Clas_Total,F$2,MATCH($A18,Rango_Admin_Clas_Primera,0)+1),"-")</f>
        <v>46</v>
      </c>
      <c r="G18" s="92" cm="1">
        <f t="array" aca="1" ref="G18" ca="1">IFERROR(INDEX(Rango_Admin_Clas_Total,G$2,MATCH($A18,Rango_Admin_Clas_Primera,0)+1),"-")</f>
        <v>45</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x14ac:dyDescent="0.2">
      <c r="A19" s="19">
        <f t="shared" si="0"/>
        <v>15</v>
      </c>
      <c r="B19" s="22">
        <f ca="1">IFERROR(HLOOKUP(A19,Rango_Admin_Clas,3,FALSE),"-")</f>
        <v>13</v>
      </c>
      <c r="C19" s="18" t="str">
        <f ca="1">IFERROR(HLOOKUP(A19,Rango_Admin_Clas,5,FALSE),"-")</f>
        <v>Antonio del Ojo</v>
      </c>
      <c r="D19" s="91">
        <f ca="1">IFERROR(HLOOKUP(A19,Rango_Admin_Clas,4,FALSE),"-")</f>
        <v>159</v>
      </c>
      <c r="E19" s="92" cm="1">
        <f t="array" aca="1" ref="E19" ca="1">IFERROR(INDEX(Rango_Admin_Clas_Total,E$2,MATCH($A19,Rango_Admin_Clas_Primera,0)+1),"-")</f>
        <v>72</v>
      </c>
      <c r="F19" s="92" cm="1">
        <f t="array" aca="1" ref="F19" ca="1">IFERROR(INDEX(Rango_Admin_Clas_Total,F$2,MATCH($A19,Rango_Admin_Clas_Primera,0)+1),"-")</f>
        <v>42</v>
      </c>
      <c r="G19" s="92" cm="1">
        <f t="array" aca="1" ref="G19" ca="1">IFERROR(INDEX(Rango_Admin_Clas_Total,G$2,MATCH($A19,Rango_Admin_Clas_Primera,0)+1),"-")</f>
        <v>45</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x14ac:dyDescent="0.2">
      <c r="A20" s="19">
        <f t="shared" si="0"/>
        <v>16</v>
      </c>
      <c r="B20" s="22">
        <f ca="1">IFERROR(HLOOKUP(A20,Rango_Admin_Clas,3,FALSE),"-")</f>
        <v>16</v>
      </c>
      <c r="C20" s="18" t="str">
        <f ca="1">IFERROR(HLOOKUP(A20,Rango_Admin_Clas,5,FALSE),"-")</f>
        <v>William Hartley</v>
      </c>
      <c r="D20" s="91">
        <f ca="1">IFERROR(HLOOKUP(A20,Rango_Admin_Clas,4,FALSE),"-")</f>
        <v>158</v>
      </c>
      <c r="E20" s="92" cm="1">
        <f t="array" aca="1" ref="E20" ca="1">IFERROR(INDEX(Rango_Admin_Clas_Total,E$2,MATCH($A20,Rango_Admin_Clas_Primera,0)+1),"-")</f>
        <v>66</v>
      </c>
      <c r="F20" s="92" cm="1">
        <f t="array" aca="1" ref="F20" ca="1">IFERROR(INDEX(Rango_Admin_Clas_Total,F$2,MATCH($A20,Rango_Admin_Clas_Primera,0)+1),"-")</f>
        <v>44</v>
      </c>
      <c r="G20" s="92" cm="1">
        <f t="array" aca="1" ref="G20" ca="1">IFERROR(INDEX(Rango_Admin_Clas_Total,G$2,MATCH($A20,Rango_Admin_Clas_Primera,0)+1),"-")</f>
        <v>48</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x14ac:dyDescent="0.2">
      <c r="A21" s="19">
        <f t="shared" si="0"/>
        <v>17</v>
      </c>
      <c r="B21" s="22">
        <f ca="1">IFERROR(HLOOKUP(A21,Rango_Admin_Clas,3,FALSE),"-")</f>
        <v>17</v>
      </c>
      <c r="C21" s="18" t="str">
        <f ca="1">IFERROR(HLOOKUP(A21,Rango_Admin_Clas,5,FALSE),"-")</f>
        <v>MURO 204</v>
      </c>
      <c r="D21" s="91">
        <f ca="1">IFERROR(HLOOKUP(A21,Rango_Admin_Clas,4,FALSE),"-")</f>
        <v>157</v>
      </c>
      <c r="E21" s="92" cm="1">
        <f t="array" aca="1" ref="E21" ca="1">IFERROR(INDEX(Rango_Admin_Clas_Total,E$2,MATCH($A21,Rango_Admin_Clas_Primera,0)+1),"-")</f>
        <v>73</v>
      </c>
      <c r="F21" s="92" cm="1">
        <f t="array" aca="1" ref="F21" ca="1">IFERROR(INDEX(Rango_Admin_Clas_Total,F$2,MATCH($A21,Rango_Admin_Clas_Primera,0)+1),"-")</f>
        <v>42</v>
      </c>
      <c r="G21" s="92" cm="1">
        <f t="array" aca="1" ref="G21" ca="1">IFERROR(INDEX(Rango_Admin_Clas_Total,G$2,MATCH($A21,Rango_Admin_Clas_Primera,0)+1),"-")</f>
        <v>42</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x14ac:dyDescent="0.2">
      <c r="A22" s="19">
        <f t="shared" si="0"/>
        <v>18</v>
      </c>
      <c r="B22" s="22">
        <f ca="1">IFERROR(HLOOKUP(A22,Rango_Admin_Clas,3,FALSE),"-")</f>
        <v>18</v>
      </c>
      <c r="C22" s="18" t="str">
        <f ca="1">IFERROR(HLOOKUP(A22,Rango_Admin_Clas,5,FALSE),"-")</f>
        <v>Pastor</v>
      </c>
      <c r="D22" s="91">
        <f ca="1">IFERROR(HLOOKUP(A22,Rango_Admin_Clas,4,FALSE),"-")</f>
        <v>156</v>
      </c>
      <c r="E22" s="92" cm="1">
        <f t="array" aca="1" ref="E22" ca="1">IFERROR(INDEX(Rango_Admin_Clas_Total,E$2,MATCH($A22,Rango_Admin_Clas_Primera,0)+1),"-")</f>
        <v>63</v>
      </c>
      <c r="F22" s="92" cm="1">
        <f t="array" aca="1" ref="F22" ca="1">IFERROR(INDEX(Rango_Admin_Clas_Total,F$2,MATCH($A22,Rango_Admin_Clas_Primera,0)+1),"-")</f>
        <v>48</v>
      </c>
      <c r="G22" s="92" cm="1">
        <f t="array" aca="1" ref="G22" ca="1">IFERROR(INDEX(Rango_Admin_Clas_Total,G$2,MATCH($A22,Rango_Admin_Clas_Primera,0)+1),"-")</f>
        <v>45</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x14ac:dyDescent="0.2">
      <c r="A23" s="19">
        <f t="shared" si="0"/>
        <v>19</v>
      </c>
      <c r="B23" s="22">
        <f ca="1">IFERROR(HLOOKUP(A23,Rango_Admin_Clas,3,FALSE),"-")</f>
        <v>19</v>
      </c>
      <c r="C23" s="18" t="str">
        <f ca="1">IFERROR(HLOOKUP(A23,Rango_Admin_Clas,5,FALSE),"-")</f>
        <v>Ignacio de Lecea</v>
      </c>
      <c r="D23" s="91">
        <f ca="1">IFERROR(HLOOKUP(A23,Rango_Admin_Clas,4,FALSE),"-")</f>
        <v>154</v>
      </c>
      <c r="E23" s="92" cm="1">
        <f t="array" aca="1" ref="E23" ca="1">IFERROR(INDEX(Rango_Admin_Clas_Total,E$2,MATCH($A23,Rango_Admin_Clas_Primera,0)+1),"-")</f>
        <v>66</v>
      </c>
      <c r="F23" s="92" cm="1">
        <f t="array" aca="1" ref="F23" ca="1">IFERROR(INDEX(Rango_Admin_Clas_Total,F$2,MATCH($A23,Rango_Admin_Clas_Primera,0)+1),"-")</f>
        <v>40</v>
      </c>
      <c r="G23" s="92" cm="1">
        <f t="array" aca="1" ref="G23" ca="1">IFERROR(INDEX(Rango_Admin_Clas_Total,G$2,MATCH($A23,Rango_Admin_Clas_Primera,0)+1),"-")</f>
        <v>48</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x14ac:dyDescent="0.2">
      <c r="A24" s="19">
        <f t="shared" si="0"/>
        <v>20</v>
      </c>
      <c r="B24" s="22">
        <f ca="1">IFERROR(HLOOKUP(A24,Rango_Admin_Clas,3,FALSE),"-")</f>
        <v>20</v>
      </c>
      <c r="C24" s="18" t="str">
        <f ca="1">IFERROR(HLOOKUP(A24,Rango_Admin_Clas,5,FALSE),"-")</f>
        <v>Gratacós</v>
      </c>
      <c r="D24" s="91">
        <f ca="1">IFERROR(HLOOKUP(A24,Rango_Admin_Clas,4,FALSE),"-")</f>
        <v>153</v>
      </c>
      <c r="E24" s="92" cm="1">
        <f t="array" aca="1" ref="E24" ca="1">IFERROR(INDEX(Rango_Admin_Clas_Total,E$2,MATCH($A24,Rango_Admin_Clas_Primera,0)+1),"-")</f>
        <v>73</v>
      </c>
      <c r="F24" s="92" cm="1">
        <f t="array" aca="1" ref="F24" ca="1">IFERROR(INDEX(Rango_Admin_Clas_Total,F$2,MATCH($A24,Rango_Admin_Clas_Primera,0)+1),"-")</f>
        <v>38</v>
      </c>
      <c r="G24" s="92" cm="1">
        <f t="array" aca="1" ref="G24" ca="1">IFERROR(INDEX(Rango_Admin_Clas_Total,G$2,MATCH($A24,Rango_Admin_Clas_Primera,0)+1),"-")</f>
        <v>42</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x14ac:dyDescent="0.2">
      <c r="A25" s="19">
        <f t="shared" si="0"/>
        <v>21</v>
      </c>
      <c r="B25" s="22">
        <f ca="1">IFERROR(HLOOKUP(A25,Rango_Admin_Clas,3,FALSE),"-")</f>
        <v>21</v>
      </c>
      <c r="C25" s="18" t="str">
        <f ca="1">IFERROR(HLOOKUP(A25,Rango_Admin_Clas,5,FALSE),"-")</f>
        <v>bau</v>
      </c>
      <c r="D25" s="91">
        <f ca="1">IFERROR(HLOOKUP(A25,Rango_Admin_Clas,4,FALSE),"-")</f>
        <v>151</v>
      </c>
      <c r="E25" s="92" cm="1">
        <f t="array" aca="1" ref="E25" ca="1">IFERROR(INDEX(Rango_Admin_Clas_Total,E$2,MATCH($A25,Rango_Admin_Clas_Primera,0)+1),"-")</f>
        <v>65</v>
      </c>
      <c r="F25" s="92" cm="1">
        <f t="array" aca="1" ref="F25" ca="1">IFERROR(INDEX(Rango_Admin_Clas_Total,F$2,MATCH($A25,Rango_Admin_Clas_Primera,0)+1),"-")</f>
        <v>38</v>
      </c>
      <c r="G25" s="92" cm="1">
        <f t="array" aca="1" ref="G25" ca="1">IFERROR(INDEX(Rango_Admin_Clas_Total,G$2,MATCH($A25,Rango_Admin_Clas_Primera,0)+1),"-")</f>
        <v>48</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x14ac:dyDescent="0.2">
      <c r="A26" s="19">
        <f t="shared" si="0"/>
        <v>22</v>
      </c>
      <c r="B26" s="22">
        <f ca="1">IFERROR(HLOOKUP(A26,Rango_Admin_Clas,3,FALSE),"-")</f>
        <v>22</v>
      </c>
      <c r="C26" s="18" t="str">
        <f ca="1">IFERROR(HLOOKUP(A26,Rango_Admin_Clas,5,FALSE),"-")</f>
        <v>Vicuinho</v>
      </c>
      <c r="D26" s="91">
        <f ca="1">IFERROR(HLOOKUP(A26,Rango_Admin_Clas,4,FALSE),"-")</f>
        <v>149</v>
      </c>
      <c r="E26" s="92" cm="1">
        <f t="array" aca="1" ref="E26" ca="1">IFERROR(INDEX(Rango_Admin_Clas_Total,E$2,MATCH($A26,Rango_Admin_Clas_Primera,0)+1),"-")</f>
        <v>58</v>
      </c>
      <c r="F26" s="92" cm="1">
        <f t="array" aca="1" ref="F26" ca="1">IFERROR(INDEX(Rango_Admin_Clas_Total,F$2,MATCH($A26,Rango_Admin_Clas_Primera,0)+1),"-")</f>
        <v>46</v>
      </c>
      <c r="G26" s="92" cm="1">
        <f t="array" aca="1" ref="G26" ca="1">IFERROR(INDEX(Rango_Admin_Clas_Total,G$2,MATCH($A26,Rango_Admin_Clas_Primera,0)+1),"-")</f>
        <v>45</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x14ac:dyDescent="0.2">
      <c r="A27" s="19">
        <f t="shared" si="0"/>
        <v>23</v>
      </c>
      <c r="B27" s="22">
        <f ca="1">IFERROR(HLOOKUP(A27,Rango_Admin_Clas,3,FALSE),"-")</f>
        <v>23</v>
      </c>
      <c r="C27" s="18" t="str">
        <f ca="1">IFERROR(HLOOKUP(A27,Rango_Admin_Clas,5,FALSE),"-")</f>
        <v>Guillermo Murciano</v>
      </c>
      <c r="D27" s="91">
        <f ca="1">IFERROR(HLOOKUP(A27,Rango_Admin_Clas,4,FALSE),"-")</f>
        <v>148</v>
      </c>
      <c r="E27" s="92" cm="1">
        <f t="array" aca="1" ref="E27" ca="1">IFERROR(INDEX(Rango_Admin_Clas_Total,E$2,MATCH($A27,Rango_Admin_Clas_Primera,0)+1),"-")</f>
        <v>59</v>
      </c>
      <c r="F27" s="92" cm="1">
        <f t="array" aca="1" ref="F27" ca="1">IFERROR(INDEX(Rango_Admin_Clas_Total,F$2,MATCH($A27,Rango_Admin_Clas_Primera,0)+1),"-")</f>
        <v>44</v>
      </c>
      <c r="G27" s="92" cm="1">
        <f t="array" aca="1" ref="G27" ca="1">IFERROR(INDEX(Rango_Admin_Clas_Total,G$2,MATCH($A27,Rango_Admin_Clas_Primera,0)+1),"-")</f>
        <v>45</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x14ac:dyDescent="0.2">
      <c r="A28" s="19">
        <f t="shared" si="0"/>
        <v>24</v>
      </c>
      <c r="B28" s="22">
        <f ca="1">IFERROR(HLOOKUP(A28,Rango_Admin_Clas,3,FALSE),"-")</f>
        <v>24</v>
      </c>
      <c r="C28" s="18" t="str">
        <f ca="1">IFERROR(HLOOKUP(A28,Rango_Admin_Clas,5,FALSE),"-")</f>
        <v>Jaime García de la Riva</v>
      </c>
      <c r="D28" s="91">
        <f ca="1">IFERROR(HLOOKUP(A28,Rango_Admin_Clas,4,FALSE),"-")</f>
        <v>147</v>
      </c>
      <c r="E28" s="92" cm="1">
        <f t="array" aca="1" ref="E28" ca="1">IFERROR(INDEX(Rango_Admin_Clas_Total,E$2,MATCH($A28,Rango_Admin_Clas_Primera,0)+1),"-")</f>
        <v>63</v>
      </c>
      <c r="F28" s="92" cm="1">
        <f t="array" aca="1" ref="F28" ca="1">IFERROR(INDEX(Rango_Admin_Clas_Total,F$2,MATCH($A28,Rango_Admin_Clas_Primera,0)+1),"-")</f>
        <v>42</v>
      </c>
      <c r="G28" s="92" cm="1">
        <f t="array" aca="1" ref="G28" ca="1">IFERROR(INDEX(Rango_Admin_Clas_Total,G$2,MATCH($A28,Rango_Admin_Clas_Primera,0)+1),"-")</f>
        <v>42</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x14ac:dyDescent="0.2">
      <c r="A29" s="19">
        <f t="shared" si="0"/>
        <v>25</v>
      </c>
      <c r="B29" s="22">
        <f ca="1">IFERROR(HLOOKUP(A29,Rango_Admin_Clas,3,FALSE),"-")</f>
        <v>25</v>
      </c>
      <c r="C29" s="18" t="str">
        <f ca="1">IFERROR(HLOOKUP(A29,Rango_Admin_Clas,5,FALSE),"-")</f>
        <v>Fercho Muro Matosex</v>
      </c>
      <c r="D29" s="91">
        <f ca="1">IFERROR(HLOOKUP(A29,Rango_Admin_Clas,4,FALSE),"-")</f>
        <v>146</v>
      </c>
      <c r="E29" s="92" cm="1">
        <f t="array" aca="1" ref="E29" ca="1">IFERROR(INDEX(Rango_Admin_Clas_Total,E$2,MATCH($A29,Rango_Admin_Clas_Primera,0)+1),"-")</f>
        <v>55</v>
      </c>
      <c r="F29" s="92" cm="1">
        <f t="array" aca="1" ref="F29" ca="1">IFERROR(INDEX(Rango_Admin_Clas_Total,F$2,MATCH($A29,Rango_Admin_Clas_Primera,0)+1),"-")</f>
        <v>46</v>
      </c>
      <c r="G29" s="92" cm="1">
        <f t="array" aca="1" ref="G29" ca="1">IFERROR(INDEX(Rango_Admin_Clas_Total,G$2,MATCH($A29,Rango_Admin_Clas_Primera,0)+1),"-")</f>
        <v>45</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x14ac:dyDescent="0.2">
      <c r="A30" s="19">
        <f t="shared" si="0"/>
        <v>26</v>
      </c>
      <c r="B30" s="22">
        <f ca="1">IFERROR(HLOOKUP(A30,Rango_Admin_Clas,3,FALSE),"-")</f>
        <v>25</v>
      </c>
      <c r="C30" s="18" t="str">
        <f ca="1">IFERROR(HLOOKUP(A30,Rango_Admin_Clas,5,FALSE),"-")</f>
        <v>Miguel San Martín</v>
      </c>
      <c r="D30" s="91">
        <f ca="1">IFERROR(HLOOKUP(A30,Rango_Admin_Clas,4,FALSE),"-")</f>
        <v>146</v>
      </c>
      <c r="E30" s="92" cm="1">
        <f t="array" aca="1" ref="E30" ca="1">IFERROR(INDEX(Rango_Admin_Clas_Total,E$2,MATCH($A30,Rango_Admin_Clas_Primera,0)+1),"-")</f>
        <v>66</v>
      </c>
      <c r="F30" s="92" cm="1">
        <f t="array" aca="1" ref="F30" ca="1">IFERROR(INDEX(Rango_Admin_Clas_Total,F$2,MATCH($A30,Rango_Admin_Clas_Primera,0)+1),"-")</f>
        <v>38</v>
      </c>
      <c r="G30" s="92" cm="1">
        <f t="array" aca="1" ref="G30" ca="1">IFERROR(INDEX(Rango_Admin_Clas_Total,G$2,MATCH($A30,Rango_Admin_Clas_Primera,0)+1),"-")</f>
        <v>42</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x14ac:dyDescent="0.2">
      <c r="A31" s="19">
        <f t="shared" si="0"/>
        <v>27</v>
      </c>
      <c r="B31" s="22">
        <f ca="1">IFERROR(HLOOKUP(A31,Rango_Admin_Clas,3,FALSE),"-")</f>
        <v>25</v>
      </c>
      <c r="C31" s="18" t="str">
        <f ca="1">IFERROR(HLOOKUP(A31,Rango_Admin_Clas,5,FALSE),"-")</f>
        <v>Pablo C</v>
      </c>
      <c r="D31" s="91">
        <f ca="1">IFERROR(HLOOKUP(A31,Rango_Admin_Clas,4,FALSE),"-")</f>
        <v>146</v>
      </c>
      <c r="E31" s="92" cm="1">
        <f t="array" aca="1" ref="E31" ca="1">IFERROR(INDEX(Rango_Admin_Clas_Total,E$2,MATCH($A31,Rango_Admin_Clas_Primera,0)+1),"-")</f>
        <v>62</v>
      </c>
      <c r="F31" s="92" cm="1">
        <f t="array" aca="1" ref="F31" ca="1">IFERROR(INDEX(Rango_Admin_Clas_Total,F$2,MATCH($A31,Rango_Admin_Clas_Primera,0)+1),"-")</f>
        <v>36</v>
      </c>
      <c r="G31" s="92" cm="1">
        <f t="array" aca="1" ref="G31" ca="1">IFERROR(INDEX(Rango_Admin_Clas_Total,G$2,MATCH($A31,Rango_Admin_Clas_Primera,0)+1),"-")</f>
        <v>48</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x14ac:dyDescent="0.2">
      <c r="A32" s="19">
        <f t="shared" si="0"/>
        <v>28</v>
      </c>
      <c r="B32" s="22">
        <f ca="1">IFERROR(HLOOKUP(A32,Rango_Admin_Clas,3,FALSE),"-")</f>
        <v>25</v>
      </c>
      <c r="C32" s="18" t="str">
        <f ca="1">IFERROR(HLOOKUP(A32,Rango_Admin_Clas,5,FALSE),"-")</f>
        <v>YTD</v>
      </c>
      <c r="D32" s="91">
        <f ca="1">IFERROR(HLOOKUP(A32,Rango_Admin_Clas,4,FALSE),"-")</f>
        <v>146</v>
      </c>
      <c r="E32" s="92" cm="1">
        <f t="array" aca="1" ref="E32" ca="1">IFERROR(INDEX(Rango_Admin_Clas_Total,E$2,MATCH($A32,Rango_Admin_Clas_Primera,0)+1),"-")</f>
        <v>59</v>
      </c>
      <c r="F32" s="92" cm="1">
        <f t="array" aca="1" ref="F32" ca="1">IFERROR(INDEX(Rango_Admin_Clas_Total,F$2,MATCH($A32,Rango_Admin_Clas_Primera,0)+1),"-")</f>
        <v>42</v>
      </c>
      <c r="G32" s="92" cm="1">
        <f t="array" aca="1" ref="G32" ca="1">IFERROR(INDEX(Rango_Admin_Clas_Total,G$2,MATCH($A32,Rango_Admin_Clas_Primera,0)+1),"-")</f>
        <v>45</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x14ac:dyDescent="0.2">
      <c r="A33" s="19">
        <f t="shared" si="0"/>
        <v>29</v>
      </c>
      <c r="B33" s="22">
        <f ca="1">IFERROR(HLOOKUP(A33,Rango_Admin_Clas,3,FALSE),"-")</f>
        <v>25</v>
      </c>
      <c r="C33" s="18" t="str">
        <f ca="1">IFERROR(HLOOKUP(A33,Rango_Admin_Clas,5,FALSE),"-")</f>
        <v>Ricardo Soto</v>
      </c>
      <c r="D33" s="91">
        <f ca="1">IFERROR(HLOOKUP(A33,Rango_Admin_Clas,4,FALSE),"-")</f>
        <v>146</v>
      </c>
      <c r="E33" s="92" cm="1">
        <f t="array" aca="1" ref="E33" ca="1">IFERROR(INDEX(Rango_Admin_Clas_Total,E$2,MATCH($A33,Rango_Admin_Clas_Primera,0)+1),"-")</f>
        <v>58</v>
      </c>
      <c r="F33" s="92" cm="1">
        <f t="array" aca="1" ref="F33" ca="1">IFERROR(INDEX(Rango_Admin_Clas_Total,F$2,MATCH($A33,Rango_Admin_Clas_Primera,0)+1),"-")</f>
        <v>40</v>
      </c>
      <c r="G33" s="92" cm="1">
        <f t="array" aca="1" ref="G33" ca="1">IFERROR(INDEX(Rango_Admin_Clas_Total,G$2,MATCH($A33,Rango_Admin_Clas_Primera,0)+1),"-")</f>
        <v>48</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x14ac:dyDescent="0.2">
      <c r="A34" s="19">
        <f t="shared" si="0"/>
        <v>30</v>
      </c>
      <c r="B34" s="22">
        <f ca="1">IFERROR(HLOOKUP(A34,Rango_Admin_Clas,3,FALSE),"-")</f>
        <v>30</v>
      </c>
      <c r="C34" s="18" t="str">
        <f ca="1">IFERROR(HLOOKUP(A34,Rango_Admin_Clas,5,FALSE),"-")</f>
        <v>Nacho Novo</v>
      </c>
      <c r="D34" s="91">
        <f ca="1">IFERROR(HLOOKUP(A34,Rango_Admin_Clas,4,FALSE),"-")</f>
        <v>145</v>
      </c>
      <c r="E34" s="92" cm="1">
        <f t="array" aca="1" ref="E34" ca="1">IFERROR(INDEX(Rango_Admin_Clas_Total,E$2,MATCH($A34,Rango_Admin_Clas_Primera,0)+1),"-")</f>
        <v>61</v>
      </c>
      <c r="F34" s="92" cm="1">
        <f t="array" aca="1" ref="F34" ca="1">IFERROR(INDEX(Rango_Admin_Clas_Total,F$2,MATCH($A34,Rango_Admin_Clas_Primera,0)+1),"-")</f>
        <v>42</v>
      </c>
      <c r="G34" s="92" cm="1">
        <f t="array" aca="1" ref="G34" ca="1">IFERROR(INDEX(Rango_Admin_Clas_Total,G$2,MATCH($A34,Rango_Admin_Clas_Primera,0)+1),"-")</f>
        <v>42</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x14ac:dyDescent="0.2">
      <c r="A35" s="19">
        <f t="shared" si="0"/>
        <v>31</v>
      </c>
      <c r="B35" s="22">
        <f ca="1">IFERROR(HLOOKUP(A35,Rango_Admin_Clas,3,FALSE),"-")</f>
        <v>31</v>
      </c>
      <c r="C35" s="18" t="str">
        <f ca="1">IFERROR(HLOOKUP(A35,Rango_Admin_Clas,5,FALSE),"-")</f>
        <v>Chente Muñoz</v>
      </c>
      <c r="D35" s="91">
        <f ca="1">IFERROR(HLOOKUP(A35,Rango_Admin_Clas,4,FALSE),"-")</f>
        <v>143</v>
      </c>
      <c r="E35" s="92" cm="1">
        <f t="array" aca="1" ref="E35" ca="1">IFERROR(INDEX(Rango_Admin_Clas_Total,E$2,MATCH($A35,Rango_Admin_Clas_Primera,0)+1),"-")</f>
        <v>52</v>
      </c>
      <c r="F35" s="92" cm="1">
        <f t="array" aca="1" ref="F35" ca="1">IFERROR(INDEX(Rango_Admin_Clas_Total,F$2,MATCH($A35,Rango_Admin_Clas_Primera,0)+1),"-")</f>
        <v>46</v>
      </c>
      <c r="G35" s="92" cm="1">
        <f t="array" aca="1" ref="G35" ca="1">IFERROR(INDEX(Rango_Admin_Clas_Total,G$2,MATCH($A35,Rango_Admin_Clas_Primera,0)+1),"-")</f>
        <v>45</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x14ac:dyDescent="0.2">
      <c r="A36" s="19">
        <f t="shared" si="0"/>
        <v>32</v>
      </c>
      <c r="B36" s="22">
        <f ca="1">IFERROR(HLOOKUP(A36,Rango_Admin_Clas,3,FALSE),"-")</f>
        <v>31</v>
      </c>
      <c r="C36" s="18" t="str">
        <f ca="1">IFERROR(HLOOKUP(A36,Rango_Admin_Clas,5,FALSE),"-")</f>
        <v>AD Monchus</v>
      </c>
      <c r="D36" s="91">
        <f ca="1">IFERROR(HLOOKUP(A36,Rango_Admin_Clas,4,FALSE),"-")</f>
        <v>143</v>
      </c>
      <c r="E36" s="92" cm="1">
        <f t="array" aca="1" ref="E36" ca="1">IFERROR(INDEX(Rango_Admin_Clas_Total,E$2,MATCH($A36,Rango_Admin_Clas_Primera,0)+1),"-")</f>
        <v>57</v>
      </c>
      <c r="F36" s="92" cm="1">
        <f t="array" aca="1" ref="F36" ca="1">IFERROR(INDEX(Rango_Admin_Clas_Total,F$2,MATCH($A36,Rango_Admin_Clas_Primera,0)+1),"-")</f>
        <v>44</v>
      </c>
      <c r="G36" s="92" cm="1">
        <f t="array" aca="1" ref="G36" ca="1">IFERROR(INDEX(Rango_Admin_Clas_Total,G$2,MATCH($A36,Rango_Admin_Clas_Primera,0)+1),"-")</f>
        <v>42</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x14ac:dyDescent="0.2">
      <c r="A37" s="19">
        <f t="shared" si="0"/>
        <v>33</v>
      </c>
      <c r="B37" s="22">
        <f ca="1">IFERROR(HLOOKUP(A37,Rango_Admin_Clas,3,FALSE),"-")</f>
        <v>31</v>
      </c>
      <c r="C37" s="18" t="str">
        <f ca="1">IFERROR(HLOOKUP(A37,Rango_Admin_Clas,5,FALSE),"-")</f>
        <v>DIDI</v>
      </c>
      <c r="D37" s="91">
        <f ca="1">IFERROR(HLOOKUP(A37,Rango_Admin_Clas,4,FALSE),"-")</f>
        <v>143</v>
      </c>
      <c r="E37" s="92" cm="1">
        <f t="array" aca="1" ref="E37" ca="1">IFERROR(INDEX(Rango_Admin_Clas_Total,E$2,MATCH($A37,Rango_Admin_Clas_Primera,0)+1),"-")</f>
        <v>63</v>
      </c>
      <c r="F37" s="92" cm="1">
        <f t="array" aca="1" ref="F37" ca="1">IFERROR(INDEX(Rango_Admin_Clas_Total,F$2,MATCH($A37,Rango_Admin_Clas_Primera,0)+1),"-")</f>
        <v>38</v>
      </c>
      <c r="G37" s="92" cm="1">
        <f t="array" aca="1" ref="G37" ca="1">IFERROR(INDEX(Rango_Admin_Clas_Total,G$2,MATCH($A37,Rango_Admin_Clas_Primera,0)+1),"-")</f>
        <v>42</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x14ac:dyDescent="0.2">
      <c r="A38" s="19">
        <f t="shared" si="0"/>
        <v>34</v>
      </c>
      <c r="B38" s="22">
        <f ca="1">IFERROR(HLOOKUP(A38,Rango_Admin_Clas,3,FALSE),"-")</f>
        <v>34</v>
      </c>
      <c r="C38" s="18" t="str">
        <f ca="1">IFERROR(HLOOKUP(A38,Rango_Admin_Clas,5,FALSE),"-")</f>
        <v>Florentino Netanyahu</v>
      </c>
      <c r="D38" s="91">
        <f ca="1">IFERROR(HLOOKUP(A38,Rango_Admin_Clas,4,FALSE),"-")</f>
        <v>142</v>
      </c>
      <c r="E38" s="92" cm="1">
        <f t="array" aca="1" ref="E38" ca="1">IFERROR(INDEX(Rango_Admin_Clas_Total,E$2,MATCH($A38,Rango_Admin_Clas_Primera,0)+1),"-")</f>
        <v>58</v>
      </c>
      <c r="F38" s="92" cm="1">
        <f t="array" aca="1" ref="F38" ca="1">IFERROR(INDEX(Rango_Admin_Clas_Total,F$2,MATCH($A38,Rango_Admin_Clas_Primera,0)+1),"-")</f>
        <v>42</v>
      </c>
      <c r="G38" s="92" cm="1">
        <f t="array" aca="1" ref="G38" ca="1">IFERROR(INDEX(Rango_Admin_Clas_Total,G$2,MATCH($A38,Rango_Admin_Clas_Primera,0)+1),"-")</f>
        <v>42</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x14ac:dyDescent="0.2">
      <c r="A39" s="19">
        <f t="shared" si="0"/>
        <v>35</v>
      </c>
      <c r="B39" s="22">
        <f ca="1">IFERROR(HLOOKUP(A39,Rango_Admin_Clas,3,FALSE),"-")</f>
        <v>35</v>
      </c>
      <c r="C39" s="18" t="str">
        <f ca="1">IFERROR(HLOOKUP(A39,Rango_Admin_Clas,5,FALSE),"-")</f>
        <v xml:space="preserve">Martín Matoses </v>
      </c>
      <c r="D39" s="91">
        <f ca="1">IFERROR(HLOOKUP(A39,Rango_Admin_Clas,4,FALSE),"-")</f>
        <v>141</v>
      </c>
      <c r="E39" s="92" cm="1">
        <f t="array" aca="1" ref="E39" ca="1">IFERROR(INDEX(Rango_Admin_Clas_Total,E$2,MATCH($A39,Rango_Admin_Clas_Primera,0)+1),"-")</f>
        <v>61</v>
      </c>
      <c r="F39" s="92" cm="1">
        <f t="array" aca="1" ref="F39" ca="1">IFERROR(INDEX(Rango_Admin_Clas_Total,F$2,MATCH($A39,Rango_Admin_Clas_Primera,0)+1),"-")</f>
        <v>32</v>
      </c>
      <c r="G39" s="92" cm="1">
        <f t="array" aca="1" ref="G39" ca="1">IFERROR(INDEX(Rango_Admin_Clas_Total,G$2,MATCH($A39,Rango_Admin_Clas_Primera,0)+1),"-")</f>
        <v>48</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x14ac:dyDescent="0.2">
      <c r="A40" s="19">
        <f t="shared" si="0"/>
        <v>36</v>
      </c>
      <c r="B40" s="22">
        <f ca="1">IFERROR(HLOOKUP(A40,Rango_Admin_Clas,3,FALSE),"-")</f>
        <v>36</v>
      </c>
      <c r="C40" s="18" t="str">
        <f ca="1">IFERROR(HLOOKUP(A40,Rango_Admin_Clas,5,FALSE),"-")</f>
        <v>Admin</v>
      </c>
      <c r="D40" s="91">
        <f ca="1">IFERROR(HLOOKUP(A40,Rango_Admin_Clas,4,FALSE),"-")</f>
        <v>140</v>
      </c>
      <c r="E40" s="92" cm="1">
        <f t="array" aca="1" ref="E40" ca="1">IFERROR(INDEX(Rango_Admin_Clas_Total,E$2,MATCH($A40,Rango_Admin_Clas_Primera,0)+1),"-")</f>
        <v>57</v>
      </c>
      <c r="F40" s="92" cm="1">
        <f t="array" aca="1" ref="F40" ca="1">IFERROR(INDEX(Rango_Admin_Clas_Total,F$2,MATCH($A40,Rango_Admin_Clas_Primera,0)+1),"-")</f>
        <v>38</v>
      </c>
      <c r="G40" s="92" cm="1">
        <f t="array" aca="1" ref="G40" ca="1">IFERROR(INDEX(Rango_Admin_Clas_Total,G$2,MATCH($A40,Rango_Admin_Clas_Primera,0)+1),"-")</f>
        <v>45</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x14ac:dyDescent="0.2">
      <c r="A41" s="19">
        <f t="shared" si="0"/>
        <v>37</v>
      </c>
      <c r="B41" s="22">
        <f ca="1">IFERROR(HLOOKUP(A41,Rango_Admin_Clas,3,FALSE),"-")</f>
        <v>36</v>
      </c>
      <c r="C41" s="18" t="str">
        <f ca="1">IFERROR(HLOOKUP(A41,Rango_Admin_Clas,5,FALSE),"-")</f>
        <v>Luis B</v>
      </c>
      <c r="D41" s="91">
        <f ca="1">IFERROR(HLOOKUP(A41,Rango_Admin_Clas,4,FALSE),"-")</f>
        <v>140</v>
      </c>
      <c r="E41" s="92" cm="1">
        <f t="array" aca="1" ref="E41" ca="1">IFERROR(INDEX(Rango_Admin_Clas_Total,E$2,MATCH($A41,Rango_Admin_Clas_Primera,0)+1),"-")</f>
        <v>54</v>
      </c>
      <c r="F41" s="92" cm="1">
        <f t="array" aca="1" ref="F41" ca="1">IFERROR(INDEX(Rango_Admin_Clas_Total,F$2,MATCH($A41,Rango_Admin_Clas_Primera,0)+1),"-")</f>
        <v>44</v>
      </c>
      <c r="G41" s="92" cm="1">
        <f t="array" aca="1" ref="G41" ca="1">IFERROR(INDEX(Rango_Admin_Clas_Total,G$2,MATCH($A41,Rango_Admin_Clas_Primera,0)+1),"-")</f>
        <v>42</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x14ac:dyDescent="0.2">
      <c r="A42" s="19">
        <f t="shared" si="0"/>
        <v>38</v>
      </c>
      <c r="B42" s="22">
        <f ca="1">IFERROR(HLOOKUP(A42,Rango_Admin_Clas,3,FALSE),"-")</f>
        <v>38</v>
      </c>
      <c r="C42" s="18" t="str">
        <f ca="1">IFERROR(HLOOKUP(A42,Rango_Admin_Clas,5,FALSE),"-")</f>
        <v>Hulk Rexach</v>
      </c>
      <c r="D42" s="91">
        <f ca="1">IFERROR(HLOOKUP(A42,Rango_Admin_Clas,4,FALSE),"-")</f>
        <v>138</v>
      </c>
      <c r="E42" s="92" cm="1">
        <f t="array" aca="1" ref="E42" ca="1">IFERROR(INDEX(Rango_Admin_Clas_Total,E$2,MATCH($A42,Rango_Admin_Clas_Primera,0)+1),"-")</f>
        <v>57</v>
      </c>
      <c r="F42" s="92" cm="1">
        <f t="array" aca="1" ref="F42" ca="1">IFERROR(INDEX(Rango_Admin_Clas_Total,F$2,MATCH($A42,Rango_Admin_Clas_Primera,0)+1),"-")</f>
        <v>36</v>
      </c>
      <c r="G42" s="92" cm="1">
        <f t="array" aca="1" ref="G42" ca="1">IFERROR(INDEX(Rango_Admin_Clas_Total,G$2,MATCH($A42,Rango_Admin_Clas_Primera,0)+1),"-")</f>
        <v>45</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x14ac:dyDescent="0.2">
      <c r="A43" s="19">
        <f t="shared" si="0"/>
        <v>39</v>
      </c>
      <c r="B43" s="22">
        <f ca="1">IFERROR(HLOOKUP(A43,Rango_Admin_Clas,3,FALSE),"-")</f>
        <v>39</v>
      </c>
      <c r="C43" s="18" t="str">
        <f ca="1">IFERROR(HLOOKUP(A43,Rango_Admin_Clas,5,FALSE),"-")</f>
        <v>BeliBeltrán</v>
      </c>
      <c r="D43" s="91">
        <f ca="1">IFERROR(HLOOKUP(A43,Rango_Admin_Clas,4,FALSE),"-")</f>
        <v>137</v>
      </c>
      <c r="E43" s="92" cm="1">
        <f t="array" aca="1" ref="E43" ca="1">IFERROR(INDEX(Rango_Admin_Clas_Total,E$2,MATCH($A43,Rango_Admin_Clas_Primera,0)+1),"-")</f>
        <v>54</v>
      </c>
      <c r="F43" s="92" cm="1">
        <f t="array" aca="1" ref="F43" ca="1">IFERROR(INDEX(Rango_Admin_Clas_Total,F$2,MATCH($A43,Rango_Admin_Clas_Primera,0)+1),"-")</f>
        <v>44</v>
      </c>
      <c r="G43" s="92" cm="1">
        <f t="array" aca="1" ref="G43" ca="1">IFERROR(INDEX(Rango_Admin_Clas_Total,G$2,MATCH($A43,Rango_Admin_Clas_Primera,0)+1),"-")</f>
        <v>39</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x14ac:dyDescent="0.2">
      <c r="A44" s="19">
        <f t="shared" si="0"/>
        <v>40</v>
      </c>
      <c r="B44" s="22">
        <f ca="1">IFERROR(HLOOKUP(A44,Rango_Admin_Clas,3,FALSE),"-")</f>
        <v>40</v>
      </c>
      <c r="C44" s="18" t="str">
        <f ca="1">IFERROR(HLOOKUP(A44,Rango_Admin_Clas,5,FALSE),"-")</f>
        <v xml:space="preserve">Ignacio Núñez </v>
      </c>
      <c r="D44" s="91">
        <f ca="1">IFERROR(HLOOKUP(A44,Rango_Admin_Clas,4,FALSE),"-")</f>
        <v>134</v>
      </c>
      <c r="E44" s="92" cm="1">
        <f t="array" aca="1" ref="E44" ca="1">IFERROR(INDEX(Rango_Admin_Clas_Total,E$2,MATCH($A44,Rango_Admin_Clas_Primera,0)+1),"-")</f>
        <v>63</v>
      </c>
      <c r="F44" s="92" cm="1">
        <f t="array" aca="1" ref="F44" ca="1">IFERROR(INDEX(Rango_Admin_Clas_Total,F$2,MATCH($A44,Rango_Admin_Clas_Primera,0)+1),"-")</f>
        <v>32</v>
      </c>
      <c r="G44" s="92" cm="1">
        <f t="array" aca="1" ref="G44" ca="1">IFERROR(INDEX(Rango_Admin_Clas_Total,G$2,MATCH($A44,Rango_Admin_Clas_Primera,0)+1),"-")</f>
        <v>39</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x14ac:dyDescent="0.2">
      <c r="A45" s="19">
        <f t="shared" si="0"/>
        <v>41</v>
      </c>
      <c r="B45" s="22">
        <f ca="1">IFERROR(HLOOKUP(A45,Rango_Admin_Clas,3,FALSE),"-")</f>
        <v>41</v>
      </c>
      <c r="C45" s="18" t="str">
        <f ca="1">IFERROR(HLOOKUP(A45,Rango_Admin_Clas,5,FALSE),"-")</f>
        <v>JUAN SOLAS</v>
      </c>
      <c r="D45" s="91">
        <f ca="1">IFERROR(HLOOKUP(A45,Rango_Admin_Clas,4,FALSE),"-")</f>
        <v>115</v>
      </c>
      <c r="E45" s="92" cm="1">
        <f t="array" aca="1" ref="E45" ca="1">IFERROR(INDEX(Rango_Admin_Clas_Total,E$2,MATCH($A45,Rango_Admin_Clas_Primera,0)+1),"-")</f>
        <v>49</v>
      </c>
      <c r="F45" s="92" cm="1">
        <f t="array" aca="1" ref="F45" ca="1">IFERROR(INDEX(Rango_Admin_Clas_Total,F$2,MATCH($A45,Rango_Admin_Clas_Primera,0)+1),"-")</f>
        <v>24</v>
      </c>
      <c r="G45" s="92" cm="1">
        <f t="array" aca="1" ref="G45" ca="1">IFERROR(INDEX(Rango_Admin_Clas_Total,G$2,MATCH($A45,Rango_Admin_Clas_Primera,0)+1),"-")</f>
        <v>42</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x14ac:dyDescent="0.2">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x14ac:dyDescent="0.2">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x14ac:dyDescent="0.2">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x14ac:dyDescent="0.2">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x14ac:dyDescent="0.2">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x14ac:dyDescent="0.2">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x14ac:dyDescent="0.2">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x14ac:dyDescent="0.2">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x14ac:dyDescent="0.2">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x14ac:dyDescent="0.2">
      <c r="A55" s="90"/>
      <c r="B55" s="297"/>
      <c r="C55" s="297"/>
      <c r="D55" s="297"/>
      <c r="E55" s="297"/>
      <c r="F55" s="297"/>
      <c r="G55" s="297"/>
      <c r="H55" s="297"/>
      <c r="I55" s="297"/>
      <c r="J55" s="297"/>
      <c r="K55" s="297"/>
      <c r="L55" s="297"/>
      <c r="M55" s="297"/>
      <c r="N55" s="297"/>
      <c r="O55" s="297"/>
      <c r="P55" s="297"/>
      <c r="Q55" s="297"/>
      <c r="R55" s="297"/>
      <c r="S55" s="297"/>
      <c r="T55" s="297"/>
      <c r="U55" s="297"/>
    </row>
    <row r="56" spans="1:21" x14ac:dyDescent="0.2">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5" x14ac:dyDescent="0.2"/>
  <cols>
    <col min="1" max="1" width="27.3046875" style="5" hidden="1" customWidth="1"/>
    <col min="2" max="2" width="37.93359375" style="5" hidden="1" customWidth="1"/>
    <col min="3" max="4" width="10.76171875" style="5" hidden="1" customWidth="1"/>
    <col min="5" max="5" width="2.41796875" style="20" customWidth="1"/>
    <col min="6" max="6" width="25.15234375" style="1" customWidth="1"/>
    <col min="7" max="38" width="25.828125" style="1" customWidth="1"/>
    <col min="39" max="41" width="10.76171875" style="1" customWidth="1"/>
    <col min="42" max="16384" width="10.76171875" style="1" hidden="1"/>
  </cols>
  <sheetData>
    <row r="1" spans="1:41" ht="40.15" customHeight="1" thickBot="1" x14ac:dyDescent="0.25">
      <c r="A1" s="8"/>
      <c r="B1" s="8"/>
      <c r="C1" s="8"/>
      <c r="D1" s="8"/>
      <c r="E1" s="17"/>
      <c r="F1" s="17"/>
      <c r="G1" s="727" t="str">
        <f>Idiomas!D474</f>
        <v>Selecciona día:</v>
      </c>
      <c r="H1" s="711">
        <v>46196</v>
      </c>
      <c r="I1" s="297"/>
      <c r="J1" s="19">
        <f ca="1">VLOOKUP($H$1,Equipos!$Q$2:$R$37,2,0)</f>
        <v>13</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x14ac:dyDescent="0.2">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Francia-Irak</v>
      </c>
      <c r="H2" s="19" t="str">
        <f ca="1"/>
        <v>Noruega-Senegal</v>
      </c>
      <c r="I2" s="19" t="str">
        <f ca="1"/>
        <v>Jordania-Argelia</v>
      </c>
      <c r="J2" s="19" t="str">
        <f ca="1"/>
        <v>Portugal-Uzbekistán</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 customHeight="1" thickBot="1" x14ac:dyDescent="0.25">
      <c r="A3" s="8"/>
      <c r="B3" s="8"/>
      <c r="C3" s="8"/>
      <c r="D3" s="8"/>
      <c r="E3" s="19"/>
      <c r="F3" s="449" t="str">
        <f>Idiomas!D475</f>
        <v>Nombre</v>
      </c>
      <c r="G3" s="449" t="str" cm="1">
        <f t="array" aca="1" ref="G3:AL3" ca="1">TRANSPOSE($B$4:$B$35)</f>
        <v>Francia-Irak
 (1|3-0)</v>
      </c>
      <c r="H3" s="449" t="str">
        <f ca="1"/>
        <v>Noruega-Senegal
 (1|3-2)</v>
      </c>
      <c r="I3" s="449" t="str">
        <f ca="1"/>
        <v>Jordania-Argelia
 (2|1-2)</v>
      </c>
      <c r="J3" s="449" t="str">
        <f ca="1"/>
        <v>Portugal-Uzbekistán
 (1|5-0)</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x14ac:dyDescent="0.2">
      <c r="A4" s="8" t="str" cm="1">
        <f t="array" aca="1" ref="A4" ca="1">IFERROR(INDEX(ADMIN!$K$6:$K$258,SMALL(IF(ADMIN!$G$6:$G$258=$J$1,ROW(ADMIN!$G$6:$G$258)-ROW(ADMIN!$G$6)+1),ROWS($A$1:A1))),"")</f>
        <v>Francia-Irak</v>
      </c>
      <c r="B4" s="8" t="str">
        <f ca="1">A4&amp;CHAR(10)&amp;C4</f>
        <v>Francia-Irak
 (1|3-0)</v>
      </c>
      <c r="C4" s="8" t="str" cm="1">
        <f t="array" aca="1" ref="C4" ca="1">IFERROR(IF(INDEX(ADMIN!$M$6:$M$258,SMALL(IF(ADMIN!$G$6:$G$258=$J$1,ROW(ADMIN!$G$6:$G$258)-ROW(ADMIN!$G$6)+1),ROWS($A$1:A1)))="-",""," ("&amp;INDEX(ADMIN!$M$6:$M$258,SMALL(IF(ADMIN!$G$6:$G$258=$J$1,ROW(ADMIN!$G$6:$G$258)-ROW(ADMIN!$G$6)+1),ROWS($A$1:A1)))&amp;")"),"")</f>
        <v xml:space="preserve"> (1|3-0)</v>
      </c>
      <c r="D4" s="8" t="str" cm="1">
        <f t="array" aca="1" ref="D4" ca="1">IFERROR(IF($J$1&gt;=20,INDEX(ADMIN!$C$6:$C$258,SMALL(IF(ADMIN!$G$6:$G$258=$J$1,ROW(ADMIN!$G$6:$G$258)-ROW(ADMIN!$G$6)+1),ROWS($D$1:D1))),""),"")</f>
        <v/>
      </c>
      <c r="E4" s="19">
        <v>9</v>
      </c>
      <c r="F4" s="406" t="str" cm="1">
        <f t="array" aca="1" ref="F4" ca="1">IFERROR(INDEX(Rango_Admin_DailyPred_Primera,1,E4),"-")</f>
        <v>Admin</v>
      </c>
      <c r="G4" s="429" t="str">
        <f ca="1">IFERROR(VLOOKUP(G$2,Rango_Admin_DailyPred,MATCH($F4,Rango_Admin_DailyPred_Primera,0),0),"-")</f>
        <v>1|4-1</v>
      </c>
      <c r="H4" s="429" t="str">
        <f ca="1">IFERROR(VLOOKUP(H$2,Rango_Admin_DailyPred,MATCH($F4,Rango_Admin_DailyPred_Primera,0),0),"-")</f>
        <v>1|2-0</v>
      </c>
      <c r="I4" s="429" t="str">
        <f ca="1">IFERROR(VLOOKUP(I$2,Rango_Admin_DailyPred,MATCH($F4,Rango_Admin_DailyPred_Primera,0),0),"-")</f>
        <v>2|0-1</v>
      </c>
      <c r="J4" s="429" t="str">
        <f ca="1">IFERROR(VLOOKUP(J$2,Rango_Admin_DailyPred,MATCH($F4,Rango_Admin_DailyPred_Primera,0),0),"-")</f>
        <v>1|3-1</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x14ac:dyDescent="0.2">
      <c r="A5" s="8" t="str" cm="1">
        <f t="array" aca="1" ref="A5" ca="1">IFERROR(INDEX(ADMIN!$K$6:$K$258,SMALL(IF(ADMIN!$G$6:$G$258=$J$1,ROW(ADMIN!$G$6:$G$258)-ROW(ADMIN!$G$6)+1),ROWS($A$1:A2))),"")</f>
        <v>Noruega-Senegal</v>
      </c>
      <c r="B5" s="8" t="str">
        <f t="shared" ref="B5:B35" ca="1" si="0">A5&amp;CHAR(10)&amp;C5</f>
        <v>Noruega-Senegal
 (1|3-2)</v>
      </c>
      <c r="C5" s="8" t="str" cm="1">
        <f t="array" aca="1" ref="C5" ca="1">IFERROR(IF(INDEX(ADMIN!$M$6:$M$258,SMALL(IF(ADMIN!$G$6:$G$258=$J$1,ROW(ADMIN!$G$6:$G$258)-ROW(ADMIN!$G$6)+1),ROWS($A$1:A2)))="-", "", " ("&amp;INDEX(ADMIN!$M$6:$M$258,SMALL(IF(ADMIN!$G$6:$G$258=$J$1,ROW(ADMIN!$G$6:$G$258)-ROW(ADMIN!$G$6)+1),ROWS($A$1:A2)))&amp;")"),"")</f>
        <v xml:space="preserve"> (1|3-2)</v>
      </c>
      <c r="D5" s="8" t="str" cm="1">
        <f t="array" aca="1" ref="D5" ca="1">IFERROR(IF($J$1&gt;=20,INDEX(ADMIN!$C$6:$C$258,SMALL(IF(ADMIN!$G$6:$G$258=$J$1,ROW(ADMIN!$G$6:$G$258)-ROW(ADMIN!$G$6)+1),ROWS($D$1:D2))),""),"")</f>
        <v/>
      </c>
      <c r="E5" s="19">
        <f>+E4+3</f>
        <v>12</v>
      </c>
      <c r="F5" s="406" t="str" cm="1">
        <f t="array" aca="1" ref="F5" ca="1">IFERROR(INDEX(Rango_Admin_DailyPred_Primera,1,E5),"-")</f>
        <v>Luis B</v>
      </c>
      <c r="G5" s="429" t="str">
        <f ca="1">IFERROR(VLOOKUP(G$2,Rango_Admin_DailyPred,MATCH($F5,Rango_Admin_DailyPred_Primera,0),0),"-")</f>
        <v>1|4-0</v>
      </c>
      <c r="H5" s="429" t="str">
        <f ca="1">IFERROR(VLOOKUP(H$2,Rango_Admin_DailyPred,MATCH($F5,Rango_Admin_DailyPred_Primera,0),0),"-")</f>
        <v>2|2-3</v>
      </c>
      <c r="I5" s="429" t="str">
        <f ca="1">IFERROR(VLOOKUP(I$2,Rango_Admin_DailyPred,MATCH($F5,Rango_Admin_DailyPred_Primera,0),0),"-")</f>
        <v>2|1-2</v>
      </c>
      <c r="J5" s="429" t="str">
        <f ca="1">IFERROR(VLOOKUP(J$2,Rango_Admin_DailyPred,MATCH($F5,Rango_Admin_DailyPred_Primera,0),0),"-")</f>
        <v>1|3-1</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x14ac:dyDescent="0.2">
      <c r="A6" s="8" t="str" cm="1">
        <f t="array" aca="1" ref="A6" ca="1">IFERROR(INDEX(ADMIN!$K$6:$K$258,SMALL(IF(ADMIN!$G$6:$G$258=$J$1,ROW(ADMIN!$G$6:$G$258)-ROW(ADMIN!$G$6)+1),ROWS($A$1:A3))),"")</f>
        <v>Jordania-Argelia</v>
      </c>
      <c r="B6" s="8" t="str">
        <f t="shared" ca="1" si="0"/>
        <v>Jordania-Argelia
 (2|1-2)</v>
      </c>
      <c r="C6" s="8" t="str" cm="1">
        <f t="array" aca="1" ref="C6" ca="1">IFERROR(IF(INDEX(ADMIN!$M$6:$M$258,SMALL(IF(ADMIN!$G$6:$G$258=$J$1,ROW(ADMIN!$G$6:$G$258)-ROW(ADMIN!$G$6)+1),ROWS($A$1:A3)))="-", "", " ("&amp;INDEX(ADMIN!$M$6:$M$258,SMALL(IF(ADMIN!$G$6:$G$258=$J$1,ROW(ADMIN!$G$6:$G$258)-ROW(ADMIN!$G$6)+1),ROWS($A$1:A3)))&amp;")"),"")</f>
        <v xml:space="preserve"> (2|1-2)</v>
      </c>
      <c r="D6" s="8" t="str" cm="1">
        <f t="array" aca="1" ref="D6" ca="1">IFERROR(IF($J$1&gt;=20,INDEX(ADMIN!$C$6:$C$258,SMALL(IF(ADMIN!$G$6:$G$258=$J$1,ROW(ADMIN!$G$6:$G$258)-ROW(ADMIN!$G$6)+1),ROWS($D$1:D3))),""),"")</f>
        <v/>
      </c>
      <c r="E6" s="19">
        <f t="shared" ref="E6:E53" si="1">+E5+3</f>
        <v>15</v>
      </c>
      <c r="F6" s="406" t="str" cm="1">
        <f t="array" aca="1" ref="F6" ca="1">IFERROR(INDEX(Rango_Admin_DailyPred_Primera,1,E6),"-")</f>
        <v>Alejandro Lafuente</v>
      </c>
      <c r="G6" s="429" t="str">
        <f ca="1">IFERROR(VLOOKUP(G$2,Rango_Admin_DailyPred,MATCH($F6,Rango_Admin_DailyPred_Primera,0),0),"-")</f>
        <v>1|5-0</v>
      </c>
      <c r="H6" s="429" t="str">
        <f ca="1">IFERROR(VLOOKUP(H$2,Rango_Admin_DailyPred,MATCH($F6,Rango_Admin_DailyPred_Primera,0),0),"-")</f>
        <v>1|3-1</v>
      </c>
      <c r="I6" s="429" t="str">
        <f ca="1">IFERROR(VLOOKUP(I$2,Rango_Admin_DailyPred,MATCH($F6,Rango_Admin_DailyPred_Primera,0),0),"-")</f>
        <v>2|1-2</v>
      </c>
      <c r="J6" s="429" t="str">
        <f ca="1">IFERROR(VLOOKUP(J$2,Rango_Admin_DailyPred,MATCH($F6,Rango_Admin_DailyPred_Primera,0),0),"-")</f>
        <v>1|2-0</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x14ac:dyDescent="0.2">
      <c r="A7" s="8" t="str" cm="1">
        <f t="array" aca="1" ref="A7" ca="1">IFERROR(INDEX(ADMIN!$K$6:$K$258,SMALL(IF(ADMIN!$G$6:$G$258=$J$1,ROW(ADMIN!$G$6:$G$258)-ROW(ADMIN!$G$6)+1),ROWS($A$1:A4))),"")</f>
        <v>Portugal-Uzbekistán</v>
      </c>
      <c r="B7" s="8" t="str">
        <f t="shared" ca="1" si="0"/>
        <v>Portugal-Uzbekistán
 (1|5-0)</v>
      </c>
      <c r="C7" s="8" t="str" cm="1">
        <f t="array" aca="1" ref="C7" ca="1">IFERROR(IF(INDEX(ADMIN!$M$6:$M$258,SMALL(IF(ADMIN!$G$6:$G$258=$J$1,ROW(ADMIN!$G$6:$G$258)-ROW(ADMIN!$G$6)+1),ROWS($A$1:A4)))="-", "", " ("&amp;INDEX(ADMIN!$M$6:$M$258,SMALL(IF(ADMIN!$G$6:$G$258=$J$1,ROW(ADMIN!$G$6:$G$258)-ROW(ADMIN!$G$6)+1),ROWS($A$1:A4)))&amp;")"),"")</f>
        <v xml:space="preserve"> (1|5-0)</v>
      </c>
      <c r="D7" s="8" t="str" cm="1">
        <f t="array" aca="1" ref="D7" ca="1">IFERROR(IF($J$1&gt;=20,INDEX(ADMIN!$C$6:$C$258,SMALL(IF(ADMIN!$G$6:$G$258=$J$1,ROW(ADMIN!$G$6:$G$258)-ROW(ADMIN!$G$6)+1),ROWS($D$1:D4))),""),"")</f>
        <v/>
      </c>
      <c r="E7" s="19">
        <f t="shared" si="1"/>
        <v>18</v>
      </c>
      <c r="F7" s="406" t="str" cm="1">
        <f t="array" aca="1" ref="F7" ca="1">IFERROR(INDEX(Rango_Admin_DailyPred_Primera,1,E7),"-")</f>
        <v>Jaime Lafuente</v>
      </c>
      <c r="G7" s="429" t="str">
        <f ca="1">IFERROR(VLOOKUP(G$2,Rango_Admin_DailyPred,MATCH($F7,Rango_Admin_DailyPred_Primera,0),0),"-")</f>
        <v>1|4-1</v>
      </c>
      <c r="H7" s="429" t="str">
        <f ca="1">IFERROR(VLOOKUP(H$2,Rango_Admin_DailyPred,MATCH($F7,Rango_Admin_DailyPred_Primera,0),0),"-")</f>
        <v>X|1-1</v>
      </c>
      <c r="I7" s="429" t="str">
        <f ca="1">IFERROR(VLOOKUP(I$2,Rango_Admin_DailyPred,MATCH($F7,Rango_Admin_DailyPred_Primera,0),0),"-")</f>
        <v>X|0-0</v>
      </c>
      <c r="J7" s="429" t="str">
        <f ca="1">IFERROR(VLOOKUP(J$2,Rango_Admin_DailyPred,MATCH($F7,Rango_Admin_DailyPred_Primera,0),0),"-")</f>
        <v>1|2-1</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x14ac:dyDescent="0.2">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aca="1" ref="F8" ca="1">IFERROR(INDEX(Rango_Admin_DailyPred_Primera,1,E8),"-")</f>
        <v>Pastor</v>
      </c>
      <c r="G8" s="429" t="str">
        <f ca="1">IFERROR(VLOOKUP(G$2,Rango_Admin_DailyPred,MATCH($F8,Rango_Admin_DailyPred_Primera,0),0),"-")</f>
        <v>1|3-1</v>
      </c>
      <c r="H8" s="429" t="str">
        <f ca="1">IFERROR(VLOOKUP(H$2,Rango_Admin_DailyPred,MATCH($F8,Rango_Admin_DailyPred_Primera,0),0),"-")</f>
        <v>X|1-1</v>
      </c>
      <c r="I8" s="429" t="str">
        <f ca="1">IFERROR(VLOOKUP(I$2,Rango_Admin_DailyPred,MATCH($F8,Rango_Admin_DailyPred_Primera,0),0),"-")</f>
        <v>X|1-1</v>
      </c>
      <c r="J8" s="429" t="str">
        <f ca="1">IFERROR(VLOOKUP(J$2,Rango_Admin_DailyPred,MATCH($F8,Rango_Admin_DailyPred_Primera,0),0),"-")</f>
        <v>1|2-1</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x14ac:dyDescent="0.2">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aca="1" ref="F9" ca="1">IFERROR(INDEX(Rango_Admin_DailyPred_Primera,1,E9),"-")</f>
        <v>Jaime García de la Riva</v>
      </c>
      <c r="G9" s="429" t="str">
        <f ca="1">IFERROR(VLOOKUP(G$2,Rango_Admin_DailyPred,MATCH($F9,Rango_Admin_DailyPred_Primera,0),0),"-")</f>
        <v>1|4-1</v>
      </c>
      <c r="H9" s="429" t="str">
        <f ca="1">IFERROR(VLOOKUP(H$2,Rango_Admin_DailyPred,MATCH($F9,Rango_Admin_DailyPred_Primera,0),0),"-")</f>
        <v>X|2-2</v>
      </c>
      <c r="I9" s="429" t="str">
        <f ca="1">IFERROR(VLOOKUP(I$2,Rango_Admin_DailyPred,MATCH($F9,Rango_Admin_DailyPred_Primera,0),0),"-")</f>
        <v>2|0-1</v>
      </c>
      <c r="J9" s="429" t="str">
        <f ca="1">IFERROR(VLOOKUP(J$2,Rango_Admin_DailyPred,MATCH($F9,Rango_Admin_DailyPred_Primera,0),0),"-")</f>
        <v>1|3-1</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x14ac:dyDescent="0.2">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aca="1" ref="F10" ca="1">IFERROR(INDEX(Rango_Admin_DailyPred_Primera,1,E10),"-")</f>
        <v>Nacho Novo</v>
      </c>
      <c r="G10" s="429" t="str">
        <f ca="1">IFERROR(VLOOKUP(G$2,Rango_Admin_DailyPred,MATCH($F10,Rango_Admin_DailyPred_Primera,0),0),"-")</f>
        <v>1|3-0</v>
      </c>
      <c r="H10" s="429" t="str">
        <f ca="1">IFERROR(VLOOKUP(H$2,Rango_Admin_DailyPred,MATCH($F10,Rango_Admin_DailyPred_Primera,0),0),"-")</f>
        <v>X|2-2</v>
      </c>
      <c r="I10" s="429" t="str">
        <f ca="1">IFERROR(VLOOKUP(I$2,Rango_Admin_DailyPred,MATCH($F10,Rango_Admin_DailyPred_Primera,0),0),"-")</f>
        <v>2|0-2</v>
      </c>
      <c r="J10" s="429" t="str">
        <f ca="1">IFERROR(VLOOKUP(J$2,Rango_Admin_DailyPred,MATCH($F10,Rango_Admin_DailyPred_Primera,0),0),"-")</f>
        <v>1|5-0</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x14ac:dyDescent="0.2">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aca="1" ref="F11" ca="1">IFERROR(INDEX(Rango_Admin_DailyPred_Primera,1,E11),"-")</f>
        <v>Antonio Zulueta Ramos</v>
      </c>
      <c r="G11" s="429" t="str">
        <f ca="1">IFERROR(VLOOKUP(G$2,Rango_Admin_DailyPred,MATCH($F11,Rango_Admin_DailyPred_Primera,0),0),"-")</f>
        <v>1|3-0</v>
      </c>
      <c r="H11" s="429" t="str">
        <f ca="1">IFERROR(VLOOKUP(H$2,Rango_Admin_DailyPred,MATCH($F11,Rango_Admin_DailyPred_Primera,0),0),"-")</f>
        <v>1|1-0</v>
      </c>
      <c r="I11" s="429" t="str">
        <f ca="1">IFERROR(VLOOKUP(I$2,Rango_Admin_DailyPred,MATCH($F11,Rango_Admin_DailyPred_Primera,0),0),"-")</f>
        <v>2|1-3</v>
      </c>
      <c r="J11" s="429" t="str">
        <f ca="1">IFERROR(VLOOKUP(J$2,Rango_Admin_DailyPred,MATCH($F11,Rango_Admin_DailyPred_Primera,0),0),"-")</f>
        <v>1|2-1</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x14ac:dyDescent="0.2">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aca="1" ref="F12" ca="1">IFERROR(INDEX(Rango_Admin_DailyPred_Primera,1,E12),"-")</f>
        <v>Carlos Murciano</v>
      </c>
      <c r="G12" s="429" t="str">
        <f ca="1">IFERROR(VLOOKUP(G$2,Rango_Admin_DailyPred,MATCH($F12,Rango_Admin_DailyPred_Primera,0),0),"-")</f>
        <v>1|4-0</v>
      </c>
      <c r="H12" s="429" t="str">
        <f ca="1">IFERROR(VLOOKUP(H$2,Rango_Admin_DailyPred,MATCH($F12,Rango_Admin_DailyPred_Primera,0),0),"-")</f>
        <v>X|2-2</v>
      </c>
      <c r="I12" s="429" t="str">
        <f ca="1">IFERROR(VLOOKUP(I$2,Rango_Admin_DailyPred,MATCH($F12,Rango_Admin_DailyPred_Primera,0),0),"-")</f>
        <v>2|1-3</v>
      </c>
      <c r="J12" s="429" t="str">
        <f ca="1">IFERROR(VLOOKUP(J$2,Rango_Admin_DailyPred,MATCH($F12,Rango_Admin_DailyPred_Primera,0),0),"-")</f>
        <v>1|4-0</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x14ac:dyDescent="0.2">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aca="1" ref="F13" ca="1">IFERROR(INDEX(Rango_Admin_DailyPred_Primera,1,E13),"-")</f>
        <v>Chente Muñoz</v>
      </c>
      <c r="G13" s="429" t="str">
        <f ca="1">IFERROR(VLOOKUP(G$2,Rango_Admin_DailyPred,MATCH($F13,Rango_Admin_DailyPred_Primera,0),0),"-")</f>
        <v>1|4-0</v>
      </c>
      <c r="H13" s="429" t="str">
        <f ca="1">IFERROR(VLOOKUP(H$2,Rango_Admin_DailyPred,MATCH($F13,Rango_Admin_DailyPred_Primera,0),0),"-")</f>
        <v>X|1-1</v>
      </c>
      <c r="I13" s="429" t="str">
        <f ca="1">IFERROR(VLOOKUP(I$2,Rango_Admin_DailyPred,MATCH($F13,Rango_Admin_DailyPred_Primera,0),0),"-")</f>
        <v>2|0-2</v>
      </c>
      <c r="J13" s="429" t="str">
        <f ca="1">IFERROR(VLOOKUP(J$2,Rango_Admin_DailyPred,MATCH($F13,Rango_Admin_DailyPred_Primera,0),0),"-")</f>
        <v>1|3-1</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x14ac:dyDescent="0.2">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aca="1" ref="F14" ca="1">IFERROR(INDEX(Rango_Admin_DailyPred_Primera,1,E14),"-")</f>
        <v>Fercho Muro Matosex</v>
      </c>
      <c r="G14" s="429" t="str">
        <f ca="1">IFERROR(VLOOKUP(G$2,Rango_Admin_DailyPred,MATCH($F14,Rango_Admin_DailyPred_Primera,0),0),"-")</f>
        <v>1|5-0</v>
      </c>
      <c r="H14" s="429" t="str">
        <f ca="1">IFERROR(VLOOKUP(H$2,Rango_Admin_DailyPred,MATCH($F14,Rango_Admin_DailyPred_Primera,0),0),"-")</f>
        <v>X|2-2</v>
      </c>
      <c r="I14" s="429" t="str">
        <f ca="1">IFERROR(VLOOKUP(I$2,Rango_Admin_DailyPred,MATCH($F14,Rango_Admin_DailyPred_Primera,0),0),"-")</f>
        <v>2|0-2</v>
      </c>
      <c r="J14" s="429" t="str">
        <f ca="1">IFERROR(VLOOKUP(J$2,Rango_Admin_DailyPred,MATCH($F14,Rango_Admin_DailyPred_Primera,0),0),"-")</f>
        <v>1|4-0</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x14ac:dyDescent="0.2">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aca="1" ref="F15" ca="1">IFERROR(INDEX(Rango_Admin_DailyPred_Primera,1,E15),"-")</f>
        <v>Guillermo Murciano</v>
      </c>
      <c r="G15" s="429" t="str">
        <f ca="1">IFERROR(VLOOKUP(G$2,Rango_Admin_DailyPred,MATCH($F15,Rango_Admin_DailyPred_Primera,0),0),"-")</f>
        <v>1|4-0</v>
      </c>
      <c r="H15" s="429" t="str">
        <f ca="1">IFERROR(VLOOKUP(H$2,Rango_Admin_DailyPred,MATCH($F15,Rango_Admin_DailyPred_Primera,0),0),"-")</f>
        <v>X|2-2</v>
      </c>
      <c r="I15" s="429" t="str">
        <f ca="1">IFERROR(VLOOKUP(I$2,Rango_Admin_DailyPred,MATCH($F15,Rango_Admin_DailyPred_Primera,0),0),"-")</f>
        <v>2|0-1</v>
      </c>
      <c r="J15" s="429" t="str">
        <f ca="1">IFERROR(VLOOKUP(J$2,Rango_Admin_DailyPred,MATCH($F15,Rango_Admin_DailyPred_Primera,0),0),"-")</f>
        <v>1|3-0</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x14ac:dyDescent="0.2">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aca="1" ref="F16" ca="1">IFERROR(INDEX(Rango_Admin_DailyPred_Primera,1,E16),"-")</f>
        <v>Ignacio de Lecea</v>
      </c>
      <c r="G16" s="429" t="str">
        <f ca="1">IFERROR(VLOOKUP(G$2,Rango_Admin_DailyPred,MATCH($F16,Rango_Admin_DailyPred_Primera,0),0),"-")</f>
        <v>1|3-0</v>
      </c>
      <c r="H16" s="429" t="str">
        <f ca="1">IFERROR(VLOOKUP(H$2,Rango_Admin_DailyPred,MATCH($F16,Rango_Admin_DailyPred_Primera,0),0),"-")</f>
        <v>1|1-0</v>
      </c>
      <c r="I16" s="429" t="str">
        <f ca="1">IFERROR(VLOOKUP(I$2,Rango_Admin_DailyPred,MATCH($F16,Rango_Admin_DailyPred_Primera,0),0),"-")</f>
        <v>X|0-0</v>
      </c>
      <c r="J16" s="429" t="str">
        <f ca="1">IFERROR(VLOOKUP(J$2,Rango_Admin_DailyPred,MATCH($F16,Rango_Admin_DailyPred_Primera,0),0),"-")</f>
        <v>1|3-0</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x14ac:dyDescent="0.2">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aca="1" ref="F17" ca="1">IFERROR(INDEX(Rango_Admin_DailyPred_Primera,1,E17),"-")</f>
        <v>JCU</v>
      </c>
      <c r="G17" s="429" t="str">
        <f ca="1">IFERROR(VLOOKUP(G$2,Rango_Admin_DailyPred,MATCH($F17,Rango_Admin_DailyPred_Primera,0),0),"-")</f>
        <v>1|2-0</v>
      </c>
      <c r="H17" s="429" t="str">
        <f ca="1">IFERROR(VLOOKUP(H$2,Rango_Admin_DailyPred,MATCH($F17,Rango_Admin_DailyPred_Primera,0),0),"-")</f>
        <v>1|2-0</v>
      </c>
      <c r="I17" s="429" t="str">
        <f ca="1">IFERROR(VLOOKUP(I$2,Rango_Admin_DailyPred,MATCH($F17,Rango_Admin_DailyPred_Primera,0),0),"-")</f>
        <v>X|1-1</v>
      </c>
      <c r="J17" s="429" t="str">
        <f ca="1">IFERROR(VLOOKUP(J$2,Rango_Admin_DailyPred,MATCH($F17,Rango_Admin_DailyPred_Primera,0),0),"-")</f>
        <v>1|2-0</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x14ac:dyDescent="0.2">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aca="1" ref="F18" ca="1">IFERROR(INDEX(Rango_Admin_DailyPred_Primera,1,E18),"-")</f>
        <v>Joserra</v>
      </c>
      <c r="G18" s="429" t="str">
        <f ca="1">IFERROR(VLOOKUP(G$2,Rango_Admin_DailyPred,MATCH($F18,Rango_Admin_DailyPred_Primera,0),0),"-")</f>
        <v>1|5-0</v>
      </c>
      <c r="H18" s="429" t="str">
        <f ca="1">IFERROR(VLOOKUP(H$2,Rango_Admin_DailyPred,MATCH($F18,Rango_Admin_DailyPred_Primera,0),0),"-")</f>
        <v>1|3-1</v>
      </c>
      <c r="I18" s="429" t="str">
        <f ca="1">IFERROR(VLOOKUP(I$2,Rango_Admin_DailyPred,MATCH($F18,Rango_Admin_DailyPred_Primera,0),0),"-")</f>
        <v>2|1-2</v>
      </c>
      <c r="J18" s="429" t="str">
        <f ca="1">IFERROR(VLOOKUP(J$2,Rango_Admin_DailyPred,MATCH($F18,Rango_Admin_DailyPred_Primera,0),0),"-")</f>
        <v>1|2-0</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x14ac:dyDescent="0.2">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aca="1" ref="F19" ca="1">IFERROR(INDEX(Rango_Admin_DailyPred_Primera,1,E19),"-")</f>
        <v>Migay Marcos</v>
      </c>
      <c r="G19" s="429" t="str">
        <f ca="1">IFERROR(VLOOKUP(G$2,Rango_Admin_DailyPred,MATCH($F19,Rango_Admin_DailyPred_Primera,0),0),"-")</f>
        <v>1|3-0</v>
      </c>
      <c r="H19" s="429" t="str">
        <f ca="1">IFERROR(VLOOKUP(H$2,Rango_Admin_DailyPred,MATCH($F19,Rango_Admin_DailyPred_Primera,0),0),"-")</f>
        <v>X|1-1</v>
      </c>
      <c r="I19" s="429" t="str">
        <f ca="1">IFERROR(VLOOKUP(I$2,Rango_Admin_DailyPred,MATCH($F19,Rango_Admin_DailyPred_Primera,0),0),"-")</f>
        <v>2|0-1</v>
      </c>
      <c r="J19" s="429" t="str">
        <f ca="1">IFERROR(VLOOKUP(J$2,Rango_Admin_DailyPred,MATCH($F19,Rango_Admin_DailyPred_Primera,0),0),"-")</f>
        <v>1|2-0</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x14ac:dyDescent="0.2">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aca="1" ref="F20" ca="1">IFERROR(INDEX(Rango_Admin_DailyPred_Primera,1,E20),"-")</f>
        <v>Antonio del Ojo</v>
      </c>
      <c r="G20" s="429" t="str">
        <f ca="1">IFERROR(VLOOKUP(G$2,Rango_Admin_DailyPred,MATCH($F20,Rango_Admin_DailyPred_Primera,0),0),"-")</f>
        <v>1|3-0</v>
      </c>
      <c r="H20" s="429" t="str">
        <f ca="1">IFERROR(VLOOKUP(H$2,Rango_Admin_DailyPred,MATCH($F20,Rango_Admin_DailyPred_Primera,0),0),"-")</f>
        <v>X|1-1</v>
      </c>
      <c r="I20" s="429" t="str">
        <f ca="1">IFERROR(VLOOKUP(I$2,Rango_Admin_DailyPred,MATCH($F20,Rango_Admin_DailyPred_Primera,0),0),"-")</f>
        <v>2|0-2</v>
      </c>
      <c r="J20" s="429" t="str">
        <f ca="1">IFERROR(VLOOKUP(J$2,Rango_Admin_DailyPred,MATCH($F20,Rango_Admin_DailyPred_Primera,0),0),"-")</f>
        <v>1|1-0</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x14ac:dyDescent="0.2">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aca="1" ref="F21" ca="1">IFERROR(INDEX(Rango_Admin_DailyPred_Primera,1,E21),"-")</f>
        <v>MURO 204</v>
      </c>
      <c r="G21" s="429" t="str">
        <f ca="1">IFERROR(VLOOKUP(G$2,Rango_Admin_DailyPred,MATCH($F21,Rango_Admin_DailyPred_Primera,0),0),"-")</f>
        <v>1|3-0</v>
      </c>
      <c r="H21" s="429" t="str">
        <f ca="1">IFERROR(VLOOKUP(H$2,Rango_Admin_DailyPred,MATCH($F21,Rango_Admin_DailyPred_Primera,0),0),"-")</f>
        <v>X|1-1</v>
      </c>
      <c r="I21" s="429" t="str">
        <f ca="1">IFERROR(VLOOKUP(I$2,Rango_Admin_DailyPred,MATCH($F21,Rango_Admin_DailyPred_Primera,0),0),"-")</f>
        <v>X|1-1</v>
      </c>
      <c r="J21" s="429" t="str">
        <f ca="1">IFERROR(VLOOKUP(J$2,Rango_Admin_DailyPred,MATCH($F21,Rango_Admin_DailyPred_Primera,0),0),"-")</f>
        <v>1|2-0</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x14ac:dyDescent="0.2">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aca="1" ref="F22" ca="1">IFERROR(INDEX(Rango_Admin_DailyPred_Primera,1,E22),"-")</f>
        <v>Hulk Rexach</v>
      </c>
      <c r="G22" s="429" t="str">
        <f ca="1">IFERROR(VLOOKUP(G$2,Rango_Admin_DailyPred,MATCH($F22,Rango_Admin_DailyPred_Primera,0),0),"-")</f>
        <v>1|4-0</v>
      </c>
      <c r="H22" s="429" t="str">
        <f ca="1">IFERROR(VLOOKUP(H$2,Rango_Admin_DailyPred,MATCH($F22,Rango_Admin_DailyPred_Primera,0),0),"-")</f>
        <v>2|1-2</v>
      </c>
      <c r="I22" s="429" t="str">
        <f ca="1">IFERROR(VLOOKUP(I$2,Rango_Admin_DailyPred,MATCH($F22,Rango_Admin_DailyPred_Primera,0),0),"-")</f>
        <v>2|1-2</v>
      </c>
      <c r="J22" s="429" t="str">
        <f ca="1">IFERROR(VLOOKUP(J$2,Rango_Admin_DailyPred,MATCH($F22,Rango_Admin_DailyPred_Primera,0),0),"-")</f>
        <v>1|4-0</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x14ac:dyDescent="0.2">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aca="1" ref="F23" ca="1">IFERROR(INDEX(Rango_Admin_DailyPred_Primera,1,E23),"-")</f>
        <v>Miguel San Martín</v>
      </c>
      <c r="G23" s="429" t="str">
        <f ca="1">IFERROR(VLOOKUP(G$2,Rango_Admin_DailyPred,MATCH($F23,Rango_Admin_DailyPred_Primera,0),0),"-")</f>
        <v>1|3-0</v>
      </c>
      <c r="H23" s="429" t="str">
        <f ca="1">IFERROR(VLOOKUP(H$2,Rango_Admin_DailyPred,MATCH($F23,Rango_Admin_DailyPred_Primera,0),0),"-")</f>
        <v>X|1-1</v>
      </c>
      <c r="I23" s="429" t="str">
        <f ca="1">IFERROR(VLOOKUP(I$2,Rango_Admin_DailyPred,MATCH($F23,Rango_Admin_DailyPred_Primera,0),0),"-")</f>
        <v>2|0-1</v>
      </c>
      <c r="J23" s="429" t="str">
        <f ca="1">IFERROR(VLOOKUP(J$2,Rango_Admin_DailyPred,MATCH($F23,Rango_Admin_DailyPred_Primera,0),0),"-")</f>
        <v>1|2-1</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x14ac:dyDescent="0.2">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aca="1" ref="F24" ca="1">IFERROR(INDEX(Rango_Admin_DailyPred_Primera,1,E24),"-")</f>
        <v>Pablo C</v>
      </c>
      <c r="G24" s="429" t="str">
        <f ca="1">IFERROR(VLOOKUP(G$2,Rango_Admin_DailyPred,MATCH($F24,Rango_Admin_DailyPred_Primera,0),0),"-")</f>
        <v>1|4-0</v>
      </c>
      <c r="H24" s="429" t="str">
        <f ca="1">IFERROR(VLOOKUP(H$2,Rango_Admin_DailyPred,MATCH($F24,Rango_Admin_DailyPred_Primera,0),0),"-")</f>
        <v>2|1-3</v>
      </c>
      <c r="I24" s="429" t="str">
        <f ca="1">IFERROR(VLOOKUP(I$2,Rango_Admin_DailyPred,MATCH($F24,Rango_Admin_DailyPred_Primera,0),0),"-")</f>
        <v>X|0-0</v>
      </c>
      <c r="J24" s="429" t="str">
        <f ca="1">IFERROR(VLOOKUP(J$2,Rango_Admin_DailyPred,MATCH($F24,Rango_Admin_DailyPred_Primera,0),0),"-")</f>
        <v>1|1-0</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x14ac:dyDescent="0.2">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aca="1" ref="F25" ca="1">IFERROR(INDEX(Rango_Admin_DailyPred_Primera,1,E25),"-")</f>
        <v>bau</v>
      </c>
      <c r="G25" s="429" t="str">
        <f ca="1">IFERROR(VLOOKUP(G$2,Rango_Admin_DailyPred,MATCH($F25,Rango_Admin_DailyPred_Primera,0),0),"-")</f>
        <v>1|1-0</v>
      </c>
      <c r="H25" s="429" t="str">
        <f ca="1">IFERROR(VLOOKUP(H$2,Rango_Admin_DailyPred,MATCH($F25,Rango_Admin_DailyPred_Primera,0),0),"-")</f>
        <v>X|1-1</v>
      </c>
      <c r="I25" s="429" t="str">
        <f ca="1">IFERROR(VLOOKUP(I$2,Rango_Admin_DailyPred,MATCH($F25,Rango_Admin_DailyPred_Primera,0),0),"-")</f>
        <v>X|1-1</v>
      </c>
      <c r="J25" s="429" t="str">
        <f ca="1">IFERROR(VLOOKUP(J$2,Rango_Admin_DailyPred,MATCH($F25,Rango_Admin_DailyPred_Primera,0),0),"-")</f>
        <v>1|3-0</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x14ac:dyDescent="0.2">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aca="1" ref="F26" ca="1">IFERROR(INDEX(Rango_Admin_DailyPred_Primera,1,E26),"-")</f>
        <v>Florentino Netanyahu</v>
      </c>
      <c r="G26" s="429" t="str">
        <f ca="1">IFERROR(VLOOKUP(G$2,Rango_Admin_DailyPred,MATCH($F26,Rango_Admin_DailyPred_Primera,0),0),"-")</f>
        <v>1|3-0</v>
      </c>
      <c r="H26" s="429" t="str">
        <f ca="1">IFERROR(VLOOKUP(H$2,Rango_Admin_DailyPred,MATCH($F26,Rango_Admin_DailyPred_Primera,0),0),"-")</f>
        <v>X|1-1</v>
      </c>
      <c r="I26" s="429" t="str">
        <f ca="1">IFERROR(VLOOKUP(I$2,Rango_Admin_DailyPred,MATCH($F26,Rango_Admin_DailyPred_Primera,0),0),"-")</f>
        <v>1|2-1</v>
      </c>
      <c r="J26" s="429" t="str">
        <f ca="1">IFERROR(VLOOKUP(J$2,Rango_Admin_DailyPred,MATCH($F26,Rango_Admin_DailyPred_Primera,0),0),"-")</f>
        <v>1|3-1</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x14ac:dyDescent="0.2">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aca="1" ref="F27" ca="1">IFERROR(INDEX(Rango_Admin_DailyPred_Primera,1,E27),"-")</f>
        <v>Lucas Oriol</v>
      </c>
      <c r="G27" s="429" t="str">
        <f ca="1">IFERROR(VLOOKUP(G$2,Rango_Admin_DailyPred,MATCH($F27,Rango_Admin_DailyPred_Primera,0),0),"-")</f>
        <v>1|3-1</v>
      </c>
      <c r="H27" s="429" t="str">
        <f ca="1">IFERROR(VLOOKUP(H$2,Rango_Admin_DailyPred,MATCH($F27,Rango_Admin_DailyPred_Primera,0),0),"-")</f>
        <v>1|2-1</v>
      </c>
      <c r="I27" s="429" t="str">
        <f ca="1">IFERROR(VLOOKUP(I$2,Rango_Admin_DailyPred,MATCH($F27,Rango_Admin_DailyPred_Primera,0),0),"-")</f>
        <v>X|0-0</v>
      </c>
      <c r="J27" s="429" t="str">
        <f ca="1">IFERROR(VLOOKUP(J$2,Rango_Admin_DailyPred,MATCH($F27,Rango_Admin_DailyPred_Primera,0),0),"-")</f>
        <v>1|2-0</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x14ac:dyDescent="0.2">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aca="1" ref="F28" ca="1">IFERROR(INDEX(Rango_Admin_DailyPred_Primera,1,E28),"-")</f>
        <v>YTD</v>
      </c>
      <c r="G28" s="429" t="str">
        <f ca="1">IFERROR(VLOOKUP(G$2,Rango_Admin_DailyPred,MATCH($F28,Rango_Admin_DailyPred_Primera,0),0),"-")</f>
        <v>1|4-0</v>
      </c>
      <c r="H28" s="429" t="str">
        <f ca="1">IFERROR(VLOOKUP(H$2,Rango_Admin_DailyPred,MATCH($F28,Rango_Admin_DailyPred_Primera,0),0),"-")</f>
        <v>1|2-1</v>
      </c>
      <c r="I28" s="429" t="str">
        <f ca="1">IFERROR(VLOOKUP(I$2,Rango_Admin_DailyPred,MATCH($F28,Rango_Admin_DailyPred_Primera,0),0),"-")</f>
        <v>X|0-0</v>
      </c>
      <c r="J28" s="429" t="str">
        <f ca="1">IFERROR(VLOOKUP(J$2,Rango_Admin_DailyPred,MATCH($F28,Rango_Admin_DailyPred_Primera,0),0),"-")</f>
        <v>1|5-0</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x14ac:dyDescent="0.2">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aca="1" ref="F29" ca="1">IFERROR(INDEX(Rango_Admin_DailyPred_Primera,1,E29),"-")</f>
        <v>William Hartley</v>
      </c>
      <c r="G29" s="429" t="str">
        <f ca="1">IFERROR(VLOOKUP(G$2,Rango_Admin_DailyPred,MATCH($F29,Rango_Admin_DailyPred_Primera,0),0),"-")</f>
        <v>1|4-0</v>
      </c>
      <c r="H29" s="429" t="str">
        <f ca="1">IFERROR(VLOOKUP(H$2,Rango_Admin_DailyPred,MATCH($F29,Rango_Admin_DailyPred_Primera,0),0),"-")</f>
        <v>X|2-2</v>
      </c>
      <c r="I29" s="429" t="str">
        <f ca="1">IFERROR(VLOOKUP(I$2,Rango_Admin_DailyPred,MATCH($F29,Rango_Admin_DailyPred_Primera,0),0),"-")</f>
        <v>2|0-2</v>
      </c>
      <c r="J29" s="429" t="str">
        <f ca="1">IFERROR(VLOOKUP(J$2,Rango_Admin_DailyPred,MATCH($F29,Rango_Admin_DailyPred_Primera,0),0),"-")</f>
        <v>1|3-0</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x14ac:dyDescent="0.2">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aca="1" ref="F30" ca="1">IFERROR(INDEX(Rango_Admin_DailyPred_Primera,1,E30),"-")</f>
        <v>Kurtischamp</v>
      </c>
      <c r="G30" s="429" t="str">
        <f ca="1">IFERROR(VLOOKUP(G$2,Rango_Admin_DailyPred,MATCH($F30,Rango_Admin_DailyPred_Primera,0),0),"-")</f>
        <v>1|4-0</v>
      </c>
      <c r="H30" s="429" t="str">
        <f ca="1">IFERROR(VLOOKUP(H$2,Rango_Admin_DailyPred,MATCH($F30,Rango_Admin_DailyPred_Primera,0),0),"-")</f>
        <v>X|1-1</v>
      </c>
      <c r="I30" s="429" t="str">
        <f ca="1">IFERROR(VLOOKUP(I$2,Rango_Admin_DailyPred,MATCH($F30,Rango_Admin_DailyPred_Primera,0),0),"-")</f>
        <v>2|0-2</v>
      </c>
      <c r="J30" s="429" t="str">
        <f ca="1">IFERROR(VLOOKUP(J$2,Rango_Admin_DailyPred,MATCH($F30,Rango_Admin_DailyPred_Primera,0),0),"-")</f>
        <v>1|3-1</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x14ac:dyDescent="0.2">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aca="1" ref="F31" ca="1">IFERROR(INDEX(Rango_Admin_DailyPred_Primera,1,E31),"-")</f>
        <v>KIRICOCHO</v>
      </c>
      <c r="G31" s="429" t="str">
        <f ca="1">IFERROR(VLOOKUP(G$2,Rango_Admin_DailyPred,MATCH($F31,Rango_Admin_DailyPred_Primera,0),0),"-")</f>
        <v>1|4-0</v>
      </c>
      <c r="H31" s="429" t="str">
        <f ca="1">IFERROR(VLOOKUP(H$2,Rango_Admin_DailyPred,MATCH($F31,Rango_Admin_DailyPred_Primera,0),0),"-")</f>
        <v>X|1-1</v>
      </c>
      <c r="I31" s="429" t="str">
        <f ca="1">IFERROR(VLOOKUP(I$2,Rango_Admin_DailyPred,MATCH($F31,Rango_Admin_DailyPred_Primera,0),0),"-")</f>
        <v>2|0-1</v>
      </c>
      <c r="J31" s="429" t="str">
        <f ca="1">IFERROR(VLOOKUP(J$2,Rango_Admin_DailyPred,MATCH($F31,Rango_Admin_DailyPred_Primera,0),0),"-")</f>
        <v>1|2-0</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x14ac:dyDescent="0.2">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aca="1" ref="F32" ca="1">IFERROR(INDEX(Rango_Admin_DailyPred_Primera,1,E32),"-")</f>
        <v>BeliBeltrán</v>
      </c>
      <c r="G32" s="429" t="str">
        <f ca="1">IFERROR(VLOOKUP(G$2,Rango_Admin_DailyPred,MATCH($F32,Rango_Admin_DailyPred_Primera,0),0),"-")</f>
        <v>1|4-0</v>
      </c>
      <c r="H32" s="429" t="str">
        <f ca="1">IFERROR(VLOOKUP(H$2,Rango_Admin_DailyPred,MATCH($F32,Rango_Admin_DailyPred_Primera,0),0),"-")</f>
        <v>1|3-1</v>
      </c>
      <c r="I32" s="429" t="str">
        <f ca="1">IFERROR(VLOOKUP(I$2,Rango_Admin_DailyPred,MATCH($F32,Rango_Admin_DailyPred_Primera,0),0),"-")</f>
        <v>2|0-1</v>
      </c>
      <c r="J32" s="429" t="str">
        <f ca="1">IFERROR(VLOOKUP(J$2,Rango_Admin_DailyPred,MATCH($F32,Rango_Admin_DailyPred_Primera,0),0),"-")</f>
        <v>1|3-1</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x14ac:dyDescent="0.2">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aca="1" ref="F33" ca="1">IFERROR(INDEX(Rango_Admin_DailyPred_Primera,1,E33),"-")</f>
        <v>Fernando Carlos García-Ramos Redondo</v>
      </c>
      <c r="G33" s="429" t="str">
        <f ca="1">IFERROR(VLOOKUP(G$2,Rango_Admin_DailyPred,MATCH($F33,Rango_Admin_DailyPred_Primera,0),0),"-")</f>
        <v>1|3-0</v>
      </c>
      <c r="H33" s="429" t="str">
        <f ca="1">IFERROR(VLOOKUP(H$2,Rango_Admin_DailyPred,MATCH($F33,Rango_Admin_DailyPred_Primera,0),0),"-")</f>
        <v>X|1-1</v>
      </c>
      <c r="I33" s="429" t="str">
        <f ca="1">IFERROR(VLOOKUP(I$2,Rango_Admin_DailyPred,MATCH($F33,Rango_Admin_DailyPred_Primera,0),0),"-")</f>
        <v>2|0-1</v>
      </c>
      <c r="J33" s="429" t="str">
        <f ca="1">IFERROR(VLOOKUP(J$2,Rango_Admin_DailyPred,MATCH($F33,Rango_Admin_DailyPred_Primera,0),0),"-")</f>
        <v>1|2-0</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x14ac:dyDescent="0.2">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aca="1" ref="F34" ca="1">IFERROR(INDEX(Rango_Admin_DailyPred_Primera,1,E34),"-")</f>
        <v>Vicuinho</v>
      </c>
      <c r="G34" s="429" t="str">
        <f ca="1">IFERROR(VLOOKUP(G$2,Rango_Admin_DailyPred,MATCH($F34,Rango_Admin_DailyPred_Primera,0),0),"-")</f>
        <v>1|4-0</v>
      </c>
      <c r="H34" s="429" t="str">
        <f ca="1">IFERROR(VLOOKUP(H$2,Rango_Admin_DailyPred,MATCH($F34,Rango_Admin_DailyPred_Primera,0),0),"-")</f>
        <v>X|1-1</v>
      </c>
      <c r="I34" s="429" t="str">
        <f ca="1">IFERROR(VLOOKUP(I$2,Rango_Admin_DailyPred,MATCH($F34,Rango_Admin_DailyPred_Primera,0),0),"-")</f>
        <v>2|0-1</v>
      </c>
      <c r="J34" s="429" t="str">
        <f ca="1">IFERROR(VLOOKUP(J$2,Rango_Admin_DailyPred,MATCH($F34,Rango_Admin_DailyPred_Primera,0),0),"-")</f>
        <v>1|2-0</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x14ac:dyDescent="0.2">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aca="1" ref="F35" ca="1">IFERROR(INDEX(Rango_Admin_DailyPred_Primera,1,E35),"-")</f>
        <v>Miguel Suárez-Zuloaga</v>
      </c>
      <c r="G35" s="429" t="str">
        <f ca="1">IFERROR(VLOOKUP(G$2,Rango_Admin_DailyPred,MATCH($F35,Rango_Admin_DailyPred_Primera,0),0),"-")</f>
        <v>1|3-1</v>
      </c>
      <c r="H35" s="429" t="str">
        <f ca="1">IFERROR(VLOOKUP(H$2,Rango_Admin_DailyPred,MATCH($F35,Rango_Admin_DailyPred_Primera,0),0),"-")</f>
        <v>X|2-2</v>
      </c>
      <c r="I35" s="429" t="str">
        <f ca="1">IFERROR(VLOOKUP(I$2,Rango_Admin_DailyPred,MATCH($F35,Rango_Admin_DailyPred_Primera,0),0),"-")</f>
        <v>2|0-2</v>
      </c>
      <c r="J35" s="429" t="str">
        <f ca="1">IFERROR(VLOOKUP(J$2,Rango_Admin_DailyPred,MATCH($F35,Rango_Admin_DailyPred_Primera,0),0),"-")</f>
        <v>1|3-1</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x14ac:dyDescent="0.2">
      <c r="E36" s="19">
        <f t="shared" si="1"/>
        <v>105</v>
      </c>
      <c r="F36" s="448" t="str" cm="1">
        <f t="array" aca="1" ref="F36" ca="1">IFERROR(INDEX(Rango_Admin_DailyPred_Primera,1,E36),"-")</f>
        <v>Gratacós</v>
      </c>
      <c r="G36" s="429" t="str">
        <f ca="1">IFERROR(VLOOKUP(G$2,Rango_Admin_DailyPred,MATCH($F36,Rango_Admin_DailyPred_Primera,0),0),"-")</f>
        <v>1|4-0</v>
      </c>
      <c r="H36" s="429" t="str">
        <f ca="1">IFERROR(VLOOKUP(H$2,Rango_Admin_DailyPred,MATCH($F36,Rango_Admin_DailyPred_Primera,0),0),"-")</f>
        <v>1|1-0</v>
      </c>
      <c r="I36" s="429" t="str">
        <f ca="1">IFERROR(VLOOKUP(I$2,Rango_Admin_DailyPred,MATCH($F36,Rango_Admin_DailyPred_Primera,0),0),"-")</f>
        <v>2|1-2</v>
      </c>
      <c r="J36" s="429" t="str">
        <f ca="1">IFERROR(VLOOKUP(J$2,Rango_Admin_DailyPred,MATCH($F36,Rango_Admin_DailyPred_Primera,0),0),"-")</f>
        <v>1|3-0</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x14ac:dyDescent="0.2">
      <c r="E37" s="19">
        <f t="shared" si="1"/>
        <v>108</v>
      </c>
      <c r="F37" s="448" t="str" cm="1">
        <f t="array" aca="1" ref="F37" ca="1">IFERROR(INDEX(Rango_Admin_DailyPred_Primera,1,E37),"-")</f>
        <v>AD Monchus</v>
      </c>
      <c r="G37" s="429" t="str">
        <f ca="1">IFERROR(VLOOKUP(G$2,Rango_Admin_DailyPred,MATCH($F37,Rango_Admin_DailyPred_Primera,0),0),"-")</f>
        <v>1|6-1</v>
      </c>
      <c r="H37" s="429" t="str">
        <f ca="1">IFERROR(VLOOKUP(H$2,Rango_Admin_DailyPred,MATCH($F37,Rango_Admin_DailyPred_Primera,0),0),"-")</f>
        <v>1|2-1</v>
      </c>
      <c r="I37" s="429" t="str">
        <f ca="1">IFERROR(VLOOKUP(I$2,Rango_Admin_DailyPred,MATCH($F37,Rango_Admin_DailyPred_Primera,0),0),"-")</f>
        <v>2|0-3</v>
      </c>
      <c r="J37" s="429" t="str">
        <f ca="1">IFERROR(VLOOKUP(J$2,Rango_Admin_DailyPred,MATCH($F37,Rango_Admin_DailyPred_Primera,0),0),"-")</f>
        <v>1|4-0</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x14ac:dyDescent="0.2">
      <c r="E38" s="19">
        <f t="shared" si="1"/>
        <v>111</v>
      </c>
      <c r="F38" s="448" t="str" cm="1">
        <f t="array" aca="1" ref="F38" ca="1">IFERROR(INDEX(Rango_Admin_DailyPred_Primera,1,E38),"-")</f>
        <v>JUAN SOLAS</v>
      </c>
      <c r="G38" s="429" t="str">
        <f ca="1">IFERROR(VLOOKUP(G$2,Rango_Admin_DailyPred,MATCH($F38,Rango_Admin_DailyPred_Primera,0),0),"-")</f>
        <v>1|3-1</v>
      </c>
      <c r="H38" s="429" t="str">
        <f ca="1">IFERROR(VLOOKUP(H$2,Rango_Admin_DailyPred,MATCH($F38,Rango_Admin_DailyPred_Primera,0),0),"-")</f>
        <v>1|2-0</v>
      </c>
      <c r="I38" s="429" t="str">
        <f ca="1">IFERROR(VLOOKUP(I$2,Rango_Admin_DailyPred,MATCH($F38,Rango_Admin_DailyPred_Primera,0),0),"-")</f>
        <v>2|1-3</v>
      </c>
      <c r="J38" s="429" t="str">
        <f ca="1">IFERROR(VLOOKUP(J$2,Rango_Admin_DailyPred,MATCH($F38,Rango_Admin_DailyPred_Primera,0),0),"-")</f>
        <v>1|1-0</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x14ac:dyDescent="0.2">
      <c r="E39" s="19">
        <f t="shared" si="1"/>
        <v>114</v>
      </c>
      <c r="F39" s="448" t="str" cm="1">
        <f t="array" aca="1" ref="F39" ca="1">IFERROR(INDEX(Rango_Admin_DailyPred_Primera,1,E39),"-")</f>
        <v xml:space="preserve">Martín Matoses </v>
      </c>
      <c r="G39" s="429" t="str">
        <f ca="1">IFERROR(VLOOKUP(G$2,Rango_Admin_DailyPred,MATCH($F39,Rango_Admin_DailyPred_Primera,0),0),"-")</f>
        <v>1|2-1</v>
      </c>
      <c r="H39" s="429" t="str">
        <f ca="1">IFERROR(VLOOKUP(H$2,Rango_Admin_DailyPred,MATCH($F39,Rango_Admin_DailyPred_Primera,0),0),"-")</f>
        <v>1|3-2</v>
      </c>
      <c r="I39" s="429" t="str">
        <f ca="1">IFERROR(VLOOKUP(I$2,Rango_Admin_DailyPred,MATCH($F39,Rango_Admin_DailyPred_Primera,0),0),"-")</f>
        <v>2|0-1</v>
      </c>
      <c r="J39" s="429" t="str">
        <f ca="1">IFERROR(VLOOKUP(J$2,Rango_Admin_DailyPred,MATCH($F39,Rango_Admin_DailyPred_Primera,0),0),"-")</f>
        <v>1|3-1</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x14ac:dyDescent="0.2">
      <c r="E40" s="19">
        <f t="shared" si="1"/>
        <v>117</v>
      </c>
      <c r="F40" s="448" t="str" cm="1">
        <f t="array" aca="1" ref="F40" ca="1">IFERROR(INDEX(Rango_Admin_DailyPred_Primera,1,E40),"-")</f>
        <v>IGNACIO LAFUENTE</v>
      </c>
      <c r="G40" s="429" t="str">
        <f ca="1">IFERROR(VLOOKUP(G$2,Rango_Admin_DailyPred,MATCH($F40,Rango_Admin_DailyPred_Primera,0),0),"-")</f>
        <v>1|2-0</v>
      </c>
      <c r="H40" s="429" t="str">
        <f ca="1">IFERROR(VLOOKUP(H$2,Rango_Admin_DailyPred,MATCH($F40,Rango_Admin_DailyPred_Primera,0),0),"-")</f>
        <v>X|1-1</v>
      </c>
      <c r="I40" s="429" t="str">
        <f ca="1">IFERROR(VLOOKUP(I$2,Rango_Admin_DailyPred,MATCH($F40,Rango_Admin_DailyPred_Primera,0),0),"-")</f>
        <v>2|0-2</v>
      </c>
      <c r="J40" s="429" t="str">
        <f ca="1">IFERROR(VLOOKUP(J$2,Rango_Admin_DailyPred,MATCH($F40,Rango_Admin_DailyPred_Primera,0),0),"-")</f>
        <v>1|4-0</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x14ac:dyDescent="0.2">
      <c r="E41" s="19">
        <f t="shared" si="1"/>
        <v>120</v>
      </c>
      <c r="F41" s="448" t="str" cm="1">
        <f t="array" aca="1" ref="F41" ca="1">IFERROR(INDEX(Rango_Admin_DailyPred_Primera,1,E41),"-")</f>
        <v>DIDI</v>
      </c>
      <c r="G41" s="429" t="str">
        <f ca="1">IFERROR(VLOOKUP(G$2,Rango_Admin_DailyPred,MATCH($F41,Rango_Admin_DailyPred_Primera,0),0),"-")</f>
        <v>1|3-0</v>
      </c>
      <c r="H41" s="429" t="str">
        <f ca="1">IFERROR(VLOOKUP(H$2,Rango_Admin_DailyPred,MATCH($F41,Rango_Admin_DailyPred_Primera,0),0),"-")</f>
        <v>1|2-1</v>
      </c>
      <c r="I41" s="429" t="str">
        <f ca="1">IFERROR(VLOOKUP(I$2,Rango_Admin_DailyPred,MATCH($F41,Rango_Admin_DailyPred_Primera,0),0),"-")</f>
        <v>2|0-1</v>
      </c>
      <c r="J41" s="429" t="str">
        <f ca="1">IFERROR(VLOOKUP(J$2,Rango_Admin_DailyPred,MATCH($F41,Rango_Admin_DailyPred_Primera,0),0),"-")</f>
        <v>1|3-0</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x14ac:dyDescent="0.2">
      <c r="A42" s="5" t="str" cm="1">
        <f t="array" aca="1" ref="A42" ca="1">IFERROR(INDEX(ADMIN!$K$6:$K$258,SMALL(IF(ADMIN!$G$6:$G$258=$J$1,ROW(ADMIN!$G$6:$G$258)-ROW(ADMIN!$G$6)+1),ROWS($A$1:A39))),"")</f>
        <v/>
      </c>
      <c r="E42" s="19">
        <f t="shared" si="1"/>
        <v>123</v>
      </c>
      <c r="F42" s="448" t="str" cm="1">
        <f t="array" aca="1" ref="F42" ca="1">IFERROR(INDEX(Rango_Admin_DailyPred_Primera,1,E42),"-")</f>
        <v xml:space="preserve">Ignacio Núñez </v>
      </c>
      <c r="G42" s="429" t="str">
        <f ca="1">IFERROR(VLOOKUP(G$2,Rango_Admin_DailyPred,MATCH($F42,Rango_Admin_DailyPred_Primera,0),0),"-")</f>
        <v>1|4-1</v>
      </c>
      <c r="H42" s="429" t="str">
        <f ca="1">IFERROR(VLOOKUP(H$2,Rango_Admin_DailyPred,MATCH($F42,Rango_Admin_DailyPred_Primera,0),0),"-")</f>
        <v>X|2-2</v>
      </c>
      <c r="I42" s="429" t="str">
        <f ca="1">IFERROR(VLOOKUP(I$2,Rango_Admin_DailyPred,MATCH($F42,Rango_Admin_DailyPred_Primera,0),0),"-")</f>
        <v>2|1-3</v>
      </c>
      <c r="J42" s="429" t="str">
        <f ca="1">IFERROR(VLOOKUP(J$2,Rango_Admin_DailyPred,MATCH($F42,Rango_Admin_DailyPred_Primera,0),0),"-")</f>
        <v>1|3-0</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x14ac:dyDescent="0.2">
      <c r="E43" s="19">
        <f t="shared" si="1"/>
        <v>126</v>
      </c>
      <c r="F43" s="448" t="str" cm="1">
        <f t="array" aca="1" ref="F43" ca="1">IFERROR(INDEX(Rango_Admin_DailyPred_Primera,1,E43),"-")</f>
        <v>Ricardo Soto</v>
      </c>
      <c r="G43" s="429" t="str">
        <f ca="1">IFERROR(VLOOKUP(G$2,Rango_Admin_DailyPred,MATCH($F43,Rango_Admin_DailyPred_Primera,0),0),"-")</f>
        <v>1|3-1</v>
      </c>
      <c r="H43" s="429" t="str">
        <f ca="1">IFERROR(VLOOKUP(H$2,Rango_Admin_DailyPred,MATCH($F43,Rango_Admin_DailyPred_Primera,0),0),"-")</f>
        <v>2|0-1</v>
      </c>
      <c r="I43" s="429" t="str">
        <f ca="1">IFERROR(VLOOKUP(I$2,Rango_Admin_DailyPred,MATCH($F43,Rango_Admin_DailyPred_Primera,0),0),"-")</f>
        <v>2|1-2</v>
      </c>
      <c r="J43" s="429" t="str">
        <f ca="1">IFERROR(VLOOKUP(J$2,Rango_Admin_DailyPred,MATCH($F43,Rango_Admin_DailyPred_Primera,0),0),"-")</f>
        <v>1|2-1</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x14ac:dyDescent="0.2">
      <c r="E44" s="19">
        <f t="shared" si="1"/>
        <v>129</v>
      </c>
      <c r="F44" s="448" t="str" cm="1">
        <f t="array" aca="1" ref="F44" ca="1">IFERROR(INDEX(Rango_Admin_DailyPred_Primera,1,E44),"-")</f>
        <v>Alexander Schulte</v>
      </c>
      <c r="G44" s="429" t="str">
        <f ca="1">IFERROR(VLOOKUP(G$2,Rango_Admin_DailyPred,MATCH($F44,Rango_Admin_DailyPred_Primera,0),0),"-")</f>
        <v>1|4-0</v>
      </c>
      <c r="H44" s="429" t="str">
        <f ca="1">IFERROR(VLOOKUP(H$2,Rango_Admin_DailyPred,MATCH($F44,Rango_Admin_DailyPred_Primera,0),0),"-")</f>
        <v>X|2-2</v>
      </c>
      <c r="I44" s="429" t="str">
        <f ca="1">IFERROR(VLOOKUP(I$2,Rango_Admin_DailyPred,MATCH($F44,Rango_Admin_DailyPred_Primera,0),0),"-")</f>
        <v>2|0-2</v>
      </c>
      <c r="J44" s="429" t="str">
        <f ca="1">IFERROR(VLOOKUP(J$2,Rango_Admin_DailyPred,MATCH($F44,Rango_Admin_DailyPred_Primera,0),0),"-")</f>
        <v>1|2-0</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x14ac:dyDescent="0.2">
      <c r="E45" s="19">
        <f t="shared" si="1"/>
        <v>132</v>
      </c>
      <c r="F45" s="448" t="str" cm="1">
        <f t="array" aca="1" ref="F45" ca="1">IFERROR(INDEX(Rango_Admin_DailyPred_Primera,1,E45),"-")</f>
        <v>Pegar Valores Nombre J42</v>
      </c>
      <c r="G45" s="429">
        <f ca="1">IFERROR(VLOOKUP(G$2,Rango_Admin_DailyPred,MATCH($F45,Rango_Admin_DailyPred_Primera,0),0),"-")</f>
        <v>0</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x14ac:dyDescent="0.2">
      <c r="E46" s="19">
        <f t="shared" si="1"/>
        <v>135</v>
      </c>
      <c r="F46" s="448" t="str" cm="1">
        <f t="array" aca="1" ref="F46" ca="1">IFERROR(INDEX(Rango_Admin_DailyPred_Primera,1,E46),"-")</f>
        <v>Pegar Valores Nombre J43</v>
      </c>
      <c r="G46" s="429">
        <f ca="1">IFERROR(VLOOKUP(G$2,Rango_Admin_DailyPred,MATCH($F46,Rango_Admin_DailyPred_Primera,0),0),"-")</f>
        <v>0</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x14ac:dyDescent="0.2">
      <c r="E47" s="19">
        <f t="shared" si="1"/>
        <v>138</v>
      </c>
      <c r="F47" s="448" t="str" cm="1">
        <f t="array" aca="1" ref="F47" ca="1">IFERROR(INDEX(Rango_Admin_DailyPred_Primera,1,E47),"-")</f>
        <v>Pegar Valores Nombre J44</v>
      </c>
      <c r="G47" s="429">
        <f ca="1">IFERROR(VLOOKUP(G$2,Rango_Admin_DailyPred,MATCH($F47,Rango_Admin_DailyPred_Primera,0),0),"-")</f>
        <v>0</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x14ac:dyDescent="0.2">
      <c r="E48" s="19">
        <f t="shared" si="1"/>
        <v>141</v>
      </c>
      <c r="F48" s="448" t="str" cm="1">
        <f t="array" aca="1" ref="F48" ca="1">IFERROR(INDEX(Rango_Admin_DailyPred_Primera,1,E48),"-")</f>
        <v>Pegar Valores Nombre J45</v>
      </c>
      <c r="G48" s="429">
        <f ca="1">IFERROR(VLOOKUP(G$2,Rango_Admin_DailyPred,MATCH($F48,Rango_Admin_DailyPred_Primera,0),0),"-")</f>
        <v>0</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x14ac:dyDescent="0.2">
      <c r="E49" s="19">
        <f t="shared" si="1"/>
        <v>144</v>
      </c>
      <c r="F49" s="448" t="str" cm="1">
        <f t="array" aca="1" ref="F49" ca="1">IFERROR(INDEX(Rango_Admin_DailyPred_Primera,1,E49),"-")</f>
        <v>Pegar Valores Nombre J46</v>
      </c>
      <c r="G49" s="429">
        <f ca="1">IFERROR(VLOOKUP(G$2,Rango_Admin_DailyPred,MATCH($F49,Rango_Admin_DailyPred_Primera,0),0),"-")</f>
        <v>0</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x14ac:dyDescent="0.2">
      <c r="E50" s="19">
        <f t="shared" si="1"/>
        <v>147</v>
      </c>
      <c r="F50" s="448" t="str" cm="1">
        <f t="array" aca="1" ref="F50" ca="1">IFERROR(INDEX(Rango_Admin_DailyPred_Primera,1,E50),"-")</f>
        <v>Pegar Valores Nombre J47</v>
      </c>
      <c r="G50" s="429">
        <f ca="1">IFERROR(VLOOKUP(G$2,Rango_Admin_DailyPred,MATCH($F50,Rango_Admin_DailyPred_Primera,0),0),"-")</f>
        <v>0</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x14ac:dyDescent="0.2">
      <c r="E51" s="19">
        <f t="shared" si="1"/>
        <v>150</v>
      </c>
      <c r="F51" s="448" t="str" cm="1">
        <f t="array" aca="1" ref="F51" ca="1">IFERROR(INDEX(Rango_Admin_DailyPred_Primera,1,E51),"-")</f>
        <v>Pegar Valores Nombre J48</v>
      </c>
      <c r="G51" s="429">
        <f ca="1">IFERROR(VLOOKUP(G$2,Rango_Admin_DailyPred,MATCH($F51,Rango_Admin_DailyPred_Primera,0),0),"-")</f>
        <v>0</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x14ac:dyDescent="0.2">
      <c r="E52" s="19">
        <f t="shared" si="1"/>
        <v>153</v>
      </c>
      <c r="F52" s="448" t="str" cm="1">
        <f t="array" aca="1" ref="F52" ca="1">IFERROR(INDEX(Rango_Admin_DailyPred_Primera,1,E52),"-")</f>
        <v>Pegar Valores Nombre J49</v>
      </c>
      <c r="G52" s="429">
        <f ca="1">IFERROR(VLOOKUP(G$2,Rango_Admin_DailyPred,MATCH($F52,Rango_Admin_DailyPred_Primera,0),0),"-")</f>
        <v>0</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x14ac:dyDescent="0.2">
      <c r="E53" s="19">
        <f t="shared" si="1"/>
        <v>156</v>
      </c>
      <c r="F53" s="448" t="str" cm="1">
        <f t="array" aca="1" ref="F53" ca="1">IFERROR(INDEX(Rango_Admin_DailyPred_Primera,1,E53),"-")</f>
        <v>Pegar Valores Nombre J50</v>
      </c>
      <c r="G53" s="429">
        <f ca="1">IFERROR(VLOOKUP(G$2,Rango_Admin_DailyPred,MATCH($F53,Rango_Admin_DailyPred_Primera,0),0),"-")</f>
        <v>0</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x14ac:dyDescent="0.2">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x14ac:dyDescent="0.2">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x14ac:dyDescent="0.2">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x14ac:dyDescent="0.2">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x14ac:dyDescent="0.2">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x14ac:dyDescent="0.2">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x14ac:dyDescent="0.2">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x14ac:dyDescent="0.2">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x14ac:dyDescent="0.2">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x14ac:dyDescent="0.2">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x14ac:dyDescent="0.2">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x14ac:dyDescent="0.2">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x14ac:dyDescent="0.2">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x14ac:dyDescent="0.2">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x14ac:dyDescent="0.2">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x14ac:dyDescent="0.2">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x14ac:dyDescent="0.2">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x14ac:dyDescent="0.2">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x14ac:dyDescent="0.2">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x14ac:dyDescent="0.2">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x14ac:dyDescent="0.2">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x14ac:dyDescent="0.2">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x14ac:dyDescent="0.2">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x14ac:dyDescent="0.2">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5" x14ac:dyDescent="0.2"/>
  <cols>
    <col min="1" max="1" width="25.2890625" style="5" hidden="1" customWidth="1"/>
    <col min="2" max="2" width="35.37890625" style="5" hidden="1" customWidth="1"/>
    <col min="3" max="3" width="10.76171875" style="5" hidden="1" customWidth="1"/>
    <col min="4" max="4" width="3.49609375" style="20" customWidth="1"/>
    <col min="5" max="5" width="4.16796875" style="1" bestFit="1" customWidth="1"/>
    <col min="6" max="6" width="24.6171875" style="1" customWidth="1"/>
    <col min="7" max="39" width="25.828125" style="1" customWidth="1"/>
    <col min="40" max="40" width="10.76171875" style="1" customWidth="1"/>
    <col min="41" max="16384" width="10.76171875" style="1" hidden="1"/>
  </cols>
  <sheetData>
    <row r="1" spans="1:40" ht="40.15" customHeight="1" thickBot="1" x14ac:dyDescent="0.35">
      <c r="D1" s="17"/>
      <c r="E1" s="17"/>
      <c r="F1" s="17"/>
      <c r="G1" s="17"/>
      <c r="H1" s="408" t="str">
        <f>Idiomas!D496</f>
        <v>Dia seleccionado en "Daily Prediction"</v>
      </c>
      <c r="I1" s="762">
        <f>DailyPrediction!H1</f>
        <v>46196</v>
      </c>
      <c r="J1" s="297"/>
      <c r="K1" s="19">
        <f ca="1">VLOOKUP($I$1,Equipos!$Q$2:$R$37,2,0)</f>
        <v>13</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x14ac:dyDescent="0.2">
      <c r="D2" s="19"/>
      <c r="E2" s="297"/>
      <c r="F2" s="19"/>
      <c r="G2" s="19"/>
      <c r="H2" s="19" t="str" cm="1">
        <f t="array" aca="1" ref="H2:AM2" ca="1">TRANSPOSE($A$4:$A$35)</f>
        <v>Francia-Irak</v>
      </c>
      <c r="I2" s="19" t="str">
        <f ca="1"/>
        <v>Noruega-Senegal</v>
      </c>
      <c r="J2" s="19" t="str">
        <f ca="1"/>
        <v>Jordania-Argelia</v>
      </c>
      <c r="K2" s="19" t="str">
        <f ca="1"/>
        <v>Portugal-Uzbekistán</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 customHeight="1" thickBot="1" x14ac:dyDescent="0.25">
      <c r="D3" s="19"/>
      <c r="E3" s="449" t="str">
        <f>Idiomas!D479</f>
        <v>Pos</v>
      </c>
      <c r="F3" s="449" t="str">
        <f>Idiomas!D480</f>
        <v>Nombre</v>
      </c>
      <c r="G3" s="449" t="str">
        <f>Idiomas!D481</f>
        <v>Puntos Día / Eliminatoria</v>
      </c>
      <c r="H3" s="449" t="str" cm="1">
        <f t="array" aca="1" ref="H3:AM3" ca="1">TRANSPOSE($B$4:$B$35)</f>
        <v>Francia-Irak
 (1|3-0)</v>
      </c>
      <c r="I3" s="449" t="str">
        <f ca="1"/>
        <v>Noruega-Senegal
 (1|3-2)</v>
      </c>
      <c r="J3" s="449" t="str">
        <f ca="1"/>
        <v>Jordania-Argelia
 (2|1-2)</v>
      </c>
      <c r="K3" s="449" t="str">
        <f ca="1"/>
        <v>Portugal-Uzbekistán
 (1|5-0)</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x14ac:dyDescent="0.2">
      <c r="A4" s="8" t="str" cm="1">
        <f t="array" aca="1" ref="A4" ca="1">IFERROR(INDEX(ADMIN!$K$6:$K$258,SMALL(IF(ADMIN!$G$6:$G$258=$K$1,ROW(ADMIN!$G$6:$G$258)-ROW(ADMIN!$G$6)+1),ROWS($A$1:A1))),"")</f>
        <v>Francia-Irak</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Francia-Irak
 (1|3-0)</v>
      </c>
      <c r="C4" s="8">
        <v>1</v>
      </c>
      <c r="D4" s="90"/>
      <c r="E4" s="409">
        <f ca="1">IFERROR(HLOOKUP(C4,Rango_Admin_DailyClas,3,FALSE),"-")</f>
        <v>1</v>
      </c>
      <c r="F4" s="448" t="str">
        <f ca="1">IFERROR(HLOOKUP(C4,Rango_Admin_DailyClas,5,FALSE),"-")</f>
        <v>Nacho Novo</v>
      </c>
      <c r="G4" s="22">
        <f ca="1">IFERROR(HLOOKUP(C4,Rango_Admin_DailyClas,4,FALSE),"-")</f>
        <v>9</v>
      </c>
      <c r="H4" s="429">
        <f ca="1">IFERROR(VLOOKUP(H$2,Rango_Admin_DailyPred,MATCH($F4,Rango_Admin_DailyPred_Primera,0)+1,0),"-")</f>
        <v>4</v>
      </c>
      <c r="I4" s="429">
        <f ca="1">IFERROR(VLOOKUP(I$2,Rango_Admin_DailyPred,MATCH($F4,Rango_Admin_DailyPred_Primera,0)+1,0),"-")</f>
        <v>0</v>
      </c>
      <c r="J4" s="429">
        <f ca="1">IFERROR(VLOOKUP(J$2,Rango_Admin_DailyPred,MATCH($F4,Rango_Admin_DailyPred_Primera,0)+1,0),"-")</f>
        <v>1</v>
      </c>
      <c r="K4" s="429">
        <f ca="1">IFERROR(VLOOKUP(K$2,Rango_Admin_DailyPred,MATCH($F4,Rango_Admin_DailyPred_Primera,0)+1,0),"-")</f>
        <v>4</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x14ac:dyDescent="0.2">
      <c r="A5" s="8" t="str" cm="1">
        <f t="array" aca="1" ref="A5" ca="1">IFERROR(INDEX(ADMIN!$K$6:$K$258,SMALL(IF(ADMIN!$G$6:$G$258=$K$1,ROW(ADMIN!$G$6:$G$258)-ROW(ADMIN!$G$6)+1),ROWS($A$1:A2))),"")</f>
        <v>Noruega-Senegal</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Noruega-Senegal
 (1|3-2)</v>
      </c>
      <c r="C5" s="8">
        <v>2</v>
      </c>
      <c r="D5" s="90"/>
      <c r="E5" s="409">
        <f ca="1">IFERROR(HLOOKUP(C5,Rango_Admin_DailyClas,3,FALSE),"-")</f>
        <v>1</v>
      </c>
      <c r="F5" s="448" t="str">
        <f ca="1">IFERROR(HLOOKUP(C5,Rango_Admin_DailyClas,5,FALSE),"-")</f>
        <v>DIDI</v>
      </c>
      <c r="G5" s="22">
        <f ca="1">IFERROR(HLOOKUP(C5,Rango_Admin_DailyClas,4,FALSE),"-")</f>
        <v>9</v>
      </c>
      <c r="H5" s="429">
        <f ca="1">IFERROR(VLOOKUP(H$2,Rango_Admin_DailyPred,MATCH($F5,Rango_Admin_DailyPred_Primera,0)+1,0),"-")</f>
        <v>4</v>
      </c>
      <c r="I5" s="429">
        <f ca="1">IFERROR(VLOOKUP(I$2,Rango_Admin_DailyPred,MATCH($F5,Rango_Admin_DailyPred_Primera,0)+1,0),"-")</f>
        <v>2</v>
      </c>
      <c r="J5" s="429">
        <f ca="1">IFERROR(VLOOKUP(J$2,Rango_Admin_DailyPred,MATCH($F5,Rango_Admin_DailyPred_Primera,0)+1,0),"-")</f>
        <v>2</v>
      </c>
      <c r="K5" s="429">
        <f ca="1">IFERROR(VLOOKUP(K$2,Rango_Admin_DailyPred,MATCH($F5,Rango_Admin_DailyPred_Primera,0)+1,0),"-")</f>
        <v>1</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x14ac:dyDescent="0.2">
      <c r="A6" s="8" t="str" cm="1">
        <f t="array" aca="1" ref="A6" ca="1">IFERROR(INDEX(ADMIN!$K$6:$K$258,SMALL(IF(ADMIN!$G$6:$G$258=$K$1,ROW(ADMIN!$G$6:$G$258)-ROW(ADMIN!$G$6)+1),ROWS($A$1:A3))),"")</f>
        <v>Jordania-Argelia</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Jordania-Argelia
 (2|1-2)</v>
      </c>
      <c r="C6" s="8">
        <v>3</v>
      </c>
      <c r="D6" s="90"/>
      <c r="E6" s="409">
        <f ca="1">IFERROR(HLOOKUP(C6,Rango_Admin_DailyClas,3,FALSE),"-")</f>
        <v>3</v>
      </c>
      <c r="F6" s="448" t="str">
        <f ca="1">IFERROR(HLOOKUP(C6,Rango_Admin_DailyClas,5,FALSE),"-")</f>
        <v>Antonio Zulueta Ramos</v>
      </c>
      <c r="G6" s="22">
        <f ca="1">IFERROR(HLOOKUP(C6,Rango_Admin_DailyClas,4,FALSE),"-")</f>
        <v>8</v>
      </c>
      <c r="H6" s="429">
        <f ca="1">IFERROR(VLOOKUP(H$2,Rango_Admin_DailyPred,MATCH($F6,Rango_Admin_DailyPred_Primera,0)+1,0),"-")</f>
        <v>4</v>
      </c>
      <c r="I6" s="429">
        <f ca="1">IFERROR(VLOOKUP(I$2,Rango_Admin_DailyPred,MATCH($F6,Rango_Admin_DailyPred_Primera,0)+1,0),"-")</f>
        <v>2</v>
      </c>
      <c r="J6" s="429">
        <f ca="1">IFERROR(VLOOKUP(J$2,Rango_Admin_DailyPred,MATCH($F6,Rango_Admin_DailyPred_Primera,0)+1,0),"-")</f>
        <v>1</v>
      </c>
      <c r="K6" s="429">
        <f ca="1">IFERROR(VLOOKUP(K$2,Rango_Admin_DailyPred,MATCH($F6,Rango_Admin_DailyPred_Primera,0)+1,0),"-")</f>
        <v>1</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x14ac:dyDescent="0.2">
      <c r="A7" s="8" t="str" cm="1">
        <f t="array" aca="1" ref="A7" ca="1">IFERROR(INDEX(ADMIN!$K$6:$K$258,SMALL(IF(ADMIN!$G$6:$G$258=$K$1,ROW(ADMIN!$G$6:$G$258)-ROW(ADMIN!$G$6)+1),ROWS($A$1:A4))),"")</f>
        <v>Portugal-Uzbekistán</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Portugal-Uzbekistán
 (1|5-0)</v>
      </c>
      <c r="C7" s="8">
        <v>4</v>
      </c>
      <c r="D7" s="90"/>
      <c r="E7" s="409">
        <f ca="1">IFERROR(HLOOKUP(C7,Rango_Admin_DailyClas,3,FALSE),"-")</f>
        <v>3</v>
      </c>
      <c r="F7" s="448" t="str">
        <f ca="1">IFERROR(HLOOKUP(C7,Rango_Admin_DailyClas,5,FALSE),"-")</f>
        <v>Gratacós</v>
      </c>
      <c r="G7" s="22">
        <f ca="1">IFERROR(HLOOKUP(C7,Rango_Admin_DailyClas,4,FALSE),"-")</f>
        <v>8</v>
      </c>
      <c r="H7" s="429">
        <f ca="1">IFERROR(VLOOKUP(H$2,Rango_Admin_DailyPred,MATCH($F7,Rango_Admin_DailyPred_Primera,0)+1,0),"-")</f>
        <v>1</v>
      </c>
      <c r="I7" s="429">
        <f ca="1">IFERROR(VLOOKUP(I$2,Rango_Admin_DailyPred,MATCH($F7,Rango_Admin_DailyPred_Primera,0)+1,0),"-")</f>
        <v>2</v>
      </c>
      <c r="J7" s="429">
        <f ca="1">IFERROR(VLOOKUP(J$2,Rango_Admin_DailyPred,MATCH($F7,Rango_Admin_DailyPred_Primera,0)+1,0),"-")</f>
        <v>4</v>
      </c>
      <c r="K7" s="429">
        <f ca="1">IFERROR(VLOOKUP(K$2,Rango_Admin_DailyPred,MATCH($F7,Rango_Admin_DailyPred_Primera,0)+1,0),"-")</f>
        <v>1</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x14ac:dyDescent="0.2">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3</v>
      </c>
      <c r="F8" s="448" t="str">
        <f ca="1">IFERROR(HLOOKUP(C8,Rango_Admin_DailyClas,5,FALSE),"-")</f>
        <v xml:space="preserve">Martín Matoses </v>
      </c>
      <c r="G8" s="22">
        <f ca="1">IFERROR(HLOOKUP(C8,Rango_Admin_DailyClas,4,FALSE),"-")</f>
        <v>8</v>
      </c>
      <c r="H8" s="429">
        <f ca="1">IFERROR(VLOOKUP(H$2,Rango_Admin_DailyPred,MATCH($F8,Rango_Admin_DailyPred_Primera,0)+1,0),"-")</f>
        <v>1</v>
      </c>
      <c r="I8" s="429">
        <f ca="1">IFERROR(VLOOKUP(I$2,Rango_Admin_DailyPred,MATCH($F8,Rango_Admin_DailyPred_Primera,0)+1,0),"-")</f>
        <v>4</v>
      </c>
      <c r="J8" s="429">
        <f ca="1">IFERROR(VLOOKUP(J$2,Rango_Admin_DailyPred,MATCH($F8,Rango_Admin_DailyPred_Primera,0)+1,0),"-")</f>
        <v>2</v>
      </c>
      <c r="K8" s="429">
        <f ca="1">IFERROR(VLOOKUP(K$2,Rango_Admin_DailyPred,MATCH($F8,Rango_Admin_DailyPred_Primera,0)+1,0),"-")</f>
        <v>1</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x14ac:dyDescent="0.2">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6</v>
      </c>
      <c r="F9" s="448" t="str">
        <f ca="1">IFERROR(HLOOKUP(C9,Rango_Admin_DailyClas,5,FALSE),"-")</f>
        <v>Alejandro Lafuente</v>
      </c>
      <c r="G9" s="22">
        <f ca="1">IFERROR(HLOOKUP(C9,Rango_Admin_DailyClas,4,FALSE),"-")</f>
        <v>7</v>
      </c>
      <c r="H9" s="429">
        <f ca="1">IFERROR(VLOOKUP(H$2,Rango_Admin_DailyPred,MATCH($F9,Rango_Admin_DailyPred_Primera,0)+1,0),"-")</f>
        <v>1</v>
      </c>
      <c r="I9" s="429">
        <f ca="1">IFERROR(VLOOKUP(I$2,Rango_Admin_DailyPred,MATCH($F9,Rango_Admin_DailyPred_Primera,0)+1,0),"-")</f>
        <v>1</v>
      </c>
      <c r="J9" s="429">
        <f ca="1">IFERROR(VLOOKUP(J$2,Rango_Admin_DailyPred,MATCH($F9,Rango_Admin_DailyPred_Primera,0)+1,0),"-")</f>
        <v>4</v>
      </c>
      <c r="K9" s="429">
        <f ca="1">IFERROR(VLOOKUP(K$2,Rango_Admin_DailyPred,MATCH($F9,Rango_Admin_DailyPred_Primera,0)+1,0),"-")</f>
        <v>1</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x14ac:dyDescent="0.2">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6</v>
      </c>
      <c r="F10" s="448" t="str">
        <f ca="1">IFERROR(HLOOKUP(C10,Rango_Admin_DailyClas,5,FALSE),"-")</f>
        <v>Ignacio de Lecea</v>
      </c>
      <c r="G10" s="22">
        <f ca="1">IFERROR(HLOOKUP(C10,Rango_Admin_DailyClas,4,FALSE),"-")</f>
        <v>7</v>
      </c>
      <c r="H10" s="429">
        <f ca="1">IFERROR(VLOOKUP(H$2,Rango_Admin_DailyPred,MATCH($F10,Rango_Admin_DailyPred_Primera,0)+1,0),"-")</f>
        <v>4</v>
      </c>
      <c r="I10" s="429">
        <f ca="1">IFERROR(VLOOKUP(I$2,Rango_Admin_DailyPred,MATCH($F10,Rango_Admin_DailyPred_Primera,0)+1,0),"-")</f>
        <v>2</v>
      </c>
      <c r="J10" s="429">
        <f ca="1">IFERROR(VLOOKUP(J$2,Rango_Admin_DailyPred,MATCH($F10,Rango_Admin_DailyPred_Primera,0)+1,0),"-")</f>
        <v>0</v>
      </c>
      <c r="K10" s="429">
        <f ca="1">IFERROR(VLOOKUP(K$2,Rango_Admin_DailyPred,MATCH($F10,Rango_Admin_DailyPred_Primera,0)+1,0),"-")</f>
        <v>1</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x14ac:dyDescent="0.2">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6</v>
      </c>
      <c r="F11" s="448" t="str">
        <f ca="1">IFERROR(HLOOKUP(C11,Rango_Admin_DailyClas,5,FALSE),"-")</f>
        <v>Joserra</v>
      </c>
      <c r="G11" s="22">
        <f ca="1">IFERROR(HLOOKUP(C11,Rango_Admin_DailyClas,4,FALSE),"-")</f>
        <v>7</v>
      </c>
      <c r="H11" s="429">
        <f ca="1">IFERROR(VLOOKUP(H$2,Rango_Admin_DailyPred,MATCH($F11,Rango_Admin_DailyPred_Primera,0)+1,0),"-")</f>
        <v>1</v>
      </c>
      <c r="I11" s="429">
        <f ca="1">IFERROR(VLOOKUP(I$2,Rango_Admin_DailyPred,MATCH($F11,Rango_Admin_DailyPred_Primera,0)+1,0),"-")</f>
        <v>1</v>
      </c>
      <c r="J11" s="429">
        <f ca="1">IFERROR(VLOOKUP(J$2,Rango_Admin_DailyPred,MATCH($F11,Rango_Admin_DailyPred_Primera,0)+1,0),"-")</f>
        <v>4</v>
      </c>
      <c r="K11" s="429">
        <f ca="1">IFERROR(VLOOKUP(K$2,Rango_Admin_DailyPred,MATCH($F11,Rango_Admin_DailyPred_Primera,0)+1,0),"-")</f>
        <v>1</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x14ac:dyDescent="0.2">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6</v>
      </c>
      <c r="F12" s="448" t="str">
        <f ca="1">IFERROR(HLOOKUP(C12,Rango_Admin_DailyClas,5,FALSE),"-")</f>
        <v>Migay Marcos</v>
      </c>
      <c r="G12" s="22">
        <f ca="1">IFERROR(HLOOKUP(C12,Rango_Admin_DailyClas,4,FALSE),"-")</f>
        <v>7</v>
      </c>
      <c r="H12" s="429">
        <f ca="1">IFERROR(VLOOKUP(H$2,Rango_Admin_DailyPred,MATCH($F12,Rango_Admin_DailyPred_Primera,0)+1,0),"-")</f>
        <v>4</v>
      </c>
      <c r="I12" s="429">
        <f ca="1">IFERROR(VLOOKUP(I$2,Rango_Admin_DailyPred,MATCH($F12,Rango_Admin_DailyPred_Primera,0)+1,0),"-")</f>
        <v>0</v>
      </c>
      <c r="J12" s="429">
        <f ca="1">IFERROR(VLOOKUP(J$2,Rango_Admin_DailyPred,MATCH($F12,Rango_Admin_DailyPred_Primera,0)+1,0),"-")</f>
        <v>2</v>
      </c>
      <c r="K12" s="429">
        <f ca="1">IFERROR(VLOOKUP(K$2,Rango_Admin_DailyPred,MATCH($F12,Rango_Admin_DailyPred_Primera,0)+1,0),"-")</f>
        <v>1</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x14ac:dyDescent="0.2">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6</v>
      </c>
      <c r="F13" s="448" t="str">
        <f ca="1">IFERROR(HLOOKUP(C13,Rango_Admin_DailyClas,5,FALSE),"-")</f>
        <v>Miguel San Martín</v>
      </c>
      <c r="G13" s="22">
        <f ca="1">IFERROR(HLOOKUP(C13,Rango_Admin_DailyClas,4,FALSE),"-")</f>
        <v>7</v>
      </c>
      <c r="H13" s="429">
        <f ca="1">IFERROR(VLOOKUP(H$2,Rango_Admin_DailyPred,MATCH($F13,Rango_Admin_DailyPred_Primera,0)+1,0),"-")</f>
        <v>4</v>
      </c>
      <c r="I13" s="429">
        <f ca="1">IFERROR(VLOOKUP(I$2,Rango_Admin_DailyPred,MATCH($F13,Rango_Admin_DailyPred_Primera,0)+1,0),"-")</f>
        <v>0</v>
      </c>
      <c r="J13" s="429">
        <f ca="1">IFERROR(VLOOKUP(J$2,Rango_Admin_DailyPred,MATCH($F13,Rango_Admin_DailyPred_Primera,0)+1,0),"-")</f>
        <v>2</v>
      </c>
      <c r="K13" s="429">
        <f ca="1">IFERROR(VLOOKUP(K$2,Rango_Admin_DailyPred,MATCH($F13,Rango_Admin_DailyPred_Primera,0)+1,0),"-")</f>
        <v>1</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x14ac:dyDescent="0.2">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6</v>
      </c>
      <c r="F14" s="448" t="str">
        <f ca="1">IFERROR(HLOOKUP(C14,Rango_Admin_DailyClas,5,FALSE),"-")</f>
        <v>YTD</v>
      </c>
      <c r="G14" s="22">
        <f ca="1">IFERROR(HLOOKUP(C14,Rango_Admin_DailyClas,4,FALSE),"-")</f>
        <v>7</v>
      </c>
      <c r="H14" s="429">
        <f ca="1">IFERROR(VLOOKUP(H$2,Rango_Admin_DailyPred,MATCH($F14,Rango_Admin_DailyPred_Primera,0)+1,0),"-")</f>
        <v>1</v>
      </c>
      <c r="I14" s="429">
        <f ca="1">IFERROR(VLOOKUP(I$2,Rango_Admin_DailyPred,MATCH($F14,Rango_Admin_DailyPred_Primera,0)+1,0),"-")</f>
        <v>2</v>
      </c>
      <c r="J14" s="429">
        <f ca="1">IFERROR(VLOOKUP(J$2,Rango_Admin_DailyPred,MATCH($F14,Rango_Admin_DailyPred_Primera,0)+1,0),"-")</f>
        <v>0</v>
      </c>
      <c r="K14" s="429">
        <f ca="1">IFERROR(VLOOKUP(K$2,Rango_Admin_DailyPred,MATCH($F14,Rango_Admin_DailyPred_Primera,0)+1,0),"-")</f>
        <v>4</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x14ac:dyDescent="0.2">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6</v>
      </c>
      <c r="F15" s="448" t="str">
        <f ca="1">IFERROR(HLOOKUP(C15,Rango_Admin_DailyClas,5,FALSE),"-")</f>
        <v>Fernando Carlos García-Ramos Redondo</v>
      </c>
      <c r="G15" s="22">
        <f ca="1">IFERROR(HLOOKUP(C15,Rango_Admin_DailyClas,4,FALSE),"-")</f>
        <v>7</v>
      </c>
      <c r="H15" s="429">
        <f ca="1">IFERROR(VLOOKUP(H$2,Rango_Admin_DailyPred,MATCH($F15,Rango_Admin_DailyPred_Primera,0)+1,0),"-")</f>
        <v>4</v>
      </c>
      <c r="I15" s="429">
        <f ca="1">IFERROR(VLOOKUP(I$2,Rango_Admin_DailyPred,MATCH($F15,Rango_Admin_DailyPred_Primera,0)+1,0),"-")</f>
        <v>0</v>
      </c>
      <c r="J15" s="429">
        <f ca="1">IFERROR(VLOOKUP(J$2,Rango_Admin_DailyPred,MATCH($F15,Rango_Admin_DailyPred_Primera,0)+1,0),"-")</f>
        <v>2</v>
      </c>
      <c r="K15" s="429">
        <f ca="1">IFERROR(VLOOKUP(K$2,Rango_Admin_DailyPred,MATCH($F15,Rango_Admin_DailyPred_Primera,0)+1,0),"-")</f>
        <v>1</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x14ac:dyDescent="0.2">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Admin</v>
      </c>
      <c r="G16" s="22">
        <f ca="1">IFERROR(HLOOKUP(C16,Rango_Admin_DailyClas,4,FALSE),"-")</f>
        <v>6</v>
      </c>
      <c r="H16" s="429">
        <f ca="1">IFERROR(VLOOKUP(H$2,Rango_Admin_DailyPred,MATCH($F16,Rango_Admin_DailyPred_Primera,0)+1,0),"-")</f>
        <v>2</v>
      </c>
      <c r="I16" s="429">
        <f ca="1">IFERROR(VLOOKUP(I$2,Rango_Admin_DailyPred,MATCH($F16,Rango_Admin_DailyPred_Primera,0)+1,0),"-")</f>
        <v>1</v>
      </c>
      <c r="J16" s="429">
        <f ca="1">IFERROR(VLOOKUP(J$2,Rango_Admin_DailyPred,MATCH($F16,Rango_Admin_DailyPred_Primera,0)+1,0),"-")</f>
        <v>2</v>
      </c>
      <c r="K16" s="429">
        <f ca="1">IFERROR(VLOOKUP(K$2,Rango_Admin_DailyPred,MATCH($F16,Rango_Admin_DailyPred_Primera,0)+1,0),"-")</f>
        <v>1</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x14ac:dyDescent="0.2">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Luis B</v>
      </c>
      <c r="G17" s="22">
        <f ca="1">IFERROR(HLOOKUP(C17,Rango_Admin_DailyClas,4,FALSE),"-")</f>
        <v>6</v>
      </c>
      <c r="H17" s="429">
        <f ca="1">IFERROR(VLOOKUP(H$2,Rango_Admin_DailyPred,MATCH($F17,Rango_Admin_DailyPred_Primera,0)+1,0),"-")</f>
        <v>1</v>
      </c>
      <c r="I17" s="429">
        <f ca="1">IFERROR(VLOOKUP(I$2,Rango_Admin_DailyPred,MATCH($F17,Rango_Admin_DailyPred_Primera,0)+1,0),"-")</f>
        <v>0</v>
      </c>
      <c r="J17" s="429">
        <f ca="1">IFERROR(VLOOKUP(J$2,Rango_Admin_DailyPred,MATCH($F17,Rango_Admin_DailyPred_Primera,0)+1,0),"-")</f>
        <v>4</v>
      </c>
      <c r="K17" s="429">
        <f ca="1">IFERROR(VLOOKUP(K$2,Rango_Admin_DailyPred,MATCH($F17,Rango_Admin_DailyPred_Primera,0)+1,0),"-")</f>
        <v>1</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x14ac:dyDescent="0.2">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Antonio del Ojo</v>
      </c>
      <c r="G18" s="22">
        <f ca="1">IFERROR(HLOOKUP(C18,Rango_Admin_DailyClas,4,FALSE),"-")</f>
        <v>6</v>
      </c>
      <c r="H18" s="429">
        <f ca="1">IFERROR(VLOOKUP(H$2,Rango_Admin_DailyPred,MATCH($F18,Rango_Admin_DailyPred_Primera,0)+1,0),"-")</f>
        <v>4</v>
      </c>
      <c r="I18" s="429">
        <f ca="1">IFERROR(VLOOKUP(I$2,Rango_Admin_DailyPred,MATCH($F18,Rango_Admin_DailyPred_Primera,0)+1,0),"-")</f>
        <v>0</v>
      </c>
      <c r="J18" s="429">
        <f ca="1">IFERROR(VLOOKUP(J$2,Rango_Admin_DailyPred,MATCH($F18,Rango_Admin_DailyPred_Primera,0)+1,0),"-")</f>
        <v>1</v>
      </c>
      <c r="K18" s="429">
        <f ca="1">IFERROR(VLOOKUP(K$2,Rango_Admin_DailyPred,MATCH($F18,Rango_Admin_DailyPred_Primera,0)+1,0),"-")</f>
        <v>1</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x14ac:dyDescent="0.2">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Hulk Rexach</v>
      </c>
      <c r="G19" s="22">
        <f ca="1">IFERROR(HLOOKUP(C19,Rango_Admin_DailyClas,4,FALSE),"-")</f>
        <v>6</v>
      </c>
      <c r="H19" s="429">
        <f ca="1">IFERROR(VLOOKUP(H$2,Rango_Admin_DailyPred,MATCH($F19,Rango_Admin_DailyPred_Primera,0)+1,0),"-")</f>
        <v>1</v>
      </c>
      <c r="I19" s="429">
        <f ca="1">IFERROR(VLOOKUP(I$2,Rango_Admin_DailyPred,MATCH($F19,Rango_Admin_DailyPred_Primera,0)+1,0),"-")</f>
        <v>0</v>
      </c>
      <c r="J19" s="429">
        <f ca="1">IFERROR(VLOOKUP(J$2,Rango_Admin_DailyPred,MATCH($F19,Rango_Admin_DailyPred_Primera,0)+1,0),"-")</f>
        <v>4</v>
      </c>
      <c r="K19" s="429">
        <f ca="1">IFERROR(VLOOKUP(K$2,Rango_Admin_DailyPred,MATCH($F19,Rango_Admin_DailyPred_Primera,0)+1,0),"-")</f>
        <v>1</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x14ac:dyDescent="0.2">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13</v>
      </c>
      <c r="F20" s="448" t="str">
        <f ca="1">IFERROR(HLOOKUP(C20,Rango_Admin_DailyClas,5,FALSE),"-")</f>
        <v>Ricardo Soto</v>
      </c>
      <c r="G20" s="22">
        <f ca="1">IFERROR(HLOOKUP(C20,Rango_Admin_DailyClas,4,FALSE),"-")</f>
        <v>6</v>
      </c>
      <c r="H20" s="429">
        <f ca="1">IFERROR(VLOOKUP(H$2,Rango_Admin_DailyPred,MATCH($F20,Rango_Admin_DailyPred_Primera,0)+1,0),"-")</f>
        <v>1</v>
      </c>
      <c r="I20" s="429">
        <f ca="1">IFERROR(VLOOKUP(I$2,Rango_Admin_DailyPred,MATCH($F20,Rango_Admin_DailyPred_Primera,0)+1,0),"-")</f>
        <v>0</v>
      </c>
      <c r="J20" s="429">
        <f ca="1">IFERROR(VLOOKUP(J$2,Rango_Admin_DailyPred,MATCH($F20,Rango_Admin_DailyPred_Primera,0)+1,0),"-")</f>
        <v>4</v>
      </c>
      <c r="K20" s="429">
        <f ca="1">IFERROR(VLOOKUP(K$2,Rango_Admin_DailyPred,MATCH($F20,Rango_Admin_DailyPred_Primera,0)+1,0),"-")</f>
        <v>1</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x14ac:dyDescent="0.2">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18</v>
      </c>
      <c r="F21" s="448" t="str">
        <f ca="1">IFERROR(HLOOKUP(C21,Rango_Admin_DailyClas,5,FALSE),"-")</f>
        <v>Jaime García de la Riva</v>
      </c>
      <c r="G21" s="22">
        <f ca="1">IFERROR(HLOOKUP(C21,Rango_Admin_DailyClas,4,FALSE),"-")</f>
        <v>5</v>
      </c>
      <c r="H21" s="429">
        <f ca="1">IFERROR(VLOOKUP(H$2,Rango_Admin_DailyPred,MATCH($F21,Rango_Admin_DailyPred_Primera,0)+1,0),"-")</f>
        <v>2</v>
      </c>
      <c r="I21" s="429">
        <f ca="1">IFERROR(VLOOKUP(I$2,Rango_Admin_DailyPred,MATCH($F21,Rango_Admin_DailyPred_Primera,0)+1,0),"-")</f>
        <v>0</v>
      </c>
      <c r="J21" s="429">
        <f ca="1">IFERROR(VLOOKUP(J$2,Rango_Admin_DailyPred,MATCH($F21,Rango_Admin_DailyPred_Primera,0)+1,0),"-")</f>
        <v>2</v>
      </c>
      <c r="K21" s="429">
        <f ca="1">IFERROR(VLOOKUP(K$2,Rango_Admin_DailyPred,MATCH($F21,Rango_Admin_DailyPred_Primera,0)+1,0),"-")</f>
        <v>1</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x14ac:dyDescent="0.2">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18</v>
      </c>
      <c r="F22" s="448" t="str">
        <f ca="1">IFERROR(HLOOKUP(C22,Rango_Admin_DailyClas,5,FALSE),"-")</f>
        <v>MURO 204</v>
      </c>
      <c r="G22" s="22">
        <f ca="1">IFERROR(HLOOKUP(C22,Rango_Admin_DailyClas,4,FALSE),"-")</f>
        <v>5</v>
      </c>
      <c r="H22" s="429">
        <f ca="1">IFERROR(VLOOKUP(H$2,Rango_Admin_DailyPred,MATCH($F22,Rango_Admin_DailyPred_Primera,0)+1,0),"-")</f>
        <v>4</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1</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x14ac:dyDescent="0.2">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18</v>
      </c>
      <c r="F23" s="448" t="str">
        <f ca="1">IFERROR(HLOOKUP(C23,Rango_Admin_DailyClas,5,FALSE),"-")</f>
        <v>Florentino Netanyahu</v>
      </c>
      <c r="G23" s="22">
        <f ca="1">IFERROR(HLOOKUP(C23,Rango_Admin_DailyClas,4,FALSE),"-")</f>
        <v>5</v>
      </c>
      <c r="H23" s="429">
        <f ca="1">IFERROR(VLOOKUP(H$2,Rango_Admin_DailyPred,MATCH($F23,Rango_Admin_DailyPred_Primera,0)+1,0),"-")</f>
        <v>4</v>
      </c>
      <c r="I23" s="429">
        <f ca="1">IFERROR(VLOOKUP(I$2,Rango_Admin_DailyPred,MATCH($F23,Rango_Admin_DailyPred_Primera,0)+1,0),"-")</f>
        <v>0</v>
      </c>
      <c r="J23" s="429">
        <f ca="1">IFERROR(VLOOKUP(J$2,Rango_Admin_DailyPred,MATCH($F23,Rango_Admin_DailyPred_Primera,0)+1,0),"-")</f>
        <v>0</v>
      </c>
      <c r="K23" s="429">
        <f ca="1">IFERROR(VLOOKUP(K$2,Rango_Admin_DailyPred,MATCH($F23,Rango_Admin_DailyPred_Primera,0)+1,0),"-")</f>
        <v>1</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x14ac:dyDescent="0.2">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18</v>
      </c>
      <c r="F24" s="448" t="str">
        <f ca="1">IFERROR(HLOOKUP(C24,Rango_Admin_DailyClas,5,FALSE),"-")</f>
        <v>BeliBeltrán</v>
      </c>
      <c r="G24" s="22">
        <f ca="1">IFERROR(HLOOKUP(C24,Rango_Admin_DailyClas,4,FALSE),"-")</f>
        <v>5</v>
      </c>
      <c r="H24" s="429">
        <f ca="1">IFERROR(VLOOKUP(H$2,Rango_Admin_DailyPred,MATCH($F24,Rango_Admin_DailyPred_Primera,0)+1,0),"-")</f>
        <v>1</v>
      </c>
      <c r="I24" s="429">
        <f ca="1">IFERROR(VLOOKUP(I$2,Rango_Admin_DailyPred,MATCH($F24,Rango_Admin_DailyPred_Primera,0)+1,0),"-")</f>
        <v>1</v>
      </c>
      <c r="J24" s="429">
        <f ca="1">IFERROR(VLOOKUP(J$2,Rango_Admin_DailyPred,MATCH($F24,Rango_Admin_DailyPred_Primera,0)+1,0),"-")</f>
        <v>2</v>
      </c>
      <c r="K24" s="429">
        <f ca="1">IFERROR(VLOOKUP(K$2,Rango_Admin_DailyPred,MATCH($F24,Rango_Admin_DailyPred_Primera,0)+1,0),"-")</f>
        <v>1</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x14ac:dyDescent="0.2">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18</v>
      </c>
      <c r="F25" s="448" t="str">
        <f ca="1">IFERROR(HLOOKUP(C25,Rango_Admin_DailyClas,5,FALSE),"-")</f>
        <v>AD Monchus</v>
      </c>
      <c r="G25" s="22">
        <f ca="1">IFERROR(HLOOKUP(C25,Rango_Admin_DailyClas,4,FALSE),"-")</f>
        <v>5</v>
      </c>
      <c r="H25" s="429">
        <f ca="1">IFERROR(VLOOKUP(H$2,Rango_Admin_DailyPred,MATCH($F25,Rango_Admin_DailyPred_Primera,0)+1,0),"-")</f>
        <v>1</v>
      </c>
      <c r="I25" s="429">
        <f ca="1">IFERROR(VLOOKUP(I$2,Rango_Admin_DailyPred,MATCH($F25,Rango_Admin_DailyPred_Primera,0)+1,0),"-")</f>
        <v>2</v>
      </c>
      <c r="J25" s="429">
        <f ca="1">IFERROR(VLOOKUP(J$2,Rango_Admin_DailyPred,MATCH($F25,Rango_Admin_DailyPred_Primera,0)+1,0),"-")</f>
        <v>1</v>
      </c>
      <c r="K25" s="429">
        <f ca="1">IFERROR(VLOOKUP(K$2,Rango_Admin_DailyPred,MATCH($F25,Rango_Admin_DailyPred_Primera,0)+1,0),"-")</f>
        <v>1</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x14ac:dyDescent="0.2">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23</v>
      </c>
      <c r="F26" s="448" t="str">
        <f ca="1">IFERROR(HLOOKUP(C26,Rango_Admin_DailyClas,5,FALSE),"-")</f>
        <v>Guillermo Murciano</v>
      </c>
      <c r="G26" s="22">
        <f ca="1">IFERROR(HLOOKUP(C26,Rango_Admin_DailyClas,4,FALSE),"-")</f>
        <v>4</v>
      </c>
      <c r="H26" s="429">
        <f ca="1">IFERROR(VLOOKUP(H$2,Rango_Admin_DailyPred,MATCH($F26,Rango_Admin_DailyPred_Primera,0)+1,0),"-")</f>
        <v>1</v>
      </c>
      <c r="I26" s="429">
        <f ca="1">IFERROR(VLOOKUP(I$2,Rango_Admin_DailyPred,MATCH($F26,Rango_Admin_DailyPred_Primera,0)+1,0),"-")</f>
        <v>0</v>
      </c>
      <c r="J26" s="429">
        <f ca="1">IFERROR(VLOOKUP(J$2,Rango_Admin_DailyPred,MATCH($F26,Rango_Admin_DailyPred_Primera,0)+1,0),"-")</f>
        <v>2</v>
      </c>
      <c r="K26" s="429">
        <f ca="1">IFERROR(VLOOKUP(K$2,Rango_Admin_DailyPred,MATCH($F26,Rango_Admin_DailyPred_Primera,0)+1,0),"-")</f>
        <v>1</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x14ac:dyDescent="0.2">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23</v>
      </c>
      <c r="F27" s="448" t="str">
        <f ca="1">IFERROR(HLOOKUP(C27,Rango_Admin_DailyClas,5,FALSE),"-")</f>
        <v>Lucas Oriol</v>
      </c>
      <c r="G27" s="22">
        <f ca="1">IFERROR(HLOOKUP(C27,Rango_Admin_DailyClas,4,FALSE),"-")</f>
        <v>4</v>
      </c>
      <c r="H27" s="429">
        <f ca="1">IFERROR(VLOOKUP(H$2,Rango_Admin_DailyPred,MATCH($F27,Rango_Admin_DailyPred_Primera,0)+1,0),"-")</f>
        <v>1</v>
      </c>
      <c r="I27" s="429">
        <f ca="1">IFERROR(VLOOKUP(I$2,Rango_Admin_DailyPred,MATCH($F27,Rango_Admin_DailyPred_Primera,0)+1,0),"-")</f>
        <v>2</v>
      </c>
      <c r="J27" s="429">
        <f ca="1">IFERROR(VLOOKUP(J$2,Rango_Admin_DailyPred,MATCH($F27,Rango_Admin_DailyPred_Primera,0)+1,0),"-")</f>
        <v>0</v>
      </c>
      <c r="K27" s="429">
        <f ca="1">IFERROR(VLOOKUP(K$2,Rango_Admin_DailyPred,MATCH($F27,Rango_Admin_DailyPred_Primera,0)+1,0),"-")</f>
        <v>1</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x14ac:dyDescent="0.2">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23</v>
      </c>
      <c r="F28" s="448" t="str">
        <f ca="1">IFERROR(HLOOKUP(C28,Rango_Admin_DailyClas,5,FALSE),"-")</f>
        <v>KIRICOCHO</v>
      </c>
      <c r="G28" s="22">
        <f ca="1">IFERROR(HLOOKUP(C28,Rango_Admin_DailyClas,4,FALSE),"-")</f>
        <v>4</v>
      </c>
      <c r="H28" s="429">
        <f ca="1">IFERROR(VLOOKUP(H$2,Rango_Admin_DailyPred,MATCH($F28,Rango_Admin_DailyPred_Primera,0)+1,0),"-")</f>
        <v>1</v>
      </c>
      <c r="I28" s="429">
        <f ca="1">IFERROR(VLOOKUP(I$2,Rango_Admin_DailyPred,MATCH($F28,Rango_Admin_DailyPred_Primera,0)+1,0),"-")</f>
        <v>0</v>
      </c>
      <c r="J28" s="429">
        <f ca="1">IFERROR(VLOOKUP(J$2,Rango_Admin_DailyPred,MATCH($F28,Rango_Admin_DailyPred_Primera,0)+1,0),"-")</f>
        <v>2</v>
      </c>
      <c r="K28" s="429">
        <f ca="1">IFERROR(VLOOKUP(K$2,Rango_Admin_DailyPred,MATCH($F28,Rango_Admin_DailyPred_Primera,0)+1,0),"-")</f>
        <v>1</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x14ac:dyDescent="0.2">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23</v>
      </c>
      <c r="F29" s="448" t="str">
        <f ca="1">IFERROR(HLOOKUP(C29,Rango_Admin_DailyClas,5,FALSE),"-")</f>
        <v>Vicuinho</v>
      </c>
      <c r="G29" s="22">
        <f ca="1">IFERROR(HLOOKUP(C29,Rango_Admin_DailyClas,4,FALSE),"-")</f>
        <v>4</v>
      </c>
      <c r="H29" s="429">
        <f ca="1">IFERROR(VLOOKUP(H$2,Rango_Admin_DailyPred,MATCH($F29,Rango_Admin_DailyPred_Primera,0)+1,0),"-")</f>
        <v>1</v>
      </c>
      <c r="I29" s="429">
        <f ca="1">IFERROR(VLOOKUP(I$2,Rango_Admin_DailyPred,MATCH($F29,Rango_Admin_DailyPred_Primera,0)+1,0),"-")</f>
        <v>0</v>
      </c>
      <c r="J29" s="429">
        <f ca="1">IFERROR(VLOOKUP(J$2,Rango_Admin_DailyPred,MATCH($F29,Rango_Admin_DailyPred_Primera,0)+1,0),"-")</f>
        <v>2</v>
      </c>
      <c r="K29" s="429">
        <f ca="1">IFERROR(VLOOKUP(K$2,Rango_Admin_DailyPred,MATCH($F29,Rango_Admin_DailyPred_Primera,0)+1,0),"-")</f>
        <v>1</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x14ac:dyDescent="0.2">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23</v>
      </c>
      <c r="F30" s="448" t="str">
        <f ca="1">IFERROR(HLOOKUP(C30,Rango_Admin_DailyClas,5,FALSE),"-")</f>
        <v>JUAN SOLAS</v>
      </c>
      <c r="G30" s="22">
        <f ca="1">IFERROR(HLOOKUP(C30,Rango_Admin_DailyClas,4,FALSE),"-")</f>
        <v>4</v>
      </c>
      <c r="H30" s="429">
        <f ca="1">IFERROR(VLOOKUP(H$2,Rango_Admin_DailyPred,MATCH($F30,Rango_Admin_DailyPred_Primera,0)+1,0),"-")</f>
        <v>1</v>
      </c>
      <c r="I30" s="429">
        <f ca="1">IFERROR(VLOOKUP(I$2,Rango_Admin_DailyPred,MATCH($F30,Rango_Admin_DailyPred_Primera,0)+1,0),"-")</f>
        <v>1</v>
      </c>
      <c r="J30" s="429">
        <f ca="1">IFERROR(VLOOKUP(J$2,Rango_Admin_DailyPred,MATCH($F30,Rango_Admin_DailyPred_Primera,0)+1,0),"-")</f>
        <v>1</v>
      </c>
      <c r="K30" s="429">
        <f ca="1">IFERROR(VLOOKUP(K$2,Rango_Admin_DailyPred,MATCH($F30,Rango_Admin_DailyPred_Primera,0)+1,0),"-")</f>
        <v>1</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x14ac:dyDescent="0.2">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23</v>
      </c>
      <c r="F31" s="448" t="str">
        <f ca="1">IFERROR(HLOOKUP(C31,Rango_Admin_DailyClas,5,FALSE),"-")</f>
        <v xml:space="preserve">Ignacio Núñez </v>
      </c>
      <c r="G31" s="22">
        <f ca="1">IFERROR(HLOOKUP(C31,Rango_Admin_DailyClas,4,FALSE),"-")</f>
        <v>4</v>
      </c>
      <c r="H31" s="429">
        <f ca="1">IFERROR(VLOOKUP(H$2,Rango_Admin_DailyPred,MATCH($F31,Rango_Admin_DailyPred_Primera,0)+1,0),"-")</f>
        <v>2</v>
      </c>
      <c r="I31" s="429">
        <f ca="1">IFERROR(VLOOKUP(I$2,Rango_Admin_DailyPred,MATCH($F31,Rango_Admin_DailyPred_Primera,0)+1,0),"-")</f>
        <v>0</v>
      </c>
      <c r="J31" s="429">
        <f ca="1">IFERROR(VLOOKUP(J$2,Rango_Admin_DailyPred,MATCH($F31,Rango_Admin_DailyPred_Primera,0)+1,0),"-")</f>
        <v>1</v>
      </c>
      <c r="K31" s="429">
        <f ca="1">IFERROR(VLOOKUP(K$2,Rango_Admin_DailyPred,MATCH($F31,Rango_Admin_DailyPred_Primera,0)+1,0),"-")</f>
        <v>1</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x14ac:dyDescent="0.2">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29</v>
      </c>
      <c r="F32" s="448" t="str">
        <f ca="1">IFERROR(HLOOKUP(C32,Rango_Admin_DailyClas,5,FALSE),"-")</f>
        <v>Jaime Lafuente</v>
      </c>
      <c r="G32" s="22">
        <f ca="1">IFERROR(HLOOKUP(C32,Rango_Admin_DailyClas,4,FALSE),"-")</f>
        <v>3</v>
      </c>
      <c r="H32" s="429">
        <f ca="1">IFERROR(VLOOKUP(H$2,Rango_Admin_DailyPred,MATCH($F32,Rango_Admin_DailyPred_Primera,0)+1,0),"-")</f>
        <v>2</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1</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x14ac:dyDescent="0.2">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29</v>
      </c>
      <c r="F33" s="448" t="str">
        <f ca="1">IFERROR(HLOOKUP(C33,Rango_Admin_DailyClas,5,FALSE),"-")</f>
        <v>Carlos Murciano</v>
      </c>
      <c r="G33" s="22">
        <f ca="1">IFERROR(HLOOKUP(C33,Rango_Admin_DailyClas,4,FALSE),"-")</f>
        <v>3</v>
      </c>
      <c r="H33" s="429">
        <f ca="1">IFERROR(VLOOKUP(H$2,Rango_Admin_DailyPred,MATCH($F33,Rango_Admin_DailyPred_Primera,0)+1,0),"-")</f>
        <v>1</v>
      </c>
      <c r="I33" s="429">
        <f ca="1">IFERROR(VLOOKUP(I$2,Rango_Admin_DailyPred,MATCH($F33,Rango_Admin_DailyPred_Primera,0)+1,0),"-")</f>
        <v>0</v>
      </c>
      <c r="J33" s="429">
        <f ca="1">IFERROR(VLOOKUP(J$2,Rango_Admin_DailyPred,MATCH($F33,Rango_Admin_DailyPred_Primera,0)+1,0),"-")</f>
        <v>1</v>
      </c>
      <c r="K33" s="429">
        <f ca="1">IFERROR(VLOOKUP(K$2,Rango_Admin_DailyPred,MATCH($F33,Rango_Admin_DailyPred_Primera,0)+1,0),"-")</f>
        <v>1</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x14ac:dyDescent="0.2">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29</v>
      </c>
      <c r="F34" s="448" t="str">
        <f ca="1">IFERROR(HLOOKUP(C34,Rango_Admin_DailyClas,5,FALSE),"-")</f>
        <v>Chente Muñoz</v>
      </c>
      <c r="G34" s="22">
        <f ca="1">IFERROR(HLOOKUP(C34,Rango_Admin_DailyClas,4,FALSE),"-")</f>
        <v>3</v>
      </c>
      <c r="H34" s="429">
        <f ca="1">IFERROR(VLOOKUP(H$2,Rango_Admin_DailyPred,MATCH($F34,Rango_Admin_DailyPred_Primera,0)+1,0),"-")</f>
        <v>1</v>
      </c>
      <c r="I34" s="429">
        <f ca="1">IFERROR(VLOOKUP(I$2,Rango_Admin_DailyPred,MATCH($F34,Rango_Admin_DailyPred_Primera,0)+1,0),"-")</f>
        <v>0</v>
      </c>
      <c r="J34" s="429">
        <f ca="1">IFERROR(VLOOKUP(J$2,Rango_Admin_DailyPred,MATCH($F34,Rango_Admin_DailyPred_Primera,0)+1,0),"-")</f>
        <v>1</v>
      </c>
      <c r="K34" s="429">
        <f ca="1">IFERROR(VLOOKUP(K$2,Rango_Admin_DailyPred,MATCH($F34,Rango_Admin_DailyPred_Primera,0)+1,0),"-")</f>
        <v>1</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x14ac:dyDescent="0.2">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29</v>
      </c>
      <c r="F35" s="448" t="str">
        <f ca="1">IFERROR(HLOOKUP(C35,Rango_Admin_DailyClas,5,FALSE),"-")</f>
        <v>Fercho Muro Matosex</v>
      </c>
      <c r="G35" s="22">
        <f ca="1">IFERROR(HLOOKUP(C35,Rango_Admin_DailyClas,4,FALSE),"-")</f>
        <v>3</v>
      </c>
      <c r="H35" s="429">
        <f ca="1">IFERROR(VLOOKUP(H$2,Rango_Admin_DailyPred,MATCH($F35,Rango_Admin_DailyPred_Primera,0)+1,0),"-")</f>
        <v>1</v>
      </c>
      <c r="I35" s="429">
        <f ca="1">IFERROR(VLOOKUP(I$2,Rango_Admin_DailyPred,MATCH($F35,Rango_Admin_DailyPred_Primera,0)+1,0),"-")</f>
        <v>0</v>
      </c>
      <c r="J35" s="429">
        <f ca="1">IFERROR(VLOOKUP(J$2,Rango_Admin_DailyPred,MATCH($F35,Rango_Admin_DailyPred_Primera,0)+1,0),"-")</f>
        <v>1</v>
      </c>
      <c r="K35" s="429">
        <f ca="1">IFERROR(VLOOKUP(K$2,Rango_Admin_DailyPred,MATCH($F35,Rango_Admin_DailyPred_Primera,0)+1,0),"-")</f>
        <v>1</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x14ac:dyDescent="0.2">
      <c r="A36" s="8"/>
      <c r="B36" s="8"/>
      <c r="C36" s="8">
        <v>33</v>
      </c>
      <c r="D36" s="19"/>
      <c r="E36" s="409">
        <f ca="1">IFERROR(HLOOKUP(C36,Rango_Admin_DailyClas,3,FALSE),"-")</f>
        <v>29</v>
      </c>
      <c r="F36" s="448" t="str">
        <f ca="1">IFERROR(HLOOKUP(C36,Rango_Admin_DailyClas,5,FALSE),"-")</f>
        <v>JCU</v>
      </c>
      <c r="G36" s="22">
        <f ca="1">IFERROR(HLOOKUP(C36,Rango_Admin_DailyClas,4,FALSE),"-")</f>
        <v>3</v>
      </c>
      <c r="H36" s="429">
        <f ca="1">IFERROR(VLOOKUP(H$2,Rango_Admin_DailyPred,MATCH($F36,Rango_Admin_DailyPred_Primera,0)+1,0),"-")</f>
        <v>1</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1</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x14ac:dyDescent="0.2">
      <c r="A37" s="8"/>
      <c r="B37" s="8"/>
      <c r="C37" s="8">
        <v>34</v>
      </c>
      <c r="D37" s="19"/>
      <c r="E37" s="409">
        <f ca="1">IFERROR(HLOOKUP(C37,Rango_Admin_DailyClas,3,FALSE),"-")</f>
        <v>29</v>
      </c>
      <c r="F37" s="448" t="str">
        <f ca="1">IFERROR(HLOOKUP(C37,Rango_Admin_DailyClas,5,FALSE),"-")</f>
        <v>William Hartley</v>
      </c>
      <c r="G37" s="22">
        <f ca="1">IFERROR(HLOOKUP(C37,Rango_Admin_DailyClas,4,FALSE),"-")</f>
        <v>3</v>
      </c>
      <c r="H37" s="429">
        <f ca="1">IFERROR(VLOOKUP(H$2,Rango_Admin_DailyPred,MATCH($F37,Rango_Admin_DailyPred_Primera,0)+1,0),"-")</f>
        <v>1</v>
      </c>
      <c r="I37" s="429">
        <f ca="1">IFERROR(VLOOKUP(I$2,Rango_Admin_DailyPred,MATCH($F37,Rango_Admin_DailyPred_Primera,0)+1,0),"-")</f>
        <v>0</v>
      </c>
      <c r="J37" s="429">
        <f ca="1">IFERROR(VLOOKUP(J$2,Rango_Admin_DailyPred,MATCH($F37,Rango_Admin_DailyPred_Primera,0)+1,0),"-")</f>
        <v>1</v>
      </c>
      <c r="K37" s="429">
        <f ca="1">IFERROR(VLOOKUP(K$2,Rango_Admin_DailyPred,MATCH($F37,Rango_Admin_DailyPred_Primera,0)+1,0),"-")</f>
        <v>1</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x14ac:dyDescent="0.2">
      <c r="A38" s="8"/>
      <c r="B38" s="8"/>
      <c r="C38" s="8">
        <v>35</v>
      </c>
      <c r="D38" s="19"/>
      <c r="E38" s="409">
        <f ca="1">IFERROR(HLOOKUP(C38,Rango_Admin_DailyClas,3,FALSE),"-")</f>
        <v>29</v>
      </c>
      <c r="F38" s="448" t="str">
        <f ca="1">IFERROR(HLOOKUP(C38,Rango_Admin_DailyClas,5,FALSE),"-")</f>
        <v>Kurtischamp</v>
      </c>
      <c r="G38" s="22">
        <f ca="1">IFERROR(HLOOKUP(C38,Rango_Admin_DailyClas,4,FALSE),"-")</f>
        <v>3</v>
      </c>
      <c r="H38" s="429">
        <f ca="1">IFERROR(VLOOKUP(H$2,Rango_Admin_DailyPred,MATCH($F38,Rango_Admin_DailyPred_Primera,0)+1,0),"-")</f>
        <v>1</v>
      </c>
      <c r="I38" s="429">
        <f ca="1">IFERROR(VLOOKUP(I$2,Rango_Admin_DailyPred,MATCH($F38,Rango_Admin_DailyPred_Primera,0)+1,0),"-")</f>
        <v>0</v>
      </c>
      <c r="J38" s="429">
        <f ca="1">IFERROR(VLOOKUP(J$2,Rango_Admin_DailyPred,MATCH($F38,Rango_Admin_DailyPred_Primera,0)+1,0),"-")</f>
        <v>1</v>
      </c>
      <c r="K38" s="429">
        <f ca="1">IFERROR(VLOOKUP(K$2,Rango_Admin_DailyPred,MATCH($F38,Rango_Admin_DailyPred_Primera,0)+1,0),"-")</f>
        <v>1</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x14ac:dyDescent="0.2">
      <c r="A39" s="8"/>
      <c r="B39" s="8"/>
      <c r="C39" s="8">
        <v>36</v>
      </c>
      <c r="D39" s="19"/>
      <c r="E39" s="409">
        <f ca="1">IFERROR(HLOOKUP(C39,Rango_Admin_DailyClas,3,FALSE),"-")</f>
        <v>29</v>
      </c>
      <c r="F39" s="448" t="str">
        <f ca="1">IFERROR(HLOOKUP(C39,Rango_Admin_DailyClas,5,FALSE),"-")</f>
        <v>Miguel Suárez-Zuloaga</v>
      </c>
      <c r="G39" s="22">
        <f ca="1">IFERROR(HLOOKUP(C39,Rango_Admin_DailyClas,4,FALSE),"-")</f>
        <v>3</v>
      </c>
      <c r="H39" s="429">
        <f ca="1">IFERROR(VLOOKUP(H$2,Rango_Admin_DailyPred,MATCH($F39,Rango_Admin_DailyPred_Primera,0)+1,0),"-")</f>
        <v>1</v>
      </c>
      <c r="I39" s="429">
        <f ca="1">IFERROR(VLOOKUP(I$2,Rango_Admin_DailyPred,MATCH($F39,Rango_Admin_DailyPred_Primera,0)+1,0),"-")</f>
        <v>0</v>
      </c>
      <c r="J39" s="429">
        <f ca="1">IFERROR(VLOOKUP(J$2,Rango_Admin_DailyPred,MATCH($F39,Rango_Admin_DailyPred_Primera,0)+1,0),"-")</f>
        <v>1</v>
      </c>
      <c r="K39" s="429">
        <f ca="1">IFERROR(VLOOKUP(K$2,Rango_Admin_DailyPred,MATCH($F39,Rango_Admin_DailyPred_Primera,0)+1,0),"-")</f>
        <v>1</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x14ac:dyDescent="0.2">
      <c r="A40" s="8"/>
      <c r="B40" s="8"/>
      <c r="C40" s="8">
        <v>37</v>
      </c>
      <c r="D40" s="19"/>
      <c r="E40" s="409">
        <f ca="1">IFERROR(HLOOKUP(C40,Rango_Admin_DailyClas,3,FALSE),"-")</f>
        <v>29</v>
      </c>
      <c r="F40" s="448" t="str">
        <f ca="1">IFERROR(HLOOKUP(C40,Rango_Admin_DailyClas,5,FALSE),"-")</f>
        <v>IGNACIO LAFUENTE</v>
      </c>
      <c r="G40" s="22">
        <f ca="1">IFERROR(HLOOKUP(C40,Rango_Admin_DailyClas,4,FALSE),"-")</f>
        <v>3</v>
      </c>
      <c r="H40" s="429">
        <f ca="1">IFERROR(VLOOKUP(H$2,Rango_Admin_DailyPred,MATCH($F40,Rango_Admin_DailyPred_Primera,0)+1,0),"-")</f>
        <v>1</v>
      </c>
      <c r="I40" s="429">
        <f ca="1">IFERROR(VLOOKUP(I$2,Rango_Admin_DailyPred,MATCH($F40,Rango_Admin_DailyPred_Primera,0)+1,0),"-")</f>
        <v>0</v>
      </c>
      <c r="J40" s="429">
        <f ca="1">IFERROR(VLOOKUP(J$2,Rango_Admin_DailyPred,MATCH($F40,Rango_Admin_DailyPred_Primera,0)+1,0),"-")</f>
        <v>1</v>
      </c>
      <c r="K40" s="429">
        <f ca="1">IFERROR(VLOOKUP(K$2,Rango_Admin_DailyPred,MATCH($F40,Rango_Admin_DailyPred_Primera,0)+1,0),"-")</f>
        <v>1</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x14ac:dyDescent="0.2">
      <c r="A41" s="8"/>
      <c r="B41" s="8"/>
      <c r="C41" s="8">
        <v>38</v>
      </c>
      <c r="D41" s="19"/>
      <c r="E41" s="409">
        <f ca="1">IFERROR(HLOOKUP(C41,Rango_Admin_DailyClas,3,FALSE),"-")</f>
        <v>29</v>
      </c>
      <c r="F41" s="448" t="str">
        <f ca="1">IFERROR(HLOOKUP(C41,Rango_Admin_DailyClas,5,FALSE),"-")</f>
        <v>Alexander Schulte</v>
      </c>
      <c r="G41" s="22">
        <f ca="1">IFERROR(HLOOKUP(C41,Rango_Admin_DailyClas,4,FALSE),"-")</f>
        <v>3</v>
      </c>
      <c r="H41" s="429">
        <f ca="1">IFERROR(VLOOKUP(H$2,Rango_Admin_DailyPred,MATCH($F41,Rango_Admin_DailyPred_Primera,0)+1,0),"-")</f>
        <v>1</v>
      </c>
      <c r="I41" s="429">
        <f ca="1">IFERROR(VLOOKUP(I$2,Rango_Admin_DailyPred,MATCH($F41,Rango_Admin_DailyPred_Primera,0)+1,0),"-")</f>
        <v>0</v>
      </c>
      <c r="J41" s="429">
        <f ca="1">IFERROR(VLOOKUP(J$2,Rango_Admin_DailyPred,MATCH($F41,Rango_Admin_DailyPred_Primera,0)+1,0),"-")</f>
        <v>1</v>
      </c>
      <c r="K41" s="429">
        <f ca="1">IFERROR(VLOOKUP(K$2,Rango_Admin_DailyPred,MATCH($F41,Rango_Admin_DailyPred_Primera,0)+1,0),"-")</f>
        <v>1</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x14ac:dyDescent="0.2">
      <c r="A42" s="8"/>
      <c r="B42" s="8"/>
      <c r="C42" s="8">
        <v>39</v>
      </c>
      <c r="D42" s="19"/>
      <c r="E42" s="409">
        <f ca="1">IFERROR(HLOOKUP(C42,Rango_Admin_DailyClas,3,FALSE),"-")</f>
        <v>39</v>
      </c>
      <c r="F42" s="448" t="str">
        <f ca="1">IFERROR(HLOOKUP(C42,Rango_Admin_DailyClas,5,FALSE),"-")</f>
        <v>Pastor</v>
      </c>
      <c r="G42" s="22">
        <f ca="1">IFERROR(HLOOKUP(C42,Rango_Admin_DailyClas,4,FALSE),"-")</f>
        <v>2</v>
      </c>
      <c r="H42" s="429">
        <f ca="1">IFERROR(VLOOKUP(H$2,Rango_Admin_DailyPred,MATCH($F42,Rango_Admin_DailyPred_Primera,0)+1,0),"-")</f>
        <v>1</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1</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x14ac:dyDescent="0.2">
      <c r="A43" s="8"/>
      <c r="B43" s="8"/>
      <c r="C43" s="8">
        <v>40</v>
      </c>
      <c r="D43" s="19"/>
      <c r="E43" s="409">
        <f ca="1">IFERROR(HLOOKUP(C43,Rango_Admin_DailyClas,3,FALSE),"-")</f>
        <v>39</v>
      </c>
      <c r="F43" s="448" t="str">
        <f ca="1">IFERROR(HLOOKUP(C43,Rango_Admin_DailyClas,5,FALSE),"-")</f>
        <v>Pablo C</v>
      </c>
      <c r="G43" s="22">
        <f ca="1">IFERROR(HLOOKUP(C43,Rango_Admin_DailyClas,4,FALSE),"-")</f>
        <v>2</v>
      </c>
      <c r="H43" s="429">
        <f ca="1">IFERROR(VLOOKUP(H$2,Rango_Admin_DailyPred,MATCH($F43,Rango_Admin_DailyPred_Primera,0)+1,0),"-")</f>
        <v>1</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1</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x14ac:dyDescent="0.2">
      <c r="A44" s="8"/>
      <c r="B44" s="8"/>
      <c r="C44" s="8">
        <v>41</v>
      </c>
      <c r="D44" s="19"/>
      <c r="E44" s="409">
        <f ca="1">IFERROR(HLOOKUP(C44,Rango_Admin_DailyClas,3,FALSE),"-")</f>
        <v>39</v>
      </c>
      <c r="F44" s="448" t="str">
        <f ca="1">IFERROR(HLOOKUP(C44,Rango_Admin_DailyClas,5,FALSE),"-")</f>
        <v>bau</v>
      </c>
      <c r="G44" s="22">
        <f ca="1">IFERROR(HLOOKUP(C44,Rango_Admin_DailyClas,4,FALSE),"-")</f>
        <v>2</v>
      </c>
      <c r="H44" s="429">
        <f ca="1">IFERROR(VLOOKUP(H$2,Rango_Admin_DailyPred,MATCH($F44,Rango_Admin_DailyPred_Primera,0)+1,0),"-")</f>
        <v>1</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1</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x14ac:dyDescent="0.2">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x14ac:dyDescent="0.2">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x14ac:dyDescent="0.2">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x14ac:dyDescent="0.2">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x14ac:dyDescent="0.2">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x14ac:dyDescent="0.2">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x14ac:dyDescent="0.2">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x14ac:dyDescent="0.2">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x14ac:dyDescent="0.2">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x14ac:dyDescent="0.2">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x14ac:dyDescent="0.2">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x14ac:dyDescent="0.2">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x14ac:dyDescent="0.2">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x14ac:dyDescent="0.2">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x14ac:dyDescent="0.2">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x14ac:dyDescent="0.2">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x14ac:dyDescent="0.2">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x14ac:dyDescent="0.2">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x14ac:dyDescent="0.2">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x14ac:dyDescent="0.2">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x14ac:dyDescent="0.2">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x14ac:dyDescent="0.2">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x14ac:dyDescent="0.2">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x14ac:dyDescent="0.2">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x14ac:dyDescent="0.2">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x14ac:dyDescent="0.2">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x14ac:dyDescent="0.2">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x14ac:dyDescent="0.2">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6640625" defaultRowHeight="15" x14ac:dyDescent="0.2"/>
  <cols>
    <col min="4" max="4" width="19.63671875" customWidth="1"/>
    <col min="7" max="7" width="17.3515625" style="9" bestFit="1" customWidth="1"/>
    <col min="8" max="8" width="13.046875" style="9" bestFit="1" customWidth="1"/>
    <col min="9" max="10" width="13.046875" bestFit="1" customWidth="1"/>
    <col min="11" max="12" width="12.37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2"/>
      <c r="C6" s="11"/>
      <c r="D6" s="11" t="str">
        <f t="shared" si="0"/>
        <v>Predictor Equipos</v>
      </c>
      <c r="E6" s="11"/>
      <c r="F6" s="11"/>
      <c r="G6" s="688" t="s">
        <v>1297</v>
      </c>
      <c r="H6" s="688"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2"/>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3"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88" t="s">
        <v>1232</v>
      </c>
      <c r="H69" s="688" t="s">
        <v>1233</v>
      </c>
      <c r="I69" s="11"/>
    </row>
    <row r="70" spans="1:9" x14ac:dyDescent="0.2">
      <c r="A70" s="11"/>
      <c r="B70" s="11"/>
      <c r="C70" s="11"/>
      <c r="D70" s="11" t="str">
        <f t="shared" si="2"/>
        <v xml:space="preserve">Grupos mejores 3ºs: </v>
      </c>
      <c r="E70" s="11"/>
      <c r="F70" s="11"/>
      <c r="G70" s="688" t="s">
        <v>1331</v>
      </c>
      <c r="H70" s="688"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4"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88" t="s">
        <v>1373</v>
      </c>
      <c r="H131" s="688" t="s">
        <v>1372</v>
      </c>
      <c r="I131" s="11"/>
    </row>
    <row r="132" spans="1:9" x14ac:dyDescent="0.2">
      <c r="A132" s="11"/>
      <c r="B132" s="11"/>
      <c r="C132" s="11"/>
      <c r="D132" s="11" t="str">
        <f t="shared" si="6"/>
        <v>J1</v>
      </c>
      <c r="E132" s="11" t="s">
        <v>433</v>
      </c>
      <c r="F132" s="11" t="s">
        <v>252</v>
      </c>
      <c r="G132" s="11" t="s">
        <v>26</v>
      </c>
      <c r="H132" s="11" t="s">
        <v>273</v>
      </c>
      <c r="I132" s="688"/>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32"/>
      <c r="K207" s="735"/>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32"/>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32"/>
      <c r="O211" s="736" t="s">
        <v>1934</v>
      </c>
      <c r="P211" s="736"/>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x14ac:dyDescent="0.2">
      <c r="A260" s="11"/>
      <c r="B260" s="11"/>
      <c r="C260" s="11"/>
      <c r="D260" s="11" t="str">
        <f t="shared" ref="D260:D264" si="12">IF($B$2,G260,H260)</f>
        <v>Dieciseisavos de final</v>
      </c>
      <c r="E260" s="11"/>
      <c r="F260" s="11"/>
      <c r="G260" s="11" t="s">
        <v>481</v>
      </c>
      <c r="H260" s="11" t="s">
        <v>482</v>
      </c>
      <c r="I260" s="11"/>
    </row>
    <row r="261" spans="1:16" x14ac:dyDescent="0.2">
      <c r="A261" s="11"/>
      <c r="B261" s="11"/>
      <c r="C261" s="11"/>
      <c r="D261" s="11" t="str">
        <f t="shared" si="12"/>
        <v>Octavos de final</v>
      </c>
      <c r="E261" s="11"/>
      <c r="F261" s="11"/>
      <c r="G261" s="11" t="s">
        <v>87</v>
      </c>
      <c r="H261" s="11" t="s">
        <v>1452</v>
      </c>
      <c r="I261" s="11"/>
    </row>
    <row r="262" spans="1:16" x14ac:dyDescent="0.2">
      <c r="A262" s="11"/>
      <c r="B262" s="11"/>
      <c r="C262" s="11"/>
      <c r="D262" s="11" t="str">
        <f t="shared" si="12"/>
        <v>Cuartos de final</v>
      </c>
      <c r="E262" s="11"/>
      <c r="F262" s="11"/>
      <c r="G262" s="11" t="s">
        <v>69</v>
      </c>
      <c r="H262" s="11" t="s">
        <v>219</v>
      </c>
      <c r="I262" s="11"/>
    </row>
    <row r="263" spans="1:16" x14ac:dyDescent="0.2">
      <c r="A263" s="11"/>
      <c r="B263" s="11"/>
      <c r="C263" s="11"/>
      <c r="D263" s="11" t="str">
        <f t="shared" si="12"/>
        <v>Semifinales</v>
      </c>
      <c r="E263" s="11"/>
      <c r="F263" s="11"/>
      <c r="G263" s="11" t="s">
        <v>36</v>
      </c>
      <c r="H263" s="11" t="s">
        <v>220</v>
      </c>
      <c r="I263" s="11"/>
    </row>
    <row r="264" spans="1:16" x14ac:dyDescent="0.2">
      <c r="A264" s="11"/>
      <c r="B264" s="11"/>
      <c r="C264" s="11"/>
      <c r="D264" s="11" t="str">
        <f t="shared" si="12"/>
        <v>3-4 &amp; Final</v>
      </c>
      <c r="E264" s="11"/>
      <c r="F264" s="11"/>
      <c r="G264" s="11" t="s">
        <v>1629</v>
      </c>
      <c r="H264" s="11" t="s">
        <v>1629</v>
      </c>
      <c r="I264" s="11"/>
    </row>
    <row r="265" spans="1:16" x14ac:dyDescent="0.2">
      <c r="A265" s="11"/>
      <c r="B265" s="11"/>
      <c r="C265" s="11"/>
      <c r="D265" s="11"/>
      <c r="E265" s="11"/>
      <c r="F265" s="11"/>
      <c r="G265" s="11"/>
      <c r="H265" s="11"/>
      <c r="I265" s="11"/>
    </row>
    <row r="266" spans="1:16" x14ac:dyDescent="0.2">
      <c r="A266" s="11" t="s">
        <v>375</v>
      </c>
      <c r="B266" s="11"/>
      <c r="C266" s="11"/>
      <c r="D266" s="11" t="str">
        <f t="shared" ref="D266" si="13">IF($B$2,G266,H266)</f>
        <v>Estados Unidos</v>
      </c>
      <c r="E266" s="11" t="s">
        <v>373</v>
      </c>
      <c r="F266" s="11" t="s">
        <v>374</v>
      </c>
      <c r="G266" s="11" t="s">
        <v>497</v>
      </c>
      <c r="H266" s="11" t="s">
        <v>498</v>
      </c>
      <c r="I266" s="11"/>
    </row>
    <row r="267" spans="1:16" x14ac:dyDescent="0.2">
      <c r="A267" s="11"/>
      <c r="B267" s="11"/>
      <c r="C267" s="11"/>
      <c r="D267" s="11"/>
      <c r="E267" s="11"/>
      <c r="F267" s="11"/>
      <c r="G267" s="11"/>
      <c r="H267" s="11"/>
      <c r="I267" s="11"/>
    </row>
    <row r="268" spans="1:16" x14ac:dyDescent="0.2">
      <c r="A268" s="11"/>
      <c r="B268" s="11"/>
      <c r="C268" s="11"/>
      <c r="D268" s="11"/>
      <c r="E268" s="11"/>
      <c r="F268" s="11"/>
      <c r="G268" s="11"/>
      <c r="H268" s="11"/>
      <c r="I268" s="11"/>
    </row>
    <row r="269" spans="1:16" x14ac:dyDescent="0.2">
      <c r="A269" s="11"/>
      <c r="B269" s="11"/>
      <c r="C269" s="11"/>
      <c r="D269" s="11" t="str">
        <f t="shared" ref="D269:D284" si="14">IF($B$2,G269,H269)</f>
        <v>Campeón</v>
      </c>
      <c r="E269" s="11" t="s">
        <v>1242</v>
      </c>
      <c r="F269" s="11"/>
      <c r="G269" s="11" t="s">
        <v>18</v>
      </c>
      <c r="H269" s="688" t="s">
        <v>222</v>
      </c>
      <c r="I269" s="11"/>
    </row>
    <row r="270" spans="1:16" x14ac:dyDescent="0.2">
      <c r="A270" s="11"/>
      <c r="B270" s="11"/>
      <c r="C270" s="11"/>
      <c r="D270" s="11" t="str">
        <f t="shared" si="14"/>
        <v>Subcampeón</v>
      </c>
      <c r="E270" s="11" t="s">
        <v>1242</v>
      </c>
      <c r="F270" s="11"/>
      <c r="G270" s="11" t="s">
        <v>19</v>
      </c>
      <c r="H270" s="11" t="s">
        <v>223</v>
      </c>
      <c r="I270" s="11"/>
    </row>
    <row r="271" spans="1:16" x14ac:dyDescent="0.2">
      <c r="A271" s="11"/>
      <c r="B271" s="11"/>
      <c r="C271" s="11"/>
      <c r="D271" s="11" t="str">
        <f t="shared" si="14"/>
        <v>3º puesto</v>
      </c>
      <c r="E271" s="11" t="s">
        <v>1242</v>
      </c>
      <c r="F271" s="11"/>
      <c r="G271" s="11" t="s">
        <v>1234</v>
      </c>
      <c r="H271" s="11" t="s">
        <v>1235</v>
      </c>
      <c r="I271" s="11"/>
    </row>
    <row r="272" spans="1:16" x14ac:dyDescent="0.2">
      <c r="A272" s="11"/>
      <c r="B272" s="11"/>
      <c r="C272" s="11"/>
      <c r="D272" s="11" t="str">
        <f t="shared" si="14"/>
        <v>Semifinales</v>
      </c>
      <c r="E272" s="11" t="s">
        <v>1242</v>
      </c>
      <c r="F272" s="11"/>
      <c r="G272" s="11" t="s">
        <v>36</v>
      </c>
      <c r="H272" s="688" t="s">
        <v>220</v>
      </c>
      <c r="I272" s="11"/>
    </row>
    <row r="273" spans="1:9" x14ac:dyDescent="0.2">
      <c r="A273" s="11"/>
      <c r="B273" s="11"/>
      <c r="C273" s="11"/>
      <c r="D273" s="11" t="str">
        <f t="shared" si="14"/>
        <v>Cuartos de final</v>
      </c>
      <c r="E273" s="11" t="s">
        <v>1242</v>
      </c>
      <c r="F273" s="11"/>
      <c r="G273" s="11" t="s">
        <v>69</v>
      </c>
      <c r="H273" s="688" t="s">
        <v>219</v>
      </c>
      <c r="I273" s="11"/>
    </row>
    <row r="274" spans="1:9" x14ac:dyDescent="0.2">
      <c r="A274" s="11"/>
      <c r="B274" s="11"/>
      <c r="C274" s="11"/>
      <c r="D274" s="11" t="str">
        <f t="shared" si="14"/>
        <v>Octavos de final</v>
      </c>
      <c r="E274" s="11" t="s">
        <v>1242</v>
      </c>
      <c r="F274" s="11"/>
      <c r="G274" s="11" t="s">
        <v>87</v>
      </c>
      <c r="H274" s="688" t="s">
        <v>218</v>
      </c>
      <c r="I274" s="11"/>
    </row>
    <row r="275" spans="1:9" x14ac:dyDescent="0.2">
      <c r="A275" s="11"/>
      <c r="B275" s="11"/>
      <c r="C275" s="11"/>
      <c r="D275" s="11" t="str">
        <f t="shared" si="14"/>
        <v>Dieciseisavos de final</v>
      </c>
      <c r="E275" s="11" t="s">
        <v>1242</v>
      </c>
      <c r="F275" s="11"/>
      <c r="G275" s="11" t="s">
        <v>481</v>
      </c>
      <c r="H275" s="11" t="s">
        <v>482</v>
      </c>
      <c r="I275" s="11"/>
    </row>
    <row r="276" spans="1:9" x14ac:dyDescent="0.2">
      <c r="A276" s="11"/>
      <c r="B276" s="11"/>
      <c r="C276" s="11"/>
      <c r="D276" s="11" t="str">
        <f t="shared" si="14"/>
        <v>Fase de grupos</v>
      </c>
      <c r="E276" s="11" t="s">
        <v>1242</v>
      </c>
      <c r="F276" s="11"/>
      <c r="G276" s="11" t="s">
        <v>1243</v>
      </c>
      <c r="H276" s="688" t="s">
        <v>1244</v>
      </c>
      <c r="I276" s="11"/>
    </row>
    <row r="277" spans="1:9" x14ac:dyDescent="0.2">
      <c r="A277" s="11"/>
      <c r="B277" s="11"/>
      <c r="C277" s="11"/>
      <c r="D277" s="11" t="str">
        <f t="shared" si="14"/>
        <v>Pronóstica la ronda</v>
      </c>
      <c r="E277" s="11" t="s">
        <v>1242</v>
      </c>
      <c r="F277" s="11"/>
      <c r="G277" s="688" t="s">
        <v>1236</v>
      </c>
      <c r="H277" s="688" t="s">
        <v>1237</v>
      </c>
      <c r="I277" s="11"/>
    </row>
    <row r="278" spans="1:9" x14ac:dyDescent="0.2">
      <c r="A278" s="11"/>
      <c r="B278" s="11"/>
      <c r="C278" s="11"/>
      <c r="D278" s="11" t="str">
        <f t="shared" si="14"/>
        <v>Predice la selección</v>
      </c>
      <c r="E278" s="11" t="s">
        <v>1242</v>
      </c>
      <c r="F278" s="11"/>
      <c r="G278" s="688" t="s">
        <v>1245</v>
      </c>
      <c r="H278" s="688" t="s">
        <v>1246</v>
      </c>
      <c r="I278" s="11"/>
    </row>
    <row r="279" spans="1:9" x14ac:dyDescent="0.2">
      <c r="A279" s="11"/>
      <c r="B279" s="11"/>
      <c r="C279" s="11"/>
      <c r="D279" s="11" t="str">
        <f t="shared" si="14"/>
        <v>Ronda</v>
      </c>
      <c r="E279" s="11" t="s">
        <v>1242</v>
      </c>
      <c r="F279" s="11"/>
      <c r="G279" s="688" t="s">
        <v>1238</v>
      </c>
      <c r="H279" s="688" t="s">
        <v>1239</v>
      </c>
      <c r="I279" s="11"/>
    </row>
    <row r="280" spans="1:9" x14ac:dyDescent="0.2">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x14ac:dyDescent="0.2">
      <c r="A281" s="11"/>
      <c r="B281" s="11"/>
      <c r="C281" s="11"/>
      <c r="D281" s="11" t="str">
        <f t="shared" si="14"/>
        <v>·Una vez elijas una selección, dejará de aparecer en la lista</v>
      </c>
      <c r="E281" s="11" t="s">
        <v>1242</v>
      </c>
      <c r="F281" s="11"/>
      <c r="G281" s="11" t="s">
        <v>1254</v>
      </c>
      <c r="H281" s="688" t="s">
        <v>1252</v>
      </c>
      <c r="I281" s="11"/>
    </row>
    <row r="282" spans="1:9" x14ac:dyDescent="0.2">
      <c r="A282" s="11"/>
      <c r="B282" s="11"/>
      <c r="C282" s="11"/>
      <c r="D282" s="11" t="str">
        <f t="shared" si="14"/>
        <v xml:space="preserve">·Si has rellenado todos y quieres hacer un cambio, </v>
      </c>
      <c r="E282" s="11" t="s">
        <v>1242</v>
      </c>
      <c r="F282" s="11"/>
      <c r="G282" s="11" t="s">
        <v>1240</v>
      </c>
      <c r="H282" s="688" t="s">
        <v>1241</v>
      </c>
      <c r="I282" s="11"/>
    </row>
    <row r="283" spans="1:9" x14ac:dyDescent="0.2">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x14ac:dyDescent="0.2">
      <c r="A284" s="11"/>
      <c r="B284" s="11"/>
      <c r="C284" s="11"/>
      <c r="D284" s="11" t="str">
        <f t="shared" si="14"/>
        <v>Rellenar antes del comienzo del Mundial</v>
      </c>
      <c r="E284" s="11" t="s">
        <v>1242</v>
      </c>
      <c r="F284" s="11"/>
      <c r="G284" s="11" t="s">
        <v>1249</v>
      </c>
      <c r="H284" s="688" t="s">
        <v>1250</v>
      </c>
      <c r="I284" s="11"/>
    </row>
    <row r="285" spans="1:9" x14ac:dyDescent="0.2">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x14ac:dyDescent="0.2">
      <c r="A286" s="11"/>
      <c r="B286" s="11"/>
      <c r="C286" s="11"/>
      <c r="D286" s="11"/>
      <c r="E286" s="11"/>
      <c r="F286" s="11"/>
      <c r="G286" s="11"/>
      <c r="H286" s="11"/>
      <c r="I286" s="11"/>
    </row>
    <row r="287" spans="1:9" x14ac:dyDescent="0.2">
      <c r="A287" s="11"/>
      <c r="B287" s="11"/>
      <c r="C287" s="11"/>
      <c r="D287" s="11"/>
      <c r="E287" s="11"/>
      <c r="F287" s="11"/>
      <c r="G287" s="11"/>
      <c r="H287" s="11"/>
      <c r="I287" s="11"/>
    </row>
    <row r="288" spans="1:9" x14ac:dyDescent="0.2">
      <c r="A288" s="11"/>
      <c r="B288" s="11"/>
      <c r="C288" s="11"/>
      <c r="D288" s="11"/>
      <c r="E288" s="11"/>
      <c r="F288" s="11"/>
      <c r="G288" s="11"/>
      <c r="H288" s="11"/>
      <c r="I288" s="11"/>
    </row>
    <row r="289" spans="1:9" x14ac:dyDescent="0.2">
      <c r="A289" s="11"/>
      <c r="B289" s="11"/>
      <c r="C289" s="11"/>
      <c r="D289" s="11"/>
      <c r="E289" s="11"/>
      <c r="F289" s="11"/>
      <c r="G289" s="11"/>
      <c r="H289" s="11"/>
      <c r="I289" s="11"/>
    </row>
    <row r="290" spans="1:9" x14ac:dyDescent="0.2">
      <c r="A290" s="11"/>
      <c r="B290" s="11"/>
      <c r="C290" s="11"/>
      <c r="D290" s="11"/>
      <c r="E290" s="11"/>
      <c r="F290" s="11"/>
      <c r="G290" s="11"/>
      <c r="H290" s="11"/>
      <c r="I290" s="11"/>
    </row>
    <row r="291" spans="1:9" x14ac:dyDescent="0.2">
      <c r="A291" s="11"/>
      <c r="B291" s="11"/>
      <c r="C291" s="11"/>
      <c r="D291" s="11"/>
      <c r="E291" s="11"/>
      <c r="F291" s="11"/>
      <c r="G291" s="11"/>
      <c r="H291" s="11"/>
      <c r="I291" s="11"/>
    </row>
    <row r="292" spans="1:9" x14ac:dyDescent="0.2">
      <c r="A292" s="11"/>
      <c r="B292" s="11"/>
      <c r="C292" s="11"/>
      <c r="D292" s="11"/>
      <c r="E292" s="11"/>
      <c r="F292" s="11"/>
      <c r="G292" s="11"/>
      <c r="H292" s="11"/>
      <c r="I292" s="11"/>
    </row>
    <row r="293" spans="1:9" x14ac:dyDescent="0.2">
      <c r="A293" s="11"/>
      <c r="B293" s="11"/>
      <c r="C293" s="11"/>
      <c r="D293" s="11"/>
      <c r="E293" s="11"/>
      <c r="F293" s="11"/>
      <c r="G293" s="11"/>
      <c r="H293" s="11"/>
      <c r="I293" s="11"/>
    </row>
    <row r="294" spans="1:9" x14ac:dyDescent="0.2">
      <c r="A294" s="11"/>
      <c r="B294" s="11"/>
      <c r="C294" s="11"/>
      <c r="D294" s="11"/>
      <c r="E294" s="11"/>
      <c r="F294" s="11"/>
      <c r="G294" s="11"/>
      <c r="H294" s="11"/>
      <c r="I294" s="11"/>
    </row>
    <row r="295" spans="1:9" x14ac:dyDescent="0.2">
      <c r="A295" s="11"/>
      <c r="B295" s="11"/>
      <c r="C295" s="11"/>
      <c r="D295" s="11"/>
      <c r="E295" s="11"/>
      <c r="F295" s="11"/>
      <c r="G295" s="11"/>
      <c r="H295" s="11"/>
      <c r="I295" s="11"/>
    </row>
    <row r="296" spans="1:9" x14ac:dyDescent="0.2">
      <c r="A296" s="11"/>
      <c r="B296" s="11"/>
      <c r="C296" s="11"/>
      <c r="D296" s="11"/>
      <c r="E296" s="11"/>
      <c r="F296" s="11"/>
      <c r="G296" s="11"/>
      <c r="H296" s="11"/>
      <c r="I296" s="11"/>
    </row>
    <row r="297" spans="1:9" x14ac:dyDescent="0.2">
      <c r="A297" s="11"/>
      <c r="B297" s="11"/>
      <c r="C297" s="11"/>
      <c r="D297" s="11"/>
      <c r="E297" s="11"/>
      <c r="F297" s="11"/>
      <c r="G297" s="11"/>
      <c r="H297" s="11"/>
      <c r="I297" s="11"/>
    </row>
    <row r="298" spans="1:9" x14ac:dyDescent="0.2">
      <c r="A298" s="11"/>
      <c r="B298" s="11"/>
      <c r="C298" s="11"/>
      <c r="D298" s="11"/>
      <c r="E298" s="11"/>
      <c r="F298" s="11"/>
      <c r="G298" s="11"/>
      <c r="H298" s="11"/>
      <c r="I298" s="11"/>
    </row>
    <row r="299" spans="1:9" x14ac:dyDescent="0.2">
      <c r="A299" s="11"/>
      <c r="B299" s="11"/>
      <c r="C299" s="11"/>
      <c r="D299" s="11" t="str">
        <f t="shared" ref="D299:D363" si="16">IF($B$2,G299,H299)</f>
        <v>Selecciona el Nº de Jugadores</v>
      </c>
      <c r="E299" s="777" t="s">
        <v>1375</v>
      </c>
      <c r="F299" s="777" t="s">
        <v>126</v>
      </c>
      <c r="G299" s="777" t="s">
        <v>1376</v>
      </c>
      <c r="H299" s="777" t="s">
        <v>1516</v>
      </c>
      <c r="I299" s="11"/>
    </row>
    <row r="300" spans="1:9" x14ac:dyDescent="0.2">
      <c r="A300" s="11"/>
      <c r="B300" s="11"/>
      <c r="C300" s="11"/>
      <c r="D300" s="11" t="str">
        <f t="shared" si="16"/>
        <v>↓↓ Resultados reales ↓↓</v>
      </c>
      <c r="E300" s="777" t="s">
        <v>1375</v>
      </c>
      <c r="F300" s="777" t="s">
        <v>181</v>
      </c>
      <c r="G300" s="777" t="s">
        <v>1377</v>
      </c>
      <c r="H300" s="777" t="s">
        <v>1378</v>
      </c>
      <c r="I300" s="11"/>
    </row>
    <row r="301" spans="1:9" x14ac:dyDescent="0.2">
      <c r="A301" s="11"/>
      <c r="B301" s="11"/>
      <c r="C301" s="11"/>
      <c r="D301" s="11" t="str">
        <f t="shared" si="16"/>
        <v>Regla* (Click para ver la explicación)</v>
      </c>
      <c r="E301" s="777" t="s">
        <v>1375</v>
      </c>
      <c r="F301" s="777" t="s">
        <v>1379</v>
      </c>
      <c r="G301" s="777" t="s">
        <v>1829</v>
      </c>
      <c r="H301" s="777" t="s">
        <v>1830</v>
      </c>
      <c r="I301" s="11"/>
    </row>
    <row r="302" spans="1:9" x14ac:dyDescent="0.2">
      <c r="A302" s="11"/>
      <c r="B302" s="11"/>
      <c r="C302" s="11"/>
      <c r="D302" s="11" t="str">
        <f t="shared" si="16"/>
        <v>https://matejero.es/puntuaciones-excel-mundial-2026/</v>
      </c>
      <c r="E302" s="777" t="s">
        <v>1375</v>
      </c>
      <c r="F302" s="777"/>
      <c r="G302" s="778" t="s">
        <v>1828</v>
      </c>
      <c r="H302" s="778" t="s">
        <v>1917</v>
      </c>
      <c r="I302" s="11"/>
    </row>
    <row r="303" spans="1:9" x14ac:dyDescent="0.2">
      <c r="A303" s="11"/>
      <c r="B303" s="11"/>
      <c r="C303" s="11"/>
      <c r="D303" s="11" t="str">
        <f t="shared" si="16"/>
        <v>Puntos</v>
      </c>
      <c r="E303" s="777" t="s">
        <v>1375</v>
      </c>
      <c r="F303" s="777" t="s">
        <v>1380</v>
      </c>
      <c r="G303" s="777" t="s">
        <v>1381</v>
      </c>
      <c r="H303" s="777" t="s">
        <v>1382</v>
      </c>
      <c r="I303" s="11"/>
    </row>
    <row r="304" spans="1:9" x14ac:dyDescent="0.2">
      <c r="A304" s="11"/>
      <c r="B304" s="11"/>
      <c r="C304" s="11"/>
      <c r="D304" s="11" t="str">
        <f t="shared" si="16"/>
        <v>FASE DE GRUPOS - Signo 1X2 (local, empate, visitante)</v>
      </c>
      <c r="E304" s="777" t="s">
        <v>1375</v>
      </c>
      <c r="F304" s="777" t="s">
        <v>1383</v>
      </c>
      <c r="G304" s="777" t="s">
        <v>1774</v>
      </c>
      <c r="H304" s="777" t="s">
        <v>1775</v>
      </c>
      <c r="I304" s="11"/>
    </row>
    <row r="305" spans="1:9" x14ac:dyDescent="0.2">
      <c r="A305" s="11"/>
      <c r="B305" s="11"/>
      <c r="C305" s="11"/>
      <c r="D305" s="11" t="str">
        <f t="shared" si="16"/>
        <v>FASE DE GRUPOS - Diferencia/Distancia de goles (Con 1X2 acertado)</v>
      </c>
      <c r="E305" s="777" t="s">
        <v>1375</v>
      </c>
      <c r="F305" s="777" t="s">
        <v>1384</v>
      </c>
      <c r="G305" s="777" t="s">
        <v>1766</v>
      </c>
      <c r="H305" s="777" t="s">
        <v>1385</v>
      </c>
      <c r="I305" s="11"/>
    </row>
    <row r="306" spans="1:9" x14ac:dyDescent="0.2">
      <c r="A306" s="11"/>
      <c r="B306" s="11"/>
      <c r="C306" s="11"/>
      <c r="D306" s="11" t="str">
        <f t="shared" si="16"/>
        <v>FASE DE GRUPOS - Resultado exacto</v>
      </c>
      <c r="E306" s="777" t="s">
        <v>1375</v>
      </c>
      <c r="F306" s="777" t="s">
        <v>1386</v>
      </c>
      <c r="G306" s="777" t="s">
        <v>1387</v>
      </c>
      <c r="H306" s="777" t="s">
        <v>1388</v>
      </c>
      <c r="I306" s="11"/>
    </row>
    <row r="307" spans="1:9" x14ac:dyDescent="0.2">
      <c r="A307" s="11"/>
      <c r="B307" s="11"/>
      <c r="C307" s="11"/>
      <c r="D307" s="11" t="str">
        <f t="shared" si="16"/>
        <v>FASE DE GRUPOS - Posición exacta (1º)</v>
      </c>
      <c r="E307" s="777" t="s">
        <v>1375</v>
      </c>
      <c r="F307" s="777" t="s">
        <v>1389</v>
      </c>
      <c r="G307" s="777" t="s">
        <v>1390</v>
      </c>
      <c r="H307" s="777" t="s">
        <v>1391</v>
      </c>
      <c r="I307" s="11"/>
    </row>
    <row r="308" spans="1:9" x14ac:dyDescent="0.2">
      <c r="A308" s="11"/>
      <c r="B308" s="11"/>
      <c r="C308" s="11"/>
      <c r="D308" s="11" t="str">
        <f t="shared" si="16"/>
        <v>FASE DE GRUPOS - Posición exacta (2º)</v>
      </c>
      <c r="E308" s="777" t="s">
        <v>1375</v>
      </c>
      <c r="F308" s="777" t="s">
        <v>1398</v>
      </c>
      <c r="G308" s="777" t="s">
        <v>1392</v>
      </c>
      <c r="H308" s="777" t="s">
        <v>1393</v>
      </c>
      <c r="I308" s="11"/>
    </row>
    <row r="309" spans="1:9" x14ac:dyDescent="0.2">
      <c r="A309" s="11"/>
      <c r="B309" s="11"/>
      <c r="C309" s="11"/>
      <c r="D309" s="11" t="str">
        <f t="shared" si="16"/>
        <v>FASE DE GRUPOS - Posición exacta (3º)</v>
      </c>
      <c r="E309" s="777" t="s">
        <v>1375</v>
      </c>
      <c r="F309" s="777" t="s">
        <v>1398</v>
      </c>
      <c r="G309" s="777" t="s">
        <v>1394</v>
      </c>
      <c r="H309" s="777" t="s">
        <v>1395</v>
      </c>
      <c r="I309" s="11"/>
    </row>
    <row r="310" spans="1:9" x14ac:dyDescent="0.2">
      <c r="A310" s="11"/>
      <c r="B310" s="11"/>
      <c r="C310" s="11"/>
      <c r="D310" s="11" t="str">
        <f t="shared" si="16"/>
        <v>FASE DE GRUPOS - Posición exacta (4º)</v>
      </c>
      <c r="E310" s="777" t="s">
        <v>1375</v>
      </c>
      <c r="F310" s="777" t="s">
        <v>1400</v>
      </c>
      <c r="G310" s="777" t="s">
        <v>1396</v>
      </c>
      <c r="H310" s="777" t="s">
        <v>1397</v>
      </c>
      <c r="I310" s="11"/>
    </row>
    <row r="311" spans="1:9" x14ac:dyDescent="0.2">
      <c r="A311" s="11"/>
      <c r="B311" s="11"/>
      <c r="C311" s="11"/>
      <c r="D311" s="11" t="str">
        <f t="shared" si="16"/>
        <v>Equipo clasificado para DIECISEISAVOS</v>
      </c>
      <c r="E311" s="777" t="s">
        <v>1375</v>
      </c>
      <c r="F311" s="777" t="s">
        <v>1403</v>
      </c>
      <c r="G311" s="777" t="s">
        <v>1540</v>
      </c>
      <c r="H311" s="777" t="s">
        <v>1572</v>
      </c>
      <c r="I311" s="11"/>
    </row>
    <row r="312" spans="1:9" x14ac:dyDescent="0.2">
      <c r="A312" s="11"/>
      <c r="B312" s="11"/>
      <c r="C312" s="11"/>
      <c r="D312" s="11" t="str">
        <f t="shared" si="16"/>
        <v>DIECISEISAVOS - Signo 1X2 (local, empate, visitante)</v>
      </c>
      <c r="E312" s="777" t="s">
        <v>1375</v>
      </c>
      <c r="F312" s="777" t="s">
        <v>1405</v>
      </c>
      <c r="G312" s="777" t="s">
        <v>1542</v>
      </c>
      <c r="H312" s="777" t="s">
        <v>1547</v>
      </c>
      <c r="I312" s="11"/>
    </row>
    <row r="313" spans="1:9" x14ac:dyDescent="0.2">
      <c r="A313" s="11"/>
      <c r="B313" s="11"/>
      <c r="C313" s="11"/>
      <c r="D313" s="11" t="str">
        <f t="shared" si="16"/>
        <v>DIECISEISAVOS - Diferencia/Distancia de goles (Con 1X2 acertado)</v>
      </c>
      <c r="E313" s="777" t="s">
        <v>1375</v>
      </c>
      <c r="F313" s="777" t="s">
        <v>1400</v>
      </c>
      <c r="G313" s="777" t="s">
        <v>1767</v>
      </c>
      <c r="H313" s="777" t="s">
        <v>1548</v>
      </c>
      <c r="I313" s="11"/>
    </row>
    <row r="314" spans="1:9" x14ac:dyDescent="0.2">
      <c r="A314" s="11"/>
      <c r="B314" s="11"/>
      <c r="C314" s="11"/>
      <c r="D314" s="11" t="str">
        <f t="shared" si="16"/>
        <v>DIECISEISAVOS - Resultado exacto</v>
      </c>
      <c r="E314" s="777" t="s">
        <v>1375</v>
      </c>
      <c r="F314" s="777" t="s">
        <v>1403</v>
      </c>
      <c r="G314" s="777" t="s">
        <v>1541</v>
      </c>
      <c r="H314" s="777" t="s">
        <v>1549</v>
      </c>
      <c r="I314" s="11"/>
    </row>
    <row r="315" spans="1:9" x14ac:dyDescent="0.2">
      <c r="A315" s="11"/>
      <c r="B315" s="11"/>
      <c r="C315" s="11"/>
      <c r="D315" s="11" t="str">
        <f t="shared" si="16"/>
        <v>Equipo clasificado para OCTAVOS</v>
      </c>
      <c r="E315" s="777" t="s">
        <v>1375</v>
      </c>
      <c r="F315" s="777" t="s">
        <v>1405</v>
      </c>
      <c r="G315" s="777" t="s">
        <v>1399</v>
      </c>
      <c r="H315" s="777" t="s">
        <v>1561</v>
      </c>
      <c r="I315" s="11"/>
    </row>
    <row r="316" spans="1:9" x14ac:dyDescent="0.2">
      <c r="A316" s="11"/>
      <c r="B316" s="11"/>
      <c r="C316" s="11"/>
      <c r="D316" s="11" t="str">
        <f t="shared" si="16"/>
        <v>OCTAVOS - Signo 1X2  (local, empate, visitante)</v>
      </c>
      <c r="E316" s="777" t="s">
        <v>1375</v>
      </c>
      <c r="F316" s="777" t="s">
        <v>1407</v>
      </c>
      <c r="G316" s="777" t="s">
        <v>1401</v>
      </c>
      <c r="H316" s="777" t="s">
        <v>1402</v>
      </c>
      <c r="I316" s="11"/>
    </row>
    <row r="317" spans="1:9" x14ac:dyDescent="0.2">
      <c r="A317" s="11"/>
      <c r="B317" s="11"/>
      <c r="C317" s="11"/>
      <c r="D317" s="11" t="str">
        <f t="shared" si="16"/>
        <v>OCTAVOS -Diferencia/Distancia de goles (Con 1X2 acertado)</v>
      </c>
      <c r="E317" s="777" t="s">
        <v>1375</v>
      </c>
      <c r="F317" s="777" t="s">
        <v>1409</v>
      </c>
      <c r="G317" s="777" t="s">
        <v>1768</v>
      </c>
      <c r="H317" s="777" t="s">
        <v>1404</v>
      </c>
      <c r="I317" s="11"/>
    </row>
    <row r="318" spans="1:9" x14ac:dyDescent="0.2">
      <c r="A318" s="11"/>
      <c r="B318" s="11"/>
      <c r="C318" s="11"/>
      <c r="D318" s="11" t="str">
        <f t="shared" si="16"/>
        <v>OCTAVOS - Resultado exacto</v>
      </c>
      <c r="E318" s="777" t="s">
        <v>1375</v>
      </c>
      <c r="F318" s="777" t="s">
        <v>1412</v>
      </c>
      <c r="G318" s="777" t="s">
        <v>1406</v>
      </c>
      <c r="H318" s="777" t="s">
        <v>1517</v>
      </c>
      <c r="I318" s="11"/>
    </row>
    <row r="319" spans="1:9" x14ac:dyDescent="0.2">
      <c r="A319" s="11"/>
      <c r="B319" s="11"/>
      <c r="C319" s="11"/>
      <c r="D319" s="11" t="str">
        <f t="shared" si="16"/>
        <v>Equipo clasificado para CUARTOS</v>
      </c>
      <c r="E319" s="777" t="s">
        <v>1375</v>
      </c>
      <c r="F319" s="777" t="s">
        <v>1414</v>
      </c>
      <c r="G319" s="777" t="s">
        <v>1408</v>
      </c>
      <c r="H319" s="777" t="s">
        <v>1518</v>
      </c>
      <c r="I319" s="11"/>
    </row>
    <row r="320" spans="1:9" x14ac:dyDescent="0.2">
      <c r="A320" s="11"/>
      <c r="B320" s="11"/>
      <c r="C320" s="11"/>
      <c r="D320" s="11" t="str">
        <f t="shared" si="16"/>
        <v>CUARTOS - Signo 1X2  (local, empate, visitante)</v>
      </c>
      <c r="E320" s="777" t="s">
        <v>1375</v>
      </c>
      <c r="F320" s="777" t="s">
        <v>1416</v>
      </c>
      <c r="G320" s="777" t="s">
        <v>1410</v>
      </c>
      <c r="H320" s="777" t="s">
        <v>1411</v>
      </c>
      <c r="I320" s="11"/>
    </row>
    <row r="321" spans="1:9" x14ac:dyDescent="0.2">
      <c r="A321" s="11"/>
      <c r="B321" s="11"/>
      <c r="C321" s="11"/>
      <c r="D321" s="11" t="str">
        <f t="shared" si="16"/>
        <v>CUARTOS -Diferencia/Distancia de goles (Con 1X2 acertado)</v>
      </c>
      <c r="E321" s="777" t="s">
        <v>1375</v>
      </c>
      <c r="F321" s="777" t="s">
        <v>1418</v>
      </c>
      <c r="G321" s="777" t="s">
        <v>1769</v>
      </c>
      <c r="H321" s="777" t="s">
        <v>1413</v>
      </c>
      <c r="I321" s="11"/>
    </row>
    <row r="322" spans="1:9" x14ac:dyDescent="0.2">
      <c r="A322" s="11"/>
      <c r="B322" s="11"/>
      <c r="C322" s="11"/>
      <c r="D322" s="11" t="str">
        <f t="shared" si="16"/>
        <v>CUARTOS - Resultado exacto</v>
      </c>
      <c r="E322" s="777" t="s">
        <v>1375</v>
      </c>
      <c r="F322" s="777" t="s">
        <v>1421</v>
      </c>
      <c r="G322" s="777" t="s">
        <v>1415</v>
      </c>
      <c r="H322" s="777" t="s">
        <v>1519</v>
      </c>
      <c r="I322" s="11"/>
    </row>
    <row r="323" spans="1:9" x14ac:dyDescent="0.2">
      <c r="A323" s="11"/>
      <c r="B323" s="11"/>
      <c r="C323" s="11"/>
      <c r="D323" s="11" t="str">
        <f t="shared" si="16"/>
        <v>Equipo clasificado para SEMIFINALES</v>
      </c>
      <c r="E323" s="777" t="s">
        <v>1375</v>
      </c>
      <c r="F323" s="777" t="s">
        <v>1423</v>
      </c>
      <c r="G323" s="777" t="s">
        <v>1417</v>
      </c>
      <c r="H323" s="777" t="s">
        <v>1562</v>
      </c>
      <c r="I323" s="11"/>
    </row>
    <row r="324" spans="1:9" x14ac:dyDescent="0.2">
      <c r="A324" s="11"/>
      <c r="B324" s="11"/>
      <c r="C324" s="11"/>
      <c r="D324" s="11" t="str">
        <f t="shared" si="16"/>
        <v>SEMIFINALES - Signo 1X2  (local, empate, visitante)</v>
      </c>
      <c r="E324" s="777" t="s">
        <v>1375</v>
      </c>
      <c r="F324" s="777" t="s">
        <v>1426</v>
      </c>
      <c r="G324" s="777" t="s">
        <v>1419</v>
      </c>
      <c r="H324" s="777" t="s">
        <v>1420</v>
      </c>
      <c r="I324" s="11"/>
    </row>
    <row r="325" spans="1:9" x14ac:dyDescent="0.2">
      <c r="A325" s="11"/>
      <c r="B325" s="11"/>
      <c r="C325" s="11"/>
      <c r="D325" s="11" t="str">
        <f t="shared" si="16"/>
        <v>SEMIFINALES -Diferencia/Distancia de goles (Con 1X2 acertado)</v>
      </c>
      <c r="E325" s="777" t="s">
        <v>1375</v>
      </c>
      <c r="F325" s="777" t="s">
        <v>1426</v>
      </c>
      <c r="G325" s="777" t="s">
        <v>1770</v>
      </c>
      <c r="H325" s="777" t="s">
        <v>1422</v>
      </c>
      <c r="I325" s="11"/>
    </row>
    <row r="326" spans="1:9" x14ac:dyDescent="0.2">
      <c r="A326" s="11"/>
      <c r="B326" s="11"/>
      <c r="C326" s="11"/>
      <c r="D326" s="11" t="str">
        <f t="shared" si="16"/>
        <v>SEMIFINALES - Resultado exacto</v>
      </c>
      <c r="E326" s="777" t="s">
        <v>1375</v>
      </c>
      <c r="F326" s="777" t="s">
        <v>1427</v>
      </c>
      <c r="G326" s="777" t="s">
        <v>1424</v>
      </c>
      <c r="H326" s="777" t="s">
        <v>1425</v>
      </c>
      <c r="I326" s="11"/>
    </row>
    <row r="327" spans="1:9" x14ac:dyDescent="0.2">
      <c r="A327" s="11"/>
      <c r="B327" s="11"/>
      <c r="C327" s="11"/>
      <c r="D327" s="11" t="str">
        <f t="shared" si="16"/>
        <v>Equipo clasificado para 3º y 4º puesto</v>
      </c>
      <c r="E327" s="777" t="s">
        <v>1375</v>
      </c>
      <c r="F327" s="777" t="s">
        <v>1430</v>
      </c>
      <c r="G327" s="777" t="s">
        <v>1544</v>
      </c>
      <c r="H327" s="777" t="s">
        <v>1710</v>
      </c>
      <c r="I327" s="11"/>
    </row>
    <row r="328" spans="1:9" x14ac:dyDescent="0.2">
      <c r="A328" s="11"/>
      <c r="B328" s="11"/>
      <c r="C328" s="11"/>
      <c r="D328" s="11" t="str">
        <f t="shared" si="16"/>
        <v>Equipo clasificado para FINAL</v>
      </c>
      <c r="E328" s="777" t="s">
        <v>1375</v>
      </c>
      <c r="F328" s="777" t="s">
        <v>1432</v>
      </c>
      <c r="G328" s="777" t="s">
        <v>1543</v>
      </c>
      <c r="H328" s="777" t="s">
        <v>1520</v>
      </c>
      <c r="I328" s="11"/>
    </row>
    <row r="329" spans="1:9" x14ac:dyDescent="0.2">
      <c r="A329" s="11"/>
      <c r="B329" s="11"/>
      <c r="C329" s="11"/>
      <c r="D329" s="11" t="str">
        <f t="shared" si="16"/>
        <v>3ºy4º PUESTO - Signo 1X2  (local, empate, visitante)</v>
      </c>
      <c r="E329" s="777" t="s">
        <v>1375</v>
      </c>
      <c r="F329" s="777" t="s">
        <v>1435</v>
      </c>
      <c r="G329" s="777" t="s">
        <v>1545</v>
      </c>
      <c r="H329" s="777" t="s">
        <v>1563</v>
      </c>
      <c r="I329" s="11"/>
    </row>
    <row r="330" spans="1:9" x14ac:dyDescent="0.2">
      <c r="A330" s="11"/>
      <c r="B330" s="11"/>
      <c r="C330" s="11"/>
      <c r="D330" s="11" t="str">
        <f t="shared" si="16"/>
        <v>3ºy4º PUESTO - Diferencia/Distancia de goles (Con 1X2 acertado)</v>
      </c>
      <c r="E330" s="777" t="s">
        <v>1375</v>
      </c>
      <c r="F330" s="777" t="s">
        <v>1436</v>
      </c>
      <c r="G330" s="777" t="s">
        <v>1771</v>
      </c>
      <c r="H330" s="777" t="s">
        <v>1564</v>
      </c>
      <c r="I330" s="11"/>
    </row>
    <row r="331" spans="1:9" x14ac:dyDescent="0.2">
      <c r="A331" s="11"/>
      <c r="B331" s="11"/>
      <c r="C331" s="11"/>
      <c r="D331" s="11" t="str">
        <f t="shared" si="16"/>
        <v>3ºy4º PUESTO - Resultado exacto</v>
      </c>
      <c r="E331" s="777" t="s">
        <v>1375</v>
      </c>
      <c r="F331" s="777" t="s">
        <v>1437</v>
      </c>
      <c r="G331" s="777" t="s">
        <v>1546</v>
      </c>
      <c r="H331" s="777" t="s">
        <v>1565</v>
      </c>
      <c r="I331" s="11"/>
    </row>
    <row r="332" spans="1:9" x14ac:dyDescent="0.2">
      <c r="A332" s="11"/>
      <c r="B332" s="11"/>
      <c r="C332" s="11"/>
      <c r="D332" s="11" t="str">
        <f t="shared" si="16"/>
        <v>FINAL - Signo 1X2  (local, empate, visitante)</v>
      </c>
      <c r="E332" s="777" t="s">
        <v>1375</v>
      </c>
      <c r="F332" s="777" t="s">
        <v>1439</v>
      </c>
      <c r="G332" s="777" t="s">
        <v>1428</v>
      </c>
      <c r="H332" s="777" t="s">
        <v>1429</v>
      </c>
      <c r="I332" s="11"/>
    </row>
    <row r="333" spans="1:9" x14ac:dyDescent="0.2">
      <c r="A333" s="11"/>
      <c r="B333" s="11"/>
      <c r="C333" s="11"/>
      <c r="D333" s="11" t="str">
        <f t="shared" si="16"/>
        <v>FINAL - Diferencia/Distancia de goles (Con 1X2 acertado)</v>
      </c>
      <c r="E333" s="777" t="s">
        <v>1375</v>
      </c>
      <c r="F333" s="777" t="s">
        <v>1441</v>
      </c>
      <c r="G333" s="777" t="s">
        <v>1772</v>
      </c>
      <c r="H333" s="777" t="s">
        <v>1431</v>
      </c>
      <c r="I333" s="11"/>
    </row>
    <row r="334" spans="1:9" x14ac:dyDescent="0.2">
      <c r="A334" s="11"/>
      <c r="B334" s="11"/>
      <c r="C334" s="11"/>
      <c r="D334" s="11" t="str">
        <f t="shared" si="16"/>
        <v>FINAL - Resultado exacto</v>
      </c>
      <c r="E334" s="777" t="s">
        <v>1375</v>
      </c>
      <c r="F334" s="777" t="s">
        <v>1443</v>
      </c>
      <c r="G334" s="777" t="s">
        <v>1433</v>
      </c>
      <c r="H334" s="777" t="s">
        <v>1434</v>
      </c>
      <c r="I334" s="11"/>
    </row>
    <row r="335" spans="1:9" x14ac:dyDescent="0.2">
      <c r="A335" s="11"/>
      <c r="B335" s="11"/>
      <c r="C335" s="11"/>
      <c r="D335" s="11" t="str">
        <f t="shared" si="16"/>
        <v>Campeón</v>
      </c>
      <c r="E335" s="777"/>
      <c r="F335" s="777"/>
      <c r="G335" s="777" t="s">
        <v>18</v>
      </c>
      <c r="H335" s="777" t="s">
        <v>222</v>
      </c>
      <c r="I335" s="11"/>
    </row>
    <row r="336" spans="1:9" x14ac:dyDescent="0.2">
      <c r="A336" s="11"/>
      <c r="B336" s="11"/>
      <c r="C336" s="11"/>
      <c r="D336" s="11" t="str">
        <f t="shared" si="16"/>
        <v>Subcampeón</v>
      </c>
      <c r="E336" s="777"/>
      <c r="F336" s="777"/>
      <c r="G336" s="777" t="s">
        <v>19</v>
      </c>
      <c r="H336" s="777" t="s">
        <v>223</v>
      </c>
      <c r="I336" s="11"/>
    </row>
    <row r="337" spans="1:9" x14ac:dyDescent="0.2">
      <c r="A337" s="11"/>
      <c r="B337" s="11"/>
      <c r="C337" s="11"/>
      <c r="D337" s="11" t="str">
        <f t="shared" si="16"/>
        <v>3º puesto</v>
      </c>
      <c r="E337" s="777"/>
      <c r="F337" s="777"/>
      <c r="G337" s="777" t="s">
        <v>1234</v>
      </c>
      <c r="H337" s="777" t="s">
        <v>1235</v>
      </c>
      <c r="I337" s="11"/>
    </row>
    <row r="338" spans="1:9" x14ac:dyDescent="0.2">
      <c r="A338" s="11"/>
      <c r="B338" s="11"/>
      <c r="C338" s="11"/>
      <c r="D338" s="11" t="str">
        <f t="shared" si="16"/>
        <v>Bota de Oro  (máximo goleador)</v>
      </c>
      <c r="E338" s="777" t="s">
        <v>1375</v>
      </c>
      <c r="F338" s="777" t="s">
        <v>1446</v>
      </c>
      <c r="G338" s="777" t="s">
        <v>499</v>
      </c>
      <c r="H338" s="777" t="s">
        <v>1566</v>
      </c>
      <c r="I338" s="11"/>
    </row>
    <row r="339" spans="1:9" x14ac:dyDescent="0.2">
      <c r="A339" s="11"/>
      <c r="B339" s="11"/>
      <c r="C339" s="11"/>
      <c r="D339" s="11" t="str">
        <f t="shared" si="16"/>
        <v>Bota de Plata (2º máximo goleador)</v>
      </c>
      <c r="E339" s="777" t="s">
        <v>1449</v>
      </c>
      <c r="F339" s="777" t="s">
        <v>1450</v>
      </c>
      <c r="G339" s="777" t="s">
        <v>500</v>
      </c>
      <c r="H339" s="777" t="s">
        <v>1567</v>
      </c>
      <c r="I339" s="11"/>
    </row>
    <row r="340" spans="1:9" x14ac:dyDescent="0.2">
      <c r="A340" s="11"/>
      <c r="B340" s="11"/>
      <c r="C340" s="11"/>
      <c r="D340" s="11" t="str">
        <f t="shared" si="16"/>
        <v>Bota de Bronce (3º máximo goleador)</v>
      </c>
      <c r="E340" s="777" t="s">
        <v>1375</v>
      </c>
      <c r="F340" s="777" t="s">
        <v>1458</v>
      </c>
      <c r="G340" s="777" t="s">
        <v>501</v>
      </c>
      <c r="H340" s="777" t="s">
        <v>1568</v>
      </c>
      <c r="I340" s="11"/>
    </row>
    <row r="341" spans="1:9" x14ac:dyDescent="0.2">
      <c r="A341" s="11"/>
      <c r="B341" s="11"/>
      <c r="C341" s="11"/>
      <c r="D341" s="11" t="str">
        <f t="shared" si="16"/>
        <v>Balón de Oro  (mejor jugador)</v>
      </c>
      <c r="E341" s="777" t="s">
        <v>1375</v>
      </c>
      <c r="F341" s="777" t="s">
        <v>1453</v>
      </c>
      <c r="G341" s="777" t="s">
        <v>502</v>
      </c>
      <c r="H341" s="777" t="s">
        <v>1569</v>
      </c>
      <c r="I341" s="11"/>
    </row>
    <row r="342" spans="1:9" x14ac:dyDescent="0.2">
      <c r="A342" s="11"/>
      <c r="B342" s="11"/>
      <c r="C342" s="11"/>
      <c r="D342" s="11" t="str">
        <f t="shared" si="16"/>
        <v>Balón de Plata (2º mejor jugador)</v>
      </c>
      <c r="E342" s="777" t="s">
        <v>1449</v>
      </c>
      <c r="F342" s="777" t="s">
        <v>1456</v>
      </c>
      <c r="G342" s="777" t="s">
        <v>503</v>
      </c>
      <c r="H342" s="777" t="s">
        <v>1570</v>
      </c>
      <c r="I342" s="11"/>
    </row>
    <row r="343" spans="1:9" x14ac:dyDescent="0.2">
      <c r="A343" s="11"/>
      <c r="B343" s="11"/>
      <c r="C343" s="11"/>
      <c r="D343" s="11" t="str">
        <f t="shared" si="16"/>
        <v>Balón de Bronce (3º mejor jugador)</v>
      </c>
      <c r="E343" s="777" t="s">
        <v>1375</v>
      </c>
      <c r="F343" s="777" t="s">
        <v>1458</v>
      </c>
      <c r="G343" s="777" t="s">
        <v>504</v>
      </c>
      <c r="H343" s="777" t="s">
        <v>1571</v>
      </c>
      <c r="I343" s="11"/>
    </row>
    <row r="344" spans="1:9" x14ac:dyDescent="0.2">
      <c r="A344" s="11"/>
      <c r="B344" s="11"/>
      <c r="C344" s="11"/>
      <c r="D344" s="11" t="str">
        <f t="shared" si="16"/>
        <v>Fase de grupos</v>
      </c>
      <c r="E344" s="777" t="s">
        <v>1449</v>
      </c>
      <c r="F344" s="777" t="s">
        <v>1461</v>
      </c>
      <c r="G344" s="777" t="s">
        <v>1243</v>
      </c>
      <c r="H344" s="777" t="s">
        <v>1442</v>
      </c>
      <c r="I344" s="11"/>
    </row>
    <row r="345" spans="1:9" x14ac:dyDescent="0.2">
      <c r="A345" s="11"/>
      <c r="B345" s="11"/>
      <c r="C345" s="11"/>
      <c r="D345" s="11" t="str">
        <f t="shared" si="16"/>
        <v>Posición grupos</v>
      </c>
      <c r="E345" s="777" t="s">
        <v>1375</v>
      </c>
      <c r="F345" s="777" t="s">
        <v>1463</v>
      </c>
      <c r="G345" s="777" t="s">
        <v>1444</v>
      </c>
      <c r="H345" s="777" t="s">
        <v>1445</v>
      </c>
      <c r="I345" s="11"/>
    </row>
    <row r="346" spans="1:9" x14ac:dyDescent="0.2">
      <c r="A346" s="11"/>
      <c r="B346" s="11"/>
      <c r="C346" s="11"/>
      <c r="D346" s="11" t="str">
        <f t="shared" si="16"/>
        <v>CLASIFICADOS PARA PLAYOFFS</v>
      </c>
      <c r="E346" s="777" t="s">
        <v>1449</v>
      </c>
      <c r="F346" s="777" t="s">
        <v>1466</v>
      </c>
      <c r="G346" s="777" t="s">
        <v>1521</v>
      </c>
      <c r="H346" s="777" t="s">
        <v>1522</v>
      </c>
      <c r="I346" s="11"/>
    </row>
    <row r="347" spans="1:9" x14ac:dyDescent="0.2">
      <c r="A347" s="11"/>
      <c r="B347" s="11"/>
      <c r="C347" s="11"/>
      <c r="D347" s="11" t="str">
        <f t="shared" si="16"/>
        <v>CLASIFICADOS PARA OCTAVOS (Desde Fase Liga)</v>
      </c>
      <c r="E347" s="777" t="s">
        <v>1375</v>
      </c>
      <c r="F347" s="777" t="s">
        <v>1468</v>
      </c>
      <c r="G347" s="777" t="s">
        <v>1523</v>
      </c>
      <c r="H347" s="777" t="s">
        <v>1524</v>
      </c>
      <c r="I347" s="11"/>
    </row>
    <row r="348" spans="1:9" x14ac:dyDescent="0.2">
      <c r="A348" s="11"/>
      <c r="B348" s="11"/>
      <c r="C348" s="11"/>
      <c r="D348" s="11" t="str">
        <f t="shared" si="16"/>
        <v>CLASIFICADOS PARA OCTAVOS (DESDE PLAYOFFS)</v>
      </c>
      <c r="E348" s="777" t="s">
        <v>1375</v>
      </c>
      <c r="F348" s="777" t="s">
        <v>1470</v>
      </c>
      <c r="G348" s="777" t="s">
        <v>1525</v>
      </c>
      <c r="H348" s="777" t="s">
        <v>1526</v>
      </c>
      <c r="I348" s="11"/>
    </row>
    <row r="349" spans="1:9" x14ac:dyDescent="0.2">
      <c r="A349" s="11"/>
      <c r="B349" s="11"/>
      <c r="C349" s="11"/>
      <c r="D349" s="11" t="str">
        <f t="shared" si="16"/>
        <v>Clasificados para Octavos de Final</v>
      </c>
      <c r="E349" s="777" t="s">
        <v>1375</v>
      </c>
      <c r="F349" s="777" t="s">
        <v>1471</v>
      </c>
      <c r="G349" s="777" t="s">
        <v>1447</v>
      </c>
      <c r="H349" s="777" t="s">
        <v>1448</v>
      </c>
      <c r="I349" s="11"/>
    </row>
    <row r="350" spans="1:9" x14ac:dyDescent="0.2">
      <c r="A350" s="11"/>
      <c r="B350" s="11"/>
      <c r="C350" s="11"/>
      <c r="D350" s="11" t="str">
        <f t="shared" si="16"/>
        <v>Enfrentamientos Octavos de Final</v>
      </c>
      <c r="E350" s="777" t="s">
        <v>1375</v>
      </c>
      <c r="F350" s="777" t="s">
        <v>1472</v>
      </c>
      <c r="G350" s="777" t="s">
        <v>1451</v>
      </c>
      <c r="H350" s="777" t="s">
        <v>1452</v>
      </c>
      <c r="I350" s="11"/>
    </row>
    <row r="351" spans="1:9" x14ac:dyDescent="0.2">
      <c r="A351" s="11"/>
      <c r="B351" s="11"/>
      <c r="C351" s="11"/>
      <c r="D351" s="11" t="str">
        <f t="shared" si="16"/>
        <v>Clasificados para Cuartos de Final</v>
      </c>
      <c r="E351" s="777" t="s">
        <v>1375</v>
      </c>
      <c r="F351" s="777" t="s">
        <v>1474</v>
      </c>
      <c r="G351" s="777" t="s">
        <v>1454</v>
      </c>
      <c r="H351" s="777" t="s">
        <v>1527</v>
      </c>
      <c r="I351" s="11"/>
    </row>
    <row r="352" spans="1:9" x14ac:dyDescent="0.2">
      <c r="A352" s="11"/>
      <c r="B352" s="11"/>
      <c r="C352" s="11"/>
      <c r="D352" s="11" t="str">
        <f t="shared" si="16"/>
        <v>Clasificados para Cuartos de Final</v>
      </c>
      <c r="E352" s="777" t="s">
        <v>1375</v>
      </c>
      <c r="F352" s="777" t="s">
        <v>28</v>
      </c>
      <c r="G352" s="777" t="s">
        <v>1454</v>
      </c>
      <c r="H352" s="777" t="s">
        <v>1455</v>
      </c>
      <c r="I352" s="11"/>
    </row>
    <row r="353" spans="1:9" x14ac:dyDescent="0.2">
      <c r="A353" s="11"/>
      <c r="B353" s="11"/>
      <c r="C353" s="11"/>
      <c r="D353" s="11" t="str">
        <f t="shared" si="16"/>
        <v>Enfrentamientos Cuartos de Final</v>
      </c>
      <c r="E353" s="777" t="s">
        <v>1375</v>
      </c>
      <c r="F353" s="777"/>
      <c r="G353" s="777" t="s">
        <v>1457</v>
      </c>
      <c r="H353" s="777" t="s">
        <v>219</v>
      </c>
      <c r="I353" s="11"/>
    </row>
    <row r="354" spans="1:9" x14ac:dyDescent="0.2">
      <c r="A354" s="11"/>
      <c r="B354" s="11"/>
      <c r="C354" s="11"/>
      <c r="D354" s="11" t="str">
        <f t="shared" si="16"/>
        <v>Clasificados para Semifinales</v>
      </c>
      <c r="E354" s="777" t="s">
        <v>1375</v>
      </c>
      <c r="F354" s="777"/>
      <c r="G354" s="777" t="s">
        <v>1459</v>
      </c>
      <c r="H354" s="777" t="s">
        <v>1460</v>
      </c>
      <c r="I354" s="11"/>
    </row>
    <row r="355" spans="1:9" x14ac:dyDescent="0.2">
      <c r="A355" s="11"/>
      <c r="B355" s="11"/>
      <c r="C355" s="11"/>
      <c r="D355" s="11" t="str">
        <f t="shared" si="16"/>
        <v>Enfrentamientos Semifinales</v>
      </c>
      <c r="E355" s="777" t="s">
        <v>1375</v>
      </c>
      <c r="F355" s="777"/>
      <c r="G355" s="777" t="s">
        <v>1462</v>
      </c>
      <c r="H355" s="777" t="s">
        <v>220</v>
      </c>
      <c r="I355" s="11"/>
    </row>
    <row r="356" spans="1:9" x14ac:dyDescent="0.2">
      <c r="A356" s="11"/>
      <c r="B356" s="11"/>
      <c r="C356" s="11"/>
      <c r="D356" s="11" t="str">
        <f t="shared" si="16"/>
        <v>Clasificados para la Final</v>
      </c>
      <c r="E356" s="777" t="s">
        <v>1375</v>
      </c>
      <c r="F356" s="777"/>
      <c r="G356" s="777" t="s">
        <v>1464</v>
      </c>
      <c r="H356" s="777" t="s">
        <v>1465</v>
      </c>
      <c r="I356" s="11"/>
    </row>
    <row r="357" spans="1:9" x14ac:dyDescent="0.2">
      <c r="A357" s="11"/>
      <c r="B357" s="11"/>
      <c r="C357" s="11"/>
      <c r="D357" s="11" t="str">
        <f t="shared" si="16"/>
        <v>Partido Final</v>
      </c>
      <c r="E357" s="777" t="s">
        <v>1375</v>
      </c>
      <c r="F357" s="777"/>
      <c r="G357" s="777" t="s">
        <v>1467</v>
      </c>
      <c r="H357" s="777" t="s">
        <v>37</v>
      </c>
      <c r="I357" s="11"/>
    </row>
    <row r="358" spans="1:9" x14ac:dyDescent="0.2">
      <c r="A358" s="11"/>
      <c r="B358" s="11"/>
      <c r="C358" s="11"/>
      <c r="D358" s="11" t="str">
        <f t="shared" si="16"/>
        <v>Cuadro de honor</v>
      </c>
      <c r="E358" s="777" t="s">
        <v>1375</v>
      </c>
      <c r="F358" s="777"/>
      <c r="G358" s="777" t="s">
        <v>1310</v>
      </c>
      <c r="H358" s="777" t="s">
        <v>1469</v>
      </c>
      <c r="I358" s="11"/>
    </row>
    <row r="359" spans="1:9" x14ac:dyDescent="0.2">
      <c r="A359" s="11"/>
      <c r="B359" s="11"/>
      <c r="C359" s="11"/>
      <c r="D359" s="11" t="str">
        <f t="shared" si="16"/>
        <v>Campeón</v>
      </c>
      <c r="E359" s="777" t="s">
        <v>1375</v>
      </c>
      <c r="F359" s="777"/>
      <c r="G359" s="777" t="s">
        <v>18</v>
      </c>
      <c r="H359" s="777" t="s">
        <v>222</v>
      </c>
      <c r="I359" s="11"/>
    </row>
    <row r="360" spans="1:9" x14ac:dyDescent="0.2">
      <c r="A360" s="11"/>
      <c r="B360" s="11"/>
      <c r="C360" s="11"/>
      <c r="D360" s="11" t="str">
        <f t="shared" si="16"/>
        <v>Subcampeón</v>
      </c>
      <c r="E360" s="777" t="s">
        <v>1375</v>
      </c>
      <c r="F360" s="777"/>
      <c r="G360" s="777" t="s">
        <v>19</v>
      </c>
      <c r="H360" s="777" t="s">
        <v>223</v>
      </c>
      <c r="I360" s="11"/>
    </row>
    <row r="361" spans="1:9" x14ac:dyDescent="0.2">
      <c r="A361" s="11"/>
      <c r="B361" s="11"/>
      <c r="C361" s="11"/>
      <c r="D361" s="11" t="str">
        <f t="shared" si="16"/>
        <v>Goleador del torneo</v>
      </c>
      <c r="E361" s="777" t="s">
        <v>1375</v>
      </c>
      <c r="F361" s="777"/>
      <c r="G361" s="777" t="s">
        <v>1438</v>
      </c>
      <c r="H361" s="777" t="s">
        <v>1473</v>
      </c>
      <c r="I361" s="11"/>
    </row>
    <row r="362" spans="1:9" x14ac:dyDescent="0.2">
      <c r="A362" s="11"/>
      <c r="B362" s="11"/>
      <c r="C362" s="11"/>
      <c r="D362" s="11" t="str">
        <f t="shared" si="16"/>
        <v>Mejor jugador del torneo</v>
      </c>
      <c r="E362" s="777" t="s">
        <v>1375</v>
      </c>
      <c r="F362" s="777"/>
      <c r="G362" s="777" t="s">
        <v>1440</v>
      </c>
      <c r="H362" s="777" t="s">
        <v>1475</v>
      </c>
      <c r="I362" s="11"/>
    </row>
    <row r="363" spans="1:9" x14ac:dyDescent="0.2">
      <c r="A363" s="11"/>
      <c r="B363" s="11"/>
      <c r="C363" s="11"/>
      <c r="D363" s="11" t="str">
        <f t="shared" si="16"/>
        <v>Pegar Valores Nombre J</v>
      </c>
      <c r="E363" s="777" t="s">
        <v>1375</v>
      </c>
      <c r="F363" s="777"/>
      <c r="G363" s="777" t="s">
        <v>1925</v>
      </c>
      <c r="H363" s="777" t="s">
        <v>1926</v>
      </c>
      <c r="I363" s="11"/>
    </row>
    <row r="364" spans="1:9" x14ac:dyDescent="0.2">
      <c r="A364" s="11"/>
      <c r="B364" s="11"/>
      <c r="C364" s="11"/>
      <c r="D364" s="11" t="str">
        <f t="shared" ref="D364:D423" si="17">IF($B$2,G364,H364)</f>
        <v>Pegar Valores (J1)</v>
      </c>
      <c r="E364" s="777" t="s">
        <v>1375</v>
      </c>
      <c r="F364" s="777"/>
      <c r="G364" s="777" t="s">
        <v>1476</v>
      </c>
      <c r="H364" s="777" t="s">
        <v>1477</v>
      </c>
      <c r="I364" s="11"/>
    </row>
    <row r="365" spans="1:9" x14ac:dyDescent="0.2">
      <c r="A365" s="11"/>
      <c r="B365" s="11"/>
      <c r="C365" s="11"/>
      <c r="D365" s="11" t="str">
        <f t="shared" si="17"/>
        <v>Pegar Valores (J2)</v>
      </c>
      <c r="E365" s="777" t="s">
        <v>1375</v>
      </c>
      <c r="F365" s="777"/>
      <c r="G365" s="777" t="s">
        <v>1478</v>
      </c>
      <c r="H365" s="777" t="s">
        <v>1479</v>
      </c>
      <c r="I365" s="11"/>
    </row>
    <row r="366" spans="1:9" x14ac:dyDescent="0.2">
      <c r="A366" s="11"/>
      <c r="B366" s="11"/>
      <c r="C366" s="11"/>
      <c r="D366" s="11" t="str">
        <f t="shared" si="17"/>
        <v>Pegar Valores (J3)</v>
      </c>
      <c r="E366" s="777" t="s">
        <v>1375</v>
      </c>
      <c r="F366" s="777"/>
      <c r="G366" s="777" t="s">
        <v>1480</v>
      </c>
      <c r="H366" s="777" t="s">
        <v>1481</v>
      </c>
      <c r="I366" s="11"/>
    </row>
    <row r="367" spans="1:9" x14ac:dyDescent="0.2">
      <c r="A367" s="11"/>
      <c r="B367" s="11"/>
      <c r="C367" s="11"/>
      <c r="D367" s="11" t="str">
        <f t="shared" si="17"/>
        <v>Pegar Valores Dieciseisavos</v>
      </c>
      <c r="E367" s="777" t="s">
        <v>1375</v>
      </c>
      <c r="F367" s="777" t="s">
        <v>1488</v>
      </c>
      <c r="G367" s="777" t="s">
        <v>1583</v>
      </c>
      <c r="H367" s="777" t="s">
        <v>1584</v>
      </c>
      <c r="I367" s="11"/>
    </row>
    <row r="368" spans="1:9" x14ac:dyDescent="0.2">
      <c r="A368" s="11"/>
      <c r="B368" s="11"/>
      <c r="C368" s="11"/>
      <c r="D368" s="11" t="str">
        <f t="shared" si="17"/>
        <v>Pegar Valores Octavos</v>
      </c>
      <c r="E368" s="777" t="s">
        <v>1375</v>
      </c>
      <c r="F368" s="777" t="s">
        <v>1489</v>
      </c>
      <c r="G368" s="777" t="s">
        <v>1482</v>
      </c>
      <c r="H368" s="777" t="s">
        <v>1483</v>
      </c>
      <c r="I368" s="11"/>
    </row>
    <row r="369" spans="1:9" x14ac:dyDescent="0.2">
      <c r="A369" s="11"/>
      <c r="B369" s="11"/>
      <c r="C369" s="11"/>
      <c r="D369" s="11" t="str">
        <f t="shared" si="17"/>
        <v>Pegar valores Cuartos</v>
      </c>
      <c r="E369" s="777" t="s">
        <v>1375</v>
      </c>
      <c r="F369" s="777" t="s">
        <v>1490</v>
      </c>
      <c r="G369" s="777" t="s">
        <v>1484</v>
      </c>
      <c r="H369" s="777" t="s">
        <v>1485</v>
      </c>
      <c r="I369" s="11"/>
    </row>
    <row r="370" spans="1:9" x14ac:dyDescent="0.2">
      <c r="A370" s="11"/>
      <c r="B370" s="11"/>
      <c r="C370" s="11"/>
      <c r="D370" s="11" t="str">
        <f t="shared" si="17"/>
        <v>Pegar valores Semifinales</v>
      </c>
      <c r="E370" s="777" t="s">
        <v>1375</v>
      </c>
      <c r="F370" s="777" t="s">
        <v>1491</v>
      </c>
      <c r="G370" s="777" t="s">
        <v>1486</v>
      </c>
      <c r="H370" s="777" t="s">
        <v>1487</v>
      </c>
      <c r="I370" s="11"/>
    </row>
    <row r="371" spans="1:9" x14ac:dyDescent="0.2">
      <c r="A371" s="11"/>
      <c r="B371" s="11"/>
      <c r="C371" s="11"/>
      <c r="D371" s="11" t="str">
        <f t="shared" si="17"/>
        <v>Pegar valores 3º-4º puesto y Final</v>
      </c>
      <c r="E371" s="777" t="s">
        <v>1375</v>
      </c>
      <c r="F371" s="777" t="s">
        <v>1492</v>
      </c>
      <c r="G371" s="777" t="s">
        <v>1585</v>
      </c>
      <c r="H371" s="777" t="s">
        <v>1586</v>
      </c>
      <c r="I371" s="11"/>
    </row>
    <row r="372" spans="1:9" x14ac:dyDescent="0.2">
      <c r="A372" s="11"/>
      <c r="B372" s="11"/>
      <c r="C372" s="11"/>
      <c r="D372" s="11" t="str">
        <f t="shared" si="17"/>
        <v>Pegar valores Predictor</v>
      </c>
      <c r="E372" s="777" t="s">
        <v>1375</v>
      </c>
      <c r="F372" s="777" t="s">
        <v>1493</v>
      </c>
      <c r="G372" s="777" t="s">
        <v>1528</v>
      </c>
      <c r="H372" s="777" t="s">
        <v>1529</v>
      </c>
      <c r="I372" s="11"/>
    </row>
    <row r="373" spans="1:9" x14ac:dyDescent="0.2">
      <c r="A373" s="11"/>
      <c r="B373" s="11"/>
      <c r="C373" s="11"/>
      <c r="D373" s="11" t="str">
        <f t="shared" si="17"/>
        <v>Pegar Valores Cuadro de Honor</v>
      </c>
      <c r="E373" s="777"/>
      <c r="F373" s="777"/>
      <c r="G373" s="777" t="s">
        <v>1587</v>
      </c>
      <c r="H373" s="777" t="s">
        <v>1588</v>
      </c>
      <c r="I373" s="11"/>
    </row>
    <row r="374" spans="1:9" x14ac:dyDescent="0.2">
      <c r="A374" s="11"/>
      <c r="B374" s="11"/>
      <c r="C374" s="11"/>
      <c r="D374" s="11" t="str">
        <f t="shared" si="17"/>
        <v>1º GRUPO A</v>
      </c>
      <c r="E374" s="777" t="s">
        <v>1375</v>
      </c>
      <c r="F374" s="777" t="s">
        <v>1494</v>
      </c>
      <c r="G374" s="777" t="s">
        <v>45</v>
      </c>
      <c r="H374" s="777" t="s">
        <v>377</v>
      </c>
      <c r="I374" s="11"/>
    </row>
    <row r="375" spans="1:9" x14ac:dyDescent="0.2">
      <c r="A375" s="11"/>
      <c r="B375" s="11"/>
      <c r="C375" s="11"/>
      <c r="D375" s="11" t="str">
        <f t="shared" si="17"/>
        <v>2º GRUPO A</v>
      </c>
      <c r="E375" s="777" t="s">
        <v>1375</v>
      </c>
      <c r="F375" s="777" t="s">
        <v>1495</v>
      </c>
      <c r="G375" s="777" t="s">
        <v>46</v>
      </c>
      <c r="H375" s="777" t="s">
        <v>378</v>
      </c>
      <c r="I375" s="11"/>
    </row>
    <row r="376" spans="1:9" x14ac:dyDescent="0.2">
      <c r="A376" s="11"/>
      <c r="B376" s="11"/>
      <c r="C376" s="11"/>
      <c r="D376" s="11" t="str">
        <f t="shared" si="17"/>
        <v>3º GRUPO A</v>
      </c>
      <c r="E376" s="777" t="s">
        <v>1375</v>
      </c>
      <c r="F376" s="777" t="s">
        <v>1496</v>
      </c>
      <c r="G376" s="777" t="s">
        <v>47</v>
      </c>
      <c r="H376" s="777" t="s">
        <v>379</v>
      </c>
      <c r="I376" s="11"/>
    </row>
    <row r="377" spans="1:9" x14ac:dyDescent="0.2">
      <c r="A377" s="11"/>
      <c r="B377" s="11"/>
      <c r="C377" s="11"/>
      <c r="D377" s="11" t="str">
        <f t="shared" si="17"/>
        <v>4º GRUPO A</v>
      </c>
      <c r="E377" s="777" t="s">
        <v>1375</v>
      </c>
      <c r="F377" s="777" t="s">
        <v>1497</v>
      </c>
      <c r="G377" s="777" t="s">
        <v>48</v>
      </c>
      <c r="H377" s="777" t="s">
        <v>380</v>
      </c>
      <c r="I377" s="11"/>
    </row>
    <row r="378" spans="1:9" x14ac:dyDescent="0.2">
      <c r="A378" s="11"/>
      <c r="B378" s="11"/>
      <c r="C378" s="11"/>
      <c r="D378" s="11" t="str">
        <f t="shared" si="17"/>
        <v>1º GRUPO B</v>
      </c>
      <c r="E378" s="777" t="s">
        <v>1375</v>
      </c>
      <c r="F378" s="777" t="s">
        <v>1498</v>
      </c>
      <c r="G378" s="777" t="s">
        <v>49</v>
      </c>
      <c r="H378" s="777" t="s">
        <v>381</v>
      </c>
      <c r="I378" s="11"/>
    </row>
    <row r="379" spans="1:9" x14ac:dyDescent="0.2">
      <c r="A379" s="11"/>
      <c r="B379" s="11"/>
      <c r="C379" s="11"/>
      <c r="D379" s="11" t="str">
        <f t="shared" si="17"/>
        <v>2º GRUPO B</v>
      </c>
      <c r="E379" s="777" t="s">
        <v>1375</v>
      </c>
      <c r="F379" s="777" t="s">
        <v>1499</v>
      </c>
      <c r="G379" s="777" t="s">
        <v>50</v>
      </c>
      <c r="H379" s="777" t="s">
        <v>382</v>
      </c>
      <c r="I379" s="11"/>
    </row>
    <row r="380" spans="1:9" x14ac:dyDescent="0.2">
      <c r="A380" s="11"/>
      <c r="B380" s="11"/>
      <c r="C380" s="11"/>
      <c r="D380" s="11" t="str">
        <f t="shared" si="17"/>
        <v>3º GRUPO B</v>
      </c>
      <c r="E380" s="777" t="s">
        <v>1375</v>
      </c>
      <c r="F380" s="777" t="s">
        <v>1500</v>
      </c>
      <c r="G380" s="777" t="s">
        <v>51</v>
      </c>
      <c r="H380" s="777" t="s">
        <v>383</v>
      </c>
      <c r="I380" s="11"/>
    </row>
    <row r="381" spans="1:9" x14ac:dyDescent="0.2">
      <c r="A381" s="11"/>
      <c r="B381" s="11"/>
      <c r="C381" s="11"/>
      <c r="D381" s="11" t="str">
        <f t="shared" si="17"/>
        <v>4º GRUPO B</v>
      </c>
      <c r="E381" s="777" t="s">
        <v>1375</v>
      </c>
      <c r="F381" s="777" t="s">
        <v>1501</v>
      </c>
      <c r="G381" s="777" t="s">
        <v>52</v>
      </c>
      <c r="H381" s="777" t="s">
        <v>384</v>
      </c>
      <c r="I381" s="11"/>
    </row>
    <row r="382" spans="1:9" x14ac:dyDescent="0.2">
      <c r="A382" s="11"/>
      <c r="B382" s="11"/>
      <c r="C382" s="11"/>
      <c r="D382" s="11" t="str">
        <f t="shared" si="17"/>
        <v>1º GRUPO C</v>
      </c>
      <c r="E382" s="777" t="s">
        <v>1375</v>
      </c>
      <c r="F382" s="777" t="s">
        <v>1502</v>
      </c>
      <c r="G382" s="777" t="s">
        <v>53</v>
      </c>
      <c r="H382" s="777" t="s">
        <v>385</v>
      </c>
      <c r="I382" s="11"/>
    </row>
    <row r="383" spans="1:9" x14ac:dyDescent="0.2">
      <c r="A383" s="11"/>
      <c r="B383" s="11"/>
      <c r="C383" s="11"/>
      <c r="D383" s="11" t="str">
        <f t="shared" si="17"/>
        <v>2º GRUPO C</v>
      </c>
      <c r="E383" s="777" t="s">
        <v>1375</v>
      </c>
      <c r="F383" s="777" t="s">
        <v>1503</v>
      </c>
      <c r="G383" s="777" t="s">
        <v>54</v>
      </c>
      <c r="H383" s="777" t="s">
        <v>386</v>
      </c>
      <c r="I383" s="11"/>
    </row>
    <row r="384" spans="1:9" x14ac:dyDescent="0.2">
      <c r="A384" s="11"/>
      <c r="B384" s="11"/>
      <c r="C384" s="11"/>
      <c r="D384" s="11" t="str">
        <f t="shared" si="17"/>
        <v>3º GRUPO C</v>
      </c>
      <c r="E384" s="777" t="s">
        <v>1375</v>
      </c>
      <c r="F384" s="777" t="s">
        <v>1504</v>
      </c>
      <c r="G384" s="777" t="s">
        <v>55</v>
      </c>
      <c r="H384" s="777" t="s">
        <v>387</v>
      </c>
      <c r="I384" s="11"/>
    </row>
    <row r="385" spans="1:9" x14ac:dyDescent="0.2">
      <c r="A385" s="11"/>
      <c r="B385" s="11"/>
      <c r="C385" s="11"/>
      <c r="D385" s="11" t="str">
        <f t="shared" si="17"/>
        <v>4º GRUPO C</v>
      </c>
      <c r="E385" s="777" t="s">
        <v>1375</v>
      </c>
      <c r="F385" s="777" t="s">
        <v>1505</v>
      </c>
      <c r="G385" s="777" t="s">
        <v>56</v>
      </c>
      <c r="H385" s="777" t="s">
        <v>388</v>
      </c>
      <c r="I385" s="11"/>
    </row>
    <row r="386" spans="1:9" x14ac:dyDescent="0.2">
      <c r="A386" s="11"/>
      <c r="B386" s="11"/>
      <c r="C386" s="11"/>
      <c r="D386" s="11" t="str">
        <f t="shared" si="17"/>
        <v>1º GRUPO D</v>
      </c>
      <c r="E386" s="777" t="s">
        <v>1375</v>
      </c>
      <c r="F386" s="777" t="s">
        <v>1506</v>
      </c>
      <c r="G386" s="777" t="s">
        <v>96</v>
      </c>
      <c r="H386" s="777" t="s">
        <v>389</v>
      </c>
      <c r="I386" s="11"/>
    </row>
    <row r="387" spans="1:9" x14ac:dyDescent="0.2">
      <c r="A387" s="11"/>
      <c r="B387" s="11"/>
      <c r="C387" s="11"/>
      <c r="D387" s="11" t="str">
        <f t="shared" si="17"/>
        <v>2º GRUPO D</v>
      </c>
      <c r="E387" s="777" t="s">
        <v>1375</v>
      </c>
      <c r="F387" s="777" t="s">
        <v>1507</v>
      </c>
      <c r="G387" s="777" t="s">
        <v>97</v>
      </c>
      <c r="H387" s="777" t="s">
        <v>390</v>
      </c>
      <c r="I387" s="11"/>
    </row>
    <row r="388" spans="1:9" x14ac:dyDescent="0.2">
      <c r="A388" s="11"/>
      <c r="B388" s="11"/>
      <c r="C388" s="11"/>
      <c r="D388" s="11" t="str">
        <f t="shared" si="17"/>
        <v>3º GRUPO D</v>
      </c>
      <c r="E388" s="777" t="s">
        <v>1375</v>
      </c>
      <c r="F388" s="777" t="s">
        <v>1508</v>
      </c>
      <c r="G388" s="777" t="s">
        <v>98</v>
      </c>
      <c r="H388" s="777" t="s">
        <v>391</v>
      </c>
      <c r="I388" s="11"/>
    </row>
    <row r="389" spans="1:9" x14ac:dyDescent="0.2">
      <c r="A389" s="11"/>
      <c r="B389" s="11"/>
      <c r="C389" s="11"/>
      <c r="D389" s="11" t="str">
        <f t="shared" si="17"/>
        <v>4º GRUPO D</v>
      </c>
      <c r="E389" s="777" t="s">
        <v>1375</v>
      </c>
      <c r="F389" s="777" t="s">
        <v>1509</v>
      </c>
      <c r="G389" s="777" t="s">
        <v>99</v>
      </c>
      <c r="H389" s="777" t="s">
        <v>392</v>
      </c>
      <c r="I389" s="11"/>
    </row>
    <row r="390" spans="1:9" x14ac:dyDescent="0.2">
      <c r="A390" s="11"/>
      <c r="B390" s="11"/>
      <c r="C390" s="11"/>
      <c r="D390" s="11" t="str">
        <f t="shared" si="17"/>
        <v>1º GRUPO E</v>
      </c>
      <c r="E390" s="777" t="s">
        <v>1375</v>
      </c>
      <c r="F390" s="777" t="s">
        <v>1510</v>
      </c>
      <c r="G390" s="777" t="s">
        <v>100</v>
      </c>
      <c r="H390" s="777" t="s">
        <v>393</v>
      </c>
      <c r="I390" s="11"/>
    </row>
    <row r="391" spans="1:9" x14ac:dyDescent="0.2">
      <c r="A391" s="11"/>
      <c r="B391" s="11"/>
      <c r="C391" s="11"/>
      <c r="D391" s="11" t="str">
        <f t="shared" si="17"/>
        <v>2º GRUPO E</v>
      </c>
      <c r="E391" s="777" t="s">
        <v>1375</v>
      </c>
      <c r="F391" s="777" t="s">
        <v>1511</v>
      </c>
      <c r="G391" s="777" t="s">
        <v>101</v>
      </c>
      <c r="H391" s="777" t="s">
        <v>394</v>
      </c>
      <c r="I391" s="11"/>
    </row>
    <row r="392" spans="1:9" x14ac:dyDescent="0.2">
      <c r="A392" s="11"/>
      <c r="B392" s="11"/>
      <c r="C392" s="11"/>
      <c r="D392" s="11" t="str">
        <f t="shared" si="17"/>
        <v>3º GRUPO E</v>
      </c>
      <c r="E392" s="777" t="s">
        <v>1375</v>
      </c>
      <c r="F392" s="777" t="s">
        <v>1512</v>
      </c>
      <c r="G392" s="777" t="s">
        <v>102</v>
      </c>
      <c r="H392" s="777" t="s">
        <v>395</v>
      </c>
      <c r="I392" s="11"/>
    </row>
    <row r="393" spans="1:9" x14ac:dyDescent="0.2">
      <c r="A393" s="11"/>
      <c r="B393" s="11"/>
      <c r="C393" s="11"/>
      <c r="D393" s="11" t="str">
        <f t="shared" si="17"/>
        <v>4º GRUPO E</v>
      </c>
      <c r="E393" s="777" t="s">
        <v>1375</v>
      </c>
      <c r="F393" s="777" t="s">
        <v>1513</v>
      </c>
      <c r="G393" s="777" t="s">
        <v>103</v>
      </c>
      <c r="H393" s="777" t="s">
        <v>396</v>
      </c>
      <c r="I393" s="11"/>
    </row>
    <row r="394" spans="1:9" x14ac:dyDescent="0.2">
      <c r="A394" s="11"/>
      <c r="B394" s="11"/>
      <c r="C394" s="11"/>
      <c r="D394" s="11" t="str">
        <f t="shared" si="17"/>
        <v>1º GRUPO F</v>
      </c>
      <c r="E394" s="777" t="s">
        <v>1375</v>
      </c>
      <c r="F394" s="777" t="s">
        <v>1514</v>
      </c>
      <c r="G394" s="777" t="s">
        <v>104</v>
      </c>
      <c r="H394" s="777" t="s">
        <v>397</v>
      </c>
      <c r="I394" s="11"/>
    </row>
    <row r="395" spans="1:9" x14ac:dyDescent="0.2">
      <c r="A395" s="11"/>
      <c r="B395" s="11"/>
      <c r="C395" s="11"/>
      <c r="D395" s="11" t="str">
        <f t="shared" si="17"/>
        <v>2º GRUPO F</v>
      </c>
      <c r="E395" s="777" t="s">
        <v>1375</v>
      </c>
      <c r="F395" s="777" t="s">
        <v>1515</v>
      </c>
      <c r="G395" s="777" t="s">
        <v>105</v>
      </c>
      <c r="H395" s="777" t="s">
        <v>398</v>
      </c>
      <c r="I395" s="11"/>
    </row>
    <row r="396" spans="1:9" x14ac:dyDescent="0.2">
      <c r="A396" s="11"/>
      <c r="B396" s="11"/>
      <c r="C396" s="11"/>
      <c r="D396" s="11" t="str">
        <f t="shared" si="17"/>
        <v>3º GRUPO F</v>
      </c>
      <c r="E396" s="777" t="s">
        <v>1375</v>
      </c>
      <c r="F396" s="777"/>
      <c r="G396" s="777" t="s">
        <v>106</v>
      </c>
      <c r="H396" s="777" t="s">
        <v>399</v>
      </c>
      <c r="I396" s="11"/>
    </row>
    <row r="397" spans="1:9" x14ac:dyDescent="0.2">
      <c r="A397" s="11"/>
      <c r="B397" s="11"/>
      <c r="C397" s="11"/>
      <c r="D397" s="11" t="str">
        <f t="shared" si="17"/>
        <v>4º GRUPO F</v>
      </c>
      <c r="E397" s="777" t="s">
        <v>1375</v>
      </c>
      <c r="F397" s="777"/>
      <c r="G397" s="777" t="s">
        <v>107</v>
      </c>
      <c r="H397" s="777" t="s">
        <v>400</v>
      </c>
      <c r="I397" s="11"/>
    </row>
    <row r="398" spans="1:9" x14ac:dyDescent="0.2">
      <c r="A398" s="11"/>
      <c r="B398" s="11"/>
      <c r="C398" s="11"/>
      <c r="D398" s="11" t="str">
        <f t="shared" si="17"/>
        <v>1º GRUPO G</v>
      </c>
      <c r="E398" s="777" t="s">
        <v>1375</v>
      </c>
      <c r="F398" s="777"/>
      <c r="G398" s="777" t="s">
        <v>516</v>
      </c>
      <c r="H398" s="777" t="s">
        <v>520</v>
      </c>
      <c r="I398" s="11"/>
    </row>
    <row r="399" spans="1:9" x14ac:dyDescent="0.2">
      <c r="A399" s="11"/>
      <c r="B399" s="11"/>
      <c r="C399" s="11"/>
      <c r="D399" s="11" t="str">
        <f t="shared" si="17"/>
        <v>2º GRUPO G</v>
      </c>
      <c r="E399" s="777" t="s">
        <v>1375</v>
      </c>
      <c r="F399" s="777"/>
      <c r="G399" s="777" t="s">
        <v>517</v>
      </c>
      <c r="H399" s="777" t="s">
        <v>521</v>
      </c>
      <c r="I399" s="11"/>
    </row>
    <row r="400" spans="1:9" x14ac:dyDescent="0.2">
      <c r="A400" s="11"/>
      <c r="B400" s="11"/>
      <c r="C400" s="11"/>
      <c r="D400" s="11" t="str">
        <f t="shared" si="17"/>
        <v>3º GRUPO G</v>
      </c>
      <c r="E400" s="777" t="s">
        <v>1375</v>
      </c>
      <c r="F400" s="777"/>
      <c r="G400" s="777" t="s">
        <v>518</v>
      </c>
      <c r="H400" s="777" t="s">
        <v>522</v>
      </c>
      <c r="I400" s="11"/>
    </row>
    <row r="401" spans="1:9" x14ac:dyDescent="0.2">
      <c r="A401" s="11"/>
      <c r="B401" s="11"/>
      <c r="C401" s="11"/>
      <c r="D401" s="11" t="str">
        <f t="shared" si="17"/>
        <v>4º GRUPO G</v>
      </c>
      <c r="E401" s="777" t="s">
        <v>1375</v>
      </c>
      <c r="F401" s="777"/>
      <c r="G401" s="777" t="s">
        <v>519</v>
      </c>
      <c r="H401" s="777" t="s">
        <v>523</v>
      </c>
      <c r="I401" s="11"/>
    </row>
    <row r="402" spans="1:9" x14ac:dyDescent="0.2">
      <c r="A402" s="11"/>
      <c r="B402" s="11"/>
      <c r="C402" s="11"/>
      <c r="D402" s="11" t="str">
        <f t="shared" si="17"/>
        <v>1º GRUPO H</v>
      </c>
      <c r="E402" s="777" t="s">
        <v>1375</v>
      </c>
      <c r="F402" s="777"/>
      <c r="G402" s="777" t="s">
        <v>524</v>
      </c>
      <c r="H402" s="777" t="s">
        <v>528</v>
      </c>
      <c r="I402" s="11"/>
    </row>
    <row r="403" spans="1:9" x14ac:dyDescent="0.2">
      <c r="A403" s="11"/>
      <c r="B403" s="11"/>
      <c r="C403" s="11"/>
      <c r="D403" s="11" t="str">
        <f t="shared" si="17"/>
        <v>2º GRUPO H</v>
      </c>
      <c r="E403" s="777" t="s">
        <v>1375</v>
      </c>
      <c r="F403" s="11"/>
      <c r="G403" s="777" t="s">
        <v>525</v>
      </c>
      <c r="H403" s="777" t="s">
        <v>529</v>
      </c>
      <c r="I403" s="11"/>
    </row>
    <row r="404" spans="1:9" x14ac:dyDescent="0.2">
      <c r="A404" s="11"/>
      <c r="B404" s="11"/>
      <c r="C404" s="11"/>
      <c r="D404" s="11" t="str">
        <f t="shared" si="17"/>
        <v>3º GRUPO H</v>
      </c>
      <c r="E404" s="777" t="s">
        <v>1375</v>
      </c>
      <c r="F404" s="11"/>
      <c r="G404" s="777" t="s">
        <v>526</v>
      </c>
      <c r="H404" s="777" t="s">
        <v>530</v>
      </c>
      <c r="I404" s="11"/>
    </row>
    <row r="405" spans="1:9" x14ac:dyDescent="0.2">
      <c r="A405" s="11"/>
      <c r="B405" s="11"/>
      <c r="C405" s="11"/>
      <c r="D405" s="11" t="str">
        <f t="shared" si="17"/>
        <v>4º GRUPO H</v>
      </c>
      <c r="E405" s="777" t="s">
        <v>1375</v>
      </c>
      <c r="F405" s="11"/>
      <c r="G405" s="777" t="s">
        <v>527</v>
      </c>
      <c r="H405" s="777" t="s">
        <v>531</v>
      </c>
      <c r="I405" s="11"/>
    </row>
    <row r="406" spans="1:9" x14ac:dyDescent="0.2">
      <c r="A406" s="11"/>
      <c r="B406" s="11"/>
      <c r="C406" s="11"/>
      <c r="D406" s="11" t="str">
        <f t="shared" si="17"/>
        <v>1º GRUPO I</v>
      </c>
      <c r="E406" s="777" t="s">
        <v>1375</v>
      </c>
      <c r="F406" s="11"/>
      <c r="G406" s="777" t="s">
        <v>532</v>
      </c>
      <c r="H406" s="777" t="s">
        <v>536</v>
      </c>
      <c r="I406" s="11"/>
    </row>
    <row r="407" spans="1:9" x14ac:dyDescent="0.2">
      <c r="A407" s="11"/>
      <c r="B407" s="11"/>
      <c r="C407" s="11"/>
      <c r="D407" s="11" t="str">
        <f t="shared" si="17"/>
        <v>2º GRUPO I</v>
      </c>
      <c r="E407" s="777" t="s">
        <v>1375</v>
      </c>
      <c r="F407" s="11"/>
      <c r="G407" s="777" t="s">
        <v>533</v>
      </c>
      <c r="H407" s="777" t="s">
        <v>537</v>
      </c>
      <c r="I407" s="11"/>
    </row>
    <row r="408" spans="1:9" x14ac:dyDescent="0.2">
      <c r="A408" s="11"/>
      <c r="B408" s="11"/>
      <c r="C408" s="11"/>
      <c r="D408" s="11" t="str">
        <f t="shared" si="17"/>
        <v>3º GRUPO I</v>
      </c>
      <c r="E408" s="777" t="s">
        <v>1375</v>
      </c>
      <c r="F408" s="11"/>
      <c r="G408" s="777" t="s">
        <v>534</v>
      </c>
      <c r="H408" s="777" t="s">
        <v>538</v>
      </c>
      <c r="I408" s="11"/>
    </row>
    <row r="409" spans="1:9" x14ac:dyDescent="0.2">
      <c r="A409" s="11"/>
      <c r="B409" s="11"/>
      <c r="C409" s="11"/>
      <c r="D409" s="11" t="str">
        <f t="shared" si="17"/>
        <v>4º GRUPO I</v>
      </c>
      <c r="E409" s="777" t="s">
        <v>1375</v>
      </c>
      <c r="F409" s="11"/>
      <c r="G409" s="777" t="s">
        <v>535</v>
      </c>
      <c r="H409" s="777" t="s">
        <v>539</v>
      </c>
      <c r="I409" s="11"/>
    </row>
    <row r="410" spans="1:9" x14ac:dyDescent="0.2">
      <c r="A410" s="11"/>
      <c r="B410" s="11"/>
      <c r="C410" s="11"/>
      <c r="D410" s="11" t="str">
        <f t="shared" si="17"/>
        <v>1º GRUPO J</v>
      </c>
      <c r="E410" s="777" t="s">
        <v>1375</v>
      </c>
      <c r="F410" s="11"/>
      <c r="G410" s="777" t="s">
        <v>540</v>
      </c>
      <c r="H410" s="777" t="s">
        <v>544</v>
      </c>
      <c r="I410" s="11"/>
    </row>
    <row r="411" spans="1:9" x14ac:dyDescent="0.2">
      <c r="A411" s="11"/>
      <c r="B411" s="11"/>
      <c r="C411" s="11"/>
      <c r="D411" s="11" t="str">
        <f t="shared" si="17"/>
        <v>2º GRUPO J</v>
      </c>
      <c r="E411" s="777" t="s">
        <v>1375</v>
      </c>
      <c r="F411" s="11"/>
      <c r="G411" s="777" t="s">
        <v>541</v>
      </c>
      <c r="H411" s="777" t="s">
        <v>545</v>
      </c>
      <c r="I411" s="11"/>
    </row>
    <row r="412" spans="1:9" x14ac:dyDescent="0.2">
      <c r="A412" s="11"/>
      <c r="B412" s="11"/>
      <c r="C412" s="11"/>
      <c r="D412" s="11" t="str">
        <f t="shared" si="17"/>
        <v>3º GRUPO J</v>
      </c>
      <c r="E412" s="777" t="s">
        <v>1375</v>
      </c>
      <c r="F412" s="11"/>
      <c r="G412" s="777" t="s">
        <v>542</v>
      </c>
      <c r="H412" s="777" t="s">
        <v>546</v>
      </c>
      <c r="I412" s="11"/>
    </row>
    <row r="413" spans="1:9" x14ac:dyDescent="0.2">
      <c r="A413" s="11"/>
      <c r="B413" s="11"/>
      <c r="C413" s="11"/>
      <c r="D413" s="11" t="str">
        <f t="shared" si="17"/>
        <v>4º GRUPO J</v>
      </c>
      <c r="E413" s="777" t="s">
        <v>1375</v>
      </c>
      <c r="F413" s="11"/>
      <c r="G413" s="777" t="s">
        <v>543</v>
      </c>
      <c r="H413" s="777" t="s">
        <v>547</v>
      </c>
      <c r="I413" s="11"/>
    </row>
    <row r="414" spans="1:9" x14ac:dyDescent="0.2">
      <c r="A414" s="11"/>
      <c r="B414" s="11"/>
      <c r="C414" s="11"/>
      <c r="D414" s="11" t="str">
        <f t="shared" si="17"/>
        <v>1º GRUPO K</v>
      </c>
      <c r="E414" s="777" t="s">
        <v>1375</v>
      </c>
      <c r="F414" s="11"/>
      <c r="G414" s="777" t="s">
        <v>548</v>
      </c>
      <c r="H414" s="777" t="s">
        <v>552</v>
      </c>
      <c r="I414" s="11"/>
    </row>
    <row r="415" spans="1:9" x14ac:dyDescent="0.2">
      <c r="A415" s="11"/>
      <c r="B415" s="11"/>
      <c r="C415" s="11"/>
      <c r="D415" s="11" t="str">
        <f t="shared" si="17"/>
        <v>2º GRUPO K</v>
      </c>
      <c r="E415" s="777" t="s">
        <v>1375</v>
      </c>
      <c r="F415" s="11"/>
      <c r="G415" s="777" t="s">
        <v>549</v>
      </c>
      <c r="H415" s="777" t="s">
        <v>553</v>
      </c>
      <c r="I415" s="11"/>
    </row>
    <row r="416" spans="1:9" x14ac:dyDescent="0.2">
      <c r="A416" s="11"/>
      <c r="B416" s="11"/>
      <c r="C416" s="11"/>
      <c r="D416" s="11" t="str">
        <f t="shared" si="17"/>
        <v>3º GRUPO K</v>
      </c>
      <c r="E416" s="777" t="s">
        <v>1375</v>
      </c>
      <c r="F416" s="11"/>
      <c r="G416" s="777" t="s">
        <v>550</v>
      </c>
      <c r="H416" s="777" t="s">
        <v>554</v>
      </c>
      <c r="I416" s="11"/>
    </row>
    <row r="417" spans="1:9" x14ac:dyDescent="0.2">
      <c r="A417" s="11"/>
      <c r="B417" s="11"/>
      <c r="C417" s="11"/>
      <c r="D417" s="11" t="str">
        <f t="shared" si="17"/>
        <v>4º GRUPO K</v>
      </c>
      <c r="E417" s="777" t="s">
        <v>1375</v>
      </c>
      <c r="F417" s="11"/>
      <c r="G417" s="777" t="s">
        <v>551</v>
      </c>
      <c r="H417" s="777" t="s">
        <v>555</v>
      </c>
      <c r="I417" s="11"/>
    </row>
    <row r="418" spans="1:9" x14ac:dyDescent="0.2">
      <c r="A418" s="11"/>
      <c r="B418" s="11"/>
      <c r="C418" s="11"/>
      <c r="D418" s="11" t="str">
        <f t="shared" si="17"/>
        <v>1º GRUPO L</v>
      </c>
      <c r="E418" s="777" t="s">
        <v>1375</v>
      </c>
      <c r="F418" s="11"/>
      <c r="G418" s="777" t="s">
        <v>556</v>
      </c>
      <c r="H418" s="777" t="s">
        <v>560</v>
      </c>
      <c r="I418" s="11"/>
    </row>
    <row r="419" spans="1:9" x14ac:dyDescent="0.2">
      <c r="A419" s="11"/>
      <c r="B419" s="11"/>
      <c r="C419" s="11"/>
      <c r="D419" s="11" t="str">
        <f t="shared" si="17"/>
        <v>2º GRUPO L</v>
      </c>
      <c r="E419" s="777" t="s">
        <v>1375</v>
      </c>
      <c r="F419" s="11"/>
      <c r="G419" s="777" t="s">
        <v>557</v>
      </c>
      <c r="H419" s="777" t="s">
        <v>561</v>
      </c>
      <c r="I419" s="11"/>
    </row>
    <row r="420" spans="1:9" x14ac:dyDescent="0.2">
      <c r="A420" s="11"/>
      <c r="B420" s="11"/>
      <c r="C420" s="11"/>
      <c r="D420" s="11" t="str">
        <f t="shared" si="17"/>
        <v>3º GRUPO L</v>
      </c>
      <c r="E420" s="777" t="s">
        <v>1375</v>
      </c>
      <c r="F420" s="11"/>
      <c r="G420" s="777" t="s">
        <v>558</v>
      </c>
      <c r="H420" s="777" t="s">
        <v>562</v>
      </c>
      <c r="I420" s="11"/>
    </row>
    <row r="421" spans="1:9" x14ac:dyDescent="0.2">
      <c r="A421" s="11"/>
      <c r="B421" s="11"/>
      <c r="C421" s="11"/>
      <c r="D421" s="11" t="str">
        <f t="shared" si="17"/>
        <v>4º GRUPO L</v>
      </c>
      <c r="E421" s="777" t="s">
        <v>1375</v>
      </c>
      <c r="F421" s="11"/>
      <c r="G421" s="777" t="s">
        <v>559</v>
      </c>
      <c r="H421" s="777" t="s">
        <v>563</v>
      </c>
      <c r="I421" s="11"/>
    </row>
    <row r="422" spans="1:9" x14ac:dyDescent="0.2">
      <c r="A422" s="11"/>
      <c r="B422" s="11"/>
      <c r="C422" s="11"/>
      <c r="D422" s="11" t="str">
        <f t="shared" si="17"/>
        <v>Dieciseisavofinalista</v>
      </c>
      <c r="E422" s="777" t="s">
        <v>1375</v>
      </c>
      <c r="F422" s="11"/>
      <c r="G422" s="777" t="s">
        <v>566</v>
      </c>
      <c r="H422" s="777" t="s">
        <v>567</v>
      </c>
      <c r="I422" s="11"/>
    </row>
    <row r="423" spans="1:9" x14ac:dyDescent="0.2">
      <c r="A423" s="11"/>
      <c r="B423" s="11"/>
      <c r="C423" s="11"/>
      <c r="D423" s="11" t="str">
        <f t="shared" si="17"/>
        <v>Octavofinalista</v>
      </c>
      <c r="E423" s="777" t="s">
        <v>1375</v>
      </c>
      <c r="F423" s="11"/>
      <c r="G423" s="777" t="s">
        <v>1296</v>
      </c>
      <c r="H423" s="777" t="s">
        <v>401</v>
      </c>
      <c r="I423" s="11"/>
    </row>
    <row r="424" spans="1:9" x14ac:dyDescent="0.2">
      <c r="A424" s="11"/>
      <c r="B424" s="11"/>
      <c r="C424" s="11"/>
      <c r="D424" s="11" t="str">
        <f t="shared" ref="D424:D446" si="18">IF($B$2,G424,H424)</f>
        <v>Cuartofinalista</v>
      </c>
      <c r="E424" s="777" t="s">
        <v>1375</v>
      </c>
      <c r="F424" s="11"/>
      <c r="G424" s="777" t="s">
        <v>58</v>
      </c>
      <c r="H424" s="777" t="s">
        <v>402</v>
      </c>
      <c r="I424" s="11"/>
    </row>
    <row r="425" spans="1:9" x14ac:dyDescent="0.2">
      <c r="A425" s="11"/>
      <c r="B425" s="11"/>
      <c r="C425" s="11"/>
      <c r="D425" s="11" t="str">
        <f t="shared" si="18"/>
        <v>Semifinalista</v>
      </c>
      <c r="E425" s="777" t="s">
        <v>1375</v>
      </c>
      <c r="F425" s="11"/>
      <c r="G425" s="777" t="s">
        <v>61</v>
      </c>
      <c r="H425" s="777" t="s">
        <v>403</v>
      </c>
      <c r="I425" s="11"/>
    </row>
    <row r="426" spans="1:9" x14ac:dyDescent="0.2">
      <c r="A426" s="11"/>
      <c r="B426" s="11"/>
      <c r="C426" s="11"/>
      <c r="D426" s="11" t="str">
        <f t="shared" si="18"/>
        <v>3º y 4º puesto</v>
      </c>
      <c r="E426" s="777" t="s">
        <v>1375</v>
      </c>
      <c r="F426" s="11"/>
      <c r="G426" s="777" t="s">
        <v>491</v>
      </c>
      <c r="H426" s="777" t="s">
        <v>492</v>
      </c>
      <c r="I426" s="11"/>
    </row>
    <row r="427" spans="1:9" x14ac:dyDescent="0.2">
      <c r="A427" s="11"/>
      <c r="B427" s="11"/>
      <c r="C427" s="11"/>
      <c r="D427" s="11" t="str">
        <f t="shared" si="18"/>
        <v>Finalista</v>
      </c>
      <c r="E427" s="777" t="s">
        <v>1375</v>
      </c>
      <c r="F427" s="11"/>
      <c r="G427" s="777" t="s">
        <v>64</v>
      </c>
      <c r="H427" s="777" t="s">
        <v>404</v>
      </c>
      <c r="I427" s="11"/>
    </row>
    <row r="428" spans="1:9" x14ac:dyDescent="0.2">
      <c r="A428" s="11"/>
      <c r="B428" s="11"/>
      <c r="C428" s="11"/>
      <c r="D428" s="11" t="str">
        <f t="shared" si="18"/>
        <v>J1</v>
      </c>
      <c r="E428" s="777" t="s">
        <v>1375</v>
      </c>
      <c r="F428" s="11"/>
      <c r="G428" s="777" t="s">
        <v>26</v>
      </c>
      <c r="H428" s="777" t="s">
        <v>273</v>
      </c>
      <c r="I428" s="11"/>
    </row>
    <row r="429" spans="1:9" x14ac:dyDescent="0.2">
      <c r="A429" s="11"/>
      <c r="B429" s="11"/>
      <c r="C429" s="11"/>
      <c r="D429" s="11" t="str">
        <f t="shared" si="18"/>
        <v>J2</v>
      </c>
      <c r="E429" s="777" t="s">
        <v>1375</v>
      </c>
      <c r="F429" s="11"/>
      <c r="G429" s="777" t="s">
        <v>27</v>
      </c>
      <c r="H429" s="777" t="s">
        <v>274</v>
      </c>
      <c r="I429" s="11"/>
    </row>
    <row r="430" spans="1:9" x14ac:dyDescent="0.2">
      <c r="A430" s="11"/>
      <c r="B430" s="11"/>
      <c r="C430" s="11"/>
      <c r="D430" s="11" t="str">
        <f t="shared" si="18"/>
        <v>J3</v>
      </c>
      <c r="E430" s="777" t="s">
        <v>1375</v>
      </c>
      <c r="F430" s="11"/>
      <c r="G430" s="777" t="s">
        <v>28</v>
      </c>
      <c r="H430" s="777" t="s">
        <v>275</v>
      </c>
      <c r="I430" s="11"/>
    </row>
    <row r="431" spans="1:9" x14ac:dyDescent="0.2">
      <c r="A431" s="11"/>
      <c r="B431" s="11"/>
      <c r="C431" s="11"/>
      <c r="D431" s="11" t="str">
        <f t="shared" si="18"/>
        <v>Sistema de puntuación</v>
      </c>
      <c r="E431" s="777" t="s">
        <v>1375</v>
      </c>
      <c r="F431" s="11"/>
      <c r="G431" s="777" t="s">
        <v>1936</v>
      </c>
      <c r="H431" s="777" t="s">
        <v>1937</v>
      </c>
      <c r="I431" s="11"/>
    </row>
    <row r="432" spans="1:9" x14ac:dyDescent="0.2">
      <c r="A432" s="11"/>
      <c r="B432" s="11"/>
      <c r="C432" s="11"/>
      <c r="D432" s="11">
        <f t="shared" si="18"/>
        <v>0</v>
      </c>
      <c r="E432" s="777" t="s">
        <v>1375</v>
      </c>
      <c r="F432" s="11"/>
      <c r="G432" s="777"/>
      <c r="H432" s="777"/>
      <c r="I432" s="11"/>
    </row>
    <row r="433" spans="1:9" x14ac:dyDescent="0.2">
      <c r="A433" s="11"/>
      <c r="B433" s="11"/>
      <c r="C433" s="11"/>
      <c r="D433" s="11" t="str">
        <f t="shared" si="18"/>
        <v>PREDICTOR - Campeón</v>
      </c>
      <c r="E433" s="777" t="s">
        <v>1375</v>
      </c>
      <c r="F433" s="11"/>
      <c r="G433" s="777" t="s">
        <v>1530</v>
      </c>
      <c r="H433" s="777" t="s">
        <v>1531</v>
      </c>
      <c r="I433" s="11"/>
    </row>
    <row r="434" spans="1:9" x14ac:dyDescent="0.2">
      <c r="A434" s="11"/>
      <c r="B434" s="11"/>
      <c r="C434" s="11"/>
      <c r="D434" s="11" t="str">
        <f t="shared" si="18"/>
        <v>PREDICTOR - Subcampeón</v>
      </c>
      <c r="E434" s="777" t="s">
        <v>1375</v>
      </c>
      <c r="F434" s="11"/>
      <c r="G434" s="777" t="s">
        <v>1581</v>
      </c>
      <c r="H434" s="777" t="s">
        <v>1582</v>
      </c>
      <c r="I434" s="11"/>
    </row>
    <row r="435" spans="1:9" x14ac:dyDescent="0.2">
      <c r="A435" s="11"/>
      <c r="B435" s="11"/>
      <c r="C435" s="11"/>
      <c r="D435" s="11" t="str">
        <f t="shared" ref="D435" si="19">IF($B$2,G435,H435)</f>
        <v>PREDICTOR- 3º puesto</v>
      </c>
      <c r="E435" s="777" t="s">
        <v>1375</v>
      </c>
      <c r="F435" s="11"/>
      <c r="G435" s="777" t="s">
        <v>1579</v>
      </c>
      <c r="H435" s="777" t="s">
        <v>1580</v>
      </c>
      <c r="I435" s="11"/>
    </row>
    <row r="436" spans="1:9" x14ac:dyDescent="0.2">
      <c r="A436" s="11"/>
      <c r="B436" s="11"/>
      <c r="C436" s="11"/>
      <c r="D436" s="11" t="str">
        <f t="shared" si="18"/>
        <v>PREDICTOR - Semifinales</v>
      </c>
      <c r="E436" s="777" t="s">
        <v>1375</v>
      </c>
      <c r="F436" s="11"/>
      <c r="G436" s="777" t="s">
        <v>1532</v>
      </c>
      <c r="H436" s="777" t="s">
        <v>1533</v>
      </c>
      <c r="I436" s="11"/>
    </row>
    <row r="437" spans="1:9" x14ac:dyDescent="0.2">
      <c r="A437" s="11"/>
      <c r="B437" s="11"/>
      <c r="C437" s="11"/>
      <c r="D437" s="11" t="str">
        <f t="shared" si="18"/>
        <v>PREDICTOR - Cuartos de final</v>
      </c>
      <c r="E437" s="777" t="s">
        <v>1375</v>
      </c>
      <c r="F437" s="11"/>
      <c r="G437" s="777" t="s">
        <v>1534</v>
      </c>
      <c r="H437" s="777" t="s">
        <v>1535</v>
      </c>
      <c r="I437" s="11"/>
    </row>
    <row r="438" spans="1:9" x14ac:dyDescent="0.2">
      <c r="A438" s="11"/>
      <c r="B438" s="11"/>
      <c r="C438" s="11"/>
      <c r="D438" s="11" t="str">
        <f t="shared" si="18"/>
        <v>PREDICTOR - Octavos de final</v>
      </c>
      <c r="E438" s="777" t="s">
        <v>1375</v>
      </c>
      <c r="F438" s="11"/>
      <c r="G438" s="777" t="s">
        <v>1536</v>
      </c>
      <c r="H438" s="777" t="s">
        <v>1537</v>
      </c>
      <c r="I438" s="11"/>
    </row>
    <row r="439" spans="1:9" x14ac:dyDescent="0.2">
      <c r="A439" s="11"/>
      <c r="B439" s="11"/>
      <c r="C439" s="11"/>
      <c r="D439" s="11" t="str">
        <f t="shared" si="18"/>
        <v>PREDICTOR - Dieciseisavos de final</v>
      </c>
      <c r="E439" s="777" t="s">
        <v>1375</v>
      </c>
      <c r="F439" s="11"/>
      <c r="G439" s="777" t="s">
        <v>1573</v>
      </c>
      <c r="H439" s="777" t="s">
        <v>1574</v>
      </c>
      <c r="I439" s="11"/>
    </row>
    <row r="440" spans="1:9" x14ac:dyDescent="0.2">
      <c r="A440" s="11"/>
      <c r="B440" s="11"/>
      <c r="C440" s="11"/>
      <c r="D440" s="11" t="str">
        <f t="shared" si="18"/>
        <v>PREDICTOR- Fase de Liga</v>
      </c>
      <c r="E440" s="777" t="s">
        <v>1375</v>
      </c>
      <c r="F440" s="11"/>
      <c r="G440" s="777" t="s">
        <v>1538</v>
      </c>
      <c r="H440" s="777" t="s">
        <v>1539</v>
      </c>
      <c r="I440" s="11"/>
    </row>
    <row r="441" spans="1:9" x14ac:dyDescent="0.2">
      <c r="A441" s="11"/>
      <c r="B441" s="11"/>
      <c r="C441" s="11"/>
      <c r="D441" s="11" t="str">
        <f t="shared" si="18"/>
        <v>% Ajuste por desvío en Diferencia/Distancia de goles</v>
      </c>
      <c r="E441" s="777" t="s">
        <v>1375</v>
      </c>
      <c r="F441" s="11"/>
      <c r="G441" s="777" t="s">
        <v>1739</v>
      </c>
      <c r="H441" s="777" t="s">
        <v>1776</v>
      </c>
      <c r="I441" s="11"/>
    </row>
    <row r="442" spans="1:9" x14ac:dyDescent="0.2">
      <c r="A442" s="11"/>
      <c r="B442" s="11"/>
      <c r="C442" s="11"/>
      <c r="D442" s="11" t="str">
        <f t="shared" si="18"/>
        <v>None</v>
      </c>
      <c r="E442" s="777" t="s">
        <v>1449</v>
      </c>
      <c r="F442" s="11"/>
      <c r="G442" s="777" t="s">
        <v>1927</v>
      </c>
      <c r="H442" s="11" t="s">
        <v>1927</v>
      </c>
      <c r="I442" s="11"/>
    </row>
    <row r="443" spans="1:9" x14ac:dyDescent="0.2">
      <c r="A443" s="11"/>
      <c r="B443" s="11"/>
      <c r="C443" s="11"/>
      <c r="D443" s="11" t="str">
        <f t="shared" si="18"/>
        <v>**¿Qué es esto y cómo funciona?</v>
      </c>
      <c r="E443" s="777" t="s">
        <v>1375</v>
      </c>
      <c r="F443" s="11"/>
      <c r="G443" s="777" t="s">
        <v>1826</v>
      </c>
      <c r="H443" s="777" t="s">
        <v>1827</v>
      </c>
      <c r="I443" s="11"/>
    </row>
    <row r="444" spans="1:9" x14ac:dyDescent="0.2">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x14ac:dyDescent="0.2">
      <c r="A445" s="11"/>
      <c r="B445" s="11"/>
      <c r="C445" s="11"/>
      <c r="D445" s="11" t="str">
        <f t="shared" si="18"/>
        <v>?</v>
      </c>
      <c r="E445" s="777" t="s">
        <v>1375</v>
      </c>
      <c r="F445" s="11"/>
      <c r="G445" s="777" t="s">
        <v>1831</v>
      </c>
      <c r="H445" s="777" t="s">
        <v>1831</v>
      </c>
      <c r="I445" s="11"/>
    </row>
    <row r="446" spans="1:9" x14ac:dyDescent="0.2">
      <c r="A446" s="11"/>
      <c r="B446" s="11"/>
      <c r="C446" s="11"/>
      <c r="D446" s="11" t="str">
        <f t="shared" si="18"/>
        <v>https://matejero.es/puntuaciones-excel-mundial-2026/#%C2%BFQue_es_un_BONUS</v>
      </c>
      <c r="E446" s="777" t="s">
        <v>1375</v>
      </c>
      <c r="F446" s="11"/>
      <c r="G446" s="779" t="s">
        <v>1832</v>
      </c>
      <c r="H446" s="779" t="s">
        <v>1928</v>
      </c>
      <c r="I446" s="11"/>
    </row>
    <row r="447" spans="1:9" x14ac:dyDescent="0.2">
      <c r="A447" s="11"/>
      <c r="B447" s="11"/>
      <c r="C447" s="11"/>
      <c r="D447" s="11"/>
      <c r="E447" s="777"/>
      <c r="F447" s="11"/>
      <c r="G447" s="778"/>
      <c r="H447" s="778"/>
      <c r="I447" s="11"/>
    </row>
    <row r="448" spans="1:9" x14ac:dyDescent="0.2">
      <c r="A448" s="11"/>
      <c r="B448" s="11"/>
      <c r="C448" s="11"/>
      <c r="D448" s="11"/>
      <c r="E448" s="777"/>
      <c r="F448" s="11"/>
      <c r="G448" s="778"/>
      <c r="H448" s="778"/>
      <c r="I448" s="11"/>
    </row>
    <row r="449" spans="1:9" x14ac:dyDescent="0.2">
      <c r="A449" s="11"/>
      <c r="B449" s="11"/>
      <c r="C449" s="11"/>
      <c r="D449" s="11"/>
      <c r="E449" s="11"/>
      <c r="F449" s="11"/>
      <c r="G449" s="11"/>
      <c r="H449" s="11"/>
      <c r="I449" s="11"/>
    </row>
    <row r="450" spans="1:9" x14ac:dyDescent="0.2">
      <c r="A450" s="11"/>
      <c r="B450" s="11"/>
      <c r="C450" s="11"/>
      <c r="D450" s="11"/>
      <c r="E450" s="11"/>
      <c r="F450" s="11"/>
      <c r="G450" s="11"/>
      <c r="H450" s="11"/>
      <c r="I450" s="11"/>
    </row>
    <row r="451" spans="1:9" x14ac:dyDescent="0.2">
      <c r="A451" s="11"/>
      <c r="B451" s="11"/>
      <c r="C451" s="11"/>
      <c r="D451" s="11" t="str">
        <f t="shared" ref="D451:D470" si="20">IF($B$2,G451,H451)</f>
        <v>CLASIFICACIÓN MUNDIAL 2026</v>
      </c>
      <c r="E451" s="11" t="s">
        <v>1589</v>
      </c>
      <c r="F451" s="11" t="s">
        <v>1590</v>
      </c>
      <c r="G451" s="780" t="s">
        <v>1610</v>
      </c>
      <c r="H451" s="780" t="s">
        <v>1611</v>
      </c>
      <c r="I451" s="11"/>
    </row>
    <row r="452" spans="1:9" x14ac:dyDescent="0.2">
      <c r="A452" s="11"/>
      <c r="B452" s="11"/>
      <c r="C452" s="11"/>
      <c r="D452" s="11" t="str">
        <f t="shared" si="20"/>
        <v>Pos</v>
      </c>
      <c r="E452" s="11" t="s">
        <v>1589</v>
      </c>
      <c r="F452" s="11" t="s">
        <v>125</v>
      </c>
      <c r="G452" s="780" t="s">
        <v>14</v>
      </c>
      <c r="H452" s="780" t="s">
        <v>14</v>
      </c>
      <c r="I452" s="11"/>
    </row>
    <row r="453" spans="1:9" x14ac:dyDescent="0.2">
      <c r="A453" s="11"/>
      <c r="B453" s="11"/>
      <c r="C453" s="11"/>
      <c r="D453" s="11" t="str">
        <f t="shared" si="20"/>
        <v>Jugador</v>
      </c>
      <c r="E453" s="11" t="s">
        <v>1589</v>
      </c>
      <c r="F453" s="11" t="s">
        <v>126</v>
      </c>
      <c r="G453" s="780" t="s">
        <v>1591</v>
      </c>
      <c r="H453" s="780" t="s">
        <v>1592</v>
      </c>
      <c r="I453" s="11"/>
    </row>
    <row r="454" spans="1:9" x14ac:dyDescent="0.2">
      <c r="A454" s="11"/>
      <c r="B454" s="11"/>
      <c r="C454" s="11"/>
      <c r="D454" s="11" t="str">
        <f t="shared" si="20"/>
        <v>Puntos Totales</v>
      </c>
      <c r="E454" s="11" t="s">
        <v>1589</v>
      </c>
      <c r="F454" s="11" t="s">
        <v>127</v>
      </c>
      <c r="G454" s="780" t="s">
        <v>1593</v>
      </c>
      <c r="H454" s="780" t="s">
        <v>1594</v>
      </c>
      <c r="I454" s="11"/>
    </row>
    <row r="455" spans="1:9" x14ac:dyDescent="0.2">
      <c r="A455" s="11"/>
      <c r="B455" s="11"/>
      <c r="C455" s="11"/>
      <c r="D455" s="11" t="str">
        <f t="shared" si="20"/>
        <v>F. Grupos</v>
      </c>
      <c r="E455" s="11" t="s">
        <v>1589</v>
      </c>
      <c r="F455" s="11" t="s">
        <v>128</v>
      </c>
      <c r="G455" s="780" t="s">
        <v>1595</v>
      </c>
      <c r="H455" s="780" t="s">
        <v>1627</v>
      </c>
      <c r="I455" s="11"/>
    </row>
    <row r="456" spans="1:9" x14ac:dyDescent="0.2">
      <c r="A456" s="11"/>
      <c r="B456" s="11"/>
      <c r="C456" s="11"/>
      <c r="D456" s="11" t="str">
        <f t="shared" si="20"/>
        <v>Pos. Grupos</v>
      </c>
      <c r="E456" s="11" t="s">
        <v>1589</v>
      </c>
      <c r="F456" s="11" t="s">
        <v>129</v>
      </c>
      <c r="G456" s="780" t="s">
        <v>1596</v>
      </c>
      <c r="H456" s="780" t="s">
        <v>1628</v>
      </c>
      <c r="I456" s="11"/>
    </row>
    <row r="457" spans="1:9" x14ac:dyDescent="0.2">
      <c r="A457" s="11"/>
      <c r="B457" s="11"/>
      <c r="C457" s="11"/>
      <c r="D457" s="11" t="str">
        <f t="shared" ref="D457:D458" si="21">IF($B$2,G457,H457)</f>
        <v>Equipos 1/16</v>
      </c>
      <c r="E457" s="11" t="s">
        <v>1589</v>
      </c>
      <c r="F457" s="11" t="s">
        <v>180</v>
      </c>
      <c r="G457" s="780" t="s">
        <v>1612</v>
      </c>
      <c r="H457" s="780" t="s">
        <v>1617</v>
      </c>
      <c r="I457" s="11"/>
    </row>
    <row r="458" spans="1:9" x14ac:dyDescent="0.2">
      <c r="A458" s="11"/>
      <c r="B458" s="11"/>
      <c r="C458" s="11"/>
      <c r="D458" s="11" t="str">
        <f t="shared" si="21"/>
        <v>Partidos 1/16</v>
      </c>
      <c r="E458" s="11" t="s">
        <v>1589</v>
      </c>
      <c r="F458" s="11" t="s">
        <v>181</v>
      </c>
      <c r="G458" s="780" t="s">
        <v>1613</v>
      </c>
      <c r="H458" s="780" t="s">
        <v>1614</v>
      </c>
      <c r="I458" s="11"/>
    </row>
    <row r="459" spans="1:9" x14ac:dyDescent="0.2">
      <c r="A459" s="11"/>
      <c r="B459" s="11"/>
      <c r="C459" s="11"/>
      <c r="D459" s="11" t="str">
        <f t="shared" si="20"/>
        <v>Equipos 1/8</v>
      </c>
      <c r="E459" s="11" t="s">
        <v>1589</v>
      </c>
      <c r="F459" s="11" t="s">
        <v>180</v>
      </c>
      <c r="G459" s="780" t="s">
        <v>1597</v>
      </c>
      <c r="H459" s="780" t="s">
        <v>1618</v>
      </c>
      <c r="I459" s="11"/>
    </row>
    <row r="460" spans="1:9" x14ac:dyDescent="0.2">
      <c r="A460" s="11"/>
      <c r="B460" s="11"/>
      <c r="C460" s="11"/>
      <c r="D460" s="11" t="str">
        <f t="shared" si="20"/>
        <v>Partidos 1/8</v>
      </c>
      <c r="E460" s="11" t="s">
        <v>1589</v>
      </c>
      <c r="F460" s="11" t="s">
        <v>181</v>
      </c>
      <c r="G460" s="780" t="s">
        <v>1598</v>
      </c>
      <c r="H460" s="780" t="s">
        <v>1599</v>
      </c>
      <c r="I460" s="11"/>
    </row>
    <row r="461" spans="1:9" x14ac:dyDescent="0.2">
      <c r="A461" s="11"/>
      <c r="B461" s="11"/>
      <c r="C461" s="11"/>
      <c r="D461" s="11" t="str">
        <f t="shared" si="20"/>
        <v>Equipos 1/4</v>
      </c>
      <c r="E461" s="11" t="s">
        <v>1589</v>
      </c>
      <c r="F461" s="11" t="s">
        <v>182</v>
      </c>
      <c r="G461" s="780" t="s">
        <v>1600</v>
      </c>
      <c r="H461" s="780" t="s">
        <v>1619</v>
      </c>
      <c r="I461" s="11"/>
    </row>
    <row r="462" spans="1:9" x14ac:dyDescent="0.2">
      <c r="A462" s="11"/>
      <c r="B462" s="11"/>
      <c r="C462" s="11"/>
      <c r="D462" s="11" t="str">
        <f t="shared" si="20"/>
        <v>Partidos 1/4</v>
      </c>
      <c r="E462" s="11" t="s">
        <v>1589</v>
      </c>
      <c r="F462" s="11" t="s">
        <v>28</v>
      </c>
      <c r="G462" s="780" t="s">
        <v>1601</v>
      </c>
      <c r="H462" s="780" t="s">
        <v>1602</v>
      </c>
      <c r="I462" s="11"/>
    </row>
    <row r="463" spans="1:9" x14ac:dyDescent="0.2">
      <c r="A463" s="11"/>
      <c r="B463" s="11"/>
      <c r="C463" s="11"/>
      <c r="D463" s="11" t="str">
        <f t="shared" si="20"/>
        <v>Equipos 1/2</v>
      </c>
      <c r="E463" s="11" t="s">
        <v>1589</v>
      </c>
      <c r="F463" s="11" t="s">
        <v>188</v>
      </c>
      <c r="G463" s="780" t="s">
        <v>1603</v>
      </c>
      <c r="H463" s="780" t="s">
        <v>1620</v>
      </c>
      <c r="I463" s="11"/>
    </row>
    <row r="464" spans="1:9" x14ac:dyDescent="0.2">
      <c r="A464" s="11"/>
      <c r="B464" s="11"/>
      <c r="C464" s="11"/>
      <c r="D464" s="11" t="str">
        <f t="shared" si="20"/>
        <v>Partidos 1/2</v>
      </c>
      <c r="E464" s="11" t="s">
        <v>1589</v>
      </c>
      <c r="F464" s="11" t="s">
        <v>1198</v>
      </c>
      <c r="G464" s="780" t="s">
        <v>1604</v>
      </c>
      <c r="H464" s="780" t="s">
        <v>1605</v>
      </c>
      <c r="I464" s="11"/>
    </row>
    <row r="465" spans="1:9" x14ac:dyDescent="0.2">
      <c r="A465" s="11"/>
      <c r="B465" s="11"/>
      <c r="C465" s="11"/>
      <c r="D465" s="11" t="str">
        <f t="shared" si="20"/>
        <v>Equipos 3-4</v>
      </c>
      <c r="E465" s="11" t="s">
        <v>1589</v>
      </c>
      <c r="F465" s="11"/>
      <c r="G465" s="780" t="s">
        <v>1615</v>
      </c>
      <c r="H465" s="780" t="s">
        <v>1616</v>
      </c>
      <c r="I465" s="11"/>
    </row>
    <row r="466" spans="1:9" x14ac:dyDescent="0.2">
      <c r="A466" s="11"/>
      <c r="B466" s="11"/>
      <c r="C466" s="11"/>
      <c r="D466" s="11" t="str">
        <f t="shared" si="20"/>
        <v>Equipos Final</v>
      </c>
      <c r="E466" s="11" t="s">
        <v>1589</v>
      </c>
      <c r="F466" s="11" t="s">
        <v>1606</v>
      </c>
      <c r="G466" s="780" t="s">
        <v>1607</v>
      </c>
      <c r="H466" s="780" t="s">
        <v>1621</v>
      </c>
      <c r="I466" s="11"/>
    </row>
    <row r="467" spans="1:9" x14ac:dyDescent="0.2">
      <c r="A467" s="11"/>
      <c r="B467" s="11"/>
      <c r="C467" s="11"/>
      <c r="D467" s="11" t="str">
        <f t="shared" ref="D467" si="22">IF($B$2,G467,H467)</f>
        <v>Partido 3-4</v>
      </c>
      <c r="E467" s="11" t="s">
        <v>1589</v>
      </c>
      <c r="F467" s="11"/>
      <c r="G467" s="780" t="s">
        <v>1622</v>
      </c>
      <c r="H467" s="780" t="s">
        <v>1623</v>
      </c>
      <c r="I467" s="11"/>
    </row>
    <row r="468" spans="1:9" x14ac:dyDescent="0.2">
      <c r="A468" s="11"/>
      <c r="B468" s="11"/>
      <c r="C468" s="11"/>
      <c r="D468" s="11" t="str">
        <f t="shared" si="20"/>
        <v>Partido Final</v>
      </c>
      <c r="E468" s="11" t="s">
        <v>1589</v>
      </c>
      <c r="F468" s="11" t="s">
        <v>190</v>
      </c>
      <c r="G468" s="780" t="s">
        <v>1467</v>
      </c>
      <c r="H468" s="780" t="s">
        <v>1608</v>
      </c>
      <c r="I468" s="11"/>
    </row>
    <row r="469" spans="1:9" x14ac:dyDescent="0.2">
      <c r="A469" s="11"/>
      <c r="B469" s="11"/>
      <c r="C469" s="11"/>
      <c r="D469" s="11" t="str">
        <f t="shared" ref="D469" si="23">IF($B$2,G469,H469)</f>
        <v xml:space="preserve">Cuadro de Honor </v>
      </c>
      <c r="E469" s="11" t="s">
        <v>1589</v>
      </c>
      <c r="F469" s="11" t="s">
        <v>1609</v>
      </c>
      <c r="G469" s="780" t="s">
        <v>1624</v>
      </c>
      <c r="H469" s="780" t="s">
        <v>1626</v>
      </c>
      <c r="I469" s="11"/>
    </row>
    <row r="470" spans="1:9" x14ac:dyDescent="0.2">
      <c r="A470" s="11"/>
      <c r="B470" s="11"/>
      <c r="C470" s="11"/>
      <c r="D470" s="11" t="str">
        <f t="shared" si="20"/>
        <v xml:space="preserve">Predictor </v>
      </c>
      <c r="E470" s="11" t="s">
        <v>1589</v>
      </c>
      <c r="F470" s="11" t="s">
        <v>1609</v>
      </c>
      <c r="G470" s="780" t="s">
        <v>1625</v>
      </c>
      <c r="H470" s="780" t="s">
        <v>1625</v>
      </c>
      <c r="I470" s="11"/>
    </row>
    <row r="471" spans="1:9" x14ac:dyDescent="0.2">
      <c r="A471" s="11"/>
      <c r="B471" s="11"/>
      <c r="C471" s="11"/>
      <c r="D471" s="11"/>
      <c r="E471" s="11"/>
      <c r="F471" s="11"/>
      <c r="G471" s="11"/>
      <c r="H471" s="11"/>
      <c r="I471" s="11"/>
    </row>
    <row r="472" spans="1:9" x14ac:dyDescent="0.2">
      <c r="A472" s="11"/>
      <c r="B472" s="11"/>
      <c r="C472" s="11"/>
      <c r="D472" s="11"/>
      <c r="E472" s="11"/>
      <c r="F472" s="11"/>
      <c r="G472" s="11"/>
      <c r="H472" s="11"/>
      <c r="I472" s="11"/>
    </row>
    <row r="473" spans="1:9" x14ac:dyDescent="0.2">
      <c r="A473" s="11"/>
      <c r="B473" s="11"/>
      <c r="C473" s="11"/>
      <c r="D473" s="11"/>
      <c r="E473" s="11"/>
      <c r="F473" s="11"/>
      <c r="G473" s="11"/>
      <c r="H473" s="11"/>
      <c r="I473" s="11"/>
    </row>
    <row r="474" spans="1:9" x14ac:dyDescent="0.2">
      <c r="A474" s="11"/>
      <c r="B474" s="11"/>
      <c r="C474" s="11"/>
      <c r="D474" s="11" t="str">
        <f t="shared" ref="D474:D475" si="24">IF($B$2,G474,H474)</f>
        <v>Selecciona día:</v>
      </c>
      <c r="E474" s="11" t="s">
        <v>1650</v>
      </c>
      <c r="F474" s="11" t="s">
        <v>115</v>
      </c>
      <c r="G474" s="11" t="s">
        <v>1651</v>
      </c>
      <c r="H474" s="11" t="s">
        <v>1652</v>
      </c>
      <c r="I474" s="11"/>
    </row>
    <row r="475" spans="1:9" x14ac:dyDescent="0.2">
      <c r="A475" s="11"/>
      <c r="B475" s="11"/>
      <c r="C475" s="11"/>
      <c r="D475" s="11" t="str">
        <f t="shared" si="24"/>
        <v>Nombre</v>
      </c>
      <c r="E475" s="11" t="s">
        <v>1650</v>
      </c>
      <c r="F475" s="11" t="s">
        <v>126</v>
      </c>
      <c r="G475" s="11" t="s">
        <v>42</v>
      </c>
      <c r="H475" s="11" t="s">
        <v>268</v>
      </c>
      <c r="I475" s="11"/>
    </row>
    <row r="476" spans="1:9" x14ac:dyDescent="0.2">
      <c r="A476" s="11"/>
      <c r="B476" s="11"/>
      <c r="C476" s="11"/>
      <c r="D476" s="11"/>
      <c r="E476" s="11"/>
      <c r="F476" s="11"/>
      <c r="G476" s="11"/>
      <c r="H476" s="11"/>
      <c r="I476" s="11"/>
    </row>
    <row r="477" spans="1:9" x14ac:dyDescent="0.2">
      <c r="A477" s="11"/>
      <c r="B477" s="11"/>
      <c r="C477" s="11"/>
      <c r="D477" s="11"/>
      <c r="E477" s="11"/>
      <c r="F477" s="11"/>
      <c r="G477" s="11"/>
      <c r="H477" s="11"/>
      <c r="I477" s="11"/>
    </row>
    <row r="478" spans="1:9" x14ac:dyDescent="0.2">
      <c r="A478" s="11"/>
      <c r="B478" s="11"/>
      <c r="C478" s="11"/>
      <c r="D478" s="11" t="str">
        <f t="shared" ref="D478:D481" si="25">IF($B$2,G478,H478)</f>
        <v>Selecciona día:</v>
      </c>
      <c r="E478" s="11" t="s">
        <v>1653</v>
      </c>
      <c r="F478" s="11" t="s">
        <v>512</v>
      </c>
      <c r="G478" s="11" t="s">
        <v>1651</v>
      </c>
      <c r="H478" s="11" t="s">
        <v>1652</v>
      </c>
      <c r="I478" s="11"/>
    </row>
    <row r="479" spans="1:9" x14ac:dyDescent="0.2">
      <c r="A479" s="11"/>
      <c r="B479" s="11"/>
      <c r="C479" s="11"/>
      <c r="D479" s="11" t="str">
        <f t="shared" si="25"/>
        <v>Pos</v>
      </c>
      <c r="E479" s="11" t="s">
        <v>1653</v>
      </c>
      <c r="F479" s="11" t="s">
        <v>128</v>
      </c>
      <c r="G479" s="11" t="s">
        <v>14</v>
      </c>
      <c r="H479" s="11" t="s">
        <v>14</v>
      </c>
      <c r="I479" s="11"/>
    </row>
    <row r="480" spans="1:9" x14ac:dyDescent="0.2">
      <c r="A480" s="11"/>
      <c r="B480" s="11"/>
      <c r="C480" s="11"/>
      <c r="D480" s="11" t="str">
        <f t="shared" si="25"/>
        <v>Nombre</v>
      </c>
      <c r="E480" s="11" t="s">
        <v>1653</v>
      </c>
      <c r="F480" s="11" t="s">
        <v>129</v>
      </c>
      <c r="G480" s="11" t="s">
        <v>42</v>
      </c>
      <c r="H480" s="11" t="s">
        <v>268</v>
      </c>
      <c r="I480" s="11"/>
    </row>
    <row r="481" spans="1:9" x14ac:dyDescent="0.2">
      <c r="A481" s="11"/>
      <c r="B481" s="11"/>
      <c r="C481" s="11"/>
      <c r="D481" s="11" t="str">
        <f t="shared" si="25"/>
        <v>Puntos Día / Eliminatoria</v>
      </c>
      <c r="E481" s="11" t="s">
        <v>1653</v>
      </c>
      <c r="F481" s="11" t="s">
        <v>180</v>
      </c>
      <c r="G481" s="11" t="s">
        <v>1654</v>
      </c>
      <c r="H481" s="11" t="s">
        <v>1655</v>
      </c>
      <c r="I481" s="11"/>
    </row>
    <row r="482" spans="1:9" x14ac:dyDescent="0.2">
      <c r="A482" s="11"/>
      <c r="B482" s="11"/>
      <c r="C482" s="11"/>
      <c r="D482" s="11"/>
      <c r="E482" s="11"/>
      <c r="F482" s="11"/>
      <c r="G482" s="11"/>
      <c r="H482" s="11"/>
      <c r="I482" s="11"/>
    </row>
    <row r="483" spans="1:9" x14ac:dyDescent="0.2">
      <c r="A483" s="11"/>
      <c r="B483" s="11"/>
      <c r="C483" s="11"/>
      <c r="D483" s="11"/>
      <c r="E483" s="11"/>
      <c r="F483" s="11"/>
      <c r="G483" s="11"/>
      <c r="H483" s="11"/>
      <c r="I483" s="11"/>
    </row>
    <row r="484" spans="1:9" x14ac:dyDescent="0.2">
      <c r="A484" s="11"/>
      <c r="B484" s="11"/>
      <c r="C484" s="11"/>
      <c r="D484" s="11" t="str">
        <f>IF($B$2,G484,H484)</f>
        <v xml:space="preserve">Puntos en juego </v>
      </c>
      <c r="E484" s="11" t="s">
        <v>1656</v>
      </c>
      <c r="F484" s="11"/>
      <c r="G484" s="11" t="s">
        <v>1657</v>
      </c>
      <c r="H484" s="8" t="s">
        <v>1658</v>
      </c>
      <c r="I484" s="11"/>
    </row>
    <row r="485" spans="1:9" x14ac:dyDescent="0.2">
      <c r="A485" s="11"/>
      <c r="B485" s="11"/>
      <c r="C485" s="11"/>
      <c r="D485" s="11" t="str">
        <f t="shared" ref="D485:D515" si="26">IF($B$2,G485,H485)</f>
        <v xml:space="preserve">Máximo de puntos hasta </v>
      </c>
      <c r="E485" s="11" t="s">
        <v>1656</v>
      </c>
      <c r="F485" s="11"/>
      <c r="G485" s="11" t="s">
        <v>1659</v>
      </c>
      <c r="H485" s="8" t="s">
        <v>1660</v>
      </c>
      <c r="I485" s="11"/>
    </row>
    <row r="486" spans="1:9" x14ac:dyDescent="0.2">
      <c r="A486" s="11"/>
      <c r="B486" s="11"/>
      <c r="C486" s="11"/>
      <c r="D486" s="11" t="str">
        <f t="shared" si="26"/>
        <v xml:space="preserve">Máximo de puntos incluido </v>
      </c>
      <c r="E486" s="11" t="s">
        <v>1656</v>
      </c>
      <c r="F486" s="11"/>
      <c r="G486" s="11" t="s">
        <v>1661</v>
      </c>
      <c r="H486" s="8" t="s">
        <v>1662</v>
      </c>
      <c r="I486" s="11"/>
    </row>
    <row r="487" spans="1:9" x14ac:dyDescent="0.2">
      <c r="A487" s="11"/>
      <c r="B487" s="11"/>
      <c r="C487" s="11"/>
      <c r="D487" s="11" t="str">
        <f t="shared" si="26"/>
        <v xml:space="preserve">Quedan por repartir: </v>
      </c>
      <c r="E487" s="11" t="s">
        <v>1656</v>
      </c>
      <c r="F487" s="11"/>
      <c r="G487" s="11" t="s">
        <v>1663</v>
      </c>
      <c r="H487" s="8" t="s">
        <v>1664</v>
      </c>
      <c r="I487" s="11"/>
    </row>
    <row r="488" spans="1:9" x14ac:dyDescent="0.2">
      <c r="A488" s="11"/>
      <c r="B488" s="11"/>
      <c r="C488" s="11"/>
      <c r="D488" s="11" t="str">
        <f t="shared" si="26"/>
        <v>Puntos máximos totales a repartir hoy (Global):</v>
      </c>
      <c r="E488" s="11" t="s">
        <v>1656</v>
      </c>
      <c r="F488" s="11"/>
      <c r="G488" s="11" t="s">
        <v>1665</v>
      </c>
      <c r="H488" s="8" t="s">
        <v>1666</v>
      </c>
      <c r="I488" s="11"/>
    </row>
    <row r="489" spans="1:9" x14ac:dyDescent="0.2">
      <c r="A489" s="11"/>
      <c r="B489" s="11"/>
      <c r="C489" s="11"/>
      <c r="D489" s="11" t="str">
        <f t="shared" si="26"/>
        <v>Puntos repartidos hoy (Global)</v>
      </c>
      <c r="E489" s="11" t="s">
        <v>1656</v>
      </c>
      <c r="F489" s="11"/>
      <c r="G489" s="11" t="s">
        <v>1667</v>
      </c>
      <c r="H489" s="8" t="s">
        <v>1668</v>
      </c>
      <c r="I489" s="11"/>
    </row>
    <row r="490" spans="1:9" x14ac:dyDescent="0.2">
      <c r="A490" s="11"/>
      <c r="B490" s="11"/>
      <c r="C490" s="11"/>
      <c r="D490" s="11" t="str">
        <f t="shared" si="26"/>
        <v xml:space="preserve">¿Cúantos han acertado el máximo de puntos </v>
      </c>
      <c r="E490" s="11" t="s">
        <v>1656</v>
      </c>
      <c r="F490" s="11"/>
      <c r="G490" s="11" t="s">
        <v>1669</v>
      </c>
      <c r="H490" s="8" t="s">
        <v>1670</v>
      </c>
      <c r="I490" s="11"/>
    </row>
    <row r="491" spans="1:9" x14ac:dyDescent="0.2">
      <c r="A491" s="11"/>
      <c r="B491" s="11"/>
      <c r="C491" s="11"/>
      <c r="D491" s="11" t="str">
        <f>IF($B$2,G491,H491)</f>
        <v xml:space="preserve">¿Cúantos se han llevado algún punto </v>
      </c>
      <c r="E491" s="11" t="s">
        <v>1656</v>
      </c>
      <c r="F491" s="11"/>
      <c r="G491" s="11" t="s">
        <v>1671</v>
      </c>
      <c r="H491" s="8" t="s">
        <v>1672</v>
      </c>
      <c r="I491" s="11"/>
    </row>
    <row r="492" spans="1:9" x14ac:dyDescent="0.2">
      <c r="A492" s="11"/>
      <c r="B492" s="11"/>
      <c r="C492" s="11"/>
      <c r="D492" s="11" t="str">
        <f t="shared" si="26"/>
        <v xml:space="preserve">¿Cúantos no han acertado nada </v>
      </c>
      <c r="E492" s="11" t="s">
        <v>1656</v>
      </c>
      <c r="F492" s="11"/>
      <c r="G492" s="11" t="s">
        <v>1673</v>
      </c>
      <c r="H492" s="8" t="s">
        <v>1674</v>
      </c>
      <c r="I492" s="11"/>
    </row>
    <row r="493" spans="1:9" x14ac:dyDescent="0.2">
      <c r="A493" s="11"/>
      <c r="B493" s="11"/>
      <c r="C493" s="11"/>
      <c r="D493" s="11" t="str">
        <f t="shared" si="26"/>
        <v xml:space="preserve">Media de puntos sumados </v>
      </c>
      <c r="E493" s="11" t="s">
        <v>1656</v>
      </c>
      <c r="F493" s="11"/>
      <c r="G493" s="11" t="s">
        <v>1675</v>
      </c>
      <c r="H493" s="8" t="s">
        <v>1676</v>
      </c>
      <c r="I493" s="11"/>
    </row>
    <row r="494" spans="1:9"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x14ac:dyDescent="0.2">
      <c r="A496" s="11"/>
      <c r="B496" s="11"/>
      <c r="C496" s="11"/>
      <c r="D496" s="11" t="str">
        <f t="shared" si="26"/>
        <v>Dia seleccionado en "Daily Prediction"</v>
      </c>
      <c r="E496" s="11" t="s">
        <v>1656</v>
      </c>
      <c r="F496" s="11"/>
      <c r="G496" s="11" t="s">
        <v>1680</v>
      </c>
      <c r="H496" s="8" t="s">
        <v>1681</v>
      </c>
      <c r="I496" s="11"/>
    </row>
    <row r="497" spans="1:9" x14ac:dyDescent="0.2">
      <c r="A497" s="11"/>
      <c r="B497" s="11"/>
      <c r="C497" s="11"/>
      <c r="D497" s="11" t="str">
        <f t="shared" si="26"/>
        <v>Puntos</v>
      </c>
      <c r="E497" s="11" t="s">
        <v>1656</v>
      </c>
      <c r="F497" s="11"/>
      <c r="G497" s="11" t="s">
        <v>1381</v>
      </c>
      <c r="H497" s="8" t="s">
        <v>1382</v>
      </c>
      <c r="I497" s="11"/>
    </row>
    <row r="498" spans="1:9" x14ac:dyDescent="0.2">
      <c r="A498" s="11"/>
      <c r="B498" s="11"/>
      <c r="C498" s="11"/>
      <c r="D498" s="11" t="str">
        <f t="shared" si="26"/>
        <v>Resultados más pronósticados</v>
      </c>
      <c r="E498" s="11" t="s">
        <v>1656</v>
      </c>
      <c r="F498" s="11"/>
      <c r="G498" s="11" t="s">
        <v>1682</v>
      </c>
      <c r="H498" s="8" t="s">
        <v>1683</v>
      </c>
      <c r="I498" s="11"/>
    </row>
    <row r="499" spans="1:9" x14ac:dyDescent="0.2">
      <c r="A499" s="11"/>
      <c r="B499" s="11"/>
      <c r="C499" s="11"/>
      <c r="D499" s="11" t="str">
        <f t="shared" si="26"/>
        <v>Resultado</v>
      </c>
      <c r="E499" s="11" t="s">
        <v>1656</v>
      </c>
      <c r="F499" s="11"/>
      <c r="G499" s="11" t="s">
        <v>1684</v>
      </c>
      <c r="H499" s="8" t="s">
        <v>1685</v>
      </c>
      <c r="I499" s="11"/>
    </row>
    <row r="500" spans="1:9" x14ac:dyDescent="0.2">
      <c r="A500" s="11"/>
      <c r="B500" s="11"/>
      <c r="C500" s="11"/>
      <c r="D500" s="11" t="str">
        <f t="shared" si="26"/>
        <v>Nº de veces</v>
      </c>
      <c r="E500" s="11" t="s">
        <v>1656</v>
      </c>
      <c r="F500" s="11"/>
      <c r="G500" s="11" t="s">
        <v>1686</v>
      </c>
      <c r="H500" s="8" t="s">
        <v>1687</v>
      </c>
      <c r="I500" s="11"/>
    </row>
    <row r="501" spans="1:9" x14ac:dyDescent="0.2">
      <c r="A501" s="11"/>
      <c r="B501" s="11"/>
      <c r="C501" s="11"/>
      <c r="D501" s="11" t="str">
        <f t="shared" si="26"/>
        <v>Selecciona un partido de hoy:↗</v>
      </c>
      <c r="E501" s="11" t="s">
        <v>1656</v>
      </c>
      <c r="F501" s="11"/>
      <c r="G501" s="11" t="s">
        <v>1923</v>
      </c>
      <c r="H501" s="8" t="s">
        <v>1924</v>
      </c>
      <c r="I501" s="11"/>
    </row>
    <row r="502" spans="1:9" x14ac:dyDescent="0.2">
      <c r="A502" s="11"/>
      <c r="B502" s="11"/>
      <c r="C502" s="11"/>
      <c r="D502" s="11" t="str">
        <f t="shared" si="26"/>
        <v>(No cuentan los resultados no predichos)*</v>
      </c>
      <c r="E502" s="11" t="s">
        <v>1656</v>
      </c>
      <c r="F502" s="11"/>
      <c r="G502" s="11" t="s">
        <v>1688</v>
      </c>
      <c r="H502" s="8" t="s">
        <v>1689</v>
      </c>
      <c r="I502" s="11"/>
    </row>
    <row r="503" spans="1:9"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x14ac:dyDescent="0.2">
      <c r="A504" s="11"/>
      <c r="B504" s="11"/>
      <c r="C504" s="11"/>
      <c r="D504" s="11" t="str">
        <f t="shared" si="26"/>
        <v>Este gráfico de abajo solo aparece en los partidos de la fase de grupos</v>
      </c>
      <c r="E504" s="11" t="s">
        <v>1656</v>
      </c>
      <c r="F504" s="11"/>
      <c r="G504" s="11" t="s">
        <v>1692</v>
      </c>
      <c r="H504" s="11" t="s">
        <v>1693</v>
      </c>
      <c r="I504" s="11"/>
    </row>
    <row r="505" spans="1:9" x14ac:dyDescent="0.2">
      <c r="A505" s="11"/>
      <c r="B505" s="11"/>
      <c r="C505" s="11"/>
      <c r="D505" s="11" t="str">
        <f t="shared" si="26"/>
        <v>Faltan</v>
      </c>
      <c r="E505" s="11" t="s">
        <v>1656</v>
      </c>
      <c r="F505" s="11"/>
      <c r="G505" s="8" t="s">
        <v>1694</v>
      </c>
      <c r="H505" s="8" t="s">
        <v>1695</v>
      </c>
      <c r="I505" s="11"/>
    </row>
    <row r="506" spans="1:9" x14ac:dyDescent="0.2">
      <c r="A506" s="11"/>
      <c r="B506" s="11"/>
      <c r="C506" s="11"/>
      <c r="D506" s="11" t="str">
        <f t="shared" si="26"/>
        <v>días para que empiece el Mundial 2026</v>
      </c>
      <c r="E506" s="11" t="s">
        <v>1656</v>
      </c>
      <c r="F506" s="11"/>
      <c r="G506" s="8" t="s">
        <v>1780</v>
      </c>
      <c r="H506" s="8" t="s">
        <v>1785</v>
      </c>
      <c r="I506" s="11"/>
    </row>
    <row r="507" spans="1:9" x14ac:dyDescent="0.2">
      <c r="A507" s="11"/>
      <c r="B507" s="11"/>
      <c r="C507" s="11"/>
      <c r="D507" s="11" t="str">
        <f t="shared" si="26"/>
        <v>Es el día</v>
      </c>
      <c r="E507" s="11" t="s">
        <v>1656</v>
      </c>
      <c r="F507" s="11"/>
      <c r="G507" s="8" t="s">
        <v>1696</v>
      </c>
      <c r="H507" s="8" t="s">
        <v>1697</v>
      </c>
      <c r="I507" s="11"/>
    </row>
    <row r="508" spans="1:9" x14ac:dyDescent="0.2">
      <c r="A508" s="11"/>
      <c r="B508" s="11"/>
      <c r="C508" s="11"/>
      <c r="D508" s="11" t="str">
        <f t="shared" si="26"/>
        <v>del Mundial 2026</v>
      </c>
      <c r="E508" s="11" t="s">
        <v>1656</v>
      </c>
      <c r="F508" s="11"/>
      <c r="G508" s="8" t="s">
        <v>1779</v>
      </c>
      <c r="H508" s="8" t="s">
        <v>1304</v>
      </c>
      <c r="I508" s="11"/>
    </row>
    <row r="509" spans="1:9" x14ac:dyDescent="0.2">
      <c r="A509" s="11"/>
      <c r="B509" s="11"/>
      <c r="C509" s="11"/>
      <c r="D509" s="11" t="str">
        <f t="shared" si="26"/>
        <v>Quedan</v>
      </c>
      <c r="E509" s="11" t="s">
        <v>1656</v>
      </c>
      <c r="F509" s="11"/>
      <c r="G509" s="8" t="s">
        <v>1698</v>
      </c>
      <c r="H509" s="8" t="s">
        <v>1699</v>
      </c>
      <c r="I509" s="11"/>
    </row>
    <row r="510" spans="1:9" x14ac:dyDescent="0.2">
      <c r="A510" s="11"/>
      <c r="B510" s="11"/>
      <c r="C510" s="11"/>
      <c r="D510" s="11" t="str">
        <f t="shared" si="26"/>
        <v>días para que acabe el Mundial 2026</v>
      </c>
      <c r="E510" s="11" t="s">
        <v>1656</v>
      </c>
      <c r="F510" s="11"/>
      <c r="G510" s="8" t="s">
        <v>1777</v>
      </c>
      <c r="H510" s="8" t="s">
        <v>1778</v>
      </c>
      <c r="I510" s="11"/>
    </row>
    <row r="511" spans="1:9" x14ac:dyDescent="0.2">
      <c r="A511" s="11"/>
      <c r="B511" s="11"/>
      <c r="C511" s="11"/>
      <c r="D511" s="11" t="str">
        <f t="shared" si="26"/>
        <v>Se han marcado un total de</v>
      </c>
      <c r="E511" s="11" t="s">
        <v>1656</v>
      </c>
      <c r="F511" s="11"/>
      <c r="G511" s="8" t="s">
        <v>1700</v>
      </c>
      <c r="H511" s="8" t="s">
        <v>1701</v>
      </c>
      <c r="I511" s="11"/>
    </row>
    <row r="512" spans="1:9" x14ac:dyDescent="0.2">
      <c r="A512" s="11"/>
      <c r="B512" s="11"/>
      <c r="C512" s="11"/>
      <c r="D512" s="11" t="str">
        <f t="shared" si="26"/>
        <v>goles en el Mundial de Clubes sin contar tandas de penalti</v>
      </c>
      <c r="E512" s="11" t="s">
        <v>1656</v>
      </c>
      <c r="F512" s="11"/>
      <c r="G512" s="8" t="s">
        <v>1702</v>
      </c>
      <c r="H512" s="8" t="s">
        <v>1703</v>
      </c>
      <c r="I512" s="11"/>
    </row>
    <row r="513" spans="1:9" x14ac:dyDescent="0.2">
      <c r="A513" s="11"/>
      <c r="B513" s="11"/>
      <c r="C513" s="11"/>
      <c r="D513" s="11" t="str">
        <f t="shared" si="26"/>
        <v>Espero que disfrutéis del Excel del Mundial de Clubes</v>
      </c>
      <c r="E513" s="11" t="s">
        <v>1656</v>
      </c>
      <c r="F513" s="11"/>
      <c r="G513" s="8" t="s">
        <v>1704</v>
      </c>
      <c r="H513" s="8" t="s">
        <v>1705</v>
      </c>
      <c r="I513" s="11"/>
    </row>
    <row r="514" spans="1:9" x14ac:dyDescent="0.2">
      <c r="A514" s="11"/>
      <c r="B514" s="11"/>
      <c r="C514" s="11"/>
      <c r="D514" s="11"/>
      <c r="E514" s="11"/>
      <c r="F514" s="11"/>
      <c r="G514" s="11"/>
      <c r="H514" s="11"/>
      <c r="I514" s="11"/>
    </row>
    <row r="515" spans="1:9" x14ac:dyDescent="0.2">
      <c r="A515" s="11"/>
      <c r="B515" s="11"/>
      <c r="C515" s="11"/>
      <c r="D515" s="11" t="str">
        <f t="shared" si="26"/>
        <v>Gráfico solo en fase de grupos</v>
      </c>
      <c r="E515" s="11" t="s">
        <v>1656</v>
      </c>
      <c r="F515" s="11"/>
      <c r="G515" s="8" t="s">
        <v>1905</v>
      </c>
      <c r="H515" s="11" t="s">
        <v>1904</v>
      </c>
      <c r="I515" s="11"/>
    </row>
    <row r="1419" spans="4:4" x14ac:dyDescent="0.2">
      <c r="D1419" s="11" t="s">
        <v>1317</v>
      </c>
    </row>
    <row r="1420" spans="4:4" x14ac:dyDescent="0.2">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5" x14ac:dyDescent="0.2"/>
  <cols>
    <col min="1" max="2" width="10.76171875" style="21" hidden="1" customWidth="1"/>
    <col min="3" max="3" width="2.28515625" customWidth="1"/>
    <col min="4" max="4" width="46.140625" customWidth="1"/>
    <col min="5" max="6" width="12.77734375" customWidth="1"/>
    <col min="7" max="7" width="3.765625" customWidth="1"/>
    <col min="8" max="8" width="32.1484375" customWidth="1"/>
    <col min="9" max="9" width="26.6328125" bestFit="1" customWidth="1"/>
    <col min="10" max="11" width="2.28515625" customWidth="1"/>
    <col min="12" max="12" width="18.96484375" bestFit="1" customWidth="1"/>
    <col min="13" max="20" width="11.296875" customWidth="1"/>
    <col min="21" max="21" width="10.76171875" customWidth="1"/>
    <col min="22" max="22" width="10.76171875" hidden="1" customWidth="1"/>
    <col min="23" max="23" width="23.80859375" hidden="1" customWidth="1"/>
    <col min="24" max="24" width="21.38671875" hidden="1" customWidth="1"/>
    <col min="25" max="25" width="24.48046875" hidden="1" customWidth="1"/>
    <col min="26" max="26" width="17.75390625" hidden="1" customWidth="1"/>
    <col min="27" max="16384" width="10.76171875" hidden="1"/>
  </cols>
  <sheetData>
    <row r="1" spans="1:53" x14ac:dyDescent="0.2">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x14ac:dyDescent="0.25">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15" customHeight="1" thickBot="1" x14ac:dyDescent="0.25">
      <c r="A5" s="25"/>
      <c r="B5" s="25"/>
      <c r="C5" s="17"/>
      <c r="D5" s="477" t="str">
        <f>Idiomas!D496</f>
        <v>Dia seleccionado en "Daily Prediction"</v>
      </c>
      <c r="E5" s="763">
        <f>DailyPrediction!H1</f>
        <v>46196</v>
      </c>
      <c r="F5" s="404">
        <f ca="1">VLOOKUP($E$5,Equipos!$Q$2:$R$37,2,0)</f>
        <v>13</v>
      </c>
      <c r="G5" s="17"/>
      <c r="H5" s="476" t="str">
        <f>Idiomas!D501</f>
        <v>Selecciona un partido de hoy:↗</v>
      </c>
      <c r="I5" s="450" t="s">
        <v>1938</v>
      </c>
      <c r="J5" s="17"/>
      <c r="K5" s="17"/>
      <c r="L5" s="855">
        <f ca="1">SUM(WORLDCUP!AG4:AG147)/104</f>
        <v>0.63461538461538458</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x14ac:dyDescent="0.25">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54" t="str">
        <f>Idiomas!D484&amp;TEXT($E$5,"dd/mm/aa")&amp;" (Individual)"</f>
        <v>Puntos en juego 23/06/26 (Individual)</v>
      </c>
      <c r="E8" s="455">
        <f ca="1">IFERROR(SUMIF(ADMIN!$G$6:$G$258,$F$5,ADMIN!$F$6:$F$258),"")</f>
        <v>16</v>
      </c>
      <c r="F8" s="456">
        <f ca="1">IFERROR(E8/$B$46,0)</f>
        <v>1.8327605956471937E-2</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57" t="str">
        <f>Idiomas!D485&amp;TEXT($E$5,"dd/mm/aa")&amp;" (Individual)"</f>
        <v>Máximo de puntos hasta 23/06/26 (Individual)</v>
      </c>
      <c r="E9" s="455">
        <f ca="1">IFERROR(SUMIF($A$22:$A$45,"&lt;"&amp;$F$5,$B$22:$B$45),"")</f>
        <v>164</v>
      </c>
      <c r="F9" s="456">
        <f ca="1">IFERROR(E9/$B$46,0)</f>
        <v>0.18785796105383734</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54" t="str">
        <f>Idiomas!D486&amp;TEXT($E$5,"dd/mm/aa")&amp;" (Individual)"</f>
        <v>Máximo de puntos incluido 23/06/26 (Individual)</v>
      </c>
      <c r="E10" s="455">
        <f ca="1">IFERROR(SUMIF($A$22:$A$45,"&lt;="&amp;$F$5,$B$22:$B$45),"")</f>
        <v>180</v>
      </c>
      <c r="F10" s="456">
        <f ca="1">IFERROR(E10/$B$46,0)</f>
        <v>0.20618556701030927</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57" t="str">
        <f>Idiomas!D487&amp;" (Individual)"</f>
        <v>Quedan por repartir:  (Individual)</v>
      </c>
      <c r="E11" s="455">
        <f ca="1">IFERROR(SUMIF($A$22:$A$45,"&gt;"&amp;$F$5,$B$22:$B$45),0)</f>
        <v>693</v>
      </c>
      <c r="F11" s="456">
        <f ca="1">IFERROR(1-F10,0)</f>
        <v>0.79381443298969079</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54" t="str">
        <f>Idiomas!D488</f>
        <v>Puntos máximos totales a repartir hoy (Global):</v>
      </c>
      <c r="E12" s="455">
        <f ca="1">IFERROR($E$8*ADMIN!$D$5,0)</f>
        <v>800</v>
      </c>
      <c r="F12" s="456">
        <f ca="1">IFERROR(E12/B47,0)</f>
        <v>1.8327605956471937E-2</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57" t="str">
        <f>Idiomas!D489</f>
        <v>Puntos repartidos hoy (Global)</v>
      </c>
      <c r="E13" s="455">
        <f ca="1">IFERROR(SUM(DailyClas!$G$4:INDEX(DailyClas!$G$4:$G$100,ADMIN!$D$5)),0)</f>
        <v>206</v>
      </c>
      <c r="F13" s="456">
        <f ca="1">IFERROR(E13/E12,0)</f>
        <v>0.25750000000000001</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54" t="str">
        <f>Idiomas!D490&amp;TEXT($E$5,"dd/mm/aa")&amp;"?"</f>
        <v>¿Cúantos han acertado el máximo de puntos 23/06/26?</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57" t="str">
        <f>Idiomas!D491&amp;TEXT($E$5,"dd/mm/aa")&amp;"?"</f>
        <v>¿Cúantos se han llevado algún punto 23/06/26?</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54" t="str">
        <f>Idiomas!D492&amp;TEXT($E$5,"dd/mm/aa")&amp;"?"</f>
        <v>¿Cúantos no han acertado nada 23/06/26?</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58" t="str">
        <f>Idiomas!D493&amp;TEXT($E$5,"dd/mm/aa")&amp;"?"</f>
        <v>Media de puntos sumados 23/06/26?</v>
      </c>
      <c r="E17" s="459">
        <f ca="1">IFERROR(AVERAGE(DailyClas!$G$4:INDEX(DailyClas!$G$4:$G$100,ADMIN!$D$5)),0)</f>
        <v>4.12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x14ac:dyDescent="0.2">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38" ca="1">_xlfn.UNIQUE(_xlfn._xlws.FILTER(DailyPrediction!$A$4:$A$35,DailyPrediction!$A$4:$A$35&lt;&gt;""))</f>
        <v>Francia-Irak</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v>
      </c>
      <c r="AQ35" s="11"/>
      <c r="AR35" s="11"/>
      <c r="AS35" s="11"/>
      <c r="AT35" s="11"/>
      <c r="AU35" s="11"/>
      <c r="AV35" s="11"/>
      <c r="AW35" s="11"/>
      <c r="AX35" s="11"/>
      <c r="AY35" s="11"/>
      <c r="AZ35" s="11"/>
      <c r="BA35" s="11"/>
    </row>
    <row r="36" spans="1:53" ht="15" customHeight="1" x14ac:dyDescent="0.2">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Noruega-Senegal</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Jordania-Argelia</v>
      </c>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Portugal-Uzbekistán</v>
      </c>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123</v>
      </c>
      <c r="C45" s="17"/>
      <c r="D45" s="453"/>
      <c r="E45" s="453" t="str">
        <f ca="1">IF(Home!E41&lt;Home!E42,"",IF(Home!E41&gt;=Home!E42,Idiomas!D511&amp;" "&amp;SUM(WORLDCUP!$BJ$6:$BJ$53,WORLDCUP!$AC$101:$AD$147)&amp;" "&amp;Idiomas!D512,""))</f>
        <v>Se han marcado un total de 196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x14ac:dyDescent="0.25">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6171875" defaultRowHeight="15" x14ac:dyDescent="0.2"/>
  <cols>
    <col min="1" max="1" width="6.05078125" customWidth="1"/>
    <col min="2" max="2" width="13.31640625" customWidth="1"/>
    <col min="3" max="3" width="32.8203125" customWidth="1"/>
    <col min="4" max="4" width="0.40234375" customWidth="1"/>
    <col min="6" max="6" width="0.40234375" customWidth="1"/>
    <col min="10" max="10" width="10.76171875" customWidth="1"/>
    <col min="11" max="11" width="3.49609375" customWidth="1"/>
    <col min="14" max="17" width="15.73828125" customWidth="1"/>
    <col min="18" max="18" width="17.484375" customWidth="1"/>
    <col min="19" max="22" width="10.76171875" style="11"/>
    <col min="23" max="24" width="10.76171875" style="11" hidden="1" customWidth="1"/>
    <col min="25" max="25" width="10.76171875" style="11"/>
    <col min="26" max="28" width="10.7617187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x14ac:dyDescent="0.2">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x14ac:dyDescent="0.2">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x14ac:dyDescent="0.2">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x14ac:dyDescent="0.2">
      <c r="A7" s="26"/>
      <c r="B7" s="861"/>
      <c r="C7" s="862"/>
      <c r="D7" s="862"/>
      <c r="E7" s="862"/>
      <c r="F7" s="862"/>
      <c r="G7" s="862"/>
      <c r="H7" s="862"/>
      <c r="I7" s="862"/>
      <c r="J7" s="863"/>
      <c r="K7" s="27"/>
      <c r="L7" s="677"/>
      <c r="M7" s="678"/>
      <c r="N7" s="678"/>
      <c r="O7" s="678"/>
      <c r="P7" s="678"/>
      <c r="Q7" s="678"/>
      <c r="R7" s="678"/>
      <c r="S7" s="693"/>
      <c r="T7" s="694"/>
    </row>
    <row r="8" spans="1:20" x14ac:dyDescent="0.2">
      <c r="A8" s="26"/>
      <c r="B8" s="861"/>
      <c r="C8" s="862"/>
      <c r="D8" s="862"/>
      <c r="E8" s="862"/>
      <c r="F8" s="862"/>
      <c r="G8" s="862"/>
      <c r="H8" s="862"/>
      <c r="I8" s="862"/>
      <c r="J8" s="863"/>
      <c r="K8" s="27"/>
      <c r="L8" s="4"/>
      <c r="M8" s="4"/>
      <c r="N8" s="4"/>
      <c r="O8" s="4"/>
      <c r="P8" s="4"/>
      <c r="Q8" s="4"/>
      <c r="R8" s="4"/>
      <c r="S8" s="688"/>
      <c r="T8" s="688"/>
    </row>
    <row r="9" spans="1:20" x14ac:dyDescent="0.2">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x14ac:dyDescent="0.2">
      <c r="A10" s="26"/>
      <c r="B10" s="861"/>
      <c r="C10" s="862"/>
      <c r="D10" s="862"/>
      <c r="E10" s="862"/>
      <c r="F10" s="862"/>
      <c r="G10" s="862"/>
      <c r="H10" s="862"/>
      <c r="I10" s="862"/>
      <c r="J10" s="863"/>
      <c r="K10" s="27"/>
      <c r="L10" s="674"/>
      <c r="M10" s="675"/>
      <c r="N10" s="675"/>
      <c r="O10" s="675"/>
      <c r="P10" s="675"/>
      <c r="Q10" s="675"/>
      <c r="R10" s="675"/>
      <c r="S10" s="689"/>
      <c r="T10" s="690"/>
    </row>
    <row r="11" spans="1:20" x14ac:dyDescent="0.2">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x14ac:dyDescent="0.2">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x14ac:dyDescent="0.2">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x14ac:dyDescent="0.2">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x14ac:dyDescent="0.2">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x14ac:dyDescent="0.2">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x14ac:dyDescent="0.2">
      <c r="A17" s="26"/>
      <c r="B17" s="149"/>
      <c r="C17" s="150"/>
      <c r="D17" s="150"/>
      <c r="E17" s="150"/>
      <c r="F17" s="150"/>
      <c r="G17" s="150"/>
      <c r="H17" s="150"/>
      <c r="I17" s="150"/>
      <c r="J17" s="151"/>
      <c r="K17" s="27"/>
      <c r="L17" s="27"/>
      <c r="M17" s="27"/>
      <c r="N17" s="27"/>
      <c r="O17" s="27"/>
      <c r="P17" s="27"/>
      <c r="Q17" s="27"/>
      <c r="R17" s="27"/>
      <c r="S17" s="688"/>
      <c r="T17" s="688"/>
    </row>
    <row r="18" spans="1:20" x14ac:dyDescent="0.2">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899999999999999" customHeight="1" x14ac:dyDescent="0.2">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x14ac:dyDescent="0.2">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899999999999999" customHeight="1" x14ac:dyDescent="0.2">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 customHeight="1" x14ac:dyDescent="0.2">
      <c r="A22" s="35"/>
      <c r="B22" s="162"/>
      <c r="C22" s="165"/>
      <c r="D22" s="165"/>
      <c r="E22" s="165"/>
      <c r="F22" s="165"/>
      <c r="G22" s="165"/>
      <c r="H22" s="165"/>
      <c r="I22" s="161"/>
      <c r="J22" s="166"/>
      <c r="K22" s="35"/>
      <c r="L22" s="676"/>
      <c r="M22" s="141"/>
      <c r="N22" s="141"/>
      <c r="O22" s="141"/>
      <c r="P22" s="141"/>
      <c r="Q22" s="141"/>
      <c r="R22" s="141"/>
      <c r="S22" s="691"/>
      <c r="T22" s="692"/>
    </row>
    <row r="23" spans="1:20" ht="19.899999999999999" customHeight="1" x14ac:dyDescent="0.2">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 customHeight="1" x14ac:dyDescent="0.2">
      <c r="A24" s="35"/>
      <c r="B24" s="162"/>
      <c r="C24" s="165"/>
      <c r="D24" s="165"/>
      <c r="E24" s="165"/>
      <c r="F24" s="165"/>
      <c r="G24" s="165"/>
      <c r="H24" s="165"/>
      <c r="I24" s="165"/>
      <c r="J24" s="166"/>
      <c r="K24" s="35"/>
      <c r="L24" s="676"/>
      <c r="M24" s="141"/>
      <c r="N24" s="141"/>
      <c r="O24" s="141"/>
      <c r="P24" s="141"/>
      <c r="Q24" s="141"/>
      <c r="R24" s="141"/>
      <c r="S24" s="691"/>
      <c r="T24" s="692"/>
    </row>
    <row r="25" spans="1:20" ht="19.899999999999999" customHeight="1" x14ac:dyDescent="0.2">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 customHeight="1" x14ac:dyDescent="0.2">
      <c r="A26" s="35"/>
      <c r="B26" s="162"/>
      <c r="C26" s="165"/>
      <c r="D26" s="165"/>
      <c r="E26" s="165"/>
      <c r="F26" s="165"/>
      <c r="G26" s="165"/>
      <c r="H26" s="165"/>
      <c r="I26" s="165"/>
      <c r="J26" s="166"/>
      <c r="K26" s="35"/>
      <c r="L26" s="676"/>
      <c r="M26" s="141"/>
      <c r="N26" s="141"/>
      <c r="O26" s="141"/>
      <c r="P26" s="141"/>
      <c r="Q26" s="141"/>
      <c r="R26" s="141"/>
      <c r="S26" s="691"/>
      <c r="T26" s="692"/>
    </row>
    <row r="27" spans="1:20" ht="19.899999999999999" customHeight="1" x14ac:dyDescent="0.2">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 customHeight="1" x14ac:dyDescent="0.2">
      <c r="A28" s="35"/>
      <c r="B28" s="162"/>
      <c r="C28" s="165"/>
      <c r="D28" s="165"/>
      <c r="E28" s="165"/>
      <c r="F28" s="165"/>
      <c r="G28" s="165"/>
      <c r="H28" s="165"/>
      <c r="I28" s="165"/>
      <c r="J28" s="166"/>
      <c r="K28" s="35"/>
    </row>
    <row r="29" spans="1:20" ht="19.899999999999999" customHeight="1" x14ac:dyDescent="0.2">
      <c r="A29" s="35"/>
      <c r="B29" s="162"/>
      <c r="C29" s="163" t="s">
        <v>1270</v>
      </c>
      <c r="D29" s="164"/>
      <c r="E29" s="39">
        <v>0</v>
      </c>
      <c r="F29" s="164"/>
      <c r="G29" s="38">
        <v>2</v>
      </c>
      <c r="H29" s="165"/>
      <c r="I29" s="165"/>
      <c r="J29" s="166"/>
      <c r="K29" s="35"/>
    </row>
    <row r="30" spans="1:20" ht="1.9" customHeight="1" x14ac:dyDescent="0.2">
      <c r="A30" s="35"/>
      <c r="B30" s="162"/>
      <c r="C30" s="165"/>
      <c r="D30" s="165"/>
      <c r="E30" s="165"/>
      <c r="F30" s="165"/>
      <c r="G30" s="165"/>
      <c r="H30" s="165"/>
      <c r="I30" s="165"/>
      <c r="J30" s="166"/>
      <c r="K30" s="35"/>
      <c r="L30" s="36"/>
    </row>
    <row r="31" spans="1:20" ht="19.899999999999999" customHeight="1" x14ac:dyDescent="0.2">
      <c r="A31" s="35"/>
      <c r="B31" s="162"/>
      <c r="C31" s="163" t="s">
        <v>1271</v>
      </c>
      <c r="D31" s="164"/>
      <c r="E31" s="38">
        <v>2</v>
      </c>
      <c r="F31" s="164"/>
      <c r="G31" s="39">
        <v>0</v>
      </c>
      <c r="H31" s="165"/>
      <c r="I31" s="165"/>
      <c r="J31" s="166"/>
      <c r="K31" s="35"/>
      <c r="L31" s="680" t="s">
        <v>1916</v>
      </c>
    </row>
    <row r="32" spans="1:20" ht="18" customHeight="1" x14ac:dyDescent="0.2">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x14ac:dyDescent="0.2">
      <c r="A33" s="27"/>
      <c r="B33" s="3"/>
      <c r="C33" s="3"/>
      <c r="D33" s="3"/>
      <c r="E33" s="3"/>
      <c r="F33" s="3"/>
      <c r="G33" s="3"/>
      <c r="H33" s="3"/>
      <c r="I33" s="3"/>
      <c r="J33" s="3"/>
      <c r="K33" s="27"/>
      <c r="L33" s="27"/>
    </row>
    <row r="34" spans="1:20" ht="28.15" customHeight="1" x14ac:dyDescent="0.2">
      <c r="A34" s="27"/>
      <c r="B34" s="867"/>
      <c r="C34" s="867"/>
      <c r="D34" s="867"/>
      <c r="E34" s="867"/>
      <c r="F34" s="867"/>
      <c r="G34" s="867"/>
      <c r="H34" s="867"/>
      <c r="I34" s="867"/>
      <c r="J34" s="867"/>
      <c r="K34" s="27"/>
      <c r="L34" s="680" t="s">
        <v>1878</v>
      </c>
    </row>
    <row r="35" spans="1:20" ht="18" customHeight="1" thickBot="1" x14ac:dyDescent="0.25">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x14ac:dyDescent="0.25">
      <c r="A36" s="27"/>
      <c r="B36" s="4"/>
      <c r="C36" s="770" t="s">
        <v>1335</v>
      </c>
      <c r="D36" s="27"/>
      <c r="E36" s="27"/>
      <c r="F36" s="27"/>
      <c r="G36" s="27"/>
      <c r="H36" s="41"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0" t="s">
        <v>1888</v>
      </c>
      <c r="M37" s="26"/>
      <c r="N37" s="27"/>
    </row>
    <row r="38" spans="1:20" ht="34.15" customHeight="1" x14ac:dyDescent="0.2">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x14ac:dyDescent="0.2">
      <c r="L40" s="680" t="s">
        <v>1656</v>
      </c>
      <c r="M40" s="681"/>
      <c r="N40" s="681"/>
      <c r="O40" s="681"/>
      <c r="P40" s="681"/>
      <c r="Q40" s="681"/>
      <c r="R40" s="681"/>
      <c r="S40" s="697"/>
      <c r="T40" s="697"/>
    </row>
    <row r="41" spans="1:20" x14ac:dyDescent="0.2">
      <c r="L41" s="674" t="str">
        <f>Idiomas!D108</f>
        <v>· En estas hoja podrás ver diferentes estadísticas generales y por partido</v>
      </c>
      <c r="M41" s="675"/>
      <c r="N41" s="675"/>
      <c r="O41" s="675"/>
      <c r="P41" s="675"/>
      <c r="Q41" s="675"/>
      <c r="R41" s="675"/>
      <c r="S41" s="689"/>
      <c r="T41" s="690"/>
    </row>
    <row r="42" spans="1:20" x14ac:dyDescent="0.2">
      <c r="L42" s="686" t="str">
        <f>Idiomas!D109</f>
        <v>· Para verlas correctamente necesitas una versión posterior a excel 2021</v>
      </c>
      <c r="M42" s="687"/>
      <c r="N42" s="687"/>
      <c r="O42" s="687"/>
      <c r="P42" s="687"/>
      <c r="Q42" s="687"/>
      <c r="R42" s="687"/>
      <c r="S42" s="698"/>
      <c r="T42" s="699"/>
    </row>
    <row r="44" spans="1:20" x14ac:dyDescent="0.2">
      <c r="L44" s="680" t="s">
        <v>1305</v>
      </c>
      <c r="M44" s="681"/>
      <c r="N44" s="681"/>
      <c r="O44" s="681"/>
      <c r="P44" s="681"/>
      <c r="Q44" s="681"/>
      <c r="R44" s="681"/>
      <c r="S44" s="697"/>
      <c r="T44" s="697"/>
    </row>
    <row r="45" spans="1:20" ht="18" customHeight="1" x14ac:dyDescent="0.2">
      <c r="L45" s="684" t="str">
        <f>Idiomas!D110</f>
        <v xml:space="preserve">· En esta hoja puedes ver de un vistazo el cuadro del mundial </v>
      </c>
      <c r="M45" s="685"/>
      <c r="N45" s="685"/>
      <c r="O45" s="685"/>
      <c r="P45" s="685"/>
      <c r="Q45" s="685"/>
      <c r="R45" s="685"/>
      <c r="S45" s="695"/>
      <c r="T45" s="696"/>
    </row>
    <row r="84" spans="13:25" ht="60" customHeight="1" x14ac:dyDescent="0.2">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x14ac:dyDescent="0.2">
      <c r="M86" s="493" t="s">
        <v>1791</v>
      </c>
      <c r="T86" s="493" t="s">
        <v>1795</v>
      </c>
      <c r="U86" s="493" t="s">
        <v>1792</v>
      </c>
      <c r="V86" s="493" t="s">
        <v>1793</v>
      </c>
      <c r="W86" s="493" t="s">
        <v>1800</v>
      </c>
      <c r="X86" s="493" t="s">
        <v>1801</v>
      </c>
      <c r="Y86" s="493" t="s">
        <v>1802</v>
      </c>
    </row>
    <row r="87" spans="13:25" x14ac:dyDescent="0.2">
      <c r="M87" s="672" t="s">
        <v>1794</v>
      </c>
      <c r="N87" s="11" t="str">
        <f>IFERROR(IF(J18="",$U$87,INDEX($U$87:$U$91,MATCH(M87,$T$87:$T$91,0))),"")</f>
        <v>Irán</v>
      </c>
      <c r="O87" s="11" t="str">
        <f>IFERROR(IF(J18="",$V$87,INDEX($V$87:$V$91,MATCH(M87,$T$87:$T$91,0))),"")</f>
        <v>Iran</v>
      </c>
      <c r="T87" s="700" t="s">
        <v>1794</v>
      </c>
      <c r="U87" s="8" t="s">
        <v>1262</v>
      </c>
      <c r="V87" s="8" t="s">
        <v>1282</v>
      </c>
      <c r="W87" s="8" t="s">
        <v>1283</v>
      </c>
      <c r="X87" s="8" t="e" vm="49">
        <v>#VALUE!</v>
      </c>
      <c r="Y87" s="8">
        <v>3.5</v>
      </c>
    </row>
    <row r="88" spans="13:25" x14ac:dyDescent="0.2">
      <c r="T88" s="700" t="s">
        <v>1796</v>
      </c>
      <c r="U88" s="8" t="s">
        <v>1755</v>
      </c>
      <c r="V88" s="8" t="s">
        <v>1756</v>
      </c>
      <c r="W88" s="8" t="s">
        <v>1760</v>
      </c>
      <c r="X88" s="700" t="e" vm="50">
        <v>#VALUE!</v>
      </c>
      <c r="Y88" s="8">
        <v>4</v>
      </c>
    </row>
    <row r="89" spans="13:25" x14ac:dyDescent="0.2">
      <c r="T89" s="700" t="s">
        <v>1797</v>
      </c>
      <c r="U89" s="8" t="s">
        <v>1786</v>
      </c>
      <c r="V89" s="8" t="s">
        <v>1786</v>
      </c>
      <c r="W89" s="701" t="s">
        <v>1787</v>
      </c>
      <c r="X89" s="700" t="e" vm="51">
        <v>#VALUE!</v>
      </c>
      <c r="Y89" s="8">
        <v>-4</v>
      </c>
    </row>
    <row r="90" spans="13:25" x14ac:dyDescent="0.2">
      <c r="T90" s="700" t="s">
        <v>1798</v>
      </c>
      <c r="U90" s="8" t="s">
        <v>1788</v>
      </c>
      <c r="V90" s="8" t="s">
        <v>1789</v>
      </c>
      <c r="W90" s="702" t="s">
        <v>1790</v>
      </c>
      <c r="X90" s="700" t="e" vm="52">
        <v>#VALUE!</v>
      </c>
      <c r="Y90" s="8">
        <v>-3</v>
      </c>
    </row>
    <row r="91" spans="13:25" x14ac:dyDescent="0.2">
      <c r="T91" s="700" t="s">
        <v>1799</v>
      </c>
      <c r="U91" s="8" t="str">
        <f>N93</f>
        <v>Escribe la selección</v>
      </c>
      <c r="V91" s="8" t="str">
        <f>O93</f>
        <v>Write the nation</v>
      </c>
      <c r="W91" s="8" t="str">
        <f>IF(Q93="","",Q93)</f>
        <v/>
      </c>
      <c r="X91" s="8" t="str">
        <f>IF(R93="","",R93)</f>
        <v/>
      </c>
      <c r="Y91" s="8">
        <f>IF(P93="",-4,P93)</f>
        <v>-4</v>
      </c>
    </row>
    <row r="92" spans="13:25" ht="19.149999999999999" customHeight="1" x14ac:dyDescent="0.2">
      <c r="N92" s="493" t="s">
        <v>1792</v>
      </c>
      <c r="O92" s="493" t="s">
        <v>1793</v>
      </c>
      <c r="P92" s="493" t="s">
        <v>1807</v>
      </c>
      <c r="Q92" s="493" t="s">
        <v>1804</v>
      </c>
      <c r="R92" s="493" t="s">
        <v>1801</v>
      </c>
    </row>
    <row r="93" spans="13:25" ht="25.15" customHeight="1" x14ac:dyDescent="0.2">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5" x14ac:dyDescent="0.2"/>
  <cols>
    <col min="1" max="1" width="3.359375" style="20" customWidth="1"/>
    <col min="2" max="2" width="2.6875" style="8" customWidth="1"/>
    <col min="3" max="3" width="5.6484375" style="1" bestFit="1" customWidth="1"/>
    <col min="4" max="5" width="3.359375" style="1" customWidth="1"/>
    <col min="6" max="6" width="6.05078125" style="1" customWidth="1"/>
    <col min="7" max="7" width="2.41796875" style="1" bestFit="1" customWidth="1"/>
    <col min="8" max="9" width="3.765625" style="1" customWidth="1"/>
    <col min="10" max="10" width="4.4375" style="1" customWidth="1"/>
    <col min="11" max="11" width="4.83984375" style="1" customWidth="1"/>
    <col min="12" max="12" width="3.359375" style="1" hidden="1" customWidth="1"/>
    <col min="13" max="13" width="1.61328125" style="20" customWidth="1"/>
    <col min="14" max="14" width="2.6875" style="8" customWidth="1"/>
    <col min="15" max="15" width="4.3046875" style="1" bestFit="1" customWidth="1"/>
    <col min="16" max="17" width="3.359375" style="1" customWidth="1"/>
    <col min="18" max="18" width="5.109375" style="1" bestFit="1" customWidth="1"/>
    <col min="19" max="19" width="2.41796875" style="1" bestFit="1" customWidth="1"/>
    <col min="20" max="20" width="4.3046875" style="1" bestFit="1" customWidth="1"/>
    <col min="21" max="22" width="3.62890625" style="1" customWidth="1"/>
    <col min="23" max="23" width="4.83984375" style="1" customWidth="1"/>
    <col min="24" max="24" width="4.3046875" style="20" hidden="1" customWidth="1"/>
    <col min="25" max="25" width="2.82421875" style="8" customWidth="1"/>
    <col min="26" max="26" width="7.3984375" style="8" bestFit="1" customWidth="1"/>
    <col min="27" max="27" width="5.78125" style="1" customWidth="1"/>
    <col min="28" max="29" width="4.3046875" style="1" customWidth="1"/>
    <col min="30" max="30" width="2.82421875" style="8" customWidth="1"/>
    <col min="31" max="31" width="5.78125" style="1" customWidth="1"/>
    <col min="32" max="33" width="4.3046875" style="1" customWidth="1"/>
    <col min="34" max="34" width="2.82421875" style="8" customWidth="1"/>
    <col min="35" max="35" width="5.78125" style="1" customWidth="1"/>
    <col min="36" max="37" width="4.3046875" style="1" customWidth="1"/>
    <col min="38" max="38" width="2.82421875" style="8" customWidth="1"/>
    <col min="39" max="39" width="5.78125" style="1" customWidth="1"/>
    <col min="40" max="41" width="4.3046875" style="1" customWidth="1"/>
    <col min="42" max="42" width="2.82421875" style="8" customWidth="1"/>
    <col min="43" max="43" width="5.78125" style="1" customWidth="1"/>
    <col min="44" max="45" width="4.3046875" style="1" customWidth="1"/>
    <col min="46" max="46" width="2.82421875" style="8" customWidth="1"/>
    <col min="47" max="47" width="5.78125" style="1" customWidth="1"/>
    <col min="48" max="49" width="4.3046875" style="1" customWidth="1"/>
    <col min="50" max="50" width="4.03515625" style="1" bestFit="1" customWidth="1"/>
    <col min="51" max="51" width="3.359375" style="1" customWidth="1"/>
    <col min="52" max="54" width="7.80078125" style="1" customWidth="1"/>
    <col min="55" max="55" width="3.359375" style="1" customWidth="1"/>
    <col min="56" max="58" width="2.41796875" style="1" bestFit="1" customWidth="1"/>
    <col min="59" max="59" width="18.4296875" style="1" customWidth="1"/>
    <col min="60" max="67" width="4.83984375" style="1" customWidth="1"/>
    <col min="68" max="68" width="10.76171875" style="1" customWidth="1"/>
    <col min="69" max="16384" width="10.76171875" style="1" hidden="1"/>
  </cols>
  <sheetData>
    <row r="1" spans="1:67" ht="7.9" customHeight="1" x14ac:dyDescent="0.2">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5" customHeight="1" thickBot="1" x14ac:dyDescent="0.25">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x14ac:dyDescent="0.25">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x14ac:dyDescent="0.25">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 ca="1">+MID(INDEX(WORLDCUP!$AA$101:$AA$147,MATCH(AD4,WORLDCUP!$Z$101:$Z$147,0)),1,3)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x14ac:dyDescent="0.2">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x14ac:dyDescent="0.25">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x14ac:dyDescent="0.25">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x14ac:dyDescent="0.25">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x14ac:dyDescent="0.25">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x14ac:dyDescent="0.25">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 ca="1">+MID(INDEX(WORLDCUP!$AA$101:$AA$147,MATCH(AD10,WORLDCUP!$Z$101:$Z$147,0)),1,3)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1</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x14ac:dyDescent="0.2">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x14ac:dyDescent="0.25">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1</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x14ac:dyDescent="0.25">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 ca="1">+MID(INDEX(WORLDCUP!$AA$101:$AA$147,MATCH(AL13,WORLDCUP!$Z$101:$Z$147,0)),1,3)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x14ac:dyDescent="0.2">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1</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x14ac:dyDescent="0.25">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x14ac:dyDescent="0.25">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 ca="1">+MID(INDEX(WORLDCUP!$AA$101:$AA$147,MATCH(AD16,WORLDCUP!$Z$101:$Z$147,0)),1,3)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x14ac:dyDescent="0.2">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x14ac:dyDescent="0.25">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x14ac:dyDescent="0.25">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x14ac:dyDescent="0.2">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x14ac:dyDescent="0.25">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 ca="1">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x14ac:dyDescent="0.25">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 ca="1">+MID(INDEX(WORLDCUP!$AA$101:$AA$147,MATCH(AD22,WORLDCUP!$Z$101:$Z$147,0)),1,3)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1</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x14ac:dyDescent="0.2">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 ca="1">+WORLDCUP!AA151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x14ac:dyDescent="0.25">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1</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x14ac:dyDescent="0.25">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 ca="1">+WORLDCUP!AA152</f>
        <v>W34</v>
      </c>
      <c r="BA25" s="616"/>
      <c r="BB25" s="619"/>
      <c r="BC25" s="615"/>
      <c r="BD25" s="297"/>
      <c r="BE25" s="297"/>
      <c r="BG25" s="547" t="str">
        <f ca="1">Horarios!Q24</f>
        <v>Estados Unidos</v>
      </c>
      <c r="BH25" s="548">
        <f t="shared" ca="1" si="0"/>
        <v>0</v>
      </c>
      <c r="BI25" s="548">
        <f ca="1">COUNTIF(ADMIN!$M$130:$M$161,Fixture!BG25)-BJ25-BK25-BL25-BM25-BN25-BO25</f>
        <v>1</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x14ac:dyDescent="0.25">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 ca="1">+MID(INDEX(WORLDCUP!$AF$101:$AF$147,MATCH(AT26,WORLDCUP!$Z$101:$Z$147,0)),1,4)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1</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x14ac:dyDescent="0.25">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x14ac:dyDescent="0.25">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6</v>
      </c>
      <c r="V28" s="535">
        <f ca="1">+INDEX(WORLDCUP!$AT$6:$AT$97,MATCH(X28,WORLDCUP!$AI$6:$AI$97,0))</f>
        <v>5</v>
      </c>
      <c r="W28" s="536" t="str">
        <f ca="1">+INDEX(WORLDCUP!$AR$6:$AR$97,MATCH(X28,WORLDCUP!$AI$6:$AI$97,0))&amp;"-"&amp;INDEX(WORLDCUP!$AS$6:$AS$97,MATCH(X28,WORLDCUP!$AI$6:$AI$97,0))</f>
        <v>5-0</v>
      </c>
      <c r="X28" s="19" t="s">
        <v>676</v>
      </c>
      <c r="Y28" s="19">
        <v>76</v>
      </c>
      <c r="Z28" s="510" t="s">
        <v>665</v>
      </c>
      <c r="AA28" s="511" t="str">
        <f ca="1">+MID(INDEX(WORLDCUP!$AF$101:$AF$147,MATCH(Y28,WORLDCUP!$Z$101:$Z$147,0)),1,3)</f>
        <v>Jap</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 ca="1">+MID(INDEX(WORLDCUP!$AA$101:$AA$147,MATCH(AD28,WORLDCUP!$Z$101:$Z$147,0)),1,3)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x14ac:dyDescent="0.2">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0</v>
      </c>
      <c r="W29" s="225" t="str">
        <f ca="1">+INDEX(WORLDCUP!$AR$6:$AR$97,MATCH(X29,WORLDCUP!$AI$6:$AI$97,0))&amp;"-"&amp;INDEX(WORLDCUP!$AS$6:$AS$97,MATCH(X29,WORLDCUP!$AI$6:$AI$97,0))</f>
        <v>3-3</v>
      </c>
      <c r="X29" s="19" t="s">
        <v>677</v>
      </c>
      <c r="Y29" s="19"/>
      <c r="Z29" s="510"/>
      <c r="AA29" s="554"/>
      <c r="AB29" s="554"/>
      <c r="AC29" s="555"/>
      <c r="AD29" s="19">
        <v>91</v>
      </c>
      <c r="AE29" s="541" t="str">
        <f ca="1">+MID(INDEX(WORLDCUP!$AF$101:$AF$147,MATCH(AD29,WORLDCUP!$Z$101:$Z$147,0)),1,3)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x14ac:dyDescent="0.25">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3</v>
      </c>
      <c r="V30" s="224">
        <f ca="1">+INDEX(WORLDCUP!$AT$6:$AT$97,MATCH(X30,WORLDCUP!$AI$6:$AI$97,0))</f>
        <v>-2</v>
      </c>
      <c r="W30" s="225" t="str">
        <f ca="1">+INDEX(WORLDCUP!$AR$6:$AR$97,MATCH(X30,WORLDCUP!$AI$6:$AI$97,0))&amp;"-"&amp;INDEX(WORLDCUP!$AS$6:$AS$97,MATCH(X30,WORLDCUP!$AI$6:$AI$97,0))</f>
        <v>2-4</v>
      </c>
      <c r="X30" s="19" t="s">
        <v>441</v>
      </c>
      <c r="Y30" s="19">
        <v>78</v>
      </c>
      <c r="Z30" s="510" t="s">
        <v>662</v>
      </c>
      <c r="AA30" s="511" t="str">
        <f ca="1">+MID(INDEX(WORLDCUP!$AA$101:$AA$147,MATCH(Y30,WORLDCUP!$Z$101:$Z$147,0)),1,3)</f>
        <v>Cos</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x14ac:dyDescent="0.25">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-3</v>
      </c>
      <c r="W31" s="564" t="str">
        <f ca="1">+INDEX(WORLDCUP!$AR$6:$AR$97,MATCH(X31,WORLDCUP!$AI$6:$AI$97,0))&amp;"-"&amp;INDEX(WORLDCUP!$AS$6:$AS$97,MATCH(X31,WORLDCUP!$AI$6:$AI$97,0))</f>
        <v>2-5</v>
      </c>
      <c r="X31" s="19" t="s">
        <v>678</v>
      </c>
      <c r="Y31" s="19">
        <v>78</v>
      </c>
      <c r="Z31" s="510" t="s">
        <v>674</v>
      </c>
      <c r="AA31" s="565" t="str">
        <f ca="1">+MID(INDEX(WORLDCUP!$AF$101:$AF$147,MATCH(Y31,WORLDCUP!$Z$101:$Z$147,0)),1,3)</f>
        <v>Nor</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x14ac:dyDescent="0.25">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 ca="1">+MID(INDEX(WORLDCUP!$AF$101:$AF$147,MATCH(AP32,WORLDCUP!$Z$101:$Z$147,0)),1,4)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x14ac:dyDescent="0.25">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x14ac:dyDescent="0.25">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 ca="1">+MID(INDEX(WORLDCUP!$AA$101:$AA$147,MATCH(AD34,WORLDCUP!$Z$101:$Z$147,0)),1,3)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1</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x14ac:dyDescent="0.2">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1</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x14ac:dyDescent="0.25">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6</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1</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x14ac:dyDescent="0.25">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4</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x14ac:dyDescent="0.2">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-1</v>
      </c>
      <c r="W38" s="225" t="str">
        <f ca="1">+INDEX(WORLDCUP!$AR$6:$AR$97,MATCH(X38,WORLDCUP!$AI$6:$AI$97,0))&amp;"-"&amp;INDEX(WORLDCUP!$AS$6:$AS$97,MATCH(X38,WORLDCUP!$AI$6:$AI$97,0))</f>
        <v>1-2</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x14ac:dyDescent="0.25">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-7</v>
      </c>
      <c r="W39" s="564" t="str">
        <f ca="1">+INDEX(WORLDCUP!$AR$6:$AR$97,MATCH(X39,WORLDCUP!$AI$6:$AI$97,0))&amp;"-"&amp;INDEX(WORLDCUP!$AS$6:$AS$97,MATCH(X39,WORLDCUP!$AI$6:$AI$97,0))</f>
        <v>1-8</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x14ac:dyDescent="0.25">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 ca="1">+MID(INDEX(WORLDCUP!$AA$101:$AA$147,MATCH(AD40,WORLDCUP!$Z$101:$Z$147,0)),1,3)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x14ac:dyDescent="0.2">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x14ac:dyDescent="0.25">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x14ac:dyDescent="0.25">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 ca="1">+MID(INDEX(WORLDCUP!$AA$101:$AA$147,MATCH(AH43,WORLDCUP!$Z$101:$Z$147,0)),1,3)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x14ac:dyDescent="0.2">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4</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 ca="1">+MID(INDEX(WORLDCUP!$AF$101:$AF$147,MATCH(AH44,WORLDCUP!$Z$101:$Z$147,0)),1,3)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x14ac:dyDescent="0.25">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Gha</v>
      </c>
      <c r="U45" s="223">
        <f ca="1">+INDEX(WORLDCUP!$AM$6:$AM$97,MATCH(X45,WORLDCUP!$AI$6:$AI$97,0))</f>
        <v>4</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x14ac:dyDescent="0.25">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Cro</v>
      </c>
      <c r="U46" s="223">
        <f ca="1">+INDEX(WORLDCUP!$AM$6:$AM$97,MATCH(X46,WORLDCUP!$AI$6:$AI$97,0))</f>
        <v>3</v>
      </c>
      <c r="V46" s="224">
        <f ca="1">+INDEX(WORLDCUP!$AT$6:$AT$97,MATCH(X46,WORLDCUP!$AI$6:$AI$97,0))</f>
        <v>-1</v>
      </c>
      <c r="W46" s="225" t="str">
        <f ca="1">+INDEX(WORLDCUP!$AR$6:$AR$97,MATCH(X46,WORLDCUP!$AI$6:$AI$97,0))&amp;"-"&amp;INDEX(WORLDCUP!$AS$6:$AS$97,MATCH(X46,WORLDCUP!$AI$6:$AI$97,0))</f>
        <v>3-4</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 ca="1">+MID(INDEX(WORLDCUP!$AA$101:$AA$147,MATCH(AD46,WORLDCUP!$Z$101:$Z$147,0)),1,3)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x14ac:dyDescent="0.2">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-2</v>
      </c>
      <c r="W47" s="564" t="str">
        <f ca="1">+INDEX(WORLDCUP!$AR$6:$AR$97,MATCH(X47,WORLDCUP!$AI$6:$AI$97,0))&amp;"-"&amp;INDEX(WORLDCUP!$AS$6:$AS$97,MATCH(X47,WORLDCUP!$AI$6:$AI$97,0))</f>
        <v>0-2</v>
      </c>
      <c r="X47" s="19" t="s">
        <v>684</v>
      </c>
      <c r="Y47" s="19"/>
      <c r="Z47" s="510"/>
      <c r="AA47" s="554"/>
      <c r="AB47" s="554"/>
      <c r="AC47" s="555"/>
      <c r="AD47" s="19">
        <v>96</v>
      </c>
      <c r="AE47" s="541" t="str">
        <f ca="1">+MID(INDEX(WORLDCUP!$AF$101:$AF$147,MATCH(AD47,WORLDCUP!$Z$101:$Z$147,0)),1,3)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x14ac:dyDescent="0.25">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x14ac:dyDescent="0.2">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x14ac:dyDescent="0.2">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x14ac:dyDescent="0.2">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x14ac:dyDescent="0.2">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x14ac:dyDescent="0.2">
      <c r="W53" s="8"/>
      <c r="X53" s="1"/>
      <c r="BB53" s="586"/>
    </row>
    <row r="54" spans="1:67" x14ac:dyDescent="0.2">
      <c r="W54" s="8"/>
      <c r="X54" s="1"/>
      <c r="BB54" s="586"/>
    </row>
    <row r="55" spans="1:67" x14ac:dyDescent="0.2">
      <c r="W55" s="8"/>
      <c r="X55" s="1"/>
      <c r="BB55" s="586"/>
    </row>
    <row r="56" spans="1:67" x14ac:dyDescent="0.2">
      <c r="W56" s="8"/>
      <c r="X56" s="1"/>
      <c r="BB56" s="586"/>
    </row>
    <row r="57" spans="1:67" x14ac:dyDescent="0.2">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53125" defaultRowHeight="15" customHeight="1" x14ac:dyDescent="0.2"/>
  <cols>
    <col min="1" max="1" width="6.72265625" style="5" bestFit="1" customWidth="1"/>
    <col min="2" max="2" width="16.8125" style="5" customWidth="1"/>
    <col min="3" max="3" width="11.43359375" style="5" customWidth="1"/>
    <col min="4" max="4" width="8.7421875" style="5" bestFit="1" customWidth="1"/>
    <col min="5" max="5" width="11.296875" style="5" customWidth="1"/>
    <col min="6" max="6" width="15.33203125" style="5" customWidth="1"/>
    <col min="7" max="7" width="4.16796875" style="5" bestFit="1" customWidth="1"/>
    <col min="8" max="8" width="20.4453125" style="5"/>
    <col min="9" max="9" width="13.046875" style="5" customWidth="1"/>
    <col min="10" max="10" width="11.97265625" style="5" customWidth="1"/>
    <col min="11" max="11" width="20.4453125" style="5"/>
    <col min="12" max="13" width="0" style="5" hidden="1" customWidth="1"/>
    <col min="14" max="14" width="4.4375" style="721" customWidth="1"/>
    <col min="15" max="27" width="20.4453125" style="722"/>
    <col min="28" max="16384" width="20.4453125" style="9"/>
  </cols>
  <sheetData>
    <row r="1" spans="1:24" ht="15" customHeight="1" x14ac:dyDescent="0.2">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x14ac:dyDescent="0.2">
      <c r="A2" s="5">
        <v>1</v>
      </c>
      <c r="B2" s="5" t="str">
        <f ca="1">+INDEX(Idiomas!$D$212:$D$259,MATCH(T_Equipos[[#This Row],[Num]],Idiomas!$C$212:$C$259,0))</f>
        <v>México</v>
      </c>
      <c r="C2" s="5" t="s">
        <v>0</v>
      </c>
      <c r="D2" s="5">
        <v>1</v>
      </c>
      <c r="F2" s="5" t="s">
        <v>0</v>
      </c>
      <c r="K2" s="8" t="str">
        <f ca="1">Idiomas!D212</f>
        <v>Alemania</v>
      </c>
      <c r="L2" s="8" t="s">
        <v>144</v>
      </c>
      <c r="M2" s="8" t="e" vm="53">
        <v>#VALUE!</v>
      </c>
      <c r="O2" s="781">
        <v>1</v>
      </c>
      <c r="P2" s="725"/>
      <c r="Q2" s="785" cm="1">
        <f t="array" aca="1" ref="Q2" ca="1">IFERROR(MIN(IF(COUNTIF($Q$1:Q1,ADMIN!$H$6:$H$77)=0,ADMIN!$H$6:$H$77)),"")</f>
        <v>46184</v>
      </c>
      <c r="R2" s="784">
        <v>1</v>
      </c>
      <c r="S2" s="726"/>
      <c r="T2" s="786">
        <v>0.05</v>
      </c>
      <c r="X2" s="9"/>
    </row>
    <row r="3" spans="1:24" ht="15" customHeight="1" x14ac:dyDescent="0.2">
      <c r="A3" s="5">
        <v>2</v>
      </c>
      <c r="B3" s="5" t="str">
        <f ca="1">+INDEX(Idiomas!$D$212:$D$259,MATCH(T_Equipos[[#This Row],[Num]],Idiomas!$C$212:$C$259,0))</f>
        <v>Sudáfrica</v>
      </c>
      <c r="C3" s="5" t="s">
        <v>0</v>
      </c>
      <c r="D3" s="5">
        <v>2</v>
      </c>
      <c r="F3" s="5" t="s">
        <v>1</v>
      </c>
      <c r="K3" s="8" t="str">
        <f ca="1">Idiomas!D213</f>
        <v>Arabia Saudita</v>
      </c>
      <c r="L3" s="8" t="s">
        <v>1640</v>
      </c>
      <c r="M3" s="8" t="e" vm="54">
        <v>#VALUE!</v>
      </c>
      <c r="O3" s="781">
        <v>2</v>
      </c>
      <c r="P3" s="725"/>
      <c r="Q3" s="785" cm="1">
        <f t="array" aca="1" ref="Q3" ca="1">IFERROR(MIN(IF(COUNTIF($Q$1:Q2,ADMIN!$H$6:$H$77)=0,ADMIN!$H$6:$H$77)),"")</f>
        <v>46185</v>
      </c>
      <c r="R3" s="784">
        <v>2</v>
      </c>
      <c r="S3" s="726"/>
      <c r="T3" s="786">
        <v>0.1</v>
      </c>
      <c r="X3" s="9"/>
    </row>
    <row r="4" spans="1:24" ht="15" customHeight="1" x14ac:dyDescent="0.2">
      <c r="A4" s="5">
        <v>3</v>
      </c>
      <c r="B4" s="5" t="str">
        <f ca="1">+INDEX(Idiomas!$D$212:$D$259,MATCH(T_Equipos[[#This Row],[Num]],Idiomas!$C$212:$C$259,0))</f>
        <v>Corea del Sur</v>
      </c>
      <c r="C4" s="5" t="s">
        <v>0</v>
      </c>
      <c r="D4" s="5">
        <v>3</v>
      </c>
      <c r="F4" s="5" t="s">
        <v>2</v>
      </c>
      <c r="K4" s="8" t="str">
        <f ca="1">Idiomas!D214</f>
        <v>Argelia</v>
      </c>
      <c r="L4" s="8" t="s">
        <v>1560</v>
      </c>
      <c r="M4" s="8" t="e" vm="55">
        <v>#VALUE!</v>
      </c>
      <c r="O4" s="781">
        <v>3</v>
      </c>
      <c r="P4" s="725"/>
      <c r="Q4" s="785" cm="1">
        <f t="array" aca="1" ref="Q4" ca="1">IFERROR(MIN(IF(COUNTIF($Q$1:Q3,ADMIN!$H$6:$H$77)=0,ADMIN!$H$6:$H$77)),"")</f>
        <v>46186</v>
      </c>
      <c r="R4" s="784">
        <v>3</v>
      </c>
      <c r="S4" s="726"/>
      <c r="T4" s="786">
        <v>0.15</v>
      </c>
      <c r="X4" s="9"/>
    </row>
    <row r="5" spans="1:24" ht="15" customHeight="1" x14ac:dyDescent="0.2">
      <c r="A5" s="5">
        <v>4</v>
      </c>
      <c r="B5" s="5" t="str">
        <f ca="1">+INDEX(Idiomas!$D$212:$D$259,MATCH(T_Equipos[[#This Row],[Num]],Idiomas!$C$212:$C$259,0))</f>
        <v>República Checa</v>
      </c>
      <c r="C5" s="5" t="s">
        <v>0</v>
      </c>
      <c r="D5" s="5">
        <v>4</v>
      </c>
      <c r="F5" s="5" t="s">
        <v>73</v>
      </c>
      <c r="K5" s="8" t="str">
        <f ca="1">Idiomas!D215</f>
        <v>Argentina</v>
      </c>
      <c r="L5" s="8" t="s">
        <v>1272</v>
      </c>
      <c r="M5" s="8" t="e" vm="56">
        <v>#VALUE!</v>
      </c>
      <c r="O5" s="781">
        <v>4</v>
      </c>
      <c r="P5" s="725"/>
      <c r="Q5" s="785" cm="1">
        <f t="array" aca="1" ref="Q5" ca="1">IFERROR(MIN(IF(COUNTIF($Q$1:Q4,ADMIN!$H$6:$H$77)=0,ADMIN!$H$6:$H$77)),"")</f>
        <v>46187</v>
      </c>
      <c r="R5" s="784">
        <v>4</v>
      </c>
      <c r="S5" s="726"/>
      <c r="T5" s="786">
        <v>0.2</v>
      </c>
      <c r="X5" s="9"/>
    </row>
    <row r="6" spans="1:24" ht="15" customHeight="1" x14ac:dyDescent="0.2">
      <c r="A6" s="5">
        <v>5</v>
      </c>
      <c r="B6" s="5" t="str">
        <f ca="1">+INDEX(Idiomas!$D$212:$D$259,MATCH(T_Equipos[[#This Row],[Num]],Idiomas!$C$212:$C$259,0))</f>
        <v>Canadá</v>
      </c>
      <c r="C6" s="5" t="s">
        <v>1</v>
      </c>
      <c r="D6" s="5">
        <v>1</v>
      </c>
      <c r="F6" s="5" t="s">
        <v>3</v>
      </c>
      <c r="K6" s="8" t="str">
        <f ca="1">Idiomas!D216</f>
        <v>Australia</v>
      </c>
      <c r="L6" s="8" t="s">
        <v>1273</v>
      </c>
      <c r="M6" s="8" t="e" vm="57">
        <v>#VALUE!</v>
      </c>
      <c r="O6" s="781">
        <v>5</v>
      </c>
      <c r="P6" s="725"/>
      <c r="Q6" s="785" cm="1">
        <f t="array" aca="1" ref="Q6" ca="1">IFERROR(MIN(IF(COUNTIF($Q$1:Q5,ADMIN!$H$6:$H$77)=0,ADMIN!$H$6:$H$77)),"")</f>
        <v>46188</v>
      </c>
      <c r="R6" s="784">
        <v>5</v>
      </c>
      <c r="S6" s="726"/>
      <c r="T6" s="786">
        <v>0.25</v>
      </c>
      <c r="X6" s="9"/>
    </row>
    <row r="7" spans="1:24" ht="15" customHeight="1" x14ac:dyDescent="0.2">
      <c r="A7" s="5">
        <v>6</v>
      </c>
      <c r="B7" s="5" t="str">
        <f ca="1">+INDEX(Idiomas!$D$212:$D$259,MATCH(T_Equipos[[#This Row],[Num]],Idiomas!$C$212:$C$259,0))</f>
        <v>Bosnia y Herzegovina</v>
      </c>
      <c r="C7" s="5" t="s">
        <v>1</v>
      </c>
      <c r="D7" s="5">
        <v>2</v>
      </c>
      <c r="F7" s="5" t="s">
        <v>4</v>
      </c>
      <c r="K7" s="8" t="str">
        <f ca="1">Idiomas!D217</f>
        <v>Austria</v>
      </c>
      <c r="L7" s="781" t="s">
        <v>145</v>
      </c>
      <c r="M7" s="781" t="e" vm="58">
        <v>#VALUE!</v>
      </c>
      <c r="O7" s="781">
        <v>6</v>
      </c>
      <c r="P7" s="725"/>
      <c r="Q7" s="785" cm="1">
        <f t="array" aca="1" ref="Q7" ca="1">IFERROR(MIN(IF(COUNTIF($Q$1:Q6,ADMIN!$H$6:$H$77)=0,ADMIN!$H$6:$H$77)),"")</f>
        <v>46189</v>
      </c>
      <c r="R7" s="784">
        <v>6</v>
      </c>
      <c r="S7" s="726"/>
      <c r="T7" s="786">
        <v>0.3</v>
      </c>
      <c r="X7" s="9"/>
    </row>
    <row r="8" spans="1:24" ht="15" customHeight="1" x14ac:dyDescent="0.2">
      <c r="A8" s="5">
        <v>7</v>
      </c>
      <c r="B8" s="5" t="str">
        <f ca="1">+INDEX(Idiomas!$D$212:$D$259,MATCH(T_Equipos[[#This Row],[Num]],Idiomas!$C$212:$C$259,0))</f>
        <v>Catar</v>
      </c>
      <c r="C8" s="5" t="s">
        <v>1</v>
      </c>
      <c r="D8" s="5">
        <v>3</v>
      </c>
      <c r="F8" s="5" t="s">
        <v>6</v>
      </c>
      <c r="K8" s="8" t="str">
        <f ca="1">Idiomas!D218</f>
        <v>Bélgica</v>
      </c>
      <c r="L8" s="8" t="s">
        <v>140</v>
      </c>
      <c r="M8" s="8" t="e" vm="59">
        <v>#VALUE!</v>
      </c>
      <c r="O8" s="781">
        <v>7</v>
      </c>
      <c r="P8" s="725"/>
      <c r="Q8" s="785" cm="1">
        <f t="array" aca="1" ref="Q8" ca="1">IFERROR(MIN(IF(COUNTIF($Q$1:Q7,ADMIN!$H$6:$H$77)=0,ADMIN!$H$6:$H$77)),"")</f>
        <v>46190</v>
      </c>
      <c r="R8" s="784">
        <v>7</v>
      </c>
      <c r="S8" s="726"/>
      <c r="T8" s="786">
        <v>0.35</v>
      </c>
      <c r="X8" s="9"/>
    </row>
    <row r="9" spans="1:24" ht="15" customHeight="1" x14ac:dyDescent="0.2">
      <c r="A9" s="5">
        <v>8</v>
      </c>
      <c r="B9" s="5" t="str">
        <f ca="1">+INDEX(Idiomas!$D$212:$D$259,MATCH(T_Equipos[[#This Row],[Num]],Idiomas!$C$212:$C$259,0))</f>
        <v>Suiza</v>
      </c>
      <c r="C9" s="5" t="s">
        <v>1</v>
      </c>
      <c r="D9" s="5">
        <v>4</v>
      </c>
      <c r="F9" s="5" t="s">
        <v>437</v>
      </c>
      <c r="K9" s="8" t="str">
        <f ca="1">Idiomas!D219</f>
        <v>Brasil</v>
      </c>
      <c r="L9" s="8" t="s">
        <v>1275</v>
      </c>
      <c r="M9" s="8" t="e" vm="60">
        <v>#VALUE!</v>
      </c>
      <c r="O9" s="781">
        <v>8</v>
      </c>
      <c r="P9" s="725"/>
      <c r="Q9" s="785" cm="1">
        <f t="array" aca="1" ref="Q9" ca="1">IFERROR(MIN(IF(COUNTIF($Q$1:Q8,ADMIN!$H$6:$H$77)=0,ADMIN!$H$6:$H$77)),"")</f>
        <v>46191</v>
      </c>
      <c r="R9" s="784">
        <v>8</v>
      </c>
      <c r="S9" s="726"/>
      <c r="T9" s="786">
        <v>0.4</v>
      </c>
      <c r="X9" s="9"/>
    </row>
    <row r="10" spans="1:24" ht="15" customHeight="1" x14ac:dyDescent="0.2">
      <c r="A10" s="5">
        <v>9</v>
      </c>
      <c r="B10" s="5" t="str">
        <f ca="1">+INDEX(Idiomas!$D$212:$D$259,MATCH(T_Equipos[[#This Row],[Num]],Idiomas!$C$212:$C$259,0))</f>
        <v>Brasil</v>
      </c>
      <c r="C10" s="5" t="s">
        <v>2</v>
      </c>
      <c r="D10" s="5">
        <v>1</v>
      </c>
      <c r="F10" s="5" t="s">
        <v>438</v>
      </c>
      <c r="K10" s="8" t="str">
        <f ca="1">Idiomas!D220</f>
        <v>Cabo Verde</v>
      </c>
      <c r="L10" s="8" t="s">
        <v>1557</v>
      </c>
      <c r="M10" s="8" t="e" vm="61">
        <v>#VALUE!</v>
      </c>
      <c r="O10" s="781">
        <v>9</v>
      </c>
      <c r="P10" s="725"/>
      <c r="Q10" s="785" cm="1">
        <f t="array" aca="1" ref="Q10" ca="1">IFERROR(MIN(IF(COUNTIF($Q$1:Q9,ADMIN!$H$6:$H$77)=0,ADMIN!$H$6:$H$77)),"")</f>
        <v>46192</v>
      </c>
      <c r="R10" s="784">
        <v>9</v>
      </c>
      <c r="S10" s="726"/>
      <c r="T10" s="786">
        <v>0.45</v>
      </c>
      <c r="X10" s="9"/>
    </row>
    <row r="11" spans="1:24" ht="15" customHeight="1" x14ac:dyDescent="0.2">
      <c r="A11" s="5">
        <v>10</v>
      </c>
      <c r="B11" s="5" t="str">
        <f ca="1">+INDEX(Idiomas!$D$212:$D$259,MATCH(T_Equipos[[#This Row],[Num]],Idiomas!$C$212:$C$259,0))</f>
        <v>Marruecos</v>
      </c>
      <c r="C11" s="5" t="s">
        <v>2</v>
      </c>
      <c r="D11" s="5">
        <v>2</v>
      </c>
      <c r="F11" s="5" t="s">
        <v>5</v>
      </c>
      <c r="K11" s="8" t="str">
        <f ca="1">Idiomas!D221</f>
        <v>Canadá</v>
      </c>
      <c r="L11" s="8" t="s">
        <v>1277</v>
      </c>
      <c r="M11" s="8" t="e" vm="62">
        <v>#VALUE!</v>
      </c>
      <c r="O11" s="781">
        <v>10</v>
      </c>
      <c r="P11" s="725"/>
      <c r="Q11" s="785" cm="1">
        <f t="array" aca="1" ref="Q11" ca="1">IFERROR(MIN(IF(COUNTIF($Q$1:Q10,ADMIN!$H$6:$H$77)=0,ADMIN!$H$6:$H$77)),"")</f>
        <v>46193</v>
      </c>
      <c r="R11" s="784">
        <v>10</v>
      </c>
      <c r="S11" s="726"/>
      <c r="T11" s="786">
        <v>0.5</v>
      </c>
      <c r="X11" s="9"/>
    </row>
    <row r="12" spans="1:24" ht="15" customHeight="1" x14ac:dyDescent="0.2">
      <c r="A12" s="5">
        <v>11</v>
      </c>
      <c r="B12" s="5" t="str">
        <f ca="1">+INDEX(Idiomas!$D$212:$D$259,MATCH(T_Equipos[[#This Row],[Num]],Idiomas!$C$212:$C$259,0))</f>
        <v>Haití</v>
      </c>
      <c r="C12" s="5" t="s">
        <v>2</v>
      </c>
      <c r="D12" s="5">
        <v>3</v>
      </c>
      <c r="F12" s="5" t="s">
        <v>439</v>
      </c>
      <c r="K12" s="8" t="str">
        <f ca="1">Idiomas!D222</f>
        <v>Catar</v>
      </c>
      <c r="L12" s="8" t="s">
        <v>1638</v>
      </c>
      <c r="M12" s="8" t="e" vm="63">
        <v>#VALUE!</v>
      </c>
      <c r="O12" s="781">
        <v>11</v>
      </c>
      <c r="P12" s="725"/>
      <c r="Q12" s="785" cm="1">
        <f t="array" aca="1" ref="Q12" ca="1">IFERROR(MIN(IF(COUNTIF($Q$1:Q11,ADMIN!$H$6:$H$77)=0,ADMIN!$H$6:$H$77)),"")</f>
        <v>46194</v>
      </c>
      <c r="R12" s="784">
        <v>11</v>
      </c>
      <c r="S12" s="726"/>
      <c r="T12" s="786">
        <v>0.55000000000000004</v>
      </c>
      <c r="X12" s="9"/>
    </row>
    <row r="13" spans="1:24" ht="15" customHeight="1" x14ac:dyDescent="0.2">
      <c r="A13" s="5">
        <v>12</v>
      </c>
      <c r="B13" s="5" t="str">
        <f ca="1">+INDEX(Idiomas!$D$212:$D$259,MATCH(T_Equipos[[#This Row],[Num]],Idiomas!$C$212:$C$259,0))</f>
        <v>Escocia</v>
      </c>
      <c r="C13" s="5" t="s">
        <v>2</v>
      </c>
      <c r="D13" s="5">
        <v>4</v>
      </c>
      <c r="F13" s="5" t="s">
        <v>238</v>
      </c>
      <c r="K13" s="8" t="str">
        <f ca="1">Idiomas!D223</f>
        <v>Colombia</v>
      </c>
      <c r="L13" s="8" t="s">
        <v>1325</v>
      </c>
      <c r="M13" s="8" t="e" vm="64">
        <v>#VALUE!</v>
      </c>
      <c r="O13" s="781">
        <v>12</v>
      </c>
      <c r="P13" s="725"/>
      <c r="Q13" s="785" cm="1">
        <f t="array" aca="1" ref="Q13" ca="1">IFERROR(MIN(IF(COUNTIF($Q$1:Q12,ADMIN!$H$6:$H$77)=0,ADMIN!$H$6:$H$77)),"")</f>
        <v>46195</v>
      </c>
      <c r="R13" s="784">
        <v>12</v>
      </c>
      <c r="S13" s="726"/>
      <c r="T13" s="786">
        <v>0.6</v>
      </c>
      <c r="X13" s="9"/>
    </row>
    <row r="14" spans="1:24" ht="15" customHeight="1" x14ac:dyDescent="0.2">
      <c r="A14" s="5">
        <v>13</v>
      </c>
      <c r="B14" s="5" t="str">
        <f ca="1">+INDEX(Idiomas!$D$212:$D$259,MATCH(T_Equipos[[#This Row],[Num]],Idiomas!$C$212:$C$259,0))</f>
        <v>Estados Unidos</v>
      </c>
      <c r="C14" s="5" t="s">
        <v>73</v>
      </c>
      <c r="D14" s="5">
        <v>1</v>
      </c>
      <c r="K14" s="8" t="str">
        <f ca="1">Idiomas!D224</f>
        <v>Corea del Sur</v>
      </c>
      <c r="L14" s="8" t="s">
        <v>1279</v>
      </c>
      <c r="M14" s="8" t="e" vm="65">
        <v>#VALUE!</v>
      </c>
      <c r="O14" s="781">
        <v>13</v>
      </c>
      <c r="P14" s="725"/>
      <c r="Q14" s="785" cm="1">
        <f t="array" aca="1" ref="Q14" ca="1">IFERROR(MIN(IF(COUNTIF($Q$1:Q13,ADMIN!$H$6:$H$77)=0,ADMIN!$H$6:$H$77)),"")</f>
        <v>46196</v>
      </c>
      <c r="R14" s="784">
        <v>13</v>
      </c>
      <c r="S14" s="726"/>
      <c r="T14" s="786">
        <v>0.65</v>
      </c>
      <c r="X14" s="9"/>
    </row>
    <row r="15" spans="1:24" ht="15" customHeight="1" x14ac:dyDescent="0.2">
      <c r="A15" s="5">
        <v>14</v>
      </c>
      <c r="B15" s="5" t="str">
        <f ca="1">+INDEX(Idiomas!$D$212:$D$259,MATCH(T_Equipos[[#This Row],[Num]],Idiomas!$C$212:$C$259,0))</f>
        <v>Paraguay</v>
      </c>
      <c r="C15" s="5" t="s">
        <v>73</v>
      </c>
      <c r="D15" s="5">
        <v>2</v>
      </c>
      <c r="K15" s="8" t="str">
        <f ca="1">Idiomas!D225</f>
        <v>Costa de Marfil</v>
      </c>
      <c r="L15" s="8" t="s">
        <v>1642</v>
      </c>
      <c r="M15" s="11" t="e" vm="66">
        <v>#VALUE!</v>
      </c>
      <c r="O15" s="781">
        <v>14</v>
      </c>
      <c r="P15" s="725"/>
      <c r="Q15" s="785" cm="1">
        <f t="array" aca="1" ref="Q15" ca="1">IFERROR(MIN(IF(COUNTIF($Q$1:Q14,ADMIN!$H$6:$H$77)=0,ADMIN!$H$6:$H$77)),"")</f>
        <v>46197</v>
      </c>
      <c r="R15" s="784">
        <v>14</v>
      </c>
      <c r="S15" s="726"/>
      <c r="T15" s="786">
        <v>0.7</v>
      </c>
      <c r="X15" s="9"/>
    </row>
    <row r="16" spans="1:24" ht="15" customHeight="1" x14ac:dyDescent="0.2">
      <c r="A16" s="5">
        <v>15</v>
      </c>
      <c r="B16" s="5" t="str">
        <f ca="1">+INDEX(Idiomas!$D$212:$D$259,MATCH(T_Equipos[[#This Row],[Num]],Idiomas!$C$212:$C$259,0))</f>
        <v>Australia</v>
      </c>
      <c r="C16" s="5" t="s">
        <v>73</v>
      </c>
      <c r="D16" s="5">
        <v>3</v>
      </c>
      <c r="K16" s="8" t="str">
        <f ca="1">Idiomas!D226</f>
        <v>Croacia</v>
      </c>
      <c r="L16" s="8" t="s">
        <v>143</v>
      </c>
      <c r="M16" s="8" t="e" vm="67">
        <v>#VALUE!</v>
      </c>
      <c r="O16" s="781">
        <v>15</v>
      </c>
      <c r="P16" s="725"/>
      <c r="Q16" s="785" cm="1">
        <f t="array" aca="1" ref="Q16" ca="1">IFERROR(MIN(IF(COUNTIF($Q$1:Q15,ADMIN!$H$6:$H$77)=0,ADMIN!$H$6:$H$77)),"")</f>
        <v>46198</v>
      </c>
      <c r="R16" s="784">
        <v>15</v>
      </c>
      <c r="S16" s="726"/>
      <c r="T16" s="786">
        <v>0.75</v>
      </c>
      <c r="X16" s="9"/>
    </row>
    <row r="17" spans="1:24" ht="15" customHeight="1" x14ac:dyDescent="0.2">
      <c r="A17" s="5">
        <v>16</v>
      </c>
      <c r="B17" s="5" t="str">
        <f ca="1">+INDEX(Idiomas!$D$212:$D$259,MATCH(T_Equipos[[#This Row],[Num]],Idiomas!$C$212:$C$259,0))</f>
        <v>Turquía</v>
      </c>
      <c r="C17" s="5" t="s">
        <v>73</v>
      </c>
      <c r="D17" s="5">
        <v>4</v>
      </c>
      <c r="K17" s="8" t="str">
        <f ca="1">Idiomas!D227</f>
        <v>Curazao</v>
      </c>
      <c r="L17" s="8" t="s">
        <v>1732</v>
      </c>
      <c r="M17" s="8" t="e" vm="68">
        <v>#VALUE!</v>
      </c>
      <c r="O17" s="781">
        <v>16</v>
      </c>
      <c r="P17" s="725"/>
      <c r="Q17" s="785" cm="1">
        <f t="array" aca="1" ref="Q17" ca="1">IFERROR(MIN(IF(COUNTIF($Q$1:Q16,ADMIN!$H$6:$H$77)=0,ADMIN!$H$6:$H$77)),"")</f>
        <v>46199</v>
      </c>
      <c r="R17" s="784">
        <v>16</v>
      </c>
      <c r="S17" s="726"/>
      <c r="T17" s="786">
        <v>0.8</v>
      </c>
      <c r="X17" s="9"/>
    </row>
    <row r="18" spans="1:24" ht="15" customHeight="1" x14ac:dyDescent="0.2">
      <c r="A18" s="5">
        <v>17</v>
      </c>
      <c r="B18" s="5" t="str">
        <f ca="1">+INDEX(Idiomas!$D$212:$D$259,MATCH(T_Equipos[[#This Row],[Num]],Idiomas!$C$212:$C$259,0))</f>
        <v>Alemania</v>
      </c>
      <c r="C18" s="5" t="s">
        <v>3</v>
      </c>
      <c r="D18" s="5">
        <v>1</v>
      </c>
      <c r="K18" s="8" t="str">
        <f ca="1">Idiomas!D228</f>
        <v>Ecuador</v>
      </c>
      <c r="L18" s="8" t="s">
        <v>1280</v>
      </c>
      <c r="M18" s="11" t="e" vm="69">
        <v>#VALUE!</v>
      </c>
      <c r="O18" s="781">
        <v>17</v>
      </c>
      <c r="P18" s="725"/>
      <c r="Q18" s="785" cm="1">
        <f t="array" aca="1" ref="Q18" ca="1">IFERROR(MIN(IF(COUNTIF($Q$1:Q17,ADMIN!$H$6:$H$77)=0,ADMIN!$H$6:$H$77)),"")</f>
        <v>46200</v>
      </c>
      <c r="R18" s="784">
        <v>17</v>
      </c>
      <c r="S18" s="726"/>
      <c r="T18" s="786">
        <v>0.85</v>
      </c>
      <c r="X18" s="9"/>
    </row>
    <row r="19" spans="1:24" ht="15" customHeight="1" x14ac:dyDescent="0.2">
      <c r="A19" s="5">
        <v>18</v>
      </c>
      <c r="B19" s="5" t="str">
        <f ca="1">+INDEX(Idiomas!$D$212:$D$259,MATCH(T_Equipos[[#This Row],[Num]],Idiomas!$C$212:$C$259,0))</f>
        <v>Curazao</v>
      </c>
      <c r="C19" s="5" t="s">
        <v>3</v>
      </c>
      <c r="D19" s="5">
        <v>2</v>
      </c>
      <c r="K19" s="8" t="str">
        <f ca="1">Idiomas!D229</f>
        <v>Egipto</v>
      </c>
      <c r="L19" s="8" t="s">
        <v>1554</v>
      </c>
      <c r="M19" s="11" t="e" vm="70">
        <v>#VALUE!</v>
      </c>
      <c r="O19" s="781">
        <v>18</v>
      </c>
      <c r="P19" s="725"/>
      <c r="Q19" s="785" cm="1">
        <f t="array" aca="1" ref="Q19" ca="1">IFERROR(MIN(IF(COUNTIF($Q$1:Q18,ADMIN!$H$6:$H$77)=0,ADMIN!$H$6:$H$77)),"")</f>
        <v>46201</v>
      </c>
      <c r="R19" s="784">
        <v>18</v>
      </c>
      <c r="S19" s="726"/>
      <c r="T19" s="786">
        <v>0.9</v>
      </c>
      <c r="X19" s="9"/>
    </row>
    <row r="20" spans="1:24" ht="15" customHeight="1" x14ac:dyDescent="0.2">
      <c r="A20" s="5">
        <v>19</v>
      </c>
      <c r="B20" s="5" t="str">
        <f ca="1">+INDEX(Idiomas!$D$212:$D$259,MATCH(T_Equipos[[#This Row],[Num]],Idiomas!$C$212:$C$259,0))</f>
        <v>Costa de Marfil</v>
      </c>
      <c r="C20" s="5" t="s">
        <v>3</v>
      </c>
      <c r="D20" s="5">
        <v>3</v>
      </c>
      <c r="K20" s="8" t="str">
        <f ca="1">Idiomas!D230</f>
        <v>Escocia</v>
      </c>
      <c r="L20" s="8" t="s">
        <v>146</v>
      </c>
      <c r="M20" s="8" t="e" vm="71">
        <v>#VALUE!</v>
      </c>
      <c r="O20" s="781">
        <v>19</v>
      </c>
      <c r="P20" s="725"/>
      <c r="Q20" s="781" t="str">
        <f>+PROPER(Idiomas!D137)</f>
        <v>Clasificados Para Dieciseisavos</v>
      </c>
      <c r="R20" s="781">
        <v>19</v>
      </c>
      <c r="T20" s="786">
        <v>0.95</v>
      </c>
      <c r="X20" s="9"/>
    </row>
    <row r="21" spans="1:24" ht="15" customHeight="1" x14ac:dyDescent="0.2">
      <c r="A21" s="5">
        <v>20</v>
      </c>
      <c r="B21" s="5" t="str">
        <f ca="1">+INDEX(Idiomas!$D$212:$D$259,MATCH(T_Equipos[[#This Row],[Num]],Idiomas!$C$212:$C$259,0))</f>
        <v>Ecuador</v>
      </c>
      <c r="C21" s="5" t="s">
        <v>3</v>
      </c>
      <c r="D21" s="5">
        <v>4</v>
      </c>
      <c r="K21" s="8" t="str">
        <f ca="1">Idiomas!D231</f>
        <v>España</v>
      </c>
      <c r="L21" s="8" t="s">
        <v>142</v>
      </c>
      <c r="M21" s="8" t="e" vm="72">
        <v>#VALUE!</v>
      </c>
      <c r="O21" s="781">
        <v>20</v>
      </c>
      <c r="Q21" s="785" t="str">
        <f>Idiomas!D260</f>
        <v>Dieciseisavos de final</v>
      </c>
      <c r="R21" s="784">
        <v>20</v>
      </c>
      <c r="T21" s="723"/>
      <c r="X21" s="9"/>
    </row>
    <row r="22" spans="1:24" ht="15" customHeight="1" x14ac:dyDescent="0.2">
      <c r="A22" s="5">
        <v>21</v>
      </c>
      <c r="B22" s="5" t="str">
        <f ca="1">+INDEX(Idiomas!$D$212:$D$259,MATCH(T_Equipos[[#This Row],[Num]],Idiomas!$C$212:$C$259,0))</f>
        <v>Países Bajos</v>
      </c>
      <c r="C22" s="5" t="s">
        <v>4</v>
      </c>
      <c r="D22" s="5">
        <v>1</v>
      </c>
      <c r="K22" s="8" t="str">
        <f ca="1">Idiomas!D232</f>
        <v>Estados Unidos</v>
      </c>
      <c r="L22" s="8" t="s">
        <v>1281</v>
      </c>
      <c r="M22" s="8" t="e" vm="73">
        <v>#VALUE!</v>
      </c>
      <c r="O22" s="781">
        <v>21</v>
      </c>
      <c r="Q22" s="785" t="str">
        <f>Idiomas!D261</f>
        <v>Octavos de final</v>
      </c>
      <c r="R22" s="784">
        <v>21</v>
      </c>
      <c r="T22" s="723"/>
      <c r="X22" s="9"/>
    </row>
    <row r="23" spans="1:24" ht="15" customHeight="1" x14ac:dyDescent="0.2">
      <c r="A23" s="5">
        <v>22</v>
      </c>
      <c r="B23" s="5" t="str">
        <f ca="1">+INDEX(Idiomas!$D$212:$D$259,MATCH(T_Equipos[[#This Row],[Num]],Idiomas!$C$212:$C$259,0))</f>
        <v>Japón</v>
      </c>
      <c r="C23" s="5" t="s">
        <v>4</v>
      </c>
      <c r="D23" s="5">
        <v>2</v>
      </c>
      <c r="K23" s="8" t="str">
        <f ca="1">Idiomas!D233</f>
        <v>Francia</v>
      </c>
      <c r="L23" s="8" t="s">
        <v>141</v>
      </c>
      <c r="M23" s="8" t="e" vm="74">
        <v>#VALUE!</v>
      </c>
      <c r="O23" s="781">
        <v>22</v>
      </c>
      <c r="Q23" s="785" t="str">
        <f>Idiomas!D262</f>
        <v>Cuartos de final</v>
      </c>
      <c r="R23" s="784">
        <v>22</v>
      </c>
      <c r="X23" s="9"/>
    </row>
    <row r="24" spans="1:24" ht="15" customHeight="1" x14ac:dyDescent="0.2">
      <c r="A24" s="5">
        <v>23</v>
      </c>
      <c r="B24" s="5" t="str">
        <f ca="1">+INDEX(Idiomas!$D$212:$D$259,MATCH(T_Equipos[[#This Row],[Num]],Idiomas!$C$212:$C$259,0))</f>
        <v>Suecia</v>
      </c>
      <c r="C24" s="5" t="s">
        <v>4</v>
      </c>
      <c r="D24" s="5">
        <v>3</v>
      </c>
      <c r="K24" s="8" t="str">
        <f ca="1">Idiomas!D234</f>
        <v>Ghana</v>
      </c>
      <c r="L24" s="8" t="s">
        <v>1555</v>
      </c>
      <c r="M24" s="8" t="e" vm="75">
        <v>#VALUE!</v>
      </c>
      <c r="O24" s="781">
        <v>23</v>
      </c>
      <c r="Q24" s="785" t="str">
        <f>Idiomas!D263</f>
        <v>Semifinales</v>
      </c>
      <c r="R24" s="784">
        <v>23</v>
      </c>
      <c r="X24" s="9"/>
    </row>
    <row r="25" spans="1:24" ht="15" customHeight="1" x14ac:dyDescent="0.2">
      <c r="A25" s="5">
        <v>24</v>
      </c>
      <c r="B25" s="5" t="str">
        <f ca="1">+INDEX(Idiomas!$D$212:$D$259,MATCH(T_Equipos[[#This Row],[Num]],Idiomas!$C$212:$C$259,0))</f>
        <v>Túnez</v>
      </c>
      <c r="C25" s="5" t="s">
        <v>4</v>
      </c>
      <c r="D25" s="5">
        <v>4</v>
      </c>
      <c r="K25" s="8" t="str">
        <f ca="1">Idiomas!D235</f>
        <v>Haití</v>
      </c>
      <c r="L25" s="8" t="s">
        <v>1733</v>
      </c>
      <c r="M25" s="8" t="e" vm="76">
        <v>#VALUE!</v>
      </c>
      <c r="O25" s="781">
        <v>24</v>
      </c>
      <c r="Q25" s="785" t="str">
        <f>Idiomas!D264</f>
        <v>3-4 &amp; Final</v>
      </c>
      <c r="R25" s="784">
        <v>24</v>
      </c>
      <c r="X25" s="9"/>
    </row>
    <row r="26" spans="1:24" ht="15" customHeight="1" x14ac:dyDescent="0.2">
      <c r="A26" s="5">
        <v>25</v>
      </c>
      <c r="B26" s="5" t="str">
        <f ca="1">+INDEX(Idiomas!$D$212:$D$259,MATCH(T_Equipos[[#This Row],[Num]],Idiomas!$C$212:$C$259,0))</f>
        <v>Bélgica</v>
      </c>
      <c r="C26" s="5" t="s">
        <v>6</v>
      </c>
      <c r="D26" s="5">
        <v>1</v>
      </c>
      <c r="K26" s="8" t="str">
        <f ca="1">Idiomas!D236</f>
        <v>Inglaterra</v>
      </c>
      <c r="L26" s="8" t="s">
        <v>139</v>
      </c>
      <c r="M26" s="8" t="e" vm="77">
        <v>#VALUE!</v>
      </c>
      <c r="O26" s="781">
        <v>25</v>
      </c>
      <c r="Q26" s="781" t="str">
        <f>+PROPER(Idiomas!G137)</f>
        <v>Clasificados Para Dieciseisavos</v>
      </c>
      <c r="R26" s="781">
        <v>19</v>
      </c>
      <c r="X26" s="9"/>
    </row>
    <row r="27" spans="1:24" ht="15" customHeight="1" x14ac:dyDescent="0.2">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x14ac:dyDescent="0.2">
      <c r="A28" s="5">
        <v>27</v>
      </c>
      <c r="B28" s="5" t="str">
        <f ca="1">+INDEX(Idiomas!$D$212:$D$259,MATCH(T_Equipos[[#This Row],[Num]],Idiomas!$C$212:$C$259,0))</f>
        <v>Irán</v>
      </c>
      <c r="C28" s="5" t="s">
        <v>6</v>
      </c>
      <c r="D28" s="5">
        <v>3</v>
      </c>
      <c r="K28" s="8" t="str">
        <f ca="1">Idiomas!D238</f>
        <v>Japón</v>
      </c>
      <c r="L28" s="8" t="s">
        <v>1285</v>
      </c>
      <c r="M28" s="8" t="e" vm="78">
        <v>#VALUE!</v>
      </c>
      <c r="O28" s="781">
        <v>27</v>
      </c>
      <c r="P28" s="726"/>
      <c r="Q28" s="785" t="str">
        <f>Idiomas!G261</f>
        <v>Octavos de final</v>
      </c>
      <c r="R28" s="784">
        <v>21</v>
      </c>
      <c r="X28" s="9"/>
    </row>
    <row r="29" spans="1:24" ht="15" customHeight="1" x14ac:dyDescent="0.2">
      <c r="A29" s="5">
        <v>28</v>
      </c>
      <c r="B29" s="5" t="str">
        <f ca="1">+INDEX(Idiomas!$D$212:$D$259,MATCH(T_Equipos[[#This Row],[Num]],Idiomas!$C$212:$C$259,0))</f>
        <v>Nueva Zelanda</v>
      </c>
      <c r="C29" s="5" t="s">
        <v>6</v>
      </c>
      <c r="D29" s="5">
        <v>4</v>
      </c>
      <c r="K29" s="8" t="str">
        <f ca="1">Idiomas!D239</f>
        <v>Jordania</v>
      </c>
      <c r="L29" s="8" t="s">
        <v>1287</v>
      </c>
      <c r="M29" s="8" t="e" vm="79">
        <v>#VALUE!</v>
      </c>
      <c r="O29" s="781">
        <v>28</v>
      </c>
      <c r="P29" s="726"/>
      <c r="Q29" s="785" t="str">
        <f>Idiomas!G262</f>
        <v>Cuartos de final</v>
      </c>
      <c r="R29" s="784">
        <v>22</v>
      </c>
      <c r="X29" s="9"/>
    </row>
    <row r="30" spans="1:24" ht="15" customHeight="1" x14ac:dyDescent="0.2">
      <c r="A30" s="5">
        <v>29</v>
      </c>
      <c r="B30" s="5" t="str">
        <f ca="1">+INDEX(Idiomas!$D$212:$D$259,MATCH(T_Equipos[[#This Row],[Num]],Idiomas!$C$212:$C$259,0))</f>
        <v>España</v>
      </c>
      <c r="C30" s="5" t="s">
        <v>437</v>
      </c>
      <c r="D30" s="5">
        <v>1</v>
      </c>
      <c r="K30" s="8" t="str">
        <f ca="1">Idiomas!D240</f>
        <v>Marruecos</v>
      </c>
      <c r="L30" s="8" t="s">
        <v>1327</v>
      </c>
      <c r="M30" s="8" t="e" vm="80">
        <v>#VALUE!</v>
      </c>
      <c r="O30" s="781">
        <v>29</v>
      </c>
      <c r="Q30" s="785" t="str">
        <f>Idiomas!G263</f>
        <v>Semifinales</v>
      </c>
      <c r="R30" s="784">
        <v>23</v>
      </c>
      <c r="X30" s="9"/>
    </row>
    <row r="31" spans="1:24" ht="15" customHeight="1" x14ac:dyDescent="0.2">
      <c r="A31" s="5">
        <v>30</v>
      </c>
      <c r="B31" s="5" t="str">
        <f ca="1">+INDEX(Idiomas!$D$212:$D$259,MATCH(T_Equipos[[#This Row],[Num]],Idiomas!$C$212:$C$259,0))</f>
        <v>Cabo Verde</v>
      </c>
      <c r="C31" s="5" t="s">
        <v>437</v>
      </c>
      <c r="D31" s="5">
        <v>2</v>
      </c>
      <c r="K31" s="8" t="str">
        <f ca="1">Idiomas!D241</f>
        <v>México</v>
      </c>
      <c r="L31" s="8" t="s">
        <v>1289</v>
      </c>
      <c r="M31" s="8" t="e" vm="81">
        <v>#VALUE!</v>
      </c>
      <c r="O31" s="781">
        <v>30</v>
      </c>
      <c r="Q31" s="785" t="str">
        <f>Idiomas!G264</f>
        <v>3-4 &amp; Final</v>
      </c>
      <c r="R31" s="784">
        <v>24</v>
      </c>
      <c r="X31" s="9"/>
    </row>
    <row r="32" spans="1:24" ht="15" customHeight="1" x14ac:dyDescent="0.2">
      <c r="A32" s="5">
        <v>31</v>
      </c>
      <c r="B32" s="5" t="str">
        <f ca="1">+INDEX(Idiomas!$D$212:$D$259,MATCH(T_Equipos[[#This Row],[Num]],Idiomas!$C$212:$C$259,0))</f>
        <v>Arabia Saudita</v>
      </c>
      <c r="C32" s="5" t="s">
        <v>437</v>
      </c>
      <c r="D32" s="5">
        <v>3</v>
      </c>
      <c r="K32" s="8" t="str">
        <f ca="1">Idiomas!D242</f>
        <v>Noruega</v>
      </c>
      <c r="L32" s="8" t="s">
        <v>147</v>
      </c>
      <c r="M32" s="8" t="e" vm="82">
        <v>#VALUE!</v>
      </c>
      <c r="O32" s="781">
        <v>31</v>
      </c>
      <c r="Q32" s="781" t="str">
        <f>+PROPER(Idiomas!H137)</f>
        <v>Qualified For Round Of 32</v>
      </c>
      <c r="R32" s="781">
        <v>19</v>
      </c>
      <c r="X32" s="9"/>
    </row>
    <row r="33" spans="1:24" ht="15" customHeight="1" x14ac:dyDescent="0.2">
      <c r="A33" s="5">
        <v>32</v>
      </c>
      <c r="B33" s="5" t="str">
        <f ca="1">+INDEX(Idiomas!$D$212:$D$259,MATCH(T_Equipos[[#This Row],[Num]],Idiomas!$C$212:$C$259,0))</f>
        <v>Uruguay</v>
      </c>
      <c r="C33" s="5" t="s">
        <v>437</v>
      </c>
      <c r="D33" s="5">
        <v>4</v>
      </c>
      <c r="K33" s="8" t="str">
        <f ca="1">Idiomas!D243</f>
        <v>Nueva Zelanda</v>
      </c>
      <c r="L33" s="8" t="s">
        <v>1291</v>
      </c>
      <c r="M33" s="8" t="e" vm="83">
        <v>#VALUE!</v>
      </c>
      <c r="O33" s="781">
        <v>32</v>
      </c>
      <c r="Q33" s="785" t="str">
        <f>Idiomas!H260</f>
        <v>Round of 32</v>
      </c>
      <c r="R33" s="784">
        <v>20</v>
      </c>
      <c r="X33" s="9"/>
    </row>
    <row r="34" spans="1:24" ht="15" customHeight="1" x14ac:dyDescent="0.2">
      <c r="A34" s="5">
        <v>33</v>
      </c>
      <c r="B34" s="5" t="str">
        <f ca="1">+INDEX(Idiomas!$D$212:$D$259,MATCH(T_Equipos[[#This Row],[Num]],Idiomas!$C$212:$C$259,0))</f>
        <v>Francia</v>
      </c>
      <c r="C34" s="5" t="s">
        <v>438</v>
      </c>
      <c r="D34" s="5">
        <v>1</v>
      </c>
      <c r="K34" s="8" t="str">
        <f ca="1">Idiomas!D244</f>
        <v>Países Bajos</v>
      </c>
      <c r="L34" s="8" t="s">
        <v>138</v>
      </c>
      <c r="M34" s="8" t="e" vm="84">
        <v>#VALUE!</v>
      </c>
      <c r="O34" s="781">
        <v>33</v>
      </c>
      <c r="Q34" s="785" t="str">
        <f>Idiomas!H261</f>
        <v>Round Of 16</v>
      </c>
      <c r="R34" s="784">
        <v>21</v>
      </c>
      <c r="X34" s="9"/>
    </row>
    <row r="35" spans="1:24" ht="15" customHeight="1" x14ac:dyDescent="0.2">
      <c r="A35" s="5">
        <v>34</v>
      </c>
      <c r="B35" s="5" t="str">
        <f ca="1">+INDEX(Idiomas!$D$212:$D$259,MATCH(T_Equipos[[#This Row],[Num]],Idiomas!$C$212:$C$259,0))</f>
        <v>Senegal</v>
      </c>
      <c r="C35" s="5" t="s">
        <v>438</v>
      </c>
      <c r="D35" s="5">
        <v>2</v>
      </c>
      <c r="K35" s="8" t="str">
        <f ca="1">Idiomas!D245</f>
        <v>Panamá</v>
      </c>
      <c r="L35" s="8" t="s">
        <v>1734</v>
      </c>
      <c r="M35" s="8" t="e" vm="85">
        <v>#VALUE!</v>
      </c>
      <c r="O35" s="781">
        <v>34</v>
      </c>
      <c r="Q35" s="785" t="str">
        <f>Idiomas!H262</f>
        <v>Quarterfinals</v>
      </c>
      <c r="R35" s="784">
        <v>22</v>
      </c>
      <c r="X35" s="9"/>
    </row>
    <row r="36" spans="1:24" ht="15" customHeight="1" x14ac:dyDescent="0.2">
      <c r="A36" s="5">
        <v>35</v>
      </c>
      <c r="B36" s="5" t="str">
        <f ca="1">+INDEX(Idiomas!$D$212:$D$259,MATCH(T_Equipos[[#This Row],[Num]],Idiomas!$C$212:$C$259,0))</f>
        <v>Irak</v>
      </c>
      <c r="C36" s="5" t="s">
        <v>438</v>
      </c>
      <c r="D36" s="5">
        <v>3</v>
      </c>
      <c r="K36" s="8" t="str">
        <f ca="1">Idiomas!D246</f>
        <v>Paraguay</v>
      </c>
      <c r="L36" s="8" t="s">
        <v>1324</v>
      </c>
      <c r="M36" s="8" t="e" vm="86">
        <v>#VALUE!</v>
      </c>
      <c r="O36" s="781">
        <v>35</v>
      </c>
      <c r="Q36" s="785" t="str">
        <f>Idiomas!H263</f>
        <v>Semifinals</v>
      </c>
      <c r="R36" s="784">
        <v>23</v>
      </c>
      <c r="X36" s="9"/>
    </row>
    <row r="37" spans="1:24" ht="15" customHeight="1" x14ac:dyDescent="0.2">
      <c r="A37" s="5">
        <v>36</v>
      </c>
      <c r="B37" s="5" t="str">
        <f ca="1">+INDEX(Idiomas!$D$212:$D$259,MATCH(T_Equipos[[#This Row],[Num]],Idiomas!$C$212:$C$259,0))</f>
        <v>Noruega</v>
      </c>
      <c r="C37" s="5" t="s">
        <v>438</v>
      </c>
      <c r="D37" s="5">
        <v>4</v>
      </c>
      <c r="K37" s="8" t="str">
        <f ca="1">Idiomas!D247</f>
        <v>Portugal</v>
      </c>
      <c r="L37" s="8" t="s">
        <v>137</v>
      </c>
      <c r="M37" s="8" t="e" vm="87">
        <v>#VALUE!</v>
      </c>
      <c r="O37" s="781">
        <v>36</v>
      </c>
      <c r="Q37" s="785" t="str">
        <f>Idiomas!H264</f>
        <v>3-4 &amp; Final</v>
      </c>
      <c r="R37" s="784">
        <v>24</v>
      </c>
      <c r="T37" s="725"/>
      <c r="U37" s="725"/>
      <c r="X37" s="9"/>
    </row>
    <row r="38" spans="1:24" ht="15" customHeight="1" x14ac:dyDescent="0.2">
      <c r="A38" s="5">
        <v>37</v>
      </c>
      <c r="B38" s="5" t="str">
        <f ca="1">+INDEX(Idiomas!$D$212:$D$259,MATCH(T_Equipos[[#This Row],[Num]],Idiomas!$C$212:$C$259,0))</f>
        <v>Argentina</v>
      </c>
      <c r="C38" s="5" t="s">
        <v>5</v>
      </c>
      <c r="D38" s="5">
        <v>1</v>
      </c>
      <c r="K38" s="8" t="str">
        <f ca="1">Idiomas!D248</f>
        <v>Senegal</v>
      </c>
      <c r="L38" s="8" t="s">
        <v>1643</v>
      </c>
      <c r="M38" s="8" t="e" vm="88">
        <v>#VALUE!</v>
      </c>
      <c r="O38" s="781">
        <v>37</v>
      </c>
      <c r="T38" s="725"/>
      <c r="U38" s="725"/>
    </row>
    <row r="39" spans="1:24" ht="15" customHeight="1" x14ac:dyDescent="0.2">
      <c r="A39" s="5">
        <v>38</v>
      </c>
      <c r="B39" s="5" t="str">
        <f ca="1">+INDEX(Idiomas!$D$212:$D$259,MATCH(T_Equipos[[#This Row],[Num]],Idiomas!$C$212:$C$259,0))</f>
        <v>Argelia</v>
      </c>
      <c r="C39" s="5" t="s">
        <v>5</v>
      </c>
      <c r="D39" s="5">
        <v>2</v>
      </c>
      <c r="K39" s="8" t="str">
        <f ca="1">Idiomas!D249</f>
        <v>Sudáfrica</v>
      </c>
      <c r="L39" s="8" t="s">
        <v>1636</v>
      </c>
      <c r="M39" s="8" t="e" vm="89">
        <v>#VALUE!</v>
      </c>
      <c r="O39" s="781">
        <v>38</v>
      </c>
      <c r="Q39" s="781" t="s">
        <v>1647</v>
      </c>
      <c r="R39" s="781" t="s">
        <v>1648</v>
      </c>
      <c r="S39" s="781" t="s">
        <v>1935</v>
      </c>
      <c r="T39" s="725"/>
      <c r="U39" s="725"/>
    </row>
    <row r="40" spans="1:24" ht="15" customHeight="1" x14ac:dyDescent="0.2">
      <c r="A40" s="5">
        <v>39</v>
      </c>
      <c r="B40" s="5" t="str">
        <f ca="1">+INDEX(Idiomas!$D$212:$D$259,MATCH(T_Equipos[[#This Row],[Num]],Idiomas!$C$212:$C$259,0))</f>
        <v>Austria</v>
      </c>
      <c r="C40" s="5" t="s">
        <v>5</v>
      </c>
      <c r="D40" s="5">
        <v>3</v>
      </c>
      <c r="K40" s="8" t="str">
        <f ca="1">Idiomas!D250</f>
        <v>Suiza</v>
      </c>
      <c r="L40" s="8" t="s">
        <v>136</v>
      </c>
      <c r="M40" s="8" t="e" vm="90">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x14ac:dyDescent="0.2">
      <c r="A41" s="5">
        <v>40</v>
      </c>
      <c r="B41" s="5" t="str">
        <f ca="1">+INDEX(Idiomas!$D$212:$D$259,MATCH(T_Equipos[[#This Row],[Num]],Idiomas!$C$212:$C$259,0))</f>
        <v>Jordania</v>
      </c>
      <c r="C41" s="5" t="s">
        <v>5</v>
      </c>
      <c r="D41" s="5">
        <v>4</v>
      </c>
      <c r="K41" s="8" t="str">
        <f ca="1">Idiomas!D251</f>
        <v>Túnez</v>
      </c>
      <c r="L41" s="8" t="s">
        <v>1329</v>
      </c>
      <c r="M41" s="8" t="e" vm="91">
        <v>#VALUE!</v>
      </c>
      <c r="O41" s="781">
        <v>40</v>
      </c>
      <c r="Q41" s="785" cm="1">
        <f t="array" aca="1" ref="Q41" ca="1">IFERROR(INDEX($Q$2:$Q$25,SMALL(IF(($Q$2:$Q$25)=0,"",ROW($Q$2:$Q$25)),ROW(Q2))-MIN(ROW($Q$2:$Q$25))+1),"")</f>
        <v>46185</v>
      </c>
      <c r="R41" s="785">
        <f ca="1"/>
        <v>46185</v>
      </c>
      <c r="S41" s="787"/>
      <c r="T41" s="725"/>
      <c r="U41" s="725"/>
    </row>
    <row r="42" spans="1:24" ht="15" customHeight="1" x14ac:dyDescent="0.2">
      <c r="A42" s="5">
        <v>41</v>
      </c>
      <c r="B42" s="5" t="str">
        <f ca="1">+INDEX(Idiomas!$D$212:$D$259,MATCH(T_Equipos[[#This Row],[Num]],Idiomas!$C$212:$C$259,0))</f>
        <v>Portugal</v>
      </c>
      <c r="C42" s="5" t="s">
        <v>439</v>
      </c>
      <c r="D42" s="5">
        <v>1</v>
      </c>
      <c r="K42" s="8" t="str">
        <f ca="1">Idiomas!D252</f>
        <v>Uruguay</v>
      </c>
      <c r="L42" s="8" t="s">
        <v>1323</v>
      </c>
      <c r="M42" s="8" t="e" vm="92">
        <v>#VALUE!</v>
      </c>
      <c r="O42" s="781">
        <v>41</v>
      </c>
      <c r="Q42" s="785" cm="1">
        <f t="array" aca="1" ref="Q42" ca="1">IFERROR(INDEX($Q$2:$Q$25,SMALL(IF(($Q$2:$Q$25)=0,"",ROW($Q$2:$Q$25)),ROW(Q3))-MIN(ROW($Q$2:$Q$25))+1),"")</f>
        <v>46186</v>
      </c>
      <c r="R42" s="785">
        <f ca="1"/>
        <v>46186</v>
      </c>
      <c r="S42" s="787"/>
      <c r="T42" s="725"/>
      <c r="U42" s="725"/>
    </row>
    <row r="43" spans="1:24" ht="15" customHeight="1" x14ac:dyDescent="0.2">
      <c r="A43" s="5">
        <v>42</v>
      </c>
      <c r="B43" s="5" t="str">
        <f ca="1">+INDEX(Idiomas!$D$212:$D$259,MATCH(T_Equipos[[#This Row],[Num]],Idiomas!$C$212:$C$259,0))</f>
        <v>RD Congo</v>
      </c>
      <c r="C43" s="5" t="s">
        <v>439</v>
      </c>
      <c r="D43" s="5">
        <v>2</v>
      </c>
      <c r="K43" s="8" t="str">
        <f ca="1">Idiomas!D253</f>
        <v>Uzbekistán</v>
      </c>
      <c r="L43" s="8" t="s">
        <v>1293</v>
      </c>
      <c r="M43" s="8" t="e" vm="93">
        <v>#VALUE!</v>
      </c>
      <c r="O43" s="781">
        <v>42</v>
      </c>
      <c r="Q43" s="785" cm="1">
        <f t="array" aca="1" ref="Q43" ca="1">IFERROR(INDEX($Q$2:$Q$25,SMALL(IF(($Q$2:$Q$25)=0,"",ROW($Q$2:$Q$25)),ROW(Q4))-MIN(ROW($Q$2:$Q$25))+1),"")</f>
        <v>46187</v>
      </c>
      <c r="R43" s="785">
        <f ca="1"/>
        <v>46187</v>
      </c>
      <c r="S43" s="787"/>
      <c r="T43" s="725"/>
      <c r="U43" s="725"/>
    </row>
    <row r="44" spans="1:24" ht="15" customHeight="1" x14ac:dyDescent="0.2">
      <c r="A44" s="5">
        <v>43</v>
      </c>
      <c r="B44" s="5" t="str">
        <f ca="1">+INDEX(Idiomas!$D$212:$D$259,MATCH(T_Equipos[[#This Row],[Num]],Idiomas!$C$212:$C$259,0))</f>
        <v>Uzbekistán</v>
      </c>
      <c r="C44" s="5" t="s">
        <v>439</v>
      </c>
      <c r="D44" s="5">
        <v>3</v>
      </c>
      <c r="K44" s="8" t="str">
        <f ca="1">Idiomas!D254</f>
        <v>RD Congo</v>
      </c>
      <c r="L44" s="782" t="s">
        <v>1845</v>
      </c>
      <c r="M44" s="8" t="e" vm="94">
        <v>#VALUE!</v>
      </c>
      <c r="O44" s="781">
        <v>43</v>
      </c>
      <c r="Q44" s="785" cm="1">
        <f t="array" aca="1" ref="Q44" ca="1">IFERROR(INDEX($Q$2:$Q$25,SMALL(IF(($Q$2:$Q$25)=0,"",ROW($Q$2:$Q$25)),ROW(Q5))-MIN(ROW($Q$2:$Q$25))+1),"")</f>
        <v>46188</v>
      </c>
      <c r="R44" s="785">
        <f ca="1"/>
        <v>46188</v>
      </c>
      <c r="S44" s="787"/>
      <c r="T44" s="725"/>
      <c r="U44" s="725"/>
    </row>
    <row r="45" spans="1:24" ht="15" customHeight="1" x14ac:dyDescent="0.2">
      <c r="A45" s="5">
        <v>44</v>
      </c>
      <c r="B45" s="5" t="str">
        <f ca="1">+INDEX(Idiomas!$D$212:$D$259,MATCH(T_Equipos[[#This Row],[Num]],Idiomas!$C$212:$C$259,0))</f>
        <v>Colombia</v>
      </c>
      <c r="C45" s="5" t="s">
        <v>439</v>
      </c>
      <c r="D45" s="5">
        <v>4</v>
      </c>
      <c r="K45" s="8" t="str">
        <f ca="1">Idiomas!D255</f>
        <v>Irak</v>
      </c>
      <c r="L45" s="782" t="s">
        <v>1759</v>
      </c>
      <c r="M45" s="8" t="e" vm="95">
        <v>#VALUE!</v>
      </c>
      <c r="O45" s="781">
        <v>44</v>
      </c>
      <c r="Q45" s="785" cm="1">
        <f t="array" aca="1" ref="Q45" ca="1">IFERROR(INDEX($Q$2:$Q$25,SMALL(IF(($Q$2:$Q$25)=0,"",ROW($Q$2:$Q$25)),ROW(Q6))-MIN(ROW($Q$2:$Q$25))+1),"")</f>
        <v>46189</v>
      </c>
      <c r="R45" s="785">
        <f ca="1"/>
        <v>46189</v>
      </c>
      <c r="S45" s="787"/>
      <c r="T45" s="725"/>
      <c r="U45" s="725"/>
    </row>
    <row r="46" spans="1:24" ht="15" customHeight="1" x14ac:dyDescent="0.2">
      <c r="A46" s="5">
        <v>45</v>
      </c>
      <c r="B46" s="5" t="str">
        <f ca="1">+INDEX(Idiomas!$D$212:$D$259,MATCH(T_Equipos[[#This Row],[Num]],Idiomas!$C$212:$C$259,0))</f>
        <v>Inglaterra</v>
      </c>
      <c r="C46" s="5" t="s">
        <v>238</v>
      </c>
      <c r="D46" s="5">
        <v>1</v>
      </c>
      <c r="K46" s="8" t="str">
        <f ca="1">Idiomas!D256</f>
        <v>Bosnia y Herzegovina</v>
      </c>
      <c r="L46" s="783" t="s">
        <v>1846</v>
      </c>
      <c r="M46" s="8" t="e" vm="96">
        <v>#VALUE!</v>
      </c>
      <c r="O46" s="781">
        <v>45</v>
      </c>
      <c r="Q46" s="785" cm="1">
        <f t="array" aca="1" ref="Q46" ca="1">IFERROR(INDEX($Q$2:$Q$25,SMALL(IF(($Q$2:$Q$25)=0,"",ROW($Q$2:$Q$25)),ROW(Q7))-MIN(ROW($Q$2:$Q$25))+1),"")</f>
        <v>46190</v>
      </c>
      <c r="R46" s="785">
        <f ca="1"/>
        <v>46190</v>
      </c>
      <c r="S46" s="787"/>
      <c r="T46" s="725"/>
      <c r="U46" s="725"/>
    </row>
    <row r="47" spans="1:24" ht="15" customHeight="1" x14ac:dyDescent="0.2">
      <c r="A47" s="5">
        <v>46</v>
      </c>
      <c r="B47" s="5" t="str">
        <f ca="1">+INDEX(Idiomas!$D$212:$D$259,MATCH(T_Equipos[[#This Row],[Num]],Idiomas!$C$212:$C$259,0))</f>
        <v>Croacia</v>
      </c>
      <c r="C47" s="5" t="s">
        <v>238</v>
      </c>
      <c r="D47" s="5">
        <v>2</v>
      </c>
      <c r="K47" s="8" t="str">
        <f ca="1">Idiomas!D257</f>
        <v>Suecia</v>
      </c>
      <c r="L47" s="782" t="s">
        <v>1837</v>
      </c>
      <c r="M47" s="8" t="e" vm="97">
        <v>#VALUE!</v>
      </c>
      <c r="O47" s="781">
        <v>46</v>
      </c>
      <c r="Q47" s="785" cm="1">
        <f t="array" aca="1" ref="Q47" ca="1">IFERROR(INDEX($Q$2:$Q$25,SMALL(IF(($Q$2:$Q$25)=0,"",ROW($Q$2:$Q$25)),ROW(Q8))-MIN(ROW($Q$2:$Q$25))+1),"")</f>
        <v>46191</v>
      </c>
      <c r="R47" s="785">
        <f ca="1"/>
        <v>46191</v>
      </c>
      <c r="S47" s="787"/>
      <c r="T47" s="725"/>
      <c r="U47" s="725"/>
    </row>
    <row r="48" spans="1:24" ht="15" customHeight="1" x14ac:dyDescent="0.2">
      <c r="A48" s="5">
        <v>47</v>
      </c>
      <c r="B48" s="5" t="str">
        <f ca="1">+INDEX(Idiomas!$D$212:$D$259,MATCH(T_Equipos[[#This Row],[Num]],Idiomas!$C$212:$C$259,0))</f>
        <v>Ghana</v>
      </c>
      <c r="C48" s="5" t="s">
        <v>238</v>
      </c>
      <c r="D48" s="5">
        <v>3</v>
      </c>
      <c r="K48" s="8" t="str">
        <f ca="1">Idiomas!D258</f>
        <v>Turquía</v>
      </c>
      <c r="L48" s="782" t="s">
        <v>1838</v>
      </c>
      <c r="M48" s="8" t="e" vm="98">
        <v>#VALUE!</v>
      </c>
      <c r="O48" s="781">
        <v>47</v>
      </c>
      <c r="Q48" s="785" cm="1">
        <f t="array" aca="1" ref="Q48" ca="1">IFERROR(INDEX($Q$2:$Q$25,SMALL(IF(($Q$2:$Q$25)=0,"",ROW($Q$2:$Q$25)),ROW(Q9))-MIN(ROW($Q$2:$Q$25))+1),"")</f>
        <v>46192</v>
      </c>
      <c r="R48" s="785">
        <f ca="1"/>
        <v>46192</v>
      </c>
      <c r="S48" s="787"/>
      <c r="T48" s="725"/>
      <c r="U48" s="725"/>
    </row>
    <row r="49" spans="1:21" ht="15" customHeight="1" x14ac:dyDescent="0.2">
      <c r="A49" s="5">
        <v>48</v>
      </c>
      <c r="B49" s="5" t="str">
        <f ca="1">+INDEX(Idiomas!$D$212:$D$259,MATCH(T_Equipos[[#This Row],[Num]],Idiomas!$C$212:$C$259,0))</f>
        <v>Panamá</v>
      </c>
      <c r="C49" s="5" t="s">
        <v>238</v>
      </c>
      <c r="D49" s="5">
        <v>4</v>
      </c>
      <c r="K49" s="8" t="str">
        <f ca="1">Idiomas!D259</f>
        <v>República Checa</v>
      </c>
      <c r="L49" s="782" t="s">
        <v>1847</v>
      </c>
      <c r="M49" s="8" t="e" vm="99">
        <v>#VALUE!</v>
      </c>
      <c r="O49" s="781">
        <v>48</v>
      </c>
      <c r="Q49" s="785" cm="1">
        <f t="array" aca="1" ref="Q49" ca="1">IFERROR(INDEX($Q$2:$Q$25,SMALL(IF(($Q$2:$Q$25)=0,"",ROW($Q$2:$Q$25)),ROW(Q10))-MIN(ROW($Q$2:$Q$25))+1),"")</f>
        <v>46193</v>
      </c>
      <c r="R49" s="785">
        <f ca="1"/>
        <v>46193</v>
      </c>
      <c r="S49" s="787"/>
      <c r="T49" s="725"/>
      <c r="U49" s="725"/>
    </row>
    <row r="50" spans="1:21" ht="15" customHeight="1" x14ac:dyDescent="0.2">
      <c r="K50" s="8"/>
      <c r="L50" s="8" t="s">
        <v>1304</v>
      </c>
      <c r="M50" s="8"/>
      <c r="O50" s="781">
        <v>49</v>
      </c>
      <c r="Q50" s="785" cm="1">
        <f t="array" aca="1" ref="Q50" ca="1">IFERROR(INDEX($Q$2:$Q$25,SMALL(IF(($Q$2:$Q$25)=0,"",ROW($Q$2:$Q$25)),ROW(Q11))-MIN(ROW($Q$2:$Q$25))+1),"")</f>
        <v>46194</v>
      </c>
      <c r="R50" s="785">
        <f ca="1"/>
        <v>46194</v>
      </c>
      <c r="S50" s="787"/>
      <c r="T50" s="725"/>
      <c r="U50" s="725"/>
    </row>
    <row r="51" spans="1:21" ht="15" customHeight="1" x14ac:dyDescent="0.2">
      <c r="O51" s="781">
        <v>50</v>
      </c>
      <c r="Q51" s="785" cm="1">
        <f t="array" aca="1" ref="Q51" ca="1">IFERROR(INDEX($Q$2:$Q$25,SMALL(IF(($Q$2:$Q$25)=0,"",ROW($Q$2:$Q$25)),ROW(Q12))-MIN(ROW($Q$2:$Q$25))+1),"")</f>
        <v>46195</v>
      </c>
      <c r="R51" s="785">
        <f ca="1"/>
        <v>46195</v>
      </c>
      <c r="S51" s="787"/>
      <c r="T51" s="725"/>
      <c r="U51" s="725"/>
    </row>
    <row r="52" spans="1:21" ht="15" customHeight="1" x14ac:dyDescent="0.2">
      <c r="O52" s="781">
        <v>51</v>
      </c>
      <c r="Q52" s="785" cm="1">
        <f t="array" aca="1" ref="Q52" ca="1">IFERROR(INDEX($Q$2:$Q$25,SMALL(IF(($Q$2:$Q$25)=0,"",ROW($Q$2:$Q$25)),ROW(Q13))-MIN(ROW($Q$2:$Q$25))+1),"")</f>
        <v>46196</v>
      </c>
      <c r="R52" s="785">
        <f ca="1"/>
        <v>46196</v>
      </c>
      <c r="S52" s="787"/>
      <c r="T52" s="725"/>
      <c r="U52" s="725"/>
    </row>
    <row r="53" spans="1:21" ht="15" customHeight="1" x14ac:dyDescent="0.2">
      <c r="O53" s="724"/>
      <c r="P53" s="726"/>
      <c r="Q53" s="785" cm="1">
        <f t="array" aca="1" ref="Q53" ca="1">IFERROR(INDEX($Q$2:$Q$25,SMALL(IF(($Q$2:$Q$25)=0,"",ROW($Q$2:$Q$25)),ROW(Q14))-MIN(ROW($Q$2:$Q$25))+1),"")</f>
        <v>46197</v>
      </c>
      <c r="R53" s="785">
        <f ca="1"/>
        <v>46197</v>
      </c>
      <c r="S53" s="787"/>
      <c r="T53" s="725"/>
      <c r="U53" s="725"/>
    </row>
    <row r="54" spans="1:21" ht="15" customHeight="1" x14ac:dyDescent="0.2">
      <c r="O54" s="724"/>
      <c r="Q54" s="785" cm="1">
        <f t="array" aca="1" ref="Q54" ca="1">IFERROR(INDEX($Q$2:$Q$25,SMALL(IF(($Q$2:$Q$25)=0,"",ROW($Q$2:$Q$25)),ROW(Q15))-MIN(ROW($Q$2:$Q$25))+1),"")</f>
        <v>46198</v>
      </c>
      <c r="R54" s="785">
        <f ca="1"/>
        <v>46198</v>
      </c>
      <c r="S54" s="787"/>
      <c r="T54" s="725"/>
      <c r="U54" s="725"/>
    </row>
    <row r="55" spans="1:21" ht="15" customHeight="1" x14ac:dyDescent="0.2">
      <c r="O55" s="724"/>
      <c r="Q55" s="785" cm="1">
        <f t="array" aca="1" ref="Q55" ca="1">IFERROR(INDEX($Q$2:$Q$25,SMALL(IF(($Q$2:$Q$25)=0,"",ROW($Q$2:$Q$25)),ROW(Q16))-MIN(ROW($Q$2:$Q$25))+1),"")</f>
        <v>46199</v>
      </c>
      <c r="R55" s="785">
        <f ca="1"/>
        <v>46199</v>
      </c>
      <c r="S55" s="787"/>
      <c r="T55" s="725"/>
      <c r="U55" s="725"/>
    </row>
    <row r="56" spans="1:21" ht="15" customHeight="1" x14ac:dyDescent="0.2">
      <c r="O56" s="724"/>
      <c r="Q56" s="785" cm="1">
        <f t="array" aca="1" ref="Q56" ca="1">IFERROR(INDEX($Q$2:$Q$25,SMALL(IF(($Q$2:$Q$25)=0,"",ROW($Q$2:$Q$25)),ROW(Q17))-MIN(ROW($Q$2:$Q$25))+1),"")</f>
        <v>46200</v>
      </c>
      <c r="R56" s="785">
        <f ca="1"/>
        <v>46200</v>
      </c>
      <c r="S56" s="787"/>
      <c r="T56" s="725"/>
      <c r="U56" s="725"/>
    </row>
    <row r="57" spans="1:21" ht="15" customHeight="1" x14ac:dyDescent="0.2">
      <c r="O57" s="724"/>
      <c r="Q57" s="785" cm="1">
        <f t="array" aca="1" ref="Q57" ca="1">IFERROR(INDEX($Q$2:$Q$25,SMALL(IF(($Q$2:$Q$25)=0,"",ROW($Q$2:$Q$25)),ROW(Q18))-MIN(ROW($Q$2:$Q$25))+1),"")</f>
        <v>46201</v>
      </c>
      <c r="R57" s="785">
        <f ca="1"/>
        <v>46201</v>
      </c>
      <c r="S57" s="787"/>
      <c r="T57" s="725"/>
      <c r="U57" s="725"/>
    </row>
    <row r="58" spans="1:21" ht="15" customHeight="1" x14ac:dyDescent="0.2">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x14ac:dyDescent="0.2">
      <c r="O59" s="724"/>
      <c r="Q59" s="785" t="str" cm="1">
        <f t="array" aca="1" ref="Q59" ca="1">IFERROR(INDEX($Q$2:$Q$25,SMALL(IF(($Q$2:$Q$25)=0,"",ROW($Q$2:$Q$25)),ROW(Q20))-MIN(ROW($Q$2:$Q$25))+1),"")</f>
        <v>Dieciseisavos de final</v>
      </c>
      <c r="R59" s="781" t="str">
        <f ca="1"/>
        <v>Dieciseisavos de final</v>
      </c>
      <c r="S59" s="787"/>
      <c r="T59" s="725"/>
      <c r="U59" s="725"/>
    </row>
    <row r="60" spans="1:21" ht="15" customHeight="1" x14ac:dyDescent="0.2">
      <c r="O60" s="724"/>
      <c r="Q60" s="785" t="str" cm="1">
        <f t="array" aca="1" ref="Q60" ca="1">IFERROR(INDEX($Q$2:$Q$25,SMALL(IF(($Q$2:$Q$25)=0,"",ROW($Q$2:$Q$25)),ROW(Q21))-MIN(ROW($Q$2:$Q$25))+1),"")</f>
        <v>Octavos de final</v>
      </c>
      <c r="R60" s="781" t="str">
        <f ca="1"/>
        <v>Octavos de final</v>
      </c>
      <c r="S60" s="787"/>
      <c r="T60" s="725"/>
    </row>
    <row r="61" spans="1:21" ht="15" customHeight="1" x14ac:dyDescent="0.2">
      <c r="O61" s="724"/>
      <c r="Q61" s="785" t="str" cm="1">
        <f t="array" aca="1" ref="Q61" ca="1">IFERROR(INDEX($Q$2:$Q$25,SMALL(IF(($Q$2:$Q$25)=0,"",ROW($Q$2:$Q$25)),ROW(Q22))-MIN(ROW($Q$2:$Q$25))+1),"")</f>
        <v>Cuartos de final</v>
      </c>
      <c r="R61" s="781" t="str">
        <f ca="1"/>
        <v>Cuartos de final</v>
      </c>
      <c r="S61" s="787"/>
    </row>
    <row r="62" spans="1:21" ht="15" customHeight="1" x14ac:dyDescent="0.2">
      <c r="O62" s="724"/>
      <c r="Q62" s="785" t="str" cm="1">
        <f t="array" aca="1" ref="Q62" ca="1">IFERROR(INDEX($Q$2:$Q$25,SMALL(IF(($Q$2:$Q$25)=0,"",ROW($Q$2:$Q$25)),ROW(Q23))-MIN(ROW($Q$2:$Q$25))+1),"")</f>
        <v>Semifinales</v>
      </c>
      <c r="R62" s="781" t="str">
        <f ca="1"/>
        <v>Semifinales</v>
      </c>
      <c r="S62" s="787"/>
    </row>
    <row r="63" spans="1:21" ht="15" customHeight="1" x14ac:dyDescent="0.2">
      <c r="O63" s="724"/>
      <c r="Q63" s="785" t="str" cm="1">
        <f t="array" aca="1" ref="Q63" ca="1">IFERROR(INDEX($Q$2:$Q$25,SMALL(IF(($Q$2:$Q$25)=0,"",ROW($Q$2:$Q$25)),ROW(Q24))-MIN(ROW($Q$2:$Q$25))+1),"")</f>
        <v>3-4 &amp; Final</v>
      </c>
      <c r="R63" s="781" t="str">
        <f ca="1"/>
        <v>3-4 &amp; Final</v>
      </c>
      <c r="S63" s="787"/>
    </row>
    <row r="64" spans="1:21" ht="15" customHeight="1" x14ac:dyDescent="0.2">
      <c r="O64" s="724"/>
      <c r="Q64" s="788" t="str" cm="1">
        <f t="array" aca="1" ref="Q64" ca="1">IFERROR(INDEX($Q$2:$Q$25,SMALL(IF(($Q$2:$Q$25)=0,"",ROW($Q$2:$Q$25)),ROW(Q25))-MIN(ROW($Q$2:$Q$25))+1),"")</f>
        <v/>
      </c>
      <c r="R64" s="787"/>
      <c r="S64" s="787"/>
    </row>
    <row r="65" spans="15:15" ht="15" customHeight="1" x14ac:dyDescent="0.2">
      <c r="O65" s="724"/>
    </row>
    <row r="66" spans="15:15" ht="15" customHeight="1" x14ac:dyDescent="0.2">
      <c r="O66" s="724"/>
    </row>
    <row r="67" spans="15:15" ht="15" customHeight="1" x14ac:dyDescent="0.2">
      <c r="O67" s="724"/>
    </row>
    <row r="68" spans="15:15" ht="15" customHeight="1" x14ac:dyDescent="0.2">
      <c r="O68" s="724"/>
    </row>
    <row r="69" spans="15:15" ht="15" customHeight="1" x14ac:dyDescent="0.2">
      <c r="O69" s="724"/>
    </row>
    <row r="70" spans="15:15" ht="15" customHeight="1" x14ac:dyDescent="0.2">
      <c r="O70" s="724"/>
    </row>
    <row r="71" spans="15:15" ht="15" customHeight="1" x14ac:dyDescent="0.2">
      <c r="O71" s="724"/>
    </row>
    <row r="72" spans="15:15" ht="15" customHeight="1" x14ac:dyDescent="0.2">
      <c r="O72" s="724"/>
    </row>
    <row r="73" spans="15:15" ht="15" customHeight="1" x14ac:dyDescent="0.2">
      <c r="O73" s="724"/>
    </row>
    <row r="74" spans="15:15" ht="15" customHeight="1" x14ac:dyDescent="0.2">
      <c r="O74" s="724"/>
    </row>
    <row r="75" spans="15:15" ht="15" customHeight="1" x14ac:dyDescent="0.2">
      <c r="O75" s="724"/>
    </row>
    <row r="76" spans="15:15" ht="15" customHeight="1" x14ac:dyDescent="0.2">
      <c r="O76" s="724"/>
    </row>
    <row r="77" spans="15:15" ht="15" customHeight="1" x14ac:dyDescent="0.2">
      <c r="O77" s="724"/>
    </row>
    <row r="78" spans="15:15" ht="15" customHeight="1" x14ac:dyDescent="0.2">
      <c r="O78" s="724"/>
    </row>
    <row r="79" spans="15:15" ht="15" customHeight="1" x14ac:dyDescent="0.2">
      <c r="O79" s="724"/>
    </row>
    <row r="80" spans="15:15" ht="15" customHeight="1" x14ac:dyDescent="0.2">
      <c r="O80" s="724"/>
    </row>
    <row r="81" spans="15:15" ht="15" customHeight="1" x14ac:dyDescent="0.2">
      <c r="O81" s="724"/>
    </row>
    <row r="82" spans="15:15" ht="15" customHeight="1" x14ac:dyDescent="0.2">
      <c r="O82" s="724"/>
    </row>
    <row r="83" spans="15:15" ht="15" customHeight="1" x14ac:dyDescent="0.2">
      <c r="O83" s="724"/>
    </row>
    <row r="84" spans="15:15" ht="15" customHeight="1" x14ac:dyDescent="0.2">
      <c r="O84" s="724"/>
    </row>
    <row r="85" spans="15:15" ht="15" customHeight="1" x14ac:dyDescent="0.2">
      <c r="O85" s="724"/>
    </row>
    <row r="86" spans="15:15" ht="15" customHeight="1" x14ac:dyDescent="0.2">
      <c r="O86" s="724"/>
    </row>
    <row r="87" spans="15:15" ht="15" customHeight="1" x14ac:dyDescent="0.2">
      <c r="O87" s="724"/>
    </row>
    <row r="88" spans="15:15" ht="15" customHeight="1" x14ac:dyDescent="0.2">
      <c r="O88" s="724"/>
    </row>
    <row r="89" spans="15:15" ht="15" customHeight="1" x14ac:dyDescent="0.2">
      <c r="O89" s="724"/>
    </row>
    <row r="90" spans="15:15" ht="15" customHeight="1" x14ac:dyDescent="0.2">
      <c r="O90" s="724"/>
    </row>
    <row r="91" spans="15:15" ht="15" customHeight="1" x14ac:dyDescent="0.2">
      <c r="O91" s="724"/>
    </row>
    <row r="92" spans="15:15" ht="15" customHeight="1" x14ac:dyDescent="0.2">
      <c r="O92" s="724"/>
    </row>
    <row r="93" spans="15:15" ht="15" customHeight="1" x14ac:dyDescent="0.2">
      <c r="O93" s="724"/>
    </row>
    <row r="94" spans="15:15" ht="15" customHeight="1" x14ac:dyDescent="0.2">
      <c r="O94" s="724"/>
    </row>
    <row r="95" spans="15:15" ht="15" customHeight="1" x14ac:dyDescent="0.2">
      <c r="O95" s="724"/>
    </row>
    <row r="96" spans="15:15" ht="15" customHeight="1" x14ac:dyDescent="0.2">
      <c r="O96" s="724"/>
    </row>
    <row r="97" spans="15:15" ht="15" customHeight="1" x14ac:dyDescent="0.2">
      <c r="O97" s="724"/>
    </row>
    <row r="98" spans="15:15" ht="15" customHeight="1" x14ac:dyDescent="0.2">
      <c r="O98" s="724"/>
    </row>
    <row r="99" spans="15:15" ht="15" customHeight="1" x14ac:dyDescent="0.2">
      <c r="O99" s="724"/>
    </row>
    <row r="100" spans="15:15" ht="15" customHeight="1" x14ac:dyDescent="0.2">
      <c r="O100" s="724"/>
    </row>
    <row r="101" spans="15:15" ht="15" customHeight="1" x14ac:dyDescent="0.2">
      <c r="O101" s="724"/>
    </row>
    <row r="102" spans="15:15" ht="15" customHeight="1" x14ac:dyDescent="0.2">
      <c r="O102" s="724"/>
    </row>
    <row r="103" spans="15:15" ht="15" customHeight="1" x14ac:dyDescent="0.2">
      <c r="O103" s="724"/>
    </row>
    <row r="104" spans="15:15" ht="15" customHeight="1" x14ac:dyDescent="0.2">
      <c r="O104" s="724"/>
    </row>
    <row r="105" spans="15:15" ht="15" customHeight="1" x14ac:dyDescent="0.2">
      <c r="O105" s="724"/>
    </row>
    <row r="106" spans="15:15" ht="15" customHeight="1" x14ac:dyDescent="0.2">
      <c r="O106" s="724"/>
    </row>
    <row r="107" spans="15:15" ht="15" customHeight="1" x14ac:dyDescent="0.2">
      <c r="O107" s="724"/>
    </row>
    <row r="108" spans="15:15" ht="15" customHeight="1" x14ac:dyDescent="0.2">
      <c r="O108" s="724"/>
    </row>
    <row r="109" spans="15:15" ht="15" customHeight="1" x14ac:dyDescent="0.2">
      <c r="O109" s="724"/>
    </row>
    <row r="110" spans="15:15" ht="15" customHeight="1" x14ac:dyDescent="0.2">
      <c r="O110" s="724"/>
    </row>
    <row r="111" spans="15:15" ht="15" customHeight="1" x14ac:dyDescent="0.2">
      <c r="O111" s="724"/>
    </row>
    <row r="112" spans="15:15" ht="15" customHeight="1" x14ac:dyDescent="0.2">
      <c r="O112" s="724"/>
    </row>
    <row r="113" spans="15:15" ht="15" customHeight="1" x14ac:dyDescent="0.2">
      <c r="O113" s="724"/>
    </row>
    <row r="114" spans="15:15" ht="15" customHeight="1" x14ac:dyDescent="0.2">
      <c r="O114" s="724"/>
    </row>
    <row r="115" spans="15:15" ht="15" customHeight="1" x14ac:dyDescent="0.2">
      <c r="O115" s="724"/>
    </row>
    <row r="116" spans="15:15" ht="15" customHeight="1" x14ac:dyDescent="0.2">
      <c r="O116" s="724"/>
    </row>
    <row r="117" spans="15:15" ht="15" customHeight="1" x14ac:dyDescent="0.2">
      <c r="O117" s="724"/>
    </row>
    <row r="118" spans="15:15" ht="15" customHeight="1" x14ac:dyDescent="0.2">
      <c r="O118" s="724"/>
    </row>
    <row r="119" spans="15:15" ht="15" customHeight="1" x14ac:dyDescent="0.2">
      <c r="O119" s="724"/>
    </row>
    <row r="120" spans="15:15" ht="15" customHeight="1" x14ac:dyDescent="0.2">
      <c r="O120" s="724"/>
    </row>
    <row r="121" spans="15:15" ht="15" customHeight="1" x14ac:dyDescent="0.2">
      <c r="O121" s="724"/>
    </row>
    <row r="122" spans="15:15" ht="15" customHeight="1" x14ac:dyDescent="0.2">
      <c r="O122" s="724"/>
    </row>
    <row r="123" spans="15:15" ht="15" customHeight="1" x14ac:dyDescent="0.2">
      <c r="O123" s="724"/>
    </row>
    <row r="124" spans="15:15" ht="15" customHeight="1" x14ac:dyDescent="0.2">
      <c r="O124" s="724"/>
    </row>
    <row r="125" spans="15:15" ht="15" customHeight="1" x14ac:dyDescent="0.2">
      <c r="O125" s="724"/>
    </row>
    <row r="126" spans="15:15" ht="15" customHeight="1" x14ac:dyDescent="0.2">
      <c r="O126" s="724"/>
    </row>
    <row r="127" spans="15:15" ht="15" customHeight="1" x14ac:dyDescent="0.2">
      <c r="O127" s="724"/>
    </row>
    <row r="128" spans="15:15" ht="15" customHeight="1" x14ac:dyDescent="0.2">
      <c r="O128" s="724"/>
    </row>
    <row r="129" spans="15:15" ht="15" customHeight="1" x14ac:dyDescent="0.2">
      <c r="O129" s="724"/>
    </row>
    <row r="130" spans="15:15" ht="15" customHeight="1" x14ac:dyDescent="0.2">
      <c r="O130" s="724"/>
    </row>
    <row r="131" spans="15:15" ht="15" customHeight="1" x14ac:dyDescent="0.2">
      <c r="O131" s="724"/>
    </row>
    <row r="132" spans="15:15" ht="15" customHeight="1" x14ac:dyDescent="0.2">
      <c r="O132" s="724"/>
    </row>
    <row r="133" spans="15:15" ht="15" customHeight="1" x14ac:dyDescent="0.2">
      <c r="O133" s="724"/>
    </row>
    <row r="134" spans="15:15" ht="15" customHeight="1" x14ac:dyDescent="0.2">
      <c r="O134" s="724"/>
    </row>
    <row r="135" spans="15:15" ht="15" customHeight="1" x14ac:dyDescent="0.2">
      <c r="O135" s="724"/>
    </row>
    <row r="136" spans="15:15" ht="15" customHeight="1" x14ac:dyDescent="0.2">
      <c r="O136" s="724"/>
    </row>
    <row r="137" spans="15:15" ht="15" customHeight="1" x14ac:dyDescent="0.2">
      <c r="O137" s="724"/>
    </row>
    <row r="138" spans="15:15" ht="15" customHeight="1" x14ac:dyDescent="0.2">
      <c r="O138" s="724"/>
    </row>
    <row r="139" spans="15:15" ht="15" customHeight="1" x14ac:dyDescent="0.2">
      <c r="O139" s="724"/>
    </row>
    <row r="140" spans="15:15" ht="15" customHeight="1" x14ac:dyDescent="0.2">
      <c r="O140" s="724"/>
    </row>
    <row r="141" spans="15:15" ht="15" customHeight="1" x14ac:dyDescent="0.2">
      <c r="O141" s="724"/>
    </row>
    <row r="142" spans="15:15" ht="15" customHeight="1" x14ac:dyDescent="0.2">
      <c r="O142" s="724"/>
    </row>
    <row r="143" spans="15:15" ht="15" customHeight="1" x14ac:dyDescent="0.2">
      <c r="O143" s="724"/>
    </row>
    <row r="144" spans="15:15" ht="15" customHeight="1" x14ac:dyDescent="0.2">
      <c r="O144" s="724"/>
    </row>
    <row r="145" spans="15:15" ht="15" customHeight="1" x14ac:dyDescent="0.2">
      <c r="O145" s="724"/>
    </row>
    <row r="146" spans="15:15" ht="15" customHeight="1" x14ac:dyDescent="0.2">
      <c r="O146" s="724"/>
    </row>
    <row r="147" spans="15:15" ht="15" customHeight="1" x14ac:dyDescent="0.2">
      <c r="O147" s="724"/>
    </row>
    <row r="148" spans="15:15" ht="15" customHeight="1" x14ac:dyDescent="0.2">
      <c r="O148" s="724"/>
    </row>
    <row r="149" spans="15:15" ht="15" customHeight="1" x14ac:dyDescent="0.2">
      <c r="O149" s="724"/>
    </row>
    <row r="150" spans="15:15" ht="15" customHeight="1" x14ac:dyDescent="0.2">
      <c r="O150" s="724"/>
    </row>
    <row r="151" spans="15:15" ht="15" customHeight="1" x14ac:dyDescent="0.2">
      <c r="O151" s="724"/>
    </row>
    <row r="152" spans="15:15" ht="15" customHeight="1" x14ac:dyDescent="0.2">
      <c r="O152" s="724"/>
    </row>
    <row r="153" spans="15:15" ht="15" customHeight="1" x14ac:dyDescent="0.2">
      <c r="O153" s="724"/>
    </row>
    <row r="154" spans="15:15" ht="15" customHeight="1" x14ac:dyDescent="0.2">
      <c r="O154" s="724"/>
    </row>
    <row r="155" spans="15:15" ht="15" customHeight="1" x14ac:dyDescent="0.2">
      <c r="O155" s="724"/>
    </row>
    <row r="156" spans="15:15" ht="15" customHeight="1" x14ac:dyDescent="0.2">
      <c r="O156" s="724"/>
    </row>
    <row r="157" spans="15:15" ht="15" customHeight="1" x14ac:dyDescent="0.2">
      <c r="O157" s="724"/>
    </row>
    <row r="158" spans="15:15" ht="15" customHeight="1" x14ac:dyDescent="0.2">
      <c r="O158" s="724"/>
    </row>
    <row r="159" spans="15:15" ht="15" customHeight="1" x14ac:dyDescent="0.2">
      <c r="O159" s="724"/>
    </row>
    <row r="160" spans="15:15" ht="15" customHeight="1" x14ac:dyDescent="0.2">
      <c r="O160" s="724"/>
    </row>
    <row r="161" spans="15:15" ht="15" customHeight="1" x14ac:dyDescent="0.2">
      <c r="O161" s="724"/>
    </row>
    <row r="162" spans="15:15" ht="15" customHeight="1" x14ac:dyDescent="0.2">
      <c r="O162" s="724"/>
    </row>
    <row r="163" spans="15:15" ht="15" customHeight="1" x14ac:dyDescent="0.2">
      <c r="O163" s="724"/>
    </row>
    <row r="164" spans="15:15" ht="15" customHeight="1" x14ac:dyDescent="0.2">
      <c r="O164" s="724"/>
    </row>
    <row r="165" spans="15:15" ht="15" customHeight="1" x14ac:dyDescent="0.2">
      <c r="O165" s="724"/>
    </row>
    <row r="166" spans="15:15" ht="15" customHeight="1" x14ac:dyDescent="0.2">
      <c r="O166" s="724"/>
    </row>
    <row r="167" spans="15:15" ht="15" customHeight="1" x14ac:dyDescent="0.2">
      <c r="O167" s="724"/>
    </row>
    <row r="168" spans="15:15" ht="15" customHeight="1" x14ac:dyDescent="0.2">
      <c r="O168" s="724"/>
    </row>
    <row r="169" spans="15:15" ht="15" customHeight="1" x14ac:dyDescent="0.2">
      <c r="O169" s="724"/>
    </row>
    <row r="170" spans="15:15" ht="15" customHeight="1" x14ac:dyDescent="0.2">
      <c r="O170" s="724"/>
    </row>
    <row r="171" spans="15:15" ht="15" customHeight="1" x14ac:dyDescent="0.2">
      <c r="O171" s="724"/>
    </row>
    <row r="172" spans="15:15" ht="15" customHeight="1" x14ac:dyDescent="0.2">
      <c r="O172" s="724"/>
    </row>
    <row r="173" spans="15:15" ht="15" customHeight="1" x14ac:dyDescent="0.2">
      <c r="O173" s="724"/>
    </row>
    <row r="174" spans="15:15" ht="15" customHeight="1" x14ac:dyDescent="0.2">
      <c r="O174" s="724"/>
    </row>
    <row r="175" spans="15:15" ht="15" customHeight="1" x14ac:dyDescent="0.2">
      <c r="O175" s="724"/>
    </row>
    <row r="176" spans="15:15" ht="15" customHeight="1" x14ac:dyDescent="0.2">
      <c r="O176" s="724"/>
    </row>
    <row r="177" spans="15:15" ht="15" customHeight="1" x14ac:dyDescent="0.2">
      <c r="O177" s="724"/>
    </row>
    <row r="178" spans="15:15" ht="15" customHeight="1" x14ac:dyDescent="0.2">
      <c r="O178" s="724"/>
    </row>
    <row r="179" spans="15:15" ht="15" customHeight="1" x14ac:dyDescent="0.2">
      <c r="O179" s="724"/>
    </row>
    <row r="180" spans="15:15" ht="15" customHeight="1" x14ac:dyDescent="0.2">
      <c r="O180" s="724"/>
    </row>
    <row r="181" spans="15:15" ht="15" customHeight="1" x14ac:dyDescent="0.2">
      <c r="O181" s="724"/>
    </row>
    <row r="182" spans="15:15" ht="15" customHeight="1" x14ac:dyDescent="0.2">
      <c r="O182" s="724"/>
    </row>
    <row r="183" spans="15:15" ht="15" customHeight="1" x14ac:dyDescent="0.2">
      <c r="O183" s="724"/>
    </row>
    <row r="184" spans="15:15" ht="15" customHeight="1" x14ac:dyDescent="0.2">
      <c r="O184" s="724"/>
    </row>
    <row r="185" spans="15:15" ht="15" customHeight="1" x14ac:dyDescent="0.2">
      <c r="O185" s="724"/>
    </row>
    <row r="186" spans="15:15" ht="15" customHeight="1" x14ac:dyDescent="0.2">
      <c r="O186" s="724"/>
    </row>
    <row r="187" spans="15:15" ht="15" customHeight="1" x14ac:dyDescent="0.2">
      <c r="O187" s="724"/>
    </row>
    <row r="188" spans="15:15" ht="15" customHeight="1" x14ac:dyDescent="0.2">
      <c r="O188" s="724"/>
    </row>
    <row r="189" spans="15:15" ht="15" customHeight="1" x14ac:dyDescent="0.2">
      <c r="O189" s="724"/>
    </row>
    <row r="190" spans="15:15" ht="15" customHeight="1" x14ac:dyDescent="0.2">
      <c r="O190" s="724"/>
    </row>
    <row r="191" spans="15:15" ht="15" customHeight="1" x14ac:dyDescent="0.2">
      <c r="O191" s="724"/>
    </row>
    <row r="192" spans="15:15" ht="15" customHeight="1" x14ac:dyDescent="0.2">
      <c r="O192" s="724"/>
    </row>
    <row r="193" spans="15:15" ht="15" customHeight="1" x14ac:dyDescent="0.2">
      <c r="O193" s="724"/>
    </row>
    <row r="194" spans="15:15" ht="15" customHeight="1" x14ac:dyDescent="0.2">
      <c r="O194" s="724"/>
    </row>
    <row r="195" spans="15:15" ht="15" customHeight="1" x14ac:dyDescent="0.2">
      <c r="O195" s="724"/>
    </row>
    <row r="196" spans="15:15" ht="15" customHeight="1" x14ac:dyDescent="0.2">
      <c r="O196" s="724"/>
    </row>
    <row r="197" spans="15:15" ht="15" customHeight="1" x14ac:dyDescent="0.2">
      <c r="O197" s="724"/>
    </row>
    <row r="198" spans="15:15" ht="15" customHeight="1" x14ac:dyDescent="0.2">
      <c r="O198" s="724"/>
    </row>
    <row r="199" spans="15:15" ht="15" customHeight="1" x14ac:dyDescent="0.2">
      <c r="O199" s="724"/>
    </row>
    <row r="200" spans="15:15" ht="15" customHeight="1" x14ac:dyDescent="0.2">
      <c r="O200" s="724"/>
    </row>
    <row r="201" spans="15:15" ht="15" customHeight="1" x14ac:dyDescent="0.2">
      <c r="O201" s="724"/>
    </row>
    <row r="202" spans="15:15" ht="15" customHeight="1" x14ac:dyDescent="0.2">
      <c r="O202" s="724"/>
    </row>
    <row r="203" spans="15:15" ht="15" customHeight="1" x14ac:dyDescent="0.2">
      <c r="O203" s="724"/>
    </row>
    <row r="204" spans="15:15" ht="15" customHeight="1" x14ac:dyDescent="0.2">
      <c r="O204" s="724"/>
    </row>
    <row r="205" spans="15:15" ht="15" customHeight="1" x14ac:dyDescent="0.2">
      <c r="O205" s="724"/>
    </row>
    <row r="206" spans="15:15" ht="15" customHeight="1" x14ac:dyDescent="0.2">
      <c r="O206" s="724"/>
    </row>
    <row r="207" spans="15:15" ht="15" customHeight="1" x14ac:dyDescent="0.2">
      <c r="O207" s="724"/>
    </row>
    <row r="208" spans="15:15" ht="15" customHeight="1" x14ac:dyDescent="0.2">
      <c r="O208" s="724"/>
    </row>
    <row r="209" spans="15:15" ht="15" customHeight="1" x14ac:dyDescent="0.2">
      <c r="O209" s="724"/>
    </row>
    <row r="210" spans="15:15" ht="15" customHeight="1" x14ac:dyDescent="0.2">
      <c r="O210" s="724"/>
    </row>
    <row r="211" spans="15:15" ht="15" customHeight="1" x14ac:dyDescent="0.2">
      <c r="O211" s="724"/>
    </row>
    <row r="212" spans="15:15" ht="15" customHeight="1" x14ac:dyDescent="0.2">
      <c r="O212" s="724"/>
    </row>
    <row r="213" spans="15:15" ht="15" customHeight="1" x14ac:dyDescent="0.2">
      <c r="O213" s="724"/>
    </row>
    <row r="214" spans="15:15" ht="15" customHeight="1" x14ac:dyDescent="0.2">
      <c r="O214" s="724"/>
    </row>
    <row r="215" spans="15:15" ht="15" customHeight="1" x14ac:dyDescent="0.2">
      <c r="O215" s="724"/>
    </row>
    <row r="216" spans="15:15" ht="15" customHeight="1" x14ac:dyDescent="0.2">
      <c r="O216" s="724"/>
    </row>
    <row r="217" spans="15:15" ht="15" customHeight="1" x14ac:dyDescent="0.2">
      <c r="O217" s="724"/>
    </row>
    <row r="218" spans="15:15" ht="15" customHeight="1" x14ac:dyDescent="0.2">
      <c r="O218" s="724"/>
    </row>
    <row r="219" spans="15:15" ht="15" customHeight="1" x14ac:dyDescent="0.2">
      <c r="O219" s="724"/>
    </row>
    <row r="220" spans="15:15" ht="15" customHeight="1" x14ac:dyDescent="0.2">
      <c r="O220" s="724"/>
    </row>
    <row r="221" spans="15:15" ht="15" customHeight="1" x14ac:dyDescent="0.2">
      <c r="O221" s="724"/>
    </row>
    <row r="222" spans="15:15" ht="15" customHeight="1" x14ac:dyDescent="0.2">
      <c r="O222" s="724"/>
    </row>
    <row r="223" spans="15:15" ht="15" customHeight="1" x14ac:dyDescent="0.2">
      <c r="O223" s="724"/>
    </row>
    <row r="224" spans="15:15" ht="15" customHeight="1" x14ac:dyDescent="0.2">
      <c r="O224" s="724"/>
    </row>
    <row r="225" spans="15:15" ht="15" customHeight="1" x14ac:dyDescent="0.2">
      <c r="O225" s="724"/>
    </row>
    <row r="226" spans="15:15" ht="15" customHeight="1" x14ac:dyDescent="0.2">
      <c r="O226" s="724"/>
    </row>
    <row r="227" spans="15:15" ht="15" customHeight="1" x14ac:dyDescent="0.2">
      <c r="O227" s="724"/>
    </row>
    <row r="228" spans="15:15" ht="15" customHeight="1" x14ac:dyDescent="0.2">
      <c r="O228" s="724"/>
    </row>
    <row r="229" spans="15:15" ht="15" customHeight="1" x14ac:dyDescent="0.2">
      <c r="O229" s="724"/>
    </row>
    <row r="230" spans="15:15" ht="15" customHeight="1" x14ac:dyDescent="0.2">
      <c r="O230" s="724"/>
    </row>
    <row r="231" spans="15:15" ht="15" customHeight="1" x14ac:dyDescent="0.2">
      <c r="O231" s="724"/>
    </row>
    <row r="232" spans="15:15" ht="15" customHeight="1" x14ac:dyDescent="0.2">
      <c r="O232" s="724"/>
    </row>
    <row r="233" spans="15:15" ht="15" customHeight="1" x14ac:dyDescent="0.2">
      <c r="O233" s="724"/>
    </row>
    <row r="234" spans="15:15" ht="15" customHeight="1" x14ac:dyDescent="0.2">
      <c r="O234" s="724"/>
    </row>
    <row r="235" spans="15:15" ht="15" customHeight="1" x14ac:dyDescent="0.2">
      <c r="O235" s="724"/>
    </row>
    <row r="236" spans="15:15" ht="15" customHeight="1" x14ac:dyDescent="0.2">
      <c r="O236" s="724"/>
    </row>
    <row r="237" spans="15:15" ht="15" customHeight="1" x14ac:dyDescent="0.2">
      <c r="O237" s="724"/>
    </row>
    <row r="238" spans="15:15" ht="15" customHeight="1" x14ac:dyDescent="0.2">
      <c r="O238" s="724"/>
    </row>
    <row r="239" spans="15:15" ht="15" customHeight="1" x14ac:dyDescent="0.2">
      <c r="O239" s="724"/>
    </row>
    <row r="240" spans="15:15" ht="15" customHeight="1" x14ac:dyDescent="0.2">
      <c r="O240" s="724"/>
    </row>
    <row r="241" spans="15:15" ht="15" customHeight="1" x14ac:dyDescent="0.2">
      <c r="O241" s="724"/>
    </row>
    <row r="242" spans="15:15" ht="15" customHeight="1" x14ac:dyDescent="0.2">
      <c r="O242" s="724"/>
    </row>
    <row r="243" spans="15:15" ht="15" customHeight="1" x14ac:dyDescent="0.2">
      <c r="O243" s="724"/>
    </row>
    <row r="244" spans="15:15" ht="15" customHeight="1" x14ac:dyDescent="0.2">
      <c r="O244" s="724"/>
    </row>
    <row r="245" spans="15:15" ht="15" customHeight="1" x14ac:dyDescent="0.2">
      <c r="O245" s="724"/>
    </row>
    <row r="246" spans="15:15" ht="15" customHeight="1" x14ac:dyDescent="0.2">
      <c r="O246" s="724"/>
    </row>
    <row r="247" spans="15:15" ht="15" customHeight="1" x14ac:dyDescent="0.2">
      <c r="O247" s="724"/>
    </row>
    <row r="248" spans="15:15" ht="15" customHeight="1" x14ac:dyDescent="0.2">
      <c r="O248" s="724"/>
    </row>
    <row r="249" spans="15:15" ht="15" customHeight="1" x14ac:dyDescent="0.2">
      <c r="O249" s="724"/>
    </row>
    <row r="250" spans="15:15" ht="15" customHeight="1" x14ac:dyDescent="0.2">
      <c r="O250" s="724"/>
    </row>
    <row r="251" spans="15:15" ht="15" customHeight="1" x14ac:dyDescent="0.2">
      <c r="O251" s="724"/>
    </row>
    <row r="252" spans="15:15" ht="15" customHeight="1" x14ac:dyDescent="0.2">
      <c r="O252" s="724"/>
    </row>
    <row r="253" spans="15:15" ht="15" customHeight="1" x14ac:dyDescent="0.2">
      <c r="O253" s="724"/>
    </row>
    <row r="254" spans="15:15" ht="15" customHeight="1" x14ac:dyDescent="0.2">
      <c r="O254" s="724"/>
    </row>
    <row r="255" spans="15:15" ht="15" customHeight="1" x14ac:dyDescent="0.2">
      <c r="O255" s="724"/>
    </row>
    <row r="256" spans="15:15" ht="15" customHeight="1" x14ac:dyDescent="0.2">
      <c r="O256" s="724"/>
    </row>
    <row r="257" spans="15:15" ht="15" customHeight="1" x14ac:dyDescent="0.2">
      <c r="O257" s="724"/>
    </row>
    <row r="258" spans="15:15" ht="15" customHeight="1" x14ac:dyDescent="0.2">
      <c r="O258" s="724"/>
    </row>
    <row r="259" spans="15:15" ht="15" customHeight="1" x14ac:dyDescent="0.2">
      <c r="O259" s="724"/>
    </row>
    <row r="260" spans="15:15" ht="15" customHeight="1" x14ac:dyDescent="0.2">
      <c r="O260" s="724"/>
    </row>
    <row r="261" spans="15:15" ht="15" customHeight="1" x14ac:dyDescent="0.2">
      <c r="O261" s="724"/>
    </row>
    <row r="262" spans="15:15" ht="15" customHeight="1" x14ac:dyDescent="0.2">
      <c r="O262" s="724"/>
    </row>
    <row r="263" spans="15:15" ht="15" customHeight="1" x14ac:dyDescent="0.2">
      <c r="O263" s="724"/>
    </row>
    <row r="264" spans="15:15" ht="15" customHeight="1" x14ac:dyDescent="0.2">
      <c r="O264" s="724"/>
    </row>
    <row r="265" spans="15:15" ht="15" customHeight="1" x14ac:dyDescent="0.2">
      <c r="O265" s="724"/>
    </row>
    <row r="266" spans="15:15" ht="15" customHeight="1" x14ac:dyDescent="0.2">
      <c r="O266" s="724"/>
    </row>
    <row r="267" spans="15:15" ht="15" customHeight="1" x14ac:dyDescent="0.2">
      <c r="O267" s="724"/>
    </row>
    <row r="268" spans="15:15" ht="15" customHeight="1" x14ac:dyDescent="0.2">
      <c r="O268" s="724"/>
    </row>
    <row r="269" spans="15:15" ht="15" customHeight="1" x14ac:dyDescent="0.2">
      <c r="O269" s="724"/>
    </row>
    <row r="270" spans="15:15" ht="15" customHeight="1" x14ac:dyDescent="0.2">
      <c r="O270" s="724"/>
    </row>
    <row r="271" spans="15:15" ht="15" customHeight="1" x14ac:dyDescent="0.2">
      <c r="O271" s="724"/>
    </row>
    <row r="272" spans="15:15" ht="15" customHeight="1" x14ac:dyDescent="0.2">
      <c r="O272" s="724"/>
    </row>
    <row r="273" spans="15:15" ht="15" customHeight="1" x14ac:dyDescent="0.2">
      <c r="O273" s="724"/>
    </row>
    <row r="274" spans="15:15" ht="15" customHeight="1" x14ac:dyDescent="0.2">
      <c r="O274" s="724"/>
    </row>
    <row r="275" spans="15:15" ht="15" customHeight="1" x14ac:dyDescent="0.2">
      <c r="O275" s="724"/>
    </row>
    <row r="276" spans="15:15" ht="15" customHeight="1" x14ac:dyDescent="0.2">
      <c r="O276" s="724"/>
    </row>
    <row r="277" spans="15:15" ht="15" customHeight="1" x14ac:dyDescent="0.2">
      <c r="O277" s="724"/>
    </row>
    <row r="278" spans="15:15" ht="15" customHeight="1" x14ac:dyDescent="0.2">
      <c r="O278" s="724"/>
    </row>
    <row r="279" spans="15:15" ht="15" customHeight="1" x14ac:dyDescent="0.2">
      <c r="O279" s="724"/>
    </row>
    <row r="280" spans="15:15" ht="15" customHeight="1" x14ac:dyDescent="0.2">
      <c r="O280" s="724"/>
    </row>
    <row r="281" spans="15:15" ht="15" customHeight="1" x14ac:dyDescent="0.2">
      <c r="O281" s="724"/>
    </row>
    <row r="282" spans="15:15" ht="15" customHeight="1" x14ac:dyDescent="0.2">
      <c r="O282" s="724"/>
    </row>
    <row r="283" spans="15:15" ht="15" customHeight="1" x14ac:dyDescent="0.2">
      <c r="O283" s="724"/>
    </row>
    <row r="284" spans="15:15" ht="15" customHeight="1" x14ac:dyDescent="0.2">
      <c r="O284" s="724"/>
    </row>
    <row r="285" spans="15:15" ht="15" customHeight="1" x14ac:dyDescent="0.2">
      <c r="O285" s="724"/>
    </row>
    <row r="286" spans="15:15" ht="15" customHeight="1" x14ac:dyDescent="0.2">
      <c r="O286" s="724"/>
    </row>
    <row r="287" spans="15:15" ht="15" customHeight="1" x14ac:dyDescent="0.2">
      <c r="O287" s="724"/>
    </row>
    <row r="288" spans="15:15" ht="15" customHeight="1" x14ac:dyDescent="0.2">
      <c r="O288" s="724"/>
    </row>
    <row r="289" spans="15:15" ht="15" customHeight="1" x14ac:dyDescent="0.2">
      <c r="O289" s="724"/>
    </row>
    <row r="290" spans="15:15" ht="15" customHeight="1" x14ac:dyDescent="0.2">
      <c r="O290" s="724"/>
    </row>
    <row r="291" spans="15:15" ht="15" customHeight="1" x14ac:dyDescent="0.2">
      <c r="O291" s="724"/>
    </row>
    <row r="292" spans="15:15" ht="15" customHeight="1" x14ac:dyDescent="0.2">
      <c r="O292" s="724"/>
    </row>
    <row r="293" spans="15:15" ht="15" customHeight="1" x14ac:dyDescent="0.2">
      <c r="O293" s="724"/>
    </row>
    <row r="294" spans="15:15" ht="15" customHeight="1" x14ac:dyDescent="0.2">
      <c r="O294" s="724"/>
    </row>
    <row r="295" spans="15:15" ht="15" customHeight="1" x14ac:dyDescent="0.2">
      <c r="O295" s="724"/>
    </row>
    <row r="296" spans="15:15" ht="15" customHeight="1" x14ac:dyDescent="0.2">
      <c r="O296" s="724"/>
    </row>
    <row r="297" spans="15:15" ht="15" customHeight="1" x14ac:dyDescent="0.2">
      <c r="O297" s="724"/>
    </row>
    <row r="298" spans="15:15" ht="15" customHeight="1" x14ac:dyDescent="0.2">
      <c r="O298" s="724"/>
    </row>
    <row r="299" spans="15:15" ht="15" customHeight="1" x14ac:dyDescent="0.2">
      <c r="O299" s="724"/>
    </row>
    <row r="300" spans="15:15" ht="15" customHeight="1" x14ac:dyDescent="0.2">
      <c r="O300" s="724"/>
    </row>
    <row r="301" spans="15:15" ht="15" customHeight="1" x14ac:dyDescent="0.2">
      <c r="O301" s="724"/>
    </row>
    <row r="302" spans="15:15" ht="15" customHeight="1" x14ac:dyDescent="0.2">
      <c r="O302" s="724"/>
    </row>
    <row r="303" spans="15:15" ht="15" customHeight="1" x14ac:dyDescent="0.2">
      <c r="O303" s="724"/>
    </row>
    <row r="304" spans="15:15" ht="15" customHeight="1" x14ac:dyDescent="0.2">
      <c r="O304" s="724"/>
    </row>
    <row r="305" spans="15:15" ht="15" customHeight="1" x14ac:dyDescent="0.2">
      <c r="O305" s="724"/>
    </row>
    <row r="306" spans="15:15" ht="15" customHeight="1" x14ac:dyDescent="0.2">
      <c r="O306" s="724"/>
    </row>
    <row r="307" spans="15:15" ht="15" customHeight="1" x14ac:dyDescent="0.2">
      <c r="O307" s="724"/>
    </row>
    <row r="308" spans="15:15" ht="15" customHeight="1" x14ac:dyDescent="0.2">
      <c r="O308" s="724"/>
    </row>
    <row r="309" spans="15:15" ht="15" customHeight="1" x14ac:dyDescent="0.2">
      <c r="O309" s="724"/>
    </row>
    <row r="310" spans="15:15" ht="15" customHeight="1" x14ac:dyDescent="0.2">
      <c r="O310" s="724"/>
    </row>
    <row r="311" spans="15:15" ht="15" customHeight="1" x14ac:dyDescent="0.2">
      <c r="O311" s="724"/>
    </row>
    <row r="312" spans="15:15" ht="15" customHeight="1" x14ac:dyDescent="0.2">
      <c r="O312" s="724"/>
    </row>
    <row r="313" spans="15:15" ht="15" customHeight="1" x14ac:dyDescent="0.2">
      <c r="O313" s="724"/>
    </row>
    <row r="314" spans="15:15" ht="15" customHeight="1" x14ac:dyDescent="0.2">
      <c r="O314" s="724"/>
    </row>
    <row r="315" spans="15:15" ht="15" customHeight="1" x14ac:dyDescent="0.2">
      <c r="O315" s="724"/>
    </row>
    <row r="316" spans="15:15" ht="15" customHeight="1" x14ac:dyDescent="0.2">
      <c r="O316" s="724"/>
    </row>
    <row r="317" spans="15:15" ht="15" customHeight="1" x14ac:dyDescent="0.2">
      <c r="O317" s="724"/>
    </row>
    <row r="318" spans="15:15" ht="15" customHeight="1" x14ac:dyDescent="0.2">
      <c r="O318" s="724"/>
    </row>
    <row r="319" spans="15:15" ht="15" customHeight="1" x14ac:dyDescent="0.2">
      <c r="O319" s="724"/>
    </row>
    <row r="320" spans="15:15" ht="15" customHeight="1" x14ac:dyDescent="0.2">
      <c r="O320" s="724"/>
    </row>
    <row r="321" spans="15:15" ht="15" customHeight="1" x14ac:dyDescent="0.2">
      <c r="O321" s="724"/>
    </row>
    <row r="322" spans="15:15" ht="15" customHeight="1" x14ac:dyDescent="0.2">
      <c r="O322" s="724"/>
    </row>
    <row r="323" spans="15:15" ht="15" customHeight="1" x14ac:dyDescent="0.2">
      <c r="O323" s="724"/>
    </row>
    <row r="324" spans="15:15" ht="15" customHeight="1" x14ac:dyDescent="0.2">
      <c r="O324" s="724"/>
    </row>
    <row r="325" spans="15:15" ht="15" customHeight="1" x14ac:dyDescent="0.2">
      <c r="O325" s="724"/>
    </row>
    <row r="326" spans="15:15" ht="15" customHeight="1" x14ac:dyDescent="0.2">
      <c r="O326" s="724"/>
    </row>
    <row r="327" spans="15:15" ht="15" customHeight="1" x14ac:dyDescent="0.2">
      <c r="O327" s="724"/>
    </row>
    <row r="328" spans="15:15" ht="15" customHeight="1" x14ac:dyDescent="0.2">
      <c r="O328" s="724"/>
    </row>
    <row r="329" spans="15:15" ht="15" customHeight="1" x14ac:dyDescent="0.2">
      <c r="O329" s="724"/>
    </row>
    <row r="330" spans="15:15" ht="15" customHeight="1" x14ac:dyDescent="0.2">
      <c r="O330" s="724"/>
    </row>
    <row r="331" spans="15:15" ht="15" customHeight="1" x14ac:dyDescent="0.2">
      <c r="O331" s="724"/>
    </row>
    <row r="332" spans="15:15" ht="15" customHeight="1" x14ac:dyDescent="0.2">
      <c r="O332" s="724"/>
    </row>
    <row r="333" spans="15:15" ht="15" customHeight="1" x14ac:dyDescent="0.2">
      <c r="O333" s="724"/>
    </row>
    <row r="334" spans="15:15" ht="15" customHeight="1" x14ac:dyDescent="0.2">
      <c r="O334" s="724"/>
    </row>
    <row r="335" spans="15:15" ht="15" customHeight="1" x14ac:dyDescent="0.2">
      <c r="O335" s="724"/>
    </row>
    <row r="336" spans="15:15" ht="15" customHeight="1" x14ac:dyDescent="0.2">
      <c r="O336" s="724"/>
    </row>
    <row r="337" spans="15:15" ht="15" customHeight="1" x14ac:dyDescent="0.2">
      <c r="O337" s="724"/>
    </row>
    <row r="338" spans="15:15" ht="15" customHeight="1" x14ac:dyDescent="0.2">
      <c r="O338" s="724"/>
    </row>
    <row r="339" spans="15:15" ht="15" customHeight="1" x14ac:dyDescent="0.2">
      <c r="O339" s="724"/>
    </row>
    <row r="340" spans="15:15" ht="15" customHeight="1" x14ac:dyDescent="0.2">
      <c r="O340" s="724"/>
    </row>
    <row r="341" spans="15:15" ht="15" customHeight="1" x14ac:dyDescent="0.2">
      <c r="O341" s="724"/>
    </row>
    <row r="342" spans="15:15" ht="15" customHeight="1" x14ac:dyDescent="0.2">
      <c r="O342" s="724"/>
    </row>
    <row r="343" spans="15:15" ht="15" customHeight="1" x14ac:dyDescent="0.2">
      <c r="O343" s="724"/>
    </row>
    <row r="344" spans="15:15" ht="15" customHeight="1" x14ac:dyDescent="0.2">
      <c r="O344" s="724"/>
    </row>
    <row r="345" spans="15:15" ht="15" customHeight="1" x14ac:dyDescent="0.2">
      <c r="O345" s="724"/>
    </row>
    <row r="346" spans="15:15" ht="15" customHeight="1" x14ac:dyDescent="0.2">
      <c r="O346" s="724"/>
    </row>
    <row r="347" spans="15:15" ht="15" customHeight="1" x14ac:dyDescent="0.2">
      <c r="O347" s="724"/>
    </row>
    <row r="348" spans="15:15" ht="15" customHeight="1" x14ac:dyDescent="0.2">
      <c r="O348" s="724"/>
    </row>
    <row r="349" spans="15:15" ht="15" customHeight="1" x14ac:dyDescent="0.2">
      <c r="O349" s="724"/>
    </row>
    <row r="350" spans="15:15" ht="15" customHeight="1" x14ac:dyDescent="0.2">
      <c r="O350" s="724"/>
    </row>
    <row r="351" spans="15:15" ht="15" customHeight="1" x14ac:dyDescent="0.2">
      <c r="O351" s="724"/>
    </row>
    <row r="352" spans="15:15" ht="15" customHeight="1" x14ac:dyDescent="0.2">
      <c r="O352" s="724"/>
    </row>
    <row r="353" spans="15:15" ht="15" customHeight="1" x14ac:dyDescent="0.2">
      <c r="O353" s="724"/>
    </row>
    <row r="354" spans="15:15" ht="15" customHeight="1" x14ac:dyDescent="0.2">
      <c r="O354" s="724"/>
    </row>
    <row r="355" spans="15:15" ht="15" customHeight="1" x14ac:dyDescent="0.2">
      <c r="O355" s="724"/>
    </row>
    <row r="356" spans="15:15" ht="15" customHeight="1" x14ac:dyDescent="0.2">
      <c r="O356" s="724"/>
    </row>
    <row r="357" spans="15:15" ht="15" customHeight="1" x14ac:dyDescent="0.2">
      <c r="O357" s="724"/>
    </row>
    <row r="358" spans="15:15" ht="15" customHeight="1" x14ac:dyDescent="0.2">
      <c r="O358" s="724"/>
    </row>
    <row r="359" spans="15:15" ht="15" customHeight="1" x14ac:dyDescent="0.2">
      <c r="O359" s="724"/>
    </row>
    <row r="360" spans="15:15" ht="15" customHeight="1" x14ac:dyDescent="0.2">
      <c r="O360" s="724"/>
    </row>
    <row r="361" spans="15:15" ht="15" customHeight="1" x14ac:dyDescent="0.2">
      <c r="O361" s="724"/>
    </row>
    <row r="362" spans="15:15" ht="15" customHeight="1" x14ac:dyDescent="0.2">
      <c r="O362" s="724"/>
    </row>
    <row r="363" spans="15:15" ht="15" customHeight="1" x14ac:dyDescent="0.2">
      <c r="O363" s="724"/>
    </row>
    <row r="364" spans="15:15" ht="15" customHeight="1" x14ac:dyDescent="0.2">
      <c r="O364" s="724"/>
    </row>
    <row r="365" spans="15:15" ht="15" customHeight="1" x14ac:dyDescent="0.2">
      <c r="O365" s="724"/>
    </row>
    <row r="366" spans="15:15" ht="15" customHeight="1" x14ac:dyDescent="0.2">
      <c r="O366" s="724"/>
    </row>
    <row r="367" spans="15:15" ht="15" customHeight="1" x14ac:dyDescent="0.2">
      <c r="O367" s="724"/>
    </row>
    <row r="368" spans="15:15" ht="15" customHeight="1" x14ac:dyDescent="0.2">
      <c r="O368" s="724"/>
    </row>
    <row r="369" spans="15:15" ht="15" customHeight="1" x14ac:dyDescent="0.2">
      <c r="O369" s="724"/>
    </row>
    <row r="370" spans="15:15" ht="15" customHeight="1" x14ac:dyDescent="0.2">
      <c r="O370" s="724"/>
    </row>
    <row r="371" spans="15:15" ht="15" customHeight="1" x14ac:dyDescent="0.2">
      <c r="O371" s="724"/>
    </row>
    <row r="372" spans="15:15" ht="15" customHeight="1" x14ac:dyDescent="0.2">
      <c r="O372" s="724"/>
    </row>
    <row r="373" spans="15:15" ht="15" customHeight="1" x14ac:dyDescent="0.2">
      <c r="O373" s="724"/>
    </row>
    <row r="374" spans="15:15" ht="15" customHeight="1" x14ac:dyDescent="0.2">
      <c r="O374" s="724"/>
    </row>
    <row r="375" spans="15:15" ht="15" customHeight="1" x14ac:dyDescent="0.2">
      <c r="O375" s="724"/>
    </row>
    <row r="376" spans="15:15" ht="15" customHeight="1" x14ac:dyDescent="0.2">
      <c r="O376" s="724"/>
    </row>
    <row r="377" spans="15:15" ht="15" customHeight="1" x14ac:dyDescent="0.2">
      <c r="O377" s="724"/>
    </row>
    <row r="378" spans="15:15" ht="15" customHeight="1" x14ac:dyDescent="0.2">
      <c r="O378" s="724"/>
    </row>
    <row r="379" spans="15:15" ht="15" customHeight="1" x14ac:dyDescent="0.2">
      <c r="O379" s="724"/>
    </row>
    <row r="380" spans="15:15" ht="15" customHeight="1" x14ac:dyDescent="0.2">
      <c r="O380" s="724"/>
    </row>
    <row r="381" spans="15:15" ht="15" customHeight="1" x14ac:dyDescent="0.2">
      <c r="O381" s="724"/>
    </row>
    <row r="382" spans="15:15" ht="15" customHeight="1" x14ac:dyDescent="0.2">
      <c r="O382" s="724"/>
    </row>
    <row r="383" spans="15:15" ht="15" customHeight="1" x14ac:dyDescent="0.2">
      <c r="O383" s="724"/>
    </row>
    <row r="384" spans="15:15" ht="15" customHeight="1" x14ac:dyDescent="0.2">
      <c r="O384" s="724"/>
    </row>
    <row r="385" spans="15:15" ht="15" customHeight="1" x14ac:dyDescent="0.2">
      <c r="O385" s="724"/>
    </row>
    <row r="386" spans="15:15" ht="15" customHeight="1" x14ac:dyDescent="0.2">
      <c r="O386" s="724"/>
    </row>
    <row r="387" spans="15:15" ht="15" customHeight="1" x14ac:dyDescent="0.2">
      <c r="O387" s="724"/>
    </row>
    <row r="388" spans="15:15" ht="15" customHeight="1" x14ac:dyDescent="0.2">
      <c r="O388" s="724"/>
    </row>
    <row r="389" spans="15:15" ht="15" customHeight="1" x14ac:dyDescent="0.2">
      <c r="O389" s="724"/>
    </row>
    <row r="390" spans="15:15" ht="15" customHeight="1" x14ac:dyDescent="0.2">
      <c r="O390" s="724"/>
    </row>
    <row r="391" spans="15:15" ht="15" customHeight="1" x14ac:dyDescent="0.2">
      <c r="O391" s="724"/>
    </row>
    <row r="392" spans="15:15" ht="15" customHeight="1" x14ac:dyDescent="0.2">
      <c r="O392" s="724"/>
    </row>
    <row r="393" spans="15:15" ht="15" customHeight="1" x14ac:dyDescent="0.2">
      <c r="O393" s="724"/>
    </row>
    <row r="394" spans="15:15" ht="15" customHeight="1" x14ac:dyDescent="0.2">
      <c r="O394" s="724"/>
    </row>
    <row r="395" spans="15:15" ht="15" customHeight="1" x14ac:dyDescent="0.2">
      <c r="O395" s="724"/>
    </row>
    <row r="396" spans="15:15" ht="15" customHeight="1" x14ac:dyDescent="0.2">
      <c r="O396" s="724"/>
    </row>
    <row r="397" spans="15:15" ht="15" customHeight="1" x14ac:dyDescent="0.2">
      <c r="O397" s="724"/>
    </row>
    <row r="398" spans="15:15" ht="15" customHeight="1" x14ac:dyDescent="0.2">
      <c r="O398" s="724"/>
    </row>
    <row r="399" spans="15:15" ht="15" customHeight="1" x14ac:dyDescent="0.2">
      <c r="O399" s="724"/>
    </row>
    <row r="400" spans="15:15" ht="15" customHeight="1" x14ac:dyDescent="0.2">
      <c r="O400" s="724"/>
    </row>
    <row r="401" spans="15:15" ht="15" customHeight="1" x14ac:dyDescent="0.2">
      <c r="O401" s="724"/>
    </row>
    <row r="402" spans="15:15" ht="15" customHeight="1" x14ac:dyDescent="0.2">
      <c r="O402" s="724"/>
    </row>
    <row r="403" spans="15:15" ht="15" customHeight="1" x14ac:dyDescent="0.2">
      <c r="O403" s="724"/>
    </row>
    <row r="404" spans="15:15" ht="15" customHeight="1" x14ac:dyDescent="0.2">
      <c r="O404" s="724"/>
    </row>
    <row r="405" spans="15:15" ht="15" customHeight="1" x14ac:dyDescent="0.2">
      <c r="O405" s="724"/>
    </row>
    <row r="406" spans="15:15" ht="15" customHeight="1" x14ac:dyDescent="0.2">
      <c r="O406" s="724"/>
    </row>
    <row r="407" spans="15:15" ht="15" customHeight="1" x14ac:dyDescent="0.2">
      <c r="O407" s="724"/>
    </row>
    <row r="408" spans="15:15" ht="15" customHeight="1" x14ac:dyDescent="0.2">
      <c r="O408" s="724"/>
    </row>
    <row r="409" spans="15:15" ht="15" customHeight="1" x14ac:dyDescent="0.2">
      <c r="O409" s="724"/>
    </row>
    <row r="410" spans="15:15" ht="15" customHeight="1" x14ac:dyDescent="0.2">
      <c r="O410" s="724"/>
    </row>
    <row r="411" spans="15:15" ht="15" customHeight="1" x14ac:dyDescent="0.2">
      <c r="O411" s="724"/>
    </row>
    <row r="412" spans="15:15" ht="15" customHeight="1" x14ac:dyDescent="0.2">
      <c r="O412" s="724"/>
    </row>
    <row r="413" spans="15:15" ht="15" customHeight="1" x14ac:dyDescent="0.2">
      <c r="O413" s="724"/>
    </row>
    <row r="414" spans="15:15" ht="15" customHeight="1" x14ac:dyDescent="0.2">
      <c r="O414" s="724"/>
    </row>
    <row r="415" spans="15:15" ht="15" customHeight="1" x14ac:dyDescent="0.2">
      <c r="O415" s="724"/>
    </row>
    <row r="416" spans="15:15" ht="15" customHeight="1" x14ac:dyDescent="0.2">
      <c r="O416" s="724"/>
    </row>
    <row r="417" spans="15:15" ht="15" customHeight="1" x14ac:dyDescent="0.2">
      <c r="O417" s="724"/>
    </row>
    <row r="418" spans="15:15" ht="15" customHeight="1" x14ac:dyDescent="0.2">
      <c r="O418" s="724"/>
    </row>
    <row r="419" spans="15:15" ht="15" customHeight="1" x14ac:dyDescent="0.2">
      <c r="O419" s="724"/>
    </row>
    <row r="420" spans="15:15" ht="15" customHeight="1" x14ac:dyDescent="0.2">
      <c r="O420" s="724"/>
    </row>
    <row r="421" spans="15:15" ht="15" customHeight="1" x14ac:dyDescent="0.2">
      <c r="O421" s="724"/>
    </row>
    <row r="422" spans="15:15" ht="15" customHeight="1" x14ac:dyDescent="0.2">
      <c r="O422" s="724"/>
    </row>
    <row r="423" spans="15:15" ht="15" customHeight="1" x14ac:dyDescent="0.2">
      <c r="O423" s="724"/>
    </row>
    <row r="424" spans="15:15" ht="15" customHeight="1" x14ac:dyDescent="0.2">
      <c r="O424" s="724"/>
    </row>
    <row r="425" spans="15:15" ht="15" customHeight="1" x14ac:dyDescent="0.2">
      <c r="O425" s="724"/>
    </row>
    <row r="426" spans="15:15" ht="15" customHeight="1" x14ac:dyDescent="0.2">
      <c r="O426" s="724"/>
    </row>
    <row r="427" spans="15:15" ht="15" customHeight="1" x14ac:dyDescent="0.2">
      <c r="O427" s="724"/>
    </row>
    <row r="428" spans="15:15" ht="15" customHeight="1" x14ac:dyDescent="0.2">
      <c r="O428" s="724"/>
    </row>
    <row r="429" spans="15:15" ht="15" customHeight="1" x14ac:dyDescent="0.2">
      <c r="O429" s="724"/>
    </row>
    <row r="430" spans="15:15" ht="15" customHeight="1" x14ac:dyDescent="0.2">
      <c r="O430" s="724"/>
    </row>
    <row r="431" spans="15:15" ht="15" customHeight="1" x14ac:dyDescent="0.2">
      <c r="O431" s="724"/>
    </row>
    <row r="432" spans="15:15" ht="15" customHeight="1" x14ac:dyDescent="0.2">
      <c r="O432" s="724"/>
    </row>
    <row r="433" spans="15:15" ht="15" customHeight="1" x14ac:dyDescent="0.2">
      <c r="O433" s="724"/>
    </row>
    <row r="434" spans="15:15" ht="15" customHeight="1" x14ac:dyDescent="0.2">
      <c r="O434" s="724"/>
    </row>
    <row r="435" spans="15:15" ht="15" customHeight="1" x14ac:dyDescent="0.2">
      <c r="O435" s="724"/>
    </row>
    <row r="436" spans="15:15" ht="15" customHeight="1" x14ac:dyDescent="0.2">
      <c r="O436" s="724"/>
    </row>
    <row r="437" spans="15:15" ht="15" customHeight="1" x14ac:dyDescent="0.2">
      <c r="O437" s="724"/>
    </row>
    <row r="438" spans="15:15" ht="15" customHeight="1" x14ac:dyDescent="0.2">
      <c r="O438" s="724"/>
    </row>
    <row r="439" spans="15:15" ht="15" customHeight="1" x14ac:dyDescent="0.2">
      <c r="O439" s="724"/>
    </row>
    <row r="440" spans="15:15" ht="15" customHeight="1" x14ac:dyDescent="0.2">
      <c r="O440" s="724"/>
    </row>
    <row r="441" spans="15:15" ht="15" customHeight="1" x14ac:dyDescent="0.2">
      <c r="O441" s="724"/>
    </row>
    <row r="442" spans="15:15" ht="15" customHeight="1" x14ac:dyDescent="0.2">
      <c r="O442" s="724"/>
    </row>
    <row r="443" spans="15:15" ht="15" customHeight="1" x14ac:dyDescent="0.2">
      <c r="O443" s="724"/>
    </row>
    <row r="444" spans="15:15" ht="15" customHeight="1" x14ac:dyDescent="0.2">
      <c r="O444" s="724"/>
    </row>
    <row r="445" spans="15:15" ht="15" customHeight="1" x14ac:dyDescent="0.2">
      <c r="O445" s="724"/>
    </row>
    <row r="446" spans="15:15" ht="15" customHeight="1" x14ac:dyDescent="0.2">
      <c r="O446" s="724"/>
    </row>
    <row r="447" spans="15:15" ht="15" customHeight="1" x14ac:dyDescent="0.2">
      <c r="O447" s="724"/>
    </row>
    <row r="448" spans="15:15" ht="15" customHeight="1" x14ac:dyDescent="0.2">
      <c r="O448" s="724"/>
    </row>
    <row r="449" spans="15:15" ht="15" customHeight="1" x14ac:dyDescent="0.2">
      <c r="O449" s="724"/>
    </row>
    <row r="450" spans="15:15" ht="15" customHeight="1" x14ac:dyDescent="0.2">
      <c r="O450" s="724"/>
    </row>
    <row r="451" spans="15:15" ht="15" customHeight="1" x14ac:dyDescent="0.2">
      <c r="O451" s="724"/>
    </row>
    <row r="452" spans="15:15" ht="15" customHeight="1" x14ac:dyDescent="0.2">
      <c r="O452" s="724"/>
    </row>
    <row r="453" spans="15:15" ht="15" customHeight="1" x14ac:dyDescent="0.2">
      <c r="O453" s="724"/>
    </row>
    <row r="454" spans="15:15" ht="15" customHeight="1" x14ac:dyDescent="0.2">
      <c r="O454" s="724"/>
    </row>
    <row r="455" spans="15:15" ht="15" customHeight="1" x14ac:dyDescent="0.2">
      <c r="O455" s="724"/>
    </row>
    <row r="456" spans="15:15" ht="15" customHeight="1" x14ac:dyDescent="0.2">
      <c r="O456" s="724"/>
    </row>
    <row r="457" spans="15:15" ht="15" customHeight="1" x14ac:dyDescent="0.2">
      <c r="O457" s="724"/>
    </row>
    <row r="458" spans="15:15" ht="15" customHeight="1" x14ac:dyDescent="0.2">
      <c r="O458" s="724"/>
    </row>
    <row r="459" spans="15:15" ht="15" customHeight="1" x14ac:dyDescent="0.2">
      <c r="O459" s="724"/>
    </row>
    <row r="460" spans="15:15" ht="15" customHeight="1" x14ac:dyDescent="0.2">
      <c r="O460" s="724"/>
    </row>
    <row r="461" spans="15:15" ht="15" customHeight="1" x14ac:dyDescent="0.2">
      <c r="O461" s="724"/>
    </row>
    <row r="462" spans="15:15" ht="15" customHeight="1" x14ac:dyDescent="0.2">
      <c r="O462" s="724"/>
    </row>
    <row r="463" spans="15:15" ht="15" customHeight="1" x14ac:dyDescent="0.2">
      <c r="O463" s="724"/>
    </row>
    <row r="464" spans="15:15" ht="15" customHeight="1" x14ac:dyDescent="0.2">
      <c r="O464" s="724"/>
    </row>
    <row r="465" spans="15:15" ht="15" customHeight="1" x14ac:dyDescent="0.2">
      <c r="O465" s="724"/>
    </row>
    <row r="466" spans="15:15" ht="15" customHeight="1" x14ac:dyDescent="0.2">
      <c r="O466" s="724"/>
    </row>
    <row r="467" spans="15:15" ht="15" customHeight="1" x14ac:dyDescent="0.2">
      <c r="O467" s="724"/>
    </row>
    <row r="468" spans="15:15" ht="15" customHeight="1" x14ac:dyDescent="0.2">
      <c r="O468" s="724"/>
    </row>
    <row r="469" spans="15:15" ht="15" customHeight="1" x14ac:dyDescent="0.2">
      <c r="O469" s="724"/>
    </row>
    <row r="470" spans="15:15" ht="15" customHeight="1" x14ac:dyDescent="0.2">
      <c r="O470" s="724"/>
    </row>
    <row r="471" spans="15:15" ht="15" customHeight="1" x14ac:dyDescent="0.2">
      <c r="O471" s="724"/>
    </row>
    <row r="472" spans="15:15" ht="15" customHeight="1" x14ac:dyDescent="0.2">
      <c r="O472" s="724"/>
    </row>
    <row r="473" spans="15:15" ht="15" customHeight="1" x14ac:dyDescent="0.2">
      <c r="O473" s="724"/>
    </row>
    <row r="474" spans="15:15" ht="15" customHeight="1" x14ac:dyDescent="0.2">
      <c r="O474" s="724"/>
    </row>
    <row r="475" spans="15:15" ht="15" customHeight="1" x14ac:dyDescent="0.2">
      <c r="O475" s="724"/>
    </row>
    <row r="476" spans="15:15" ht="15" customHeight="1" x14ac:dyDescent="0.2">
      <c r="O476" s="724"/>
    </row>
    <row r="477" spans="15:15" ht="15" customHeight="1" x14ac:dyDescent="0.2">
      <c r="O477" s="724"/>
    </row>
    <row r="478" spans="15:15" ht="15" customHeight="1" x14ac:dyDescent="0.2">
      <c r="O478" s="724"/>
    </row>
    <row r="479" spans="15:15" ht="15" customHeight="1" x14ac:dyDescent="0.2">
      <c r="O479" s="724"/>
    </row>
    <row r="480" spans="15:15" ht="15" customHeight="1" x14ac:dyDescent="0.2">
      <c r="O480" s="724"/>
    </row>
    <row r="481" spans="15:15" ht="15" customHeight="1" x14ac:dyDescent="0.2">
      <c r="O481" s="724"/>
    </row>
    <row r="482" spans="15:15" ht="15" customHeight="1" x14ac:dyDescent="0.2">
      <c r="O482" s="724"/>
    </row>
    <row r="483" spans="15:15" ht="15" customHeight="1" x14ac:dyDescent="0.2">
      <c r="O483" s="724"/>
    </row>
    <row r="484" spans="15:15" ht="15" customHeight="1" x14ac:dyDescent="0.2">
      <c r="O484" s="724"/>
    </row>
    <row r="485" spans="15:15" ht="15" customHeight="1" x14ac:dyDescent="0.2">
      <c r="O485" s="724"/>
    </row>
    <row r="486" spans="15:15" ht="15" customHeight="1" x14ac:dyDescent="0.2">
      <c r="O486" s="724"/>
    </row>
    <row r="487" spans="15:15" ht="15" customHeight="1" x14ac:dyDescent="0.2">
      <c r="O487" s="724"/>
    </row>
    <row r="488" spans="15:15" ht="15" customHeight="1" x14ac:dyDescent="0.2">
      <c r="O488" s="724"/>
    </row>
    <row r="489" spans="15:15" ht="15" customHeight="1" x14ac:dyDescent="0.2">
      <c r="O489" s="724"/>
    </row>
    <row r="490" spans="15:15" ht="15" customHeight="1" x14ac:dyDescent="0.2">
      <c r="O490" s="724"/>
    </row>
    <row r="491" spans="15:15" ht="15" customHeight="1" x14ac:dyDescent="0.2">
      <c r="O491" s="724"/>
    </row>
    <row r="492" spans="15:15" ht="15" customHeight="1" x14ac:dyDescent="0.2">
      <c r="O492" s="724"/>
    </row>
    <row r="493" spans="15:15" ht="15" customHeight="1" x14ac:dyDescent="0.2">
      <c r="O493" s="724"/>
    </row>
    <row r="494" spans="15:15" ht="15" customHeight="1" x14ac:dyDescent="0.2">
      <c r="O494" s="724"/>
    </row>
    <row r="495" spans="15:15" ht="15" customHeight="1" x14ac:dyDescent="0.2">
      <c r="O495" s="724"/>
    </row>
    <row r="496" spans="15:15" ht="15" customHeight="1" x14ac:dyDescent="0.2">
      <c r="O496" s="724"/>
    </row>
    <row r="497" spans="15:15" ht="15" customHeight="1" x14ac:dyDescent="0.2">
      <c r="O497" s="724"/>
    </row>
    <row r="498" spans="15:15" ht="15" customHeight="1" x14ac:dyDescent="0.2">
      <c r="O498" s="724"/>
    </row>
    <row r="499" spans="15:15" ht="15" customHeight="1" x14ac:dyDescent="0.2">
      <c r="O499" s="724"/>
    </row>
    <row r="500" spans="15:15" ht="15" customHeight="1" x14ac:dyDescent="0.2">
      <c r="O500" s="724"/>
    </row>
    <row r="501" spans="15:15" ht="15" customHeight="1" x14ac:dyDescent="0.2">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6171875" defaultRowHeight="15" x14ac:dyDescent="0.2"/>
  <cols>
    <col min="1" max="1" width="13.046875" style="9" bestFit="1" customWidth="1"/>
    <col min="2" max="2" width="4.9765625" style="9" customWidth="1"/>
    <col min="3" max="3" width="12.375" style="9" customWidth="1"/>
    <col min="4" max="4" width="13.046875" style="9" customWidth="1"/>
    <col min="5" max="5" width="12.375" style="9" bestFit="1" customWidth="1"/>
    <col min="6" max="6" width="10.76171875" style="9"/>
    <col min="7" max="7" width="12.375" style="9" bestFit="1" customWidth="1"/>
    <col min="8" max="15" width="10.76171875" style="9"/>
    <col min="16" max="16" width="4.83984375" style="9" bestFit="1" customWidth="1"/>
    <col min="17" max="17" width="17.75390625" style="9" bestFit="1" customWidth="1"/>
    <col min="18" max="18" width="11.1640625" style="9" bestFit="1" customWidth="1"/>
    <col min="19" max="19" width="11.02734375" style="9" bestFit="1" customWidth="1"/>
    <col min="20" max="20" width="10.35546875" style="9" bestFit="1" customWidth="1"/>
    <col min="21" max="21" width="10.4921875" style="9" customWidth="1"/>
    <col min="22" max="22" width="10.35546875" style="9" customWidth="1"/>
    <col min="23" max="23" width="3.359375" style="9" bestFit="1" customWidth="1"/>
    <col min="24" max="26" width="10.76171875" style="9"/>
    <col min="27" max="27" width="6.45703125" style="9" customWidth="1"/>
    <col min="28" max="33" width="10.76171875" style="9"/>
    <col min="34" max="34" width="3.359375" style="9" bestFit="1" customWidth="1"/>
    <col min="35" max="16384" width="10.76171875" style="9"/>
  </cols>
  <sheetData>
    <row r="1" spans="1:35" ht="15.75" thickBot="1" x14ac:dyDescent="0.25">
      <c r="A1" s="710"/>
      <c r="K1" s="714" t="s">
        <v>376</v>
      </c>
      <c r="L1" s="714" t="s">
        <v>367</v>
      </c>
      <c r="M1" s="714" t="s">
        <v>149</v>
      </c>
      <c r="N1" s="714" t="s">
        <v>372</v>
      </c>
      <c r="P1" s="11" t="s">
        <v>1343</v>
      </c>
      <c r="Q1" s="11"/>
      <c r="R1" s="11"/>
      <c r="S1" s="11"/>
      <c r="T1" s="11"/>
      <c r="U1" s="11"/>
      <c r="V1" s="11"/>
      <c r="W1" s="11"/>
      <c r="X1" s="11"/>
    </row>
    <row r="2" spans="1:35" ht="15.75" thickBot="1" x14ac:dyDescent="0.25">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x14ac:dyDescent="0.2">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x14ac:dyDescent="0.2">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x14ac:dyDescent="0.2">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x14ac:dyDescent="0.2">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x14ac:dyDescent="0.2">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x14ac:dyDescent="0.2">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x14ac:dyDescent="0.2">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x14ac:dyDescent="0.2">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x14ac:dyDescent="0.2">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x14ac:dyDescent="0.2">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x14ac:dyDescent="0.2">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x14ac:dyDescent="0.2">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x14ac:dyDescent="0.2">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x14ac:dyDescent="0.2">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x14ac:dyDescent="0.2">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x14ac:dyDescent="0.2">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x14ac:dyDescent="0.2">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x14ac:dyDescent="0.2">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x14ac:dyDescent="0.2">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x14ac:dyDescent="0.2">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x14ac:dyDescent="0.2">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x14ac:dyDescent="0.2">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x14ac:dyDescent="0.2">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x14ac:dyDescent="0.2">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x14ac:dyDescent="0.2">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x14ac:dyDescent="0.2">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x14ac:dyDescent="0.2">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x14ac:dyDescent="0.2">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x14ac:dyDescent="0.2">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x14ac:dyDescent="0.2">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x14ac:dyDescent="0.2">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x14ac:dyDescent="0.2">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x14ac:dyDescent="0.2">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x14ac:dyDescent="0.2">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x14ac:dyDescent="0.2">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x14ac:dyDescent="0.2">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x14ac:dyDescent="0.2">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x14ac:dyDescent="0.2">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x14ac:dyDescent="0.2">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x14ac:dyDescent="0.2">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x14ac:dyDescent="0.2">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x14ac:dyDescent="0.2">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x14ac:dyDescent="0.2">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x14ac:dyDescent="0.2">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x14ac:dyDescent="0.2">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x14ac:dyDescent="0.2">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x14ac:dyDescent="0.2">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x14ac:dyDescent="0.2">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x14ac:dyDescent="0.2">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x14ac:dyDescent="0.2">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x14ac:dyDescent="0.2">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x14ac:dyDescent="0.2">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x14ac:dyDescent="0.2">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x14ac:dyDescent="0.2">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x14ac:dyDescent="0.2">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x14ac:dyDescent="0.2">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x14ac:dyDescent="0.2">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x14ac:dyDescent="0.2">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x14ac:dyDescent="0.2">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x14ac:dyDescent="0.2">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x14ac:dyDescent="0.2">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x14ac:dyDescent="0.2">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x14ac:dyDescent="0.2">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x14ac:dyDescent="0.2">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x14ac:dyDescent="0.2">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x14ac:dyDescent="0.2">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x14ac:dyDescent="0.2">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x14ac:dyDescent="0.2">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x14ac:dyDescent="0.2">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x14ac:dyDescent="0.2">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x14ac:dyDescent="0.2">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x14ac:dyDescent="0.2">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x14ac:dyDescent="0.2">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x14ac:dyDescent="0.2">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x14ac:dyDescent="0.2">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x14ac:dyDescent="0.2">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x14ac:dyDescent="0.2">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x14ac:dyDescent="0.2">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x14ac:dyDescent="0.2">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x14ac:dyDescent="0.2">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x14ac:dyDescent="0.2">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x14ac:dyDescent="0.2">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x14ac:dyDescent="0.2">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x14ac:dyDescent="0.2">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x14ac:dyDescent="0.2">
      <c r="A87" s="710">
        <v>46196.916666666664</v>
      </c>
      <c r="C87" s="710">
        <f t="shared" ca="1" si="34"/>
        <v>46197.166666666664</v>
      </c>
    </row>
    <row r="88" spans="1:35" x14ac:dyDescent="0.2">
      <c r="A88" s="710">
        <v>46200.8125</v>
      </c>
      <c r="C88" s="710">
        <f t="shared" ca="1" si="34"/>
        <v>46201.0625</v>
      </c>
    </row>
    <row r="89" spans="1:35" x14ac:dyDescent="0.2">
      <c r="A89" s="710">
        <v>46200.8125</v>
      </c>
      <c r="C89" s="710">
        <f t="shared" ca="1" si="34"/>
        <v>46201.0625</v>
      </c>
    </row>
    <row r="90" spans="1:35" x14ac:dyDescent="0.2">
      <c r="C90" s="710"/>
    </row>
    <row r="91" spans="1:35" x14ac:dyDescent="0.2">
      <c r="A91" s="5" t="s">
        <v>489</v>
      </c>
      <c r="C91" s="710"/>
    </row>
    <row r="92" spans="1:35" x14ac:dyDescent="0.2">
      <c r="A92" s="710">
        <v>46190.666666666664</v>
      </c>
      <c r="C92" s="710">
        <f t="shared" ref="C92:C97" ca="1" si="35">A92+INDEX($V$3:$V$86,MATCH($C$3,$P$3:$P$86,0))*INDEX($W$3:$W$86,MATCH($C$3,$P$3:$P$86,0))</f>
        <v>46190.916666666664</v>
      </c>
    </row>
    <row r="93" spans="1:35" x14ac:dyDescent="0.2">
      <c r="A93" s="710">
        <v>46190.791666666664</v>
      </c>
      <c r="C93" s="710">
        <f t="shared" ca="1" si="35"/>
        <v>46191.041666666664</v>
      </c>
    </row>
    <row r="94" spans="1:35" x14ac:dyDescent="0.2">
      <c r="A94" s="710">
        <v>46196.666666666664</v>
      </c>
      <c r="C94" s="710">
        <f t="shared" ca="1" si="35"/>
        <v>46196.916666666664</v>
      </c>
    </row>
    <row r="95" spans="1:35" x14ac:dyDescent="0.2">
      <c r="A95" s="710">
        <v>46196.791666666664</v>
      </c>
      <c r="C95" s="710">
        <f t="shared" ca="1" si="35"/>
        <v>46197.041666666664</v>
      </c>
    </row>
    <row r="96" spans="1:35" x14ac:dyDescent="0.2">
      <c r="A96" s="710">
        <v>46200.708333333336</v>
      </c>
      <c r="C96" s="710">
        <f t="shared" ca="1" si="35"/>
        <v>46200.958333333336</v>
      </c>
    </row>
    <row r="97" spans="1:3" x14ac:dyDescent="0.2">
      <c r="A97" s="710">
        <v>46200.708333333336</v>
      </c>
      <c r="C97" s="710">
        <f t="shared" ca="1" si="35"/>
        <v>46200.958333333336</v>
      </c>
    </row>
    <row r="100" spans="1:3" x14ac:dyDescent="0.2">
      <c r="A100" s="716" t="s">
        <v>490</v>
      </c>
      <c r="C100" s="710"/>
    </row>
    <row r="101" spans="1:3" x14ac:dyDescent="0.2">
      <c r="A101" s="710">
        <v>46201.625</v>
      </c>
      <c r="C101" s="710">
        <f t="shared" ref="C101:C116" ca="1" si="36">A101+INDEX($V$3:$V$86,MATCH($C$3,$P$3:$P$86,0))*INDEX($W$3:$W$86,MATCH($C$3,$P$3:$P$86,0))</f>
        <v>46201.875</v>
      </c>
    </row>
    <row r="102" spans="1:3" x14ac:dyDescent="0.2">
      <c r="A102" s="710">
        <v>46202.541666666664</v>
      </c>
      <c r="C102" s="710">
        <f t="shared" ca="1" si="36"/>
        <v>46202.791666666664</v>
      </c>
    </row>
    <row r="103" spans="1:3" x14ac:dyDescent="0.2">
      <c r="A103" s="710">
        <v>46202.6875</v>
      </c>
      <c r="C103" s="710">
        <f t="shared" ca="1" si="36"/>
        <v>46202.9375</v>
      </c>
    </row>
    <row r="104" spans="1:3" x14ac:dyDescent="0.2">
      <c r="A104" s="710">
        <v>46202.875</v>
      </c>
      <c r="C104" s="710">
        <f t="shared" ca="1" si="36"/>
        <v>46203.125</v>
      </c>
    </row>
    <row r="105" spans="1:3" x14ac:dyDescent="0.2">
      <c r="A105" s="710">
        <v>46203.541666666664</v>
      </c>
      <c r="C105" s="710">
        <f t="shared" ca="1" si="36"/>
        <v>46203.791666666664</v>
      </c>
    </row>
    <row r="106" spans="1:3" x14ac:dyDescent="0.2">
      <c r="A106" s="710">
        <v>46203.708333333336</v>
      </c>
      <c r="C106" s="710">
        <f t="shared" ca="1" si="36"/>
        <v>46203.958333333336</v>
      </c>
    </row>
    <row r="107" spans="1:3" x14ac:dyDescent="0.2">
      <c r="A107" s="710">
        <v>46203.875</v>
      </c>
      <c r="C107" s="710">
        <f t="shared" ca="1" si="36"/>
        <v>46204.125</v>
      </c>
    </row>
    <row r="108" spans="1:3" x14ac:dyDescent="0.2">
      <c r="A108" s="710">
        <v>46204.5</v>
      </c>
      <c r="C108" s="710">
        <f t="shared" ca="1" si="36"/>
        <v>46204.75</v>
      </c>
    </row>
    <row r="109" spans="1:3" x14ac:dyDescent="0.2">
      <c r="A109" s="710">
        <v>46204.666666666664</v>
      </c>
      <c r="C109" s="710">
        <f t="shared" ca="1" si="36"/>
        <v>46204.916666666664</v>
      </c>
    </row>
    <row r="110" spans="1:3" x14ac:dyDescent="0.2">
      <c r="A110" s="710">
        <v>46204.833333333336</v>
      </c>
      <c r="C110" s="710">
        <f t="shared" ca="1" si="36"/>
        <v>46205.083333333336</v>
      </c>
    </row>
    <row r="111" spans="1:3" x14ac:dyDescent="0.2">
      <c r="A111" s="710">
        <v>46205.625</v>
      </c>
      <c r="C111" s="710">
        <f t="shared" ca="1" si="36"/>
        <v>46205.875</v>
      </c>
    </row>
    <row r="112" spans="1:3" x14ac:dyDescent="0.2">
      <c r="A112" s="710">
        <v>46205.791666666664</v>
      </c>
      <c r="C112" s="710">
        <f t="shared" ca="1" si="36"/>
        <v>46206.041666666664</v>
      </c>
    </row>
    <row r="113" spans="1:3" x14ac:dyDescent="0.2">
      <c r="A113" s="710">
        <v>46205.958333333336</v>
      </c>
      <c r="C113" s="710">
        <f t="shared" ca="1" si="36"/>
        <v>46206.208333333336</v>
      </c>
    </row>
    <row r="114" spans="1:3" x14ac:dyDescent="0.2">
      <c r="A114" s="710">
        <v>46206.583333333336</v>
      </c>
      <c r="C114" s="710">
        <f t="shared" ca="1" si="36"/>
        <v>46206.833333333336</v>
      </c>
    </row>
    <row r="115" spans="1:3" x14ac:dyDescent="0.2">
      <c r="A115" s="710">
        <v>46206.75</v>
      </c>
      <c r="C115" s="710">
        <f t="shared" ca="1" si="36"/>
        <v>46207</v>
      </c>
    </row>
    <row r="116" spans="1:3" x14ac:dyDescent="0.2">
      <c r="A116" s="710">
        <v>46206.895833333336</v>
      </c>
      <c r="C116" s="710">
        <f t="shared" ca="1" si="36"/>
        <v>46207.145833333336</v>
      </c>
    </row>
    <row r="117" spans="1:3" x14ac:dyDescent="0.2">
      <c r="C117" s="710"/>
    </row>
    <row r="118" spans="1:3" x14ac:dyDescent="0.2">
      <c r="C118" s="710"/>
    </row>
    <row r="119" spans="1:3" x14ac:dyDescent="0.2">
      <c r="A119" s="716" t="s">
        <v>718</v>
      </c>
    </row>
    <row r="120" spans="1:3" x14ac:dyDescent="0.2">
      <c r="A120" s="710">
        <v>46207.541666666664</v>
      </c>
      <c r="C120" s="710">
        <f t="shared" ref="C120:C127" ca="1" si="37">A120+INDEX($V$3:$V$86,MATCH($C$3,$P$3:$P$86,0))*INDEX($W$3:$W$86,MATCH($C$3,$P$3:$P$86,0))</f>
        <v>46207.791666666664</v>
      </c>
    </row>
    <row r="121" spans="1:3" x14ac:dyDescent="0.2">
      <c r="A121" s="710">
        <v>46207.708333333336</v>
      </c>
      <c r="C121" s="710">
        <f t="shared" ca="1" si="37"/>
        <v>46207.958333333336</v>
      </c>
    </row>
    <row r="122" spans="1:3" x14ac:dyDescent="0.2">
      <c r="A122" s="710">
        <v>46208.666666666664</v>
      </c>
      <c r="C122" s="710">
        <f t="shared" ca="1" si="37"/>
        <v>46208.916666666664</v>
      </c>
    </row>
    <row r="123" spans="1:3" x14ac:dyDescent="0.2">
      <c r="A123" s="710">
        <v>46208.833333333336</v>
      </c>
      <c r="C123" s="710">
        <f t="shared" ca="1" si="37"/>
        <v>46209.083333333336</v>
      </c>
    </row>
    <row r="124" spans="1:3" x14ac:dyDescent="0.2">
      <c r="A124" s="710">
        <v>46209.625</v>
      </c>
      <c r="C124" s="710">
        <f t="shared" ca="1" si="37"/>
        <v>46209.875</v>
      </c>
    </row>
    <row r="125" spans="1:3" x14ac:dyDescent="0.2">
      <c r="A125" s="710">
        <v>46209.833333333336</v>
      </c>
      <c r="C125" s="710">
        <f t="shared" ca="1" si="37"/>
        <v>46210.083333333336</v>
      </c>
    </row>
    <row r="126" spans="1:3" x14ac:dyDescent="0.2">
      <c r="A126" s="710">
        <v>46210.5</v>
      </c>
      <c r="C126" s="710">
        <f t="shared" ca="1" si="37"/>
        <v>46210.75</v>
      </c>
    </row>
    <row r="127" spans="1:3" x14ac:dyDescent="0.2">
      <c r="A127" s="710">
        <v>46210.666666666664</v>
      </c>
      <c r="C127" s="710">
        <f t="shared" ca="1" si="37"/>
        <v>46210.916666666664</v>
      </c>
    </row>
    <row r="130" spans="1:3" x14ac:dyDescent="0.2">
      <c r="A130" s="716" t="s">
        <v>95</v>
      </c>
      <c r="C130" s="710"/>
    </row>
    <row r="131" spans="1:3" x14ac:dyDescent="0.2">
      <c r="A131" s="710">
        <v>46212.666666666664</v>
      </c>
      <c r="C131" s="710">
        <f ca="1">A131+INDEX($V$3:$V$86,MATCH($C$3,$P$3:$P$86,0))*INDEX($W$3:$W$86,MATCH($C$3,$P$3:$P$86,0))</f>
        <v>46212.916666666664</v>
      </c>
    </row>
    <row r="132" spans="1:3" x14ac:dyDescent="0.2">
      <c r="A132" s="710">
        <v>46213.625</v>
      </c>
      <c r="C132" s="710">
        <f ca="1">A132+INDEX($V$3:$V$86,MATCH($C$3,$P$3:$P$86,0))*INDEX($W$3:$W$86,MATCH($C$3,$P$3:$P$86,0))</f>
        <v>46213.875</v>
      </c>
    </row>
    <row r="133" spans="1:3" x14ac:dyDescent="0.2">
      <c r="A133" s="710">
        <v>46214.708333333336</v>
      </c>
      <c r="C133" s="710">
        <f ca="1">A133+INDEX($V$3:$V$86,MATCH($C$3,$P$3:$P$86,0))*INDEX($W$3:$W$86,MATCH($C$3,$P$3:$P$86,0))</f>
        <v>46214.958333333336</v>
      </c>
    </row>
    <row r="134" spans="1:3" x14ac:dyDescent="0.2">
      <c r="A134" s="710">
        <v>46214.875</v>
      </c>
      <c r="C134" s="710">
        <f ca="1">A134+INDEX($V$3:$V$86,MATCH($C$3,$P$3:$P$86,0))*INDEX($W$3:$W$86,MATCH($C$3,$P$3:$P$86,0))</f>
        <v>46215.125</v>
      </c>
    </row>
    <row r="135" spans="1:3" x14ac:dyDescent="0.2">
      <c r="C135" s="710"/>
    </row>
    <row r="137" spans="1:3" x14ac:dyDescent="0.2">
      <c r="A137" s="717" t="s">
        <v>41</v>
      </c>
      <c r="C137" s="710"/>
    </row>
    <row r="138" spans="1:3" x14ac:dyDescent="0.2">
      <c r="A138" s="710">
        <v>46217.625</v>
      </c>
      <c r="C138" s="710">
        <f ca="1">A138+INDEX($V$3:$V$86,MATCH($C$3,$P$3:$P$86,0))*INDEX($W$3:$W$86,MATCH($C$3,$P$3:$P$86,0))</f>
        <v>46217.875</v>
      </c>
    </row>
    <row r="139" spans="1:3" x14ac:dyDescent="0.2">
      <c r="A139" s="710">
        <v>46218.625</v>
      </c>
      <c r="C139" s="710">
        <f ca="1">A139+INDEX($V$3:$V$86,MATCH($C$3,$P$3:$P$86,0))*INDEX($W$3:$W$86,MATCH($C$3,$P$3:$P$86,0))</f>
        <v>46218.875</v>
      </c>
    </row>
    <row r="140" spans="1:3" x14ac:dyDescent="0.2">
      <c r="C140" s="710"/>
    </row>
    <row r="142" spans="1:3" x14ac:dyDescent="0.2">
      <c r="A142" s="718" t="s">
        <v>493</v>
      </c>
    </row>
    <row r="143" spans="1:3" x14ac:dyDescent="0.2">
      <c r="A143" s="710">
        <v>46221.708333333336</v>
      </c>
      <c r="C143" s="710">
        <f ca="1">A143+INDEX($V$3:$V$86,MATCH($C$3,$P$3:$P$86,0))*INDEX($W$3:$W$86,MATCH($C$3,$P$3:$P$86,0))</f>
        <v>46221.958333333336</v>
      </c>
    </row>
    <row r="146" spans="1:3" x14ac:dyDescent="0.2">
      <c r="A146" s="719" t="s">
        <v>4</v>
      </c>
      <c r="C146" s="710"/>
    </row>
    <row r="147" spans="1:3" x14ac:dyDescent="0.2">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6171875" defaultRowHeight="15" x14ac:dyDescent="0.2"/>
  <cols>
    <col min="1" max="1" width="9.4140625" style="9" bestFit="1" customWidth="1"/>
    <col min="2" max="2" width="6.05078125" style="9" bestFit="1" customWidth="1"/>
    <col min="3" max="13" width="10.76171875" style="9"/>
    <col min="14" max="14" width="9.4140625" style="9" bestFit="1" customWidth="1"/>
    <col min="15" max="15" width="6.45703125" style="9" bestFit="1" customWidth="1"/>
    <col min="16" max="16384" width="10.76171875" style="9"/>
  </cols>
  <sheetData>
    <row r="1" spans="1:23" x14ac:dyDescent="0.2">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x14ac:dyDescent="0.2">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Croacia</v>
      </c>
      <c r="J2" s="11" t="str">
        <f ca="1">+WORLDCUP!BD68</f>
        <v>RD Congo</v>
      </c>
      <c r="N2" s="11" t="s">
        <v>479</v>
      </c>
      <c r="O2" s="11">
        <v>1</v>
      </c>
      <c r="P2" s="11" t="s">
        <v>93</v>
      </c>
      <c r="Q2" s="11" t="s">
        <v>441</v>
      </c>
      <c r="R2" s="11" t="s">
        <v>440</v>
      </c>
      <c r="S2" s="11" t="s">
        <v>94</v>
      </c>
      <c r="T2" s="11" t="s">
        <v>436</v>
      </c>
      <c r="U2" s="11" t="s">
        <v>435</v>
      </c>
      <c r="V2" s="11" t="s">
        <v>443</v>
      </c>
      <c r="W2" s="11" t="s">
        <v>442</v>
      </c>
    </row>
    <row r="3" spans="1:23" x14ac:dyDescent="0.2">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Croacia</v>
      </c>
      <c r="J3" s="11" t="str">
        <f ca="1">+WORLDCUP!BD68</f>
        <v>RD Congo</v>
      </c>
      <c r="N3" s="11" t="s">
        <v>611</v>
      </c>
      <c r="O3" s="11">
        <v>2</v>
      </c>
      <c r="P3" s="11" t="s">
        <v>436</v>
      </c>
      <c r="Q3" s="11" t="s">
        <v>435</v>
      </c>
      <c r="R3" s="11" t="s">
        <v>440</v>
      </c>
      <c r="S3" s="11" t="s">
        <v>92</v>
      </c>
      <c r="T3" s="11" t="s">
        <v>441</v>
      </c>
      <c r="U3" s="11" t="s">
        <v>94</v>
      </c>
      <c r="V3" s="11" t="s">
        <v>443</v>
      </c>
      <c r="W3" s="11" t="s">
        <v>442</v>
      </c>
    </row>
    <row r="4" spans="1:23" x14ac:dyDescent="0.2">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Croacia</v>
      </c>
      <c r="J4" s="11" t="str">
        <f ca="1">+WORLDCUP!BD68</f>
        <v>RD Congo</v>
      </c>
      <c r="N4" s="11" t="s">
        <v>1190</v>
      </c>
      <c r="O4" s="11">
        <v>3</v>
      </c>
      <c r="P4" s="11" t="s">
        <v>93</v>
      </c>
      <c r="Q4" s="11" t="s">
        <v>441</v>
      </c>
      <c r="R4" s="11" t="s">
        <v>440</v>
      </c>
      <c r="S4" s="11" t="s">
        <v>92</v>
      </c>
      <c r="T4" s="11" t="s">
        <v>436</v>
      </c>
      <c r="U4" s="11" t="s">
        <v>435</v>
      </c>
      <c r="V4" s="11" t="s">
        <v>443</v>
      </c>
      <c r="W4" s="11" t="s">
        <v>442</v>
      </c>
    </row>
    <row r="5" spans="1:23" x14ac:dyDescent="0.2">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Croacia</v>
      </c>
      <c r="J5" s="11" t="str">
        <f ca="1">+WORLDCUP!BD68</f>
        <v>RD Congo</v>
      </c>
      <c r="N5" s="11" t="s">
        <v>1189</v>
      </c>
      <c r="O5" s="11">
        <v>4</v>
      </c>
      <c r="P5" s="11" t="s">
        <v>93</v>
      </c>
      <c r="Q5" s="11" t="s">
        <v>441</v>
      </c>
      <c r="R5" s="11" t="s">
        <v>440</v>
      </c>
      <c r="S5" s="11" t="s">
        <v>92</v>
      </c>
      <c r="T5" s="11" t="s">
        <v>436</v>
      </c>
      <c r="U5" s="11" t="s">
        <v>94</v>
      </c>
      <c r="V5" s="11" t="s">
        <v>443</v>
      </c>
      <c r="W5" s="11" t="s">
        <v>442</v>
      </c>
    </row>
    <row r="6" spans="1:23" x14ac:dyDescent="0.2">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Croacia</v>
      </c>
      <c r="J6" s="11" t="str">
        <f ca="1">+WORLDCUP!BD68</f>
        <v>RD Congo</v>
      </c>
      <c r="N6" s="11" t="s">
        <v>1188</v>
      </c>
      <c r="O6" s="11">
        <v>5</v>
      </c>
      <c r="P6" s="11" t="s">
        <v>93</v>
      </c>
      <c r="Q6" s="11" t="s">
        <v>435</v>
      </c>
      <c r="R6" s="11" t="s">
        <v>440</v>
      </c>
      <c r="S6" s="11" t="s">
        <v>92</v>
      </c>
      <c r="T6" s="11" t="s">
        <v>441</v>
      </c>
      <c r="U6" s="11" t="s">
        <v>94</v>
      </c>
      <c r="V6" s="11" t="s">
        <v>443</v>
      </c>
      <c r="W6" s="11" t="s">
        <v>442</v>
      </c>
    </row>
    <row r="7" spans="1:23" x14ac:dyDescent="0.2">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Croacia</v>
      </c>
      <c r="J7" s="11" t="str">
        <f ca="1">+WORLDCUP!BD68</f>
        <v>RD Congo</v>
      </c>
      <c r="N7" s="11" t="s">
        <v>1187</v>
      </c>
      <c r="O7" s="11">
        <v>6</v>
      </c>
      <c r="P7" s="11" t="s">
        <v>93</v>
      </c>
      <c r="Q7" s="11" t="s">
        <v>435</v>
      </c>
      <c r="R7" s="11" t="s">
        <v>441</v>
      </c>
      <c r="S7" s="11" t="s">
        <v>92</v>
      </c>
      <c r="T7" s="11" t="s">
        <v>436</v>
      </c>
      <c r="U7" s="11" t="s">
        <v>94</v>
      </c>
      <c r="V7" s="11" t="s">
        <v>443</v>
      </c>
      <c r="W7" s="11" t="s">
        <v>442</v>
      </c>
    </row>
    <row r="8" spans="1:23" x14ac:dyDescent="0.2">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Croacia</v>
      </c>
      <c r="J8" s="11" t="str">
        <f ca="1">+WORLDCUP!BD68</f>
        <v>RD Congo</v>
      </c>
      <c r="N8" s="11" t="s">
        <v>478</v>
      </c>
      <c r="O8" s="11">
        <v>7</v>
      </c>
      <c r="P8" s="11" t="s">
        <v>93</v>
      </c>
      <c r="Q8" s="11" t="s">
        <v>435</v>
      </c>
      <c r="R8" s="11" t="s">
        <v>440</v>
      </c>
      <c r="S8" s="11" t="s">
        <v>92</v>
      </c>
      <c r="T8" s="11" t="s">
        <v>436</v>
      </c>
      <c r="U8" s="11" t="s">
        <v>94</v>
      </c>
      <c r="V8" s="11" t="s">
        <v>443</v>
      </c>
      <c r="W8" s="11" t="s">
        <v>442</v>
      </c>
    </row>
    <row r="9" spans="1:23" x14ac:dyDescent="0.2">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Croacia</v>
      </c>
      <c r="J9" s="11" t="str">
        <f ca="1">+WORLDCUP!BD66</f>
        <v>Senegal</v>
      </c>
      <c r="N9" s="11" t="s">
        <v>477</v>
      </c>
      <c r="O9" s="11">
        <v>8</v>
      </c>
      <c r="P9" s="11" t="s">
        <v>93</v>
      </c>
      <c r="Q9" s="11" t="s">
        <v>435</v>
      </c>
      <c r="R9" s="11" t="s">
        <v>441</v>
      </c>
      <c r="S9" s="11" t="s">
        <v>92</v>
      </c>
      <c r="T9" s="11" t="s">
        <v>436</v>
      </c>
      <c r="U9" s="11" t="s">
        <v>94</v>
      </c>
      <c r="V9" s="11" t="s">
        <v>443</v>
      </c>
      <c r="W9" s="11" t="s">
        <v>440</v>
      </c>
    </row>
    <row r="10" spans="1:23" x14ac:dyDescent="0.2">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x14ac:dyDescent="0.2">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Croacia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x14ac:dyDescent="0.2">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Croacia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x14ac:dyDescent="0.2">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Croacia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x14ac:dyDescent="0.2">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Croacia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x14ac:dyDescent="0.2">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Croacia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x14ac:dyDescent="0.2">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Croacia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x14ac:dyDescent="0.2">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Croacia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x14ac:dyDescent="0.2">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x14ac:dyDescent="0.2">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Croacia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x14ac:dyDescent="0.2">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Croacia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x14ac:dyDescent="0.2">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Croacia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x14ac:dyDescent="0.2">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Croacia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x14ac:dyDescent="0.2">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Croacia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x14ac:dyDescent="0.2">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Croacia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x14ac:dyDescent="0.2">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x14ac:dyDescent="0.2">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Croacia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x14ac:dyDescent="0.2">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Croacia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x14ac:dyDescent="0.2">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Croacia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x14ac:dyDescent="0.2">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Croacia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x14ac:dyDescent="0.2">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Croacia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x14ac:dyDescent="0.2">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x14ac:dyDescent="0.2">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Croacia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x14ac:dyDescent="0.2">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Croacia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x14ac:dyDescent="0.2">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Croacia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x14ac:dyDescent="0.2">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Croacia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x14ac:dyDescent="0.2">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x14ac:dyDescent="0.2">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Croacia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x14ac:dyDescent="0.2">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Croacia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x14ac:dyDescent="0.2">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Croacia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x14ac:dyDescent="0.2">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x14ac:dyDescent="0.2">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Croacia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x14ac:dyDescent="0.2">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Croacia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x14ac:dyDescent="0.2">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x14ac:dyDescent="0.2">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Croacia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x14ac:dyDescent="0.2">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x14ac:dyDescent="0.2">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x14ac:dyDescent="0.2">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Croacia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x14ac:dyDescent="0.2">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Croacia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x14ac:dyDescent="0.2">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Croacia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x14ac:dyDescent="0.2">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Croacia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x14ac:dyDescent="0.2">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Croacia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x14ac:dyDescent="0.2">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Croacia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x14ac:dyDescent="0.2">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Croacia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x14ac:dyDescent="0.2">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x14ac:dyDescent="0.2">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Croacia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x14ac:dyDescent="0.2">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Croacia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x14ac:dyDescent="0.2">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Croacia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x14ac:dyDescent="0.2">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Croacia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x14ac:dyDescent="0.2">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Croacia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x14ac:dyDescent="0.2">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Croacia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x14ac:dyDescent="0.2">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x14ac:dyDescent="0.2">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Croacia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x14ac:dyDescent="0.2">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Croacia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x14ac:dyDescent="0.2">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Croacia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x14ac:dyDescent="0.2">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Croacia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x14ac:dyDescent="0.2">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Croacia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x14ac:dyDescent="0.2">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x14ac:dyDescent="0.2">
      <c r="A68" s="11" t="s">
        <v>1143</v>
      </c>
      <c r="B68" s="11">
        <f ca="1">+IF(A68=WORLDCUP!$BI$112,1,0)</f>
        <v>0</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Croacia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x14ac:dyDescent="0.2">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Croacia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x14ac:dyDescent="0.2">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Croacia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x14ac:dyDescent="0.2">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Croacia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x14ac:dyDescent="0.2">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x14ac:dyDescent="0.2">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Croacia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x14ac:dyDescent="0.2">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Croacia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x14ac:dyDescent="0.2">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Croacia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x14ac:dyDescent="0.2">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x14ac:dyDescent="0.2">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Croacia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x14ac:dyDescent="0.2">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Croacia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x14ac:dyDescent="0.2">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x14ac:dyDescent="0.2">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Croacia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x14ac:dyDescent="0.2">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x14ac:dyDescent="0.2">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x14ac:dyDescent="0.2">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Croacia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x14ac:dyDescent="0.2">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Croacia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x14ac:dyDescent="0.2">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Croacia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x14ac:dyDescent="0.2">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Croacia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x14ac:dyDescent="0.2">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Croacia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x14ac:dyDescent="0.2">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Croacia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x14ac:dyDescent="0.2">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x14ac:dyDescent="0.2">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Croacia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x14ac:dyDescent="0.2">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Croacia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x14ac:dyDescent="0.2">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Croacia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x14ac:dyDescent="0.2">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Croacia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x14ac:dyDescent="0.2">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Croacia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x14ac:dyDescent="0.2">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x14ac:dyDescent="0.2">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Croacia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x14ac:dyDescent="0.2">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Croacia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x14ac:dyDescent="0.2">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Croacia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x14ac:dyDescent="0.2">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Croacia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x14ac:dyDescent="0.2">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x14ac:dyDescent="0.2">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Croacia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x14ac:dyDescent="0.2">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Croacia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x14ac:dyDescent="0.2">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Croacia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x14ac:dyDescent="0.2">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x14ac:dyDescent="0.2">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Croacia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x14ac:dyDescent="0.2">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Croacia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x14ac:dyDescent="0.2">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x14ac:dyDescent="0.2">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Croacia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x14ac:dyDescent="0.2">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x14ac:dyDescent="0.2">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x14ac:dyDescent="0.2">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Croacia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x14ac:dyDescent="0.2">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Croacia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x14ac:dyDescent="0.2">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Croacia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x14ac:dyDescent="0.2">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Croacia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x14ac:dyDescent="0.2">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Croacia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x14ac:dyDescent="0.2">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x14ac:dyDescent="0.2">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Croacia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x14ac:dyDescent="0.2">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Croacia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x14ac:dyDescent="0.2">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Croacia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x14ac:dyDescent="0.2">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Croacia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x14ac:dyDescent="0.2">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x14ac:dyDescent="0.2">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Croacia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x14ac:dyDescent="0.2">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Croacia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x14ac:dyDescent="0.2">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Croacia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x14ac:dyDescent="0.2">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x14ac:dyDescent="0.2">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Croacia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x14ac:dyDescent="0.2">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Croacia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x14ac:dyDescent="0.2">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x14ac:dyDescent="0.2">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Croacia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x14ac:dyDescent="0.2">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x14ac:dyDescent="0.2">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x14ac:dyDescent="0.2">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Croacia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x14ac:dyDescent="0.2">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Croacia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x14ac:dyDescent="0.2">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Croacia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x14ac:dyDescent="0.2">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Croacia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x14ac:dyDescent="0.2">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x14ac:dyDescent="0.2">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Croacia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x14ac:dyDescent="0.2">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Croacia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x14ac:dyDescent="0.2">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Croacia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x14ac:dyDescent="0.2">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x14ac:dyDescent="0.2">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Croacia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x14ac:dyDescent="0.2">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Croacia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x14ac:dyDescent="0.2">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x14ac:dyDescent="0.2">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Croacia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x14ac:dyDescent="0.2">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x14ac:dyDescent="0.2">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x14ac:dyDescent="0.2">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Croacia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x14ac:dyDescent="0.2">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Croacia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x14ac:dyDescent="0.2">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Croacia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x14ac:dyDescent="0.2">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x14ac:dyDescent="0.2">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Croacia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x14ac:dyDescent="0.2">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Croacia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x14ac:dyDescent="0.2">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x14ac:dyDescent="0.2">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Croacia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x14ac:dyDescent="0.2">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x14ac:dyDescent="0.2">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x14ac:dyDescent="0.2">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Croacia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x14ac:dyDescent="0.2">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Croacia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x14ac:dyDescent="0.2">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x14ac:dyDescent="0.2">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Croacia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x14ac:dyDescent="0.2">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x14ac:dyDescent="0.2">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x14ac:dyDescent="0.2">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Croacia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x14ac:dyDescent="0.2">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x14ac:dyDescent="0.2">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x14ac:dyDescent="0.2">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x14ac:dyDescent="0.2">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Croacia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x14ac:dyDescent="0.2">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Croacia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x14ac:dyDescent="0.2">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Croacia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x14ac:dyDescent="0.2">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Croacia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x14ac:dyDescent="0.2">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Croacia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x14ac:dyDescent="0.2">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Croacia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x14ac:dyDescent="0.2">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Croacia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x14ac:dyDescent="0.2">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x14ac:dyDescent="0.2">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Croacia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x14ac:dyDescent="0.2">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Croacia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x14ac:dyDescent="0.2">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Croacia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x14ac:dyDescent="0.2">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Croacia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x14ac:dyDescent="0.2">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Croacia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x14ac:dyDescent="0.2">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Croacia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x14ac:dyDescent="0.2">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x14ac:dyDescent="0.2">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Croacia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x14ac:dyDescent="0.2">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Croacia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x14ac:dyDescent="0.2">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Croacia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x14ac:dyDescent="0.2">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Croacia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x14ac:dyDescent="0.2">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Croacia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x14ac:dyDescent="0.2">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x14ac:dyDescent="0.2">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Croacia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x14ac:dyDescent="0.2">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Croacia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x14ac:dyDescent="0.2">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Croacia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x14ac:dyDescent="0.2">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Croacia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x14ac:dyDescent="0.2">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x14ac:dyDescent="0.2">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Croacia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x14ac:dyDescent="0.2">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Croacia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x14ac:dyDescent="0.2">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Croacia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x14ac:dyDescent="0.2">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x14ac:dyDescent="0.2">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Croacia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x14ac:dyDescent="0.2">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Croacia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x14ac:dyDescent="0.2">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x14ac:dyDescent="0.2">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Croacia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x14ac:dyDescent="0.2">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x14ac:dyDescent="0.2">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x14ac:dyDescent="0.2">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Croacia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x14ac:dyDescent="0.2">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Croacia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x14ac:dyDescent="0.2">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Croacia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x14ac:dyDescent="0.2">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Croacia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x14ac:dyDescent="0.2">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Croacia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x14ac:dyDescent="0.2">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Croacia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x14ac:dyDescent="0.2">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x14ac:dyDescent="0.2">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Croacia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x14ac:dyDescent="0.2">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Croacia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x14ac:dyDescent="0.2">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Croacia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x14ac:dyDescent="0.2">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Croacia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x14ac:dyDescent="0.2">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Croacia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x14ac:dyDescent="0.2">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x14ac:dyDescent="0.2">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Croacia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x14ac:dyDescent="0.2">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Croacia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x14ac:dyDescent="0.2">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Croacia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x14ac:dyDescent="0.2">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Croacia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x14ac:dyDescent="0.2">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x14ac:dyDescent="0.2">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Croacia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x14ac:dyDescent="0.2">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Croacia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x14ac:dyDescent="0.2">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Croacia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x14ac:dyDescent="0.2">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x14ac:dyDescent="0.2">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Croacia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x14ac:dyDescent="0.2">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Croacia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x14ac:dyDescent="0.2">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x14ac:dyDescent="0.2">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Croacia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x14ac:dyDescent="0.2">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x14ac:dyDescent="0.2">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x14ac:dyDescent="0.2">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Croacia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x14ac:dyDescent="0.2">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Croacia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x14ac:dyDescent="0.2">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Croacia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x14ac:dyDescent="0.2">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Croacia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x14ac:dyDescent="0.2">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Croacia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x14ac:dyDescent="0.2">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x14ac:dyDescent="0.2">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Croacia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x14ac:dyDescent="0.2">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Croacia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x14ac:dyDescent="0.2">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Croacia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x14ac:dyDescent="0.2">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Croacia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x14ac:dyDescent="0.2">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x14ac:dyDescent="0.2">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Croacia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x14ac:dyDescent="0.2">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Croacia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x14ac:dyDescent="0.2">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Croacia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x14ac:dyDescent="0.2">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x14ac:dyDescent="0.2">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Croacia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x14ac:dyDescent="0.2">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Croacia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x14ac:dyDescent="0.2">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x14ac:dyDescent="0.2">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Croacia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x14ac:dyDescent="0.2">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x14ac:dyDescent="0.2">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x14ac:dyDescent="0.2">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Croacia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x14ac:dyDescent="0.2">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Croacia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x14ac:dyDescent="0.2">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Croacia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x14ac:dyDescent="0.2">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Croacia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x14ac:dyDescent="0.2">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x14ac:dyDescent="0.2">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Croacia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x14ac:dyDescent="0.2">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Croacia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x14ac:dyDescent="0.2">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Croacia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x14ac:dyDescent="0.2">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x14ac:dyDescent="0.2">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Croacia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x14ac:dyDescent="0.2">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Croacia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x14ac:dyDescent="0.2">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x14ac:dyDescent="0.2">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Croacia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x14ac:dyDescent="0.2">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x14ac:dyDescent="0.2">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x14ac:dyDescent="0.2">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Croacia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x14ac:dyDescent="0.2">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Croacia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x14ac:dyDescent="0.2">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Croacia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x14ac:dyDescent="0.2">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x14ac:dyDescent="0.2">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Croacia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x14ac:dyDescent="0.2">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Croacia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x14ac:dyDescent="0.2">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x14ac:dyDescent="0.2">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Croacia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x14ac:dyDescent="0.2">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x14ac:dyDescent="0.2">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x14ac:dyDescent="0.2">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Croacia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x14ac:dyDescent="0.2">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Croacia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x14ac:dyDescent="0.2">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x14ac:dyDescent="0.2">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Croacia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x14ac:dyDescent="0.2">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x14ac:dyDescent="0.2">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x14ac:dyDescent="0.2">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Croacia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x14ac:dyDescent="0.2">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x14ac:dyDescent="0.2">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x14ac:dyDescent="0.2">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x14ac:dyDescent="0.2">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Croacia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x14ac:dyDescent="0.2">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Croacia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x14ac:dyDescent="0.2">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Croacia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x14ac:dyDescent="0.2">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Croacia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x14ac:dyDescent="0.2">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Croacia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x14ac:dyDescent="0.2">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Croacia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x14ac:dyDescent="0.2">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x14ac:dyDescent="0.2">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Croacia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x14ac:dyDescent="0.2">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Croacia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x14ac:dyDescent="0.2">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Croacia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x14ac:dyDescent="0.2">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Croacia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x14ac:dyDescent="0.2">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Croacia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x14ac:dyDescent="0.2">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x14ac:dyDescent="0.2">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Croacia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x14ac:dyDescent="0.2">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Croacia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x14ac:dyDescent="0.2">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Croacia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x14ac:dyDescent="0.2">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Croacia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x14ac:dyDescent="0.2">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x14ac:dyDescent="0.2">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Croacia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x14ac:dyDescent="0.2">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Croacia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x14ac:dyDescent="0.2">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Croacia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x14ac:dyDescent="0.2">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x14ac:dyDescent="0.2">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Croacia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x14ac:dyDescent="0.2">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Croacia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x14ac:dyDescent="0.2">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x14ac:dyDescent="0.2">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Croacia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x14ac:dyDescent="0.2">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x14ac:dyDescent="0.2">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x14ac:dyDescent="0.2">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Croacia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x14ac:dyDescent="0.2">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Croacia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x14ac:dyDescent="0.2">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Croacia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x14ac:dyDescent="0.2">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Croacia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x14ac:dyDescent="0.2">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Croacia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x14ac:dyDescent="0.2">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x14ac:dyDescent="0.2">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Croacia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x14ac:dyDescent="0.2">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Croacia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x14ac:dyDescent="0.2">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Croacia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x14ac:dyDescent="0.2">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Croacia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x14ac:dyDescent="0.2">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x14ac:dyDescent="0.2">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Croacia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x14ac:dyDescent="0.2">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Croacia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x14ac:dyDescent="0.2">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Croacia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x14ac:dyDescent="0.2">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x14ac:dyDescent="0.2">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Croacia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x14ac:dyDescent="0.2">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Croacia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x14ac:dyDescent="0.2">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x14ac:dyDescent="0.2">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Croacia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x14ac:dyDescent="0.2">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x14ac:dyDescent="0.2">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x14ac:dyDescent="0.2">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Croacia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x14ac:dyDescent="0.2">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Croacia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x14ac:dyDescent="0.2">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Croacia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x14ac:dyDescent="0.2">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Croacia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x14ac:dyDescent="0.2">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x14ac:dyDescent="0.2">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Croacia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x14ac:dyDescent="0.2">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Croacia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x14ac:dyDescent="0.2">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Croacia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x14ac:dyDescent="0.2">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x14ac:dyDescent="0.2">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Croacia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x14ac:dyDescent="0.2">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Croacia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x14ac:dyDescent="0.2">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x14ac:dyDescent="0.2">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Croacia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x14ac:dyDescent="0.2">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x14ac:dyDescent="0.2">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x14ac:dyDescent="0.2">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Croacia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x14ac:dyDescent="0.2">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Croacia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x14ac:dyDescent="0.2">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Croacia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x14ac:dyDescent="0.2">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x14ac:dyDescent="0.2">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Croacia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x14ac:dyDescent="0.2">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Croacia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x14ac:dyDescent="0.2">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x14ac:dyDescent="0.2">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Croacia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x14ac:dyDescent="0.2">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x14ac:dyDescent="0.2">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x14ac:dyDescent="0.2">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Croacia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x14ac:dyDescent="0.2">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Croacia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x14ac:dyDescent="0.2">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x14ac:dyDescent="0.2">
      <c r="A364" s="11" t="s">
        <v>882</v>
      </c>
      <c r="B364" s="11">
        <f ca="1">+IF(A364=WORLDCUP!$BI$112,1,0)</f>
        <v>1</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Croacia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x14ac:dyDescent="0.2">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x14ac:dyDescent="0.2">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x14ac:dyDescent="0.2">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Croacia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x14ac:dyDescent="0.2">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x14ac:dyDescent="0.2">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x14ac:dyDescent="0.2">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x14ac:dyDescent="0.2">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Croacia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x14ac:dyDescent="0.2">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Croacia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x14ac:dyDescent="0.2">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Croacia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x14ac:dyDescent="0.2">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Croacia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x14ac:dyDescent="0.2">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Croacia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x14ac:dyDescent="0.2">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x14ac:dyDescent="0.2">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Croacia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x14ac:dyDescent="0.2">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Croacia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x14ac:dyDescent="0.2">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Croacia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x14ac:dyDescent="0.2">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Croacia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x14ac:dyDescent="0.2">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x14ac:dyDescent="0.2">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Croacia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x14ac:dyDescent="0.2">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Croacia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x14ac:dyDescent="0.2">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Croacia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x14ac:dyDescent="0.2">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x14ac:dyDescent="0.2">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Croacia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x14ac:dyDescent="0.2">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Croacia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x14ac:dyDescent="0.2">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x14ac:dyDescent="0.2">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Croacia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x14ac:dyDescent="0.2">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x14ac:dyDescent="0.2">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x14ac:dyDescent="0.2">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Croacia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x14ac:dyDescent="0.2">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Croacia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x14ac:dyDescent="0.2">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Croacia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x14ac:dyDescent="0.2">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Croacia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x14ac:dyDescent="0.2">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x14ac:dyDescent="0.2">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Croacia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x14ac:dyDescent="0.2">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Croacia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x14ac:dyDescent="0.2">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Croacia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x14ac:dyDescent="0.2">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x14ac:dyDescent="0.2">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Croacia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x14ac:dyDescent="0.2">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Croacia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x14ac:dyDescent="0.2">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x14ac:dyDescent="0.2">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Croacia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x14ac:dyDescent="0.2">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x14ac:dyDescent="0.2">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x14ac:dyDescent="0.2">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Croacia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x14ac:dyDescent="0.2">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Croacia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x14ac:dyDescent="0.2">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Croacia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x14ac:dyDescent="0.2">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x14ac:dyDescent="0.2">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Croacia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x14ac:dyDescent="0.2">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Croacia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x14ac:dyDescent="0.2">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x14ac:dyDescent="0.2">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Croacia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x14ac:dyDescent="0.2">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x14ac:dyDescent="0.2">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x14ac:dyDescent="0.2">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Croacia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x14ac:dyDescent="0.2">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Croacia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x14ac:dyDescent="0.2">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x14ac:dyDescent="0.2">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Croacia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x14ac:dyDescent="0.2">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x14ac:dyDescent="0.2">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x14ac:dyDescent="0.2">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Croacia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x14ac:dyDescent="0.2">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x14ac:dyDescent="0.2">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x14ac:dyDescent="0.2">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x14ac:dyDescent="0.2">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Croacia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x14ac:dyDescent="0.2">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Croacia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x14ac:dyDescent="0.2">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Croacia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x14ac:dyDescent="0.2">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Croacia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x14ac:dyDescent="0.2">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x14ac:dyDescent="0.2">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Croacia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x14ac:dyDescent="0.2">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Croacia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x14ac:dyDescent="0.2">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Croacia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x14ac:dyDescent="0.2">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x14ac:dyDescent="0.2">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Croacia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x14ac:dyDescent="0.2">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Croacia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x14ac:dyDescent="0.2">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x14ac:dyDescent="0.2">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Croacia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x14ac:dyDescent="0.2">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x14ac:dyDescent="0.2">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x14ac:dyDescent="0.2">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Croacia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x14ac:dyDescent="0.2">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Croacia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x14ac:dyDescent="0.2">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Croacia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x14ac:dyDescent="0.2">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x14ac:dyDescent="0.2">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Croacia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x14ac:dyDescent="0.2">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Croacia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x14ac:dyDescent="0.2">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x14ac:dyDescent="0.2">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Croacia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x14ac:dyDescent="0.2">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x14ac:dyDescent="0.2">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x14ac:dyDescent="0.2">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Croacia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x14ac:dyDescent="0.2">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Croacia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x14ac:dyDescent="0.2">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x14ac:dyDescent="0.2">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Croacia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x14ac:dyDescent="0.2">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x14ac:dyDescent="0.2">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x14ac:dyDescent="0.2">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Croacia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x14ac:dyDescent="0.2">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x14ac:dyDescent="0.2">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x14ac:dyDescent="0.2">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x14ac:dyDescent="0.2">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Croacia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x14ac:dyDescent="0.2">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Croacia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x14ac:dyDescent="0.2">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Croacia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x14ac:dyDescent="0.2">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x14ac:dyDescent="0.2">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Croacia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x14ac:dyDescent="0.2">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Croacia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x14ac:dyDescent="0.2">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x14ac:dyDescent="0.2">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Croacia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x14ac:dyDescent="0.2">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x14ac:dyDescent="0.2">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x14ac:dyDescent="0.2">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Croacia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x14ac:dyDescent="0.2">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Croacia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x14ac:dyDescent="0.2">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x14ac:dyDescent="0.2">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Croacia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x14ac:dyDescent="0.2">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x14ac:dyDescent="0.2">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x14ac:dyDescent="0.2">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Croacia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x14ac:dyDescent="0.2">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x14ac:dyDescent="0.2">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x14ac:dyDescent="0.2">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x14ac:dyDescent="0.2">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Croacia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x14ac:dyDescent="0.2">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Croacia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x14ac:dyDescent="0.2">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x14ac:dyDescent="0.2">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Croacia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x14ac:dyDescent="0.2">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x14ac:dyDescent="0.2">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x14ac:dyDescent="0.2">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Croacia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x14ac:dyDescent="0.2">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x14ac:dyDescent="0.2">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x14ac:dyDescent="0.2">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x14ac:dyDescent="0.2">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Croacia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x14ac:dyDescent="0.2">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x14ac:dyDescent="0.2">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x14ac:dyDescent="0.2">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x14ac:dyDescent="0.2">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x14ac:dyDescent="0.2">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6640625" defaultRowHeight="15" x14ac:dyDescent="0.2"/>
  <cols>
    <col min="4" max="4" width="10.76171875" customWidth="1"/>
  </cols>
  <sheetData>
    <row r="1" spans="1:6" x14ac:dyDescent="0.2">
      <c r="A1" s="431"/>
      <c r="B1" s="451" t="str">
        <f>Idiomas!D515</f>
        <v>Gráfico solo en fase de grupos</v>
      </c>
      <c r="C1" s="431"/>
      <c r="D1" s="431"/>
      <c r="F1" s="431"/>
    </row>
    <row r="2" spans="1:6" x14ac:dyDescent="0.2">
      <c r="A2" s="410"/>
      <c r="B2" s="17"/>
      <c r="C2" s="17"/>
      <c r="D2" s="17"/>
    </row>
    <row r="3" spans="1:6" x14ac:dyDescent="0.2">
      <c r="A3" s="410"/>
      <c r="B3" s="17"/>
      <c r="C3" s="17"/>
      <c r="D3" s="17"/>
    </row>
    <row r="4" spans="1:6" x14ac:dyDescent="0.2">
      <c r="A4" s="410"/>
      <c r="B4" s="17"/>
      <c r="C4" s="17"/>
      <c r="D4" s="17"/>
    </row>
    <row r="5" spans="1:6" x14ac:dyDescent="0.2">
      <c r="A5" s="410"/>
      <c r="B5" s="17"/>
      <c r="C5" s="17"/>
      <c r="D5" s="17"/>
    </row>
    <row r="6" spans="1:6" x14ac:dyDescent="0.2">
      <c r="A6" s="410"/>
      <c r="B6" s="17"/>
      <c r="C6" s="17"/>
      <c r="D6" s="17"/>
    </row>
    <row r="7" spans="1:6" x14ac:dyDescent="0.2">
      <c r="A7" s="410"/>
      <c r="B7" s="17"/>
      <c r="C7" s="17"/>
      <c r="D7" s="17"/>
    </row>
    <row r="8" spans="1:6" x14ac:dyDescent="0.2">
      <c r="A8" s="410"/>
      <c r="B8" s="17"/>
      <c r="C8" s="17"/>
      <c r="D8" s="17"/>
    </row>
    <row r="9" spans="1:6" x14ac:dyDescent="0.2">
      <c r="A9" s="410"/>
      <c r="B9" s="17"/>
      <c r="C9" s="17"/>
      <c r="D9" s="17"/>
    </row>
    <row r="10" spans="1:6" x14ac:dyDescent="0.2">
      <c r="A10" s="410"/>
      <c r="B10" s="17"/>
      <c r="C10" s="17"/>
      <c r="D10" s="17"/>
    </row>
    <row r="11" spans="1:6" x14ac:dyDescent="0.2">
      <c r="A11" s="410"/>
      <c r="B11" s="17"/>
      <c r="C11" s="17"/>
      <c r="D11" s="17"/>
    </row>
    <row r="12" spans="1:6" x14ac:dyDescent="0.2">
      <c r="A12" s="410"/>
      <c r="B12" s="17"/>
      <c r="C12" s="17"/>
      <c r="D12" s="17"/>
    </row>
    <row r="13" spans="1:6" x14ac:dyDescent="0.2">
      <c r="A13" s="410"/>
      <c r="B13" s="17"/>
      <c r="C13" s="17"/>
      <c r="D13" s="17"/>
    </row>
    <row r="14" spans="1:6" x14ac:dyDescent="0.2">
      <c r="A14" s="410"/>
      <c r="B14" s="17"/>
      <c r="C14" s="17"/>
      <c r="D14" s="17"/>
    </row>
    <row r="15" spans="1:6" x14ac:dyDescent="0.2">
      <c r="A15" s="411"/>
      <c r="B15" s="412"/>
      <c r="C15" s="412"/>
      <c r="D15" s="412"/>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2026-06-26T07:27:53Z</dcterms:modified>
  <cp:category/>
</cp:coreProperties>
</file>