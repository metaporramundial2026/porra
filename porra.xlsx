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06" documentId="13_ncr:1_{AD95B255-EB8E-3243-8DDE-83C0E318ABBB}" xr6:coauthVersionLast="47" xr6:coauthVersionMax="47" xr10:uidLastSave="{C2CA24F3-C580-46CE-84A4-1B982932F789}"/>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5" i="46"/>
  <c r="EF267" i="46" s="1"/>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Q21" i="46"/>
  <c r="E233" i="46"/>
  <c r="M8" i="46"/>
  <c r="M61" i="46"/>
  <c r="M45" i="46"/>
  <c r="M69" i="46"/>
  <c r="M29" i="46"/>
  <c r="Q201" i="46"/>
  <c r="M221" i="46"/>
  <c r="M49" i="46"/>
  <c r="M13" i="46"/>
  <c r="M77" i="46"/>
  <c r="M57" i="46"/>
  <c r="E223" i="46"/>
  <c r="M26" i="46"/>
  <c r="M36" i="46"/>
  <c r="M50" i="46"/>
  <c r="M47" i="46"/>
  <c r="M62" i="46"/>
  <c r="M11" i="46"/>
  <c r="M44" i="46"/>
  <c r="M53" i="46"/>
  <c r="M14" i="46"/>
  <c r="M17" i="46"/>
  <c r="D107" i="36"/>
  <c r="M84" i="34" s="1"/>
  <c r="S267" i="46"/>
  <c r="Q27" i="46" l="1"/>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EF232" i="46" s="1"/>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EF244" i="46"/>
  <c r="K129" i="46"/>
  <c r="H131" i="46"/>
  <c r="H250" i="46"/>
  <c r="H158" i="46"/>
  <c r="H151" i="46"/>
  <c r="H137" i="46"/>
  <c r="H206" i="46"/>
  <c r="D13" i="36"/>
  <c r="K14" i="30" s="1"/>
  <c r="D432" i="36"/>
  <c r="H147" i="46"/>
  <c r="H132" i="46"/>
  <c r="H161" i="46"/>
  <c r="K197" i="46"/>
  <c r="ER54" i="46"/>
  <c r="EU54" i="46"/>
  <c r="FG54" i="46"/>
  <c r="EF54" i="46"/>
  <c r="FJ54" i="46"/>
  <c r="EI54" i="46"/>
  <c r="EL54" i="46"/>
  <c r="EO54" i="46"/>
  <c r="EX54" i="46"/>
  <c r="FA54" i="46"/>
  <c r="FD54" i="46"/>
  <c r="D367" i="36"/>
  <c r="H244" i="46"/>
  <c r="H201" i="46"/>
  <c r="H214" i="46"/>
  <c r="H155" i="46"/>
  <c r="H140" i="46"/>
  <c r="H138" i="46"/>
  <c r="K193" i="46"/>
  <c r="K183" i="46"/>
  <c r="EF220"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H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EF200" i="46"/>
  <c r="AU253" i="46"/>
  <c r="ED254" i="46"/>
  <c r="EY254" i="46"/>
  <c r="W254" i="46"/>
  <c r="T253" i="46"/>
  <c r="AM61" i="3"/>
  <c r="AD27" i="3"/>
  <c r="BJ253" i="46"/>
  <c r="CH254" i="46"/>
  <c r="DC254" i="46"/>
  <c r="FH254" i="46"/>
  <c r="Q24" i="6"/>
  <c r="AD59" i="3"/>
  <c r="EO200" i="46"/>
  <c r="AL254" i="46"/>
  <c r="BG254" i="46"/>
  <c r="EJ254" i="46"/>
  <c r="ED253" i="46"/>
  <c r="EF30" i="46"/>
  <c r="EG30" i="46" s="1"/>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F253" i="46"/>
  <c r="EG253" i="46" s="1"/>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F6" i="46"/>
  <c r="EG6" i="46" s="1"/>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EF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CA34" i="3" s="1"/>
  <c r="I64" i="3"/>
  <c r="I63" i="3"/>
  <c r="I52" i="3"/>
  <c r="H57" i="3"/>
  <c r="I53" i="3"/>
  <c r="H38" i="3"/>
  <c r="I32" i="3"/>
  <c r="H56" i="3"/>
  <c r="I22" i="3"/>
  <c r="I41" i="3"/>
  <c r="I78" i="3"/>
  <c r="H40" i="3"/>
  <c r="I39" i="3"/>
  <c r="H33" i="3"/>
  <c r="H12" i="3"/>
  <c r="H70" i="3"/>
  <c r="H79" i="3"/>
  <c r="CB43" i="3" s="1"/>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36" i="3" l="1"/>
  <c r="CC36" i="3" s="1"/>
  <c r="CA27" i="3"/>
  <c r="CC27" i="3" s="1"/>
  <c r="CB37" i="3"/>
  <c r="CA45" i="3"/>
  <c r="CC45" i="3" s="1"/>
  <c r="CA43" i="3"/>
  <c r="CC43" i="3" s="1"/>
  <c r="CB26" i="3"/>
  <c r="CB9" i="3"/>
  <c r="CA42" i="3"/>
  <c r="CC42" i="3" s="1"/>
  <c r="CB44" i="3"/>
  <c r="CA18" i="3"/>
  <c r="CB20" i="3"/>
  <c r="CB18" i="3"/>
  <c r="CA53" i="3"/>
  <c r="CB12" i="3"/>
  <c r="CA44" i="3"/>
  <c r="CA31" i="3"/>
  <c r="CC31" i="3" s="1"/>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7" i="3" l="1"/>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L28" i="3"/>
  <c r="L55" i="3"/>
  <c r="K33" i="3"/>
  <c r="K32" i="3"/>
  <c r="L72" i="3"/>
  <c r="K6" i="3"/>
  <c r="CF7" i="3" s="1"/>
  <c r="L13" i="3"/>
  <c r="CF12" i="3" s="1"/>
  <c r="K40" i="3"/>
  <c r="CF24" i="3" s="1"/>
  <c r="L8" i="3"/>
  <c r="K16" i="3"/>
  <c r="K7" i="3"/>
  <c r="CF8" i="3" s="1"/>
  <c r="K64" i="3"/>
  <c r="CF36" i="3" s="1"/>
  <c r="L39" i="3"/>
  <c r="CF25" i="3" s="1"/>
  <c r="L29" i="3"/>
  <c r="L71" i="3"/>
  <c r="K73" i="3"/>
  <c r="CF40" i="3" s="1"/>
  <c r="L6" i="3"/>
  <c r="K53" i="3"/>
  <c r="L4" i="3"/>
  <c r="L64" i="3"/>
  <c r="CF35" i="3" s="1"/>
  <c r="L54" i="3"/>
  <c r="K88" i="3"/>
  <c r="K87" i="3"/>
  <c r="CF47" i="3" s="1"/>
  <c r="K61" i="3"/>
  <c r="CF37" i="3" s="1"/>
  <c r="L47" i="3"/>
  <c r="CF29" i="3" s="1"/>
  <c r="CF49" i="3"/>
  <c r="CF33" i="3"/>
  <c r="CF45" i="3"/>
  <c r="CF16" i="3"/>
  <c r="CF19" i="3"/>
  <c r="E9" i="51"/>
  <c r="CF22" i="3"/>
  <c r="CF27" i="3"/>
  <c r="CF26" i="3"/>
  <c r="B46" i="51"/>
  <c r="B47" i="51" s="1"/>
  <c r="E10" i="51"/>
  <c r="E28" i="48"/>
  <c r="F27" i="48" a="1"/>
  <c r="F27" i="48" s="1"/>
  <c r="E12" i="51"/>
  <c r="E11" i="51"/>
  <c r="CF32" i="3" l="1"/>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E31" i="48"/>
  <c r="F30" i="48" a="1"/>
  <c r="F30" i="48" s="1"/>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E32" i="48"/>
  <c r="F31" i="48" a="1"/>
  <c r="F31" i="48" s="1"/>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CP30" i="3" s="1"/>
  <c r="F35" i="48" a="1"/>
  <c r="F35" i="48" s="1"/>
  <c r="E36" i="48"/>
  <c r="CP9" i="3" l="1"/>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<sst xmlns="http://schemas.openxmlformats.org/spreadsheetml/2006/main" count="16421" uniqueCount="2776">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</sst>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11</c:v>
                </c:pt>
                <c:pt idx="2">
                  <c:v>9</c:v>
                </c:pt>
                <c:pt idx="3">
                  <c:v>4</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0.94871794871794868</c:v>
                </c:pt>
                <c:pt idx="1">
                  <c:v>5.128205128205128E-2</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3" t="str">
        <f>Idiomas!D8</f>
        <v>XXIII Mundial USA/MEX/CAN 2026</v>
      </c>
      <c r="C3" s="803"/>
      <c r="D3" s="803"/>
      <c r="E3" s="803"/>
      <c r="F3" s="803"/>
      <c r="G3" s="803"/>
      <c r="H3" s="803"/>
      <c r="I3" s="803"/>
      <c r="J3" s="803"/>
      <c r="K3" s="803"/>
      <c r="L3" s="803"/>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01"/>
      <c r="F16" s="802"/>
      <c r="G16" s="802"/>
      <c r="H16" s="802"/>
      <c r="I16" s="802"/>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00"/>
      <c r="F17" s="800"/>
      <c r="G17" s="800"/>
      <c r="H17" s="800"/>
      <c r="I17" s="800"/>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4"/>
      <c r="C24" s="805"/>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5" sqref="AD5"/>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10" t="str">
        <f>Idiomas!D8</f>
        <v>XXIII Mundial USA/MEX/CAN 2026</v>
      </c>
      <c r="X1" s="810"/>
      <c r="Y1" s="810"/>
      <c r="Z1" s="810"/>
      <c r="AA1" s="810"/>
      <c r="AB1" s="810"/>
      <c r="AC1" s="810"/>
      <c r="AD1" s="810"/>
      <c r="AE1" s="810"/>
      <c r="AF1" s="81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P.2 (3)</v>
      </c>
      <c r="G4" s="744"/>
      <c r="H4" s="744" t="str">
        <f t="shared" ref="H4:H9" ca="1" si="3">IF(D4="Pendiente","-",INDEX($BZ$6:$BZ$53,MATCH($AA4,$BD$6:$BD$53,0)))</f>
        <v>-</v>
      </c>
      <c r="I4" s="744" t="str">
        <f t="shared" ref="I4:I9" ca="1" si="4">IF(D4="Pendiente","-",INDEX($BZ$6:$BZ$53,MATCH($AF4,$BD$6:$BD$53,0)))</f>
        <v>P.2 (3)</v>
      </c>
      <c r="J4" s="744"/>
      <c r="K4" s="744" t="str">
        <f t="shared" ref="K4:K9" ca="1" si="5">IF(D4="Pendiente","-",INDEX($CE$6:$CE$53,MATCH($AA4,$BD$6:$BD$53,0)))</f>
        <v>-</v>
      </c>
      <c r="L4" s="744" t="str">
        <f t="shared" ref="L4:L9" ca="1" si="6">IF(D4="Pendiente","-",INDEX($CE$6:$CE$53,MATCH($AF4,$BD$6:$BD$53,0)))</f>
        <v>P.2 (3)</v>
      </c>
      <c r="M4" s="744"/>
      <c r="N4" s="744" t="str">
        <f t="shared" ref="N4:N9" ca="1" si="7">IF(D4="Pendiente","-",INDEX($CH$6:$CH$53,MATCH($AA4,$BD$6:$BD$53,0)))</f>
        <v>-</v>
      </c>
      <c r="O4" s="744" t="str">
        <f t="shared" ref="O4:O9" ca="1" si="8">IF(D4="Pendiente","-",INDEX($CH$6:$CH$53,MATCH($AF4,$BD$6:$BD$53,0)))</f>
        <v>P.2 (3)</v>
      </c>
      <c r="P4" s="744"/>
      <c r="Q4" s="744" t="str">
        <f t="shared" ref="Q4:Q9" ca="1" si="9">IF(D4="Pendiente","-",INDEX($CN$6:$CN$53,MATCH($AA4,$BD$6:$BD$53,0)))</f>
        <v>-</v>
      </c>
      <c r="R4" s="744" t="str">
        <f t="shared" ref="R4:R9" ca="1" si="10">IF(D4="Pendiente","-",INDEX($CN$6:$CN$53,MATCH($AF4,$BD$6:$BD$53,0)))</f>
        <v>P.2 (3)</v>
      </c>
      <c r="S4" s="744"/>
      <c r="T4" s="744" t="str">
        <f t="shared" ref="T4:T9" ca="1" si="11">IF(D4="Pendiente","-",INDEX($CS$6:$CS$53,MATCH($AA4,$BD$6:$BD$53,0)))</f>
        <v>-</v>
      </c>
      <c r="U4" s="744" t="str">
        <f t="shared" ref="U4:U9" ca="1" si="12">IF(D4="Pendiente","-",INDEX($CS$6:$CS$53,MATCH($AF4,$BD$6:$BD$53,0)))</f>
        <v>P.2 (3)</v>
      </c>
      <c r="V4" s="172"/>
      <c r="W4" s="80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Pendiente</v>
      </c>
      <c r="E5" s="744" t="str">
        <f t="shared" si="1"/>
        <v>-</v>
      </c>
      <c r="F5" s="744" t="str">
        <f t="shared" si="2"/>
        <v>-</v>
      </c>
      <c r="G5" s="744"/>
      <c r="H5" s="744" t="str">
        <f t="shared" si="3"/>
        <v>-</v>
      </c>
      <c r="I5" s="744" t="str">
        <f t="shared" si="4"/>
        <v>-</v>
      </c>
      <c r="J5" s="744"/>
      <c r="K5" s="744" t="str">
        <f t="shared" si="5"/>
        <v>-</v>
      </c>
      <c r="L5" s="744" t="str">
        <f t="shared" si="6"/>
        <v>-</v>
      </c>
      <c r="M5" s="744"/>
      <c r="N5" s="744" t="str">
        <f t="shared" si="7"/>
        <v>-</v>
      </c>
      <c r="O5" s="744" t="str">
        <f t="shared" si="8"/>
        <v>-</v>
      </c>
      <c r="P5" s="744"/>
      <c r="Q5" s="744" t="str">
        <f t="shared" si="9"/>
        <v>-</v>
      </c>
      <c r="R5" s="744" t="str">
        <f t="shared" si="10"/>
        <v>-</v>
      </c>
      <c r="S5" s="744"/>
      <c r="T5" s="744" t="str">
        <f t="shared" si="11"/>
        <v>-</v>
      </c>
      <c r="U5" s="744" t="str">
        <f t="shared" si="12"/>
        <v>-</v>
      </c>
      <c r="V5" s="172"/>
      <c r="W5" s="806"/>
      <c r="X5" s="189">
        <f ca="1">Horarios!C5</f>
        <v>46185.166666666664</v>
      </c>
      <c r="Y5" s="190">
        <f ca="1">Horarios!C5</f>
        <v>46185.166666666664</v>
      </c>
      <c r="Z5" s="191" t="str">
        <f>$Z$4</f>
        <v>J1</v>
      </c>
      <c r="AA5" s="192" t="str">
        <f ca="1">A7</f>
        <v>Corea del Sur</v>
      </c>
      <c r="AB5" s="480" t="e" cm="1" vm="3">
        <f t="array" aca="1" ref="AB5" ca="1">Ver_flag_local</f>
        <v>#VALUE!</v>
      </c>
      <c r="AC5" s="193"/>
      <c r="AD5" s="194"/>
      <c r="AE5" s="483" t="e" cm="1" vm="4">
        <f t="array" aca="1" ref="AE5" ca="1">Ver_flag_visit</f>
        <v>#VALUE!</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806"/>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806"/>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P.2 (3)</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P.2 (3)</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P.2 (3)</v>
      </c>
      <c r="CF7" s="758">
        <f ca="1">IF($CE7="-","-",SUMIFS(FG_GolesLocal,FGLocal,$BD7,Part1Empate3V,$CE7)+SUMIFS(FG_GolesVisitante,FGVisitante,$BD7,Part1Empate3L,$CE7))</f>
        <v>0</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P.2 (3)</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P.2 (3)</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P.2 (3)</v>
      </c>
      <c r="CT7" s="758">
        <f ca="1">IF($CS7="-","-",SUMIFS(FG_GolesLocal,FGLocal,$BD7,Part2Empate6V,$CS7)+SUMIFS(FG_GolesVisitante,FGVisitante,$BD7,Part2Empate6L,$CS7))</f>
        <v>0</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P.2 (3)</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0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0</v>
      </c>
      <c r="BF8" s="748">
        <f t="shared" ca="1" si="26"/>
        <v>0</v>
      </c>
      <c r="BG8" s="748">
        <f t="shared" ca="1" si="17"/>
        <v>0</v>
      </c>
      <c r="BH8" s="748">
        <f t="shared" ca="1" si="18"/>
        <v>0</v>
      </c>
      <c r="BI8" s="748">
        <f t="shared" ca="1" si="19"/>
        <v>0</v>
      </c>
      <c r="BJ8" s="748">
        <f t="shared" ca="1" si="20"/>
        <v>0</v>
      </c>
      <c r="BK8" s="748">
        <f t="shared" ca="1" si="21"/>
        <v>0</v>
      </c>
      <c r="BL8" s="748">
        <f t="shared" ca="1" si="27"/>
        <v>0</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0</v>
      </c>
      <c r="BS8" s="757">
        <f ca="1">BP8+COUNTIFS($BQ$6:$BQ$53,BQ8,$BR$6:BR$53,"&gt;"&amp;BR8,$BC$6:$BC$53,INDEX(T_Equipos[Grupo],MATCH(BD8,T_Equipos[NombreEquipo],0)))</f>
        <v>2</v>
      </c>
      <c r="BT8" s="757" t="str">
        <f ca="1">IF(COUNTIFS($BS$6:$BS$53,BS8,$BC$6:$BC$53,INDEX(T_Equipos[Grupo],MATCH(BD8,T_Equipos[NombreEquipo],0)))=1,"-","P."&amp;BS8&amp;" ("&amp;COUNTIFS($BS$6:$BS$53,BS8,$BC$6:$BC$53,INDEX(T_Equipos[Grupo],MATCH(BD8,T_Equipos[NombreEquipo],0)))&amp;")")</f>
        <v>P.2 (3)</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2</v>
      </c>
      <c r="BZ8" s="757" t="str">
        <f ca="1">IF(COUNTIFS($BY$6:$BY$53,BY8,$BC$6:$BC$53,INDEX(T_Equipos[Grupo],MATCH(BD8,T_Equipos[NombreEquipo],0)))=1,"-","P."&amp;BY8&amp;" ("&amp;COUNTIFS($BY$6:$BY$53,BY8,$BC$6:$BC$53,INDEX(T_Equipos[Grupo],MATCH(BD8,T_Equipos[NombreEquipo],0)))&amp;")")</f>
        <v>P.2 (3)</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2</v>
      </c>
      <c r="CE8" s="757" t="str">
        <f ca="1">IF(COUNTIFS($CD$6:$CD$53,CD8,$BC$6:$BC$53,INDEX(T_Equipos[Grupo],MATCH(BD8,T_Equipos[NombreEquipo],0)))=1,"-","P."&amp;CD8&amp;" ("&amp;COUNTIFS($CD$6:$CD$53,CD8,$BC$6:$BC$53,INDEX(T_Equipos[Grupo],MATCH(BD8,T_Equipos[NombreEquipo],0)))&amp;")")</f>
        <v>P.2 (3)</v>
      </c>
      <c r="CF8" s="758">
        <f ca="1">IF($CE8="-","-",SUMIFS(FG_GolesLocal,FGLocal,$BD8,Part1Empate3V,$CE8)+SUMIFS(FG_GolesVisitante,FGVisitante,$BD8,Part1Empate3L,$CE8))</f>
        <v>0</v>
      </c>
      <c r="CG8" s="758">
        <f ca="1">CD8+COUNTIFS($CE$6:$CE$53,CE8,$CF$6:CF$53,"&gt;"&amp;CF8,$BC$6:$BC$53,INDEX(T_Equipos[Grupo],MATCH(BD8,T_Equipos[NombreEquipo],0)))</f>
        <v>2</v>
      </c>
      <c r="CH8" s="757" t="str">
        <f ca="1">IF(COUNTIFS($CG$6:$CG$53,CG8,$BC$6:$BC$53,INDEX(T_Equipos[Grupo],MATCH(BD8,T_Equipos[NombreEquipo],0)))=1,"-","P."&amp;CG8&amp;" ("&amp;COUNTIFS($CG$6:$CG$53,CG8,$BC$6:$BC$53,INDEX(T_Equipos[Grupo],MATCH(BD8,T_Equipos[NombreEquipo],0)))&amp;")")</f>
        <v>P.2 (3)</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2</v>
      </c>
      <c r="CN8" s="757" t="str">
        <f ca="1">IF(COUNTIFS($CM$6:$CM$53,CM8,$BC$6:$BC$53,INDEX(T_Equipos[Grupo],MATCH(BD8,T_Equipos[NombreEquipo],0)))=1,"-","P."&amp;CM8&amp;" ("&amp;COUNTIFS($CM$6:$CM$53,CM8,$BC$6:$BC$53,INDEX(T_Equipos[Grupo],MATCH(BD8,T_Equipos[NombreEquipo],0)))&amp;")")</f>
        <v>P.2 (3)</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2</v>
      </c>
      <c r="CS8" s="757" t="str">
        <f ca="1">IF(COUNTIFS($CR$6:$CR$53,CR8,$BC$6:$BC$53,INDEX(T_Equipos[Grupo],MATCH(BD8,T_Equipos[NombreEquipo],0)))=1,"-","P."&amp;CR8&amp;" ("&amp;COUNTIFS($CR$6:$CR$53,CR8,$BC$6:$BC$53,INDEX(T_Equipos[Grupo],MATCH(BD8,T_Equipos[NombreEquipo],0)))&amp;")")</f>
        <v>P.2 (3)</v>
      </c>
      <c r="CT8" s="758">
        <f ca="1">IF($CS8="-","-",SUMIFS(FG_GolesLocal,FGLocal,$BD8,Part2Empate6V,$CS8)+SUMIFS(FG_GolesVisitante,FGVisitante,$BD8,Part2Empate6L,$CS8))</f>
        <v>0</v>
      </c>
      <c r="CU8" s="758">
        <f ca="1">CR8+COUNTIFS($CS$6:$CS$53,CS8,$CT$6:CT$53,"&gt;"&amp;CT8,$BC$6:$BC$53,INDEX(T_Equipos[Grupo],MATCH(BD8,T_Equipos[NombreEquipo],0)))</f>
        <v>2</v>
      </c>
      <c r="CV8" s="757" t="str">
        <f ca="1">IF(COUNTIFS($CU$6:$CU$53,CU8,$BC$6:$BC$53,INDEX(T_Equipos[Grupo],MATCH(BD8,T_Equipos[NombreEquipo],0)))=1,"-","P."&amp;CU8&amp;" ("&amp;COUNTIFS($CU$6:$CU$53,CU8,$BC$6:$BC$53,INDEX(T_Equipos[Grupo],MATCH(BD8,T_Equipos[NombreEquipo],0)))&amp;")")</f>
        <v>P.2 (3)</v>
      </c>
      <c r="CW8" s="757">
        <f t="shared" ca="1" si="30"/>
        <v>0</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P.2 (2)</v>
      </c>
      <c r="CZ8" s="757">
        <f t="shared" ca="1" si="31"/>
        <v>0</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P.2 (2)</v>
      </c>
      <c r="DC8" s="756">
        <f ca="1">IF(DB8="-","-",COUNTIFS(T_Equipos[Rank],"&lt;"&amp;INDEX(T_Equipos[Rank],MATCH(BD8,T_Equipos[NombreEquipo],0)),$BC$6:$BC$53,INDEX(T_Equipos[Grupo],MATCH(BD8,T_Equipos[NombreEquipo],0)))+1)</f>
        <v>3</v>
      </c>
      <c r="DD8" s="756">
        <f ca="1">DA8+COUNTIFS($DB$6:$DB$53,DB8,$DC$6:DC$53,"&lt;"&amp;DC8,$BC$6:$BC$53,INDEX(T_Equipos[Grupo],MATCH(BD8,T_Equipos[NombreEquipo],0)))</f>
        <v>2</v>
      </c>
      <c r="DE8" s="756"/>
      <c r="DF8" s="756">
        <f t="shared" ca="1" si="32"/>
        <v>2</v>
      </c>
      <c r="DG8" s="756">
        <f ca="1">IF(DB8="-","-",COUNTIFS(DF$6:DF$53,"&lt;"&amp;DF8,$BC$6:$BC$53,INDEX(T_Equipos[Grupo],MATCH(BD8,T_Equipos[NombreEquipo],0))))</f>
        <v>1</v>
      </c>
      <c r="DH8" s="756">
        <f ca="1">DA8+COUNTIFS(DB$6:DB$53,DB8,DG$6:DG$53,"&lt;"&amp;DG8,$BC$6:$BC$53,INDEX(T_Equipos[Grupo],MATCH(BD8,T_Equipos[NombreEquipo],0)))</f>
        <v>2</v>
      </c>
      <c r="DI8" s="744"/>
      <c r="DJ8" s="744">
        <f ca="1">INDEX($DA$6:$DA$53,MATCH($DQ8,$BD$6:$BD$53,0))</f>
        <v>2</v>
      </c>
      <c r="DK8" s="744">
        <f t="shared" ca="1" si="24"/>
        <v>2</v>
      </c>
      <c r="DL8" s="744">
        <f t="shared" ca="1" si="33"/>
        <v>1</v>
      </c>
      <c r="DM8" s="738" t="str">
        <f t="shared" ca="1" si="34"/>
        <v>2.1</v>
      </c>
      <c r="DN8" s="744" cm="1">
        <f t="array" aca="1" ref="DN8" ca="1">OFFSET(Horarios!$P$3,DJ8-1,0,DL8,1)</f>
        <v>2</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0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0</v>
      </c>
      <c r="BG9" s="748">
        <f t="shared" ca="1" si="17"/>
        <v>0</v>
      </c>
      <c r="BH9" s="748">
        <f t="shared" ca="1" si="18"/>
        <v>0</v>
      </c>
      <c r="BI9" s="748">
        <f t="shared" ca="1" si="19"/>
        <v>0</v>
      </c>
      <c r="BJ9" s="748">
        <f t="shared" ca="1" si="20"/>
        <v>0</v>
      </c>
      <c r="BK9" s="748">
        <f t="shared" ca="1" si="21"/>
        <v>0</v>
      </c>
      <c r="BL9" s="748">
        <f t="shared" ca="1" si="27"/>
        <v>0</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2</v>
      </c>
      <c r="BT9" s="757" t="str">
        <f ca="1">IF(COUNTIFS($BS$6:$BS$53,BS9,$BC$6:$BC$53,INDEX(T_Equipos[Grupo],MATCH(BD9,T_Equipos[NombreEquipo],0)))=1,"-","P."&amp;BS9&amp;" ("&amp;COUNTIFS($BS$6:$BS$53,BS9,$BC$6:$BC$53,INDEX(T_Equipos[Grupo],MATCH(BD9,T_Equipos[NombreEquipo],0)))&amp;")")</f>
        <v>P.2 (3)</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2</v>
      </c>
      <c r="BZ9" s="757" t="str">
        <f ca="1">IF(COUNTIFS($BY$6:$BY$53,BY9,$BC$6:$BC$53,INDEX(T_Equipos[Grupo],MATCH(BD9,T_Equipos[NombreEquipo],0)))=1,"-","P."&amp;BY9&amp;" ("&amp;COUNTIFS($BY$6:$BY$53,BY9,$BC$6:$BC$53,INDEX(T_Equipos[Grupo],MATCH(BD9,T_Equipos[NombreEquipo],0)))&amp;")")</f>
        <v>P.2 (3)</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2</v>
      </c>
      <c r="CE9" s="757" t="str">
        <f ca="1">IF(COUNTIFS($CD$6:$CD$53,CD9,$BC$6:$BC$53,INDEX(T_Equipos[Grupo],MATCH(BD9,T_Equipos[NombreEquipo],0)))=1,"-","P."&amp;CD9&amp;" ("&amp;COUNTIFS($CD$6:$CD$53,CD9,$BC$6:$BC$53,INDEX(T_Equipos[Grupo],MATCH(BD9,T_Equipos[NombreEquipo],0)))&amp;")")</f>
        <v>P.2 (3)</v>
      </c>
      <c r="CF9" s="758">
        <f ca="1">IF($CE9="-","-",SUMIFS(FG_GolesLocal,FGLocal,$BD9,Part1Empate3V,$CE9)+SUMIFS(FG_GolesVisitante,FGVisitante,$BD9,Part1Empate3L,$CE9))</f>
        <v>0</v>
      </c>
      <c r="CG9" s="758">
        <f ca="1">CD9+COUNTIFS($CE$6:$CE$53,CE9,$CF$6:CF$53,"&gt;"&amp;CF9,$BC$6:$BC$53,INDEX(T_Equipos[Grupo],MATCH(BD9,T_Equipos[NombreEquipo],0)))</f>
        <v>2</v>
      </c>
      <c r="CH9" s="757" t="str">
        <f ca="1">IF(COUNTIFS($CG$6:$CG$53,CG9,$BC$6:$BC$53,INDEX(T_Equipos[Grupo],MATCH(BD9,T_Equipos[NombreEquipo],0)))=1,"-","P."&amp;CG9&amp;" ("&amp;COUNTIFS($CG$6:$CG$53,CG9,$BC$6:$BC$53,INDEX(T_Equipos[Grupo],MATCH(BD9,T_Equipos[NombreEquipo],0)))&amp;")")</f>
        <v>P.2 (3)</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2</v>
      </c>
      <c r="CN9" s="757" t="str">
        <f ca="1">IF(COUNTIFS($CM$6:$CM$53,CM9,$BC$6:$BC$53,INDEX(T_Equipos[Grupo],MATCH(BD9,T_Equipos[NombreEquipo],0)))=1,"-","P."&amp;CM9&amp;" ("&amp;COUNTIFS($CM$6:$CM$53,CM9,$BC$6:$BC$53,INDEX(T_Equipos[Grupo],MATCH(BD9,T_Equipos[NombreEquipo],0)))&amp;")")</f>
        <v>P.2 (3)</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2</v>
      </c>
      <c r="CS9" s="757" t="str">
        <f ca="1">IF(COUNTIFS($CR$6:$CR$53,CR9,$BC$6:$BC$53,INDEX(T_Equipos[Grupo],MATCH(BD9,T_Equipos[NombreEquipo],0)))=1,"-","P."&amp;CR9&amp;" ("&amp;COUNTIFS($CR$6:$CR$53,CR9,$BC$6:$BC$53,INDEX(T_Equipos[Grupo],MATCH(BD9,T_Equipos[NombreEquipo],0)))&amp;")")</f>
        <v>P.2 (3)</v>
      </c>
      <c r="CT9" s="758">
        <f ca="1">IF($CS9="-","-",SUMIFS(FG_GolesLocal,FGLocal,$BD9,Part2Empate6V,$CS9)+SUMIFS(FG_GolesVisitante,FGVisitante,$BD9,Part2Empate6L,$CS9))</f>
        <v>0</v>
      </c>
      <c r="CU9" s="758">
        <f ca="1">CR9+COUNTIFS($CS$6:$CS$53,CS9,$CT$6:CT$53,"&gt;"&amp;CT9,$BC$6:$BC$53,INDEX(T_Equipos[Grupo],MATCH(BD9,T_Equipos[NombreEquipo],0)))</f>
        <v>2</v>
      </c>
      <c r="CV9" s="757" t="str">
        <f ca="1">IF(COUNTIFS($CU$6:$CU$53,CU9,$BC$6:$BC$53,INDEX(T_Equipos[Grupo],MATCH(BD9,T_Equipos[NombreEquipo],0)))=1,"-","P."&amp;CU9&amp;" ("&amp;COUNTIFS($CU$6:$CU$53,CU9,$BC$6:$BC$53,INDEX(T_Equipos[Grupo],MATCH(BD9,T_Equipos[NombreEquipo],0)))&amp;")")</f>
        <v>P.2 (3)</v>
      </c>
      <c r="CW9" s="757">
        <f t="shared" ca="1" si="30"/>
        <v>0</v>
      </c>
      <c r="CX9" s="757">
        <f ca="1">CU9+COUNTIFS($CV$6:$CV$53,CV9,$CW$6:CW$53,"&gt;"&amp;CW9,$BC$6:$BC$53,INDEX(T_Equipos[Grupo],MATCH(BD9,T_Equipos[NombreEquipo],0)))</f>
        <v>2</v>
      </c>
      <c r="CY9" s="757" t="str">
        <f ca="1">IF(COUNTIFS($CX$6:$CX$53,CX9,$BC$6:$BC$53,INDEX(T_Equipos[Grupo],MATCH(BD9,T_Equipos[NombreEquipo],0)))=1,"-","P."&amp;CX9&amp;" ("&amp;COUNTIFS($CX$6:$CX$53,CX9,$BC$6:$BC$53,INDEX(T_Equipos[Grupo],MATCH(BD9,T_Equipos[NombreEquipo],0)))&amp;")")</f>
        <v>P.2 (2)</v>
      </c>
      <c r="CZ9" s="757">
        <f t="shared" ca="1" si="31"/>
        <v>0</v>
      </c>
      <c r="DA9" s="758">
        <f ca="1">CX9+COUNTIFS($CY$6:$CY$53,CY9,$CZ$6:CZ$53,"&gt;"&amp;CZ9,$BC$6:$BC$53,INDEX(T_Equipos[Grupo],MATCH(BD9,T_Equipos[NombreEquipo],0)))</f>
        <v>2</v>
      </c>
      <c r="DB9" s="757" t="str">
        <f ca="1">IF(COUNTIFS($DA$6:$DA$53,DA9,$BC$6:$BC$53,INDEX(T_Equipos[Grupo],MATCH(BD9,T_Equipos[NombreEquipo],0)))=1,"-","P."&amp;DA9&amp;" ("&amp;COUNTIFS($DA$6:$DA$53,DA9,$BC$6:$BC$53,INDEX(T_Equipos[Grupo],MATCH(BD9,T_Equipos[NombreEquipo],0)))&amp;")")</f>
        <v>P.2 (2)</v>
      </c>
      <c r="DC9" s="756">
        <f ca="1">IF(DB9="-","-",COUNTIFS(T_Equipos[Rank],"&lt;"&amp;INDEX(T_Equipos[Rank],MATCH(BD9,T_Equipos[NombreEquipo],0)),$BC$6:$BC$53,INDEX(T_Equipos[Grupo],MATCH(BD9,T_Equipos[NombreEquipo],0)))+1)</f>
        <v>4</v>
      </c>
      <c r="DD9" s="756">
        <f ca="1">DA9+COUNTIFS($DB$6:$DB$53,DB9,$DC$6:DC$53,"&lt;"&amp;DC9,$BC$6:$BC$53,INDEX(T_Equipos[Grupo],MATCH(BD9,T_Equipos[NombreEquipo],0)))</f>
        <v>3</v>
      </c>
      <c r="DE9" s="756"/>
      <c r="DF9" s="756">
        <f t="shared" ca="1" si="32"/>
        <v>3</v>
      </c>
      <c r="DG9" s="756">
        <f ca="1">IF(DB9="-","-",COUNTIFS(DF$6:DF$53,"&lt;"&amp;DF9,$BC$6:$BC$53,INDEX(T_Equipos[Grupo],MATCH(BD9,T_Equipos[NombreEquipo],0))))</f>
        <v>2</v>
      </c>
      <c r="DH9" s="756">
        <f ca="1">DA9+COUNTIFS(DB$6:DB$53,DB9,DG$6:DG$53,"&lt;"&amp;DG9,$BC$6:$BC$53,INDEX(T_Equipos[Grupo],MATCH(BD9,T_Equipos[NombreEquipo],0)))</f>
        <v>3</v>
      </c>
      <c r="DI9" s="744"/>
      <c r="DJ9" s="744">
        <f ca="1">INDEX($DA$6:$DA$53,MATCH($DQ9,$BD$6:$BD$53,0))</f>
        <v>4</v>
      </c>
      <c r="DK9" s="744">
        <f t="shared" ca="1" si="24"/>
        <v>2</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0</v>
      </c>
      <c r="BF10" s="748">
        <f t="shared" ca="1" si="26"/>
        <v>0</v>
      </c>
      <c r="BG10" s="748">
        <f t="shared" ca="1" si="17"/>
        <v>0</v>
      </c>
      <c r="BH10" s="748">
        <f t="shared" ca="1" si="18"/>
        <v>0</v>
      </c>
      <c r="BI10" s="748">
        <f t="shared" ca="1" si="19"/>
        <v>0</v>
      </c>
      <c r="BJ10" s="748">
        <f t="shared" ca="1" si="20"/>
        <v>0</v>
      </c>
      <c r="BK10" s="748">
        <f t="shared" ca="1" si="21"/>
        <v>0</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0</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0</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0</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0</v>
      </c>
      <c r="BF11" s="748">
        <f t="shared" ca="1" si="26"/>
        <v>0</v>
      </c>
      <c r="BG11" s="748">
        <f t="shared" ca="1" si="17"/>
        <v>0</v>
      </c>
      <c r="BH11" s="748">
        <f t="shared" ca="1" si="18"/>
        <v>0</v>
      </c>
      <c r="BI11" s="748">
        <f t="shared" ca="1" si="19"/>
        <v>0</v>
      </c>
      <c r="BJ11" s="748">
        <f t="shared" ca="1" si="20"/>
        <v>0</v>
      </c>
      <c r="BK11" s="748">
        <f t="shared" ca="1" si="21"/>
        <v>0</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0</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0</v>
      </c>
      <c r="BW11" s="758">
        <f t="shared" ca="1" si="38"/>
        <v>0</v>
      </c>
      <c r="BX11" s="758">
        <f t="shared" ca="1" si="39"/>
        <v>0</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0</v>
      </c>
      <c r="CB11" s="758">
        <f t="shared" ca="1" si="41"/>
        <v>0</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0</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0</v>
      </c>
      <c r="CK11" s="758">
        <f t="shared" ca="1" si="46"/>
        <v>0</v>
      </c>
      <c r="CL11" s="758">
        <f t="shared" ca="1" si="47"/>
        <v>0</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0</v>
      </c>
      <c r="CP11" s="758">
        <f t="shared" ca="1" si="49"/>
        <v>0</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0</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0</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0</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Pendiente</v>
      </c>
      <c r="E12" s="744" t="str">
        <f t="shared" ref="E12:E17" si="55">IF(D12="Pendiente","-",INDEX($BT$6:$BT$53,MATCH($AA12,$BD$6:$BD$53,0)))</f>
        <v>-</v>
      </c>
      <c r="F12" s="744" t="str">
        <f t="shared" ref="F12:F17" si="56">IF(D12="Pendiente","-",INDEX($BT$6:$BT$53,MATCH($AF12,$BD$6:$BD$53,0)))</f>
        <v>-</v>
      </c>
      <c r="G12" s="744"/>
      <c r="H12" s="744" t="str">
        <f t="shared" ref="H12:H17" si="57">IF(D12="Pendiente","-",INDEX($BZ$6:$BZ$53,MATCH($AA12,$BD$6:$BD$53,0)))</f>
        <v>-</v>
      </c>
      <c r="I12" s="744" t="str">
        <f t="shared" ref="I12:I17" si="58">IF(D12="Pendiente","-",INDEX($BZ$6:$BZ$53,MATCH($AF12,$BD$6:$BD$53,0)))</f>
        <v>-</v>
      </c>
      <c r="J12" s="744"/>
      <c r="K12" s="744" t="str">
        <f t="shared" ref="K12:K17" si="59">IF(D12="Pendiente","-",INDEX($CE$6:$CE$53,MATCH($AA12,$BD$6:$BD$53,0)))</f>
        <v>-</v>
      </c>
      <c r="L12" s="744" t="str">
        <f t="shared" ref="L12:L17" si="60">IF(D12="Pendiente","-",INDEX($CE$6:$CE$53,MATCH($AF12,$BD$6:$BD$53,0)))</f>
        <v>-</v>
      </c>
      <c r="M12" s="744"/>
      <c r="N12" s="744" t="str">
        <f t="shared" ref="N12:N17" si="61">IF(D12="Pendiente","-",INDEX($CH$6:$CH$53,MATCH($AA12,$BD$6:$BD$53,0)))</f>
        <v>-</v>
      </c>
      <c r="O12" s="744" t="str">
        <f t="shared" ref="O12:O17" si="62">IF(D12="Pendiente","-",INDEX($CH$6:$CH$53,MATCH($AF12,$BD$6:$BD$53,0)))</f>
        <v>-</v>
      </c>
      <c r="P12" s="744"/>
      <c r="Q12" s="744" t="str">
        <f t="shared" ref="Q12:Q17" si="63">IF(D12="Pendiente","-",INDEX($CN$6:$CN$53,MATCH($AA12,$BD$6:$BD$53,0)))</f>
        <v>-</v>
      </c>
      <c r="R12" s="744" t="str">
        <f t="shared" ref="R12:R17" si="64">IF(D12="Pendiente","-",INDEX($CN$6:$CN$53,MATCH($AF12,$BD$6:$BD$53,0)))</f>
        <v>-</v>
      </c>
      <c r="S12" s="744"/>
      <c r="T12" s="744" t="str">
        <f t="shared" ref="T12:T17" si="65">IF(D12="Pendiente","-",INDEX($CS$6:$CS$53,MATCH($AA12,$BD$6:$BD$53,0)))</f>
        <v>-</v>
      </c>
      <c r="U12" s="744" t="str">
        <f t="shared" ref="U12:U17" si="66">IF(D12="Pendiente","-",INDEX($CS$6:$CS$53,MATCH($AF12,$BD$6:$BD$53,0)))</f>
        <v>-</v>
      </c>
      <c r="V12" s="172"/>
      <c r="W12" s="808" t="s">
        <v>1</v>
      </c>
      <c r="X12" s="189">
        <f ca="1">Horarios!C12</f>
        <v>46185.875</v>
      </c>
      <c r="Y12" s="190">
        <f ca="1">Horarios!C12</f>
        <v>46185.875</v>
      </c>
      <c r="Z12" s="191" t="str">
        <f>$Z$4</f>
        <v>J1</v>
      </c>
      <c r="AA12" s="192" t="str">
        <f ca="1">A13</f>
        <v>Canadá</v>
      </c>
      <c r="AB12" s="478" t="e" cm="1" vm="5">
        <f t="array" aca="1" ref="AB12" ca="1">Ver_flag_local</f>
        <v>#VALUE!</v>
      </c>
      <c r="AC12" s="193"/>
      <c r="AD12" s="194"/>
      <c r="AE12" s="483" t="e" cm="1" vm="6">
        <f t="array" aca="1" ref="AE12" ca="1">Ver_flag_visit</f>
        <v>#VALUE!</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0</v>
      </c>
      <c r="BF12" s="748">
        <f t="shared" ca="1" si="26"/>
        <v>0</v>
      </c>
      <c r="BG12" s="748">
        <f t="shared" ca="1" si="17"/>
        <v>0</v>
      </c>
      <c r="BH12" s="748">
        <f t="shared" ca="1" si="18"/>
        <v>0</v>
      </c>
      <c r="BI12" s="748">
        <f t="shared" ca="1" si="19"/>
        <v>0</v>
      </c>
      <c r="BJ12" s="748">
        <f t="shared" ca="1" si="20"/>
        <v>0</v>
      </c>
      <c r="BK12" s="748">
        <f t="shared" ca="1" si="21"/>
        <v>0</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0</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0</v>
      </c>
      <c r="BW12" s="758">
        <f t="shared" ca="1" si="38"/>
        <v>0</v>
      </c>
      <c r="BX12" s="758">
        <f t="shared" ca="1" si="39"/>
        <v>0</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0</v>
      </c>
      <c r="CB12" s="758">
        <f t="shared" ca="1" si="41"/>
        <v>0</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0</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0</v>
      </c>
      <c r="CK12" s="758">
        <f t="shared" ca="1" si="46"/>
        <v>0</v>
      </c>
      <c r="CL12" s="758">
        <f t="shared" ca="1" si="47"/>
        <v>0</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0</v>
      </c>
      <c r="CP12" s="758">
        <f t="shared" ca="1" si="49"/>
        <v>0</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0</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0</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0</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Pendiente</v>
      </c>
      <c r="E13" s="744" t="str">
        <f t="shared" si="55"/>
        <v>-</v>
      </c>
      <c r="F13" s="744" t="str">
        <f t="shared" si="56"/>
        <v>-</v>
      </c>
      <c r="G13" s="744"/>
      <c r="H13" s="744" t="str">
        <f t="shared" si="57"/>
        <v>-</v>
      </c>
      <c r="I13" s="744" t="str">
        <f t="shared" si="58"/>
        <v>-</v>
      </c>
      <c r="J13" s="744"/>
      <c r="K13" s="744" t="str">
        <f t="shared" si="59"/>
        <v>-</v>
      </c>
      <c r="L13" s="744" t="str">
        <f t="shared" si="60"/>
        <v>-</v>
      </c>
      <c r="M13" s="744"/>
      <c r="N13" s="744" t="str">
        <f t="shared" si="61"/>
        <v>-</v>
      </c>
      <c r="O13" s="744" t="str">
        <f t="shared" si="62"/>
        <v>-</v>
      </c>
      <c r="P13" s="744"/>
      <c r="Q13" s="744" t="str">
        <f t="shared" si="63"/>
        <v>-</v>
      </c>
      <c r="R13" s="744" t="str">
        <f t="shared" si="64"/>
        <v>-</v>
      </c>
      <c r="S13" s="744"/>
      <c r="T13" s="744" t="str">
        <f t="shared" si="65"/>
        <v>-</v>
      </c>
      <c r="U13" s="744" t="str">
        <f t="shared" si="66"/>
        <v>-</v>
      </c>
      <c r="V13" s="172"/>
      <c r="W13" s="808"/>
      <c r="X13" s="189">
        <f ca="1">Horarios!C13</f>
        <v>46186.875</v>
      </c>
      <c r="Y13" s="190">
        <f ca="1">Horarios!C13</f>
        <v>46186.875</v>
      </c>
      <c r="Z13" s="191" t="str">
        <f>$Z$4</f>
        <v>J1</v>
      </c>
      <c r="AA13" s="192" t="str">
        <f ca="1">A15</f>
        <v>Catar</v>
      </c>
      <c r="AB13" s="478" t="e" cm="1" vm="7">
        <f t="array" aca="1" ref="AB13" ca="1">Ver_flag_local</f>
        <v>#VALUE!</v>
      </c>
      <c r="AC13" s="193"/>
      <c r="AD13" s="194"/>
      <c r="AE13" s="483" t="e" cm="1" vm="8">
        <f t="array" aca="1" ref="AE13" ca="1">Ver_flag_visit</f>
        <v>#VALUE!</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0</v>
      </c>
      <c r="BF13" s="748">
        <f t="shared" ca="1" si="26"/>
        <v>0</v>
      </c>
      <c r="BG13" s="748">
        <f t="shared" ca="1" si="17"/>
        <v>0</v>
      </c>
      <c r="BH13" s="748">
        <f t="shared" ca="1" si="18"/>
        <v>0</v>
      </c>
      <c r="BI13" s="748">
        <f t="shared" ca="1" si="19"/>
        <v>0</v>
      </c>
      <c r="BJ13" s="748">
        <f t="shared" ca="1" si="20"/>
        <v>0</v>
      </c>
      <c r="BK13" s="748">
        <f t="shared" ca="1" si="21"/>
        <v>0</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0</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0</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0</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08"/>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0</v>
      </c>
      <c r="BF14" s="748">
        <f t="shared" ca="1" si="26"/>
        <v>0</v>
      </c>
      <c r="BG14" s="748">
        <f t="shared" ca="1" si="17"/>
        <v>0</v>
      </c>
      <c r="BH14" s="748">
        <f t="shared" ca="1" si="18"/>
        <v>0</v>
      </c>
      <c r="BI14" s="748">
        <f t="shared" ca="1" si="19"/>
        <v>0</v>
      </c>
      <c r="BJ14" s="748">
        <f t="shared" ca="1" si="20"/>
        <v>0</v>
      </c>
      <c r="BK14" s="748">
        <f t="shared" ca="1" si="21"/>
        <v>0</v>
      </c>
      <c r="BL14" s="748">
        <f t="shared" ca="1" si="27"/>
        <v>0</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0</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(4)</v>
      </c>
      <c r="BU14" s="758">
        <f t="shared" ca="1" si="36"/>
        <v>0</v>
      </c>
      <c r="BV14" s="758">
        <f t="shared" ca="1" si="37"/>
        <v>0</v>
      </c>
      <c r="BW14" s="758">
        <f t="shared" ca="1" si="38"/>
        <v>0</v>
      </c>
      <c r="BX14" s="758">
        <f t="shared" ca="1" si="39"/>
        <v>0</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(4)</v>
      </c>
      <c r="CA14" s="758">
        <f t="shared" ca="1" si="40"/>
        <v>0</v>
      </c>
      <c r="CB14" s="758">
        <f t="shared" ca="1" si="41"/>
        <v>0</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(4)</v>
      </c>
      <c r="CF14" s="758">
        <f t="shared" ca="1" si="43"/>
        <v>0</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(4)</v>
      </c>
      <c r="CI14" s="758">
        <f t="shared" ca="1" si="44"/>
        <v>0</v>
      </c>
      <c r="CJ14" s="758">
        <f t="shared" ca="1" si="45"/>
        <v>0</v>
      </c>
      <c r="CK14" s="758">
        <f t="shared" ca="1" si="46"/>
        <v>0</v>
      </c>
      <c r="CL14" s="758">
        <f t="shared" ca="1" si="47"/>
        <v>0</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(4)</v>
      </c>
      <c r="CO14" s="758">
        <f t="shared" ca="1" si="48"/>
        <v>0</v>
      </c>
      <c r="CP14" s="758">
        <f t="shared" ca="1" si="49"/>
        <v>0</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(4)</v>
      </c>
      <c r="CT14" s="758">
        <f t="shared" ca="1" si="51"/>
        <v>0</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(4)</v>
      </c>
      <c r="CW14" s="757">
        <f t="shared" ca="1" si="30"/>
        <v>0</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P.1 (4)</v>
      </c>
      <c r="CZ14" s="757">
        <f t="shared" ca="1" si="31"/>
        <v>0</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P.1 (4)</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1</v>
      </c>
      <c r="DE14" s="756"/>
      <c r="DF14" s="756">
        <f t="shared" ca="1" si="52"/>
        <v>1</v>
      </c>
      <c r="DG14" s="756">
        <f ca="1">IF(DB14="-","-",COUNTIFS(DF$6:DF$53,"&lt;"&amp;DF14,$BC$6:$BC$53,INDEX(T_Equipos[Grupo],MATCH(BD14,T_Equipos[NombreEquipo],0))))</f>
        <v>0</v>
      </c>
      <c r="DH14" s="756">
        <f ca="1">DA14+COUNTIFS(DB$6:DB$53,DB14,DG$6:DG$53,"&lt;"&amp;DG14,$BC$6:$BC$53,INDEX(T_Equipos[Grupo],MATCH(BD14,T_Equipos[NombreEquipo],0)))</f>
        <v>1</v>
      </c>
      <c r="DI14" s="744"/>
      <c r="DJ14" s="744">
        <f t="shared" ca="1" si="53"/>
        <v>1</v>
      </c>
      <c r="DK14" s="744">
        <f t="shared" ca="1" si="24"/>
        <v>0</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08"/>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0</v>
      </c>
      <c r="BF15" s="748">
        <f t="shared" ca="1" si="26"/>
        <v>0</v>
      </c>
      <c r="BG15" s="748">
        <f t="shared" ca="1" si="17"/>
        <v>0</v>
      </c>
      <c r="BH15" s="748">
        <f t="shared" ca="1" si="18"/>
        <v>0</v>
      </c>
      <c r="BI15" s="748">
        <f t="shared" ca="1" si="19"/>
        <v>0</v>
      </c>
      <c r="BJ15" s="748">
        <f t="shared" ca="1" si="20"/>
        <v>0</v>
      </c>
      <c r="BK15" s="748">
        <f t="shared" ca="1" si="21"/>
        <v>0</v>
      </c>
      <c r="BL15" s="748">
        <f t="shared" ca="1" si="27"/>
        <v>0</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0</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(4)</v>
      </c>
      <c r="BU15" s="758">
        <f t="shared" ca="1" si="36"/>
        <v>0</v>
      </c>
      <c r="BV15" s="758">
        <f t="shared" ca="1" si="37"/>
        <v>0</v>
      </c>
      <c r="BW15" s="758">
        <f t="shared" ca="1" si="38"/>
        <v>0</v>
      </c>
      <c r="BX15" s="758">
        <f t="shared" ca="1" si="39"/>
        <v>0</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(4)</v>
      </c>
      <c r="CA15" s="758">
        <f t="shared" ca="1" si="40"/>
        <v>0</v>
      </c>
      <c r="CB15" s="758">
        <f t="shared" ca="1" si="41"/>
        <v>0</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(4)</v>
      </c>
      <c r="CF15" s="758">
        <f t="shared" ca="1" si="43"/>
        <v>0</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(4)</v>
      </c>
      <c r="CI15" s="758">
        <f t="shared" ca="1" si="44"/>
        <v>0</v>
      </c>
      <c r="CJ15" s="758">
        <f t="shared" ca="1" si="45"/>
        <v>0</v>
      </c>
      <c r="CK15" s="758">
        <f t="shared" ca="1" si="46"/>
        <v>0</v>
      </c>
      <c r="CL15" s="758">
        <f t="shared" ca="1" si="47"/>
        <v>0</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(4)</v>
      </c>
      <c r="CO15" s="758">
        <f t="shared" ca="1" si="48"/>
        <v>0</v>
      </c>
      <c r="CP15" s="758">
        <f t="shared" ca="1" si="49"/>
        <v>0</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(4)</v>
      </c>
      <c r="CT15" s="758">
        <f t="shared" ca="1" si="51"/>
        <v>0</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(4)</v>
      </c>
      <c r="CW15" s="757">
        <f t="shared" ca="1" si="30"/>
        <v>0</v>
      </c>
      <c r="CX15" s="757">
        <f ca="1">CU15+COUNTIFS($CV$6:$CV$53,CV15,$CW$6:CW$53,"&gt;"&amp;CW15,$BC$6:$BC$53,INDEX(T_Equipos[Grupo],MATCH(BD15,T_Equipos[NombreEquipo],0)))</f>
        <v>1</v>
      </c>
      <c r="CY15" s="757" t="str">
        <f ca="1">IF(COUNTIFS($CX$6:$CX$53,CX15,$BC$6:$BC$53,INDEX(T_Equipos[Grupo],MATCH(BD15,T_Equipos[NombreEquipo],0)))=1,"-","P."&amp;CX15&amp;" ("&amp;COUNTIFS($CX$6:$CX$53,CX15,$BC$6:$BC$53,INDEX(T_Equipos[Grupo],MATCH(BD15,T_Equipos[NombreEquipo],0)))&amp;")")</f>
        <v>P.1 (4)</v>
      </c>
      <c r="CZ15" s="757">
        <f t="shared" ca="1" si="31"/>
        <v>0</v>
      </c>
      <c r="DA15" s="758">
        <f ca="1">CX15+COUNTIFS($CY$6:$CY$53,CY15,$CZ$6:CZ$53,"&gt;"&amp;CZ15,$BC$6:$BC$53,INDEX(T_Equipos[Grupo],MATCH(BD15,T_Equipos[NombreEquipo],0)))</f>
        <v>1</v>
      </c>
      <c r="DB15" s="757" t="str">
        <f ca="1">IF(COUNTIFS($DA$6:$DA$53,DA15,$BC$6:$BC$53,INDEX(T_Equipos[Grupo],MATCH(BD15,T_Equipos[NombreEquipo],0)))=1,"-","P."&amp;DA15&amp;" ("&amp;COUNTIFS($DA$6:$DA$53,DA15,$BC$6:$BC$53,INDEX(T_Equipos[Grupo],MATCH(BD15,T_Equipos[NombreEquipo],0)))&amp;")")</f>
        <v>P.1 (4)</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2</v>
      </c>
      <c r="DE15" s="756"/>
      <c r="DF15" s="756">
        <f t="shared" ca="1" si="52"/>
        <v>2</v>
      </c>
      <c r="DG15" s="756">
        <f ca="1">IF(DB15="-","-",COUNTIFS(DF$6:DF$53,"&lt;"&amp;DF15,$BC$6:$BC$53,INDEX(T_Equipos[Grupo],MATCH(BD15,T_Equipos[NombreEquipo],0))))</f>
        <v>1</v>
      </c>
      <c r="DH15" s="756">
        <f ca="1">DA15+COUNTIFS(DB$6:DB$53,DB15,DG$6:DG$53,"&lt;"&amp;DG15,$BC$6:$BC$53,INDEX(T_Equipos[Grupo],MATCH(BD15,T_Equipos[NombreEquipo],0)))</f>
        <v>2</v>
      </c>
      <c r="DI15" s="744"/>
      <c r="DJ15" s="744">
        <f t="shared" ca="1" si="53"/>
        <v>1</v>
      </c>
      <c r="DK15" s="744">
        <f t="shared" ca="1" si="24"/>
        <v>0</v>
      </c>
      <c r="DL15" s="744">
        <f t="shared" ca="1" si="33"/>
        <v>1</v>
      </c>
      <c r="DM15" s="738" t="str">
        <f t="shared" ca="1" si="34"/>
        <v>1.1</v>
      </c>
      <c r="DN15" s="744" cm="1">
        <f t="array" aca="1" ref="DN15" ca="1">OFFSET(Horarios!$P$3,DJ15-1,0,DL15,1)</f>
        <v>1</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0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0</v>
      </c>
      <c r="BG16" s="748">
        <f t="shared" ca="1" si="17"/>
        <v>0</v>
      </c>
      <c r="BH16" s="748">
        <f t="shared" ca="1" si="18"/>
        <v>0</v>
      </c>
      <c r="BI16" s="748">
        <f t="shared" ca="1" si="19"/>
        <v>0</v>
      </c>
      <c r="BJ16" s="748">
        <f t="shared" ca="1" si="20"/>
        <v>0</v>
      </c>
      <c r="BK16" s="748">
        <f t="shared" ca="1" si="21"/>
        <v>0</v>
      </c>
      <c r="BL16" s="748">
        <f t="shared" ca="1" si="27"/>
        <v>0</v>
      </c>
      <c r="BM16" s="748" t="str">
        <f t="shared" ca="1" si="22"/>
        <v>3C</v>
      </c>
      <c r="BN16" s="748" t="str">
        <f t="shared" ca="1" si="23"/>
        <v>3C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1</v>
      </c>
      <c r="BT16" s="757" t="str">
        <f ca="1">IF(COUNTIFS($BS$6:$BS$53,BS16,$BC$6:$BC$53,INDEX(T_Equipos[Grupo],MATCH(BD16,T_Equipos[NombreEquipo],0)))=1,"-","P."&amp;BS16&amp;" ("&amp;COUNTIFS($BS$6:$BS$53,BS16,$BC$6:$BC$53,INDEX(T_Equipos[Grupo],MATCH(BD16,T_Equipos[NombreEquipo],0)))&amp;")")</f>
        <v>P.1 (4)</v>
      </c>
      <c r="BU16" s="758">
        <f t="shared" ca="1" si="36"/>
        <v>0</v>
      </c>
      <c r="BV16" s="758">
        <f t="shared" ca="1" si="37"/>
        <v>0</v>
      </c>
      <c r="BW16" s="758">
        <f t="shared" ca="1" si="38"/>
        <v>0</v>
      </c>
      <c r="BX16" s="758">
        <f t="shared" ca="1" si="39"/>
        <v>0</v>
      </c>
      <c r="BY16" s="758">
        <f ca="1">BS16+COUNTIFS($BT$6:$BT$53,BT16,$BX$6:BX$53,"&gt;"&amp;BX16,$BC$6:$BC$53,INDEX(T_Equipos[Grupo],MATCH(BD16,T_Equipos[NombreEquipo],0)))</f>
        <v>1</v>
      </c>
      <c r="BZ16" s="757" t="str">
        <f ca="1">IF(COUNTIFS($BY$6:$BY$53,BY16,$BC$6:$BC$53,INDEX(T_Equipos[Grupo],MATCH(BD16,T_Equipos[NombreEquipo],0)))=1,"-","P."&amp;BY16&amp;" ("&amp;COUNTIFS($BY$6:$BY$53,BY16,$BC$6:$BC$53,INDEX(T_Equipos[Grupo],MATCH(BD16,T_Equipos[NombreEquipo],0)))&amp;")")</f>
        <v>P.1 (4)</v>
      </c>
      <c r="CA16" s="758">
        <f t="shared" ca="1" si="40"/>
        <v>0</v>
      </c>
      <c r="CB16" s="758">
        <f t="shared" ca="1" si="41"/>
        <v>0</v>
      </c>
      <c r="CC16" s="758">
        <f t="shared" ca="1" si="42"/>
        <v>0</v>
      </c>
      <c r="CD16" s="758">
        <f ca="1">BY16+COUNTIFS($BZ$6:$BZ$53,BZ16,$CC$6:CC$53,"&gt;"&amp;CC16,$BC$6:$BC$53,INDEX(T_Equipos[Grupo],MATCH(BD16,T_Equipos[NombreEquipo],0)))</f>
        <v>1</v>
      </c>
      <c r="CE16" s="757" t="str">
        <f ca="1">IF(COUNTIFS($CD$6:$CD$53,CD16,$BC$6:$BC$53,INDEX(T_Equipos[Grupo],MATCH(BD16,T_Equipos[NombreEquipo],0)))=1,"-","P."&amp;CD16&amp;" ("&amp;COUNTIFS($CD$6:$CD$53,CD16,$BC$6:$BC$53,INDEX(T_Equipos[Grupo],MATCH(BD16,T_Equipos[NombreEquipo],0)))&amp;")")</f>
        <v>P.1 (4)</v>
      </c>
      <c r="CF16" s="758">
        <f t="shared" ca="1" si="43"/>
        <v>0</v>
      </c>
      <c r="CG16" s="758">
        <f ca="1">CD16+COUNTIFS($CE$6:$CE$53,CE16,$CF$6:CF$53,"&gt;"&amp;CF16,$BC$6:$BC$53,INDEX(T_Equipos[Grupo],MATCH(BD16,T_Equipos[NombreEquipo],0)))</f>
        <v>1</v>
      </c>
      <c r="CH16" s="757" t="str">
        <f ca="1">IF(COUNTIFS($CG$6:$CG$53,CG16,$BC$6:$BC$53,INDEX(T_Equipos[Grupo],MATCH(BD16,T_Equipos[NombreEquipo],0)))=1,"-","P."&amp;CG16&amp;" ("&amp;COUNTIFS($CG$6:$CG$53,CG16,$BC$6:$BC$53,INDEX(T_Equipos[Grupo],MATCH(BD16,T_Equipos[NombreEquipo],0)))&amp;")")</f>
        <v>P.1 (4)</v>
      </c>
      <c r="CI16" s="758">
        <f t="shared" ca="1" si="44"/>
        <v>0</v>
      </c>
      <c r="CJ16" s="758">
        <f t="shared" ca="1" si="45"/>
        <v>0</v>
      </c>
      <c r="CK16" s="758">
        <f t="shared" ca="1" si="46"/>
        <v>0</v>
      </c>
      <c r="CL16" s="758">
        <f t="shared" ca="1" si="47"/>
        <v>0</v>
      </c>
      <c r="CM16" s="758">
        <f ca="1">CG16+COUNTIFS($CH$6:$CH$53,CH16,$CL$6:CL$53,"&gt;"&amp;CL16,$BC$6:$BC$53,INDEX(T_Equipos[Grupo],MATCH(BD16,T_Equipos[NombreEquipo],0)))</f>
        <v>1</v>
      </c>
      <c r="CN16" s="757" t="str">
        <f ca="1">IF(COUNTIFS($CM$6:$CM$53,CM16,$BC$6:$BC$53,INDEX(T_Equipos[Grupo],MATCH(BD16,T_Equipos[NombreEquipo],0)))=1,"-","P."&amp;CM16&amp;" ("&amp;COUNTIFS($CM$6:$CM$53,CM16,$BC$6:$BC$53,INDEX(T_Equipos[Grupo],MATCH(BD16,T_Equipos[NombreEquipo],0)))&amp;")")</f>
        <v>P.1 (4)</v>
      </c>
      <c r="CO16" s="758">
        <f t="shared" ca="1" si="48"/>
        <v>0</v>
      </c>
      <c r="CP16" s="758">
        <f t="shared" ca="1" si="49"/>
        <v>0</v>
      </c>
      <c r="CQ16" s="758">
        <f t="shared" ca="1" si="50"/>
        <v>0</v>
      </c>
      <c r="CR16" s="758">
        <f ca="1">CM16+COUNTIFS($CN$6:$CN$53,CN16,$CQ$6:CQ$53,"&gt;"&amp;CQ16,$BC$6:$BC$53,INDEX(T_Equipos[Grupo],MATCH(BD16,T_Equipos[NombreEquipo],0)))</f>
        <v>1</v>
      </c>
      <c r="CS16" s="757" t="str">
        <f ca="1">IF(COUNTIFS($CR$6:$CR$53,CR16,$BC$6:$BC$53,INDEX(T_Equipos[Grupo],MATCH(BD16,T_Equipos[NombreEquipo],0)))=1,"-","P."&amp;CR16&amp;" ("&amp;COUNTIFS($CR$6:$CR$53,CR16,$BC$6:$BC$53,INDEX(T_Equipos[Grupo],MATCH(BD16,T_Equipos[NombreEquipo],0)))&amp;")")</f>
        <v>P.1 (4)</v>
      </c>
      <c r="CT16" s="758">
        <f t="shared" ca="1" si="51"/>
        <v>0</v>
      </c>
      <c r="CU16" s="758">
        <f ca="1">CR16+COUNTIFS($CS$6:$CS$53,CS16,$CT$6:CT$53,"&gt;"&amp;CT16,$BC$6:$BC$53,INDEX(T_Equipos[Grupo],MATCH(BD16,T_Equipos[NombreEquipo],0)))</f>
        <v>1</v>
      </c>
      <c r="CV16" s="757" t="str">
        <f ca="1">IF(COUNTIFS($CU$6:$CU$53,CU16,$BC$6:$BC$53,INDEX(T_Equipos[Grupo],MATCH(BD16,T_Equipos[NombreEquipo],0)))=1,"-","P."&amp;CU16&amp;" ("&amp;COUNTIFS($CU$6:$CU$53,CU16,$BC$6:$BC$53,INDEX(T_Equipos[Grupo],MATCH(BD16,T_Equipos[NombreEquipo],0)))&amp;")")</f>
        <v>P.1 (4)</v>
      </c>
      <c r="CW16" s="757">
        <f t="shared" ca="1" si="30"/>
        <v>0</v>
      </c>
      <c r="CX16" s="757">
        <f ca="1">CU16+COUNTIFS($CV$6:$CV$53,CV16,$CW$6:CW$53,"&gt;"&amp;CW16,$BC$6:$BC$53,INDEX(T_Equipos[Grupo],MATCH(BD16,T_Equipos[NombreEquipo],0)))</f>
        <v>1</v>
      </c>
      <c r="CY16" s="757" t="str">
        <f ca="1">IF(COUNTIFS($CX$6:$CX$53,CX16,$BC$6:$BC$53,INDEX(T_Equipos[Grupo],MATCH(BD16,T_Equipos[NombreEquipo],0)))=1,"-","P."&amp;CX16&amp;" ("&amp;COUNTIFS($CX$6:$CX$53,CX16,$BC$6:$BC$53,INDEX(T_Equipos[Grupo],MATCH(BD16,T_Equipos[NombreEquipo],0)))&amp;")")</f>
        <v>P.1 (4)</v>
      </c>
      <c r="CZ16" s="757">
        <f t="shared" ca="1" si="31"/>
        <v>0</v>
      </c>
      <c r="DA16" s="758">
        <f ca="1">CX16+COUNTIFS($CY$6:$CY$53,CY16,$CZ$6:CZ$53,"&gt;"&amp;CZ16,$BC$6:$BC$53,INDEX(T_Equipos[Grupo],MATCH(BD16,T_Equipos[NombreEquipo],0)))</f>
        <v>1</v>
      </c>
      <c r="DB16" s="757" t="str">
        <f ca="1">IF(COUNTIFS($DA$6:$DA$53,DA16,$BC$6:$BC$53,INDEX(T_Equipos[Grupo],MATCH(BD16,T_Equipos[NombreEquipo],0)))=1,"-","P."&amp;DA16&amp;" ("&amp;COUNTIFS($DA$6:$DA$53,DA16,$BC$6:$BC$53,INDEX(T_Equipos[Grupo],MATCH(BD16,T_Equipos[NombreEquipo],0)))&amp;")")</f>
        <v>P.1 (4)</v>
      </c>
      <c r="DC16" s="756">
        <f ca="1">IF(DB16="-","-",COUNTIFS(T_Equipos[Rank],"&lt;"&amp;INDEX(T_Equipos[Rank],MATCH(BD16,T_Equipos[NombreEquipo],0)),$BC$6:$BC$53,INDEX(T_Equipos[Grupo],MATCH(BD16,T_Equipos[NombreEquipo],0)))+1)</f>
        <v>3</v>
      </c>
      <c r="DD16" s="756">
        <f ca="1">DA16+COUNTIFS($DB$6:$DB$53,DB16,$DC$6:DC$53,"&lt;"&amp;DC16,$BC$6:$BC$53,INDEX(T_Equipos[Grupo],MATCH(BD16,T_Equipos[NombreEquipo],0)))</f>
        <v>3</v>
      </c>
      <c r="DE16" s="756"/>
      <c r="DF16" s="756">
        <f t="shared" ca="1" si="52"/>
        <v>3</v>
      </c>
      <c r="DG16" s="756">
        <f ca="1">IF(DB16="-","-",COUNTIFS(DF$6:DF$53,"&lt;"&amp;DF16,$BC$6:$BC$53,INDEX(T_Equipos[Grupo],MATCH(BD16,T_Equipos[NombreEquipo],0))))</f>
        <v>2</v>
      </c>
      <c r="DH16" s="756">
        <f ca="1">DA16+COUNTIFS(DB$6:DB$53,DB16,DG$6:DG$53,"&lt;"&amp;DG16,$BC$6:$BC$53,INDEX(T_Equipos[Grupo],MATCH(BD16,T_Equipos[NombreEquipo],0)))</f>
        <v>3</v>
      </c>
      <c r="DI16" s="744"/>
      <c r="DJ16" s="744">
        <f t="shared" ca="1" si="53"/>
        <v>1</v>
      </c>
      <c r="DK16" s="744">
        <f t="shared" ca="1" si="24"/>
        <v>0</v>
      </c>
      <c r="DL16" s="744">
        <f t="shared" ca="1" si="33"/>
        <v>1</v>
      </c>
      <c r="DM16" s="738" t="str">
        <f t="shared" ca="1" si="34"/>
        <v>1.1</v>
      </c>
      <c r="DN16" s="744" cm="1">
        <f t="array" aca="1" ref="DN16" ca="1">OFFSET(Horarios!$P$3,DJ16-1,0,DL16,1)</f>
        <v>1</v>
      </c>
      <c r="DO16" s="744"/>
      <c r="DP16" s="744" t="s">
        <v>91</v>
      </c>
      <c r="DQ16" s="744" t="str">
        <f t="shared" ca="1" si="35"/>
        <v>Haití</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0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0</v>
      </c>
      <c r="BF17" s="748">
        <f t="shared" ca="1" si="26"/>
        <v>0</v>
      </c>
      <c r="BG17" s="748">
        <f t="shared" ca="1" si="17"/>
        <v>0</v>
      </c>
      <c r="BH17" s="748">
        <f t="shared" ca="1" si="18"/>
        <v>0</v>
      </c>
      <c r="BI17" s="748">
        <f t="shared" ca="1" si="19"/>
        <v>0</v>
      </c>
      <c r="BJ17" s="748">
        <f t="shared" ca="1" si="20"/>
        <v>0</v>
      </c>
      <c r="BK17" s="748">
        <f t="shared" ca="1" si="21"/>
        <v>0</v>
      </c>
      <c r="BL17" s="748">
        <f t="shared" ca="1" si="27"/>
        <v>0</v>
      </c>
      <c r="BM17" s="748" t="str">
        <f t="shared" ca="1" si="22"/>
        <v>4C</v>
      </c>
      <c r="BN17" s="748" t="str">
        <f t="shared" ca="1" si="23"/>
        <v>4C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0</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P.1 (4)</v>
      </c>
      <c r="BU17" s="758">
        <f t="shared" ca="1" si="36"/>
        <v>0</v>
      </c>
      <c r="BV17" s="758">
        <f t="shared" ca="1" si="37"/>
        <v>0</v>
      </c>
      <c r="BW17" s="758">
        <f t="shared" ca="1" si="38"/>
        <v>0</v>
      </c>
      <c r="BX17" s="758">
        <f t="shared" ca="1" si="39"/>
        <v>0</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P.1 (4)</v>
      </c>
      <c r="CA17" s="758">
        <f t="shared" ca="1" si="40"/>
        <v>0</v>
      </c>
      <c r="CB17" s="758">
        <f t="shared" ca="1" si="41"/>
        <v>0</v>
      </c>
      <c r="CC17" s="758">
        <f t="shared" ca="1" si="42"/>
        <v>0</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P.1 (4)</v>
      </c>
      <c r="CF17" s="758">
        <f t="shared" ca="1" si="43"/>
        <v>0</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P.1 (4)</v>
      </c>
      <c r="CI17" s="758">
        <f t="shared" ca="1" si="44"/>
        <v>0</v>
      </c>
      <c r="CJ17" s="758">
        <f t="shared" ca="1" si="45"/>
        <v>0</v>
      </c>
      <c r="CK17" s="758">
        <f t="shared" ca="1" si="46"/>
        <v>0</v>
      </c>
      <c r="CL17" s="758">
        <f t="shared" ca="1" si="47"/>
        <v>0</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P.1 (4)</v>
      </c>
      <c r="CO17" s="758">
        <f t="shared" ca="1" si="48"/>
        <v>0</v>
      </c>
      <c r="CP17" s="758">
        <f t="shared" ca="1" si="49"/>
        <v>0</v>
      </c>
      <c r="CQ17" s="758">
        <f t="shared" ca="1" si="50"/>
        <v>0</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P.1 (4)</v>
      </c>
      <c r="CT17" s="758">
        <f t="shared" ca="1" si="51"/>
        <v>0</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P.1 (4)</v>
      </c>
      <c r="CW17" s="757">
        <f t="shared" ca="1" si="30"/>
        <v>0</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P.1 (4)</v>
      </c>
      <c r="CZ17" s="757">
        <f t="shared" ca="1" si="31"/>
        <v>0</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P.1 (4)</v>
      </c>
      <c r="DC17" s="756">
        <f ca="1">IF(DB17="-","-",COUNTIFS(T_Equipos[Rank],"&lt;"&amp;INDEX(T_Equipos[Rank],MATCH(BD17,T_Equipos[NombreEquipo],0)),$BC$6:$BC$53,INDEX(T_Equipos[Grupo],MATCH(BD17,T_Equipos[NombreEquipo],0)))+1)</f>
        <v>4</v>
      </c>
      <c r="DD17" s="756">
        <f ca="1">DA17+COUNTIFS($DB$6:$DB$53,DB17,$DC$6:DC$53,"&lt;"&amp;DC17,$BC$6:$BC$53,INDEX(T_Equipos[Grupo],MATCH(BD17,T_Equipos[NombreEquipo],0)))</f>
        <v>4</v>
      </c>
      <c r="DE17" s="756"/>
      <c r="DF17" s="756">
        <f t="shared" ca="1" si="52"/>
        <v>4</v>
      </c>
      <c r="DG17" s="756">
        <f ca="1">IF(DB17="-","-",COUNTIFS(DF$6:DF$53,"&lt;"&amp;DF17,$BC$6:$BC$53,INDEX(T_Equipos[Grupo],MATCH(BD17,T_Equipos[NombreEquipo],0))))</f>
        <v>3</v>
      </c>
      <c r="DH17" s="756">
        <f ca="1">DA17+COUNTIFS(DB$6:DB$53,DB17,DG$6:DG$53,"&lt;"&amp;DG17,$BC$6:$BC$53,INDEX(T_Equipos[Grupo],MATCH(BD17,T_Equipos[NombreEquipo],0)))</f>
        <v>4</v>
      </c>
      <c r="DI17" s="744"/>
      <c r="DJ17" s="744">
        <f t="shared" ca="1" si="53"/>
        <v>1</v>
      </c>
      <c r="DK17" s="744">
        <f t="shared" ca="1" si="24"/>
        <v>0</v>
      </c>
      <c r="DL17" s="744">
        <f t="shared" ca="1" si="33"/>
        <v>1</v>
      </c>
      <c r="DM17" s="738" t="str">
        <f t="shared" ca="1" si="34"/>
        <v>1.1</v>
      </c>
      <c r="DN17" s="744" cm="1">
        <f t="array" aca="1" ref="DN17" ca="1">OFFSET(Horarios!$P$3,DJ17-1,0,DL17,1)</f>
        <v>1</v>
      </c>
      <c r="DO17" s="744"/>
      <c r="DP17" s="744" t="s">
        <v>657</v>
      </c>
      <c r="DQ17" s="744" t="str">
        <f t="shared" ca="1" si="35"/>
        <v>Escocia</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0</v>
      </c>
      <c r="BF18" s="748">
        <f t="shared" ca="1" si="26"/>
        <v>0</v>
      </c>
      <c r="BG18" s="748">
        <f t="shared" ca="1" si="17"/>
        <v>0</v>
      </c>
      <c r="BH18" s="748">
        <f t="shared" ca="1" si="18"/>
        <v>0</v>
      </c>
      <c r="BI18" s="748">
        <f t="shared" ca="1" si="19"/>
        <v>0</v>
      </c>
      <c r="BJ18" s="748">
        <f t="shared" ca="1" si="20"/>
        <v>0</v>
      </c>
      <c r="BK18" s="748">
        <f t="shared" ca="1" si="21"/>
        <v>0</v>
      </c>
      <c r="BL18" s="748">
        <f t="shared" ca="1" si="27"/>
        <v>0</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0</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(4)</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(4)</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(4)</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(4)</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(4)</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(4)</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(4)</v>
      </c>
      <c r="CW18" s="757">
        <f t="shared" ca="1" si="30"/>
        <v>0</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P.1 (4)</v>
      </c>
      <c r="CZ18" s="757">
        <f t="shared" ca="1" si="31"/>
        <v>0</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P.1 (4)</v>
      </c>
      <c r="DC18" s="756">
        <f ca="1">IF(DB18="-","-",COUNTIFS(T_Equipos[Rank],"&lt;"&amp;INDEX(T_Equipos[Rank],MATCH(BD18,T_Equipos[NombreEquipo],0)),$BC$6:$BC$53,INDEX(T_Equipos[Grupo],MATCH(BD18,T_Equipos[NombreEquipo],0)))+1)</f>
        <v>1</v>
      </c>
      <c r="DD18" s="756">
        <f ca="1">DA18+COUNTIFS($DB$6:$DB$53,DB18,$DC$6:DC$53,"&lt;"&amp;DC18,$BC$6:$BC$53,INDEX(T_Equipos[Grupo],MATCH(BD18,T_Equipos[NombreEquipo],0)))</f>
        <v>1</v>
      </c>
      <c r="DE18" s="756"/>
      <c r="DF18" s="756">
        <f t="shared" ca="1" si="52"/>
        <v>1</v>
      </c>
      <c r="DG18" s="756">
        <f ca="1">IF(DB18="-","-",COUNTIFS(DF$6:DF$53,"&lt;"&amp;DF18,$BC$6:$BC$53,INDEX(T_Equipos[Grupo],MATCH(BD18,T_Equipos[NombreEquipo],0))))</f>
        <v>0</v>
      </c>
      <c r="DH18" s="756">
        <f ca="1">DA18+COUNTIFS(DB$6:DB$53,DB18,DG$6:DG$53,"&lt;"&amp;DG18,$BC$6:$BC$53,INDEX(T_Equipos[Grupo],MATCH(BD18,T_Equipos[NombreEquipo],0)))</f>
        <v>1</v>
      </c>
      <c r="DI18" s="744"/>
      <c r="DJ18" s="744">
        <f t="shared" ca="1" si="53"/>
        <v>1</v>
      </c>
      <c r="DK18" s="744">
        <f t="shared" ca="1" si="24"/>
        <v>0</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0</v>
      </c>
      <c r="BG19" s="748">
        <f t="shared" ca="1" si="17"/>
        <v>0</v>
      </c>
      <c r="BH19" s="748">
        <f t="shared" ca="1" si="18"/>
        <v>0</v>
      </c>
      <c r="BI19" s="748">
        <f t="shared" ca="1" si="19"/>
        <v>0</v>
      </c>
      <c r="BJ19" s="748">
        <f t="shared" ca="1" si="20"/>
        <v>0</v>
      </c>
      <c r="BK19" s="748">
        <f t="shared" ca="1" si="21"/>
        <v>0</v>
      </c>
      <c r="BL19" s="748">
        <f t="shared" ca="1" si="27"/>
        <v>0</v>
      </c>
      <c r="BM19" s="748" t="str">
        <f t="shared" ca="1" si="22"/>
        <v>2D</v>
      </c>
      <c r="BN19" s="748" t="str">
        <f t="shared" ca="1" si="23"/>
        <v>2D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1</v>
      </c>
      <c r="BT19" s="757" t="str">
        <f ca="1">IF(COUNTIFS($BS$6:$BS$53,BS19,$BC$6:$BC$53,INDEX(T_Equipos[Grupo],MATCH(BD19,T_Equipos[NombreEquipo],0)))=1,"-","P."&amp;BS19&amp;" ("&amp;COUNTIFS($BS$6:$BS$53,BS19,$BC$6:$BC$53,INDEX(T_Equipos[Grupo],MATCH(BD19,T_Equipos[NombreEquipo],0)))&amp;")")</f>
        <v>P.1 (4)</v>
      </c>
      <c r="BU19" s="758">
        <f t="shared" ca="1" si="36"/>
        <v>0</v>
      </c>
      <c r="BV19" s="758">
        <f t="shared" ca="1" si="37"/>
        <v>0</v>
      </c>
      <c r="BW19" s="758">
        <f t="shared" ca="1" si="38"/>
        <v>0</v>
      </c>
      <c r="BX19" s="758">
        <f t="shared" ca="1" si="39"/>
        <v>0</v>
      </c>
      <c r="BY19" s="758">
        <f ca="1">BS19+COUNTIFS($BT$6:$BT$53,BT19,$BX$6:BX$53,"&gt;"&amp;BX19,$BC$6:$BC$53,INDEX(T_Equipos[Grupo],MATCH(BD19,T_Equipos[NombreEquipo],0)))</f>
        <v>1</v>
      </c>
      <c r="BZ19" s="757" t="str">
        <f ca="1">IF(COUNTIFS($BY$6:$BY$53,BY19,$BC$6:$BC$53,INDEX(T_Equipos[Grupo],MATCH(BD19,T_Equipos[NombreEquipo],0)))=1,"-","P."&amp;BY19&amp;" ("&amp;COUNTIFS($BY$6:$BY$53,BY19,$BC$6:$BC$53,INDEX(T_Equipos[Grupo],MATCH(BD19,T_Equipos[NombreEquipo],0)))&amp;")")</f>
        <v>P.1 (4)</v>
      </c>
      <c r="CA19" s="758">
        <f t="shared" ca="1" si="40"/>
        <v>0</v>
      </c>
      <c r="CB19" s="758">
        <f t="shared" ca="1" si="41"/>
        <v>0</v>
      </c>
      <c r="CC19" s="758">
        <f t="shared" ca="1" si="42"/>
        <v>0</v>
      </c>
      <c r="CD19" s="758">
        <f ca="1">BY19+COUNTIFS($BZ$6:$BZ$53,BZ19,$CC$6:CC$53,"&gt;"&amp;CC19,$BC$6:$BC$53,INDEX(T_Equipos[Grupo],MATCH(BD19,T_Equipos[NombreEquipo],0)))</f>
        <v>1</v>
      </c>
      <c r="CE19" s="757" t="str">
        <f ca="1">IF(COUNTIFS($CD$6:$CD$53,CD19,$BC$6:$BC$53,INDEX(T_Equipos[Grupo],MATCH(BD19,T_Equipos[NombreEquipo],0)))=1,"-","P."&amp;CD19&amp;" ("&amp;COUNTIFS($CD$6:$CD$53,CD19,$BC$6:$BC$53,INDEX(T_Equipos[Grupo],MATCH(BD19,T_Equipos[NombreEquipo],0)))&amp;")")</f>
        <v>P.1 (4)</v>
      </c>
      <c r="CF19" s="758">
        <f t="shared" ca="1" si="43"/>
        <v>0</v>
      </c>
      <c r="CG19" s="758">
        <f ca="1">CD19+COUNTIFS($CE$6:$CE$53,CE19,$CF$6:CF$53,"&gt;"&amp;CF19,$BC$6:$BC$53,INDEX(T_Equipos[Grupo],MATCH(BD19,T_Equipos[NombreEquipo],0)))</f>
        <v>1</v>
      </c>
      <c r="CH19" s="757" t="str">
        <f ca="1">IF(COUNTIFS($CG$6:$CG$53,CG19,$BC$6:$BC$53,INDEX(T_Equipos[Grupo],MATCH(BD19,T_Equipos[NombreEquipo],0)))=1,"-","P."&amp;CG19&amp;" ("&amp;COUNTIFS($CG$6:$CG$53,CG19,$BC$6:$BC$53,INDEX(T_Equipos[Grupo],MATCH(BD19,T_Equipos[NombreEquipo],0)))&amp;")")</f>
        <v>P.1 (4)</v>
      </c>
      <c r="CI19" s="758">
        <f t="shared" ca="1" si="44"/>
        <v>0</v>
      </c>
      <c r="CJ19" s="758">
        <f t="shared" ca="1" si="45"/>
        <v>0</v>
      </c>
      <c r="CK19" s="758">
        <f t="shared" ca="1" si="46"/>
        <v>0</v>
      </c>
      <c r="CL19" s="758">
        <f t="shared" ca="1" si="47"/>
        <v>0</v>
      </c>
      <c r="CM19" s="758">
        <f ca="1">CG19+COUNTIFS($CH$6:$CH$53,CH19,$CL$6:CL$53,"&gt;"&amp;CL19,$BC$6:$BC$53,INDEX(T_Equipos[Grupo],MATCH(BD19,T_Equipos[NombreEquipo],0)))</f>
        <v>1</v>
      </c>
      <c r="CN19" s="757" t="str">
        <f ca="1">IF(COUNTIFS($CM$6:$CM$53,CM19,$BC$6:$BC$53,INDEX(T_Equipos[Grupo],MATCH(BD19,T_Equipos[NombreEquipo],0)))=1,"-","P."&amp;CM19&amp;" ("&amp;COUNTIFS($CM$6:$CM$53,CM19,$BC$6:$BC$53,INDEX(T_Equipos[Grupo],MATCH(BD19,T_Equipos[NombreEquipo],0)))&amp;")")</f>
        <v>P.1 (4)</v>
      </c>
      <c r="CO19" s="758">
        <f t="shared" ca="1" si="48"/>
        <v>0</v>
      </c>
      <c r="CP19" s="758">
        <f t="shared" ca="1" si="49"/>
        <v>0</v>
      </c>
      <c r="CQ19" s="758">
        <f t="shared" ca="1" si="50"/>
        <v>0</v>
      </c>
      <c r="CR19" s="758">
        <f ca="1">CM19+COUNTIFS($CN$6:$CN$53,CN19,$CQ$6:CQ$53,"&gt;"&amp;CQ19,$BC$6:$BC$53,INDEX(T_Equipos[Grupo],MATCH(BD19,T_Equipos[NombreEquipo],0)))</f>
        <v>1</v>
      </c>
      <c r="CS19" s="757" t="str">
        <f ca="1">IF(COUNTIFS($CR$6:$CR$53,CR19,$BC$6:$BC$53,INDEX(T_Equipos[Grupo],MATCH(BD19,T_Equipos[NombreEquipo],0)))=1,"-","P."&amp;CR19&amp;" ("&amp;COUNTIFS($CR$6:$CR$53,CR19,$BC$6:$BC$53,INDEX(T_Equipos[Grupo],MATCH(BD19,T_Equipos[NombreEquipo],0)))&amp;")")</f>
        <v>P.1 (4)</v>
      </c>
      <c r="CT19" s="758">
        <f t="shared" ca="1" si="51"/>
        <v>0</v>
      </c>
      <c r="CU19" s="758">
        <f ca="1">CR19+COUNTIFS($CS$6:$CS$53,CS19,$CT$6:CT$53,"&gt;"&amp;CT19,$BC$6:$BC$53,INDEX(T_Equipos[Grupo],MATCH(BD19,T_Equipos[NombreEquipo],0)))</f>
        <v>1</v>
      </c>
      <c r="CV19" s="757" t="str">
        <f ca="1">IF(COUNTIFS($CU$6:$CU$53,CU19,$BC$6:$BC$53,INDEX(T_Equipos[Grupo],MATCH(BD19,T_Equipos[NombreEquipo],0)))=1,"-","P."&amp;CU19&amp;" ("&amp;COUNTIFS($CU$6:$CU$53,CU19,$BC$6:$BC$53,INDEX(T_Equipos[Grupo],MATCH(BD19,T_Equipos[NombreEquipo],0)))&amp;")")</f>
        <v>P.1 (4)</v>
      </c>
      <c r="CW19" s="757">
        <f t="shared" ca="1" si="30"/>
        <v>0</v>
      </c>
      <c r="CX19" s="757">
        <f ca="1">CU19+COUNTIFS($CV$6:$CV$53,CV19,$CW$6:CW$53,"&gt;"&amp;CW19,$BC$6:$BC$53,INDEX(T_Equipos[Grupo],MATCH(BD19,T_Equipos[NombreEquipo],0)))</f>
        <v>1</v>
      </c>
      <c r="CY19" s="757" t="str">
        <f ca="1">IF(COUNTIFS($CX$6:$CX$53,CX19,$BC$6:$BC$53,INDEX(T_Equipos[Grupo],MATCH(BD19,T_Equipos[NombreEquipo],0)))=1,"-","P."&amp;CX19&amp;" ("&amp;COUNTIFS($CX$6:$CX$53,CX19,$BC$6:$BC$53,INDEX(T_Equipos[Grupo],MATCH(BD19,T_Equipos[NombreEquipo],0)))&amp;")")</f>
        <v>P.1 (4)</v>
      </c>
      <c r="CZ19" s="757">
        <f t="shared" ca="1" si="31"/>
        <v>0</v>
      </c>
      <c r="DA19" s="758">
        <f ca="1">CX19+COUNTIFS($CY$6:$CY$53,CY19,$CZ$6:CZ$53,"&gt;"&amp;CZ19,$BC$6:$BC$53,INDEX(T_Equipos[Grupo],MATCH(BD19,T_Equipos[NombreEquipo],0)))</f>
        <v>1</v>
      </c>
      <c r="DB19" s="757" t="str">
        <f ca="1">IF(COUNTIFS($DA$6:$DA$53,DA19,$BC$6:$BC$53,INDEX(T_Equipos[Grupo],MATCH(BD19,T_Equipos[NombreEquipo],0)))=1,"-","P."&amp;DA19&amp;" ("&amp;COUNTIFS($DA$6:$DA$53,DA19,$BC$6:$BC$53,INDEX(T_Equipos[Grupo],MATCH(BD19,T_Equipos[NombreEquipo],0)))&amp;")")</f>
        <v>P.1 (4)</v>
      </c>
      <c r="DC19" s="756">
        <f ca="1">IF(DB19="-","-",COUNTIFS(T_Equipos[Rank],"&lt;"&amp;INDEX(T_Equipos[Rank],MATCH(BD19,T_Equipos[NombreEquipo],0)),$BC$6:$BC$53,INDEX(T_Equipos[Grupo],MATCH(BD19,T_Equipos[NombreEquipo],0)))+1)</f>
        <v>2</v>
      </c>
      <c r="DD19" s="756">
        <f ca="1">DA19+COUNTIFS($DB$6:$DB$53,DB19,$DC$6:DC$53,"&lt;"&amp;DC19,$BC$6:$BC$53,INDEX(T_Equipos[Grupo],MATCH(BD19,T_Equipos[NombreEquipo],0)))</f>
        <v>2</v>
      </c>
      <c r="DE19" s="756"/>
      <c r="DF19" s="756">
        <f t="shared" ca="1" si="52"/>
        <v>2</v>
      </c>
      <c r="DG19" s="756">
        <f ca="1">IF(DB19="-","-",COUNTIFS(DF$6:DF$53,"&lt;"&amp;DF19,$BC$6:$BC$53,INDEX(T_Equipos[Grupo],MATCH(BD19,T_Equipos[NombreEquipo],0))))</f>
        <v>1</v>
      </c>
      <c r="DH19" s="756">
        <f ca="1">DA19+COUNTIFS(DB$6:DB$53,DB19,DG$6:DG$53,"&lt;"&amp;DG19,$BC$6:$BC$53,INDEX(T_Equipos[Grupo],MATCH(BD19,T_Equipos[NombreEquipo],0)))</f>
        <v>2</v>
      </c>
      <c r="DI19" s="744"/>
      <c r="DJ19" s="744">
        <f t="shared" ca="1" si="53"/>
        <v>1</v>
      </c>
      <c r="DK19" s="744">
        <f t="shared" ca="1" si="24"/>
        <v>0</v>
      </c>
      <c r="DL19" s="744">
        <f t="shared" ca="1" si="33"/>
        <v>1</v>
      </c>
      <c r="DM19" s="738" t="str">
        <f t="shared" ca="1" si="34"/>
        <v>1.1</v>
      </c>
      <c r="DN19" s="744" cm="1">
        <f t="array" aca="1" ref="DN19" ca="1">OFFSET(Horarios!$P$3,DJ19-1,0,DL19,1)</f>
        <v>1</v>
      </c>
      <c r="DO19" s="744"/>
      <c r="DP19" s="744" t="s">
        <v>659</v>
      </c>
      <c r="DQ19" s="744" t="str">
        <f t="shared" ca="1" si="35"/>
        <v>Paraguay</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Pendiente</v>
      </c>
      <c r="E20" s="744" t="str">
        <f t="shared" ref="E20:E25" si="74">IF(D20="Pendiente","-",INDEX($BT$6:$BT$53,MATCH($AA20,$BD$6:$BD$53,0)))</f>
        <v>-</v>
      </c>
      <c r="F20" s="744" t="str">
        <f t="shared" ref="F20:F25" si="75">IF(D20="Pendiente","-",INDEX($BT$6:$BT$53,MATCH($AF20,$BD$6:$BD$53,0)))</f>
        <v>-</v>
      </c>
      <c r="G20" s="744"/>
      <c r="H20" s="744" t="str">
        <f t="shared" ref="H20:H25" si="76">IF(D20="Pendiente","-",INDEX($BZ$6:$BZ$53,MATCH($AA20,$BD$6:$BD$53,0)))</f>
        <v>-</v>
      </c>
      <c r="I20" s="744" t="str">
        <f t="shared" ref="I20:I25" si="77">IF(D20="Pendiente","-",INDEX($BZ$6:$BZ$53,MATCH($AF20,$BD$6:$BD$53,0)))</f>
        <v>-</v>
      </c>
      <c r="J20" s="744"/>
      <c r="K20" s="744" t="str">
        <f t="shared" ref="K20:K25" si="78">IF(D20="Pendiente","-",INDEX($CE$6:$CE$53,MATCH($AA20,$BD$6:$BD$53,0)))</f>
        <v>-</v>
      </c>
      <c r="L20" s="744" t="str">
        <f t="shared" ref="L20:L25" si="79">IF(D20="Pendiente","-",INDEX($CE$6:$CE$53,MATCH($AF20,$BD$6:$BD$53,0)))</f>
        <v>-</v>
      </c>
      <c r="M20" s="744"/>
      <c r="N20" s="744" t="str">
        <f t="shared" ref="N20:N25" si="80">IF(D20="Pendiente","-",INDEX($CH$6:$CH$53,MATCH($AA20,$BD$6:$BD$53,0)))</f>
        <v>-</v>
      </c>
      <c r="O20" s="744" t="str">
        <f t="shared" ref="O20:O25" si="81">IF(D20="Pendiente","-",INDEX($CH$6:$CH$53,MATCH($AF20,$BD$6:$BD$53,0)))</f>
        <v>-</v>
      </c>
      <c r="P20" s="744"/>
      <c r="Q20" s="744" t="str">
        <f t="shared" ref="Q20:Q25" si="82">IF(D20="Pendiente","-",INDEX($CN$6:$CN$53,MATCH($AA20,$BD$6:$BD$53,0)))</f>
        <v>-</v>
      </c>
      <c r="R20" s="744" t="str">
        <f t="shared" ref="R20:R25" si="83">IF(D20="Pendiente","-",INDEX($CN$6:$CN$53,MATCH($AF20,$BD$6:$BD$53,0)))</f>
        <v>-</v>
      </c>
      <c r="S20" s="744"/>
      <c r="T20" s="744" t="str">
        <f t="shared" ref="T20:T25" si="84">IF(D20="Pendiente","-",INDEX($CS$6:$CS$53,MATCH($AA20,$BD$6:$BD$53,0)))</f>
        <v>-</v>
      </c>
      <c r="U20" s="744" t="str">
        <f t="shared" ref="U20:U25" si="85">IF(D20="Pendiente","-",INDEX($CS$6:$CS$53,MATCH($AF20,$BD$6:$BD$53,0)))</f>
        <v>-</v>
      </c>
      <c r="V20" s="172"/>
      <c r="W20" s="817" t="s">
        <v>2</v>
      </c>
      <c r="X20" s="189">
        <f ca="1">Horarios!C20</f>
        <v>46187</v>
      </c>
      <c r="Y20" s="190">
        <f ca="1">Horarios!C20</f>
        <v>46187</v>
      </c>
      <c r="Z20" s="191" t="str">
        <f>$Z$4</f>
        <v>J1</v>
      </c>
      <c r="AA20" s="192" t="str">
        <f ca="1">A21</f>
        <v>Brasil</v>
      </c>
      <c r="AB20" s="478" t="e" cm="1" vm="9">
        <f t="array" aca="1" ref="AB20" ca="1">Ver_flag_local</f>
        <v>#VALUE!</v>
      </c>
      <c r="AC20" s="193"/>
      <c r="AD20" s="194"/>
      <c r="AE20" s="483" t="e" cm="1" vm="10">
        <f t="array" aca="1" ref="AE20" ca="1">Ver_flag_visit</f>
        <v>#VALUE!</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0</v>
      </c>
      <c r="BF20" s="748">
        <f t="shared" ca="1" si="26"/>
        <v>0</v>
      </c>
      <c r="BG20" s="748">
        <f t="shared" ca="1" si="17"/>
        <v>0</v>
      </c>
      <c r="BH20" s="748">
        <f t="shared" ca="1" si="18"/>
        <v>0</v>
      </c>
      <c r="BI20" s="748">
        <f t="shared" ca="1" si="19"/>
        <v>0</v>
      </c>
      <c r="BJ20" s="748">
        <f t="shared" ca="1" si="20"/>
        <v>0</v>
      </c>
      <c r="BK20" s="748">
        <f t="shared" ca="1" si="21"/>
        <v>0</v>
      </c>
      <c r="BL20" s="748">
        <f t="shared" ca="1" si="27"/>
        <v>0</v>
      </c>
      <c r="BM20" s="748" t="str">
        <f t="shared" ca="1" si="22"/>
        <v>3D</v>
      </c>
      <c r="BN20" s="748" t="str">
        <f t="shared" ca="1" si="23"/>
        <v>3D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0</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(4)</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(4)</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(4)</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(4)</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(4)</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(4)</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(4)</v>
      </c>
      <c r="CW20" s="757">
        <f t="shared" ca="1" si="30"/>
        <v>0</v>
      </c>
      <c r="CX20" s="757">
        <f ca="1">CU20+COUNTIFS($CV$6:$CV$53,CV20,$CW$6:CW$53,"&gt;"&amp;CW20,$BC$6:$BC$53,INDEX(T_Equipos[Grupo],MATCH(BD20,T_Equipos[NombreEquipo],0)))</f>
        <v>1</v>
      </c>
      <c r="CY20" s="757" t="str">
        <f ca="1">IF(COUNTIFS($CX$6:$CX$53,CX20,$BC$6:$BC$53,INDEX(T_Equipos[Grupo],MATCH(BD20,T_Equipos[NombreEquipo],0)))=1,"-","P."&amp;CX20&amp;" ("&amp;COUNTIFS($CX$6:$CX$53,CX20,$BC$6:$BC$53,INDEX(T_Equipos[Grupo],MATCH(BD20,T_Equipos[NombreEquipo],0)))&amp;")")</f>
        <v>P.1 (4)</v>
      </c>
      <c r="CZ20" s="757">
        <f t="shared" ca="1" si="31"/>
        <v>0</v>
      </c>
      <c r="DA20" s="758">
        <f ca="1">CX20+COUNTIFS($CY$6:$CY$53,CY20,$CZ$6:CZ$53,"&gt;"&amp;CZ20,$BC$6:$BC$53,INDEX(T_Equipos[Grupo],MATCH(BD20,T_Equipos[NombreEquipo],0)))</f>
        <v>1</v>
      </c>
      <c r="DB20" s="757" t="str">
        <f ca="1">IF(COUNTIFS($DA$6:$DA$53,DA20,$BC$6:$BC$53,INDEX(T_Equipos[Grupo],MATCH(BD20,T_Equipos[NombreEquipo],0)))=1,"-","P."&amp;DA20&amp;" ("&amp;COUNTIFS($DA$6:$DA$53,DA20,$BC$6:$BC$53,INDEX(T_Equipos[Grupo],MATCH(BD20,T_Equipos[NombreEquipo],0)))&amp;")")</f>
        <v>P.1 (4)</v>
      </c>
      <c r="DC20" s="756">
        <f ca="1">IF(DB20="-","-",COUNTIFS(T_Equipos[Rank],"&lt;"&amp;INDEX(T_Equipos[Rank],MATCH(BD20,T_Equipos[NombreEquipo],0)),$BC$6:$BC$53,INDEX(T_Equipos[Grupo],MATCH(BD20,T_Equipos[NombreEquipo],0)))+1)</f>
        <v>3</v>
      </c>
      <c r="DD20" s="756">
        <f ca="1">DA20+COUNTIFS($DB$6:$DB$53,DB20,$DC$6:DC$53,"&lt;"&amp;DC20,$BC$6:$BC$53,INDEX(T_Equipos[Grupo],MATCH(BD20,T_Equipos[NombreEquipo],0)))</f>
        <v>3</v>
      </c>
      <c r="DE20" s="756"/>
      <c r="DF20" s="756">
        <f t="shared" ca="1" si="52"/>
        <v>3</v>
      </c>
      <c r="DG20" s="756">
        <f ca="1">IF(DB20="-","-",COUNTIFS(DF$6:DF$53,"&lt;"&amp;DF20,$BC$6:$BC$53,INDEX(T_Equipos[Grupo],MATCH(BD20,T_Equipos[NombreEquipo],0))))</f>
        <v>2</v>
      </c>
      <c r="DH20" s="756">
        <f ca="1">DA20+COUNTIFS(DB$6:DB$53,DB20,DG$6:DG$53,"&lt;"&amp;DG20,$BC$6:$BC$53,INDEX(T_Equipos[Grupo],MATCH(BD20,T_Equipos[NombreEquipo],0)))</f>
        <v>3</v>
      </c>
      <c r="DI20" s="744"/>
      <c r="DJ20" s="744">
        <f t="shared" ca="1" si="53"/>
        <v>1</v>
      </c>
      <c r="DK20" s="744">
        <f t="shared" ca="1" si="24"/>
        <v>0</v>
      </c>
      <c r="DL20" s="744">
        <f t="shared" ca="1" si="33"/>
        <v>1</v>
      </c>
      <c r="DM20" s="738" t="str">
        <f t="shared" ca="1" si="34"/>
        <v>1.1</v>
      </c>
      <c r="DN20" s="744" cm="1">
        <f t="array" aca="1" ref="DN20" ca="1">OFFSET(Horarios!$P$3,DJ20-1,0,DL20,1)</f>
        <v>1</v>
      </c>
      <c r="DO20" s="744"/>
      <c r="DP20" s="744" t="s">
        <v>92</v>
      </c>
      <c r="DQ20" s="744" t="str">
        <f t="shared" ca="1" si="35"/>
        <v>Australia</v>
      </c>
      <c r="DR20" s="744"/>
      <c r="DS20" s="744"/>
      <c r="DT20" s="744" t="str">
        <f t="shared" ca="1" si="15"/>
        <v>Brasil-Marruecos</v>
      </c>
      <c r="DU20" s="744"/>
      <c r="DV20" s="744"/>
      <c r="DW20" s="8"/>
    </row>
    <row r="21" spans="1:127" ht="16.05" customHeight="1">
      <c r="A21" s="745" t="str">
        <f ca="1">+Equipos!B10</f>
        <v>Brasil</v>
      </c>
      <c r="B21" s="742"/>
      <c r="C21" s="742"/>
      <c r="D21" s="744" t="str">
        <f t="shared" si="73"/>
        <v>Pendiente</v>
      </c>
      <c r="E21" s="744" t="str">
        <f t="shared" si="74"/>
        <v>-</v>
      </c>
      <c r="F21" s="744" t="str">
        <f t="shared" si="75"/>
        <v>-</v>
      </c>
      <c r="G21" s="744"/>
      <c r="H21" s="744" t="str">
        <f t="shared" si="76"/>
        <v>-</v>
      </c>
      <c r="I21" s="744" t="str">
        <f t="shared" si="77"/>
        <v>-</v>
      </c>
      <c r="J21" s="744"/>
      <c r="K21" s="744" t="str">
        <f t="shared" si="78"/>
        <v>-</v>
      </c>
      <c r="L21" s="744" t="str">
        <f t="shared" si="79"/>
        <v>-</v>
      </c>
      <c r="M21" s="744"/>
      <c r="N21" s="744" t="str">
        <f t="shared" si="80"/>
        <v>-</v>
      </c>
      <c r="O21" s="744" t="str">
        <f t="shared" si="81"/>
        <v>-</v>
      </c>
      <c r="P21" s="744"/>
      <c r="Q21" s="744" t="str">
        <f t="shared" si="82"/>
        <v>-</v>
      </c>
      <c r="R21" s="744" t="str">
        <f t="shared" si="83"/>
        <v>-</v>
      </c>
      <c r="S21" s="744"/>
      <c r="T21" s="744" t="str">
        <f t="shared" si="84"/>
        <v>-</v>
      </c>
      <c r="U21" s="744" t="str">
        <f t="shared" si="85"/>
        <v>-</v>
      </c>
      <c r="V21" s="172"/>
      <c r="W21" s="817"/>
      <c r="X21" s="189">
        <f ca="1">Horarios!C21</f>
        <v>46187.125</v>
      </c>
      <c r="Y21" s="190">
        <f ca="1">Horarios!C21</f>
        <v>46187.125</v>
      </c>
      <c r="Z21" s="191" t="str">
        <f>$Z$4</f>
        <v>J1</v>
      </c>
      <c r="AA21" s="192" t="str">
        <f ca="1">A23</f>
        <v>Haití</v>
      </c>
      <c r="AB21" s="478" t="e" cm="1" vm="11">
        <f t="array" aca="1" ref="AB21" ca="1">Ver_flag_local</f>
        <v>#VALUE!</v>
      </c>
      <c r="AC21" s="193"/>
      <c r="AD21" s="194"/>
      <c r="AE21" s="483" t="e" cm="1" vm="12">
        <f t="array" aca="1" ref="AE21" ca="1">Ver_flag_visit</f>
        <v>#VALUE!</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0</v>
      </c>
      <c r="BG21" s="748">
        <f t="shared" ca="1" si="17"/>
        <v>0</v>
      </c>
      <c r="BH21" s="748">
        <f t="shared" ca="1" si="18"/>
        <v>0</v>
      </c>
      <c r="BI21" s="748">
        <f t="shared" ca="1" si="19"/>
        <v>0</v>
      </c>
      <c r="BJ21" s="748">
        <f t="shared" ca="1" si="20"/>
        <v>0</v>
      </c>
      <c r="BK21" s="748">
        <f t="shared" ca="1" si="21"/>
        <v>0</v>
      </c>
      <c r="BL21" s="748">
        <f t="shared" ca="1" si="27"/>
        <v>0</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1</v>
      </c>
      <c r="BT21" s="757" t="str">
        <f ca="1">IF(COUNTIFS($BS$6:$BS$53,BS21,$BC$6:$BC$53,INDEX(T_Equipos[Grupo],MATCH(BD21,T_Equipos[NombreEquipo],0)))=1,"-","P."&amp;BS21&amp;" ("&amp;COUNTIFS($BS$6:$BS$53,BS21,$BC$6:$BC$53,INDEX(T_Equipos[Grupo],MATCH(BD21,T_Equipos[NombreEquipo],0)))&amp;")")</f>
        <v>P.1 (4)</v>
      </c>
      <c r="BU21" s="758">
        <f t="shared" ca="1" si="36"/>
        <v>0</v>
      </c>
      <c r="BV21" s="758">
        <f t="shared" ca="1" si="37"/>
        <v>0</v>
      </c>
      <c r="BW21" s="758">
        <f t="shared" ca="1" si="38"/>
        <v>0</v>
      </c>
      <c r="BX21" s="758">
        <f t="shared" ca="1" si="39"/>
        <v>0</v>
      </c>
      <c r="BY21" s="758">
        <f ca="1">BS21+COUNTIFS($BT$6:$BT$53,BT21,$BX$6:BX$53,"&gt;"&amp;BX21,$BC$6:$BC$53,INDEX(T_Equipos[Grupo],MATCH(BD21,T_Equipos[NombreEquipo],0)))</f>
        <v>1</v>
      </c>
      <c r="BZ21" s="757" t="str">
        <f ca="1">IF(COUNTIFS($BY$6:$BY$53,BY21,$BC$6:$BC$53,INDEX(T_Equipos[Grupo],MATCH(BD21,T_Equipos[NombreEquipo],0)))=1,"-","P."&amp;BY21&amp;" ("&amp;COUNTIFS($BY$6:$BY$53,BY21,$BC$6:$BC$53,INDEX(T_Equipos[Grupo],MATCH(BD21,T_Equipos[NombreEquipo],0)))&amp;")")</f>
        <v>P.1 (4)</v>
      </c>
      <c r="CA21" s="758">
        <f t="shared" ca="1" si="40"/>
        <v>0</v>
      </c>
      <c r="CB21" s="758">
        <f t="shared" ca="1" si="41"/>
        <v>0</v>
      </c>
      <c r="CC21" s="758">
        <f t="shared" ca="1" si="42"/>
        <v>0</v>
      </c>
      <c r="CD21" s="758">
        <f ca="1">BY21+COUNTIFS($BZ$6:$BZ$53,BZ21,$CC$6:CC$53,"&gt;"&amp;CC21,$BC$6:$BC$53,INDEX(T_Equipos[Grupo],MATCH(BD21,T_Equipos[NombreEquipo],0)))</f>
        <v>1</v>
      </c>
      <c r="CE21" s="757" t="str">
        <f ca="1">IF(COUNTIFS($CD$6:$CD$53,CD21,$BC$6:$BC$53,INDEX(T_Equipos[Grupo],MATCH(BD21,T_Equipos[NombreEquipo],0)))=1,"-","P."&amp;CD21&amp;" ("&amp;COUNTIFS($CD$6:$CD$53,CD21,$BC$6:$BC$53,INDEX(T_Equipos[Grupo],MATCH(BD21,T_Equipos[NombreEquipo],0)))&amp;")")</f>
        <v>P.1 (4)</v>
      </c>
      <c r="CF21" s="758">
        <f t="shared" ca="1" si="43"/>
        <v>0</v>
      </c>
      <c r="CG21" s="758">
        <f ca="1">CD21+COUNTIFS($CE$6:$CE$53,CE21,$CF$6:CF$53,"&gt;"&amp;CF21,$BC$6:$BC$53,INDEX(T_Equipos[Grupo],MATCH(BD21,T_Equipos[NombreEquipo],0)))</f>
        <v>1</v>
      </c>
      <c r="CH21" s="757" t="str">
        <f ca="1">IF(COUNTIFS($CG$6:$CG$53,CG21,$BC$6:$BC$53,INDEX(T_Equipos[Grupo],MATCH(BD21,T_Equipos[NombreEquipo],0)))=1,"-","P."&amp;CG21&amp;" ("&amp;COUNTIFS($CG$6:$CG$53,CG21,$BC$6:$BC$53,INDEX(T_Equipos[Grupo],MATCH(BD21,T_Equipos[NombreEquipo],0)))&amp;")")</f>
        <v>P.1 (4)</v>
      </c>
      <c r="CI21" s="758">
        <f t="shared" ca="1" si="44"/>
        <v>0</v>
      </c>
      <c r="CJ21" s="758">
        <f t="shared" ca="1" si="45"/>
        <v>0</v>
      </c>
      <c r="CK21" s="758">
        <f t="shared" ca="1" si="46"/>
        <v>0</v>
      </c>
      <c r="CL21" s="758">
        <f t="shared" ca="1" si="47"/>
        <v>0</v>
      </c>
      <c r="CM21" s="758">
        <f ca="1">CG21+COUNTIFS($CH$6:$CH$53,CH21,$CL$6:CL$53,"&gt;"&amp;CL21,$BC$6:$BC$53,INDEX(T_Equipos[Grupo],MATCH(BD21,T_Equipos[NombreEquipo],0)))</f>
        <v>1</v>
      </c>
      <c r="CN21" s="757" t="str">
        <f ca="1">IF(COUNTIFS($CM$6:$CM$53,CM21,$BC$6:$BC$53,INDEX(T_Equipos[Grupo],MATCH(BD21,T_Equipos[NombreEquipo],0)))=1,"-","P."&amp;CM21&amp;" ("&amp;COUNTIFS($CM$6:$CM$53,CM21,$BC$6:$BC$53,INDEX(T_Equipos[Grupo],MATCH(BD21,T_Equipos[NombreEquipo],0)))&amp;")")</f>
        <v>P.1 (4)</v>
      </c>
      <c r="CO21" s="758">
        <f t="shared" ca="1" si="48"/>
        <v>0</v>
      </c>
      <c r="CP21" s="758">
        <f t="shared" ca="1" si="49"/>
        <v>0</v>
      </c>
      <c r="CQ21" s="758">
        <f t="shared" ca="1" si="50"/>
        <v>0</v>
      </c>
      <c r="CR21" s="758">
        <f ca="1">CM21+COUNTIFS($CN$6:$CN$53,CN21,$CQ$6:CQ$53,"&gt;"&amp;CQ21,$BC$6:$BC$53,INDEX(T_Equipos[Grupo],MATCH(BD21,T_Equipos[NombreEquipo],0)))</f>
        <v>1</v>
      </c>
      <c r="CS21" s="757" t="str">
        <f ca="1">IF(COUNTIFS($CR$6:$CR$53,CR21,$BC$6:$BC$53,INDEX(T_Equipos[Grupo],MATCH(BD21,T_Equipos[NombreEquipo],0)))=1,"-","P."&amp;CR21&amp;" ("&amp;COUNTIFS($CR$6:$CR$53,CR21,$BC$6:$BC$53,INDEX(T_Equipos[Grupo],MATCH(BD21,T_Equipos[NombreEquipo],0)))&amp;")")</f>
        <v>P.1 (4)</v>
      </c>
      <c r="CT21" s="758">
        <f t="shared" ca="1" si="51"/>
        <v>0</v>
      </c>
      <c r="CU21" s="758">
        <f ca="1">CR21+COUNTIFS($CS$6:$CS$53,CS21,$CT$6:CT$53,"&gt;"&amp;CT21,$BC$6:$BC$53,INDEX(T_Equipos[Grupo],MATCH(BD21,T_Equipos[NombreEquipo],0)))</f>
        <v>1</v>
      </c>
      <c r="CV21" s="757" t="str">
        <f ca="1">IF(COUNTIFS($CU$6:$CU$53,CU21,$BC$6:$BC$53,INDEX(T_Equipos[Grupo],MATCH(BD21,T_Equipos[NombreEquipo],0)))=1,"-","P."&amp;CU21&amp;" ("&amp;COUNTIFS($CU$6:$CU$53,CU21,$BC$6:$BC$53,INDEX(T_Equipos[Grupo],MATCH(BD21,T_Equipos[NombreEquipo],0)))&amp;")")</f>
        <v>P.1 (4)</v>
      </c>
      <c r="CW21" s="757">
        <f t="shared" ca="1" si="30"/>
        <v>0</v>
      </c>
      <c r="CX21" s="757">
        <f ca="1">CU21+COUNTIFS($CV$6:$CV$53,CV21,$CW$6:CW$53,"&gt;"&amp;CW21,$BC$6:$BC$53,INDEX(T_Equipos[Grupo],MATCH(BD21,T_Equipos[NombreEquipo],0)))</f>
        <v>1</v>
      </c>
      <c r="CY21" s="757" t="str">
        <f ca="1">IF(COUNTIFS($CX$6:$CX$53,CX21,$BC$6:$BC$53,INDEX(T_Equipos[Grupo],MATCH(BD21,T_Equipos[NombreEquipo],0)))=1,"-","P."&amp;CX21&amp;" ("&amp;COUNTIFS($CX$6:$CX$53,CX21,$BC$6:$BC$53,INDEX(T_Equipos[Grupo],MATCH(BD21,T_Equipos[NombreEquipo],0)))&amp;")")</f>
        <v>P.1 (4)</v>
      </c>
      <c r="CZ21" s="757">
        <f t="shared" ca="1" si="31"/>
        <v>0</v>
      </c>
      <c r="DA21" s="758">
        <f ca="1">CX21+COUNTIFS($CY$6:$CY$53,CY21,$CZ$6:CZ$53,"&gt;"&amp;CZ21,$BC$6:$BC$53,INDEX(T_Equipos[Grupo],MATCH(BD21,T_Equipos[NombreEquipo],0)))</f>
        <v>1</v>
      </c>
      <c r="DB21" s="757" t="str">
        <f ca="1">IF(COUNTIFS($DA$6:$DA$53,DA21,$BC$6:$BC$53,INDEX(T_Equipos[Grupo],MATCH(BD21,T_Equipos[NombreEquipo],0)))=1,"-","P."&amp;DA21&amp;" ("&amp;COUNTIFS($DA$6:$DA$53,DA21,$BC$6:$BC$53,INDEX(T_Equipos[Grupo],MATCH(BD21,T_Equipos[NombreEquipo],0)))&amp;")")</f>
        <v>P.1 (4)</v>
      </c>
      <c r="DC21" s="756">
        <f ca="1">IF(DB21="-","-",COUNTIFS(T_Equipos[Rank],"&lt;"&amp;INDEX(T_Equipos[Rank],MATCH(BD21,T_Equipos[NombreEquipo],0)),$BC$6:$BC$53,INDEX(T_Equipos[Grupo],MATCH(BD21,T_Equipos[NombreEquipo],0)))+1)</f>
        <v>4</v>
      </c>
      <c r="DD21" s="756">
        <f ca="1">DA21+COUNTIFS($DB$6:$DB$53,DB21,$DC$6:DC$53,"&lt;"&amp;DC21,$BC$6:$BC$53,INDEX(T_Equipos[Grupo],MATCH(BD21,T_Equipos[NombreEquipo],0)))</f>
        <v>4</v>
      </c>
      <c r="DE21" s="756"/>
      <c r="DF21" s="756">
        <f t="shared" ca="1" si="52"/>
        <v>4</v>
      </c>
      <c r="DG21" s="756">
        <f ca="1">IF(DB21="-","-",COUNTIFS(DF$6:DF$53,"&lt;"&amp;DF21,$BC$6:$BC$53,INDEX(T_Equipos[Grupo],MATCH(BD21,T_Equipos[NombreEquipo],0))))</f>
        <v>3</v>
      </c>
      <c r="DH21" s="756">
        <f ca="1">DA21+COUNTIFS(DB$6:DB$53,DB21,DG$6:DG$53,"&lt;"&amp;DG21,$BC$6:$BC$53,INDEX(T_Equipos[Grupo],MATCH(BD21,T_Equipos[NombreEquipo],0)))</f>
        <v>4</v>
      </c>
      <c r="DI21" s="744"/>
      <c r="DJ21" s="744">
        <f t="shared" ca="1" si="53"/>
        <v>1</v>
      </c>
      <c r="DK21" s="744">
        <f t="shared" ca="1" si="24"/>
        <v>0</v>
      </c>
      <c r="DL21" s="744">
        <f t="shared" ca="1" si="33"/>
        <v>1</v>
      </c>
      <c r="DM21" s="738" t="str">
        <f t="shared" ca="1" si="34"/>
        <v>1.1</v>
      </c>
      <c r="DN21" s="744" cm="1">
        <f t="array" aca="1" ref="DN21" ca="1">OFFSET(Horarios!$P$3,DJ21-1,0,DL21,1)</f>
        <v>1</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17"/>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0</v>
      </c>
      <c r="BF22" s="748">
        <f t="shared" ca="1" si="26"/>
        <v>0</v>
      </c>
      <c r="BG22" s="748">
        <f t="shared" ca="1" si="17"/>
        <v>0</v>
      </c>
      <c r="BH22" s="748">
        <f t="shared" ca="1" si="18"/>
        <v>0</v>
      </c>
      <c r="BI22" s="748">
        <f t="shared" ca="1" si="19"/>
        <v>0</v>
      </c>
      <c r="BJ22" s="748">
        <f t="shared" ca="1" si="20"/>
        <v>0</v>
      </c>
      <c r="BK22" s="748">
        <f t="shared" ca="1" si="21"/>
        <v>0</v>
      </c>
      <c r="BL22" s="748">
        <f t="shared" ca="1" si="27"/>
        <v>0</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0</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(4)</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(4)</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(4)</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(4)</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(4)</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(4)</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(4)</v>
      </c>
      <c r="CW22" s="757">
        <f t="shared" ca="1" si="30"/>
        <v>0</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P.1 (4)</v>
      </c>
      <c r="CZ22" s="757">
        <f t="shared" ca="1" si="31"/>
        <v>0</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P.1 (4)</v>
      </c>
      <c r="DC22" s="756">
        <f ca="1">IF(DB22="-","-",COUNTIFS(T_Equipos[Rank],"&lt;"&amp;INDEX(T_Equipos[Rank],MATCH(BD22,T_Equipos[NombreEquipo],0)),$BC$6:$BC$53,INDEX(T_Equipos[Grupo],MATCH(BD22,T_Equipos[NombreEquipo],0)))+1)</f>
        <v>1</v>
      </c>
      <c r="DD22" s="756">
        <f ca="1">DA22+COUNTIFS($DB$6:$DB$53,DB22,$DC$6:DC$53,"&lt;"&amp;DC22,$BC$6:$BC$53,INDEX(T_Equipos[Grupo],MATCH(BD22,T_Equipos[NombreEquipo],0)))</f>
        <v>1</v>
      </c>
      <c r="DE22" s="756"/>
      <c r="DF22" s="756">
        <f t="shared" ca="1" si="52"/>
        <v>1</v>
      </c>
      <c r="DG22" s="756">
        <f ca="1">IF(DB22="-","-",COUNTIFS(DF$6:DF$53,"&lt;"&amp;DF22,$BC$6:$BC$53,INDEX(T_Equipos[Grupo],MATCH(BD22,T_Equipos[NombreEquipo],0))))</f>
        <v>0</v>
      </c>
      <c r="DH22" s="756">
        <f ca="1">DA22+COUNTIFS(DB$6:DB$53,DB22,DG$6:DG$53,"&lt;"&amp;DG22,$BC$6:$BC$53,INDEX(T_Equipos[Grupo],MATCH(BD22,T_Equipos[NombreEquipo],0)))</f>
        <v>1</v>
      </c>
      <c r="DI22" s="744"/>
      <c r="DJ22" s="744">
        <f t="shared" ca="1" si="53"/>
        <v>1</v>
      </c>
      <c r="DK22" s="744">
        <f t="shared" ca="1" si="24"/>
        <v>0</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17"/>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0</v>
      </c>
      <c r="BG23" s="748">
        <f t="shared" ca="1" si="17"/>
        <v>0</v>
      </c>
      <c r="BH23" s="748">
        <f t="shared" ca="1" si="18"/>
        <v>0</v>
      </c>
      <c r="BI23" s="748">
        <f t="shared" ca="1" si="19"/>
        <v>0</v>
      </c>
      <c r="BJ23" s="748">
        <f t="shared" ca="1" si="20"/>
        <v>0</v>
      </c>
      <c r="BK23" s="748">
        <f t="shared" ca="1" si="21"/>
        <v>0</v>
      </c>
      <c r="BL23" s="748">
        <f t="shared" ca="1" si="27"/>
        <v>0</v>
      </c>
      <c r="BM23" s="748" t="str">
        <f t="shared" ca="1" si="22"/>
        <v>2E</v>
      </c>
      <c r="BN23" s="748" t="str">
        <f t="shared" ca="1" si="23"/>
        <v>2E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1</v>
      </c>
      <c r="BT23" s="757" t="str">
        <f ca="1">IF(COUNTIFS($BS$6:$BS$53,BS23,$BC$6:$BC$53,INDEX(T_Equipos[Grupo],MATCH(BD23,T_Equipos[NombreEquipo],0)))=1,"-","P."&amp;BS23&amp;" ("&amp;COUNTIFS($BS$6:$BS$53,BS23,$BC$6:$BC$53,INDEX(T_Equipos[Grupo],MATCH(BD23,T_Equipos[NombreEquipo],0)))&amp;")")</f>
        <v>P.1 (4)</v>
      </c>
      <c r="BU23" s="758">
        <f t="shared" ca="1" si="36"/>
        <v>0</v>
      </c>
      <c r="BV23" s="758">
        <f t="shared" ca="1" si="37"/>
        <v>0</v>
      </c>
      <c r="BW23" s="758">
        <f t="shared" ca="1" si="38"/>
        <v>0</v>
      </c>
      <c r="BX23" s="758">
        <f t="shared" ca="1" si="39"/>
        <v>0</v>
      </c>
      <c r="BY23" s="758">
        <f ca="1">BS23+COUNTIFS($BT$6:$BT$53,BT23,$BX$6:BX$53,"&gt;"&amp;BX23,$BC$6:$BC$53,INDEX(T_Equipos[Grupo],MATCH(BD23,T_Equipos[NombreEquipo],0)))</f>
        <v>1</v>
      </c>
      <c r="BZ23" s="757" t="str">
        <f ca="1">IF(COUNTIFS($BY$6:$BY$53,BY23,$BC$6:$BC$53,INDEX(T_Equipos[Grupo],MATCH(BD23,T_Equipos[NombreEquipo],0)))=1,"-","P."&amp;BY23&amp;" ("&amp;COUNTIFS($BY$6:$BY$53,BY23,$BC$6:$BC$53,INDEX(T_Equipos[Grupo],MATCH(BD23,T_Equipos[NombreEquipo],0)))&amp;")")</f>
        <v>P.1 (4)</v>
      </c>
      <c r="CA23" s="758">
        <f t="shared" ca="1" si="40"/>
        <v>0</v>
      </c>
      <c r="CB23" s="758">
        <f t="shared" ca="1" si="41"/>
        <v>0</v>
      </c>
      <c r="CC23" s="758">
        <f t="shared" ca="1" si="42"/>
        <v>0</v>
      </c>
      <c r="CD23" s="758">
        <f ca="1">BY23+COUNTIFS($BZ$6:$BZ$53,BZ23,$CC$6:CC$53,"&gt;"&amp;CC23,$BC$6:$BC$53,INDEX(T_Equipos[Grupo],MATCH(BD23,T_Equipos[NombreEquipo],0)))</f>
        <v>1</v>
      </c>
      <c r="CE23" s="757" t="str">
        <f ca="1">IF(COUNTIFS($CD$6:$CD$53,CD23,$BC$6:$BC$53,INDEX(T_Equipos[Grupo],MATCH(BD23,T_Equipos[NombreEquipo],0)))=1,"-","P."&amp;CD23&amp;" ("&amp;COUNTIFS($CD$6:$CD$53,CD23,$BC$6:$BC$53,INDEX(T_Equipos[Grupo],MATCH(BD23,T_Equipos[NombreEquipo],0)))&amp;")")</f>
        <v>P.1 (4)</v>
      </c>
      <c r="CF23" s="758">
        <f t="shared" ca="1" si="43"/>
        <v>0</v>
      </c>
      <c r="CG23" s="758">
        <f ca="1">CD23+COUNTIFS($CE$6:$CE$53,CE23,$CF$6:CF$53,"&gt;"&amp;CF23,$BC$6:$BC$53,INDEX(T_Equipos[Grupo],MATCH(BD23,T_Equipos[NombreEquipo],0)))</f>
        <v>1</v>
      </c>
      <c r="CH23" s="757" t="str">
        <f ca="1">IF(COUNTIFS($CG$6:$CG$53,CG23,$BC$6:$BC$53,INDEX(T_Equipos[Grupo],MATCH(BD23,T_Equipos[NombreEquipo],0)))=1,"-","P."&amp;CG23&amp;" ("&amp;COUNTIFS($CG$6:$CG$53,CG23,$BC$6:$BC$53,INDEX(T_Equipos[Grupo],MATCH(BD23,T_Equipos[NombreEquipo],0)))&amp;")")</f>
        <v>P.1 (4)</v>
      </c>
      <c r="CI23" s="758">
        <f t="shared" ca="1" si="44"/>
        <v>0</v>
      </c>
      <c r="CJ23" s="758">
        <f t="shared" ca="1" si="45"/>
        <v>0</v>
      </c>
      <c r="CK23" s="758">
        <f t="shared" ca="1" si="46"/>
        <v>0</v>
      </c>
      <c r="CL23" s="758">
        <f t="shared" ca="1" si="47"/>
        <v>0</v>
      </c>
      <c r="CM23" s="758">
        <f ca="1">CG23+COUNTIFS($CH$6:$CH$53,CH23,$CL$6:CL$53,"&gt;"&amp;CL23,$BC$6:$BC$53,INDEX(T_Equipos[Grupo],MATCH(BD23,T_Equipos[NombreEquipo],0)))</f>
        <v>1</v>
      </c>
      <c r="CN23" s="757" t="str">
        <f ca="1">IF(COUNTIFS($CM$6:$CM$53,CM23,$BC$6:$BC$53,INDEX(T_Equipos[Grupo],MATCH(BD23,T_Equipos[NombreEquipo],0)))=1,"-","P."&amp;CM23&amp;" ("&amp;COUNTIFS($CM$6:$CM$53,CM23,$BC$6:$BC$53,INDEX(T_Equipos[Grupo],MATCH(BD23,T_Equipos[NombreEquipo],0)))&amp;")")</f>
        <v>P.1 (4)</v>
      </c>
      <c r="CO23" s="758">
        <f t="shared" ca="1" si="48"/>
        <v>0</v>
      </c>
      <c r="CP23" s="758">
        <f t="shared" ca="1" si="49"/>
        <v>0</v>
      </c>
      <c r="CQ23" s="758">
        <f t="shared" ca="1" si="50"/>
        <v>0</v>
      </c>
      <c r="CR23" s="758">
        <f ca="1">CM23+COUNTIFS($CN$6:$CN$53,CN23,$CQ$6:CQ$53,"&gt;"&amp;CQ23,$BC$6:$BC$53,INDEX(T_Equipos[Grupo],MATCH(BD23,T_Equipos[NombreEquipo],0)))</f>
        <v>1</v>
      </c>
      <c r="CS23" s="757" t="str">
        <f ca="1">IF(COUNTIFS($CR$6:$CR$53,CR23,$BC$6:$BC$53,INDEX(T_Equipos[Grupo],MATCH(BD23,T_Equipos[NombreEquipo],0)))=1,"-","P."&amp;CR23&amp;" ("&amp;COUNTIFS($CR$6:$CR$53,CR23,$BC$6:$BC$53,INDEX(T_Equipos[Grupo],MATCH(BD23,T_Equipos[NombreEquipo],0)))&amp;")")</f>
        <v>P.1 (4)</v>
      </c>
      <c r="CT23" s="758">
        <f t="shared" ca="1" si="51"/>
        <v>0</v>
      </c>
      <c r="CU23" s="758">
        <f ca="1">CR23+COUNTIFS($CS$6:$CS$53,CS23,$CT$6:CT$53,"&gt;"&amp;CT23,$BC$6:$BC$53,INDEX(T_Equipos[Grupo],MATCH(BD23,T_Equipos[NombreEquipo],0)))</f>
        <v>1</v>
      </c>
      <c r="CV23" s="757" t="str">
        <f ca="1">IF(COUNTIFS($CU$6:$CU$53,CU23,$BC$6:$BC$53,INDEX(T_Equipos[Grupo],MATCH(BD23,T_Equipos[NombreEquipo],0)))=1,"-","P."&amp;CU23&amp;" ("&amp;COUNTIFS($CU$6:$CU$53,CU23,$BC$6:$BC$53,INDEX(T_Equipos[Grupo],MATCH(BD23,T_Equipos[NombreEquipo],0)))&amp;")")</f>
        <v>P.1 (4)</v>
      </c>
      <c r="CW23" s="757">
        <f t="shared" ca="1" si="30"/>
        <v>0</v>
      </c>
      <c r="CX23" s="757">
        <f ca="1">CU23+COUNTIFS($CV$6:$CV$53,CV23,$CW$6:CW$53,"&gt;"&amp;CW23,$BC$6:$BC$53,INDEX(T_Equipos[Grupo],MATCH(BD23,T_Equipos[NombreEquipo],0)))</f>
        <v>1</v>
      </c>
      <c r="CY23" s="757" t="str">
        <f ca="1">IF(COUNTIFS($CX$6:$CX$53,CX23,$BC$6:$BC$53,INDEX(T_Equipos[Grupo],MATCH(BD23,T_Equipos[NombreEquipo],0)))=1,"-","P."&amp;CX23&amp;" ("&amp;COUNTIFS($CX$6:$CX$53,CX23,$BC$6:$BC$53,INDEX(T_Equipos[Grupo],MATCH(BD23,T_Equipos[NombreEquipo],0)))&amp;")")</f>
        <v>P.1 (4)</v>
      </c>
      <c r="CZ23" s="757">
        <f t="shared" ca="1" si="31"/>
        <v>0</v>
      </c>
      <c r="DA23" s="758">
        <f ca="1">CX23+COUNTIFS($CY$6:$CY$53,CY23,$CZ$6:CZ$53,"&gt;"&amp;CZ23,$BC$6:$BC$53,INDEX(T_Equipos[Grupo],MATCH(BD23,T_Equipos[NombreEquipo],0)))</f>
        <v>1</v>
      </c>
      <c r="DB23" s="757" t="str">
        <f ca="1">IF(COUNTIFS($DA$6:$DA$53,DA23,$BC$6:$BC$53,INDEX(T_Equipos[Grupo],MATCH(BD23,T_Equipos[NombreEquipo],0)))=1,"-","P."&amp;DA23&amp;" ("&amp;COUNTIFS($DA$6:$DA$53,DA23,$BC$6:$BC$53,INDEX(T_Equipos[Grupo],MATCH(BD23,T_Equipos[NombreEquipo],0)))&amp;")")</f>
        <v>P.1 (4)</v>
      </c>
      <c r="DC23" s="756">
        <f ca="1">IF(DB23="-","-",COUNTIFS(T_Equipos[Rank],"&lt;"&amp;INDEX(T_Equipos[Rank],MATCH(BD23,T_Equipos[NombreEquipo],0)),$BC$6:$BC$53,INDEX(T_Equipos[Grupo],MATCH(BD23,T_Equipos[NombreEquipo],0)))+1)</f>
        <v>2</v>
      </c>
      <c r="DD23" s="756">
        <f ca="1">DA23+COUNTIFS($DB$6:$DB$53,DB23,$DC$6:DC$53,"&lt;"&amp;DC23,$BC$6:$BC$53,INDEX(T_Equipos[Grupo],MATCH(BD23,T_Equipos[NombreEquipo],0)))</f>
        <v>2</v>
      </c>
      <c r="DE23" s="756"/>
      <c r="DF23" s="756">
        <f t="shared" ca="1" si="52"/>
        <v>2</v>
      </c>
      <c r="DG23" s="756">
        <f ca="1">IF(DB23="-","-",COUNTIFS(DF$6:DF$53,"&lt;"&amp;DF23,$BC$6:$BC$53,INDEX(T_Equipos[Grupo],MATCH(BD23,T_Equipos[NombreEquipo],0))))</f>
        <v>1</v>
      </c>
      <c r="DH23" s="756">
        <f ca="1">DA23+COUNTIFS(DB$6:DB$53,DB23,DG$6:DG$53,"&lt;"&amp;DG23,$BC$6:$BC$53,INDEX(T_Equipos[Grupo],MATCH(BD23,T_Equipos[NombreEquipo],0)))</f>
        <v>2</v>
      </c>
      <c r="DI23" s="744"/>
      <c r="DJ23" s="744">
        <f t="shared" ca="1" si="53"/>
        <v>1</v>
      </c>
      <c r="DK23" s="744">
        <f t="shared" ca="1" si="24"/>
        <v>0</v>
      </c>
      <c r="DL23" s="744">
        <f t="shared" ca="1" si="33"/>
        <v>1</v>
      </c>
      <c r="DM23" s="738" t="str">
        <f t="shared" ca="1" si="34"/>
        <v>1.1</v>
      </c>
      <c r="DN23" s="744" cm="1">
        <f t="array" aca="1" ref="DN23" ca="1">OFFSET(Horarios!$P$3,DJ23-1,0,DL23,1)</f>
        <v>1</v>
      </c>
      <c r="DO23" s="744"/>
      <c r="DP23" s="744" t="s">
        <v>662</v>
      </c>
      <c r="DQ23" s="744" t="str">
        <f t="shared" ca="1" si="35"/>
        <v>Curazao</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1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1">
        <f t="array" aca="1" ref="AK24" ca="1">Ver_flag_visit</f>
        <v>#VALUE!</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0</v>
      </c>
      <c r="BF24" s="748">
        <f t="shared" ca="1" si="26"/>
        <v>0</v>
      </c>
      <c r="BG24" s="748">
        <f t="shared" ca="1" si="17"/>
        <v>0</v>
      </c>
      <c r="BH24" s="748">
        <f t="shared" ca="1" si="18"/>
        <v>0</v>
      </c>
      <c r="BI24" s="748">
        <f t="shared" ca="1" si="19"/>
        <v>0</v>
      </c>
      <c r="BJ24" s="748">
        <f t="shared" ca="1" si="20"/>
        <v>0</v>
      </c>
      <c r="BK24" s="748">
        <f t="shared" ca="1" si="21"/>
        <v>0</v>
      </c>
      <c r="BL24" s="748">
        <f t="shared" ca="1" si="27"/>
        <v>0</v>
      </c>
      <c r="BM24" s="748" t="str">
        <f t="shared" ca="1" si="22"/>
        <v>3E</v>
      </c>
      <c r="BN24" s="748" t="str">
        <f t="shared" ca="1" si="23"/>
        <v>3E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0</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(4)</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(4)</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(4)</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(4)</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(4)</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(4)</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(4)</v>
      </c>
      <c r="CW24" s="757">
        <f t="shared" ca="1" si="30"/>
        <v>0</v>
      </c>
      <c r="CX24" s="757">
        <f ca="1">CU24+COUNTIFS($CV$6:$CV$53,CV24,$CW$6:CW$53,"&gt;"&amp;CW24,$BC$6:$BC$53,INDEX(T_Equipos[Grupo],MATCH(BD24,T_Equipos[NombreEquipo],0)))</f>
        <v>1</v>
      </c>
      <c r="CY24" s="757" t="str">
        <f ca="1">IF(COUNTIFS($CX$6:$CX$53,CX24,$BC$6:$BC$53,INDEX(T_Equipos[Grupo],MATCH(BD24,T_Equipos[NombreEquipo],0)))=1,"-","P."&amp;CX24&amp;" ("&amp;COUNTIFS($CX$6:$CX$53,CX24,$BC$6:$BC$53,INDEX(T_Equipos[Grupo],MATCH(BD24,T_Equipos[NombreEquipo],0)))&amp;")")</f>
        <v>P.1 (4)</v>
      </c>
      <c r="CZ24" s="757">
        <f t="shared" ca="1" si="31"/>
        <v>0</v>
      </c>
      <c r="DA24" s="758">
        <f ca="1">CX24+COUNTIFS($CY$6:$CY$53,CY24,$CZ$6:CZ$53,"&gt;"&amp;CZ24,$BC$6:$BC$53,INDEX(T_Equipos[Grupo],MATCH(BD24,T_Equipos[NombreEquipo],0)))</f>
        <v>1</v>
      </c>
      <c r="DB24" s="757" t="str">
        <f ca="1">IF(COUNTIFS($DA$6:$DA$53,DA24,$BC$6:$BC$53,INDEX(T_Equipos[Grupo],MATCH(BD24,T_Equipos[NombreEquipo],0)))=1,"-","P."&amp;DA24&amp;" ("&amp;COUNTIFS($DA$6:$DA$53,DA24,$BC$6:$BC$53,INDEX(T_Equipos[Grupo],MATCH(BD24,T_Equipos[NombreEquipo],0)))&amp;")")</f>
        <v>P.1 (4)</v>
      </c>
      <c r="DC24" s="756">
        <f ca="1">IF(DB24="-","-",COUNTIFS(T_Equipos[Rank],"&lt;"&amp;INDEX(T_Equipos[Rank],MATCH(BD24,T_Equipos[NombreEquipo],0)),$BC$6:$BC$53,INDEX(T_Equipos[Grupo],MATCH(BD24,T_Equipos[NombreEquipo],0)))+1)</f>
        <v>3</v>
      </c>
      <c r="DD24" s="756">
        <f ca="1">DA24+COUNTIFS($DB$6:$DB$53,DB24,$DC$6:DC$53,"&lt;"&amp;DC24,$BC$6:$BC$53,INDEX(T_Equipos[Grupo],MATCH(BD24,T_Equipos[NombreEquipo],0)))</f>
        <v>3</v>
      </c>
      <c r="DE24" s="756"/>
      <c r="DF24" s="756">
        <f t="shared" ca="1" si="52"/>
        <v>3</v>
      </c>
      <c r="DG24" s="756">
        <f ca="1">IF(DB24="-","-",COUNTIFS(DF$6:DF$53,"&lt;"&amp;DF24,$BC$6:$BC$53,INDEX(T_Equipos[Grupo],MATCH(BD24,T_Equipos[NombreEquipo],0))))</f>
        <v>2</v>
      </c>
      <c r="DH24" s="756">
        <f ca="1">DA24+COUNTIFS(DB$6:DB$53,DB24,DG$6:DG$53,"&lt;"&amp;DG24,$BC$6:$BC$53,INDEX(T_Equipos[Grupo],MATCH(BD24,T_Equipos[NombreEquipo],0)))</f>
        <v>3</v>
      </c>
      <c r="DI24" s="744"/>
      <c r="DJ24" s="744">
        <f t="shared" ca="1" si="53"/>
        <v>1</v>
      </c>
      <c r="DK24" s="744">
        <f t="shared" ca="1" si="24"/>
        <v>0</v>
      </c>
      <c r="DL24" s="744">
        <f t="shared" ca="1" si="33"/>
        <v>1</v>
      </c>
      <c r="DM24" s="738" t="str">
        <f t="shared" ca="1" si="34"/>
        <v>1.1</v>
      </c>
      <c r="DN24" s="744" cm="1">
        <f t="array" aca="1" ref="DN24" ca="1">OFFSET(Horarios!$P$3,DJ24-1,0,DL24,1)</f>
        <v>1</v>
      </c>
      <c r="DO24" s="744"/>
      <c r="DP24" s="744" t="s">
        <v>93</v>
      </c>
      <c r="DQ24" s="744" t="str">
        <f t="shared" ca="1" si="35"/>
        <v>Costa de Marfil</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1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2">
        <f t="array" aca="1" ref="AK25" ca="1">Ver_flag_visit</f>
        <v>#VALUE!</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0</v>
      </c>
      <c r="BG25" s="748">
        <f t="shared" ca="1" si="17"/>
        <v>0</v>
      </c>
      <c r="BH25" s="748">
        <f t="shared" ca="1" si="18"/>
        <v>0</v>
      </c>
      <c r="BI25" s="748">
        <f t="shared" ca="1" si="19"/>
        <v>0</v>
      </c>
      <c r="BJ25" s="748">
        <f t="shared" ca="1" si="20"/>
        <v>0</v>
      </c>
      <c r="BK25" s="748">
        <f t="shared" ca="1" si="21"/>
        <v>0</v>
      </c>
      <c r="BL25" s="748">
        <f t="shared" ca="1" si="27"/>
        <v>0</v>
      </c>
      <c r="BM25" s="748" t="str">
        <f t="shared" ca="1" si="22"/>
        <v>4E</v>
      </c>
      <c r="BN25" s="748" t="str">
        <f t="shared" ca="1" si="23"/>
        <v>4E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1</v>
      </c>
      <c r="BT25" s="757" t="str">
        <f ca="1">IF(COUNTIFS($BS$6:$BS$53,BS25,$BC$6:$BC$53,INDEX(T_Equipos[Grupo],MATCH(BD25,T_Equipos[NombreEquipo],0)))=1,"-","P."&amp;BS25&amp;" ("&amp;COUNTIFS($BS$6:$BS$53,BS25,$BC$6:$BC$53,INDEX(T_Equipos[Grupo],MATCH(BD25,T_Equipos[NombreEquipo],0)))&amp;")")</f>
        <v>P.1 (4)</v>
      </c>
      <c r="BU25" s="758">
        <f t="shared" ca="1" si="36"/>
        <v>0</v>
      </c>
      <c r="BV25" s="758">
        <f t="shared" ca="1" si="37"/>
        <v>0</v>
      </c>
      <c r="BW25" s="758">
        <f t="shared" ca="1" si="38"/>
        <v>0</v>
      </c>
      <c r="BX25" s="758">
        <f t="shared" ca="1" si="39"/>
        <v>0</v>
      </c>
      <c r="BY25" s="758">
        <f ca="1">BS25+COUNTIFS($BT$6:$BT$53,BT25,$BX$6:BX$53,"&gt;"&amp;BX25,$BC$6:$BC$53,INDEX(T_Equipos[Grupo],MATCH(BD25,T_Equipos[NombreEquipo],0)))</f>
        <v>1</v>
      </c>
      <c r="BZ25" s="757" t="str">
        <f ca="1">IF(COUNTIFS($BY$6:$BY$53,BY25,$BC$6:$BC$53,INDEX(T_Equipos[Grupo],MATCH(BD25,T_Equipos[NombreEquipo],0)))=1,"-","P."&amp;BY25&amp;" ("&amp;COUNTIFS($BY$6:$BY$53,BY25,$BC$6:$BC$53,INDEX(T_Equipos[Grupo],MATCH(BD25,T_Equipos[NombreEquipo],0)))&amp;")")</f>
        <v>P.1 (4)</v>
      </c>
      <c r="CA25" s="758">
        <f t="shared" ca="1" si="40"/>
        <v>0</v>
      </c>
      <c r="CB25" s="758">
        <f t="shared" ca="1" si="41"/>
        <v>0</v>
      </c>
      <c r="CC25" s="758">
        <f t="shared" ca="1" si="42"/>
        <v>0</v>
      </c>
      <c r="CD25" s="758">
        <f ca="1">BY25+COUNTIFS($BZ$6:$BZ$53,BZ25,$CC$6:CC$53,"&gt;"&amp;CC25,$BC$6:$BC$53,INDEX(T_Equipos[Grupo],MATCH(BD25,T_Equipos[NombreEquipo],0)))</f>
        <v>1</v>
      </c>
      <c r="CE25" s="757" t="str">
        <f ca="1">IF(COUNTIFS($CD$6:$CD$53,CD25,$BC$6:$BC$53,INDEX(T_Equipos[Grupo],MATCH(BD25,T_Equipos[NombreEquipo],0)))=1,"-","P."&amp;CD25&amp;" ("&amp;COUNTIFS($CD$6:$CD$53,CD25,$BC$6:$BC$53,INDEX(T_Equipos[Grupo],MATCH(BD25,T_Equipos[NombreEquipo],0)))&amp;")")</f>
        <v>P.1 (4)</v>
      </c>
      <c r="CF25" s="758">
        <f t="shared" ca="1" si="43"/>
        <v>0</v>
      </c>
      <c r="CG25" s="758">
        <f ca="1">CD25+COUNTIFS($CE$6:$CE$53,CE25,$CF$6:CF$53,"&gt;"&amp;CF25,$BC$6:$BC$53,INDEX(T_Equipos[Grupo],MATCH(BD25,T_Equipos[NombreEquipo],0)))</f>
        <v>1</v>
      </c>
      <c r="CH25" s="757" t="str">
        <f ca="1">IF(COUNTIFS($CG$6:$CG$53,CG25,$BC$6:$BC$53,INDEX(T_Equipos[Grupo],MATCH(BD25,T_Equipos[NombreEquipo],0)))=1,"-","P."&amp;CG25&amp;" ("&amp;COUNTIFS($CG$6:$CG$53,CG25,$BC$6:$BC$53,INDEX(T_Equipos[Grupo],MATCH(BD25,T_Equipos[NombreEquipo],0)))&amp;")")</f>
        <v>P.1 (4)</v>
      </c>
      <c r="CI25" s="758">
        <f t="shared" ca="1" si="44"/>
        <v>0</v>
      </c>
      <c r="CJ25" s="758">
        <f t="shared" ca="1" si="45"/>
        <v>0</v>
      </c>
      <c r="CK25" s="758">
        <f t="shared" ca="1" si="46"/>
        <v>0</v>
      </c>
      <c r="CL25" s="758">
        <f t="shared" ca="1" si="47"/>
        <v>0</v>
      </c>
      <c r="CM25" s="758">
        <f ca="1">CG25+COUNTIFS($CH$6:$CH$53,CH25,$CL$6:CL$53,"&gt;"&amp;CL25,$BC$6:$BC$53,INDEX(T_Equipos[Grupo],MATCH(BD25,T_Equipos[NombreEquipo],0)))</f>
        <v>1</v>
      </c>
      <c r="CN25" s="757" t="str">
        <f ca="1">IF(COUNTIFS($CM$6:$CM$53,CM25,$BC$6:$BC$53,INDEX(T_Equipos[Grupo],MATCH(BD25,T_Equipos[NombreEquipo],0)))=1,"-","P."&amp;CM25&amp;" ("&amp;COUNTIFS($CM$6:$CM$53,CM25,$BC$6:$BC$53,INDEX(T_Equipos[Grupo],MATCH(BD25,T_Equipos[NombreEquipo],0)))&amp;")")</f>
        <v>P.1 (4)</v>
      </c>
      <c r="CO25" s="758">
        <f t="shared" ca="1" si="48"/>
        <v>0</v>
      </c>
      <c r="CP25" s="758">
        <f t="shared" ca="1" si="49"/>
        <v>0</v>
      </c>
      <c r="CQ25" s="758">
        <f t="shared" ca="1" si="50"/>
        <v>0</v>
      </c>
      <c r="CR25" s="758">
        <f ca="1">CM25+COUNTIFS($CN$6:$CN$53,CN25,$CQ$6:CQ$53,"&gt;"&amp;CQ25,$BC$6:$BC$53,INDEX(T_Equipos[Grupo],MATCH(BD25,T_Equipos[NombreEquipo],0)))</f>
        <v>1</v>
      </c>
      <c r="CS25" s="757" t="str">
        <f ca="1">IF(COUNTIFS($CR$6:$CR$53,CR25,$BC$6:$BC$53,INDEX(T_Equipos[Grupo],MATCH(BD25,T_Equipos[NombreEquipo],0)))=1,"-","P."&amp;CR25&amp;" ("&amp;COUNTIFS($CR$6:$CR$53,CR25,$BC$6:$BC$53,INDEX(T_Equipos[Grupo],MATCH(BD25,T_Equipos[NombreEquipo],0)))&amp;")")</f>
        <v>P.1 (4)</v>
      </c>
      <c r="CT25" s="758">
        <f t="shared" ca="1" si="51"/>
        <v>0</v>
      </c>
      <c r="CU25" s="758">
        <f ca="1">CR25+COUNTIFS($CS$6:$CS$53,CS25,$CT$6:CT$53,"&gt;"&amp;CT25,$BC$6:$BC$53,INDEX(T_Equipos[Grupo],MATCH(BD25,T_Equipos[NombreEquipo],0)))</f>
        <v>1</v>
      </c>
      <c r="CV25" s="757" t="str">
        <f ca="1">IF(COUNTIFS($CU$6:$CU$53,CU25,$BC$6:$BC$53,INDEX(T_Equipos[Grupo],MATCH(BD25,T_Equipos[NombreEquipo],0)))=1,"-","P."&amp;CU25&amp;" ("&amp;COUNTIFS($CU$6:$CU$53,CU25,$BC$6:$BC$53,INDEX(T_Equipos[Grupo],MATCH(BD25,T_Equipos[NombreEquipo],0)))&amp;")")</f>
        <v>P.1 (4)</v>
      </c>
      <c r="CW25" s="757">
        <f t="shared" ca="1" si="30"/>
        <v>0</v>
      </c>
      <c r="CX25" s="757">
        <f ca="1">CU25+COUNTIFS($CV$6:$CV$53,CV25,$CW$6:CW$53,"&gt;"&amp;CW25,$BC$6:$BC$53,INDEX(T_Equipos[Grupo],MATCH(BD25,T_Equipos[NombreEquipo],0)))</f>
        <v>1</v>
      </c>
      <c r="CY25" s="757" t="str">
        <f ca="1">IF(COUNTIFS($CX$6:$CX$53,CX25,$BC$6:$BC$53,INDEX(T_Equipos[Grupo],MATCH(BD25,T_Equipos[NombreEquipo],0)))=1,"-","P."&amp;CX25&amp;" ("&amp;COUNTIFS($CX$6:$CX$53,CX25,$BC$6:$BC$53,INDEX(T_Equipos[Grupo],MATCH(BD25,T_Equipos[NombreEquipo],0)))&amp;")")</f>
        <v>P.1 (4)</v>
      </c>
      <c r="CZ25" s="757">
        <f t="shared" ca="1" si="31"/>
        <v>0</v>
      </c>
      <c r="DA25" s="758">
        <f ca="1">CX25+COUNTIFS($CY$6:$CY$53,CY25,$CZ$6:CZ$53,"&gt;"&amp;CZ25,$BC$6:$BC$53,INDEX(T_Equipos[Grupo],MATCH(BD25,T_Equipos[NombreEquipo],0)))</f>
        <v>1</v>
      </c>
      <c r="DB25" s="757" t="str">
        <f ca="1">IF(COUNTIFS($DA$6:$DA$53,DA25,$BC$6:$BC$53,INDEX(T_Equipos[Grupo],MATCH(BD25,T_Equipos[NombreEquipo],0)))=1,"-","P."&amp;DA25&amp;" ("&amp;COUNTIFS($DA$6:$DA$53,DA25,$BC$6:$BC$53,INDEX(T_Equipos[Grupo],MATCH(BD25,T_Equipos[NombreEquipo],0)))&amp;")")</f>
        <v>P.1 (4)</v>
      </c>
      <c r="DC25" s="756">
        <f ca="1">IF(DB25="-","-",COUNTIFS(T_Equipos[Rank],"&lt;"&amp;INDEX(T_Equipos[Rank],MATCH(BD25,T_Equipos[NombreEquipo],0)),$BC$6:$BC$53,INDEX(T_Equipos[Grupo],MATCH(BD25,T_Equipos[NombreEquipo],0)))+1)</f>
        <v>4</v>
      </c>
      <c r="DD25" s="756">
        <f ca="1">DA25+COUNTIFS($DB$6:$DB$53,DB25,$DC$6:DC$53,"&lt;"&amp;DC25,$BC$6:$BC$53,INDEX(T_Equipos[Grupo],MATCH(BD25,T_Equipos[NombreEquipo],0)))</f>
        <v>4</v>
      </c>
      <c r="DE25" s="756"/>
      <c r="DF25" s="756">
        <f t="shared" ca="1" si="52"/>
        <v>4</v>
      </c>
      <c r="DG25" s="756">
        <f ca="1">IF(DB25="-","-",COUNTIFS(DF$6:DF$53,"&lt;"&amp;DF25,$BC$6:$BC$53,INDEX(T_Equipos[Grupo],MATCH(BD25,T_Equipos[NombreEquipo],0))))</f>
        <v>3</v>
      </c>
      <c r="DH25" s="756">
        <f ca="1">DA25+COUNTIFS(DB$6:DB$53,DB25,DG$6:DG$53,"&lt;"&amp;DG25,$BC$6:$BC$53,INDEX(T_Equipos[Grupo],MATCH(BD25,T_Equipos[NombreEquipo],0)))</f>
        <v>4</v>
      </c>
      <c r="DI25" s="744"/>
      <c r="DJ25" s="744">
        <f t="shared" ca="1" si="53"/>
        <v>1</v>
      </c>
      <c r="DK25" s="744">
        <f t="shared" ca="1" si="24"/>
        <v>0</v>
      </c>
      <c r="DL25" s="744">
        <f t="shared" ca="1" si="33"/>
        <v>1</v>
      </c>
      <c r="DM25" s="738" t="str">
        <f t="shared" ca="1" si="34"/>
        <v>1.1</v>
      </c>
      <c r="DN25" s="744" cm="1">
        <f t="array" aca="1" ref="DN25" ca="1">OFFSET(Horarios!$P$3,DJ25-1,0,DL25,1)</f>
        <v>1</v>
      </c>
      <c r="DO25" s="744"/>
      <c r="DP25" s="744" t="s">
        <v>663</v>
      </c>
      <c r="DQ25" s="744" t="str">
        <f t="shared" ca="1" si="35"/>
        <v>Ecuador</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0</v>
      </c>
      <c r="BF26" s="748">
        <f t="shared" ca="1" si="26"/>
        <v>0</v>
      </c>
      <c r="BG26" s="748">
        <f t="shared" ca="1" si="17"/>
        <v>0</v>
      </c>
      <c r="BH26" s="748">
        <f t="shared" ca="1" si="18"/>
        <v>0</v>
      </c>
      <c r="BI26" s="748">
        <f t="shared" ca="1" si="19"/>
        <v>0</v>
      </c>
      <c r="BJ26" s="748">
        <f t="shared" ca="1" si="20"/>
        <v>0</v>
      </c>
      <c r="BK26" s="748">
        <f t="shared" ca="1" si="21"/>
        <v>0</v>
      </c>
      <c r="BL26" s="748">
        <f t="shared" ca="1" si="27"/>
        <v>0</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0</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(4)</v>
      </c>
      <c r="BU26" s="758">
        <f t="shared" ca="1" si="36"/>
        <v>0</v>
      </c>
      <c r="BV26" s="758">
        <f t="shared" ca="1" si="37"/>
        <v>0</v>
      </c>
      <c r="BW26" s="758">
        <f t="shared" ca="1" si="38"/>
        <v>0</v>
      </c>
      <c r="BX26" s="758">
        <f t="shared" ca="1" si="39"/>
        <v>0</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(4)</v>
      </c>
      <c r="CA26" s="758">
        <f t="shared" ca="1" si="40"/>
        <v>0</v>
      </c>
      <c r="CB26" s="758">
        <f t="shared" ca="1" si="41"/>
        <v>0</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(4)</v>
      </c>
      <c r="CF26" s="758">
        <f t="shared" ca="1" si="43"/>
        <v>0</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(4)</v>
      </c>
      <c r="CI26" s="758">
        <f t="shared" ca="1" si="44"/>
        <v>0</v>
      </c>
      <c r="CJ26" s="758">
        <f t="shared" ca="1" si="45"/>
        <v>0</v>
      </c>
      <c r="CK26" s="758">
        <f t="shared" ca="1" si="46"/>
        <v>0</v>
      </c>
      <c r="CL26" s="758">
        <f t="shared" ca="1" si="47"/>
        <v>0</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(4)</v>
      </c>
      <c r="CO26" s="758">
        <f t="shared" ca="1" si="48"/>
        <v>0</v>
      </c>
      <c r="CP26" s="758">
        <f t="shared" ca="1" si="49"/>
        <v>0</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(4)</v>
      </c>
      <c r="CT26" s="758">
        <f t="shared" ca="1" si="51"/>
        <v>0</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(4)</v>
      </c>
      <c r="CW26" s="757">
        <f t="shared" ca="1" si="30"/>
        <v>0</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(4)</v>
      </c>
      <c r="CZ26" s="757">
        <f t="shared" ca="1" si="31"/>
        <v>0</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P.1 (4)</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1</v>
      </c>
      <c r="DE26" s="756"/>
      <c r="DF26" s="756">
        <f t="shared" ca="1" si="52"/>
        <v>1</v>
      </c>
      <c r="DG26" s="756">
        <f ca="1">IF(DB26="-","-",COUNTIFS(DF$6:DF$53,"&lt;"&amp;DF26,$BC$6:$BC$53,INDEX(T_Equipos[Grupo],MATCH(BD26,T_Equipos[NombreEquipo],0))))</f>
        <v>0</v>
      </c>
      <c r="DH26" s="756">
        <f ca="1">DA26+COUNTIFS(DB$6:DB$53,DB26,DG$6:DG$53,"&lt;"&amp;DG26,$BC$6:$BC$53,INDEX(T_Equipos[Grupo],MATCH(BD26,T_Equipos[NombreEquipo],0)))</f>
        <v>1</v>
      </c>
      <c r="DI26" s="744"/>
      <c r="DJ26" s="744">
        <f t="shared" ca="1" si="53"/>
        <v>1</v>
      </c>
      <c r="DK26" s="744">
        <f t="shared" ca="1" si="24"/>
        <v>0</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0</v>
      </c>
      <c r="BF27" s="748">
        <f t="shared" ca="1" si="26"/>
        <v>0</v>
      </c>
      <c r="BG27" s="748">
        <f t="shared" ca="1" si="17"/>
        <v>0</v>
      </c>
      <c r="BH27" s="748">
        <f t="shared" ca="1" si="18"/>
        <v>0</v>
      </c>
      <c r="BI27" s="748">
        <f t="shared" ca="1" si="19"/>
        <v>0</v>
      </c>
      <c r="BJ27" s="748">
        <f t="shared" ca="1" si="20"/>
        <v>0</v>
      </c>
      <c r="BK27" s="748">
        <f t="shared" ca="1" si="21"/>
        <v>0</v>
      </c>
      <c r="BL27" s="748">
        <f t="shared" ca="1" si="27"/>
        <v>0</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0</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(4)</v>
      </c>
      <c r="BU27" s="758">
        <f t="shared" ca="1" si="36"/>
        <v>0</v>
      </c>
      <c r="BV27" s="758">
        <f t="shared" ca="1" si="37"/>
        <v>0</v>
      </c>
      <c r="BW27" s="758">
        <f t="shared" ca="1" si="38"/>
        <v>0</v>
      </c>
      <c r="BX27" s="758">
        <f t="shared" ca="1" si="39"/>
        <v>0</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(4)</v>
      </c>
      <c r="CA27" s="758">
        <f t="shared" ca="1" si="40"/>
        <v>0</v>
      </c>
      <c r="CB27" s="758">
        <f t="shared" ca="1" si="41"/>
        <v>0</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(4)</v>
      </c>
      <c r="CF27" s="758">
        <f t="shared" ca="1" si="43"/>
        <v>0</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(4)</v>
      </c>
      <c r="CI27" s="758">
        <f t="shared" ca="1" si="44"/>
        <v>0</v>
      </c>
      <c r="CJ27" s="758">
        <f t="shared" ca="1" si="45"/>
        <v>0</v>
      </c>
      <c r="CK27" s="758">
        <f t="shared" ca="1" si="46"/>
        <v>0</v>
      </c>
      <c r="CL27" s="758">
        <f t="shared" ca="1" si="47"/>
        <v>0</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(4)</v>
      </c>
      <c r="CO27" s="758">
        <f t="shared" ca="1" si="48"/>
        <v>0</v>
      </c>
      <c r="CP27" s="758">
        <f t="shared" ca="1" si="49"/>
        <v>0</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(4)</v>
      </c>
      <c r="CT27" s="758">
        <f t="shared" ca="1" si="51"/>
        <v>0</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(4)</v>
      </c>
      <c r="CW27" s="757">
        <f t="shared" ca="1" si="30"/>
        <v>0</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(4)</v>
      </c>
      <c r="CZ27" s="757">
        <f t="shared" ca="1" si="31"/>
        <v>0</v>
      </c>
      <c r="DA27" s="758">
        <f ca="1">CX27+COUNTIFS($CY$6:$CY$53,CY27,$CZ$6:CZ$53,"&gt;"&amp;CZ27,$BC$6:$BC$53,INDEX(T_Equipos[Grupo],MATCH(BD27,T_Equipos[NombreEquipo],0)))</f>
        <v>1</v>
      </c>
      <c r="DB27" s="757" t="str">
        <f ca="1">IF(COUNTIFS($DA$6:$DA$53,DA27,$BC$6:$BC$53,INDEX(T_Equipos[Grupo],MATCH(BD27,T_Equipos[NombreEquipo],0)))=1,"-","P."&amp;DA27&amp;" ("&amp;COUNTIFS($DA$6:$DA$53,DA27,$BC$6:$BC$53,INDEX(T_Equipos[Grupo],MATCH(BD27,T_Equipos[NombreEquipo],0)))&amp;")")</f>
        <v>P.1 (4)</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2</v>
      </c>
      <c r="DE27" s="756"/>
      <c r="DF27" s="756">
        <f t="shared" ca="1" si="52"/>
        <v>2</v>
      </c>
      <c r="DG27" s="756">
        <f ca="1">IF(DB27="-","-",COUNTIFS(DF$6:DF$53,"&lt;"&amp;DF27,$BC$6:$BC$53,INDEX(T_Equipos[Grupo],MATCH(BD27,T_Equipos[NombreEquipo],0))))</f>
        <v>1</v>
      </c>
      <c r="DH27" s="756">
        <f ca="1">DA27+COUNTIFS(DB$6:DB$53,DB27,DG$6:DG$53,"&lt;"&amp;DG27,$BC$6:$BC$53,INDEX(T_Equipos[Grupo],MATCH(BD27,T_Equipos[NombreEquipo],0)))</f>
        <v>2</v>
      </c>
      <c r="DI27" s="744"/>
      <c r="DJ27" s="744">
        <f t="shared" ca="1" si="53"/>
        <v>1</v>
      </c>
      <c r="DK27" s="744">
        <f t="shared" ca="1" si="24"/>
        <v>0</v>
      </c>
      <c r="DL27" s="744">
        <f t="shared" ca="1" si="33"/>
        <v>1</v>
      </c>
      <c r="DM27" s="738" t="str">
        <f t="shared" ca="1" si="34"/>
        <v>1.1</v>
      </c>
      <c r="DN27" s="744" cm="1">
        <f t="array" aca="1" ref="DN27" ca="1">OFFSET(Horarios!$P$3,DJ27-1,0,DL27,1)</f>
        <v>1</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Pendiente</v>
      </c>
      <c r="E28" s="744" t="str">
        <f t="shared" ref="E28:E33" si="95">IF(D28="Pendiente","-",INDEX($BT$6:$BT$53,MATCH($AA28,$BD$6:$BD$53,0)))</f>
        <v>-</v>
      </c>
      <c r="F28" s="744" t="str">
        <f t="shared" ref="F28:F33" si="96">IF(D28="Pendiente","-",INDEX($BT$6:$BT$53,MATCH($AF28,$BD$6:$BD$53,0)))</f>
        <v>-</v>
      </c>
      <c r="G28" s="744"/>
      <c r="H28" s="744" t="str">
        <f t="shared" ref="H28:H33" si="97">IF(D28="Pendiente","-",INDEX($BZ$6:$BZ$53,MATCH($AA28,$BD$6:$BD$53,0)))</f>
        <v>-</v>
      </c>
      <c r="I28" s="744" t="str">
        <f t="shared" ref="I28:I33" si="98">IF(D28="Pendiente","-",INDEX($BZ$6:$BZ$53,MATCH($AF28,$BD$6:$BD$53,0)))</f>
        <v>-</v>
      </c>
      <c r="J28" s="744"/>
      <c r="K28" s="744" t="str">
        <f t="shared" ref="K28:K33" si="99">IF(D28="Pendiente","-",INDEX($CE$6:$CE$53,MATCH($AA28,$BD$6:$BD$53,0)))</f>
        <v>-</v>
      </c>
      <c r="L28" s="744" t="str">
        <f t="shared" ref="L28:L33" si="100">IF(D28="Pendiente","-",INDEX($CE$6:$CE$53,MATCH($AF28,$BD$6:$BD$53,0)))</f>
        <v>-</v>
      </c>
      <c r="M28" s="744"/>
      <c r="N28" s="744" t="str">
        <f t="shared" ref="N28:N33" si="101">IF(D28="Pendiente","-",INDEX($CH$6:$CH$53,MATCH($AA28,$BD$6:$BD$53,0)))</f>
        <v>-</v>
      </c>
      <c r="O28" s="744" t="str">
        <f t="shared" ref="O28:O33" si="102">IF(D28="Pendiente","-",INDEX($CH$6:$CH$53,MATCH($AF28,$BD$6:$BD$53,0)))</f>
        <v>-</v>
      </c>
      <c r="P28" s="744"/>
      <c r="Q28" s="744" t="str">
        <f t="shared" ref="Q28:Q33" si="103">IF(D28="Pendiente","-",INDEX($CN$6:$CN$53,MATCH($AA28,$BD$6:$BD$53,0)))</f>
        <v>-</v>
      </c>
      <c r="R28" s="744" t="str">
        <f t="shared" ref="R28:R33" si="104">IF(D28="Pendiente","-",INDEX($CN$6:$CN$53,MATCH($AF28,$BD$6:$BD$53,0)))</f>
        <v>-</v>
      </c>
      <c r="S28" s="744"/>
      <c r="T28" s="744" t="str">
        <f t="shared" ref="T28:T33" si="105">IF(D28="Pendiente","-",INDEX($CS$6:$CS$53,MATCH($AA28,$BD$6:$BD$53,0)))</f>
        <v>-</v>
      </c>
      <c r="U28" s="744" t="str">
        <f t="shared" ref="U28:U33" si="106">IF(D28="Pendiente","-",INDEX($CS$6:$CS$53,MATCH($AF28,$BD$6:$BD$53,0)))</f>
        <v>-</v>
      </c>
      <c r="V28" s="172"/>
      <c r="W28" s="819" t="s">
        <v>73</v>
      </c>
      <c r="X28" s="189">
        <f ca="1">Horarios!C28</f>
        <v>46186.125</v>
      </c>
      <c r="Y28" s="190">
        <f ca="1">Horarios!C28</f>
        <v>46186.125</v>
      </c>
      <c r="Z28" s="191" t="str">
        <f>$Z$4</f>
        <v>J1</v>
      </c>
      <c r="AA28" s="192" t="str">
        <f ca="1">A29</f>
        <v>Estados Unidos</v>
      </c>
      <c r="AB28" s="478" t="e" cm="1" vm="13">
        <f t="array" aca="1" ref="AB28" ca="1">Ver_flag_local</f>
        <v>#VALUE!</v>
      </c>
      <c r="AC28" s="193"/>
      <c r="AD28" s="194"/>
      <c r="AE28" s="483" t="e" cm="1" vm="14">
        <f t="array" aca="1" ref="AE28" ca="1">Ver_flag_visit</f>
        <v>#VALUE!</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0</v>
      </c>
      <c r="BF28" s="748">
        <f t="shared" ca="1" si="26"/>
        <v>0</v>
      </c>
      <c r="BG28" s="748">
        <f t="shared" ca="1" si="17"/>
        <v>0</v>
      </c>
      <c r="BH28" s="748">
        <f t="shared" ca="1" si="18"/>
        <v>0</v>
      </c>
      <c r="BI28" s="748">
        <f t="shared" ca="1" si="19"/>
        <v>0</v>
      </c>
      <c r="BJ28" s="748">
        <f t="shared" ca="1" si="20"/>
        <v>0</v>
      </c>
      <c r="BK28" s="748">
        <f t="shared" ca="1" si="21"/>
        <v>0</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0</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P.1 (4)</v>
      </c>
      <c r="BU28" s="758">
        <f t="shared" ca="1" si="36"/>
        <v>0</v>
      </c>
      <c r="BV28" s="758">
        <f t="shared" ca="1" si="37"/>
        <v>0</v>
      </c>
      <c r="BW28" s="758">
        <f t="shared" ca="1" si="38"/>
        <v>0</v>
      </c>
      <c r="BX28" s="758">
        <f t="shared" ca="1" si="39"/>
        <v>0</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P.1 (4)</v>
      </c>
      <c r="CA28" s="758">
        <f t="shared" ca="1" si="40"/>
        <v>0</v>
      </c>
      <c r="CB28" s="758">
        <f t="shared" ca="1" si="41"/>
        <v>0</v>
      </c>
      <c r="CC28" s="758">
        <f t="shared" ca="1" si="42"/>
        <v>0</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P.1 (4)</v>
      </c>
      <c r="CF28" s="758">
        <f t="shared" ca="1" si="43"/>
        <v>0</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P.1 (4)</v>
      </c>
      <c r="CI28" s="758">
        <f t="shared" ca="1" si="44"/>
        <v>0</v>
      </c>
      <c r="CJ28" s="758">
        <f t="shared" ca="1" si="45"/>
        <v>0</v>
      </c>
      <c r="CK28" s="758">
        <f t="shared" ca="1" si="46"/>
        <v>0</v>
      </c>
      <c r="CL28" s="758">
        <f t="shared" ca="1" si="47"/>
        <v>0</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P.1 (4)</v>
      </c>
      <c r="CO28" s="758">
        <f t="shared" ca="1" si="48"/>
        <v>0</v>
      </c>
      <c r="CP28" s="758">
        <f t="shared" ca="1" si="49"/>
        <v>0</v>
      </c>
      <c r="CQ28" s="758">
        <f t="shared" ca="1" si="50"/>
        <v>0</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P.1 (4)</v>
      </c>
      <c r="CT28" s="758">
        <f t="shared" ca="1" si="51"/>
        <v>0</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P.1 (4)</v>
      </c>
      <c r="CW28" s="757">
        <f t="shared" ca="1" si="30"/>
        <v>0</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P.1 (4)</v>
      </c>
      <c r="CZ28" s="757">
        <f t="shared" ca="1" si="31"/>
        <v>0</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P.1 (4)</v>
      </c>
      <c r="DC28" s="756">
        <f ca="1">IF(DB28="-","-",COUNTIFS(T_Equipos[Rank],"&lt;"&amp;INDEX(T_Equipos[Rank],MATCH(BD28,T_Equipos[NombreEquipo],0)),$BC$6:$BC$53,INDEX(T_Equipos[Grupo],MATCH(BD28,T_Equipos[NombreEquipo],0)))+1)</f>
        <v>3</v>
      </c>
      <c r="DD28" s="756">
        <f ca="1">DA28+COUNTIFS($DB$6:$DB$53,DB28,$DC$6:DC$53,"&lt;"&amp;DC28,$BC$6:$BC$53,INDEX(T_Equipos[Grupo],MATCH(BD28,T_Equipos[NombreEquipo],0)))</f>
        <v>3</v>
      </c>
      <c r="DE28" s="756"/>
      <c r="DF28" s="756">
        <f t="shared" ca="1" si="52"/>
        <v>3</v>
      </c>
      <c r="DG28" s="756">
        <f ca="1">IF(DB28="-","-",COUNTIFS(DF$6:DF$53,"&lt;"&amp;DF28,$BC$6:$BC$53,INDEX(T_Equipos[Grupo],MATCH(BD28,T_Equipos[NombreEquipo],0))))</f>
        <v>2</v>
      </c>
      <c r="DH28" s="756">
        <f ca="1">DA28+COUNTIFS(DB$6:DB$53,DB28,DG$6:DG$53,"&lt;"&amp;DG28,$BC$6:$BC$53,INDEX(T_Equipos[Grupo],MATCH(BD28,T_Equipos[NombreEquipo],0)))</f>
        <v>3</v>
      </c>
      <c r="DI28" s="744"/>
      <c r="DJ28" s="744">
        <f t="shared" ca="1" si="53"/>
        <v>1</v>
      </c>
      <c r="DK28" s="744">
        <f t="shared" ca="1" si="24"/>
        <v>0</v>
      </c>
      <c r="DL28" s="744">
        <f t="shared" ca="1" si="33"/>
        <v>1</v>
      </c>
      <c r="DM28" s="738" t="str">
        <f t="shared" ca="1" si="34"/>
        <v>1.1</v>
      </c>
      <c r="DN28" s="744" cm="1">
        <f t="array" aca="1" ref="DN28" ca="1">OFFSET(Horarios!$P$3,DJ28-1,0,DL28,1)</f>
        <v>1</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Pendiente</v>
      </c>
      <c r="E29" s="744" t="str">
        <f t="shared" si="95"/>
        <v>-</v>
      </c>
      <c r="F29" s="744" t="str">
        <f t="shared" si="96"/>
        <v>-</v>
      </c>
      <c r="G29" s="744"/>
      <c r="H29" s="744" t="str">
        <f t="shared" si="97"/>
        <v>-</v>
      </c>
      <c r="I29" s="744" t="str">
        <f t="shared" si="98"/>
        <v>-</v>
      </c>
      <c r="J29" s="744"/>
      <c r="K29" s="744" t="str">
        <f t="shared" si="99"/>
        <v>-</v>
      </c>
      <c r="L29" s="744" t="str">
        <f t="shared" si="100"/>
        <v>-</v>
      </c>
      <c r="M29" s="744"/>
      <c r="N29" s="744" t="str">
        <f t="shared" si="101"/>
        <v>-</v>
      </c>
      <c r="O29" s="744" t="str">
        <f t="shared" si="102"/>
        <v>-</v>
      </c>
      <c r="P29" s="744"/>
      <c r="Q29" s="744" t="str">
        <f t="shared" si="103"/>
        <v>-</v>
      </c>
      <c r="R29" s="744" t="str">
        <f t="shared" si="104"/>
        <v>-</v>
      </c>
      <c r="S29" s="744"/>
      <c r="T29" s="744" t="str">
        <f t="shared" si="105"/>
        <v>-</v>
      </c>
      <c r="U29" s="744" t="str">
        <f t="shared" si="106"/>
        <v>-</v>
      </c>
      <c r="V29" s="172"/>
      <c r="W29" s="819"/>
      <c r="X29" s="189">
        <f ca="1">Horarios!C29</f>
        <v>46187.25</v>
      </c>
      <c r="Y29" s="190">
        <f ca="1">Horarios!C29</f>
        <v>46187.25</v>
      </c>
      <c r="Z29" s="191" t="str">
        <f>$Z$4</f>
        <v>J1</v>
      </c>
      <c r="AA29" s="192" t="str">
        <f ca="1">A31</f>
        <v>Australia</v>
      </c>
      <c r="AB29" s="478" t="e" cm="1" vm="15">
        <f t="array" aca="1" ref="AB29" ca="1">Ver_flag_local</f>
        <v>#VALUE!</v>
      </c>
      <c r="AC29" s="193"/>
      <c r="AD29" s="194"/>
      <c r="AE29" s="483" t="e" cm="1" vm="16">
        <f t="array" aca="1" ref="AE29" ca="1">Ver_flag_visit</f>
        <v>#VALUE!</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0</v>
      </c>
      <c r="BG29" s="748">
        <f t="shared" ca="1" si="17"/>
        <v>0</v>
      </c>
      <c r="BH29" s="748">
        <f t="shared" ca="1" si="18"/>
        <v>0</v>
      </c>
      <c r="BI29" s="748">
        <f t="shared" ca="1" si="19"/>
        <v>0</v>
      </c>
      <c r="BJ29" s="748">
        <f t="shared" ca="1" si="20"/>
        <v>0</v>
      </c>
      <c r="BK29" s="748">
        <f t="shared" ca="1" si="21"/>
        <v>0</v>
      </c>
      <c r="BL29" s="748">
        <f t="shared" ca="1" si="27"/>
        <v>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1</v>
      </c>
      <c r="BT29" s="757" t="str">
        <f ca="1">IF(COUNTIFS($BS$6:$BS$53,BS29,$BC$6:$BC$53,INDEX(T_Equipos[Grupo],MATCH(BD29,T_Equipos[NombreEquipo],0)))=1,"-","P."&amp;BS29&amp;" ("&amp;COUNTIFS($BS$6:$BS$53,BS29,$BC$6:$BC$53,INDEX(T_Equipos[Grupo],MATCH(BD29,T_Equipos[NombreEquipo],0)))&amp;")")</f>
        <v>P.1 (4)</v>
      </c>
      <c r="BU29" s="758">
        <f t="shared" ca="1" si="36"/>
        <v>0</v>
      </c>
      <c r="BV29" s="758">
        <f t="shared" ca="1" si="37"/>
        <v>0</v>
      </c>
      <c r="BW29" s="758">
        <f t="shared" ca="1" si="38"/>
        <v>0</v>
      </c>
      <c r="BX29" s="758">
        <f t="shared" ca="1" si="39"/>
        <v>0</v>
      </c>
      <c r="BY29" s="758">
        <f ca="1">BS29+COUNTIFS($BT$6:$BT$53,BT29,$BX$6:BX$53,"&gt;"&amp;BX29,$BC$6:$BC$53,INDEX(T_Equipos[Grupo],MATCH(BD29,T_Equipos[NombreEquipo],0)))</f>
        <v>1</v>
      </c>
      <c r="BZ29" s="757" t="str">
        <f ca="1">IF(COUNTIFS($BY$6:$BY$53,BY29,$BC$6:$BC$53,INDEX(T_Equipos[Grupo],MATCH(BD29,T_Equipos[NombreEquipo],0)))=1,"-","P."&amp;BY29&amp;" ("&amp;COUNTIFS($BY$6:$BY$53,BY29,$BC$6:$BC$53,INDEX(T_Equipos[Grupo],MATCH(BD29,T_Equipos[NombreEquipo],0)))&amp;")")</f>
        <v>P.1 (4)</v>
      </c>
      <c r="CA29" s="758">
        <f t="shared" ca="1" si="40"/>
        <v>0</v>
      </c>
      <c r="CB29" s="758">
        <f t="shared" ca="1" si="41"/>
        <v>0</v>
      </c>
      <c r="CC29" s="758">
        <f t="shared" ca="1" si="42"/>
        <v>0</v>
      </c>
      <c r="CD29" s="758">
        <f ca="1">BY29+COUNTIFS($BZ$6:$BZ$53,BZ29,$CC$6:CC$53,"&gt;"&amp;CC29,$BC$6:$BC$53,INDEX(T_Equipos[Grupo],MATCH(BD29,T_Equipos[NombreEquipo],0)))</f>
        <v>1</v>
      </c>
      <c r="CE29" s="757" t="str">
        <f ca="1">IF(COUNTIFS($CD$6:$CD$53,CD29,$BC$6:$BC$53,INDEX(T_Equipos[Grupo],MATCH(BD29,T_Equipos[NombreEquipo],0)))=1,"-","P."&amp;CD29&amp;" ("&amp;COUNTIFS($CD$6:$CD$53,CD29,$BC$6:$BC$53,INDEX(T_Equipos[Grupo],MATCH(BD29,T_Equipos[NombreEquipo],0)))&amp;")")</f>
        <v>P.1 (4)</v>
      </c>
      <c r="CF29" s="758">
        <f t="shared" ca="1" si="43"/>
        <v>0</v>
      </c>
      <c r="CG29" s="758">
        <f ca="1">CD29+COUNTIFS($CE$6:$CE$53,CE29,$CF$6:CF$53,"&gt;"&amp;CF29,$BC$6:$BC$53,INDEX(T_Equipos[Grupo],MATCH(BD29,T_Equipos[NombreEquipo],0)))</f>
        <v>1</v>
      </c>
      <c r="CH29" s="757" t="str">
        <f ca="1">IF(COUNTIFS($CG$6:$CG$53,CG29,$BC$6:$BC$53,INDEX(T_Equipos[Grupo],MATCH(BD29,T_Equipos[NombreEquipo],0)))=1,"-","P."&amp;CG29&amp;" ("&amp;COUNTIFS($CG$6:$CG$53,CG29,$BC$6:$BC$53,INDEX(T_Equipos[Grupo],MATCH(BD29,T_Equipos[NombreEquipo],0)))&amp;")")</f>
        <v>P.1 (4)</v>
      </c>
      <c r="CI29" s="758">
        <f t="shared" ca="1" si="44"/>
        <v>0</v>
      </c>
      <c r="CJ29" s="758">
        <f t="shared" ca="1" si="45"/>
        <v>0</v>
      </c>
      <c r="CK29" s="758">
        <f t="shared" ca="1" si="46"/>
        <v>0</v>
      </c>
      <c r="CL29" s="758">
        <f t="shared" ca="1" si="47"/>
        <v>0</v>
      </c>
      <c r="CM29" s="758">
        <f ca="1">CG29+COUNTIFS($CH$6:$CH$53,CH29,$CL$6:CL$53,"&gt;"&amp;CL29,$BC$6:$BC$53,INDEX(T_Equipos[Grupo],MATCH(BD29,T_Equipos[NombreEquipo],0)))</f>
        <v>1</v>
      </c>
      <c r="CN29" s="757" t="str">
        <f ca="1">IF(COUNTIFS($CM$6:$CM$53,CM29,$BC$6:$BC$53,INDEX(T_Equipos[Grupo],MATCH(BD29,T_Equipos[NombreEquipo],0)))=1,"-","P."&amp;CM29&amp;" ("&amp;COUNTIFS($CM$6:$CM$53,CM29,$BC$6:$BC$53,INDEX(T_Equipos[Grupo],MATCH(BD29,T_Equipos[NombreEquipo],0)))&amp;")")</f>
        <v>P.1 (4)</v>
      </c>
      <c r="CO29" s="758">
        <f t="shared" ca="1" si="48"/>
        <v>0</v>
      </c>
      <c r="CP29" s="758">
        <f t="shared" ca="1" si="49"/>
        <v>0</v>
      </c>
      <c r="CQ29" s="758">
        <f t="shared" ca="1" si="50"/>
        <v>0</v>
      </c>
      <c r="CR29" s="758">
        <f ca="1">CM29+COUNTIFS($CN$6:$CN$53,CN29,$CQ$6:CQ$53,"&gt;"&amp;CQ29,$BC$6:$BC$53,INDEX(T_Equipos[Grupo],MATCH(BD29,T_Equipos[NombreEquipo],0)))</f>
        <v>1</v>
      </c>
      <c r="CS29" s="757" t="str">
        <f ca="1">IF(COUNTIFS($CR$6:$CR$53,CR29,$BC$6:$BC$53,INDEX(T_Equipos[Grupo],MATCH(BD29,T_Equipos[NombreEquipo],0)))=1,"-","P."&amp;CR29&amp;" ("&amp;COUNTIFS($CR$6:$CR$53,CR29,$BC$6:$BC$53,INDEX(T_Equipos[Grupo],MATCH(BD29,T_Equipos[NombreEquipo],0)))&amp;")")</f>
        <v>P.1 (4)</v>
      </c>
      <c r="CT29" s="758">
        <f t="shared" ca="1" si="51"/>
        <v>0</v>
      </c>
      <c r="CU29" s="758">
        <f ca="1">CR29+COUNTIFS($CS$6:$CS$53,CS29,$CT$6:CT$53,"&gt;"&amp;CT29,$BC$6:$BC$53,INDEX(T_Equipos[Grupo],MATCH(BD29,T_Equipos[NombreEquipo],0)))</f>
        <v>1</v>
      </c>
      <c r="CV29" s="757" t="str">
        <f ca="1">IF(COUNTIFS($CU$6:$CU$53,CU29,$BC$6:$BC$53,INDEX(T_Equipos[Grupo],MATCH(BD29,T_Equipos[NombreEquipo],0)))=1,"-","P."&amp;CU29&amp;" ("&amp;COUNTIFS($CU$6:$CU$53,CU29,$BC$6:$BC$53,INDEX(T_Equipos[Grupo],MATCH(BD29,T_Equipos[NombreEquipo],0)))&amp;")")</f>
        <v>P.1 (4)</v>
      </c>
      <c r="CW29" s="757">
        <f t="shared" ca="1" si="30"/>
        <v>0</v>
      </c>
      <c r="CX29" s="757">
        <f ca="1">CU29+COUNTIFS($CV$6:$CV$53,CV29,$CW$6:CW$53,"&gt;"&amp;CW29,$BC$6:$BC$53,INDEX(T_Equipos[Grupo],MATCH(BD29,T_Equipos[NombreEquipo],0)))</f>
        <v>1</v>
      </c>
      <c r="CY29" s="757" t="str">
        <f ca="1">IF(COUNTIFS($CX$6:$CX$53,CX29,$BC$6:$BC$53,INDEX(T_Equipos[Grupo],MATCH(BD29,T_Equipos[NombreEquipo],0)))=1,"-","P."&amp;CX29&amp;" ("&amp;COUNTIFS($CX$6:$CX$53,CX29,$BC$6:$BC$53,INDEX(T_Equipos[Grupo],MATCH(BD29,T_Equipos[NombreEquipo],0)))&amp;")")</f>
        <v>P.1 (4)</v>
      </c>
      <c r="CZ29" s="757">
        <f t="shared" ca="1" si="31"/>
        <v>0</v>
      </c>
      <c r="DA29" s="758">
        <f ca="1">CX29+COUNTIFS($CY$6:$CY$53,CY29,$CZ$6:CZ$53,"&gt;"&amp;CZ29,$BC$6:$BC$53,INDEX(T_Equipos[Grupo],MATCH(BD29,T_Equipos[NombreEquipo],0)))</f>
        <v>1</v>
      </c>
      <c r="DB29" s="757" t="str">
        <f ca="1">IF(COUNTIFS($DA$6:$DA$53,DA29,$BC$6:$BC$53,INDEX(T_Equipos[Grupo],MATCH(BD29,T_Equipos[NombreEquipo],0)))=1,"-","P."&amp;DA29&amp;" ("&amp;COUNTIFS($DA$6:$DA$53,DA29,$BC$6:$BC$53,INDEX(T_Equipos[Grupo],MATCH(BD29,T_Equipos[NombreEquipo],0)))&amp;")")</f>
        <v>P.1 (4)</v>
      </c>
      <c r="DC29" s="756">
        <f ca="1">IF(DB29="-","-",COUNTIFS(T_Equipos[Rank],"&lt;"&amp;INDEX(T_Equipos[Rank],MATCH(BD29,T_Equipos[NombreEquipo],0)),$BC$6:$BC$53,INDEX(T_Equipos[Grupo],MATCH(BD29,T_Equipos[NombreEquipo],0)))+1)</f>
        <v>4</v>
      </c>
      <c r="DD29" s="756">
        <f ca="1">DA29+COUNTIFS($DB$6:$DB$53,DB29,$DC$6:DC$53,"&lt;"&amp;DC29,$BC$6:$BC$53,INDEX(T_Equipos[Grupo],MATCH(BD29,T_Equipos[NombreEquipo],0)))</f>
        <v>4</v>
      </c>
      <c r="DE29" s="756"/>
      <c r="DF29" s="756">
        <f t="shared" ca="1" si="52"/>
        <v>4</v>
      </c>
      <c r="DG29" s="756">
        <f ca="1">IF(DB29="-","-",COUNTIFS(DF$6:DF$53,"&lt;"&amp;DF29,$BC$6:$BC$53,INDEX(T_Equipos[Grupo],MATCH(BD29,T_Equipos[NombreEquipo],0))))</f>
        <v>3</v>
      </c>
      <c r="DH29" s="756">
        <f ca="1">DA29+COUNTIFS(DB$6:DB$53,DB29,DG$6:DG$53,"&lt;"&amp;DG29,$BC$6:$BC$53,INDEX(T_Equipos[Grupo],MATCH(BD29,T_Equipos[NombreEquipo],0)))</f>
        <v>4</v>
      </c>
      <c r="DI29" s="744"/>
      <c r="DJ29" s="744">
        <f t="shared" ca="1" si="53"/>
        <v>1</v>
      </c>
      <c r="DK29" s="744">
        <f t="shared" ca="1" si="24"/>
        <v>0</v>
      </c>
      <c r="DL29" s="744">
        <f t="shared" ca="1" si="33"/>
        <v>1</v>
      </c>
      <c r="DM29" s="738" t="str">
        <f t="shared" ca="1" si="34"/>
        <v>1.1</v>
      </c>
      <c r="DN29" s="744" cm="1">
        <f t="array" aca="1" ref="DN29" ca="1">OFFSET(Horarios!$P$3,DJ29-1,0,DL29,1)</f>
        <v>1</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19"/>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0</v>
      </c>
      <c r="BF30" s="748">
        <f t="shared" ca="1" si="26"/>
        <v>0</v>
      </c>
      <c r="BG30" s="748">
        <f t="shared" ca="1" si="17"/>
        <v>0</v>
      </c>
      <c r="BH30" s="748">
        <f t="shared" ca="1" si="18"/>
        <v>0</v>
      </c>
      <c r="BI30" s="748">
        <f t="shared" ca="1" si="19"/>
        <v>0</v>
      </c>
      <c r="BJ30" s="748">
        <f t="shared" ca="1" si="20"/>
        <v>0</v>
      </c>
      <c r="BK30" s="748">
        <f t="shared" ca="1" si="21"/>
        <v>0</v>
      </c>
      <c r="BL30" s="748">
        <f t="shared" ca="1" si="27"/>
        <v>0</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0</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0</v>
      </c>
      <c r="BW30" s="758">
        <f t="shared" ca="1" si="38"/>
        <v>0</v>
      </c>
      <c r="BX30" s="758">
        <f t="shared" ca="1" si="39"/>
        <v>0</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0</v>
      </c>
      <c r="CB30" s="758">
        <f t="shared" ca="1" si="41"/>
        <v>0</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0</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(4)</v>
      </c>
      <c r="CI30" s="758">
        <f t="shared" ca="1" si="44"/>
        <v>0</v>
      </c>
      <c r="CJ30" s="758">
        <f t="shared" ca="1" si="45"/>
        <v>0</v>
      </c>
      <c r="CK30" s="758">
        <f t="shared" ca="1" si="46"/>
        <v>0</v>
      </c>
      <c r="CL30" s="758">
        <f t="shared" ca="1" si="47"/>
        <v>0</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(4)</v>
      </c>
      <c r="CO30" s="758">
        <f t="shared" ca="1" si="48"/>
        <v>0</v>
      </c>
      <c r="CP30" s="758">
        <f t="shared" ca="1" si="49"/>
        <v>0</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(4)</v>
      </c>
      <c r="CT30" s="758">
        <f t="shared" ca="1" si="51"/>
        <v>0</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(4)</v>
      </c>
      <c r="CW30" s="757">
        <f t="shared" ca="1" si="30"/>
        <v>0</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P.1 (4)</v>
      </c>
      <c r="CZ30" s="757">
        <f t="shared" ca="1" si="31"/>
        <v>0</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P.1 (4)</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1</v>
      </c>
      <c r="DE30" s="756"/>
      <c r="DF30" s="756">
        <f t="shared" ca="1" si="52"/>
        <v>1</v>
      </c>
      <c r="DG30" s="756">
        <f ca="1">IF(DB30="-","-",COUNTIFS(DF$6:DF$53,"&lt;"&amp;DF30,$BC$6:$BC$53,INDEX(T_Equipos[Grupo],MATCH(BD30,T_Equipos[NombreEquipo],0))))</f>
        <v>0</v>
      </c>
      <c r="DH30" s="756">
        <f ca="1">DA30+COUNTIFS(DB$6:DB$53,DB30,DG$6:DG$53,"&lt;"&amp;DG30,$BC$6:$BC$53,INDEX(T_Equipos[Grupo],MATCH(BD30,T_Equipos[NombreEquipo],0)))</f>
        <v>1</v>
      </c>
      <c r="DI30" s="744"/>
      <c r="DJ30" s="744">
        <f t="shared" ca="1" si="53"/>
        <v>1</v>
      </c>
      <c r="DK30" s="744">
        <f t="shared" ca="1" si="24"/>
        <v>0</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19"/>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4">
        <f t="array" aca="1" ref="AK31" ca="1">Ver_flag_visit</f>
        <v>#VALUE!</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4"/>
      <c r="BC31" s="756" t="str">
        <f ca="1">+INDEX(T_Equipos[Grupo],MATCH(WORLDCUP!BD31,T_Equipos[NombreEquipo],0))</f>
        <v>G</v>
      </c>
      <c r="BD31" s="744" t="str">
        <f ca="1">+Equipos!B27</f>
        <v>Egipto</v>
      </c>
      <c r="BE31" s="748">
        <f t="shared" ca="1" si="25"/>
        <v>0</v>
      </c>
      <c r="BF31" s="748">
        <f t="shared" ca="1" si="26"/>
        <v>0</v>
      </c>
      <c r="BG31" s="748">
        <f t="shared" ca="1" si="17"/>
        <v>0</v>
      </c>
      <c r="BH31" s="748">
        <f t="shared" ca="1" si="18"/>
        <v>0</v>
      </c>
      <c r="BI31" s="748">
        <f t="shared" ca="1" si="19"/>
        <v>0</v>
      </c>
      <c r="BJ31" s="748">
        <f t="shared" ca="1" si="20"/>
        <v>0</v>
      </c>
      <c r="BK31" s="748">
        <f t="shared" ca="1" si="21"/>
        <v>0</v>
      </c>
      <c r="BL31" s="748">
        <f t="shared" ca="1" si="27"/>
        <v>0</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0</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0</v>
      </c>
      <c r="BW31" s="758">
        <f t="shared" ca="1" si="38"/>
        <v>0</v>
      </c>
      <c r="BX31" s="758">
        <f t="shared" ca="1" si="39"/>
        <v>0</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0</v>
      </c>
      <c r="CB31" s="758">
        <f t="shared" ca="1" si="41"/>
        <v>0</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0</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(4)</v>
      </c>
      <c r="CI31" s="758">
        <f t="shared" ca="1" si="44"/>
        <v>0</v>
      </c>
      <c r="CJ31" s="758">
        <f t="shared" ca="1" si="45"/>
        <v>0</v>
      </c>
      <c r="CK31" s="758">
        <f t="shared" ca="1" si="46"/>
        <v>0</v>
      </c>
      <c r="CL31" s="758">
        <f t="shared" ca="1" si="47"/>
        <v>0</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(4)</v>
      </c>
      <c r="CO31" s="758">
        <f t="shared" ca="1" si="48"/>
        <v>0</v>
      </c>
      <c r="CP31" s="758">
        <f t="shared" ca="1" si="49"/>
        <v>0</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(4)</v>
      </c>
      <c r="CT31" s="758">
        <f t="shared" ca="1" si="51"/>
        <v>0</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(4)</v>
      </c>
      <c r="CW31" s="757">
        <f t="shared" ca="1" si="30"/>
        <v>0</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P.1 (4)</v>
      </c>
      <c r="CZ31" s="757">
        <f t="shared" ca="1" si="31"/>
        <v>0</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P.1 (4)</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2</v>
      </c>
      <c r="DE31" s="756"/>
      <c r="DF31" s="756">
        <f t="shared" ca="1" si="52"/>
        <v>2</v>
      </c>
      <c r="DG31" s="756">
        <f ca="1">IF(DB31="-","-",COUNTIFS(DF$6:DF$53,"&lt;"&amp;DF31,$BC$6:$BC$53,INDEX(T_Equipos[Grupo],MATCH(BD31,T_Equipos[NombreEquipo],0))))</f>
        <v>1</v>
      </c>
      <c r="DH31" s="756">
        <f ca="1">DA31+COUNTIFS(DB$6:DB$53,DB31,DG$6:DG$53,"&lt;"&amp;DG31,$BC$6:$BC$53,INDEX(T_Equipos[Grupo],MATCH(BD31,T_Equipos[NombreEquipo],0)))</f>
        <v>2</v>
      </c>
      <c r="DI31" s="744"/>
      <c r="DJ31" s="744">
        <f t="shared" ca="1" si="53"/>
        <v>1</v>
      </c>
      <c r="DK31" s="744">
        <f t="shared" ca="1" si="24"/>
        <v>0</v>
      </c>
      <c r="DL31" s="744">
        <f t="shared" ca="1" si="33"/>
        <v>1</v>
      </c>
      <c r="DM31" s="738" t="str">
        <f t="shared" ca="1" si="34"/>
        <v>1.1</v>
      </c>
      <c r="DN31" s="744" cm="1">
        <f t="array" aca="1" ref="DN31" ca="1">OFFSET(Horarios!$P$3,DJ31-1,0,DL31,1)</f>
        <v>1</v>
      </c>
      <c r="DO31" s="744"/>
      <c r="DP31" s="744" t="s">
        <v>668</v>
      </c>
      <c r="DQ31" s="744" t="str">
        <f t="shared" ca="1" si="35"/>
        <v>Egipto</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1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5">
        <f t="array" aca="1" ref="AK32" ca="1">Ver_flag_visit</f>
        <v>#VALUE!</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4"/>
      <c r="BC32" s="756" t="str">
        <f ca="1">+INDEX(T_Equipos[Grupo],MATCH(WORLDCUP!BD32,T_Equipos[NombreEquipo],0))</f>
        <v>G</v>
      </c>
      <c r="BD32" s="744" t="str">
        <f ca="1">+Equipos!B28</f>
        <v>Irán</v>
      </c>
      <c r="BE32" s="748">
        <f t="shared" ca="1" si="25"/>
        <v>0</v>
      </c>
      <c r="BF32" s="748">
        <f t="shared" ca="1" si="26"/>
        <v>0</v>
      </c>
      <c r="BG32" s="748">
        <f t="shared" ca="1" si="17"/>
        <v>0</v>
      </c>
      <c r="BH32" s="748">
        <f t="shared" ca="1" si="18"/>
        <v>0</v>
      </c>
      <c r="BI32" s="748">
        <f t="shared" ca="1" si="19"/>
        <v>0</v>
      </c>
      <c r="BJ32" s="748">
        <f t="shared" ca="1" si="20"/>
        <v>0</v>
      </c>
      <c r="BK32" s="748">
        <f t="shared" ca="1" si="21"/>
        <v>0</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0</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0</v>
      </c>
      <c r="BW32" s="758">
        <f t="shared" ca="1" si="38"/>
        <v>0</v>
      </c>
      <c r="BX32" s="758">
        <f t="shared" ca="1" si="39"/>
        <v>0</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0</v>
      </c>
      <c r="CB32" s="758">
        <f t="shared" ca="1" si="41"/>
        <v>0</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0</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(4)</v>
      </c>
      <c r="CI32" s="758">
        <f t="shared" ca="1" si="44"/>
        <v>0</v>
      </c>
      <c r="CJ32" s="758">
        <f t="shared" ca="1" si="45"/>
        <v>0</v>
      </c>
      <c r="CK32" s="758">
        <f t="shared" ca="1" si="46"/>
        <v>0</v>
      </c>
      <c r="CL32" s="758">
        <f t="shared" ca="1" si="47"/>
        <v>0</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(4)</v>
      </c>
      <c r="CO32" s="758">
        <f t="shared" ca="1" si="48"/>
        <v>0</v>
      </c>
      <c r="CP32" s="758">
        <f t="shared" ca="1" si="49"/>
        <v>0</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(4)</v>
      </c>
      <c r="CT32" s="758">
        <f t="shared" ca="1" si="51"/>
        <v>0</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(4)</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(4)</v>
      </c>
      <c r="CZ32" s="757">
        <f t="shared" ca="1" si="31"/>
        <v>0</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(4)</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3</v>
      </c>
      <c r="DE32" s="756"/>
      <c r="DF32" s="756">
        <f t="shared" ca="1" si="52"/>
        <v>3</v>
      </c>
      <c r="DG32" s="756">
        <f ca="1">IF(DB32="-","-",COUNTIFS(DF$6:DF$53,"&lt;"&amp;DF32,$BC$6:$BC$53,INDEX(T_Equipos[Grupo],MATCH(BD32,T_Equipos[NombreEquipo],0))))</f>
        <v>2</v>
      </c>
      <c r="DH32" s="756">
        <f ca="1">DA32+COUNTIFS(DB$6:DB$53,DB32,DG$6:DG$53,"&lt;"&amp;DG32,$BC$6:$BC$53,INDEX(T_Equipos[Grupo],MATCH(BD32,T_Equipos[NombreEquipo],0)))</f>
        <v>3</v>
      </c>
      <c r="DI32" s="744"/>
      <c r="DJ32" s="744">
        <f t="shared" ca="1" si="53"/>
        <v>1</v>
      </c>
      <c r="DK32" s="744">
        <f t="shared" ca="1" si="24"/>
        <v>0</v>
      </c>
      <c r="DL32" s="744">
        <f t="shared" ca="1" si="33"/>
        <v>1</v>
      </c>
      <c r="DM32" s="738" t="str">
        <f t="shared" ca="1" si="34"/>
        <v>1.1</v>
      </c>
      <c r="DN32" s="744" cm="1">
        <f t="array" aca="1" ref="DN32" ca="1">OFFSET(Horarios!$P$3,DJ32-1,0,DL32,1)</f>
        <v>1</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2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0</v>
      </c>
      <c r="BF33" s="748">
        <f t="shared" ca="1" si="26"/>
        <v>0</v>
      </c>
      <c r="BG33" s="748">
        <f t="shared" ca="1" si="17"/>
        <v>0</v>
      </c>
      <c r="BH33" s="748">
        <f t="shared" ca="1" si="18"/>
        <v>0</v>
      </c>
      <c r="BI33" s="748">
        <f t="shared" ca="1" si="19"/>
        <v>0</v>
      </c>
      <c r="BJ33" s="748">
        <f t="shared" ca="1" si="20"/>
        <v>0</v>
      </c>
      <c r="BK33" s="748">
        <f t="shared" ca="1" si="21"/>
        <v>0</v>
      </c>
      <c r="BL33" s="748">
        <f t="shared" ca="1" si="27"/>
        <v>0</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0</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0</v>
      </c>
      <c r="BW33" s="758">
        <f t="shared" ca="1" si="38"/>
        <v>0</v>
      </c>
      <c r="BX33" s="758">
        <f t="shared" ca="1" si="39"/>
        <v>0</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0</v>
      </c>
      <c r="CB33" s="758">
        <f t="shared" ca="1" si="41"/>
        <v>0</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0</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(4)</v>
      </c>
      <c r="CI33" s="758">
        <f t="shared" ca="1" si="44"/>
        <v>0</v>
      </c>
      <c r="CJ33" s="758">
        <f t="shared" ca="1" si="45"/>
        <v>0</v>
      </c>
      <c r="CK33" s="758">
        <f t="shared" ca="1" si="46"/>
        <v>0</v>
      </c>
      <c r="CL33" s="758">
        <f t="shared" ca="1" si="47"/>
        <v>0</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(4)</v>
      </c>
      <c r="CO33" s="758">
        <f t="shared" ca="1" si="48"/>
        <v>0</v>
      </c>
      <c r="CP33" s="758">
        <f t="shared" ca="1" si="49"/>
        <v>0</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(4)</v>
      </c>
      <c r="CT33" s="758">
        <f t="shared" ca="1" si="51"/>
        <v>0</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(4)</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(4)</v>
      </c>
      <c r="CZ33" s="757">
        <f t="shared" ca="1" si="31"/>
        <v>0</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(4)</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4</v>
      </c>
      <c r="DE33" s="756"/>
      <c r="DF33" s="756">
        <f t="shared" ca="1" si="52"/>
        <v>4</v>
      </c>
      <c r="DG33" s="756">
        <f ca="1">IF(DB33="-","-",COUNTIFS(DF$6:DF$53,"&lt;"&amp;DF33,$BC$6:$BC$53,INDEX(T_Equipos[Grupo],MATCH(BD33,T_Equipos[NombreEquipo],0))))</f>
        <v>3</v>
      </c>
      <c r="DH33" s="756">
        <f ca="1">DA33+COUNTIFS(DB$6:DB$53,DB33,DG$6:DG$53,"&lt;"&amp;DG33,$BC$6:$BC$53,INDEX(T_Equipos[Grupo],MATCH(BD33,T_Equipos[NombreEquipo],0)))</f>
        <v>4</v>
      </c>
      <c r="DI33" s="744"/>
      <c r="DJ33" s="744">
        <f t="shared" ca="1" si="53"/>
        <v>1</v>
      </c>
      <c r="DK33" s="744">
        <f t="shared" ca="1" si="24"/>
        <v>0</v>
      </c>
      <c r="DL33" s="744">
        <f t="shared" ca="1" si="33"/>
        <v>1</v>
      </c>
      <c r="DM33" s="738" t="str">
        <f t="shared" ca="1" si="34"/>
        <v>1.1</v>
      </c>
      <c r="DN33" s="744" cm="1">
        <f t="array" aca="1" ref="DN33" ca="1">OFFSET(Horarios!$P$3,DJ33-1,0,DL33,1)</f>
        <v>1</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0</v>
      </c>
      <c r="BF34" s="748">
        <f t="shared" ca="1" si="26"/>
        <v>0</v>
      </c>
      <c r="BG34" s="748">
        <f t="shared" ca="1" si="17"/>
        <v>0</v>
      </c>
      <c r="BH34" s="748">
        <f t="shared" ca="1" si="18"/>
        <v>0</v>
      </c>
      <c r="BI34" s="748">
        <f t="shared" ca="1" si="19"/>
        <v>0</v>
      </c>
      <c r="BJ34" s="748">
        <f t="shared" ca="1" si="20"/>
        <v>0</v>
      </c>
      <c r="BK34" s="748">
        <f t="shared" ca="1" si="21"/>
        <v>0</v>
      </c>
      <c r="BL34" s="748">
        <f t="shared" ca="1" si="27"/>
        <v>0</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0</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0</v>
      </c>
      <c r="BW34" s="758">
        <f t="shared" ca="1" si="38"/>
        <v>0</v>
      </c>
      <c r="BX34" s="758">
        <f t="shared" ca="1" si="39"/>
        <v>0</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P.1 (4)</v>
      </c>
      <c r="CI34" s="758">
        <f t="shared" ca="1" si="44"/>
        <v>0</v>
      </c>
      <c r="CJ34" s="758">
        <f t="shared" ca="1" si="45"/>
        <v>0</v>
      </c>
      <c r="CK34" s="758">
        <f t="shared" ca="1" si="46"/>
        <v>0</v>
      </c>
      <c r="CL34" s="758">
        <f t="shared" ca="1" si="47"/>
        <v>0</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P.1 (4)</v>
      </c>
      <c r="CO34" s="758">
        <f t="shared" ca="1" si="48"/>
        <v>0</v>
      </c>
      <c r="CP34" s="758">
        <f t="shared" ca="1" si="49"/>
        <v>0</v>
      </c>
      <c r="CQ34" s="758">
        <f t="shared" ca="1" si="50"/>
        <v>0</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P.1 (4)</v>
      </c>
      <c r="CT34" s="758">
        <f t="shared" ca="1" si="51"/>
        <v>0</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P.1 (4)</v>
      </c>
      <c r="CW34" s="757">
        <f t="shared" ca="1" si="30"/>
        <v>0</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P.1 (4)</v>
      </c>
      <c r="CZ34" s="757">
        <f t="shared" ca="1" si="31"/>
        <v>0</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P.1 (4)</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1</v>
      </c>
      <c r="DE34" s="756"/>
      <c r="DF34" s="756">
        <f t="shared" ca="1" si="52"/>
        <v>1</v>
      </c>
      <c r="DG34" s="756">
        <f ca="1">IF(DB34="-","-",COUNTIFS(DF$6:DF$53,"&lt;"&amp;DF34,$BC$6:$BC$53,INDEX(T_Equipos[Grupo],MATCH(BD34,T_Equipos[NombreEquipo],0))))</f>
        <v>0</v>
      </c>
      <c r="DH34" s="756">
        <f ca="1">DA34+COUNTIFS(DB$6:DB$53,DB34,DG$6:DG$53,"&lt;"&amp;DG34,$BC$6:$BC$53,INDEX(T_Equipos[Grupo],MATCH(BD34,T_Equipos[NombreEquipo],0)))</f>
        <v>1</v>
      </c>
      <c r="DI34" s="744"/>
      <c r="DJ34" s="744">
        <f t="shared" ca="1" si="53"/>
        <v>1</v>
      </c>
      <c r="DK34" s="744">
        <f t="shared" ca="1" si="24"/>
        <v>0</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0</v>
      </c>
      <c r="BF35" s="748">
        <f t="shared" ca="1" si="26"/>
        <v>0</v>
      </c>
      <c r="BG35" s="748">
        <f t="shared" ca="1" si="17"/>
        <v>0</v>
      </c>
      <c r="BH35" s="748">
        <f t="shared" ca="1" si="18"/>
        <v>0</v>
      </c>
      <c r="BI35" s="748">
        <f t="shared" ca="1" si="19"/>
        <v>0</v>
      </c>
      <c r="BJ35" s="748">
        <f t="shared" ca="1" si="20"/>
        <v>0</v>
      </c>
      <c r="BK35" s="748">
        <f t="shared" ca="1" si="21"/>
        <v>0</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0</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0</v>
      </c>
      <c r="BW35" s="758">
        <f t="shared" ca="1" si="38"/>
        <v>0</v>
      </c>
      <c r="BX35" s="758">
        <f t="shared" ca="1" si="39"/>
        <v>0</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1</v>
      </c>
      <c r="CH35" s="757" t="str">
        <f ca="1">IF(COUNTIFS($CG$6:$CG$53,CG35,$BC$6:$BC$53,INDEX(T_Equipos[Grupo],MATCH(BD35,T_Equipos[NombreEquipo],0)))=1,"-","P."&amp;CG35&amp;" ("&amp;COUNTIFS($CG$6:$CG$53,CG35,$BC$6:$BC$53,INDEX(T_Equipos[Grupo],MATCH(BD35,T_Equipos[NombreEquipo],0)))&amp;")")</f>
        <v>P.1 (4)</v>
      </c>
      <c r="CI35" s="758">
        <f t="shared" ca="1" si="44"/>
        <v>0</v>
      </c>
      <c r="CJ35" s="758">
        <f t="shared" ca="1" si="45"/>
        <v>0</v>
      </c>
      <c r="CK35" s="758">
        <f t="shared" ca="1" si="46"/>
        <v>0</v>
      </c>
      <c r="CL35" s="758">
        <f t="shared" ca="1" si="47"/>
        <v>0</v>
      </c>
      <c r="CM35" s="758">
        <f ca="1">CG35+COUNTIFS($CH$6:$CH$53,CH35,$CL$6:CL$53,"&gt;"&amp;CL35,$BC$6:$BC$53,INDEX(T_Equipos[Grupo],MATCH(BD35,T_Equipos[NombreEquipo],0)))</f>
        <v>1</v>
      </c>
      <c r="CN35" s="757" t="str">
        <f ca="1">IF(COUNTIFS($CM$6:$CM$53,CM35,$BC$6:$BC$53,INDEX(T_Equipos[Grupo],MATCH(BD35,T_Equipos[NombreEquipo],0)))=1,"-","P."&amp;CM35&amp;" ("&amp;COUNTIFS($CM$6:$CM$53,CM35,$BC$6:$BC$53,INDEX(T_Equipos[Grupo],MATCH(BD35,T_Equipos[NombreEquipo],0)))&amp;")")</f>
        <v>P.1 (4)</v>
      </c>
      <c r="CO35" s="758">
        <f t="shared" ca="1" si="48"/>
        <v>0</v>
      </c>
      <c r="CP35" s="758">
        <f t="shared" ca="1" si="49"/>
        <v>0</v>
      </c>
      <c r="CQ35" s="758">
        <f t="shared" ca="1" si="50"/>
        <v>0</v>
      </c>
      <c r="CR35" s="758">
        <f ca="1">CM35+COUNTIFS($CN$6:$CN$53,CN35,$CQ$6:CQ$53,"&gt;"&amp;CQ35,$BC$6:$BC$53,INDEX(T_Equipos[Grupo],MATCH(BD35,T_Equipos[NombreEquipo],0)))</f>
        <v>1</v>
      </c>
      <c r="CS35" s="757" t="str">
        <f ca="1">IF(COUNTIFS($CR$6:$CR$53,CR35,$BC$6:$BC$53,INDEX(T_Equipos[Grupo],MATCH(BD35,T_Equipos[NombreEquipo],0)))=1,"-","P."&amp;CR35&amp;" ("&amp;COUNTIFS($CR$6:$CR$53,CR35,$BC$6:$BC$53,INDEX(T_Equipos[Grupo],MATCH(BD35,T_Equipos[NombreEquipo],0)))&amp;")")</f>
        <v>P.1 (4)</v>
      </c>
      <c r="CT35" s="758">
        <f t="shared" ca="1" si="51"/>
        <v>0</v>
      </c>
      <c r="CU35" s="758">
        <f ca="1">CR35+COUNTIFS($CS$6:$CS$53,CS35,$CT$6:CT$53,"&gt;"&amp;CT35,$BC$6:$BC$53,INDEX(T_Equipos[Grupo],MATCH(BD35,T_Equipos[NombreEquipo],0)))</f>
        <v>1</v>
      </c>
      <c r="CV35" s="757" t="str">
        <f ca="1">IF(COUNTIFS($CU$6:$CU$53,CU35,$BC$6:$BC$53,INDEX(T_Equipos[Grupo],MATCH(BD35,T_Equipos[NombreEquipo],0)))=1,"-","P."&amp;CU35&amp;" ("&amp;COUNTIFS($CU$6:$CU$53,CU35,$BC$6:$BC$53,INDEX(T_Equipos[Grupo],MATCH(BD35,T_Equipos[NombreEquipo],0)))&amp;")")</f>
        <v>P.1 (4)</v>
      </c>
      <c r="CW35" s="757">
        <f t="shared" ca="1" si="30"/>
        <v>0</v>
      </c>
      <c r="CX35" s="757">
        <f ca="1">CU35+COUNTIFS($CV$6:$CV$53,CV35,$CW$6:CW$53,"&gt;"&amp;CW35,$BC$6:$BC$53,INDEX(T_Equipos[Grupo],MATCH(BD35,T_Equipos[NombreEquipo],0)))</f>
        <v>1</v>
      </c>
      <c r="CY35" s="757" t="str">
        <f ca="1">IF(COUNTIFS($CX$6:$CX$53,CX35,$BC$6:$BC$53,INDEX(T_Equipos[Grupo],MATCH(BD35,T_Equipos[NombreEquipo],0)))=1,"-","P."&amp;CX35&amp;" ("&amp;COUNTIFS($CX$6:$CX$53,CX35,$BC$6:$BC$53,INDEX(T_Equipos[Grupo],MATCH(BD35,T_Equipos[NombreEquipo],0)))&amp;")")</f>
        <v>P.1 (4)</v>
      </c>
      <c r="CZ35" s="757">
        <f t="shared" ca="1" si="31"/>
        <v>0</v>
      </c>
      <c r="DA35" s="758">
        <f ca="1">CX35+COUNTIFS($CY$6:$CY$53,CY35,$CZ$6:CZ$53,"&gt;"&amp;CZ35,$BC$6:$BC$53,INDEX(T_Equipos[Grupo],MATCH(BD35,T_Equipos[NombreEquipo],0)))</f>
        <v>1</v>
      </c>
      <c r="DB35" s="757" t="str">
        <f ca="1">IF(COUNTIFS($DA$6:$DA$53,DA35,$BC$6:$BC$53,INDEX(T_Equipos[Grupo],MATCH(BD35,T_Equipos[NombreEquipo],0)))=1,"-","P."&amp;DA35&amp;" ("&amp;COUNTIFS($DA$6:$DA$53,DA35,$BC$6:$BC$53,INDEX(T_Equipos[Grupo],MATCH(BD35,T_Equipos[NombreEquipo],0)))&amp;")")</f>
        <v>P.1 (4)</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2</v>
      </c>
      <c r="DE35" s="756"/>
      <c r="DF35" s="756">
        <f t="shared" ca="1" si="52"/>
        <v>2</v>
      </c>
      <c r="DG35" s="756">
        <f ca="1">IF(DB35="-","-",COUNTIFS(DF$6:DF$53,"&lt;"&amp;DF35,$BC$6:$BC$53,INDEX(T_Equipos[Grupo],MATCH(BD35,T_Equipos[NombreEquipo],0))))</f>
        <v>1</v>
      </c>
      <c r="DH35" s="756">
        <f ca="1">DA35+COUNTIFS(DB$6:DB$53,DB35,DG$6:DG$53,"&lt;"&amp;DG35,$BC$6:$BC$53,INDEX(T_Equipos[Grupo],MATCH(BD35,T_Equipos[NombreEquipo],0)))</f>
        <v>2</v>
      </c>
      <c r="DI35" s="744"/>
      <c r="DJ35" s="744">
        <f t="shared" ca="1" si="53"/>
        <v>1</v>
      </c>
      <c r="DK35" s="744">
        <f t="shared" ca="1" si="24"/>
        <v>0</v>
      </c>
      <c r="DL35" s="744">
        <f t="shared" ca="1" si="33"/>
        <v>1</v>
      </c>
      <c r="DM35" s="738" t="str">
        <f t="shared" ca="1" si="34"/>
        <v>1.1</v>
      </c>
      <c r="DN35" s="744" cm="1">
        <f t="array" aca="1" ref="DN35" ca="1">OFFSET(Horarios!$P$3,DJ35-1,0,DL35,1)</f>
        <v>1</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Pendiente</v>
      </c>
      <c r="E36" s="744" t="str">
        <f t="shared" ref="E36:E41" si="116">IF(D36="Pendiente","-",INDEX($BT$6:$BT$53,MATCH($AA36,$BD$6:$BD$53,0)))</f>
        <v>-</v>
      </c>
      <c r="F36" s="744" t="str">
        <f t="shared" ref="F36:F41" si="117">IF(D36="Pendiente","-",INDEX($BT$6:$BT$53,MATCH($AF36,$BD$6:$BD$53,0)))</f>
        <v>-</v>
      </c>
      <c r="G36" s="744"/>
      <c r="H36" s="744" t="str">
        <f t="shared" ref="H36:H41" si="118">IF(D36="Pendiente","-",INDEX($BZ$6:$BZ$53,MATCH($AA36,$BD$6:$BD$53,0)))</f>
        <v>-</v>
      </c>
      <c r="I36" s="744" t="str">
        <f t="shared" ref="I36:I41" si="119">IF(D36="Pendiente","-",INDEX($BZ$6:$BZ$53,MATCH($AF36,$BD$6:$BD$53,0)))</f>
        <v>-</v>
      </c>
      <c r="J36" s="744"/>
      <c r="K36" s="744" t="str">
        <f t="shared" ref="K36:K41" si="120">IF(D36="Pendiente","-",INDEX($CE$6:$CE$53,MATCH($AA36,$BD$6:$BD$53,0)))</f>
        <v>-</v>
      </c>
      <c r="L36" s="744" t="str">
        <f t="shared" ref="L36:L41" si="121">IF(D36="Pendiente","-",INDEX($CE$6:$CE$53,MATCH($AF36,$BD$6:$BD$53,0)))</f>
        <v>-</v>
      </c>
      <c r="M36" s="744"/>
      <c r="N36" s="744" t="str">
        <f t="shared" ref="N36:N41" si="122">IF(D36="Pendiente","-",INDEX($CH$6:$CH$53,MATCH($AA36,$BD$6:$BD$53,0)))</f>
        <v>-</v>
      </c>
      <c r="O36" s="744" t="str">
        <f t="shared" ref="O36:O41" si="123">IF(D36="Pendiente","-",INDEX($CH$6:$CH$53,MATCH($AF36,$BD$6:$BD$53,0)))</f>
        <v>-</v>
      </c>
      <c r="P36" s="744"/>
      <c r="Q36" s="744" t="str">
        <f t="shared" ref="Q36:Q41" si="124">IF(D36="Pendiente","-",INDEX($CN$6:$CN$53,MATCH($AA36,$BD$6:$BD$53,0)))</f>
        <v>-</v>
      </c>
      <c r="R36" s="744" t="str">
        <f t="shared" ref="R36:R41" si="125">IF(D36="Pendiente","-",INDEX($CN$6:$CN$53,MATCH($AF36,$BD$6:$BD$53,0)))</f>
        <v>-</v>
      </c>
      <c r="S36" s="744"/>
      <c r="T36" s="744" t="str">
        <f t="shared" ref="T36:T41" si="126">IF(D36="Pendiente","-",INDEX($CS$6:$CS$53,MATCH($AA36,$BD$6:$BD$53,0)))</f>
        <v>-</v>
      </c>
      <c r="U36" s="744" t="str">
        <f t="shared" ref="U36:U41" si="127">IF(D36="Pendiente","-",INDEX($CS$6:$CS$53,MATCH($AF36,$BD$6:$BD$53,0)))</f>
        <v>-</v>
      </c>
      <c r="V36" s="172"/>
      <c r="W36" s="821" t="s">
        <v>3</v>
      </c>
      <c r="X36" s="189">
        <f ca="1">Horarios!C36</f>
        <v>46187.791666666664</v>
      </c>
      <c r="Y36" s="190">
        <f ca="1">Horarios!C36</f>
        <v>46187.791666666664</v>
      </c>
      <c r="Z36" s="191" t="str">
        <f>$Z$4</f>
        <v>J1</v>
      </c>
      <c r="AA36" s="192" t="str">
        <f ca="1">A37</f>
        <v>Alemania</v>
      </c>
      <c r="AB36" s="478" t="e" cm="1" vm="17">
        <f t="array" aca="1" ref="AB36" ca="1">Ver_flag_local</f>
        <v>#VALUE!</v>
      </c>
      <c r="AC36" s="193"/>
      <c r="AD36" s="194"/>
      <c r="AE36" s="483" t="e" cm="1" vm="18">
        <f t="array" aca="1" ref="AE36" ca="1">Ver_flag_visit</f>
        <v>#VALUE!</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0</v>
      </c>
      <c r="BF36" s="748">
        <f t="shared" ca="1" si="26"/>
        <v>0</v>
      </c>
      <c r="BG36" s="748">
        <f t="shared" ca="1" si="17"/>
        <v>0</v>
      </c>
      <c r="BH36" s="748">
        <f t="shared" ca="1" si="18"/>
        <v>0</v>
      </c>
      <c r="BI36" s="748">
        <f t="shared" ca="1" si="19"/>
        <v>0</v>
      </c>
      <c r="BJ36" s="748">
        <f t="shared" ca="1" si="20"/>
        <v>0</v>
      </c>
      <c r="BK36" s="748">
        <f t="shared" ca="1" si="21"/>
        <v>0</v>
      </c>
      <c r="BL36" s="748">
        <f t="shared" ca="1" si="27"/>
        <v>0</v>
      </c>
      <c r="BM36" s="748" t="str">
        <f t="shared" ca="1" si="22"/>
        <v>3H</v>
      </c>
      <c r="BN36" s="748" t="str">
        <f t="shared" ca="1" si="23"/>
        <v>3H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0</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0</v>
      </c>
      <c r="BW36" s="758">
        <f t="shared" ca="1" si="38"/>
        <v>0</v>
      </c>
      <c r="BX36" s="758">
        <f t="shared" ca="1" si="39"/>
        <v>0</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0</v>
      </c>
      <c r="CB36" s="758">
        <f t="shared" ca="1" si="41"/>
        <v>0</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0</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(4)</v>
      </c>
      <c r="CI36" s="758">
        <f t="shared" ca="1" si="44"/>
        <v>0</v>
      </c>
      <c r="CJ36" s="758">
        <f t="shared" ca="1" si="45"/>
        <v>0</v>
      </c>
      <c r="CK36" s="758">
        <f t="shared" ca="1" si="46"/>
        <v>0</v>
      </c>
      <c r="CL36" s="758">
        <f t="shared" ca="1" si="47"/>
        <v>0</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(4)</v>
      </c>
      <c r="CO36" s="758">
        <f t="shared" ca="1" si="48"/>
        <v>0</v>
      </c>
      <c r="CP36" s="758">
        <f t="shared" ca="1" si="49"/>
        <v>0</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(4)</v>
      </c>
      <c r="CT36" s="758">
        <f t="shared" ca="1" si="51"/>
        <v>0</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(4)</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(4)</v>
      </c>
      <c r="CZ36" s="757">
        <f t="shared" ca="1" si="31"/>
        <v>0</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(4)</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3</v>
      </c>
      <c r="DE36" s="756"/>
      <c r="DF36" s="756">
        <f t="shared" ca="1" si="52"/>
        <v>3</v>
      </c>
      <c r="DG36" s="756">
        <f ca="1">IF(DB36="-","-",COUNTIFS(DF$6:DF$53,"&lt;"&amp;DF36,$BC$6:$BC$53,INDEX(T_Equipos[Grupo],MATCH(BD36,T_Equipos[NombreEquipo],0))))</f>
        <v>2</v>
      </c>
      <c r="DH36" s="756">
        <f ca="1">DA36+COUNTIFS(DB$6:DB$53,DB36,DG$6:DG$53,"&lt;"&amp;DG36,$BC$6:$BC$53,INDEX(T_Equipos[Grupo],MATCH(BD36,T_Equipos[NombreEquipo],0)))</f>
        <v>3</v>
      </c>
      <c r="DI36" s="744"/>
      <c r="DJ36" s="744">
        <f t="shared" ca="1" si="53"/>
        <v>1</v>
      </c>
      <c r="DK36" s="744">
        <f t="shared" ca="1" si="24"/>
        <v>0</v>
      </c>
      <c r="DL36" s="744">
        <f t="shared" ca="1" si="33"/>
        <v>1</v>
      </c>
      <c r="DM36" s="738" t="str">
        <f t="shared" ca="1" si="34"/>
        <v>1.1</v>
      </c>
      <c r="DN36" s="744" cm="1">
        <f t="array" aca="1" ref="DN36" ca="1">OFFSET(Horarios!$P$3,DJ36-1,0,DL36,1)</f>
        <v>1</v>
      </c>
      <c r="DO36" s="744"/>
      <c r="DP36" s="744" t="s">
        <v>436</v>
      </c>
      <c r="DQ36" s="744" t="str">
        <f t="shared" ca="1" si="35"/>
        <v>Arabia Saudita</v>
      </c>
      <c r="DR36" s="744"/>
      <c r="DS36" s="744"/>
      <c r="DT36" s="744" t="str">
        <f t="shared" ca="1" si="15"/>
        <v>Alemania-Curazao</v>
      </c>
      <c r="DU36" s="744"/>
      <c r="DV36" s="744"/>
      <c r="DW36" s="8"/>
    </row>
    <row r="37" spans="1:127" ht="16.05" customHeight="1">
      <c r="A37" s="745" t="str">
        <f ca="1">+Equipos!B18</f>
        <v>Alemania</v>
      </c>
      <c r="B37" s="742"/>
      <c r="C37" s="742"/>
      <c r="D37" s="744" t="str">
        <f t="shared" si="115"/>
        <v>Pendiente</v>
      </c>
      <c r="E37" s="744" t="str">
        <f t="shared" si="116"/>
        <v>-</v>
      </c>
      <c r="F37" s="744" t="str">
        <f t="shared" si="117"/>
        <v>-</v>
      </c>
      <c r="G37" s="744"/>
      <c r="H37" s="744" t="str">
        <f t="shared" si="118"/>
        <v>-</v>
      </c>
      <c r="I37" s="744" t="str">
        <f t="shared" si="119"/>
        <v>-</v>
      </c>
      <c r="J37" s="744"/>
      <c r="K37" s="744" t="str">
        <f t="shared" si="120"/>
        <v>-</v>
      </c>
      <c r="L37" s="744" t="str">
        <f t="shared" si="121"/>
        <v>-</v>
      </c>
      <c r="M37" s="744"/>
      <c r="N37" s="744" t="str">
        <f t="shared" si="122"/>
        <v>-</v>
      </c>
      <c r="O37" s="744" t="str">
        <f t="shared" si="123"/>
        <v>-</v>
      </c>
      <c r="P37" s="744"/>
      <c r="Q37" s="744" t="str">
        <f t="shared" si="124"/>
        <v>-</v>
      </c>
      <c r="R37" s="744" t="str">
        <f t="shared" si="125"/>
        <v>-</v>
      </c>
      <c r="S37" s="744"/>
      <c r="T37" s="744" t="str">
        <f t="shared" si="126"/>
        <v>-</v>
      </c>
      <c r="U37" s="744" t="str">
        <f t="shared" si="127"/>
        <v>-</v>
      </c>
      <c r="V37" s="172"/>
      <c r="W37" s="821"/>
      <c r="X37" s="189">
        <f ca="1">Horarios!C37</f>
        <v>46188.041666666664</v>
      </c>
      <c r="Y37" s="190">
        <f ca="1">Horarios!C37</f>
        <v>46188.041666666664</v>
      </c>
      <c r="Z37" s="191" t="str">
        <f>$Z$4</f>
        <v>J1</v>
      </c>
      <c r="AA37" s="192" t="str">
        <f ca="1">A39</f>
        <v>Costa de Marfil</v>
      </c>
      <c r="AB37" s="478" t="e" cm="1" vm="19">
        <f t="array" aca="1" ref="AB37" ca="1">Ver_flag_local</f>
        <v>#VALUE!</v>
      </c>
      <c r="AC37" s="193"/>
      <c r="AD37" s="194"/>
      <c r="AE37" s="483" t="e" cm="1" vm="20">
        <f t="array" aca="1" ref="AE37" ca="1">Ver_flag_visit</f>
        <v>#VALUE!</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0</v>
      </c>
      <c r="BF37" s="748">
        <f t="shared" ca="1" si="26"/>
        <v>0</v>
      </c>
      <c r="BG37" s="748">
        <f t="shared" ca="1" si="17"/>
        <v>0</v>
      </c>
      <c r="BH37" s="748">
        <f t="shared" ca="1" si="18"/>
        <v>0</v>
      </c>
      <c r="BI37" s="748">
        <f t="shared" ca="1" si="19"/>
        <v>0</v>
      </c>
      <c r="BJ37" s="748">
        <f t="shared" ca="1" si="20"/>
        <v>0</v>
      </c>
      <c r="BK37" s="748">
        <f t="shared" ca="1" si="21"/>
        <v>0</v>
      </c>
      <c r="BL37" s="748">
        <f t="shared" ca="1" si="27"/>
        <v>0</v>
      </c>
      <c r="BM37" s="748" t="str">
        <f t="shared" ca="1" si="22"/>
        <v>4H</v>
      </c>
      <c r="BN37" s="748" t="str">
        <f t="shared" ca="1" si="23"/>
        <v>4H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0</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0</v>
      </c>
      <c r="BW37" s="758">
        <f t="shared" ca="1" si="38"/>
        <v>0</v>
      </c>
      <c r="BX37" s="758">
        <f t="shared" ca="1" si="39"/>
        <v>0</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0</v>
      </c>
      <c r="CB37" s="758">
        <f t="shared" ca="1" si="41"/>
        <v>0</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0</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(4)</v>
      </c>
      <c r="CI37" s="758">
        <f t="shared" ca="1" si="44"/>
        <v>0</v>
      </c>
      <c r="CJ37" s="758">
        <f t="shared" ca="1" si="45"/>
        <v>0</v>
      </c>
      <c r="CK37" s="758">
        <f t="shared" ca="1" si="46"/>
        <v>0</v>
      </c>
      <c r="CL37" s="758">
        <f t="shared" ca="1" si="47"/>
        <v>0</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(4)</v>
      </c>
      <c r="CO37" s="758">
        <f t="shared" ca="1" si="48"/>
        <v>0</v>
      </c>
      <c r="CP37" s="758">
        <f t="shared" ca="1" si="49"/>
        <v>0</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(4)</v>
      </c>
      <c r="CT37" s="758">
        <f t="shared" ca="1" si="51"/>
        <v>0</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(4)</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(4)</v>
      </c>
      <c r="CZ37" s="757">
        <f t="shared" ca="1" si="31"/>
        <v>0</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(4)</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4</v>
      </c>
      <c r="DE37" s="756"/>
      <c r="DF37" s="756">
        <f t="shared" ca="1" si="52"/>
        <v>4</v>
      </c>
      <c r="DG37" s="756">
        <f ca="1">IF(DB37="-","-",COUNTIFS(DF$6:DF$53,"&lt;"&amp;DF37,$BC$6:$BC$53,INDEX(T_Equipos[Grupo],MATCH(BD37,T_Equipos[NombreEquipo],0))))</f>
        <v>3</v>
      </c>
      <c r="DH37" s="756">
        <f ca="1">DA37+COUNTIFS(DB$6:DB$53,DB37,DG$6:DG$53,"&lt;"&amp;DG37,$BC$6:$BC$53,INDEX(T_Equipos[Grupo],MATCH(BD37,T_Equipos[NombreEquipo],0)))</f>
        <v>4</v>
      </c>
      <c r="DI37" s="744"/>
      <c r="DJ37" s="744">
        <f t="shared" ca="1" si="53"/>
        <v>1</v>
      </c>
      <c r="DK37" s="744">
        <f t="shared" ca="1" si="24"/>
        <v>0</v>
      </c>
      <c r="DL37" s="744">
        <f t="shared" ca="1" si="33"/>
        <v>1</v>
      </c>
      <c r="DM37" s="738" t="str">
        <f t="shared" ca="1" si="34"/>
        <v>1.1</v>
      </c>
      <c r="DN37" s="744" cm="1">
        <f t="array" aca="1" ref="DN37" ca="1">OFFSET(Horarios!$P$3,DJ37-1,0,DL37,1)</f>
        <v>1</v>
      </c>
      <c r="DO37" s="744"/>
      <c r="DP37" s="744" t="s">
        <v>672</v>
      </c>
      <c r="DQ37" s="744" t="str">
        <f t="shared" ca="1" si="35"/>
        <v>Uruguay</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21"/>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21"/>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8">
        <f t="array" aca="1" ref="AK39" ca="1">Ver_flag_visit</f>
        <v>#VALUE!</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2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19">
        <f t="array" aca="1" ref="AK40" ca="1">Ver_flag_visit</f>
        <v>#VALUE!</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2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20">
        <f t="array" aca="1" ref="AK41" ca="1">Ver_flag_visit</f>
        <v>#VALUE!</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Pendiente</v>
      </c>
      <c r="E44" s="744" t="str">
        <f t="shared" ref="E44:E49" si="137">IF(D44="Pendiente","-",INDEX($BT$6:$BT$53,MATCH($AA44,$BD$6:$BD$53,0)))</f>
        <v>-</v>
      </c>
      <c r="F44" s="744" t="str">
        <f t="shared" ref="F44:F49" si="138">IF(D44="Pendiente","-",INDEX($BT$6:$BT$53,MATCH($AF44,$BD$6:$BD$53,0)))</f>
        <v>-</v>
      </c>
      <c r="G44" s="744"/>
      <c r="H44" s="744" t="str">
        <f t="shared" ref="H44:H49" si="139">IF(D44="Pendiente","-",INDEX($BZ$6:$BZ$53,MATCH($AA44,$BD$6:$BD$53,0)))</f>
        <v>-</v>
      </c>
      <c r="I44" s="744" t="str">
        <f t="shared" ref="I44:I49" si="140">IF(D44="Pendiente","-",INDEX($BZ$6:$BZ$53,MATCH($AF44,$BD$6:$BD$53,0)))</f>
        <v>-</v>
      </c>
      <c r="J44" s="744"/>
      <c r="K44" s="744" t="str">
        <f t="shared" ref="K44:K49" si="141">IF(D44="Pendiente","-",INDEX($CE$6:$CE$53,MATCH($AA44,$BD$6:$BD$53,0)))</f>
        <v>-</v>
      </c>
      <c r="L44" s="744" t="str">
        <f t="shared" ref="L44:L49" si="142">IF(D44="Pendiente","-",INDEX($CE$6:$CE$53,MATCH($AF44,$BD$6:$BD$53,0)))</f>
        <v>-</v>
      </c>
      <c r="M44" s="744"/>
      <c r="N44" s="744" t="str">
        <f t="shared" ref="N44:N49" si="143">IF(D44="Pendiente","-",INDEX($CH$6:$CH$53,MATCH($AA44,$BD$6:$BD$53,0)))</f>
        <v>-</v>
      </c>
      <c r="O44" s="744" t="str">
        <f t="shared" ref="O44:O49" si="144">IF(D44="Pendiente","-",INDEX($CH$6:$CH$53,MATCH($AF44,$BD$6:$BD$53,0)))</f>
        <v>-</v>
      </c>
      <c r="P44" s="744"/>
      <c r="Q44" s="744" t="str">
        <f t="shared" ref="Q44:Q49" si="145">IF(D44="Pendiente","-",INDEX($CN$6:$CN$53,MATCH($AA44,$BD$6:$BD$53,0)))</f>
        <v>-</v>
      </c>
      <c r="R44" s="744" t="str">
        <f t="shared" ref="R44:R49" si="146">IF(D44="Pendiente","-",INDEX($CN$6:$CN$53,MATCH($AF44,$BD$6:$BD$53,0)))</f>
        <v>-</v>
      </c>
      <c r="S44" s="744"/>
      <c r="T44" s="744" t="str">
        <f t="shared" ref="T44:T49" si="147">IF(D44="Pendiente","-",INDEX($CS$6:$CS$53,MATCH($AA44,$BD$6:$BD$53,0)))</f>
        <v>-</v>
      </c>
      <c r="U44" s="744" t="str">
        <f t="shared" ref="U44:U49" si="148">IF(D44="Pendiente","-",INDEX($CS$6:$CS$53,MATCH($AF44,$BD$6:$BD$53,0)))</f>
        <v>-</v>
      </c>
      <c r="V44" s="172"/>
      <c r="W44" s="829" t="s">
        <v>4</v>
      </c>
      <c r="X44" s="189">
        <f ca="1">Horarios!C44</f>
        <v>46187.916666666664</v>
      </c>
      <c r="Y44" s="190">
        <f ca="1">Horarios!C44</f>
        <v>46187.916666666664</v>
      </c>
      <c r="Z44" s="191" t="str">
        <f>$Z$4</f>
        <v>J1</v>
      </c>
      <c r="AA44" s="192" t="str">
        <f ca="1">A45</f>
        <v>Países Bajos</v>
      </c>
      <c r="AB44" s="478" t="e" cm="1" vm="21">
        <f t="array" aca="1" ref="AB44" ca="1">Ver_flag_local</f>
        <v>#VALUE!</v>
      </c>
      <c r="AC44" s="193"/>
      <c r="AD44" s="194"/>
      <c r="AE44" s="483" t="e" cm="1" vm="22">
        <f t="array" aca="1" ref="AE44" ca="1">Ver_flag_visit</f>
        <v>#VALUE!</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Pendiente</v>
      </c>
      <c r="E45" s="744" t="str">
        <f t="shared" si="137"/>
        <v>-</v>
      </c>
      <c r="F45" s="744" t="str">
        <f t="shared" si="138"/>
        <v>-</v>
      </c>
      <c r="G45" s="744"/>
      <c r="H45" s="744" t="str">
        <f t="shared" si="139"/>
        <v>-</v>
      </c>
      <c r="I45" s="744" t="str">
        <f t="shared" si="140"/>
        <v>-</v>
      </c>
      <c r="J45" s="744"/>
      <c r="K45" s="744" t="str">
        <f t="shared" si="141"/>
        <v>-</v>
      </c>
      <c r="L45" s="744" t="str">
        <f t="shared" si="142"/>
        <v>-</v>
      </c>
      <c r="M45" s="744"/>
      <c r="N45" s="744" t="str">
        <f t="shared" si="143"/>
        <v>-</v>
      </c>
      <c r="O45" s="744" t="str">
        <f t="shared" si="144"/>
        <v>-</v>
      </c>
      <c r="P45" s="744"/>
      <c r="Q45" s="744" t="str">
        <f t="shared" si="145"/>
        <v>-</v>
      </c>
      <c r="R45" s="744" t="str">
        <f t="shared" si="146"/>
        <v>-</v>
      </c>
      <c r="S45" s="744"/>
      <c r="T45" s="744" t="str">
        <f t="shared" si="147"/>
        <v>-</v>
      </c>
      <c r="U45" s="744" t="str">
        <f t="shared" si="148"/>
        <v>-</v>
      </c>
      <c r="V45" s="172"/>
      <c r="W45" s="829"/>
      <c r="X45" s="189">
        <f ca="1">Horarios!C45</f>
        <v>46188.166666666664</v>
      </c>
      <c r="Y45" s="190">
        <f ca="1">Horarios!C45</f>
        <v>46188.166666666664</v>
      </c>
      <c r="Z45" s="191" t="str">
        <f>$Z$4</f>
        <v>J1</v>
      </c>
      <c r="AA45" s="192" t="str">
        <f ca="1">A47</f>
        <v>Suecia</v>
      </c>
      <c r="AB45" s="478" t="e" cm="1" vm="23">
        <f t="array" aca="1" ref="AB45" ca="1">Ver_flag_local</f>
        <v>#VALUE!</v>
      </c>
      <c r="AC45" s="193"/>
      <c r="AD45" s="194"/>
      <c r="AE45" s="483" t="e" cm="1" vm="24">
        <f t="array" aca="1" ref="AE45" ca="1">Ver_flag_visit</f>
        <v>#VALUE!</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29"/>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29"/>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29"/>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30"/>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Pendiente</v>
      </c>
      <c r="E52" s="744" t="str">
        <f t="shared" ref="E52:E57" si="156">IF(D52="Pendiente","-",INDEX($BT$6:$BT$53,MATCH($AA52,$BD$6:$BD$53,0)))</f>
        <v>-</v>
      </c>
      <c r="F52" s="744" t="str">
        <f t="shared" ref="F52:F57" si="157">IF(D52="Pendiente","-",INDEX($BT$6:$BT$53,MATCH($AF52,$BD$6:$BD$53,0)))</f>
        <v>-</v>
      </c>
      <c r="G52" s="744"/>
      <c r="H52" s="744" t="str">
        <f t="shared" ref="H52:H57" si="158">IF(D52="Pendiente","-",INDEX($BZ$6:$BZ$53,MATCH($AA52,$BD$6:$BD$53,0)))</f>
        <v>-</v>
      </c>
      <c r="I52" s="744" t="str">
        <f t="shared" ref="I52:I57" si="159">IF(D52="Pendiente","-",INDEX($BZ$6:$BZ$53,MATCH($AF52,$BD$6:$BD$53,0)))</f>
        <v>-</v>
      </c>
      <c r="J52" s="744"/>
      <c r="K52" s="744" t="str">
        <f t="shared" ref="K52:K57" si="160">IF(D52="Pendiente","-",INDEX($CE$6:$CE$53,MATCH($AA52,$BD$6:$BD$53,0)))</f>
        <v>-</v>
      </c>
      <c r="L52" s="744" t="str">
        <f t="shared" ref="L52:L57" si="161">IF(D52="Pendiente","-",INDEX($CE$6:$CE$53,MATCH($AF52,$BD$6:$BD$53,0)))</f>
        <v>-</v>
      </c>
      <c r="M52" s="744"/>
      <c r="N52" s="744" t="str">
        <f t="shared" ref="N52:N57" si="162">IF(D52="Pendiente","-",INDEX($CH$6:$CH$53,MATCH($AA52,$BD$6:$BD$53,0)))</f>
        <v>-</v>
      </c>
      <c r="O52" s="744" t="str">
        <f t="shared" ref="O52:O57" si="163">IF(D52="Pendiente","-",INDEX($CH$6:$CH$53,MATCH($AF52,$BD$6:$BD$53,0)))</f>
        <v>-</v>
      </c>
      <c r="P52" s="744"/>
      <c r="Q52" s="744" t="str">
        <f t="shared" ref="Q52:Q57" si="164">IF(D52="Pendiente","-",INDEX($CN$6:$CN$53,MATCH($AA52,$BD$6:$BD$53,0)))</f>
        <v>-</v>
      </c>
      <c r="R52" s="744" t="str">
        <f t="shared" ref="R52:R57" si="165">IF(D52="Pendiente","-",INDEX($CN$6:$CN$53,MATCH($AF52,$BD$6:$BD$53,0)))</f>
        <v>-</v>
      </c>
      <c r="S52" s="744"/>
      <c r="T52" s="744" t="str">
        <f t="shared" ref="T52:T57" si="166">IF(D52="Pendiente","-",INDEX($CS$6:$CS$53,MATCH($AA52,$BD$6:$BD$53,0)))</f>
        <v>-</v>
      </c>
      <c r="U52" s="744" t="str">
        <f t="shared" ref="U52:U57" si="167">IF(D52="Pendiente","-",INDEX($CS$6:$CS$53,MATCH($AF52,$BD$6:$BD$53,0)))</f>
        <v>-</v>
      </c>
      <c r="V52" s="172"/>
      <c r="W52" s="849" t="s">
        <v>6</v>
      </c>
      <c r="X52" s="189">
        <f ca="1">Horarios!C52</f>
        <v>46188.875</v>
      </c>
      <c r="Y52" s="190">
        <f ca="1">Horarios!C52</f>
        <v>46188.875</v>
      </c>
      <c r="Z52" s="191" t="str">
        <f>$Z$4</f>
        <v>J1</v>
      </c>
      <c r="AA52" s="192" t="str">
        <f ca="1">A53</f>
        <v>Bélgica</v>
      </c>
      <c r="AB52" s="478" t="e" cm="1" vm="25">
        <f t="array" aca="1" ref="AB52" ca="1">Ver_flag_local</f>
        <v>#VALUE!</v>
      </c>
      <c r="AC52" s="193"/>
      <c r="AD52" s="194"/>
      <c r="AE52" s="483" t="e" cm="1" vm="26">
        <f t="array" aca="1" ref="AE52" ca="1">Ver_flag_visit</f>
        <v>#VALUE!</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Pendiente</v>
      </c>
      <c r="E53" s="744" t="str">
        <f t="shared" si="156"/>
        <v>-</v>
      </c>
      <c r="F53" s="744" t="str">
        <f t="shared" si="157"/>
        <v>-</v>
      </c>
      <c r="G53" s="744"/>
      <c r="H53" s="744" t="str">
        <f t="shared" si="158"/>
        <v>-</v>
      </c>
      <c r="I53" s="744" t="str">
        <f t="shared" si="159"/>
        <v>-</v>
      </c>
      <c r="J53" s="744"/>
      <c r="K53" s="744" t="str">
        <f t="shared" si="160"/>
        <v>-</v>
      </c>
      <c r="L53" s="744" t="str">
        <f t="shared" si="161"/>
        <v>-</v>
      </c>
      <c r="M53" s="744"/>
      <c r="N53" s="744" t="str">
        <f t="shared" si="162"/>
        <v>-</v>
      </c>
      <c r="O53" s="744" t="str">
        <f t="shared" si="163"/>
        <v>-</v>
      </c>
      <c r="P53" s="744"/>
      <c r="Q53" s="744" t="str">
        <f t="shared" si="164"/>
        <v>-</v>
      </c>
      <c r="R53" s="744" t="str">
        <f t="shared" si="165"/>
        <v>-</v>
      </c>
      <c r="S53" s="744"/>
      <c r="T53" s="744" t="str">
        <f t="shared" si="166"/>
        <v>-</v>
      </c>
      <c r="U53" s="744" t="str">
        <f t="shared" si="167"/>
        <v>-</v>
      </c>
      <c r="V53" s="172"/>
      <c r="W53" s="849"/>
      <c r="X53" s="189">
        <f ca="1">Horarios!C53</f>
        <v>46189.125</v>
      </c>
      <c r="Y53" s="190">
        <f ca="1">Horarios!C53</f>
        <v>46189.125</v>
      </c>
      <c r="Z53" s="191" t="str">
        <f>$Z$4</f>
        <v>J1</v>
      </c>
      <c r="AA53" s="192" t="str">
        <f ca="1">A55</f>
        <v>Irán</v>
      </c>
      <c r="AB53" s="478" t="e" cm="1" vm="27">
        <f t="array" aca="1" ref="AB53" ca="1">Ver_flag_local</f>
        <v>#VALUE!</v>
      </c>
      <c r="AC53" s="193"/>
      <c r="AD53" s="194"/>
      <c r="AE53" s="483" t="e" cm="1" vm="28">
        <f t="array" aca="1" ref="AE53" ca="1">Ver_flag_visit</f>
        <v>#VALUE!</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49"/>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49"/>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49"/>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7">
        <f t="array" aca="1" ref="AK56" ca="1">Ver_flag_visit</f>
        <v>#VALUE!</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50"/>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0</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0</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8">
        <f ca="1">BJ58-BK58</f>
        <v>0</v>
      </c>
      <c r="BM58" s="748">
        <f ca="1">CB58</f>
        <v>10</v>
      </c>
      <c r="BN58" s="748">
        <f ca="1">CF58</f>
        <v>10</v>
      </c>
      <c r="BO58" s="738" t="str">
        <f>"4"&amp;BC58</f>
        <v>4A</v>
      </c>
      <c r="BP58" s="738"/>
      <c r="BQ58" s="738"/>
      <c r="BR58" s="748">
        <f t="shared" ref="BR58:BR69" ca="1" si="179">+BE58</f>
        <v>0</v>
      </c>
      <c r="BS58" s="748">
        <f ca="1">COUNTIFS(BR$58:BR$69,"&gt;"&amp;BR58)+1</f>
        <v>1</v>
      </c>
      <c r="BT58" s="748" t="str">
        <f ca="1">IF(COUNTIF(BS$58:BS$69,BS58)=1,"-","Pos. "&amp;BS58&amp;" ("&amp;COUNTIF(BS$58:BS$69,BS58)&amp;")")</f>
        <v>Pos. 1 (12)</v>
      </c>
      <c r="BU58" s="748">
        <f t="shared" ref="BU58:BU69" ca="1" si="180">IF(BT58="-","-",BL58)</f>
        <v>0</v>
      </c>
      <c r="BV58" s="748">
        <f t="shared" ref="BV58:BV69" ca="1" si="181">BS58+COUNTIFS(BT$58:BT$69,BT58,BU$58:BU$69,"&gt;"&amp;BU58)</f>
        <v>1</v>
      </c>
      <c r="BW58" s="748" t="str">
        <f t="shared" ref="BW58:BW69" ca="1" si="182">IF(COUNTIF(BV$58:BV$69,BV58)=1,"-","Pos. "&amp;BV58&amp;" ("&amp;COUNTIF(BV$58:BV$69,BV58)&amp;")")</f>
        <v>Pos. 1 (12)</v>
      </c>
      <c r="BX58" s="748">
        <f t="shared" ref="BX58:BX69" ca="1" si="183">IF(BW58="-","-",BJ58)</f>
        <v>0</v>
      </c>
      <c r="BY58" s="748">
        <f t="shared" ref="BY58:BY69" ca="1" si="184">BV58+COUNTIFS(BW$58:BW$69,BW58,BX$58:BX$69,"&gt;"&amp;BX58)</f>
        <v>1</v>
      </c>
      <c r="BZ58" s="748" t="str">
        <f t="shared" ref="BZ58:BZ69" ca="1" si="185">IF(COUNTIF(BY$58:BY$69,BY58)=1,"-","Pos. "&amp;BY58&amp;" ("&amp;COUNTIF(BY$58:BY$69,BY58)&amp;")")</f>
        <v>Pos. 1 (12)</v>
      </c>
      <c r="CA58" s="748">
        <f ca="1">IF(BZ58="-","-",COUNTIF($BD$58:$BD$69,"&gt;"&amp;BD58))</f>
        <v>2</v>
      </c>
      <c r="CB58" s="748">
        <f ca="1">BY58+COUNTIFS(BZ$58:BZ$69,BZ58,CA$58:CA$69,"&gt;"&amp;CA58)</f>
        <v>10</v>
      </c>
      <c r="CC58" s="748"/>
      <c r="CD58" s="748">
        <f ca="1">IF(OR(INDEX($AW$102:$AW$113,MATCH($BD58,$AV$102:$AV$113,0))="",BZ58="-"),CB58,INDEX($AW$102:$AW$113,MATCH($BD58,$AV$102:$AV$113,0))+CB58/1000)</f>
        <v>10</v>
      </c>
      <c r="CE58" s="748">
        <f ca="1">IF(BZ58="-","-",COUNTIF(CD$58:CD$69,"&lt;"&amp;CD58))</f>
        <v>9</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Arabia Saudita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0</v>
      </c>
      <c r="BF59" s="748">
        <f t="shared" ref="BF59:BF69" ca="1" si="190">+BG59+BH59+BI59</f>
        <v>0</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0</v>
      </c>
      <c r="BI59" s="748">
        <f t="shared" ca="1" si="176"/>
        <v>0</v>
      </c>
      <c r="BJ59" s="748">
        <f t="shared" ca="1" si="177"/>
        <v>0</v>
      </c>
      <c r="BK59" s="748">
        <f t="shared" ca="1" si="178"/>
        <v>0</v>
      </c>
      <c r="BL59" s="748">
        <f t="shared" ref="BL59:BL69" ca="1" si="193">BJ59-BK59</f>
        <v>0</v>
      </c>
      <c r="BM59" s="748">
        <f t="shared" ref="BM59:BM69" ca="1" si="194">CB59</f>
        <v>4</v>
      </c>
      <c r="BN59" s="748">
        <f t="shared" ref="BN59:BN69" ca="1" si="195">CF59</f>
        <v>4</v>
      </c>
      <c r="BO59" s="738" t="str">
        <f t="shared" ref="BO59:BO69" si="196">"4"&amp;BC59</f>
        <v>4B</v>
      </c>
      <c r="BP59" s="738"/>
      <c r="BQ59" s="738"/>
      <c r="BR59" s="748">
        <f t="shared" ca="1" si="179"/>
        <v>0</v>
      </c>
      <c r="BS59" s="748">
        <f t="shared" ref="BS59:BS69" ca="1" si="197">COUNTIFS(BR$58:BR$69,"&gt;"&amp;BR59)+1</f>
        <v>1</v>
      </c>
      <c r="BT59" s="748" t="str">
        <f t="shared" ref="BT59:BT69" ca="1" si="198">IF(COUNTIF(BS$58:BS$69,BS59)=1,"-","Pos. "&amp;BS59&amp;" ("&amp;COUNTIF(BS$58:BS$69,BS59)&amp;")")</f>
        <v>Pos. 1 (12)</v>
      </c>
      <c r="BU59" s="748">
        <f t="shared" ca="1" si="180"/>
        <v>0</v>
      </c>
      <c r="BV59" s="748">
        <f t="shared" ca="1" si="181"/>
        <v>1</v>
      </c>
      <c r="BW59" s="748" t="str">
        <f t="shared" ca="1" si="182"/>
        <v>Pos. 1 (12)</v>
      </c>
      <c r="BX59" s="748">
        <f t="shared" ca="1" si="183"/>
        <v>0</v>
      </c>
      <c r="BY59" s="748">
        <f t="shared" ca="1" si="184"/>
        <v>1</v>
      </c>
      <c r="BZ59" s="748" t="str">
        <f t="shared" ca="1" si="185"/>
        <v>Pos. 1 (12)</v>
      </c>
      <c r="CA59" s="748">
        <f t="shared" ref="CA59:CA69" ca="1" si="199">IF(BZ59="-","-",COUNTIF($BD$58:$BD$69,"&gt;"&amp;BD59))</f>
        <v>8</v>
      </c>
      <c r="CB59" s="748">
        <f t="shared" ref="CB59:CB68" ca="1" si="200">BY59+COUNTIFS(BZ$58:BZ$69,BZ59,CA$58:CA$69,"&gt;"&amp;CA59)</f>
        <v>4</v>
      </c>
      <c r="CC59" s="748"/>
      <c r="CD59" s="748">
        <f t="shared" ref="CD59:CD69" ca="1" si="201">IF(OR(INDEX($AW$102:$AW$113,MATCH($BD59,$AV$102:$AV$113,0))="",BZ59="-"),CB59,INDEX($AW$102:$AW$113,MATCH($BD59,$AV$102:$AV$113,0))+CB59/1000)</f>
        <v>4</v>
      </c>
      <c r="CE59" s="748">
        <f t="shared" ref="CE59:CE69" ca="1" si="202">IF(BZ59="-","-",COUNTIF(CD$58:CD$69,"&lt;"&amp;CD59))</f>
        <v>3</v>
      </c>
      <c r="CF59" s="748">
        <f t="shared" ref="CF59:CF69" ca="1" si="203">BY59+COUNTIFS(BZ$58:BZ$69,BZ59,CE$58:CE$69,"&lt;"&amp;CE59)</f>
        <v>4</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1</v>
      </c>
      <c r="DK59" s="744"/>
      <c r="DL59" s="744">
        <f t="shared" ref="DL59:DL69" ca="1" si="204">IF(OR($H$113=144,$AJ$99=144),COUNTIF($DJ$58:$DJ$69,DJ59),1)</f>
        <v>1</v>
      </c>
      <c r="DM59" s="738" t="str">
        <f t="shared" ca="1" si="187"/>
        <v>1.1</v>
      </c>
      <c r="DN59" s="744" cm="1">
        <f t="array" aca="1" ref="DN59" ca="1">OFFSET(Horarios!$P$3,DJ59-1,0,DL59,1)</f>
        <v>1</v>
      </c>
      <c r="DO59" s="744"/>
      <c r="DP59" s="744">
        <v>2</v>
      </c>
      <c r="DQ59" s="744" t="str">
        <f t="shared" ref="DQ59:DQ69" ca="1" si="205">INDEX($BD$58:$BD$69,MATCH(DP59,$BM$58:$BM$69,0))</f>
        <v>Australia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Pendiente</v>
      </c>
      <c r="E60" s="744" t="str">
        <f t="shared" ref="E60:E65" si="207">IF(D60="Pendiente","-",INDEX($BT$6:$BT$53,MATCH($AA60,$BD$6:$BD$53,0)))</f>
        <v>-</v>
      </c>
      <c r="F60" s="744" t="str">
        <f t="shared" ref="F60:F65" si="208">IF(D60="Pendiente","-",INDEX($BT$6:$BT$53,MATCH($AF60,$BD$6:$BD$53,0)))</f>
        <v>-</v>
      </c>
      <c r="G60" s="744"/>
      <c r="H60" s="744" t="str">
        <f t="shared" ref="H60:H65" si="209">IF(D60="Pendiente","-",INDEX($BZ$6:$BZ$53,MATCH($AA60,$BD$6:$BD$53,0)))</f>
        <v>-</v>
      </c>
      <c r="I60" s="744" t="str">
        <f t="shared" ref="I60:I65" si="210">IF(D60="Pendiente","-",INDEX($BZ$6:$BZ$53,MATCH($AF60,$BD$6:$BD$53,0)))</f>
        <v>-</v>
      </c>
      <c r="J60" s="744"/>
      <c r="K60" s="744" t="str">
        <f t="shared" ref="K60:K65" si="211">IF(D60="Pendiente","-",INDEX($CE$6:$CE$53,MATCH($AA60,$BD$6:$BD$53,0)))</f>
        <v>-</v>
      </c>
      <c r="L60" s="744" t="str">
        <f t="shared" ref="L60:L65" si="212">IF(D60="Pendiente","-",INDEX($CE$6:$CE$53,MATCH($AF60,$BD$6:$BD$53,0)))</f>
        <v>-</v>
      </c>
      <c r="M60" s="744"/>
      <c r="N60" s="744" t="str">
        <f t="shared" ref="N60:N65" si="213">IF(D60="Pendiente","-",INDEX($CH$6:$CH$53,MATCH($AA60,$BD$6:$BD$53,0)))</f>
        <v>-</v>
      </c>
      <c r="O60" s="744" t="str">
        <f t="shared" ref="O60:O65" si="214">IF(D60="Pendiente","-",INDEX($CH$6:$CH$53,MATCH($AF60,$BD$6:$BD$53,0)))</f>
        <v>-</v>
      </c>
      <c r="P60" s="744"/>
      <c r="Q60" s="744" t="str">
        <f t="shared" ref="Q60:Q65" si="215">IF(D60="Pendiente","-",INDEX($CN$6:$CN$53,MATCH($AA60,$BD$6:$BD$53,0)))</f>
        <v>-</v>
      </c>
      <c r="R60" s="744" t="str">
        <f t="shared" ref="R60:R65" si="216">IF(D60="Pendiente","-",INDEX($CN$6:$CN$53,MATCH($AF60,$BD$6:$BD$53,0)))</f>
        <v>-</v>
      </c>
      <c r="S60" s="744"/>
      <c r="T60" s="744" t="str">
        <f t="shared" ref="T60:T65" si="217">IF(D60="Pendiente","-",INDEX($CS$6:$CS$53,MATCH($AA60,$BD$6:$BD$53,0)))</f>
        <v>-</v>
      </c>
      <c r="U60" s="744" t="str">
        <f t="shared" ref="U60:U65" si="218">IF(D60="Pendiente","-",INDEX($CS$6:$CS$53,MATCH($AF60,$BD$6:$BD$53,0)))</f>
        <v>-</v>
      </c>
      <c r="V60" s="172"/>
      <c r="W60" s="831" t="s">
        <v>437</v>
      </c>
      <c r="X60" s="189">
        <f ca="1">Horarios!C60</f>
        <v>46188.75</v>
      </c>
      <c r="Y60" s="190">
        <f ca="1">Horarios!C60</f>
        <v>46188.75</v>
      </c>
      <c r="Z60" s="191" t="str">
        <f>$Z$4</f>
        <v>J1</v>
      </c>
      <c r="AA60" s="192" t="str">
        <f ca="1">A61</f>
        <v>España</v>
      </c>
      <c r="AB60" s="478" t="e" cm="1" vm="29">
        <f t="array" aca="1" ref="AB60" ca="1">Ver_flag_local</f>
        <v>#VALUE!</v>
      </c>
      <c r="AC60" s="193"/>
      <c r="AD60" s="194"/>
      <c r="AE60" s="483" t="e" cm="1" vm="30">
        <f t="array" aca="1" ref="AE60" ca="1">Ver_flag_visit</f>
        <v>#VALUE!</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Haití</v>
      </c>
      <c r="BE60" s="748">
        <f t="shared" ca="1" si="189"/>
        <v>0</v>
      </c>
      <c r="BF60" s="748">
        <f t="shared" ca="1" si="190"/>
        <v>0</v>
      </c>
      <c r="BG60" s="748">
        <f t="shared" ca="1" si="191"/>
        <v>0</v>
      </c>
      <c r="BH60" s="748">
        <f t="shared" ca="1" si="192"/>
        <v>0</v>
      </c>
      <c r="BI60" s="748">
        <f t="shared" ca="1" si="176"/>
        <v>0</v>
      </c>
      <c r="BJ60" s="748">
        <f t="shared" ca="1" si="177"/>
        <v>0</v>
      </c>
      <c r="BK60" s="748">
        <f t="shared" ca="1" si="178"/>
        <v>0</v>
      </c>
      <c r="BL60" s="748">
        <f t="shared" ca="1" si="193"/>
        <v>0</v>
      </c>
      <c r="BM60" s="748">
        <f t="shared" ca="1" si="194"/>
        <v>7</v>
      </c>
      <c r="BN60" s="748">
        <f t="shared" ca="1" si="195"/>
        <v>7</v>
      </c>
      <c r="BO60" s="738" t="str">
        <f t="shared" si="196"/>
        <v>4C</v>
      </c>
      <c r="BP60" s="738"/>
      <c r="BQ60" s="738"/>
      <c r="BR60" s="748">
        <f t="shared" ca="1" si="179"/>
        <v>0</v>
      </c>
      <c r="BS60" s="748">
        <f t="shared" ca="1" si="197"/>
        <v>1</v>
      </c>
      <c r="BT60" s="748" t="str">
        <f t="shared" ca="1" si="198"/>
        <v>Pos. 1 (12)</v>
      </c>
      <c r="BU60" s="748">
        <f t="shared" ca="1" si="180"/>
        <v>0</v>
      </c>
      <c r="BV60" s="748">
        <f t="shared" ca="1" si="181"/>
        <v>1</v>
      </c>
      <c r="BW60" s="748" t="str">
        <f t="shared" ca="1" si="182"/>
        <v>Pos. 1 (12)</v>
      </c>
      <c r="BX60" s="748">
        <f t="shared" ca="1" si="183"/>
        <v>0</v>
      </c>
      <c r="BY60" s="748">
        <f t="shared" ca="1" si="184"/>
        <v>1</v>
      </c>
      <c r="BZ60" s="748" t="str">
        <f t="shared" ca="1" si="185"/>
        <v>Pos. 1 (12)</v>
      </c>
      <c r="CA60" s="748">
        <f t="shared" ca="1" si="199"/>
        <v>5</v>
      </c>
      <c r="CB60" s="748">
        <f t="shared" ca="1" si="200"/>
        <v>7</v>
      </c>
      <c r="CC60" s="748"/>
      <c r="CD60" s="748">
        <f t="shared" ca="1" si="201"/>
        <v>7</v>
      </c>
      <c r="CE60" s="748">
        <f t="shared" ca="1" si="202"/>
        <v>6</v>
      </c>
      <c r="CF60" s="748">
        <f t="shared" ca="1" si="203"/>
        <v>7</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1</v>
      </c>
      <c r="DK60" s="744"/>
      <c r="DL60" s="744">
        <f t="shared" ca="1" si="204"/>
        <v>1</v>
      </c>
      <c r="DM60" s="738" t="str">
        <f t="shared" ca="1" si="187"/>
        <v>1.1</v>
      </c>
      <c r="DN60" s="744" cm="1">
        <f t="array" aca="1" ref="DN60" ca="1">OFFSET(Horarios!$P$3,DJ60-1,0,DL60,1)</f>
        <v>1</v>
      </c>
      <c r="DO60" s="744"/>
      <c r="DP60" s="744">
        <v>3</v>
      </c>
      <c r="DQ60" s="744" t="str">
        <f t="shared" ca="1" si="205"/>
        <v>Austria</v>
      </c>
      <c r="DR60" s="744"/>
      <c r="DS60" s="744"/>
      <c r="DT60" s="744" t="str">
        <f t="shared" ca="1" si="15"/>
        <v>España-Cabo Verde</v>
      </c>
      <c r="DU60" s="744"/>
      <c r="DV60" s="744"/>
      <c r="DW60" s="8"/>
    </row>
    <row r="61" spans="1:127">
      <c r="A61" s="745" t="str">
        <f ca="1">+Equipos!B30</f>
        <v>España</v>
      </c>
      <c r="B61" s="742"/>
      <c r="C61" s="742"/>
      <c r="D61" s="744" t="str">
        <f t="shared" si="206"/>
        <v>Pendiente</v>
      </c>
      <c r="E61" s="744" t="str">
        <f t="shared" si="207"/>
        <v>-</v>
      </c>
      <c r="F61" s="744" t="str">
        <f t="shared" si="208"/>
        <v>-</v>
      </c>
      <c r="G61" s="744"/>
      <c r="H61" s="744" t="str">
        <f t="shared" si="209"/>
        <v>-</v>
      </c>
      <c r="I61" s="744" t="str">
        <f t="shared" si="210"/>
        <v>-</v>
      </c>
      <c r="J61" s="744"/>
      <c r="K61" s="744" t="str">
        <f t="shared" si="211"/>
        <v>-</v>
      </c>
      <c r="L61" s="744" t="str">
        <f t="shared" si="212"/>
        <v>-</v>
      </c>
      <c r="M61" s="744"/>
      <c r="N61" s="744" t="str">
        <f t="shared" si="213"/>
        <v>-</v>
      </c>
      <c r="O61" s="744" t="str">
        <f t="shared" si="214"/>
        <v>-</v>
      </c>
      <c r="P61" s="744"/>
      <c r="Q61" s="744" t="str">
        <f t="shared" si="215"/>
        <v>-</v>
      </c>
      <c r="R61" s="744" t="str">
        <f t="shared" si="216"/>
        <v>-</v>
      </c>
      <c r="S61" s="744"/>
      <c r="T61" s="744" t="str">
        <f t="shared" si="217"/>
        <v>-</v>
      </c>
      <c r="U61" s="744" t="str">
        <f t="shared" si="218"/>
        <v>-</v>
      </c>
      <c r="V61" s="172"/>
      <c r="W61" s="831"/>
      <c r="X61" s="189">
        <f ca="1">Horarios!C61</f>
        <v>46189</v>
      </c>
      <c r="Y61" s="190">
        <f ca="1">Horarios!C61</f>
        <v>46189</v>
      </c>
      <c r="Z61" s="191" t="str">
        <f>$Z$4</f>
        <v>J1</v>
      </c>
      <c r="AA61" s="192" t="str">
        <f ca="1">A63</f>
        <v>Arabia Saudita</v>
      </c>
      <c r="AB61" s="478" t="e" cm="1" vm="31">
        <f t="array" aca="1" ref="AB61" ca="1">Ver_flag_local</f>
        <v>#VALUE!</v>
      </c>
      <c r="AC61" s="193"/>
      <c r="AD61" s="194"/>
      <c r="AE61" s="483" t="e" cm="1" vm="32">
        <f t="array" aca="1" ref="AE61" ca="1">Ver_flag_visit</f>
        <v>#VALUE!</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Australia</v>
      </c>
      <c r="BE61" s="748">
        <f t="shared" ca="1" si="189"/>
        <v>0</v>
      </c>
      <c r="BF61" s="748">
        <f t="shared" ca="1" si="190"/>
        <v>0</v>
      </c>
      <c r="BG61" s="748">
        <f t="shared" ca="1" si="191"/>
        <v>0</v>
      </c>
      <c r="BH61" s="748">
        <f t="shared" ca="1" si="192"/>
        <v>0</v>
      </c>
      <c r="BI61" s="748">
        <f t="shared" ca="1" si="176"/>
        <v>0</v>
      </c>
      <c r="BJ61" s="748">
        <f t="shared" ca="1" si="177"/>
        <v>0</v>
      </c>
      <c r="BK61" s="748">
        <f t="shared" ca="1" si="178"/>
        <v>0</v>
      </c>
      <c r="BL61" s="748">
        <f t="shared" ca="1" si="193"/>
        <v>0</v>
      </c>
      <c r="BM61" s="748">
        <f t="shared" ca="1" si="194"/>
        <v>2</v>
      </c>
      <c r="BN61" s="748">
        <f t="shared" ca="1" si="195"/>
        <v>2</v>
      </c>
      <c r="BO61" s="738" t="str">
        <f t="shared" si="196"/>
        <v>4D</v>
      </c>
      <c r="BP61" s="738"/>
      <c r="BQ61" s="738"/>
      <c r="BR61" s="748">
        <f t="shared" ca="1" si="179"/>
        <v>0</v>
      </c>
      <c r="BS61" s="748">
        <f t="shared" ca="1" si="197"/>
        <v>1</v>
      </c>
      <c r="BT61" s="748" t="str">
        <f t="shared" ca="1" si="198"/>
        <v>Pos. 1 (12)</v>
      </c>
      <c r="BU61" s="748">
        <f t="shared" ca="1" si="180"/>
        <v>0</v>
      </c>
      <c r="BV61" s="748">
        <f t="shared" ca="1" si="181"/>
        <v>1</v>
      </c>
      <c r="BW61" s="748" t="str">
        <f t="shared" ca="1" si="182"/>
        <v>Pos. 1 (12)</v>
      </c>
      <c r="BX61" s="748">
        <f t="shared" ca="1" si="183"/>
        <v>0</v>
      </c>
      <c r="BY61" s="748">
        <f t="shared" ca="1" si="184"/>
        <v>1</v>
      </c>
      <c r="BZ61" s="748" t="str">
        <f t="shared" ca="1" si="185"/>
        <v>Pos. 1 (12)</v>
      </c>
      <c r="CA61" s="748">
        <f t="shared" ca="1" si="199"/>
        <v>10</v>
      </c>
      <c r="CB61" s="748">
        <f t="shared" ca="1" si="200"/>
        <v>2</v>
      </c>
      <c r="CC61" s="748"/>
      <c r="CD61" s="748">
        <f t="shared" ca="1" si="201"/>
        <v>2</v>
      </c>
      <c r="CE61" s="748">
        <f t="shared" ca="1" si="202"/>
        <v>1</v>
      </c>
      <c r="CF61" s="748">
        <f t="shared" ca="1" si="203"/>
        <v>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1</v>
      </c>
      <c r="DK61" s="744"/>
      <c r="DL61" s="744">
        <f t="shared" ca="1" si="204"/>
        <v>1</v>
      </c>
      <c r="DM61" s="738" t="str">
        <f t="shared" ca="1" si="187"/>
        <v>1.1</v>
      </c>
      <c r="DN61" s="744" cm="1">
        <f t="array" aca="1" ref="DN61" ca="1">OFFSET(Horarios!$P$3,DJ61-1,0,DL61,1)</f>
        <v>1</v>
      </c>
      <c r="DO61" s="744"/>
      <c r="DP61" s="744">
        <v>4</v>
      </c>
      <c r="DQ61" s="744" t="str">
        <f t="shared" ca="1" si="205"/>
        <v>Catar</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31"/>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Costa de Marfil</v>
      </c>
      <c r="BE62" s="748">
        <f t="shared" ca="1" si="189"/>
        <v>0</v>
      </c>
      <c r="BF62" s="748">
        <f t="shared" ca="1" si="190"/>
        <v>0</v>
      </c>
      <c r="BG62" s="748">
        <f t="shared" ca="1" si="191"/>
        <v>0</v>
      </c>
      <c r="BH62" s="748">
        <f t="shared" ca="1" si="192"/>
        <v>0</v>
      </c>
      <c r="BI62" s="748">
        <f t="shared" ca="1" si="176"/>
        <v>0</v>
      </c>
      <c r="BJ62" s="748">
        <f t="shared" ca="1" si="177"/>
        <v>0</v>
      </c>
      <c r="BK62" s="748">
        <f t="shared" ca="1" si="178"/>
        <v>0</v>
      </c>
      <c r="BL62" s="748">
        <f t="shared" ca="1" si="193"/>
        <v>0</v>
      </c>
      <c r="BM62" s="748">
        <f t="shared" ca="1" si="194"/>
        <v>5</v>
      </c>
      <c r="BN62" s="748">
        <f t="shared" ca="1" si="195"/>
        <v>5</v>
      </c>
      <c r="BO62" s="738" t="str">
        <f t="shared" si="196"/>
        <v>4E</v>
      </c>
      <c r="BP62" s="738"/>
      <c r="BQ62" s="738"/>
      <c r="BR62" s="748">
        <f t="shared" ca="1" si="179"/>
        <v>0</v>
      </c>
      <c r="BS62" s="748">
        <f t="shared" ca="1" si="197"/>
        <v>1</v>
      </c>
      <c r="BT62" s="748" t="str">
        <f t="shared" ca="1" si="198"/>
        <v>Pos. 1 (12)</v>
      </c>
      <c r="BU62" s="748">
        <f t="shared" ca="1" si="180"/>
        <v>0</v>
      </c>
      <c r="BV62" s="748">
        <f t="shared" ca="1" si="181"/>
        <v>1</v>
      </c>
      <c r="BW62" s="748" t="str">
        <f t="shared" ca="1" si="182"/>
        <v>Pos. 1 (12)</v>
      </c>
      <c r="BX62" s="748">
        <f t="shared" ca="1" si="183"/>
        <v>0</v>
      </c>
      <c r="BY62" s="748">
        <f t="shared" ca="1" si="184"/>
        <v>1</v>
      </c>
      <c r="BZ62" s="748" t="str">
        <f t="shared" ca="1" si="185"/>
        <v>Pos. 1 (12)</v>
      </c>
      <c r="CA62" s="748">
        <f t="shared" ca="1" si="199"/>
        <v>7</v>
      </c>
      <c r="CB62" s="748">
        <f t="shared" ca="1" si="200"/>
        <v>5</v>
      </c>
      <c r="CC62" s="748"/>
      <c r="CD62" s="748">
        <f t="shared" ca="1" si="201"/>
        <v>5</v>
      </c>
      <c r="CE62" s="748">
        <f t="shared" ca="1" si="202"/>
        <v>4</v>
      </c>
      <c r="CF62" s="748">
        <f t="shared" ca="1" si="203"/>
        <v>5</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1</v>
      </c>
      <c r="DK62" s="744"/>
      <c r="DL62" s="744">
        <f t="shared" ca="1" si="204"/>
        <v>1</v>
      </c>
      <c r="DM62" s="738" t="str">
        <f t="shared" ca="1" si="187"/>
        <v>1.1</v>
      </c>
      <c r="DN62" s="744" cm="1">
        <f t="array" aca="1" ref="DN62" ca="1">OFFSET(Horarios!$P$3,DJ62-1,0,DL62,1)</f>
        <v>1</v>
      </c>
      <c r="DO62" s="744"/>
      <c r="DP62" s="744">
        <v>5</v>
      </c>
      <c r="DQ62" s="744" t="str">
        <f t="shared" ca="1" si="205"/>
        <v>Costa de Marfil</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31"/>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0</v>
      </c>
      <c r="BF63" s="748">
        <f t="shared" ca="1" si="190"/>
        <v>0</v>
      </c>
      <c r="BG63" s="748">
        <f t="shared" ca="1" si="191"/>
        <v>0</v>
      </c>
      <c r="BH63" s="748">
        <f t="shared" ca="1" si="192"/>
        <v>0</v>
      </c>
      <c r="BI63" s="748">
        <f t="shared" ca="1" si="176"/>
        <v>0</v>
      </c>
      <c r="BJ63" s="748">
        <f t="shared" ca="1" si="177"/>
        <v>0</v>
      </c>
      <c r="BK63" s="748">
        <f t="shared" ca="1" si="178"/>
        <v>0</v>
      </c>
      <c r="BL63" s="748">
        <f t="shared" ca="1" si="193"/>
        <v>0</v>
      </c>
      <c r="BM63" s="748">
        <f t="shared" ca="1" si="194"/>
        <v>11</v>
      </c>
      <c r="BN63" s="748">
        <f t="shared" ca="1" si="195"/>
        <v>11</v>
      </c>
      <c r="BO63" s="738" t="str">
        <f t="shared" si="196"/>
        <v>4F</v>
      </c>
      <c r="BP63" s="738"/>
      <c r="BQ63" s="738"/>
      <c r="BR63" s="748">
        <f t="shared" ca="1" si="179"/>
        <v>0</v>
      </c>
      <c r="BS63" s="748">
        <f t="shared" ca="1" si="197"/>
        <v>1</v>
      </c>
      <c r="BT63" s="748" t="str">
        <f t="shared" ca="1" si="198"/>
        <v>Pos. 1 (12)</v>
      </c>
      <c r="BU63" s="748">
        <f t="shared" ca="1" si="180"/>
        <v>0</v>
      </c>
      <c r="BV63" s="748">
        <f t="shared" ca="1" si="181"/>
        <v>1</v>
      </c>
      <c r="BW63" s="748" t="str">
        <f t="shared" ca="1" si="182"/>
        <v>Pos. 1 (12)</v>
      </c>
      <c r="BX63" s="748">
        <f t="shared" ca="1" si="183"/>
        <v>0</v>
      </c>
      <c r="BY63" s="748">
        <f t="shared" ca="1" si="184"/>
        <v>1</v>
      </c>
      <c r="BZ63" s="748" t="str">
        <f t="shared" ca="1" si="185"/>
        <v>Pos. 1 (12)</v>
      </c>
      <c r="CA63" s="748">
        <f t="shared" ca="1" si="199"/>
        <v>1</v>
      </c>
      <c r="CB63" s="748">
        <f t="shared" ca="1" si="200"/>
        <v>11</v>
      </c>
      <c r="CC63" s="748"/>
      <c r="CD63" s="748">
        <f t="shared" ca="1" si="201"/>
        <v>11</v>
      </c>
      <c r="CE63" s="748">
        <f t="shared" ca="1" si="202"/>
        <v>10</v>
      </c>
      <c r="CF63" s="748">
        <f t="shared" ca="1" si="203"/>
        <v>11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1</v>
      </c>
      <c r="DK63" s="744"/>
      <c r="DL63" s="744">
        <f t="shared" ca="1" si="204"/>
        <v>1</v>
      </c>
      <c r="DM63" s="738" t="str">
        <f t="shared" ca="1" si="187"/>
        <v>1.1</v>
      </c>
      <c r="DN63" s="744" cm="1">
        <f t="array" aca="1" ref="DN63" ca="1">OFFSET(Horarios!$P$3,DJ63-1,0,DL63,1)</f>
        <v>1</v>
      </c>
      <c r="DO63" s="744"/>
      <c r="DP63" s="744">
        <v>6</v>
      </c>
      <c r="DQ63" s="744" t="str">
        <f t="shared" ca="1" si="205"/>
        <v>Ghana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31"/>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1">
        <f t="array" aca="1" ref="AK64" ca="1">Ver_flag_visit</f>
        <v>#VALUE!</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9" t="str">
        <f t="shared" si="188"/>
        <v>3G</v>
      </c>
      <c r="BC64" s="756" t="s">
        <v>6</v>
      </c>
      <c r="BD64" s="744" t="str">
        <f t="shared" ca="1" si="175"/>
        <v>Irán</v>
      </c>
      <c r="BE64" s="748">
        <f t="shared" ca="1" si="189"/>
        <v>0</v>
      </c>
      <c r="BF64" s="748">
        <f t="shared" ca="1" si="190"/>
        <v>0</v>
      </c>
      <c r="BG64" s="748">
        <f t="shared" ca="1" si="191"/>
        <v>0</v>
      </c>
      <c r="BH64" s="748">
        <f t="shared" ca="1" si="192"/>
        <v>0</v>
      </c>
      <c r="BI64" s="748">
        <f t="shared" ca="1" si="176"/>
        <v>0</v>
      </c>
      <c r="BJ64" s="748">
        <f t="shared" ca="1" si="177"/>
        <v>0</v>
      </c>
      <c r="BK64" s="748">
        <f t="shared" ca="1" si="178"/>
        <v>0</v>
      </c>
      <c r="BL64" s="748">
        <f t="shared" ca="1" si="193"/>
        <v>0</v>
      </c>
      <c r="BM64" s="748">
        <f t="shared" ca="1" si="194"/>
        <v>9</v>
      </c>
      <c r="BN64" s="748">
        <f t="shared" ca="1" si="195"/>
        <v>9</v>
      </c>
      <c r="BO64" s="738" t="str">
        <f t="shared" si="196"/>
        <v>4G</v>
      </c>
      <c r="BP64" s="738"/>
      <c r="BQ64" s="738"/>
      <c r="BR64" s="748">
        <f t="shared" ca="1" si="179"/>
        <v>0</v>
      </c>
      <c r="BS64" s="748">
        <f t="shared" ca="1" si="197"/>
        <v>1</v>
      </c>
      <c r="BT64" s="748" t="str">
        <f t="shared" ca="1" si="198"/>
        <v>Pos. 1 (12)</v>
      </c>
      <c r="BU64" s="748">
        <f t="shared" ca="1" si="180"/>
        <v>0</v>
      </c>
      <c r="BV64" s="748">
        <f t="shared" ca="1" si="181"/>
        <v>1</v>
      </c>
      <c r="BW64" s="748" t="str">
        <f t="shared" ca="1" si="182"/>
        <v>Pos. 1 (12)</v>
      </c>
      <c r="BX64" s="748">
        <f t="shared" ca="1" si="183"/>
        <v>0</v>
      </c>
      <c r="BY64" s="748">
        <f t="shared" ca="1" si="184"/>
        <v>1</v>
      </c>
      <c r="BZ64" s="748" t="str">
        <f t="shared" ca="1" si="185"/>
        <v>Pos. 1 (12)</v>
      </c>
      <c r="CA64" s="748">
        <f t="shared" ca="1" si="199"/>
        <v>3</v>
      </c>
      <c r="CB64" s="748">
        <f t="shared" ca="1" si="200"/>
        <v>9</v>
      </c>
      <c r="CC64" s="748"/>
      <c r="CD64" s="748">
        <f t="shared" ca="1" si="201"/>
        <v>9</v>
      </c>
      <c r="CE64" s="748">
        <f t="shared" ca="1" si="202"/>
        <v>8</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1</v>
      </c>
      <c r="DK64" s="744"/>
      <c r="DL64" s="744">
        <f t="shared" ca="1" si="204"/>
        <v>1</v>
      </c>
      <c r="DM64" s="738" t="str">
        <f t="shared" ca="1" si="187"/>
        <v>1.1</v>
      </c>
      <c r="DN64" s="744" cm="1">
        <f t="array" aca="1" ref="DN64" ca="1">OFFSET(Horarios!$P$3,DJ64-1,0,DL64,1)</f>
        <v>1</v>
      </c>
      <c r="DO64" s="744"/>
      <c r="DP64" s="744">
        <v>7</v>
      </c>
      <c r="DQ64" s="744" t="str">
        <f t="shared" ca="1" si="205"/>
        <v>Haití</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32"/>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2">
        <f t="array" aca="1" ref="AK65" ca="1">Ver_flag_visit</f>
        <v>#VALUE!</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9" t="str">
        <f t="shared" si="188"/>
        <v>3H</v>
      </c>
      <c r="BC65" s="756" t="s">
        <v>437</v>
      </c>
      <c r="BD65" s="744" t="str">
        <f t="shared" ca="1" si="175"/>
        <v>Arabia Saudita</v>
      </c>
      <c r="BE65" s="748">
        <f t="shared" ca="1" si="189"/>
        <v>0</v>
      </c>
      <c r="BF65" s="748">
        <f t="shared" ca="1" si="190"/>
        <v>0</v>
      </c>
      <c r="BG65" s="748">
        <f t="shared" ca="1" si="191"/>
        <v>0</v>
      </c>
      <c r="BH65" s="748">
        <f t="shared" ca="1" si="192"/>
        <v>0</v>
      </c>
      <c r="BI65" s="748">
        <f t="shared" ca="1" si="176"/>
        <v>0</v>
      </c>
      <c r="BJ65" s="748">
        <f t="shared" ca="1" si="177"/>
        <v>0</v>
      </c>
      <c r="BK65" s="748">
        <f t="shared" ca="1" si="178"/>
        <v>0</v>
      </c>
      <c r="BL65" s="748">
        <f t="shared" ca="1" si="193"/>
        <v>0</v>
      </c>
      <c r="BM65" s="748">
        <f t="shared" ca="1" si="194"/>
        <v>1</v>
      </c>
      <c r="BN65" s="748">
        <f t="shared" ca="1" si="195"/>
        <v>1</v>
      </c>
      <c r="BO65" s="738" t="str">
        <f t="shared" si="196"/>
        <v>4H</v>
      </c>
      <c r="BP65" s="738"/>
      <c r="BQ65" s="738"/>
      <c r="BR65" s="748">
        <f t="shared" ca="1" si="179"/>
        <v>0</v>
      </c>
      <c r="BS65" s="748">
        <f t="shared" ca="1" si="197"/>
        <v>1</v>
      </c>
      <c r="BT65" s="748" t="str">
        <f t="shared" ca="1" si="198"/>
        <v>Pos. 1 (12)</v>
      </c>
      <c r="BU65" s="748">
        <f t="shared" ca="1" si="180"/>
        <v>0</v>
      </c>
      <c r="BV65" s="748">
        <f t="shared" ca="1" si="181"/>
        <v>1</v>
      </c>
      <c r="BW65" s="748" t="str">
        <f t="shared" ca="1" si="182"/>
        <v>Pos. 1 (12)</v>
      </c>
      <c r="BX65" s="748">
        <f t="shared" ca="1" si="183"/>
        <v>0</v>
      </c>
      <c r="BY65" s="748">
        <f t="shared" ca="1" si="184"/>
        <v>1</v>
      </c>
      <c r="BZ65" s="748" t="str">
        <f t="shared" ca="1" si="185"/>
        <v>Pos. 1 (12)</v>
      </c>
      <c r="CA65" s="748">
        <f t="shared" ca="1" si="199"/>
        <v>11</v>
      </c>
      <c r="CB65" s="748">
        <f t="shared" ca="1" si="200"/>
        <v>1</v>
      </c>
      <c r="CC65" s="748"/>
      <c r="CD65" s="748">
        <f t="shared" ca="1" si="201"/>
        <v>1</v>
      </c>
      <c r="CE65" s="748">
        <f t="shared" ca="1" si="202"/>
        <v>0</v>
      </c>
      <c r="CF65" s="748">
        <f t="shared" ca="1" si="203"/>
        <v>1</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1</v>
      </c>
      <c r="DK65" s="744"/>
      <c r="DL65" s="744">
        <f t="shared" ca="1" si="204"/>
        <v>1</v>
      </c>
      <c r="DM65" s="738" t="str">
        <f t="shared" ca="1" si="187"/>
        <v>1.1</v>
      </c>
      <c r="DN65" s="744" cm="1">
        <f t="array" aca="1" ref="DN65" ca="1">OFFSET(Horarios!$P$3,DJ65-1,0,DL65,1)</f>
        <v>1</v>
      </c>
      <c r="DO65" s="744"/>
      <c r="DP65" s="744">
        <v>8</v>
      </c>
      <c r="DQ65" s="744" t="str">
        <f t="shared" ca="1" si="205"/>
        <v>Irak</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8</v>
      </c>
      <c r="BN66" s="748">
        <f t="shared" ca="1" si="195"/>
        <v>8</v>
      </c>
      <c r="BO66" s="738" t="str">
        <f t="shared" si="196"/>
        <v>4I</v>
      </c>
      <c r="BP66" s="738"/>
      <c r="BQ66" s="738"/>
      <c r="BR66" s="748">
        <f t="shared" ca="1" si="179"/>
        <v>0</v>
      </c>
      <c r="BS66" s="748">
        <f t="shared" ca="1" si="197"/>
        <v>1</v>
      </c>
      <c r="BT66" s="748" t="str">
        <f t="shared" ca="1" si="198"/>
        <v>Pos. 1 (12)</v>
      </c>
      <c r="BU66" s="748">
        <f t="shared" ca="1" si="180"/>
        <v>0</v>
      </c>
      <c r="BV66" s="748">
        <f t="shared" ca="1" si="181"/>
        <v>1</v>
      </c>
      <c r="BW66" s="748" t="str">
        <f t="shared" ca="1" si="182"/>
        <v>Pos. 1 (12)</v>
      </c>
      <c r="BX66" s="748">
        <f t="shared" ca="1" si="183"/>
        <v>0</v>
      </c>
      <c r="BY66" s="748">
        <f t="shared" ca="1" si="184"/>
        <v>1</v>
      </c>
      <c r="BZ66" s="748" t="str">
        <f t="shared" ca="1" si="185"/>
        <v>Pos. 1 (12)</v>
      </c>
      <c r="CA66" s="748">
        <f t="shared" ca="1" si="199"/>
        <v>4</v>
      </c>
      <c r="CB66" s="748">
        <f t="shared" ca="1" si="200"/>
        <v>8</v>
      </c>
      <c r="CC66" s="748"/>
      <c r="CD66" s="748">
        <f t="shared" ca="1" si="201"/>
        <v>8</v>
      </c>
      <c r="CE66" s="748">
        <f t="shared" ca="1" si="202"/>
        <v>7</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1</v>
      </c>
      <c r="DK66" s="744"/>
      <c r="DL66" s="744">
        <f t="shared" ca="1" si="204"/>
        <v>1</v>
      </c>
      <c r="DM66" s="738" t="str">
        <f t="shared" ca="1" si="187"/>
        <v>1.1</v>
      </c>
      <c r="DN66" s="744" cm="1">
        <f t="array" aca="1" ref="DN66" ca="1">OFFSET(Horarios!$P$3,DJ66-1,0,DL66,1)</f>
        <v>1</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3</v>
      </c>
      <c r="BN67" s="748">
        <f t="shared" ca="1" si="195"/>
        <v>3</v>
      </c>
      <c r="BO67" s="738" t="str">
        <f t="shared" si="196"/>
        <v>4J</v>
      </c>
      <c r="BP67" s="738"/>
      <c r="BQ67" s="738"/>
      <c r="BR67" s="748">
        <f t="shared" ca="1" si="179"/>
        <v>0</v>
      </c>
      <c r="BS67" s="748">
        <f t="shared" ca="1" si="197"/>
        <v>1</v>
      </c>
      <c r="BT67" s="748" t="str">
        <f t="shared" ca="1" si="198"/>
        <v>Pos. 1 (12)</v>
      </c>
      <c r="BU67" s="748">
        <f t="shared" ca="1" si="180"/>
        <v>0</v>
      </c>
      <c r="BV67" s="748">
        <f t="shared" ca="1" si="181"/>
        <v>1</v>
      </c>
      <c r="BW67" s="748" t="str">
        <f t="shared" ca="1" si="182"/>
        <v>Pos. 1 (12)</v>
      </c>
      <c r="BX67" s="748">
        <f t="shared" ca="1" si="183"/>
        <v>0</v>
      </c>
      <c r="BY67" s="748">
        <f t="shared" ca="1" si="184"/>
        <v>1</v>
      </c>
      <c r="BZ67" s="748" t="str">
        <f t="shared" ca="1" si="185"/>
        <v>Pos. 1 (12)</v>
      </c>
      <c r="CA67" s="748">
        <f t="shared" ca="1" si="199"/>
        <v>9</v>
      </c>
      <c r="CB67" s="748">
        <f t="shared" ca="1" si="200"/>
        <v>3</v>
      </c>
      <c r="CC67" s="748"/>
      <c r="CD67" s="748">
        <f t="shared" ca="1" si="201"/>
        <v>3</v>
      </c>
      <c r="CE67" s="748">
        <f t="shared" ca="1" si="202"/>
        <v>2</v>
      </c>
      <c r="CF67" s="748">
        <f t="shared" ca="1" si="203"/>
        <v>3</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v>
      </c>
      <c r="DK67" s="744"/>
      <c r="DL67" s="744">
        <f t="shared" ca="1" si="204"/>
        <v>1</v>
      </c>
      <c r="DM67" s="738" t="str">
        <f t="shared" ca="1" si="187"/>
        <v>1.1</v>
      </c>
      <c r="DN67" s="744" cm="1">
        <f t="array" aca="1" ref="DN67" ca="1">OFFSET(Horarios!$P$3,DJ67-1,0,DL67,1)</f>
        <v>1</v>
      </c>
      <c r="DO67" s="744"/>
      <c r="DP67" s="744">
        <v>10</v>
      </c>
      <c r="DQ67" s="744" t="str">
        <f t="shared" ca="1" si="205"/>
        <v>República Checa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Pendiente</v>
      </c>
      <c r="E68" s="744" t="str">
        <f t="shared" ref="E68:E73" si="226">IF(D68="Pendiente","-",INDEX($BT$6:$BT$53,MATCH($AA68,$BD$6:$BD$53,0)))</f>
        <v>-</v>
      </c>
      <c r="F68" s="744" t="str">
        <f t="shared" ref="F68:F73" si="227">IF(D68="Pendiente","-",INDEX($BT$6:$BT$53,MATCH($AF68,$BD$6:$BD$53,0)))</f>
        <v>-</v>
      </c>
      <c r="G68" s="744"/>
      <c r="H68" s="744" t="str">
        <f t="shared" ref="H68:H73" si="228">IF(D68="Pendiente","-",INDEX($BZ$6:$BZ$53,MATCH($AA68,$BD$6:$BD$53,0)))</f>
        <v>-</v>
      </c>
      <c r="I68" s="744" t="str">
        <f t="shared" ref="I68:I73" si="229">IF(D68="Pendiente","-",INDEX($BZ$6:$BZ$53,MATCH($AF68,$BD$6:$BD$53,0)))</f>
        <v>-</v>
      </c>
      <c r="J68" s="744"/>
      <c r="K68" s="744" t="str">
        <f t="shared" ref="K68:K73" si="230">IF(D68="Pendiente","-",INDEX($CE$6:$CE$53,MATCH($AA68,$BD$6:$BD$53,0)))</f>
        <v>-</v>
      </c>
      <c r="L68" s="744" t="str">
        <f t="shared" ref="L68:L73" si="231">IF(D68="Pendiente","-",INDEX($CE$6:$CE$53,MATCH($AF68,$BD$6:$BD$53,0)))</f>
        <v>-</v>
      </c>
      <c r="M68" s="744"/>
      <c r="N68" s="744" t="str">
        <f t="shared" ref="N68:N73" si="232">IF(D68="Pendiente","-",INDEX($CH$6:$CH$53,MATCH($AA68,$BD$6:$BD$53,0)))</f>
        <v>-</v>
      </c>
      <c r="O68" s="744" t="str">
        <f t="shared" ref="O68:O73" si="233">IF(D68="Pendiente","-",INDEX($CH$6:$CH$53,MATCH($AF68,$BD$6:$BD$53,0)))</f>
        <v>-</v>
      </c>
      <c r="P68" s="744"/>
      <c r="Q68" s="744" t="str">
        <f t="shared" ref="Q68:Q73" si="234">IF(D68="Pendiente","-",INDEX($CN$6:$CN$53,MATCH($AA68,$BD$6:$BD$53,0)))</f>
        <v>-</v>
      </c>
      <c r="R68" s="744" t="str">
        <f t="shared" ref="R68:R73" si="235">IF(D68="Pendiente","-",INDEX($CN$6:$CN$53,MATCH($AF68,$BD$6:$BD$53,0)))</f>
        <v>-</v>
      </c>
      <c r="S68" s="744"/>
      <c r="T68" s="744" t="str">
        <f t="shared" ref="T68:T73" si="236">IF(D68="Pendiente","-",INDEX($CS$6:$CS$53,MATCH($AA68,$BD$6:$BD$53,0)))</f>
        <v>-</v>
      </c>
      <c r="U68" s="744" t="str">
        <f t="shared" ref="U68:U73" si="237">IF(D68="Pendiente","-",INDEX($CS$6:$CS$53,MATCH($AF68,$BD$6:$BD$53,0)))</f>
        <v>-</v>
      </c>
      <c r="V68" s="172"/>
      <c r="W68" s="837"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12</v>
      </c>
      <c r="BN68" s="748">
        <f t="shared" ca="1" si="195"/>
        <v>12</v>
      </c>
      <c r="BO68" s="738" t="str">
        <f t="shared" si="196"/>
        <v>4K</v>
      </c>
      <c r="BP68" s="738"/>
      <c r="BQ68" s="738"/>
      <c r="BR68" s="748">
        <f t="shared" ca="1" si="179"/>
        <v>0</v>
      </c>
      <c r="BS68" s="748">
        <f t="shared" ca="1" si="197"/>
        <v>1</v>
      </c>
      <c r="BT68" s="748" t="str">
        <f t="shared" ca="1" si="198"/>
        <v>Pos. 1 (12)</v>
      </c>
      <c r="BU68" s="748">
        <f t="shared" ca="1" si="180"/>
        <v>0</v>
      </c>
      <c r="BV68" s="748">
        <f t="shared" ca="1" si="181"/>
        <v>1</v>
      </c>
      <c r="BW68" s="748" t="str">
        <f t="shared" ca="1" si="182"/>
        <v>Pos. 1 (12)</v>
      </c>
      <c r="BX68" s="748">
        <f t="shared" ca="1" si="183"/>
        <v>0</v>
      </c>
      <c r="BY68" s="748">
        <f t="shared" ca="1" si="184"/>
        <v>1</v>
      </c>
      <c r="BZ68" s="748" t="str">
        <f t="shared" ca="1" si="185"/>
        <v>Pos. 1 (12)</v>
      </c>
      <c r="CA68" s="748">
        <f t="shared" ca="1" si="199"/>
        <v>0</v>
      </c>
      <c r="CB68" s="748">
        <f t="shared" ca="1" si="200"/>
        <v>12</v>
      </c>
      <c r="CC68" s="748"/>
      <c r="CD68" s="748">
        <f t="shared" ca="1" si="201"/>
        <v>12</v>
      </c>
      <c r="CE68" s="748">
        <f t="shared" ca="1" si="202"/>
        <v>11</v>
      </c>
      <c r="CF68" s="748">
        <f t="shared" ca="1" si="203"/>
        <v>12</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v>
      </c>
      <c r="DK68" s="744"/>
      <c r="DL68" s="744">
        <f t="shared" ca="1" si="204"/>
        <v>1</v>
      </c>
      <c r="DM68" s="738" t="str">
        <f t="shared" ca="1" si="187"/>
        <v>1.1</v>
      </c>
      <c r="DN68" s="744" cm="1">
        <f t="array" aca="1" ref="DN68" ca="1">OFFSET(Horarios!$P$3,DJ68-1,0,DL68,1)</f>
        <v>1</v>
      </c>
      <c r="DO68" s="744"/>
      <c r="DP68" s="744">
        <v>11</v>
      </c>
      <c r="DQ68" s="744" t="str">
        <f t="shared" ca="1" si="205"/>
        <v>Suecia</v>
      </c>
      <c r="DR68" s="744"/>
      <c r="DS68" s="744"/>
      <c r="DT68" s="744" t="str">
        <f t="shared" ca="1" si="15"/>
        <v>Francia-Senegal</v>
      </c>
      <c r="DU68" s="744"/>
      <c r="DV68" s="744"/>
      <c r="DW68" s="8"/>
    </row>
    <row r="69" spans="1:127" ht="16.05" customHeight="1">
      <c r="A69" s="745" t="str">
        <f ca="1">+Equipos!B34</f>
        <v>Francia</v>
      </c>
      <c r="B69" s="742"/>
      <c r="C69" s="742"/>
      <c r="D69" s="744" t="str">
        <f t="shared" si="225"/>
        <v>Pendiente</v>
      </c>
      <c r="E69" s="744" t="str">
        <f t="shared" si="226"/>
        <v>-</v>
      </c>
      <c r="F69" s="744" t="str">
        <f t="shared" si="227"/>
        <v>-</v>
      </c>
      <c r="G69" s="744"/>
      <c r="H69" s="744" t="str">
        <f t="shared" si="228"/>
        <v>-</v>
      </c>
      <c r="I69" s="744" t="str">
        <f t="shared" si="229"/>
        <v>-</v>
      </c>
      <c r="J69" s="744"/>
      <c r="K69" s="744" t="str">
        <f t="shared" si="230"/>
        <v>-</v>
      </c>
      <c r="L69" s="744" t="str">
        <f t="shared" si="231"/>
        <v>-</v>
      </c>
      <c r="M69" s="744"/>
      <c r="N69" s="744" t="str">
        <f t="shared" si="232"/>
        <v>-</v>
      </c>
      <c r="O69" s="744" t="str">
        <f t="shared" si="233"/>
        <v>-</v>
      </c>
      <c r="P69" s="744"/>
      <c r="Q69" s="744" t="str">
        <f t="shared" si="234"/>
        <v>-</v>
      </c>
      <c r="R69" s="744" t="str">
        <f t="shared" si="235"/>
        <v>-</v>
      </c>
      <c r="S69" s="744"/>
      <c r="T69" s="744" t="str">
        <f t="shared" si="236"/>
        <v>-</v>
      </c>
      <c r="U69" s="744" t="str">
        <f t="shared" si="237"/>
        <v>-</v>
      </c>
      <c r="V69" s="172"/>
      <c r="W69" s="837"/>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6</v>
      </c>
      <c r="BN69" s="748">
        <f t="shared" ca="1" si="195"/>
        <v>6</v>
      </c>
      <c r="BO69" s="738" t="str">
        <f t="shared" si="196"/>
        <v>4L</v>
      </c>
      <c r="BP69" s="738"/>
      <c r="BQ69" s="738"/>
      <c r="BR69" s="748">
        <f t="shared" ca="1" si="179"/>
        <v>0</v>
      </c>
      <c r="BS69" s="748">
        <f t="shared" ca="1" si="197"/>
        <v>1</v>
      </c>
      <c r="BT69" s="748" t="str">
        <f t="shared" ca="1" si="198"/>
        <v>Pos. 1 (12)</v>
      </c>
      <c r="BU69" s="748">
        <f t="shared" ca="1" si="180"/>
        <v>0</v>
      </c>
      <c r="BV69" s="748">
        <f t="shared" ca="1" si="181"/>
        <v>1</v>
      </c>
      <c r="BW69" s="748" t="str">
        <f t="shared" ca="1" si="182"/>
        <v>Pos. 1 (12)</v>
      </c>
      <c r="BX69" s="748">
        <f t="shared" ca="1" si="183"/>
        <v>0</v>
      </c>
      <c r="BY69" s="748">
        <f t="shared" ca="1" si="184"/>
        <v>1</v>
      </c>
      <c r="BZ69" s="748" t="str">
        <f t="shared" ca="1" si="185"/>
        <v>Pos. 1 (12)</v>
      </c>
      <c r="CA69" s="748">
        <f t="shared" ca="1" si="199"/>
        <v>6</v>
      </c>
      <c r="CB69" s="748">
        <f ca="1">BY69+COUNTIFS(BZ$58:BZ$69,BZ69,CA$58:CA$69,"&gt;"&amp;CA69)</f>
        <v>6</v>
      </c>
      <c r="CC69" s="748"/>
      <c r="CD69" s="748">
        <f t="shared" ca="1" si="201"/>
        <v>6</v>
      </c>
      <c r="CE69" s="748">
        <f t="shared" ca="1" si="202"/>
        <v>5</v>
      </c>
      <c r="CF69" s="748">
        <f t="shared" ca="1" si="203"/>
        <v>6</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v>
      </c>
      <c r="DK69" s="744"/>
      <c r="DL69" s="744">
        <f t="shared" ca="1" si="204"/>
        <v>1</v>
      </c>
      <c r="DM69" s="738" t="str">
        <f t="shared" ca="1" si="187"/>
        <v>1.1</v>
      </c>
      <c r="DN69" s="744" cm="1">
        <f t="array" aca="1" ref="DN69" ca="1">OFFSET(Horarios!$P$3,DJ69-1,0,DL69,1)</f>
        <v>1</v>
      </c>
      <c r="DO69" s="744"/>
      <c r="DP69" s="744">
        <v>12</v>
      </c>
      <c r="DQ69" s="744" t="str">
        <f t="shared" ca="1" si="205"/>
        <v>Uzbekistán</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37"/>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37"/>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37"/>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38"/>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Pendiente</v>
      </c>
      <c r="E76" s="744" t="str">
        <f t="shared" ref="E76:E81" si="246">IF(D76="Pendiente","-",INDEX($BT$6:$BT$53,MATCH($AA76,$BD$6:$BD$53,0)))</f>
        <v>-</v>
      </c>
      <c r="F76" s="744" t="str">
        <f t="shared" ref="F76:F81" si="247">IF(D76="Pendiente","-",INDEX($BT$6:$BT$53,MATCH($AF76,$BD$6:$BD$53,0)))</f>
        <v>-</v>
      </c>
      <c r="G76" s="744"/>
      <c r="H76" s="744" t="str">
        <f t="shared" ref="H76:H81" si="248">IF(D76="Pendiente","-",INDEX($BZ$6:$BZ$53,MATCH($AA76,$BD$6:$BD$53,0)))</f>
        <v>-</v>
      </c>
      <c r="I76" s="744" t="str">
        <f t="shared" ref="I76:I81" si="249">IF(D76="Pendiente","-",INDEX($BZ$6:$BZ$53,MATCH($AF76,$BD$6:$BD$53,0)))</f>
        <v>-</v>
      </c>
      <c r="J76" s="744"/>
      <c r="K76" s="744" t="str">
        <f t="shared" ref="K76:K81" si="250">IF(D76="Pendiente","-",INDEX($CE$6:$CE$53,MATCH($AA76,$BD$6:$BD$53,0)))</f>
        <v>-</v>
      </c>
      <c r="L76" s="744" t="str">
        <f t="shared" ref="L76:L81" si="251">IF(D76="Pendiente","-",INDEX($CE$6:$CE$53,MATCH($AF76,$BD$6:$BD$53,0)))</f>
        <v>-</v>
      </c>
      <c r="M76" s="744"/>
      <c r="N76" s="744" t="str">
        <f t="shared" ref="N76:N81" si="252">IF(D76="Pendiente","-",INDEX($CH$6:$CH$53,MATCH($AA76,$BD$6:$BD$53,0)))</f>
        <v>-</v>
      </c>
      <c r="O76" s="744" t="str">
        <f t="shared" ref="O76:O81" si="253">IF(D76="Pendiente","-",INDEX($CH$6:$CH$53,MATCH($AF76,$BD$6:$BD$53,0)))</f>
        <v>-</v>
      </c>
      <c r="P76" s="744"/>
      <c r="Q76" s="744" t="str">
        <f t="shared" ref="Q76:Q81" si="254">IF(D76="Pendiente","-",INDEX($CN$6:$CN$53,MATCH($AA76,$BD$6:$BD$53,0)))</f>
        <v>-</v>
      </c>
      <c r="R76" s="744" t="str">
        <f t="shared" ref="R76:R81" si="255">IF(D76="Pendiente","-",INDEX($CN$6:$CN$53,MATCH($AF76,$BD$6:$BD$53,0)))</f>
        <v>-</v>
      </c>
      <c r="S76" s="744"/>
      <c r="T76" s="744" t="str">
        <f t="shared" ref="T76:T81" si="256">IF(D76="Pendiente","-",INDEX($CS$6:$CS$53,MATCH($AA76,$BD$6:$BD$53,0)))</f>
        <v>-</v>
      </c>
      <c r="U76" s="744" t="str">
        <f t="shared" ref="U76:U81" si="257">IF(D76="Pendiente","-",INDEX($CS$6:$CS$53,MATCH($AF76,$BD$6:$BD$53,0)))</f>
        <v>-</v>
      </c>
      <c r="V76" s="172"/>
      <c r="W76" s="833"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Pendiente</v>
      </c>
      <c r="E77" s="744" t="str">
        <f t="shared" si="246"/>
        <v>-</v>
      </c>
      <c r="F77" s="744" t="str">
        <f t="shared" si="247"/>
        <v>-</v>
      </c>
      <c r="G77" s="744"/>
      <c r="H77" s="744" t="str">
        <f t="shared" si="248"/>
        <v>-</v>
      </c>
      <c r="I77" s="744" t="str">
        <f t="shared" si="249"/>
        <v>-</v>
      </c>
      <c r="J77" s="744"/>
      <c r="K77" s="744" t="str">
        <f t="shared" si="250"/>
        <v>-</v>
      </c>
      <c r="L77" s="744" t="str">
        <f t="shared" si="251"/>
        <v>-</v>
      </c>
      <c r="M77" s="744"/>
      <c r="N77" s="744" t="str">
        <f t="shared" si="252"/>
        <v>-</v>
      </c>
      <c r="O77" s="744" t="str">
        <f t="shared" si="253"/>
        <v>-</v>
      </c>
      <c r="P77" s="744"/>
      <c r="Q77" s="744" t="str">
        <f t="shared" si="254"/>
        <v>-</v>
      </c>
      <c r="R77" s="744" t="str">
        <f t="shared" si="255"/>
        <v>-</v>
      </c>
      <c r="S77" s="744"/>
      <c r="T77" s="744" t="str">
        <f t="shared" si="256"/>
        <v>-</v>
      </c>
      <c r="U77" s="744" t="str">
        <f t="shared" si="257"/>
        <v>-</v>
      </c>
      <c r="V77" s="172"/>
      <c r="W77" s="833"/>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33"/>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33"/>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33"/>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34"/>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39"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39"/>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39"/>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39"/>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39"/>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40"/>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35"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35"/>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35"/>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35"/>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35"/>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36"/>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2</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41"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0</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41"/>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0</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41"/>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0</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41"/>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0</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41"/>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0</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41"/>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0</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41"/>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0</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41"/>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41"/>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41"/>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41"/>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República Checa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41"/>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2</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41"/>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41"/>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41"/>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42"/>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43"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43"/>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43"/>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43"/>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43"/>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43"/>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43"/>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44"/>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45"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45"/>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45"/>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46"/>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47"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8"/>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11" t="str">
        <f>IF(SUM(COUNTIF(AG4:AG97,0),COUNTIF(AG101:AG160,0)&gt;0),AL148,AL149)</f>
        <v>MUNDIAL EN CURSO</v>
      </c>
      <c r="AK151" s="812"/>
      <c r="AL151" s="812"/>
      <c r="AM151" s="812"/>
      <c r="AN151" s="812"/>
      <c r="AO151" s="812"/>
      <c r="AP151" s="812"/>
      <c r="AQ151" s="812"/>
      <c r="AR151" s="812"/>
      <c r="AS151" s="812"/>
      <c r="AT151" s="812"/>
      <c r="AU151" s="81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14"/>
      <c r="AK152" s="815"/>
      <c r="AL152" s="815"/>
      <c r="AM152" s="815"/>
      <c r="AN152" s="815"/>
      <c r="AO152" s="815"/>
      <c r="AP152" s="815"/>
      <c r="AQ152" s="815"/>
      <c r="AR152" s="815"/>
      <c r="AS152" s="815"/>
      <c r="AT152" s="815"/>
      <c r="AU152" s="81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4"/>
      <c r="AK153" s="815"/>
      <c r="AL153" s="815"/>
      <c r="AM153" s="815"/>
      <c r="AN153" s="815"/>
      <c r="AO153" s="815"/>
      <c r="AP153" s="815"/>
      <c r="AQ153" s="815"/>
      <c r="AR153" s="815"/>
      <c r="AS153" s="815"/>
      <c r="AT153" s="815"/>
      <c r="AU153" s="81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4"/>
      <c r="AK154" s="815"/>
      <c r="AL154" s="815"/>
      <c r="AM154" s="815"/>
      <c r="AN154" s="815"/>
      <c r="AO154" s="815"/>
      <c r="AP154" s="815"/>
      <c r="AQ154" s="815"/>
      <c r="AR154" s="815"/>
      <c r="AS154" s="815"/>
      <c r="AT154" s="815"/>
      <c r="AU154" s="81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3" t="str">
        <f>IF(SUM(COUNTIF(AG4:AG97,0),COUNTIF(AG101:AG160,0)&gt;0),AM148,AM149)</f>
        <v>Todavía hay emoción</v>
      </c>
      <c r="AK155" s="824"/>
      <c r="AL155" s="824"/>
      <c r="AM155" s="824"/>
      <c r="AN155" s="824"/>
      <c r="AO155" s="824"/>
      <c r="AP155" s="824"/>
      <c r="AQ155" s="824"/>
      <c r="AR155" s="824"/>
      <c r="AS155" s="824"/>
      <c r="AT155" s="824"/>
      <c r="AU155" s="825"/>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3"/>
      <c r="AK156" s="824"/>
      <c r="AL156" s="824"/>
      <c r="AM156" s="824"/>
      <c r="AN156" s="824"/>
      <c r="AO156" s="824"/>
      <c r="AP156" s="824"/>
      <c r="AQ156" s="824"/>
      <c r="AR156" s="824"/>
      <c r="AS156" s="824"/>
      <c r="AT156" s="824"/>
      <c r="AU156" s="825"/>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6"/>
      <c r="AK157" s="827"/>
      <c r="AL157" s="827"/>
      <c r="AM157" s="827"/>
      <c r="AN157" s="827"/>
      <c r="AO157" s="827"/>
      <c r="AP157" s="827"/>
      <c r="AQ157" s="827"/>
      <c r="AR157" s="827"/>
      <c r="AS157" s="827"/>
      <c r="AT157" s="827"/>
      <c r="AU157" s="828"/>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1" zoomScaleNormal="100" workbookViewId="0">
      <selection activeCell="EC5" sqref="EC5:EC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24</v>
      </c>
      <c r="T1" s="87"/>
      <c r="U1" s="65"/>
      <c r="V1" s="87">
        <f ca="1">+IFERROR(RANK(V2,OFFSET($S$2,0,0,1,$D$5*3),0),"-")</f>
        <v>25</v>
      </c>
      <c r="W1" s="87"/>
      <c r="X1" s="65"/>
      <c r="Y1" s="87">
        <f ca="1">+IFERROR(RANK(Y2,OFFSET($S$2,0,0,1,$D$5*3),0),"-")</f>
        <v>1</v>
      </c>
      <c r="Z1" s="87"/>
      <c r="AA1" s="65"/>
      <c r="AB1" s="87">
        <f ca="1">+IFERROR(RANK(AB2,OFFSET($S$2,0,0,1,$D$5*3),0),"-")</f>
        <v>2</v>
      </c>
      <c r="AC1" s="87"/>
      <c r="AD1" s="65"/>
      <c r="AE1" s="87">
        <f ca="1">+IFERROR(RANK(AE2,OFFSET($S$2,0,0,1,$D$5*3),0),"-")</f>
        <v>3</v>
      </c>
      <c r="AF1" s="87"/>
      <c r="AG1" s="65"/>
      <c r="AH1" s="87">
        <f ca="1">+IFERROR(RANK(AH2,OFFSET($S$2,0,0,1,$D$5*3),0),"-")</f>
        <v>4</v>
      </c>
      <c r="AI1" s="87"/>
      <c r="AJ1" s="65"/>
      <c r="AK1" s="87">
        <f ca="1">+IFERROR(RANK(AK2,OFFSET($S$2,0,0,1,$D$5*3),0),"-")</f>
        <v>26</v>
      </c>
      <c r="AL1" s="87"/>
      <c r="AM1" s="65"/>
      <c r="AN1" s="87">
        <f ca="1">+IFERROR(RANK(AN2,OFFSET($S$2,0,0,1,$D$5*3),0),"-")</f>
        <v>5</v>
      </c>
      <c r="AO1" s="87"/>
      <c r="AP1" s="65"/>
      <c r="AQ1" s="87">
        <f ca="1">+IFERROR(RANK(AQ2,OFFSET($S$2,0,0,1,$D$5*3),0),"-")</f>
        <v>6</v>
      </c>
      <c r="AR1" s="87"/>
      <c r="AS1" s="65"/>
      <c r="AT1" s="87">
        <f ca="1">+IFERROR(RANK(AT2,OFFSET($S$2,0,0,1,$D$5*3),0),"-")</f>
        <v>27</v>
      </c>
      <c r="AU1" s="87"/>
      <c r="AV1" s="65"/>
      <c r="AW1" s="87">
        <f ca="1">+IFERROR(RANK(AW2,OFFSET($S$2,0,0,1,$D$5*3),0),"-")</f>
        <v>7</v>
      </c>
      <c r="AX1" s="87"/>
      <c r="AY1" s="65"/>
      <c r="AZ1" s="87">
        <f ca="1">+IFERROR(RANK(AZ2,OFFSET($S$2,0,0,1,$D$5*3),0),"-")</f>
        <v>28</v>
      </c>
      <c r="BA1" s="87"/>
      <c r="BB1" s="65"/>
      <c r="BC1" s="87">
        <f ca="1">+IFERROR(RANK(BC2,OFFSET($S$2,0,0,1,$D$5*3),0),"-")</f>
        <v>29</v>
      </c>
      <c r="BD1" s="87"/>
      <c r="BE1" s="65"/>
      <c r="BF1" s="87">
        <f ca="1">+IFERROR(RANK(BF2,OFFSET($S$2,0,0,1,$D$5*3),0),"-")</f>
        <v>8</v>
      </c>
      <c r="BG1" s="87"/>
      <c r="BH1" s="65"/>
      <c r="BI1" s="87">
        <f ca="1">+IFERROR(RANK(BI2,OFFSET($S$2,0,0,1,$D$5*3),0),"-")</f>
        <v>9</v>
      </c>
      <c r="BJ1" s="87"/>
      <c r="BK1" s="65"/>
      <c r="BL1" s="87">
        <f ca="1">+IFERROR(RANK(BL2,OFFSET($S$2,0,0,1,$D$5*3),0),"-")</f>
        <v>38</v>
      </c>
      <c r="BM1" s="87"/>
      <c r="BN1" s="65"/>
      <c r="BO1" s="87">
        <f ca="1">+IFERROR(RANK(BO2,OFFSET($S$2,0,0,1,$D$5*3),0),"-")</f>
        <v>10</v>
      </c>
      <c r="BP1" s="87"/>
      <c r="BQ1" s="65"/>
      <c r="BR1" s="87">
        <f ca="1">+IFERROR(RANK(BR2,OFFSET($S$2,0,0,1,$D$5*3),0),"-")</f>
        <v>11</v>
      </c>
      <c r="BS1" s="87"/>
      <c r="BT1" s="65"/>
      <c r="BU1" s="87">
        <f ca="1">+IFERROR(RANK(BU2,OFFSET($S$2,0,0,1,$D$5*3),0),"-")</f>
        <v>30</v>
      </c>
      <c r="BV1" s="87"/>
      <c r="BW1" s="65"/>
      <c r="BX1" s="87">
        <f ca="1">+IFERROR(RANK(BX2,OFFSET($S$2,0,0,1,$D$5*3),0),"-")</f>
        <v>12</v>
      </c>
      <c r="BY1" s="87"/>
      <c r="BZ1" s="65"/>
      <c r="CA1" s="87">
        <f ca="1">+IFERROR(RANK(CA2,OFFSET($S$2,0,0,1,$D$5*3),0),"-")</f>
        <v>39</v>
      </c>
      <c r="CB1" s="87"/>
      <c r="CC1" s="65"/>
      <c r="CD1" s="87">
        <f ca="1">+IFERROR(RANK(CD2,OFFSET($S$2,0,0,1,$D$5*3),0),"-")</f>
        <v>31</v>
      </c>
      <c r="CE1" s="87"/>
      <c r="CF1" s="65"/>
      <c r="CG1" s="87">
        <f ca="1">+IFERROR(RANK(CG2,OFFSET($S$2,0,0,1,$D$5*3),0),"-")</f>
        <v>13</v>
      </c>
      <c r="CH1" s="87"/>
      <c r="CI1" s="65"/>
      <c r="CJ1" s="87">
        <f ca="1">+IFERROR(RANK(CJ2,OFFSET($S$2,0,0,1,$D$5*3),0),"-")</f>
        <v>14</v>
      </c>
      <c r="CK1" s="87"/>
      <c r="CL1" s="65"/>
      <c r="CM1" s="87">
        <f ca="1">+IFERROR(RANK(CM2,OFFSET($S$2,0,0,1,$D$5*3),0),"-")</f>
        <v>15</v>
      </c>
      <c r="CN1" s="87"/>
      <c r="CO1" s="65"/>
      <c r="CP1" s="87">
        <f ca="1">+IFERROR(RANK(CP2,OFFSET($S$2,0,0,1,$D$5*3),0),"-")</f>
        <v>32</v>
      </c>
      <c r="CQ1" s="87"/>
      <c r="CR1" s="65"/>
      <c r="CS1" s="87">
        <f ca="1">+IFERROR(RANK(CS2,OFFSET($S$2,0,0,1,$D$5*3),0),"-")</f>
        <v>21</v>
      </c>
      <c r="CT1" s="87"/>
      <c r="CU1" s="65"/>
      <c r="CV1" s="87">
        <f ca="1">+IFERROR(RANK(CV2,OFFSET($S$2,0,0,1,$D$5*3),0),"-")</f>
        <v>33</v>
      </c>
      <c r="CW1" s="87"/>
      <c r="CX1" s="65"/>
      <c r="CY1" s="87">
        <f ca="1">+IFERROR(RANK(CY2,OFFSET($S$2,0,0,1,$D$5*3),0),"-")</f>
        <v>34</v>
      </c>
      <c r="CZ1" s="87"/>
      <c r="DA1" s="65"/>
      <c r="DB1" s="87">
        <f ca="1">+IFERROR(RANK(DB2,OFFSET($S$2,0,0,1,$D$5*3),0),"-")</f>
        <v>16</v>
      </c>
      <c r="DC1" s="87"/>
      <c r="DD1" s="65"/>
      <c r="DE1" s="87">
        <f ca="1">+IFERROR(RANK(DE2,OFFSET($S$2,0,0,1,$D$5*3),0),"-")</f>
        <v>35</v>
      </c>
      <c r="DF1" s="87"/>
      <c r="DG1" s="65"/>
      <c r="DH1" s="87">
        <f ca="1">+IFERROR(RANK(DH2,OFFSET($S$2,0,0,1,$D$5*3),0),"-")</f>
        <v>36</v>
      </c>
      <c r="DI1" s="87"/>
      <c r="DJ1" s="65"/>
      <c r="DK1" s="87">
        <f ca="1">+IFERROR(RANK(DK2,OFFSET($S$2,0,0,1,$D$5*3),0),"-")</f>
        <v>17</v>
      </c>
      <c r="DL1" s="87"/>
      <c r="DM1" s="65"/>
      <c r="DN1" s="87">
        <f ca="1">+IFERROR(RANK(DN2,OFFSET($S$2,0,0,1,$D$5*3),0),"-")</f>
        <v>22</v>
      </c>
      <c r="DO1" s="87"/>
      <c r="DP1" s="65"/>
      <c r="DQ1" s="87">
        <f ca="1">+IFERROR(RANK(DQ2,OFFSET($S$2,0,0,1,$D$5*3),0),"-")</f>
        <v>37</v>
      </c>
      <c r="DR1" s="87"/>
      <c r="DS1" s="65"/>
      <c r="DT1" s="87">
        <f ca="1">+IFERROR(RANK(DT2,OFFSET($S$2,0,0,1,$D$5*3),0),"-")</f>
        <v>23</v>
      </c>
      <c r="DU1" s="87"/>
      <c r="DV1" s="65"/>
      <c r="DW1" s="87">
        <f ca="1">+IFERROR(RANK(DW2,OFFSET($S$2,0,0,1,$D$5*3),0),"-")</f>
        <v>18</v>
      </c>
      <c r="DX1" s="87"/>
      <c r="DY1" s="65"/>
      <c r="DZ1" s="87">
        <f ca="1">+IFERROR(RANK(DZ2,OFFSET($S$2,0,0,1,$D$5*3),0),"-")</f>
        <v>19</v>
      </c>
      <c r="EA1" s="87"/>
      <c r="EB1" s="65"/>
      <c r="EC1" s="87">
        <f ca="1">+IFERROR(RANK(EC2,OFFSET($S$2,0,0,1,$D$5*3),0),"-")</f>
        <v>20</v>
      </c>
      <c r="ED1" s="87"/>
      <c r="EE1" s="65"/>
      <c r="EF1" s="87">
        <f ca="1">+IFERROR(RANK(EF2,OFFSET($S$2,0,0,1,$D$5*3),0),"-")</f>
        <v>40</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0.99809999999999999</v>
      </c>
      <c r="T2" s="87"/>
      <c r="U2" s="65"/>
      <c r="V2" s="87">
        <f t="shared" ref="V2" ca="1" si="0">V4-(COLUMN()/10000)</f>
        <v>0.99780000000000002</v>
      </c>
      <c r="W2" s="87"/>
      <c r="X2" s="65"/>
      <c r="Y2" s="87">
        <f t="shared" ref="Y2" ca="1" si="1">Y4-(COLUMN()/10000)</f>
        <v>3.9975000000000001</v>
      </c>
      <c r="Z2" s="87"/>
      <c r="AA2" s="65"/>
      <c r="AB2" s="87">
        <f t="shared" ref="AB2" ca="1" si="2">AB4-(COLUMN()/10000)</f>
        <v>3.9971999999999999</v>
      </c>
      <c r="AC2" s="87"/>
      <c r="AD2" s="65"/>
      <c r="AE2" s="87">
        <f t="shared" ref="AE2" ca="1" si="3">AE4-(COLUMN()/10000)</f>
        <v>3.9969000000000001</v>
      </c>
      <c r="AF2" s="87"/>
      <c r="AG2" s="65"/>
      <c r="AH2" s="87">
        <f t="shared" ref="AH2" ca="1" si="4">AH4-(COLUMN()/10000)</f>
        <v>3.9965999999999999</v>
      </c>
      <c r="AI2" s="87"/>
      <c r="AJ2" s="65"/>
      <c r="AK2" s="87">
        <f t="shared" ref="AK2" ca="1" si="5">AK4-(COLUMN()/10000)</f>
        <v>0.99629999999999996</v>
      </c>
      <c r="AL2" s="87"/>
      <c r="AM2" s="65"/>
      <c r="AN2" s="87">
        <f t="shared" ref="AN2" ca="1" si="6">AN4-(COLUMN()/10000)</f>
        <v>3.996</v>
      </c>
      <c r="AO2" s="87"/>
      <c r="AP2" s="65"/>
      <c r="AQ2" s="87">
        <f t="shared" ref="AQ2" ca="1" si="7">AQ4-(COLUMN()/10000)</f>
        <v>3.9956999999999998</v>
      </c>
      <c r="AR2" s="87"/>
      <c r="AS2" s="65"/>
      <c r="AT2" s="87">
        <f t="shared" ref="AT2" ca="1" si="8">AT4-(COLUMN()/10000)</f>
        <v>0.99539999999999995</v>
      </c>
      <c r="AU2" s="87"/>
      <c r="AV2" s="65"/>
      <c r="AW2" s="87">
        <f t="shared" ref="AW2" ca="1" si="9">AW4-(COLUMN()/10000)</f>
        <v>3.9950999999999999</v>
      </c>
      <c r="AX2" s="87"/>
      <c r="AY2" s="65"/>
      <c r="AZ2" s="87">
        <f t="shared" ref="AZ2" ca="1" si="10">AZ4-(COLUMN()/10000)</f>
        <v>0.99480000000000002</v>
      </c>
      <c r="BA2" s="87"/>
      <c r="BB2" s="65"/>
      <c r="BC2" s="87">
        <f t="shared" ref="BC2" ca="1" si="11">BC4-(COLUMN()/10000)</f>
        <v>0.99450000000000005</v>
      </c>
      <c r="BD2" s="87"/>
      <c r="BE2" s="65"/>
      <c r="BF2" s="87">
        <f t="shared" ref="BF2" ca="1" si="12">BF4-(COLUMN()/10000)</f>
        <v>3.9942000000000002</v>
      </c>
      <c r="BG2" s="87"/>
      <c r="BH2" s="65"/>
      <c r="BI2" s="87">
        <f t="shared" ref="BI2" ca="1" si="13">BI4-(COLUMN()/10000)</f>
        <v>3.9939</v>
      </c>
      <c r="BJ2" s="87"/>
      <c r="BK2" s="65"/>
      <c r="BL2" s="87">
        <f t="shared" ref="BL2" ca="1" si="14">BL4-(COLUMN()/10000)</f>
        <v>-6.4000000000000003E-3</v>
      </c>
      <c r="BM2" s="87"/>
      <c r="BN2" s="65"/>
      <c r="BO2" s="87">
        <f t="shared" ref="BO2" ca="1" si="15">BO4-(COLUMN()/10000)</f>
        <v>3.9933000000000001</v>
      </c>
      <c r="BP2" s="87"/>
      <c r="BQ2" s="65"/>
      <c r="BR2" s="87">
        <f t="shared" ref="BR2" ca="1" si="16">BR4-(COLUMN()/10000)</f>
        <v>3.9929999999999999</v>
      </c>
      <c r="BS2" s="87"/>
      <c r="BT2" s="65"/>
      <c r="BU2" s="87">
        <f t="shared" ref="BU2" ca="1" si="17">BU4-(COLUMN()/10000)</f>
        <v>0.99270000000000003</v>
      </c>
      <c r="BV2" s="87"/>
      <c r="BW2" s="65"/>
      <c r="BX2" s="87">
        <f t="shared" ref="BX2" ca="1" si="18">BX4-(COLUMN()/10000)</f>
        <v>3.9923999999999999</v>
      </c>
      <c r="BY2" s="87"/>
      <c r="BZ2" s="65"/>
      <c r="CA2" s="87">
        <f t="shared" ref="CA2" ca="1" si="19">CA4-(COLUMN()/10000)</f>
        <v>-7.9000000000000008E-3</v>
      </c>
      <c r="CB2" s="87"/>
      <c r="CC2" s="65"/>
      <c r="CD2" s="87">
        <f t="shared" ref="CD2" ca="1" si="20">CD4-(COLUMN()/10000)</f>
        <v>0.99180000000000001</v>
      </c>
      <c r="CE2" s="87"/>
      <c r="CF2" s="65"/>
      <c r="CG2" s="87">
        <f t="shared" ref="CG2" ca="1" si="21">CG4-(COLUMN()/10000)</f>
        <v>3.9914999999999998</v>
      </c>
      <c r="CH2" s="87"/>
      <c r="CI2" s="65"/>
      <c r="CJ2" s="87">
        <f t="shared" ref="CJ2" ca="1" si="22">CJ4-(COLUMN()/10000)</f>
        <v>3.9912000000000001</v>
      </c>
      <c r="CK2" s="87"/>
      <c r="CL2" s="65"/>
      <c r="CM2" s="87">
        <f t="shared" ref="CM2" ca="1" si="23">CM4-(COLUMN()/10000)</f>
        <v>3.9908999999999999</v>
      </c>
      <c r="CN2" s="87"/>
      <c r="CO2" s="65"/>
      <c r="CP2" s="87">
        <f t="shared" ref="CP2" ca="1" si="24">CP4-(COLUMN()/10000)</f>
        <v>0.99060000000000004</v>
      </c>
      <c r="CQ2" s="87"/>
      <c r="CR2" s="65"/>
      <c r="CS2" s="87">
        <f t="shared" ref="CS2" ca="1" si="25">CS4-(COLUMN()/10000)</f>
        <v>1.9903</v>
      </c>
      <c r="CT2" s="87"/>
      <c r="CU2" s="65"/>
      <c r="CV2" s="87">
        <f t="shared" ref="CV2" ca="1" si="26">CV4-(COLUMN()/10000)</f>
        <v>0.99</v>
      </c>
      <c r="CW2" s="87"/>
      <c r="CX2" s="65"/>
      <c r="CY2" s="87">
        <f t="shared" ref="CY2" ca="1" si="27">CY4-(COLUMN()/10000)</f>
        <v>0.98970000000000002</v>
      </c>
      <c r="CZ2" s="87"/>
      <c r="DA2" s="65"/>
      <c r="DB2" s="87">
        <f t="shared" ref="DB2" ca="1" si="28">DB4-(COLUMN()/10000)</f>
        <v>3.9893999999999998</v>
      </c>
      <c r="DC2" s="87"/>
      <c r="DD2" s="65"/>
      <c r="DE2" s="87">
        <f t="shared" ref="DE2" ca="1" si="29">DE4-(COLUMN()/10000)</f>
        <v>0.98909999999999998</v>
      </c>
      <c r="DF2" s="87"/>
      <c r="DG2" s="65"/>
      <c r="DH2" s="87">
        <f t="shared" ref="DH2" ca="1" si="30">DH4-(COLUMN()/10000)</f>
        <v>0.98880000000000001</v>
      </c>
      <c r="DI2" s="87"/>
      <c r="DJ2" s="65"/>
      <c r="DK2" s="87">
        <f t="shared" ref="DK2" ca="1" si="31">DK4-(COLUMN()/10000)</f>
        <v>3.9885000000000002</v>
      </c>
      <c r="DL2" s="87"/>
      <c r="DM2" s="65"/>
      <c r="DN2" s="87">
        <f t="shared" ref="DN2" ca="1" si="32">DN4-(COLUMN()/10000)</f>
        <v>1.9882</v>
      </c>
      <c r="DO2" s="87"/>
      <c r="DP2" s="65"/>
      <c r="DQ2" s="87">
        <f t="shared" ref="DQ2" ca="1" si="33">DQ4-(COLUMN()/10000)</f>
        <v>0.9879</v>
      </c>
      <c r="DR2" s="87"/>
      <c r="DS2" s="65"/>
      <c r="DT2" s="87">
        <f t="shared" ref="DT2" ca="1" si="34">DT4-(COLUMN()/10000)</f>
        <v>1.9876</v>
      </c>
      <c r="DU2" s="87"/>
      <c r="DV2" s="65"/>
      <c r="DW2" s="87">
        <f t="shared" ref="DW2" ca="1" si="35">DW4-(COLUMN()/10000)</f>
        <v>3.9872999999999998</v>
      </c>
      <c r="DX2" s="87"/>
      <c r="DY2" s="65"/>
      <c r="DZ2" s="87">
        <f t="shared" ref="DZ2" ca="1" si="36">DZ4-(COLUMN()/10000)</f>
        <v>3.9870000000000001</v>
      </c>
      <c r="EA2" s="87"/>
      <c r="EB2" s="65"/>
      <c r="EC2" s="87">
        <f t="shared" ref="EC2" ca="1" si="37">EC4-(COLUMN()/10000)</f>
        <v>3.9866999999999999</v>
      </c>
      <c r="ED2" s="87"/>
      <c r="EE2" s="65"/>
      <c r="EF2" s="87">
        <f t="shared" ref="EF2" ca="1" si="38">EF4-(COLUMN()/10000)</f>
        <v>-1.3599999999999999E-2</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24</v>
      </c>
      <c r="T3" s="87"/>
      <c r="U3" s="65"/>
      <c r="V3" s="87">
        <f ca="1">RANK(V4,OFFSET($S$4,0,0,1,$D$5*3),0)</f>
        <v>24</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24</v>
      </c>
      <c r="AL3" s="87"/>
      <c r="AM3" s="65"/>
      <c r="AN3" s="87">
        <f ca="1">RANK(AN4,OFFSET($S$4,0,0,1,$D$5*3),0)</f>
        <v>1</v>
      </c>
      <c r="AO3" s="87"/>
      <c r="AP3" s="65"/>
      <c r="AQ3" s="87">
        <f ca="1">RANK(AQ4,OFFSET($S$4,0,0,1,$D$5*3),0)</f>
        <v>1</v>
      </c>
      <c r="AR3" s="87"/>
      <c r="AS3" s="65"/>
      <c r="AT3" s="87">
        <f ca="1">RANK(AT4,OFFSET($S$4,0,0,1,$D$5*3),0)</f>
        <v>24</v>
      </c>
      <c r="AU3" s="87"/>
      <c r="AV3" s="65"/>
      <c r="AW3" s="87">
        <f ca="1">RANK(AW4,OFFSET($S$4,0,0,1,$D$5*3),0)</f>
        <v>1</v>
      </c>
      <c r="AX3" s="87"/>
      <c r="AY3" s="65"/>
      <c r="AZ3" s="87">
        <f ca="1">RANK(AZ4,OFFSET($S$4,0,0,1,$D$5*3),0)</f>
        <v>24</v>
      </c>
      <c r="BA3" s="87"/>
      <c r="BB3" s="65"/>
      <c r="BC3" s="87">
        <f ca="1">RANK(BC4,OFFSET($S$4,0,0,1,$D$5*3),0)</f>
        <v>24</v>
      </c>
      <c r="BD3" s="87"/>
      <c r="BE3" s="65"/>
      <c r="BF3" s="87">
        <f ca="1">RANK(BF4,OFFSET($S$4,0,0,1,$D$5*3),0)</f>
        <v>1</v>
      </c>
      <c r="BG3" s="87"/>
      <c r="BH3" s="65"/>
      <c r="BI3" s="87">
        <f ca="1">RANK(BI4,OFFSET($S$4,0,0,1,$D$5*3),0)</f>
        <v>1</v>
      </c>
      <c r="BJ3" s="87"/>
      <c r="BK3" s="65"/>
      <c r="BL3" s="87">
        <f ca="1">RANK(BL4,OFFSET($S$4,0,0,1,$D$5*3),0)</f>
        <v>38</v>
      </c>
      <c r="BM3" s="87"/>
      <c r="BN3" s="65"/>
      <c r="BO3" s="87">
        <f ca="1">RANK(BO4,OFFSET($S$4,0,0,1,$D$5*3),0)</f>
        <v>1</v>
      </c>
      <c r="BP3" s="87"/>
      <c r="BQ3" s="65"/>
      <c r="BR3" s="87">
        <f ca="1">RANK(BR4,OFFSET($S$4,0,0,1,$D$5*3),0)</f>
        <v>1</v>
      </c>
      <c r="BS3" s="87"/>
      <c r="BT3" s="65"/>
      <c r="BU3" s="87">
        <f ca="1">RANK(BU4,OFFSET($S$4,0,0,1,$D$5*3),0)</f>
        <v>24</v>
      </c>
      <c r="BV3" s="87"/>
      <c r="BW3" s="65"/>
      <c r="BX3" s="87">
        <f ca="1">RANK(BX4,OFFSET($S$4,0,0,1,$D$5*3),0)</f>
        <v>1</v>
      </c>
      <c r="BY3" s="87"/>
      <c r="BZ3" s="65"/>
      <c r="CA3" s="87">
        <f ca="1">RANK(CA4,OFFSET($S$4,0,0,1,$D$5*3),0)</f>
        <v>38</v>
      </c>
      <c r="CB3" s="87"/>
      <c r="CC3" s="65"/>
      <c r="CD3" s="87">
        <f ca="1">RANK(CD4,OFFSET($S$4,0,0,1,$D$5*3),0)</f>
        <v>24</v>
      </c>
      <c r="CE3" s="87"/>
      <c r="CF3" s="65"/>
      <c r="CG3" s="87">
        <f ca="1">RANK(CG4,OFFSET($S$4,0,0,1,$D$5*3),0)</f>
        <v>1</v>
      </c>
      <c r="CH3" s="87"/>
      <c r="CI3" s="65"/>
      <c r="CJ3" s="87">
        <f ca="1">RANK(CJ4,OFFSET($S$4,0,0,1,$D$5*3),0)</f>
        <v>1</v>
      </c>
      <c r="CK3" s="87"/>
      <c r="CL3" s="65"/>
      <c r="CM3" s="87">
        <f ca="1">RANK(CM4,OFFSET($S$4,0,0,1,$D$5*3),0)</f>
        <v>1</v>
      </c>
      <c r="CN3" s="87"/>
      <c r="CO3" s="65"/>
      <c r="CP3" s="87">
        <f ca="1">RANK(CP4,OFFSET($S$4,0,0,1,$D$5*3),0)</f>
        <v>24</v>
      </c>
      <c r="CQ3" s="87"/>
      <c r="CR3" s="65"/>
      <c r="CS3" s="87">
        <f ca="1">RANK(CS4,OFFSET($S$4,0,0,1,$D$5*3),0)</f>
        <v>21</v>
      </c>
      <c r="CT3" s="87"/>
      <c r="CU3" s="65"/>
      <c r="CV3" s="87">
        <f ca="1">RANK(CV4,OFFSET($S$4,0,0,1,$D$5*3),0)</f>
        <v>24</v>
      </c>
      <c r="CW3" s="87"/>
      <c r="CX3" s="65"/>
      <c r="CY3" s="87">
        <f ca="1">RANK(CY4,OFFSET($S$4,0,0,1,$D$5*3),0)</f>
        <v>24</v>
      </c>
      <c r="CZ3" s="87"/>
      <c r="DA3" s="65"/>
      <c r="DB3" s="87">
        <f ca="1">RANK(DB4,OFFSET($S$4,0,0,1,$D$5*3),0)</f>
        <v>1</v>
      </c>
      <c r="DC3" s="87"/>
      <c r="DD3" s="65"/>
      <c r="DE3" s="87">
        <f ca="1">RANK(DE4,OFFSET($S$4,0,0,1,$D$5*3),0)</f>
        <v>24</v>
      </c>
      <c r="DF3" s="87"/>
      <c r="DG3" s="65"/>
      <c r="DH3" s="87">
        <f ca="1">RANK(DH4,OFFSET($S$4,0,0,1,$D$5*3),0)</f>
        <v>24</v>
      </c>
      <c r="DI3" s="87"/>
      <c r="DJ3" s="65"/>
      <c r="DK3" s="87">
        <f ca="1">RANK(DK4,OFFSET($S$4,0,0,1,$D$5*3),0)</f>
        <v>1</v>
      </c>
      <c r="DL3" s="87"/>
      <c r="DM3" s="65"/>
      <c r="DN3" s="87">
        <f ca="1">RANK(DN4,OFFSET($S$4,0,0,1,$D$5*3),0)</f>
        <v>21</v>
      </c>
      <c r="DO3" s="87"/>
      <c r="DP3" s="65"/>
      <c r="DQ3" s="87">
        <f ca="1">RANK(DQ4,OFFSET($S$4,0,0,1,$D$5*3),0)</f>
        <v>24</v>
      </c>
      <c r="DR3" s="87"/>
      <c r="DS3" s="65"/>
      <c r="DT3" s="87">
        <f ca="1">RANK(DT4,OFFSET($S$4,0,0,1,$D$5*3),0)</f>
        <v>21</v>
      </c>
      <c r="DU3" s="87"/>
      <c r="DV3" s="65"/>
      <c r="DW3" s="87">
        <f ca="1">RANK(DW4,OFFSET($S$4,0,0,1,$D$5*3),0)</f>
        <v>1</v>
      </c>
      <c r="DX3" s="87"/>
      <c r="DY3" s="65"/>
      <c r="DZ3" s="87">
        <f ca="1">RANK(DZ4,OFFSET($S$4,0,0,1,$D$5*3),0)</f>
        <v>1</v>
      </c>
      <c r="EA3" s="87"/>
      <c r="EB3" s="65"/>
      <c r="EC3" s="87">
        <f ca="1">RANK(EC4,OFFSET($S$4,0,0,1,$D$5*3),0)</f>
        <v>1</v>
      </c>
      <c r="ED3" s="87"/>
      <c r="EE3" s="65"/>
      <c r="EF3" s="87">
        <f ca="1">RANK(EF4,OFFSET($S$4,0,0,1,$D$5*3),0)</f>
        <v>38</v>
      </c>
      <c r="EG3" s="87"/>
      <c r="EH3" s="65"/>
      <c r="EI3" s="87">
        <f ca="1">RANK(EI4,OFFSET($S$4,0,0,1,$D$5*3),0)</f>
        <v>38</v>
      </c>
      <c r="EJ3" s="87"/>
      <c r="EK3" s="65"/>
      <c r="EL3" s="87">
        <f ca="1">RANK(EL4,OFFSET($S$4,0,0,1,$D$5*3),0)</f>
        <v>38</v>
      </c>
      <c r="EM3" s="87"/>
      <c r="EN3" s="65"/>
      <c r="EO3" s="87">
        <f ca="1">RANK(EO4,OFFSET($S$4,0,0,1,$D$5*3),0)</f>
        <v>38</v>
      </c>
      <c r="EP3" s="87"/>
      <c r="EQ3" s="65"/>
      <c r="ER3" s="87">
        <f ca="1">RANK(ER4,OFFSET($S$4,0,0,1,$D$5*3),0)</f>
        <v>38</v>
      </c>
      <c r="ES3" s="87"/>
      <c r="ET3" s="65"/>
      <c r="EU3" s="87">
        <f ca="1">RANK(EU4,OFFSET($S$4,0,0,1,$D$5*3),0)</f>
        <v>38</v>
      </c>
      <c r="EV3" s="87"/>
      <c r="EW3" s="65"/>
      <c r="EX3" s="87">
        <f ca="1">RANK(EX4,OFFSET($S$4,0,0,1,$D$5*3),0)</f>
        <v>38</v>
      </c>
      <c r="EY3" s="87"/>
      <c r="EZ3" s="65"/>
      <c r="FA3" s="87">
        <f ca="1">RANK(FA4,OFFSET($S$4,0,0,1,$D$5*3),0)</f>
        <v>38</v>
      </c>
      <c r="FB3" s="87"/>
      <c r="FC3" s="65"/>
      <c r="FD3" s="87">
        <f ca="1">RANK(FD4,OFFSET($S$4,0,0,1,$D$5*3),0)</f>
        <v>38</v>
      </c>
      <c r="FE3" s="87"/>
      <c r="FF3" s="65"/>
      <c r="FG3" s="87">
        <f ca="1">RANK(FG4,OFFSET($S$4,0,0,1,$D$5*3),0)</f>
        <v>38</v>
      </c>
      <c r="FH3" s="87"/>
      <c r="FI3" s="65"/>
      <c r="FJ3" s="87">
        <f ca="1">RANK(FJ4,OFFSET($S$4,0,0,1,$D$5*3),0)</f>
        <v>38</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1</v>
      </c>
      <c r="T4" s="68"/>
      <c r="U4" s="65"/>
      <c r="V4" s="67">
        <f ca="1">SUM(W6:W259)/2</f>
        <v>1</v>
      </c>
      <c r="W4" s="68"/>
      <c r="X4" s="65"/>
      <c r="Y4" s="67">
        <f ca="1">SUM(Z6:Z259)/2</f>
        <v>4</v>
      </c>
      <c r="Z4" s="68"/>
      <c r="AA4" s="65"/>
      <c r="AB4" s="67">
        <f ca="1">SUM(AC6:AC259)/2</f>
        <v>4</v>
      </c>
      <c r="AC4" s="68"/>
      <c r="AD4" s="65"/>
      <c r="AE4" s="67">
        <f ca="1">SUM(AF6:AF259)/2</f>
        <v>4</v>
      </c>
      <c r="AF4" s="68"/>
      <c r="AG4" s="65"/>
      <c r="AH4" s="67">
        <f ca="1">SUM(AI6:AI259)/2</f>
        <v>4</v>
      </c>
      <c r="AI4" s="68"/>
      <c r="AJ4" s="65"/>
      <c r="AK4" s="67">
        <f ca="1">SUM(AL6:AL259)/2</f>
        <v>1</v>
      </c>
      <c r="AL4" s="68"/>
      <c r="AM4" s="65"/>
      <c r="AN4" s="67">
        <f ca="1">SUM(AO6:AO259)/2</f>
        <v>4</v>
      </c>
      <c r="AO4" s="68"/>
      <c r="AP4" s="65"/>
      <c r="AQ4" s="67">
        <f ca="1">SUM(AR6:AR259)/2</f>
        <v>4</v>
      </c>
      <c r="AR4" s="68"/>
      <c r="AS4" s="65"/>
      <c r="AT4" s="67">
        <f ca="1">SUM(AU6:AU259)/2</f>
        <v>1</v>
      </c>
      <c r="AU4" s="68"/>
      <c r="AV4" s="65"/>
      <c r="AW4" s="67">
        <f ca="1">SUM(AX6:AX259)/2</f>
        <v>4</v>
      </c>
      <c r="AX4" s="68"/>
      <c r="AY4" s="65"/>
      <c r="AZ4" s="67">
        <f ca="1">SUM(BA6:BA259)/2</f>
        <v>1</v>
      </c>
      <c r="BA4" s="68"/>
      <c r="BB4" s="65"/>
      <c r="BC4" s="67">
        <f ca="1">SUM(BD6:BD259)/2</f>
        <v>1</v>
      </c>
      <c r="BD4" s="68"/>
      <c r="BE4" s="65"/>
      <c r="BF4" s="67">
        <f ca="1">SUM(BG6:BG259)/2</f>
        <v>4</v>
      </c>
      <c r="BG4" s="68"/>
      <c r="BH4" s="65"/>
      <c r="BI4" s="67">
        <f ca="1">SUM(BJ6:BJ259)/2</f>
        <v>4</v>
      </c>
      <c r="BJ4" s="68"/>
      <c r="BK4" s="65"/>
      <c r="BL4" s="67">
        <f ca="1">SUM(BM6:BM259)/2</f>
        <v>0</v>
      </c>
      <c r="BM4" s="68"/>
      <c r="BN4" s="65"/>
      <c r="BO4" s="67">
        <f ca="1">SUM(BP6:BP259)/2</f>
        <v>4</v>
      </c>
      <c r="BP4" s="68"/>
      <c r="BQ4" s="65"/>
      <c r="BR4" s="67">
        <f ca="1">SUM(BS6:BS259)/2</f>
        <v>4</v>
      </c>
      <c r="BS4" s="68"/>
      <c r="BT4" s="65"/>
      <c r="BU4" s="67">
        <f ca="1">SUM(BV6:BV259)/2</f>
        <v>1</v>
      </c>
      <c r="BV4" s="68"/>
      <c r="BW4" s="65"/>
      <c r="BX4" s="67">
        <f ca="1">SUM(BY6:BY259)/2</f>
        <v>4</v>
      </c>
      <c r="BY4" s="68"/>
      <c r="BZ4" s="65"/>
      <c r="CA4" s="67">
        <f ca="1">SUM(CB6:CB259)/2</f>
        <v>0</v>
      </c>
      <c r="CB4" s="68"/>
      <c r="CC4" s="65"/>
      <c r="CD4" s="67">
        <f ca="1">SUM(CE6:CE259)/2</f>
        <v>1</v>
      </c>
      <c r="CE4" s="68"/>
      <c r="CF4" s="65"/>
      <c r="CG4" s="67">
        <f ca="1">SUM(CH6:CH259)/2</f>
        <v>4</v>
      </c>
      <c r="CH4" s="68"/>
      <c r="CI4" s="65"/>
      <c r="CJ4" s="67">
        <f ca="1">SUM(CK6:CK259)/2</f>
        <v>4</v>
      </c>
      <c r="CK4" s="68"/>
      <c r="CL4" s="65"/>
      <c r="CM4" s="67">
        <f ca="1">SUM(CN6:CN259)/2</f>
        <v>4</v>
      </c>
      <c r="CN4" s="68"/>
      <c r="CO4" s="65"/>
      <c r="CP4" s="67">
        <f ca="1">SUM(CQ6:CQ259)/2</f>
        <v>1</v>
      </c>
      <c r="CQ4" s="68"/>
      <c r="CR4" s="65"/>
      <c r="CS4" s="67">
        <f ca="1">SUM(CT6:CT259)/2</f>
        <v>2</v>
      </c>
      <c r="CT4" s="68"/>
      <c r="CU4" s="65"/>
      <c r="CV4" s="67">
        <f ca="1">SUM(CW6:CW259)/2</f>
        <v>1</v>
      </c>
      <c r="CW4" s="68"/>
      <c r="CX4" s="65"/>
      <c r="CY4" s="67">
        <f ca="1">SUM(CZ6:CZ259)/2</f>
        <v>1</v>
      </c>
      <c r="CZ4" s="68"/>
      <c r="DA4" s="65"/>
      <c r="DB4" s="67">
        <f ca="1">SUM(DC6:DC259)/2</f>
        <v>4</v>
      </c>
      <c r="DC4" s="68"/>
      <c r="DD4" s="65"/>
      <c r="DE4" s="67">
        <f ca="1">SUM(DF6:DF259)/2</f>
        <v>1</v>
      </c>
      <c r="DF4" s="68"/>
      <c r="DG4" s="65"/>
      <c r="DH4" s="67">
        <f ca="1">SUM(DI6:DI259)/2</f>
        <v>1</v>
      </c>
      <c r="DI4" s="68"/>
      <c r="DJ4" s="65"/>
      <c r="DK4" s="67">
        <f ca="1">SUM(DL6:DL259)/2</f>
        <v>4</v>
      </c>
      <c r="DL4" s="68"/>
      <c r="DM4" s="65"/>
      <c r="DN4" s="67">
        <f ca="1">SUM(DO6:DO259)/2</f>
        <v>2</v>
      </c>
      <c r="DO4" s="68"/>
      <c r="DP4" s="65"/>
      <c r="DQ4" s="67">
        <f ca="1">SUM(DR6:DR259)/2</f>
        <v>1</v>
      </c>
      <c r="DR4" s="68"/>
      <c r="DS4" s="65"/>
      <c r="DT4" s="67">
        <f ca="1">SUM(DU6:DU259)/2</f>
        <v>2</v>
      </c>
      <c r="DU4" s="68"/>
      <c r="DV4" s="65"/>
      <c r="DW4" s="67">
        <f ca="1">SUM(DX6:DX259)/2</f>
        <v>4</v>
      </c>
      <c r="DX4" s="68"/>
      <c r="DY4" s="65"/>
      <c r="DZ4" s="67">
        <f ca="1">SUM(EA6:EA259)/2</f>
        <v>4</v>
      </c>
      <c r="EA4" s="68"/>
      <c r="EB4" s="65"/>
      <c r="EC4" s="67">
        <f ca="1">SUM(ED6:ED259)/2</f>
        <v>4</v>
      </c>
      <c r="ED4" s="68"/>
      <c r="EE4" s="65"/>
      <c r="EF4" s="67">
        <f ca="1">SUM(EG6:EG259)/2</f>
        <v>0</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tr">
        <f>Idiomas!$G$363&amp;ADMIN!EH5</f>
        <v>Pegar Valores Nombre J40</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tr">
        <f>Idiomas!$D$364</f>
        <v>Pegar Valores (J1)</v>
      </c>
      <c r="EG6" s="73">
        <f t="shared" ref="EG6" si="86">IFERROR(IF($M6=EF6,($D$8+$D$9+$D$10)*$I6,IF($N6=LEFT(EF6,1),($D$8+MAX(0,IF($D$50=1,$D$9*(1-(ABS($Q6-ABS(VALUE(MID(EF6,FIND("|",EF6)+1,FIND("-",EF6)-FIND("|",EF6)-1))-VALUE(MID(EF6,FIND("-",EF6)+1,10)))))*$D$50),$D$9*(1-(IF($N6="X",ABS($O6-VALUE(MID(EF6,FIND("|",EF6)+1,FIND("-",EF6)-FIND("|",EF6)-1))),ABS($Q6-ABS(VALUE(MID(EF6,FIND("|",EF6)+1,FIND("-",EF6)-FIND("|",EF6)-1))-VALUE(MID(EF6,FIND("-",EF6)+1,10)))))*$D$50)))))*$I6,0)),0)</f>
        <v>0</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0</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0</v>
      </c>
      <c r="AD7" s="111"/>
      <c r="AE7" s="72" t="s">
        <v>1946</v>
      </c>
      <c r="AF7" s="73">
        <f t="shared" si="100"/>
        <v>0</v>
      </c>
      <c r="AG7" s="111"/>
      <c r="AH7" s="72" t="s">
        <v>1942</v>
      </c>
      <c r="AI7" s="73">
        <f t="shared" si="100"/>
        <v>0</v>
      </c>
      <c r="AJ7" s="111"/>
      <c r="AK7" s="72" t="s">
        <v>1952</v>
      </c>
      <c r="AL7" s="73">
        <f t="shared" si="100"/>
        <v>0</v>
      </c>
      <c r="AM7" s="111"/>
      <c r="AN7" s="72" t="s">
        <v>1946</v>
      </c>
      <c r="AO7" s="73">
        <f t="shared" si="100"/>
        <v>0</v>
      </c>
      <c r="AP7" s="111"/>
      <c r="AQ7" s="72" t="s">
        <v>1943</v>
      </c>
      <c r="AR7" s="73">
        <f t="shared" si="100"/>
        <v>0</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0</v>
      </c>
      <c r="CC7" s="111"/>
      <c r="CD7" s="72" t="s">
        <v>1946</v>
      </c>
      <c r="CE7" s="73">
        <f t="shared" si="100"/>
        <v>0</v>
      </c>
      <c r="CF7" s="111"/>
      <c r="CG7" s="72" t="s">
        <v>1942</v>
      </c>
      <c r="CH7" s="73">
        <f t="shared" si="100"/>
        <v>0</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0</v>
      </c>
      <c r="CX7" s="111"/>
      <c r="CY7" s="72" t="s">
        <v>1946</v>
      </c>
      <c r="CZ7" s="73">
        <f t="shared" si="70"/>
        <v>0</v>
      </c>
      <c r="DA7" s="111"/>
      <c r="DB7" s="72" t="s">
        <v>1946</v>
      </c>
      <c r="DC7" s="73">
        <f t="shared" si="70"/>
        <v>0</v>
      </c>
      <c r="DD7" s="111"/>
      <c r="DE7" s="72" t="s">
        <v>1952</v>
      </c>
      <c r="DF7" s="73">
        <f t="shared" si="70"/>
        <v>0</v>
      </c>
      <c r="DG7" s="111"/>
      <c r="DH7" s="72" t="s">
        <v>1954</v>
      </c>
      <c r="DI7" s="73">
        <f t="shared" si="70"/>
        <v>0</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0</v>
      </c>
      <c r="DY7" s="111"/>
      <c r="DZ7" s="72" t="s">
        <v>1946</v>
      </c>
      <c r="EA7" s="73">
        <f t="shared" si="70"/>
        <v>0</v>
      </c>
      <c r="EB7" s="111"/>
      <c r="EC7" s="72" t="s">
        <v>1946</v>
      </c>
      <c r="ED7" s="73">
        <f t="shared" si="70"/>
        <v>0</v>
      </c>
      <c r="EE7" s="111"/>
      <c r="EF7" s="72"/>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101">ABS(O8-P8)</f>
        <v>0</v>
      </c>
      <c r="R8" s="49"/>
      <c r="S8" s="74" t="s">
        <v>1944</v>
      </c>
      <c r="T8" s="73">
        <f t="shared" si="98"/>
        <v>0</v>
      </c>
      <c r="U8" s="65"/>
      <c r="V8" s="74" t="s">
        <v>1949</v>
      </c>
      <c r="W8" s="73">
        <f t="shared" si="99"/>
        <v>0</v>
      </c>
      <c r="X8" s="65"/>
      <c r="Y8" s="74" t="s">
        <v>1952</v>
      </c>
      <c r="Z8" s="73">
        <f t="shared" si="100"/>
        <v>0</v>
      </c>
      <c r="AA8" s="65"/>
      <c r="AB8" s="74" t="s">
        <v>1944</v>
      </c>
      <c r="AC8" s="73">
        <f t="shared" si="100"/>
        <v>0</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0</v>
      </c>
      <c r="AS8" s="65"/>
      <c r="AT8" s="74" t="s">
        <v>1944</v>
      </c>
      <c r="AU8" s="73">
        <f t="shared" si="100"/>
        <v>0</v>
      </c>
      <c r="AV8" s="65"/>
      <c r="AW8" s="74" t="s">
        <v>1952</v>
      </c>
      <c r="AX8" s="73">
        <f t="shared" si="100"/>
        <v>0</v>
      </c>
      <c r="AY8" s="65"/>
      <c r="AZ8" s="74" t="s">
        <v>1944</v>
      </c>
      <c r="BA8" s="73">
        <f t="shared" si="100"/>
        <v>0</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0</v>
      </c>
      <c r="BT8" s="65"/>
      <c r="BU8" s="74" t="s">
        <v>1960</v>
      </c>
      <c r="BV8" s="73">
        <f t="shared" si="100"/>
        <v>0</v>
      </c>
      <c r="BW8" s="65"/>
      <c r="BX8" s="74" t="s">
        <v>1942</v>
      </c>
      <c r="BY8" s="73">
        <f t="shared" si="100"/>
        <v>0</v>
      </c>
      <c r="BZ8" s="65"/>
      <c r="CA8" s="74" t="s">
        <v>1942</v>
      </c>
      <c r="CB8" s="73">
        <f t="shared" si="100"/>
        <v>0</v>
      </c>
      <c r="CC8" s="65"/>
      <c r="CD8" s="74" t="s">
        <v>1946</v>
      </c>
      <c r="CE8" s="73">
        <f t="shared" si="100"/>
        <v>0</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0</v>
      </c>
      <c r="CU8" s="65"/>
      <c r="CV8" s="74" t="s">
        <v>1944</v>
      </c>
      <c r="CW8" s="73">
        <f t="shared" si="70"/>
        <v>0</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0</v>
      </c>
      <c r="DY8" s="65"/>
      <c r="DZ8" s="74" t="s">
        <v>1942</v>
      </c>
      <c r="EA8" s="73">
        <f t="shared" si="70"/>
        <v>0</v>
      </c>
      <c r="EB8" s="65"/>
      <c r="EC8" s="74" t="s">
        <v>1944</v>
      </c>
      <c r="ED8" s="73">
        <f t="shared" si="70"/>
        <v>0</v>
      </c>
      <c r="EE8" s="65"/>
      <c r="EF8" s="74"/>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101"/>
        <v>0</v>
      </c>
      <c r="R10" s="49"/>
      <c r="S10" s="74" t="s">
        <v>1946</v>
      </c>
      <c r="T10" s="73">
        <f t="shared" si="98"/>
        <v>0</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0</v>
      </c>
      <c r="AJ10" s="65"/>
      <c r="AK10" s="74" t="s">
        <v>1948</v>
      </c>
      <c r="AL10" s="73">
        <f t="shared" si="100"/>
        <v>0</v>
      </c>
      <c r="AM10" s="65"/>
      <c r="AN10" s="74" t="s">
        <v>1946</v>
      </c>
      <c r="AO10" s="73">
        <f t="shared" si="100"/>
        <v>0</v>
      </c>
      <c r="AP10" s="65"/>
      <c r="AQ10" s="74" t="s">
        <v>1948</v>
      </c>
      <c r="AR10" s="73">
        <f t="shared" si="100"/>
        <v>0</v>
      </c>
      <c r="AS10" s="65"/>
      <c r="AT10" s="74" t="s">
        <v>1948</v>
      </c>
      <c r="AU10" s="73">
        <f t="shared" si="100"/>
        <v>0</v>
      </c>
      <c r="AV10" s="65"/>
      <c r="AW10" s="74" t="s">
        <v>1944</v>
      </c>
      <c r="AX10" s="73">
        <f t="shared" si="100"/>
        <v>0</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0</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0</v>
      </c>
      <c r="CF10" s="65"/>
      <c r="CG10" s="74" t="s">
        <v>1948</v>
      </c>
      <c r="CH10" s="73">
        <f t="shared" si="100"/>
        <v>0</v>
      </c>
      <c r="CI10" s="65"/>
      <c r="CJ10" s="74" t="s">
        <v>1956</v>
      </c>
      <c r="CK10" s="73">
        <f t="shared" si="70"/>
        <v>0</v>
      </c>
      <c r="CL10" s="65"/>
      <c r="CM10" s="74" t="s">
        <v>1944</v>
      </c>
      <c r="CN10" s="73">
        <f t="shared" si="70"/>
        <v>0</v>
      </c>
      <c r="CO10" s="65"/>
      <c r="CP10" s="74" t="s">
        <v>1948</v>
      </c>
      <c r="CQ10" s="73">
        <f t="shared" si="70"/>
        <v>0</v>
      </c>
      <c r="CR10" s="65"/>
      <c r="CS10" s="74" t="s">
        <v>1948</v>
      </c>
      <c r="CT10" s="73">
        <f t="shared" si="70"/>
        <v>0</v>
      </c>
      <c r="CU10" s="65"/>
      <c r="CV10" s="74" t="s">
        <v>1946</v>
      </c>
      <c r="CW10" s="73">
        <f t="shared" si="70"/>
        <v>0</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0</v>
      </c>
      <c r="DY10" s="65"/>
      <c r="DZ10" s="74" t="s">
        <v>1948</v>
      </c>
      <c r="EA10" s="73">
        <f t="shared" si="70"/>
        <v>0</v>
      </c>
      <c r="EB10" s="65"/>
      <c r="EC10" s="74" t="s">
        <v>1948</v>
      </c>
      <c r="ED10" s="73">
        <f t="shared" si="70"/>
        <v>0</v>
      </c>
      <c r="EE10" s="65"/>
      <c r="EF10" s="74"/>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101"/>
        <v>0</v>
      </c>
      <c r="R11" s="49"/>
      <c r="S11" s="74" t="s">
        <v>1947</v>
      </c>
      <c r="T11" s="73">
        <f t="shared" si="98"/>
        <v>0</v>
      </c>
      <c r="U11" s="65"/>
      <c r="V11" s="74" t="s">
        <v>1955</v>
      </c>
      <c r="W11" s="73">
        <f t="shared" si="99"/>
        <v>0</v>
      </c>
      <c r="X11" s="65"/>
      <c r="Y11" s="74" t="s">
        <v>1961</v>
      </c>
      <c r="Z11" s="73">
        <f t="shared" si="100"/>
        <v>0</v>
      </c>
      <c r="AA11" s="65"/>
      <c r="AB11" s="74" t="s">
        <v>1960</v>
      </c>
      <c r="AC11" s="73">
        <f t="shared" si="100"/>
        <v>0</v>
      </c>
      <c r="AD11" s="65"/>
      <c r="AE11" s="74" t="s">
        <v>1952</v>
      </c>
      <c r="AF11" s="73">
        <f t="shared" si="100"/>
        <v>0</v>
      </c>
      <c r="AG11" s="65"/>
      <c r="AH11" s="74" t="s">
        <v>1960</v>
      </c>
      <c r="AI11" s="73">
        <f t="shared" si="100"/>
        <v>0</v>
      </c>
      <c r="AJ11" s="65"/>
      <c r="AK11" s="74" t="s">
        <v>1947</v>
      </c>
      <c r="AL11" s="73">
        <f t="shared" si="100"/>
        <v>0</v>
      </c>
      <c r="AM11" s="65"/>
      <c r="AN11" s="74" t="s">
        <v>1945</v>
      </c>
      <c r="AO11" s="73">
        <f t="shared" si="100"/>
        <v>0</v>
      </c>
      <c r="AP11" s="65"/>
      <c r="AQ11" s="74" t="s">
        <v>1947</v>
      </c>
      <c r="AR11" s="73">
        <f t="shared" si="100"/>
        <v>0</v>
      </c>
      <c r="AS11" s="65"/>
      <c r="AT11" s="74" t="s">
        <v>1949</v>
      </c>
      <c r="AU11" s="73">
        <f t="shared" si="100"/>
        <v>0</v>
      </c>
      <c r="AV11" s="65"/>
      <c r="AW11" s="74" t="s">
        <v>1949</v>
      </c>
      <c r="AX11" s="73">
        <f t="shared" si="100"/>
        <v>0</v>
      </c>
      <c r="AY11" s="65"/>
      <c r="AZ11" s="74" t="s">
        <v>1960</v>
      </c>
      <c r="BA11" s="73">
        <f t="shared" si="100"/>
        <v>0</v>
      </c>
      <c r="BB11" s="65"/>
      <c r="BC11" s="74" t="s">
        <v>1960</v>
      </c>
      <c r="BD11" s="73">
        <f t="shared" si="100"/>
        <v>0</v>
      </c>
      <c r="BE11" s="65"/>
      <c r="BF11" s="74" t="s">
        <v>1960</v>
      </c>
      <c r="BG11" s="73">
        <f t="shared" si="100"/>
        <v>0</v>
      </c>
      <c r="BH11" s="65"/>
      <c r="BI11" s="74" t="s">
        <v>1961</v>
      </c>
      <c r="BJ11" s="73">
        <f t="shared" si="100"/>
        <v>0</v>
      </c>
      <c r="BK11" s="65"/>
      <c r="BL11" s="74" t="s">
        <v>1949</v>
      </c>
      <c r="BM11" s="73">
        <f t="shared" si="100"/>
        <v>0</v>
      </c>
      <c r="BN11" s="65"/>
      <c r="BO11" s="74" t="s">
        <v>1952</v>
      </c>
      <c r="BP11" s="73">
        <f t="shared" si="100"/>
        <v>0</v>
      </c>
      <c r="BQ11" s="65"/>
      <c r="BR11" s="74" t="s">
        <v>1960</v>
      </c>
      <c r="BS11" s="73">
        <f t="shared" si="100"/>
        <v>0</v>
      </c>
      <c r="BT11" s="65"/>
      <c r="BU11" s="74" t="s">
        <v>1949</v>
      </c>
      <c r="BV11" s="73">
        <f t="shared" si="100"/>
        <v>0</v>
      </c>
      <c r="BW11" s="65"/>
      <c r="BX11" s="74" t="s">
        <v>1952</v>
      </c>
      <c r="BY11" s="73">
        <f t="shared" si="100"/>
        <v>0</v>
      </c>
      <c r="BZ11" s="65"/>
      <c r="CA11" s="74" t="s">
        <v>1947</v>
      </c>
      <c r="CB11" s="73">
        <f t="shared" si="100"/>
        <v>0</v>
      </c>
      <c r="CC11" s="65"/>
      <c r="CD11" s="74" t="s">
        <v>1960</v>
      </c>
      <c r="CE11" s="73">
        <f t="shared" si="100"/>
        <v>0</v>
      </c>
      <c r="CF11" s="65"/>
      <c r="CG11" s="74" t="s">
        <v>1946</v>
      </c>
      <c r="CH11" s="73">
        <f t="shared" si="100"/>
        <v>0</v>
      </c>
      <c r="CI11" s="65"/>
      <c r="CJ11" s="74" t="s">
        <v>1949</v>
      </c>
      <c r="CK11" s="73">
        <f t="shared" si="70"/>
        <v>0</v>
      </c>
      <c r="CL11" s="65"/>
      <c r="CM11" s="74" t="s">
        <v>1947</v>
      </c>
      <c r="CN11" s="73">
        <f t="shared" si="70"/>
        <v>0</v>
      </c>
      <c r="CO11" s="65"/>
      <c r="CP11" s="74" t="s">
        <v>1955</v>
      </c>
      <c r="CQ11" s="73">
        <f t="shared" si="70"/>
        <v>0</v>
      </c>
      <c r="CR11" s="65"/>
      <c r="CS11" s="74" t="s">
        <v>1949</v>
      </c>
      <c r="CT11" s="73">
        <f t="shared" si="70"/>
        <v>0</v>
      </c>
      <c r="CU11" s="65"/>
      <c r="CV11" s="74" t="s">
        <v>1947</v>
      </c>
      <c r="CW11" s="73">
        <f t="shared" si="70"/>
        <v>0</v>
      </c>
      <c r="CX11" s="65"/>
      <c r="CY11" s="74" t="s">
        <v>1949</v>
      </c>
      <c r="CZ11" s="73">
        <f t="shared" si="70"/>
        <v>0</v>
      </c>
      <c r="DA11" s="65"/>
      <c r="DB11" s="74" t="s">
        <v>1949</v>
      </c>
      <c r="DC11" s="73">
        <f t="shared" si="70"/>
        <v>0</v>
      </c>
      <c r="DD11" s="65"/>
      <c r="DE11" s="74" t="s">
        <v>1947</v>
      </c>
      <c r="DF11" s="73">
        <f t="shared" si="70"/>
        <v>0</v>
      </c>
      <c r="DG11" s="65"/>
      <c r="DH11" s="74" t="s">
        <v>1949</v>
      </c>
      <c r="DI11" s="73">
        <f t="shared" si="70"/>
        <v>0</v>
      </c>
      <c r="DJ11" s="65"/>
      <c r="DK11" s="74" t="s">
        <v>1947</v>
      </c>
      <c r="DL11" s="73">
        <f t="shared" si="70"/>
        <v>0</v>
      </c>
      <c r="DM11" s="65"/>
      <c r="DN11" s="795" t="s">
        <v>1947</v>
      </c>
      <c r="DO11" s="73">
        <f t="shared" si="70"/>
        <v>0</v>
      </c>
      <c r="DP11" s="65"/>
      <c r="DQ11" s="795" t="s">
        <v>1946</v>
      </c>
      <c r="DR11" s="73">
        <f t="shared" si="70"/>
        <v>0</v>
      </c>
      <c r="DS11" s="65"/>
      <c r="DT11" s="74" t="s">
        <v>1955</v>
      </c>
      <c r="DU11" s="73">
        <f t="shared" si="70"/>
        <v>0</v>
      </c>
      <c r="DV11" s="65"/>
      <c r="DW11" s="74" t="s">
        <v>1949</v>
      </c>
      <c r="DX11" s="73">
        <f t="shared" si="70"/>
        <v>0</v>
      </c>
      <c r="DY11" s="65"/>
      <c r="DZ11" s="74" t="s">
        <v>1949</v>
      </c>
      <c r="EA11" s="73">
        <f t="shared" si="70"/>
        <v>0</v>
      </c>
      <c r="EB11" s="65"/>
      <c r="EC11" s="74" t="s">
        <v>1947</v>
      </c>
      <c r="ED11" s="73">
        <f t="shared" si="70"/>
        <v>0</v>
      </c>
      <c r="EE11" s="65"/>
      <c r="EF11" s="74"/>
      <c r="EG11" s="73">
        <f t="shared" si="70"/>
        <v>0</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101"/>
        <v>0</v>
      </c>
      <c r="R12" s="49"/>
      <c r="S12" s="74" t="s">
        <v>1948</v>
      </c>
      <c r="T12" s="73">
        <f t="shared" si="98"/>
        <v>0</v>
      </c>
      <c r="U12" s="65"/>
      <c r="V12" s="74" t="s">
        <v>1954</v>
      </c>
      <c r="W12" s="73">
        <f t="shared" si="99"/>
        <v>0</v>
      </c>
      <c r="X12" s="65"/>
      <c r="Y12" s="74" t="s">
        <v>1946</v>
      </c>
      <c r="Z12" s="73">
        <f t="shared" si="100"/>
        <v>0</v>
      </c>
      <c r="AA12" s="65"/>
      <c r="AB12" s="74" t="s">
        <v>1946</v>
      </c>
      <c r="AC12" s="73">
        <f t="shared" si="100"/>
        <v>0</v>
      </c>
      <c r="AD12" s="65"/>
      <c r="AE12" s="74" t="s">
        <v>1954</v>
      </c>
      <c r="AF12" s="73">
        <f t="shared" si="100"/>
        <v>0</v>
      </c>
      <c r="AG12" s="65"/>
      <c r="AH12" s="74" t="s">
        <v>1948</v>
      </c>
      <c r="AI12" s="73">
        <f t="shared" si="100"/>
        <v>0</v>
      </c>
      <c r="AJ12" s="65"/>
      <c r="AK12" s="74" t="s">
        <v>1946</v>
      </c>
      <c r="AL12" s="73">
        <f t="shared" si="100"/>
        <v>0</v>
      </c>
      <c r="AM12" s="65"/>
      <c r="AN12" s="74" t="s">
        <v>1948</v>
      </c>
      <c r="AO12" s="73">
        <f t="shared" si="100"/>
        <v>0</v>
      </c>
      <c r="AP12" s="65"/>
      <c r="AQ12" s="74" t="s">
        <v>1948</v>
      </c>
      <c r="AR12" s="73">
        <f t="shared" si="100"/>
        <v>0</v>
      </c>
      <c r="AS12" s="65"/>
      <c r="AT12" s="74" t="s">
        <v>1948</v>
      </c>
      <c r="AU12" s="73">
        <f t="shared" si="100"/>
        <v>0</v>
      </c>
      <c r="AV12" s="65"/>
      <c r="AW12" s="74" t="s">
        <v>1946</v>
      </c>
      <c r="AX12" s="73">
        <f t="shared" si="100"/>
        <v>0</v>
      </c>
      <c r="AY12" s="65"/>
      <c r="AZ12" s="74" t="s">
        <v>1946</v>
      </c>
      <c r="BA12" s="73">
        <f t="shared" si="100"/>
        <v>0</v>
      </c>
      <c r="BB12" s="65"/>
      <c r="BC12" s="74" t="s">
        <v>1954</v>
      </c>
      <c r="BD12" s="73">
        <f t="shared" si="100"/>
        <v>0</v>
      </c>
      <c r="BE12" s="65"/>
      <c r="BF12" s="74" t="s">
        <v>1954</v>
      </c>
      <c r="BG12" s="73">
        <f t="shared" si="100"/>
        <v>0</v>
      </c>
      <c r="BH12" s="65"/>
      <c r="BI12" s="74" t="s">
        <v>1946</v>
      </c>
      <c r="BJ12" s="73">
        <f t="shared" si="100"/>
        <v>0</v>
      </c>
      <c r="BK12" s="65"/>
      <c r="BL12" s="74" t="s">
        <v>1948</v>
      </c>
      <c r="BM12" s="73">
        <f t="shared" si="100"/>
        <v>0</v>
      </c>
      <c r="BN12" s="65"/>
      <c r="BO12" s="74" t="s">
        <v>1948</v>
      </c>
      <c r="BP12" s="73">
        <f t="shared" si="100"/>
        <v>0</v>
      </c>
      <c r="BQ12" s="65"/>
      <c r="BR12" s="74" t="s">
        <v>1952</v>
      </c>
      <c r="BS12" s="73">
        <f t="shared" si="100"/>
        <v>0</v>
      </c>
      <c r="BT12" s="65"/>
      <c r="BU12" s="74" t="s">
        <v>1948</v>
      </c>
      <c r="BV12" s="73">
        <f t="shared" si="100"/>
        <v>0</v>
      </c>
      <c r="BW12" s="65"/>
      <c r="BX12" s="74" t="s">
        <v>1946</v>
      </c>
      <c r="BY12" s="73">
        <f t="shared" si="100"/>
        <v>0</v>
      </c>
      <c r="BZ12" s="65"/>
      <c r="CA12" s="74" t="s">
        <v>1942</v>
      </c>
      <c r="CB12" s="73">
        <f t="shared" si="100"/>
        <v>0</v>
      </c>
      <c r="CC12" s="65"/>
      <c r="CD12" s="74" t="s">
        <v>1943</v>
      </c>
      <c r="CE12" s="73">
        <f t="shared" si="100"/>
        <v>0</v>
      </c>
      <c r="CF12" s="65"/>
      <c r="CG12" s="74" t="s">
        <v>1948</v>
      </c>
      <c r="CH12" s="73">
        <f t="shared" si="100"/>
        <v>0</v>
      </c>
      <c r="CI12" s="65"/>
      <c r="CJ12" s="74" t="s">
        <v>1942</v>
      </c>
      <c r="CK12" s="73">
        <f t="shared" si="70"/>
        <v>0</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0</v>
      </c>
      <c r="DA12" s="65"/>
      <c r="DB12" s="74" t="s">
        <v>1946</v>
      </c>
      <c r="DC12" s="73">
        <f t="shared" si="70"/>
        <v>0</v>
      </c>
      <c r="DD12" s="65"/>
      <c r="DE12" s="74" t="s">
        <v>1946</v>
      </c>
      <c r="DF12" s="73">
        <f t="shared" si="70"/>
        <v>0</v>
      </c>
      <c r="DG12" s="65"/>
      <c r="DH12" s="74" t="s">
        <v>1948</v>
      </c>
      <c r="DI12" s="73">
        <f t="shared" si="70"/>
        <v>0</v>
      </c>
      <c r="DJ12" s="65"/>
      <c r="DK12" s="74" t="s">
        <v>1946</v>
      </c>
      <c r="DL12" s="73">
        <f t="shared" si="70"/>
        <v>0</v>
      </c>
      <c r="DM12" s="65"/>
      <c r="DN12" s="795" t="s">
        <v>1946</v>
      </c>
      <c r="DO12" s="73">
        <f t="shared" si="70"/>
        <v>0</v>
      </c>
      <c r="DP12" s="65"/>
      <c r="DQ12" s="795" t="s">
        <v>1946</v>
      </c>
      <c r="DR12" s="73">
        <f t="shared" si="70"/>
        <v>0</v>
      </c>
      <c r="DS12" s="65"/>
      <c r="DT12" s="74" t="s">
        <v>1943</v>
      </c>
      <c r="DU12" s="73">
        <f t="shared" si="70"/>
        <v>0</v>
      </c>
      <c r="DV12" s="65"/>
      <c r="DW12" s="74" t="s">
        <v>1942</v>
      </c>
      <c r="DX12" s="73">
        <f t="shared" si="70"/>
        <v>0</v>
      </c>
      <c r="DY12" s="65"/>
      <c r="DZ12" s="74" t="s">
        <v>1954</v>
      </c>
      <c r="EA12" s="73">
        <f t="shared" si="70"/>
        <v>0</v>
      </c>
      <c r="EB12" s="65"/>
      <c r="EC12" s="74" t="s">
        <v>1960</v>
      </c>
      <c r="ED12" s="73">
        <f t="shared" si="70"/>
        <v>0</v>
      </c>
      <c r="EE12" s="65"/>
      <c r="EF12" s="74"/>
      <c r="EG12" s="73">
        <f t="shared" si="70"/>
        <v>0</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101"/>
        <v>0</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101"/>
        <v>0</v>
      </c>
      <c r="R14" s="49"/>
      <c r="S14" s="74" t="s">
        <v>1950</v>
      </c>
      <c r="T14" s="73">
        <f t="shared" si="98"/>
        <v>0</v>
      </c>
      <c r="U14" s="65"/>
      <c r="V14" s="74" t="s">
        <v>2001</v>
      </c>
      <c r="W14" s="73">
        <f t="shared" si="99"/>
        <v>0</v>
      </c>
      <c r="X14" s="65"/>
      <c r="Y14" s="74" t="s">
        <v>2001</v>
      </c>
      <c r="Z14" s="73">
        <f t="shared" si="100"/>
        <v>0</v>
      </c>
      <c r="AA14" s="65"/>
      <c r="AB14" s="74" t="s">
        <v>1943</v>
      </c>
      <c r="AC14" s="73">
        <f t="shared" si="100"/>
        <v>0</v>
      </c>
      <c r="AD14" s="65"/>
      <c r="AE14" s="74" t="s">
        <v>1951</v>
      </c>
      <c r="AF14" s="73">
        <f t="shared" si="100"/>
        <v>0</v>
      </c>
      <c r="AG14" s="65"/>
      <c r="AH14" s="74" t="s">
        <v>2001</v>
      </c>
      <c r="AI14" s="73">
        <f t="shared" si="100"/>
        <v>0</v>
      </c>
      <c r="AJ14" s="65"/>
      <c r="AK14" s="74" t="s">
        <v>1951</v>
      </c>
      <c r="AL14" s="73">
        <f t="shared" si="100"/>
        <v>0</v>
      </c>
      <c r="AM14" s="65"/>
      <c r="AN14" s="74" t="s">
        <v>2001</v>
      </c>
      <c r="AO14" s="73">
        <f t="shared" si="100"/>
        <v>0</v>
      </c>
      <c r="AP14" s="65"/>
      <c r="AQ14" s="74" t="s">
        <v>1950</v>
      </c>
      <c r="AR14" s="73">
        <f t="shared" si="100"/>
        <v>0</v>
      </c>
      <c r="AS14" s="65"/>
      <c r="AT14" s="74" t="s">
        <v>1954</v>
      </c>
      <c r="AU14" s="73">
        <f t="shared" si="100"/>
        <v>0</v>
      </c>
      <c r="AV14" s="65"/>
      <c r="AW14" s="74" t="s">
        <v>1951</v>
      </c>
      <c r="AX14" s="73">
        <f t="shared" si="100"/>
        <v>0</v>
      </c>
      <c r="AY14" s="65"/>
      <c r="AZ14" s="74" t="s">
        <v>1950</v>
      </c>
      <c r="BA14" s="73">
        <f t="shared" si="100"/>
        <v>0</v>
      </c>
      <c r="BB14" s="65"/>
      <c r="BC14" s="74" t="s">
        <v>1958</v>
      </c>
      <c r="BD14" s="73">
        <f t="shared" si="100"/>
        <v>0</v>
      </c>
      <c r="BE14" s="65"/>
      <c r="BF14" s="74" t="s">
        <v>1958</v>
      </c>
      <c r="BG14" s="73">
        <f t="shared" si="100"/>
        <v>0</v>
      </c>
      <c r="BH14" s="65"/>
      <c r="BI14" s="74" t="s">
        <v>2001</v>
      </c>
      <c r="BJ14" s="73">
        <f t="shared" si="100"/>
        <v>0</v>
      </c>
      <c r="BK14" s="65"/>
      <c r="BL14" s="74" t="s">
        <v>2001</v>
      </c>
      <c r="BM14" s="73">
        <f t="shared" si="100"/>
        <v>0</v>
      </c>
      <c r="BN14" s="65"/>
      <c r="BO14" s="74" t="s">
        <v>2001</v>
      </c>
      <c r="BP14" s="73">
        <f t="shared" si="100"/>
        <v>0</v>
      </c>
      <c r="BQ14" s="65"/>
      <c r="BR14" s="74" t="s">
        <v>1958</v>
      </c>
      <c r="BS14" s="73">
        <f t="shared" si="100"/>
        <v>0</v>
      </c>
      <c r="BT14" s="65"/>
      <c r="BU14" s="74" t="s">
        <v>2001</v>
      </c>
      <c r="BV14" s="73">
        <f t="shared" si="100"/>
        <v>0</v>
      </c>
      <c r="BW14" s="65"/>
      <c r="BX14" s="74" t="s">
        <v>1958</v>
      </c>
      <c r="BY14" s="73">
        <f t="shared" si="100"/>
        <v>0</v>
      </c>
      <c r="BZ14" s="65"/>
      <c r="CA14" s="74" t="s">
        <v>2001</v>
      </c>
      <c r="CB14" s="73">
        <f t="shared" si="100"/>
        <v>0</v>
      </c>
      <c r="CC14" s="65"/>
      <c r="CD14" s="74" t="s">
        <v>1954</v>
      </c>
      <c r="CE14" s="73">
        <f t="shared" si="100"/>
        <v>0</v>
      </c>
      <c r="CF14" s="65"/>
      <c r="CG14" s="74" t="s">
        <v>1958</v>
      </c>
      <c r="CH14" s="73">
        <f t="shared" si="100"/>
        <v>0</v>
      </c>
      <c r="CI14" s="65"/>
      <c r="CJ14" s="74" t="s">
        <v>2001</v>
      </c>
      <c r="CK14" s="73">
        <f t="shared" si="70"/>
        <v>0</v>
      </c>
      <c r="CL14" s="65"/>
      <c r="CM14" s="74" t="s">
        <v>1951</v>
      </c>
      <c r="CN14" s="73">
        <f t="shared" si="70"/>
        <v>0</v>
      </c>
      <c r="CO14" s="65"/>
      <c r="CP14" s="74" t="s">
        <v>1951</v>
      </c>
      <c r="CQ14" s="73">
        <f t="shared" si="70"/>
        <v>0</v>
      </c>
      <c r="CR14" s="65"/>
      <c r="CS14" s="74" t="s">
        <v>1958</v>
      </c>
      <c r="CT14" s="73">
        <f t="shared" si="70"/>
        <v>0</v>
      </c>
      <c r="CU14" s="65"/>
      <c r="CV14" s="74" t="s">
        <v>2001</v>
      </c>
      <c r="CW14" s="73">
        <f t="shared" si="70"/>
        <v>0</v>
      </c>
      <c r="CX14" s="65"/>
      <c r="CY14" s="74" t="s">
        <v>1950</v>
      </c>
      <c r="CZ14" s="73">
        <f t="shared" si="70"/>
        <v>0</v>
      </c>
      <c r="DA14" s="65"/>
      <c r="DB14" s="74" t="s">
        <v>1958</v>
      </c>
      <c r="DC14" s="73">
        <f t="shared" si="70"/>
        <v>0</v>
      </c>
      <c r="DD14" s="65"/>
      <c r="DE14" s="74" t="s">
        <v>2001</v>
      </c>
      <c r="DF14" s="73">
        <f t="shared" si="70"/>
        <v>0</v>
      </c>
      <c r="DG14" s="65"/>
      <c r="DH14" s="74" t="s">
        <v>1958</v>
      </c>
      <c r="DI14" s="73">
        <f t="shared" si="70"/>
        <v>0</v>
      </c>
      <c r="DJ14" s="65"/>
      <c r="DK14" s="74" t="s">
        <v>1951</v>
      </c>
      <c r="DL14" s="73">
        <f t="shared" si="70"/>
        <v>0</v>
      </c>
      <c r="DM14" s="65"/>
      <c r="DN14" s="795" t="s">
        <v>1951</v>
      </c>
      <c r="DO14" s="73">
        <f t="shared" si="70"/>
        <v>0</v>
      </c>
      <c r="DP14" s="65"/>
      <c r="DQ14" s="795" t="s">
        <v>1951</v>
      </c>
      <c r="DR14" s="73">
        <f t="shared" si="70"/>
        <v>0</v>
      </c>
      <c r="DS14" s="65"/>
      <c r="DT14" s="74" t="s">
        <v>2002</v>
      </c>
      <c r="DU14" s="73">
        <f t="shared" si="70"/>
        <v>0</v>
      </c>
      <c r="DV14" s="65"/>
      <c r="DW14" s="74" t="s">
        <v>1950</v>
      </c>
      <c r="DX14" s="73">
        <f t="shared" si="70"/>
        <v>0</v>
      </c>
      <c r="DY14" s="65"/>
      <c r="DZ14" s="74" t="s">
        <v>2001</v>
      </c>
      <c r="EA14" s="73">
        <f t="shared" si="70"/>
        <v>0</v>
      </c>
      <c r="EB14" s="65"/>
      <c r="EC14" s="74" t="s">
        <v>1958</v>
      </c>
      <c r="ED14" s="73">
        <f t="shared" si="70"/>
        <v>0</v>
      </c>
      <c r="EE14" s="65"/>
      <c r="EF14" s="74"/>
      <c r="EG14" s="73">
        <f t="shared" si="70"/>
        <v>0</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101"/>
        <v>0</v>
      </c>
      <c r="R15" s="49"/>
      <c r="S15" s="74" t="s">
        <v>1948</v>
      </c>
      <c r="T15" s="73">
        <f t="shared" si="98"/>
        <v>0</v>
      </c>
      <c r="U15" s="65"/>
      <c r="V15" s="74" t="s">
        <v>1944</v>
      </c>
      <c r="W15" s="73">
        <f t="shared" si="99"/>
        <v>0</v>
      </c>
      <c r="X15" s="65"/>
      <c r="Y15" s="74" t="s">
        <v>1948</v>
      </c>
      <c r="Z15" s="73">
        <f t="shared" si="100"/>
        <v>0</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0</v>
      </c>
      <c r="BK15" s="65"/>
      <c r="BL15" s="74" t="s">
        <v>1946</v>
      </c>
      <c r="BM15" s="73">
        <f t="shared" si="100"/>
        <v>0</v>
      </c>
      <c r="BN15" s="65"/>
      <c r="BO15" s="74" t="s">
        <v>1948</v>
      </c>
      <c r="BP15" s="73">
        <f t="shared" si="100"/>
        <v>0</v>
      </c>
      <c r="BQ15" s="65"/>
      <c r="BR15" s="74" t="s">
        <v>1952</v>
      </c>
      <c r="BS15" s="73">
        <f t="shared" si="100"/>
        <v>0</v>
      </c>
      <c r="BT15" s="65"/>
      <c r="BU15" s="74" t="s">
        <v>1958</v>
      </c>
      <c r="BV15" s="73">
        <f t="shared" si="100"/>
        <v>0</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0</v>
      </c>
      <c r="BB16" s="65"/>
      <c r="BC16" s="74" t="s">
        <v>1943</v>
      </c>
      <c r="BD16" s="73">
        <f t="shared" si="100"/>
        <v>0</v>
      </c>
      <c r="BE16" s="65"/>
      <c r="BF16" s="74" t="s">
        <v>1948</v>
      </c>
      <c r="BG16" s="73">
        <f t="shared" si="100"/>
        <v>0</v>
      </c>
      <c r="BH16" s="65"/>
      <c r="BI16" s="74" t="s">
        <v>1948</v>
      </c>
      <c r="BJ16" s="73">
        <f t="shared" si="100"/>
        <v>0</v>
      </c>
      <c r="BK16" s="65"/>
      <c r="BL16" s="74" t="s">
        <v>1946</v>
      </c>
      <c r="BM16" s="73">
        <f t="shared" si="100"/>
        <v>0</v>
      </c>
      <c r="BN16" s="65"/>
      <c r="BO16" s="74" t="s">
        <v>1948</v>
      </c>
      <c r="BP16" s="73">
        <f t="shared" si="100"/>
        <v>0</v>
      </c>
      <c r="BQ16" s="65"/>
      <c r="BR16" s="74" t="s">
        <v>1946</v>
      </c>
      <c r="BS16" s="73">
        <f t="shared" si="100"/>
        <v>0</v>
      </c>
      <c r="BT16" s="65"/>
      <c r="BU16" s="74" t="s">
        <v>1952</v>
      </c>
      <c r="BV16" s="73">
        <f t="shared" si="100"/>
        <v>0</v>
      </c>
      <c r="BW16" s="65"/>
      <c r="BX16" s="74" t="s">
        <v>1948</v>
      </c>
      <c r="BY16" s="73">
        <f t="shared" si="100"/>
        <v>0</v>
      </c>
      <c r="BZ16" s="65"/>
      <c r="CA16" s="74" t="s">
        <v>1946</v>
      </c>
      <c r="CB16" s="73">
        <f t="shared" si="100"/>
        <v>0</v>
      </c>
      <c r="CC16" s="65"/>
      <c r="CD16" s="74" t="s">
        <v>1960</v>
      </c>
      <c r="CE16" s="73">
        <f t="shared" si="100"/>
        <v>0</v>
      </c>
      <c r="CF16" s="65"/>
      <c r="CG16" s="74" t="s">
        <v>1946</v>
      </c>
      <c r="CH16" s="73">
        <f t="shared" si="100"/>
        <v>0</v>
      </c>
      <c r="CI16" s="65"/>
      <c r="CJ16" s="74" t="s">
        <v>1946</v>
      </c>
      <c r="CK16" s="73">
        <f t="shared" si="70"/>
        <v>0</v>
      </c>
      <c r="CL16" s="65"/>
      <c r="CM16" s="74" t="s">
        <v>1945</v>
      </c>
      <c r="CN16" s="73">
        <f t="shared" si="70"/>
        <v>0</v>
      </c>
      <c r="CO16" s="65"/>
      <c r="CP16" s="74" t="s">
        <v>1946</v>
      </c>
      <c r="CQ16" s="73">
        <f t="shared" si="70"/>
        <v>0</v>
      </c>
      <c r="CR16" s="65"/>
      <c r="CS16" s="74" t="s">
        <v>1942</v>
      </c>
      <c r="CT16" s="73">
        <f t="shared" si="70"/>
        <v>0</v>
      </c>
      <c r="CU16" s="65"/>
      <c r="CV16" s="74" t="s">
        <v>1942</v>
      </c>
      <c r="CW16" s="73">
        <f t="shared" si="70"/>
        <v>0</v>
      </c>
      <c r="CX16" s="65"/>
      <c r="CY16" s="74" t="s">
        <v>1946</v>
      </c>
      <c r="CZ16" s="73">
        <f t="shared" si="70"/>
        <v>0</v>
      </c>
      <c r="DA16" s="65"/>
      <c r="DB16" s="74" t="s">
        <v>1948</v>
      </c>
      <c r="DC16" s="73">
        <f t="shared" si="70"/>
        <v>0</v>
      </c>
      <c r="DD16" s="65"/>
      <c r="DE16" s="74" t="s">
        <v>1948</v>
      </c>
      <c r="DF16" s="73">
        <f t="shared" si="70"/>
        <v>0</v>
      </c>
      <c r="DG16" s="65"/>
      <c r="DH16" s="74" t="s">
        <v>1944</v>
      </c>
      <c r="DI16" s="73">
        <f t="shared" si="70"/>
        <v>0</v>
      </c>
      <c r="DJ16" s="65"/>
      <c r="DK16" s="74" t="s">
        <v>1948</v>
      </c>
      <c r="DL16" s="73">
        <f t="shared" si="70"/>
        <v>0</v>
      </c>
      <c r="DM16" s="65"/>
      <c r="DN16" s="795" t="s">
        <v>1948</v>
      </c>
      <c r="DO16" s="73">
        <f t="shared" si="70"/>
        <v>0</v>
      </c>
      <c r="DP16" s="65"/>
      <c r="DQ16" s="795" t="s">
        <v>1962</v>
      </c>
      <c r="DR16" s="73">
        <f t="shared" si="70"/>
        <v>0</v>
      </c>
      <c r="DS16" s="65"/>
      <c r="DT16" s="74" t="s">
        <v>1944</v>
      </c>
      <c r="DU16" s="73">
        <f t="shared" si="70"/>
        <v>0</v>
      </c>
      <c r="DV16" s="65"/>
      <c r="DW16" s="74" t="s">
        <v>1944</v>
      </c>
      <c r="DX16" s="73">
        <f t="shared" si="70"/>
        <v>0</v>
      </c>
      <c r="DY16" s="65"/>
      <c r="DZ16" s="74" t="s">
        <v>1946</v>
      </c>
      <c r="EA16" s="73">
        <f t="shared" si="70"/>
        <v>0</v>
      </c>
      <c r="EB16" s="65"/>
      <c r="EC16" s="74" t="s">
        <v>1958</v>
      </c>
      <c r="ED16" s="73">
        <f t="shared" si="70"/>
        <v>0</v>
      </c>
      <c r="EE16" s="65"/>
      <c r="EF16" s="74"/>
      <c r="EG16" s="73">
        <f t="shared" si="70"/>
        <v>0</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101"/>
        <v>0</v>
      </c>
      <c r="R17" s="49"/>
      <c r="S17" s="74" t="s">
        <v>1945</v>
      </c>
      <c r="T17" s="73">
        <f t="shared" si="98"/>
        <v>0</v>
      </c>
      <c r="U17" s="65"/>
      <c r="V17" s="74" t="s">
        <v>1942</v>
      </c>
      <c r="W17" s="73">
        <f t="shared" si="99"/>
        <v>0</v>
      </c>
      <c r="X17" s="65"/>
      <c r="Y17" s="74" t="s">
        <v>1942</v>
      </c>
      <c r="Z17" s="73">
        <f t="shared" si="100"/>
        <v>0</v>
      </c>
      <c r="AA17" s="65"/>
      <c r="AB17" s="74" t="s">
        <v>1942</v>
      </c>
      <c r="AC17" s="73">
        <f t="shared" si="100"/>
        <v>0</v>
      </c>
      <c r="AD17" s="65"/>
      <c r="AE17" s="74" t="s">
        <v>1948</v>
      </c>
      <c r="AF17" s="73">
        <f t="shared" si="100"/>
        <v>0</v>
      </c>
      <c r="AG17" s="65"/>
      <c r="AH17" s="74" t="s">
        <v>1942</v>
      </c>
      <c r="AI17" s="73">
        <f t="shared" si="100"/>
        <v>0</v>
      </c>
      <c r="AJ17" s="65"/>
      <c r="AK17" s="74" t="s">
        <v>1942</v>
      </c>
      <c r="AL17" s="73">
        <f t="shared" si="100"/>
        <v>0</v>
      </c>
      <c r="AM17" s="65"/>
      <c r="AN17" s="74" t="s">
        <v>1946</v>
      </c>
      <c r="AO17" s="73">
        <f t="shared" si="100"/>
        <v>0</v>
      </c>
      <c r="AP17" s="65"/>
      <c r="AQ17" s="74" t="s">
        <v>1954</v>
      </c>
      <c r="AR17" s="73">
        <f t="shared" si="100"/>
        <v>0</v>
      </c>
      <c r="AS17" s="65"/>
      <c r="AT17" s="74" t="s">
        <v>1946</v>
      </c>
      <c r="AU17" s="73">
        <f t="shared" si="100"/>
        <v>0</v>
      </c>
      <c r="AV17" s="65"/>
      <c r="AW17" s="74" t="s">
        <v>1946</v>
      </c>
      <c r="AX17" s="73">
        <f t="shared" si="100"/>
        <v>0</v>
      </c>
      <c r="AY17" s="65"/>
      <c r="AZ17" s="74" t="s">
        <v>1948</v>
      </c>
      <c r="BA17" s="73">
        <f t="shared" si="100"/>
        <v>0</v>
      </c>
      <c r="BB17" s="65"/>
      <c r="BC17" s="74" t="s">
        <v>1942</v>
      </c>
      <c r="BD17" s="73">
        <f t="shared" si="100"/>
        <v>0</v>
      </c>
      <c r="BE17" s="65"/>
      <c r="BF17" s="74" t="s">
        <v>1946</v>
      </c>
      <c r="BG17" s="73">
        <f t="shared" si="100"/>
        <v>0</v>
      </c>
      <c r="BH17" s="65"/>
      <c r="BI17" s="74" t="s">
        <v>1942</v>
      </c>
      <c r="BJ17" s="73">
        <f t="shared" si="100"/>
        <v>0</v>
      </c>
      <c r="BK17" s="65"/>
      <c r="BL17" s="74" t="s">
        <v>1942</v>
      </c>
      <c r="BM17" s="73">
        <f t="shared" si="100"/>
        <v>0</v>
      </c>
      <c r="BN17" s="65"/>
      <c r="BO17" s="74" t="s">
        <v>1948</v>
      </c>
      <c r="BP17" s="73">
        <f t="shared" si="100"/>
        <v>0</v>
      </c>
      <c r="BQ17" s="65"/>
      <c r="BR17" s="74" t="s">
        <v>1942</v>
      </c>
      <c r="BS17" s="73">
        <f t="shared" si="100"/>
        <v>0</v>
      </c>
      <c r="BT17" s="65"/>
      <c r="BU17" s="74" t="s">
        <v>1948</v>
      </c>
      <c r="BV17" s="73">
        <f t="shared" si="100"/>
        <v>0</v>
      </c>
      <c r="BW17" s="65"/>
      <c r="BX17" s="74" t="s">
        <v>1946</v>
      </c>
      <c r="BY17" s="73">
        <f t="shared" si="100"/>
        <v>0</v>
      </c>
      <c r="BZ17" s="65"/>
      <c r="CA17" s="74" t="s">
        <v>1954</v>
      </c>
      <c r="CB17" s="73">
        <f t="shared" si="100"/>
        <v>0</v>
      </c>
      <c r="CC17" s="65"/>
      <c r="CD17" s="74" t="s">
        <v>1957</v>
      </c>
      <c r="CE17" s="73">
        <f t="shared" si="100"/>
        <v>0</v>
      </c>
      <c r="CF17" s="65"/>
      <c r="CG17" s="74" t="s">
        <v>1942</v>
      </c>
      <c r="CH17" s="73">
        <f t="shared" si="100"/>
        <v>0</v>
      </c>
      <c r="CI17" s="65"/>
      <c r="CJ17" s="74" t="s">
        <v>1957</v>
      </c>
      <c r="CK17" s="73">
        <f t="shared" si="70"/>
        <v>0</v>
      </c>
      <c r="CL17" s="65"/>
      <c r="CM17" s="74" t="s">
        <v>1957</v>
      </c>
      <c r="CN17" s="73">
        <f t="shared" si="70"/>
        <v>0</v>
      </c>
      <c r="CO17" s="65"/>
      <c r="CP17" s="74" t="s">
        <v>1942</v>
      </c>
      <c r="CQ17" s="73">
        <f t="shared" si="70"/>
        <v>0</v>
      </c>
      <c r="CR17" s="65"/>
      <c r="CS17" s="74" t="s">
        <v>1946</v>
      </c>
      <c r="CT17" s="73">
        <f t="shared" si="70"/>
        <v>0</v>
      </c>
      <c r="CU17" s="65"/>
      <c r="CV17" s="74" t="s">
        <v>1954</v>
      </c>
      <c r="CW17" s="73">
        <f t="shared" si="70"/>
        <v>0</v>
      </c>
      <c r="CX17" s="65"/>
      <c r="CY17" s="74" t="s">
        <v>1954</v>
      </c>
      <c r="CZ17" s="73">
        <f t="shared" si="70"/>
        <v>0</v>
      </c>
      <c r="DA17" s="65"/>
      <c r="DB17" s="74" t="s">
        <v>1942</v>
      </c>
      <c r="DC17" s="73">
        <f t="shared" si="70"/>
        <v>0</v>
      </c>
      <c r="DD17" s="65"/>
      <c r="DE17" s="74" t="s">
        <v>1948</v>
      </c>
      <c r="DF17" s="73">
        <f t="shared" si="70"/>
        <v>0</v>
      </c>
      <c r="DG17" s="65"/>
      <c r="DH17" s="74" t="s">
        <v>1942</v>
      </c>
      <c r="DI17" s="73">
        <f t="shared" si="70"/>
        <v>0</v>
      </c>
      <c r="DJ17" s="65"/>
      <c r="DK17" s="74" t="s">
        <v>1954</v>
      </c>
      <c r="DL17" s="73">
        <f t="shared" si="70"/>
        <v>0</v>
      </c>
      <c r="DM17" s="65"/>
      <c r="DN17" s="795" t="s">
        <v>1944</v>
      </c>
      <c r="DO17" s="73">
        <f t="shared" si="70"/>
        <v>0</v>
      </c>
      <c r="DP17" s="65"/>
      <c r="DQ17" s="795" t="s">
        <v>1946</v>
      </c>
      <c r="DR17" s="73">
        <f t="shared" si="70"/>
        <v>0</v>
      </c>
      <c r="DS17" s="65"/>
      <c r="DT17" s="74" t="s">
        <v>1956</v>
      </c>
      <c r="DU17" s="73">
        <f t="shared" si="70"/>
        <v>0</v>
      </c>
      <c r="DV17" s="65"/>
      <c r="DW17" s="74" t="s">
        <v>1948</v>
      </c>
      <c r="DX17" s="73">
        <f t="shared" si="70"/>
        <v>0</v>
      </c>
      <c r="DY17" s="65"/>
      <c r="DZ17" s="74" t="s">
        <v>1942</v>
      </c>
      <c r="EA17" s="73">
        <f t="shared" si="70"/>
        <v>0</v>
      </c>
      <c r="EB17" s="65"/>
      <c r="EC17" s="74" t="s">
        <v>1946</v>
      </c>
      <c r="ED17" s="73">
        <f t="shared" si="70"/>
        <v>0</v>
      </c>
      <c r="EE17" s="65"/>
      <c r="EF17" s="74"/>
      <c r="EG17" s="73">
        <f t="shared" si="70"/>
        <v>0</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101"/>
        <v>0</v>
      </c>
      <c r="R18" s="49"/>
      <c r="S18" s="74" t="s">
        <v>1943</v>
      </c>
      <c r="T18" s="73">
        <f t="shared" si="98"/>
        <v>0</v>
      </c>
      <c r="U18" s="65"/>
      <c r="V18" s="74" t="s">
        <v>1948</v>
      </c>
      <c r="W18" s="73">
        <f t="shared" si="99"/>
        <v>0</v>
      </c>
      <c r="X18" s="65"/>
      <c r="Y18" s="74" t="s">
        <v>1946</v>
      </c>
      <c r="Z18" s="73">
        <f t="shared" si="100"/>
        <v>0</v>
      </c>
      <c r="AA18" s="65"/>
      <c r="AB18" s="74" t="s">
        <v>1946</v>
      </c>
      <c r="AC18" s="73">
        <f t="shared" si="100"/>
        <v>0</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0</v>
      </c>
      <c r="AS18" s="65"/>
      <c r="AT18" s="74" t="s">
        <v>1946</v>
      </c>
      <c r="AU18" s="73">
        <f t="shared" si="100"/>
        <v>0</v>
      </c>
      <c r="AV18" s="65"/>
      <c r="AW18" s="74" t="s">
        <v>1943</v>
      </c>
      <c r="AX18" s="73">
        <f t="shared" si="100"/>
        <v>0</v>
      </c>
      <c r="AY18" s="65"/>
      <c r="AZ18" s="74" t="s">
        <v>1943</v>
      </c>
      <c r="BA18" s="73">
        <f t="shared" si="100"/>
        <v>0</v>
      </c>
      <c r="BB18" s="65"/>
      <c r="BC18" s="74" t="s">
        <v>1944</v>
      </c>
      <c r="BD18" s="73">
        <f t="shared" si="100"/>
        <v>0</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0</v>
      </c>
      <c r="BK18" s="65"/>
      <c r="BL18" s="74" t="s">
        <v>1954</v>
      </c>
      <c r="BM18" s="73">
        <f t="shared" si="102"/>
        <v>0</v>
      </c>
      <c r="BN18" s="65"/>
      <c r="BO18" s="74" t="s">
        <v>1943</v>
      </c>
      <c r="BP18" s="73">
        <f t="shared" si="102"/>
        <v>0</v>
      </c>
      <c r="BQ18" s="65"/>
      <c r="BR18" s="74" t="s">
        <v>1954</v>
      </c>
      <c r="BS18" s="73">
        <f t="shared" si="102"/>
        <v>0</v>
      </c>
      <c r="BT18" s="65"/>
      <c r="BU18" s="74" t="s">
        <v>1944</v>
      </c>
      <c r="BV18" s="73">
        <f t="shared" si="102"/>
        <v>0</v>
      </c>
      <c r="BW18" s="65"/>
      <c r="BX18" s="74" t="s">
        <v>1960</v>
      </c>
      <c r="BY18" s="73">
        <f t="shared" si="102"/>
        <v>0</v>
      </c>
      <c r="BZ18" s="65"/>
      <c r="CA18" s="74" t="s">
        <v>1946</v>
      </c>
      <c r="CB18" s="73">
        <f t="shared" si="102"/>
        <v>0</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0</v>
      </c>
      <c r="CX18" s="65"/>
      <c r="CY18" s="74" t="s">
        <v>1946</v>
      </c>
      <c r="CZ18" s="73">
        <f t="shared" si="102"/>
        <v>0</v>
      </c>
      <c r="DA18" s="65"/>
      <c r="DB18" s="74" t="s">
        <v>1948</v>
      </c>
      <c r="DC18" s="73">
        <f t="shared" si="102"/>
        <v>0</v>
      </c>
      <c r="DD18" s="65"/>
      <c r="DE18" s="74" t="s">
        <v>1946</v>
      </c>
      <c r="DF18" s="73">
        <f t="shared" si="102"/>
        <v>0</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101"/>
        <v>0</v>
      </c>
      <c r="R19" s="49"/>
      <c r="S19" s="74" t="s">
        <v>1946</v>
      </c>
      <c r="T19" s="73">
        <f t="shared" si="98"/>
        <v>0</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0</v>
      </c>
      <c r="AG19" s="65"/>
      <c r="AH19" s="74" t="s">
        <v>1944</v>
      </c>
      <c r="AI19" s="73">
        <f t="shared" si="103"/>
        <v>0</v>
      </c>
      <c r="AJ19" s="65"/>
      <c r="AK19" s="74" t="s">
        <v>1946</v>
      </c>
      <c r="AL19" s="73">
        <f t="shared" si="103"/>
        <v>0</v>
      </c>
      <c r="AM19" s="65"/>
      <c r="AN19" s="74" t="s">
        <v>1942</v>
      </c>
      <c r="AO19" s="73">
        <f t="shared" si="103"/>
        <v>0</v>
      </c>
      <c r="AP19" s="65"/>
      <c r="AQ19" s="74" t="s">
        <v>1942</v>
      </c>
      <c r="AR19" s="73">
        <f t="shared" si="103"/>
        <v>0</v>
      </c>
      <c r="AS19" s="65"/>
      <c r="AT19" s="74" t="s">
        <v>1957</v>
      </c>
      <c r="AU19" s="73">
        <f t="shared" si="103"/>
        <v>0</v>
      </c>
      <c r="AV19" s="65"/>
      <c r="AW19" s="74" t="s">
        <v>1948</v>
      </c>
      <c r="AX19" s="73">
        <f t="shared" si="103"/>
        <v>0</v>
      </c>
      <c r="AY19" s="65"/>
      <c r="AZ19" s="74" t="s">
        <v>1949</v>
      </c>
      <c r="BA19" s="73">
        <f t="shared" si="103"/>
        <v>0</v>
      </c>
      <c r="BB19" s="65"/>
      <c r="BC19" s="74" t="s">
        <v>1946</v>
      </c>
      <c r="BD19" s="73">
        <f t="shared" si="103"/>
        <v>0</v>
      </c>
      <c r="BE19" s="65"/>
      <c r="BF19" s="74" t="s">
        <v>1946</v>
      </c>
      <c r="BG19" s="73">
        <f t="shared" si="103"/>
        <v>0</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0</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0</v>
      </c>
      <c r="CO19" s="65"/>
      <c r="CP19" s="74" t="s">
        <v>1957</v>
      </c>
      <c r="CQ19" s="73">
        <f t="shared" si="102"/>
        <v>0</v>
      </c>
      <c r="CR19" s="65"/>
      <c r="CS19" s="74" t="s">
        <v>1954</v>
      </c>
      <c r="CT19" s="73">
        <f t="shared" si="102"/>
        <v>0</v>
      </c>
      <c r="CU19" s="65"/>
      <c r="CV19" s="74" t="s">
        <v>1957</v>
      </c>
      <c r="CW19" s="73">
        <f t="shared" si="102"/>
        <v>0</v>
      </c>
      <c r="CX19" s="65"/>
      <c r="CY19" s="74" t="s">
        <v>1942</v>
      </c>
      <c r="CZ19" s="73">
        <f t="shared" si="102"/>
        <v>0</v>
      </c>
      <c r="DA19" s="65"/>
      <c r="DB19" s="74" t="s">
        <v>1954</v>
      </c>
      <c r="DC19" s="73">
        <f t="shared" si="102"/>
        <v>0</v>
      </c>
      <c r="DD19" s="65"/>
      <c r="DE19" s="74" t="s">
        <v>1942</v>
      </c>
      <c r="DF19" s="73">
        <f t="shared" si="102"/>
        <v>0</v>
      </c>
      <c r="DG19" s="65"/>
      <c r="DH19" s="74" t="s">
        <v>1946</v>
      </c>
      <c r="DI19" s="73">
        <f t="shared" si="102"/>
        <v>0</v>
      </c>
      <c r="DJ19" s="65"/>
      <c r="DK19" s="74" t="s">
        <v>1943</v>
      </c>
      <c r="DL19" s="73">
        <f t="shared" si="102"/>
        <v>0</v>
      </c>
      <c r="DM19" s="65"/>
      <c r="DN19" s="795" t="s">
        <v>1942</v>
      </c>
      <c r="DO19" s="73">
        <f t="shared" si="102"/>
        <v>0</v>
      </c>
      <c r="DP19" s="65"/>
      <c r="DQ19" s="795" t="s">
        <v>1946</v>
      </c>
      <c r="DR19" s="73">
        <f t="shared" si="102"/>
        <v>0</v>
      </c>
      <c r="DS19" s="65"/>
      <c r="DT19" s="74" t="s">
        <v>1957</v>
      </c>
      <c r="DU19" s="73">
        <f t="shared" si="70"/>
        <v>0</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0</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0</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0</v>
      </c>
      <c r="BT21" s="65"/>
      <c r="BU21" s="74" t="s">
        <v>1949</v>
      </c>
      <c r="BV21" s="73">
        <f t="shared" si="103"/>
        <v>0</v>
      </c>
      <c r="BW21" s="65"/>
      <c r="BX21" s="74" t="s">
        <v>1949</v>
      </c>
      <c r="BY21" s="73">
        <f t="shared" si="103"/>
        <v>0</v>
      </c>
      <c r="BZ21" s="65"/>
      <c r="CA21" s="74" t="s">
        <v>1949</v>
      </c>
      <c r="CB21" s="73">
        <f t="shared" si="103"/>
        <v>0</v>
      </c>
      <c r="CC21" s="65"/>
      <c r="CD21" s="74" t="s">
        <v>1946</v>
      </c>
      <c r="CE21" s="73">
        <f t="shared" si="103"/>
        <v>0</v>
      </c>
      <c r="CF21" s="65"/>
      <c r="CG21" s="74" t="s">
        <v>1946</v>
      </c>
      <c r="CH21" s="73">
        <f t="shared" si="103"/>
        <v>0</v>
      </c>
      <c r="CI21" s="65"/>
      <c r="CJ21" s="74" t="s">
        <v>1952</v>
      </c>
      <c r="CK21" s="73">
        <f t="shared" si="102"/>
        <v>0</v>
      </c>
      <c r="CL21" s="65"/>
      <c r="CM21" s="74" t="s">
        <v>1946</v>
      </c>
      <c r="CN21" s="73">
        <f t="shared" si="102"/>
        <v>0</v>
      </c>
      <c r="CO21" s="65"/>
      <c r="CP21" s="74" t="s">
        <v>1952</v>
      </c>
      <c r="CQ21" s="73">
        <f t="shared" si="102"/>
        <v>0</v>
      </c>
      <c r="CR21" s="65"/>
      <c r="CS21" s="74" t="s">
        <v>1960</v>
      </c>
      <c r="CT21" s="73">
        <f t="shared" si="102"/>
        <v>0</v>
      </c>
      <c r="CU21" s="65"/>
      <c r="CV21" s="74" t="s">
        <v>1960</v>
      </c>
      <c r="CW21" s="73">
        <f t="shared" si="102"/>
        <v>0</v>
      </c>
      <c r="CX21" s="65"/>
      <c r="CY21" s="74" t="s">
        <v>1946</v>
      </c>
      <c r="CZ21" s="73">
        <f t="shared" si="102"/>
        <v>0</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0</v>
      </c>
      <c r="DP21" s="65"/>
      <c r="DQ21" s="795" t="s">
        <v>1956</v>
      </c>
      <c r="DR21" s="73">
        <f t="shared" si="102"/>
        <v>0</v>
      </c>
      <c r="DS21" s="65"/>
      <c r="DT21" s="74" t="s">
        <v>1952</v>
      </c>
      <c r="DU21" s="73">
        <f t="shared" si="105"/>
        <v>0</v>
      </c>
      <c r="DV21" s="65"/>
      <c r="DW21" s="74" t="s">
        <v>1946</v>
      </c>
      <c r="DX21" s="73">
        <f t="shared" si="105"/>
        <v>0</v>
      </c>
      <c r="DY21" s="65"/>
      <c r="DZ21" s="74" t="s">
        <v>2751</v>
      </c>
      <c r="EA21" s="73">
        <f t="shared" si="105"/>
        <v>0</v>
      </c>
      <c r="EB21" s="65"/>
      <c r="EC21" s="74" t="s">
        <v>1960</v>
      </c>
      <c r="ED21" s="73">
        <f t="shared" si="105"/>
        <v>0</v>
      </c>
      <c r="EE21" s="65"/>
      <c r="EF21" s="74"/>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795" t="s">
        <v>2001</v>
      </c>
      <c r="DR22" s="73">
        <f t="shared" si="102"/>
        <v>0</v>
      </c>
      <c r="DS22" s="65"/>
      <c r="DT22" s="74" t="s">
        <v>1954</v>
      </c>
      <c r="DU22" s="73">
        <f t="shared" si="105"/>
        <v>0</v>
      </c>
      <c r="DV22" s="65"/>
      <c r="DW22" s="74" t="s">
        <v>1948</v>
      </c>
      <c r="DX22" s="73">
        <f t="shared" si="105"/>
        <v>0</v>
      </c>
      <c r="DY22" s="65"/>
      <c r="DZ22" s="74" t="s">
        <v>1954</v>
      </c>
      <c r="EA22" s="73">
        <f t="shared" si="105"/>
        <v>0</v>
      </c>
      <c r="EB22" s="65"/>
      <c r="EC22" s="74" t="s">
        <v>1958</v>
      </c>
      <c r="ED22" s="73">
        <f t="shared" si="105"/>
        <v>0</v>
      </c>
      <c r="EE22" s="65"/>
      <c r="EF22" s="74"/>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95" t="s">
        <v>1948</v>
      </c>
      <c r="DR23" s="73">
        <f t="shared" si="102"/>
        <v>0</v>
      </c>
      <c r="DS23" s="65"/>
      <c r="DT23" s="74" t="s">
        <v>1952</v>
      </c>
      <c r="DU23" s="73">
        <f t="shared" si="105"/>
        <v>0</v>
      </c>
      <c r="DV23" s="65"/>
      <c r="DW23" s="74" t="s">
        <v>1945</v>
      </c>
      <c r="DX23" s="73">
        <f t="shared" si="105"/>
        <v>0</v>
      </c>
      <c r="DY23" s="65"/>
      <c r="DZ23" s="74" t="s">
        <v>1949</v>
      </c>
      <c r="EA23" s="73">
        <f t="shared" si="105"/>
        <v>0</v>
      </c>
      <c r="EB23" s="65"/>
      <c r="EC23" s="74" t="s">
        <v>1952</v>
      </c>
      <c r="ED23" s="73">
        <f t="shared" si="105"/>
        <v>0</v>
      </c>
      <c r="EE23" s="65"/>
      <c r="EF23" s="74"/>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95" t="s">
        <v>1948</v>
      </c>
      <c r="DR24" s="77">
        <f t="shared" si="102"/>
        <v>0</v>
      </c>
      <c r="DS24" s="65"/>
      <c r="DT24" s="76" t="s">
        <v>1946</v>
      </c>
      <c r="DU24" s="77">
        <f t="shared" si="105"/>
        <v>0</v>
      </c>
      <c r="DV24" s="65"/>
      <c r="DW24" s="76" t="s">
        <v>1954</v>
      </c>
      <c r="DX24" s="77">
        <f t="shared" si="105"/>
        <v>0</v>
      </c>
      <c r="DY24" s="65"/>
      <c r="DZ24" s="76" t="s">
        <v>1948</v>
      </c>
      <c r="EA24" s="77">
        <f t="shared" si="105"/>
        <v>0</v>
      </c>
      <c r="EB24" s="65"/>
      <c r="EC24" s="76" t="s">
        <v>1954</v>
      </c>
      <c r="ED24" s="77">
        <f t="shared" si="105"/>
        <v>0</v>
      </c>
      <c r="EE24" s="65"/>
      <c r="EF24" s="76"/>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95" t="s">
        <v>1948</v>
      </c>
      <c r="DR25" s="73">
        <f t="shared" si="102"/>
        <v>0</v>
      </c>
      <c r="DS25" s="65"/>
      <c r="DT25" s="74" t="s">
        <v>1942</v>
      </c>
      <c r="DU25" s="73">
        <f t="shared" si="105"/>
        <v>0</v>
      </c>
      <c r="DV25" s="65"/>
      <c r="DW25" s="74" t="s">
        <v>1943</v>
      </c>
      <c r="DX25" s="73">
        <f t="shared" si="105"/>
        <v>0</v>
      </c>
      <c r="DY25" s="65"/>
      <c r="DZ25" s="74" t="s">
        <v>1954</v>
      </c>
      <c r="EA25" s="73">
        <f t="shared" si="105"/>
        <v>0</v>
      </c>
      <c r="EB25" s="65"/>
      <c r="EC25" s="74" t="s">
        <v>1942</v>
      </c>
      <c r="ED25" s="73">
        <f t="shared" si="105"/>
        <v>0</v>
      </c>
      <c r="EE25" s="65"/>
      <c r="EF25" s="74"/>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tr">
        <f>Idiomas!$D$365</f>
        <v>Pegar Valores (J2)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tr">
        <f>Idiomas!$D$366</f>
        <v>Pegar Valores (J3)</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1</v>
      </c>
      <c r="U78" s="64"/>
      <c r="V78" s="82"/>
      <c r="W78" s="83">
        <f>SUM(W6:W77)</f>
        <v>1</v>
      </c>
      <c r="X78" s="64"/>
      <c r="Y78" s="82"/>
      <c r="Z78" s="83">
        <f t="shared" ref="Z78" si="127">SUM(Z6:Z77)</f>
        <v>4</v>
      </c>
      <c r="AA78" s="64"/>
      <c r="AB78" s="82"/>
      <c r="AC78" s="83">
        <f t="shared" ref="AC78" si="128">SUM(AC6:AC77)</f>
        <v>4</v>
      </c>
      <c r="AD78" s="64"/>
      <c r="AE78" s="82"/>
      <c r="AF78" s="83">
        <f t="shared" ref="AF78" si="129">SUM(AF6:AF77)</f>
        <v>4</v>
      </c>
      <c r="AG78" s="64"/>
      <c r="AH78" s="82"/>
      <c r="AI78" s="83">
        <f t="shared" ref="AI78" si="130">SUM(AI6:AI77)</f>
        <v>4</v>
      </c>
      <c r="AJ78" s="64"/>
      <c r="AK78" s="82"/>
      <c r="AL78" s="83">
        <f t="shared" ref="AL78" si="131">SUM(AL6:AL77)</f>
        <v>1</v>
      </c>
      <c r="AM78" s="64"/>
      <c r="AN78" s="82"/>
      <c r="AO78" s="83">
        <f t="shared" ref="AO78" si="132">SUM(AO6:AO77)</f>
        <v>4</v>
      </c>
      <c r="AP78" s="64"/>
      <c r="AQ78" s="82"/>
      <c r="AR78" s="83">
        <f t="shared" ref="AR78" si="133">SUM(AR6:AR77)</f>
        <v>4</v>
      </c>
      <c r="AS78" s="64"/>
      <c r="AT78" s="82"/>
      <c r="AU78" s="83">
        <f t="shared" ref="AU78" si="134">SUM(AU6:AU77)</f>
        <v>1</v>
      </c>
      <c r="AV78" s="64"/>
      <c r="AW78" s="82"/>
      <c r="AX78" s="83">
        <f t="shared" ref="AX78" si="135">SUM(AX6:AX77)</f>
        <v>4</v>
      </c>
      <c r="AY78" s="64"/>
      <c r="AZ78" s="82"/>
      <c r="BA78" s="83">
        <f t="shared" ref="BA78" si="136">SUM(BA6:BA77)</f>
        <v>1</v>
      </c>
      <c r="BB78" s="64"/>
      <c r="BC78" s="82"/>
      <c r="BD78" s="83">
        <f t="shared" ref="BD78" si="137">SUM(BD6:BD77)</f>
        <v>1</v>
      </c>
      <c r="BE78" s="64"/>
      <c r="BF78" s="82"/>
      <c r="BG78" s="83">
        <f t="shared" ref="BG78" si="138">SUM(BG6:BG77)</f>
        <v>4</v>
      </c>
      <c r="BH78" s="64"/>
      <c r="BI78" s="82"/>
      <c r="BJ78" s="83">
        <f t="shared" ref="BJ78" si="139">SUM(BJ6:BJ77)</f>
        <v>4</v>
      </c>
      <c r="BK78" s="64"/>
      <c r="BL78" s="82"/>
      <c r="BM78" s="83">
        <f t="shared" ref="BM78" si="140">SUM(BM6:BM77)</f>
        <v>0</v>
      </c>
      <c r="BN78" s="64"/>
      <c r="BO78" s="82"/>
      <c r="BP78" s="83">
        <f t="shared" ref="BP78" si="141">SUM(BP6:BP77)</f>
        <v>4</v>
      </c>
      <c r="BQ78" s="64"/>
      <c r="BR78" s="82"/>
      <c r="BS78" s="83">
        <f t="shared" ref="BS78" si="142">SUM(BS6:BS77)</f>
        <v>4</v>
      </c>
      <c r="BT78" s="64"/>
      <c r="BU78" s="82"/>
      <c r="BV78" s="83">
        <f t="shared" ref="BV78" si="143">SUM(BV6:BV77)</f>
        <v>1</v>
      </c>
      <c r="BW78" s="64"/>
      <c r="BX78" s="82"/>
      <c r="BY78" s="83">
        <f t="shared" ref="BY78" si="144">SUM(BY6:BY77)</f>
        <v>4</v>
      </c>
      <c r="BZ78" s="64"/>
      <c r="CA78" s="82"/>
      <c r="CB78" s="83">
        <f t="shared" ref="CB78" si="145">SUM(CB6:CB77)</f>
        <v>0</v>
      </c>
      <c r="CC78" s="64"/>
      <c r="CD78" s="82"/>
      <c r="CE78" s="83">
        <f t="shared" ref="CE78" si="146">SUM(CE6:CE77)</f>
        <v>1</v>
      </c>
      <c r="CF78" s="64"/>
      <c r="CG78" s="82"/>
      <c r="CH78" s="83">
        <f t="shared" ref="CH78" si="147">SUM(CH6:CH77)</f>
        <v>4</v>
      </c>
      <c r="CI78" s="64"/>
      <c r="CJ78" s="82"/>
      <c r="CK78" s="83">
        <f t="shared" ref="CK78" si="148">SUM(CK6:CK77)</f>
        <v>4</v>
      </c>
      <c r="CL78" s="64"/>
      <c r="CM78" s="82"/>
      <c r="CN78" s="83">
        <f t="shared" ref="CN78" si="149">SUM(CN6:CN77)</f>
        <v>4</v>
      </c>
      <c r="CO78" s="64"/>
      <c r="CP78" s="82"/>
      <c r="CQ78" s="83">
        <f t="shared" ref="CQ78" si="150">SUM(CQ6:CQ77)</f>
        <v>1</v>
      </c>
      <c r="CR78" s="64"/>
      <c r="CS78" s="82"/>
      <c r="CT78" s="83">
        <f t="shared" ref="CT78" si="151">SUM(CT6:CT77)</f>
        <v>2</v>
      </c>
      <c r="CU78" s="64"/>
      <c r="CV78" s="82"/>
      <c r="CW78" s="83">
        <f t="shared" ref="CW78" si="152">SUM(CW6:CW77)</f>
        <v>1</v>
      </c>
      <c r="CX78" s="64"/>
      <c r="CY78" s="82"/>
      <c r="CZ78" s="83">
        <f t="shared" ref="CZ78" si="153">SUM(CZ6:CZ77)</f>
        <v>1</v>
      </c>
      <c r="DA78" s="64"/>
      <c r="DB78" s="82"/>
      <c r="DC78" s="83">
        <f t="shared" ref="DC78" si="154">SUM(DC6:DC77)</f>
        <v>4</v>
      </c>
      <c r="DD78" s="64"/>
      <c r="DE78" s="82"/>
      <c r="DF78" s="83">
        <f t="shared" ref="DF78" si="155">SUM(DF6:DF77)</f>
        <v>1</v>
      </c>
      <c r="DG78" s="64"/>
      <c r="DH78" s="82"/>
      <c r="DI78" s="83">
        <f t="shared" ref="DI78" si="156">SUM(DI6:DI77)</f>
        <v>1</v>
      </c>
      <c r="DJ78" s="64"/>
      <c r="DK78" s="82"/>
      <c r="DL78" s="83">
        <f t="shared" ref="DL78" si="157">SUM(DL6:DL77)</f>
        <v>4</v>
      </c>
      <c r="DM78" s="64"/>
      <c r="DN78" s="796"/>
      <c r="DO78" s="83">
        <f t="shared" ref="DO78" si="158">SUM(DO6:DO77)</f>
        <v>2</v>
      </c>
      <c r="DP78" s="64"/>
      <c r="DQ78" s="796"/>
      <c r="DR78" s="83">
        <f t="shared" ref="DR78" si="159">SUM(DR6:DR77)</f>
        <v>1</v>
      </c>
      <c r="DS78" s="64"/>
      <c r="DT78" s="82"/>
      <c r="DU78" s="83">
        <f t="shared" ref="DU78" si="160">SUM(DU6:DU77)</f>
        <v>2</v>
      </c>
      <c r="DV78" s="64"/>
      <c r="DW78" s="82"/>
      <c r="DX78" s="83">
        <f t="shared" ref="DX78" si="161">SUM(DX6:DX77)</f>
        <v>4</v>
      </c>
      <c r="DY78" s="64"/>
      <c r="DZ78" s="82"/>
      <c r="EA78" s="83">
        <f t="shared" ref="EA78" si="162">SUM(EA6:EA77)</f>
        <v>4</v>
      </c>
      <c r="EB78" s="64"/>
      <c r="EC78" s="82"/>
      <c r="ED78" s="83">
        <f t="shared" ref="ED78" si="163">SUM(ED6:ED77)</f>
        <v>4</v>
      </c>
      <c r="EE78" s="64"/>
      <c r="EF78" s="82"/>
      <c r="EG78" s="83">
        <f t="shared" ref="EG78" si="164">SUM(EG6:EG77)</f>
        <v>0</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4"/>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3"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3"/>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3"/>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3"/>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4"/>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4"/>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4"/>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3"/>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3"/>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3"/>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4"/>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4"/>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4"/>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3"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3"/>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3"/>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3"/>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4"/>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4"/>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3"/>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3"/>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4"/>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4"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4"/>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4"/>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4"/>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tr">
        <f>Idiomas!$D$367</f>
        <v>Pegar Valores Dieciseisavos</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tr">
        <f>Idiomas!$D$368</f>
        <v>Pegar Valores Octavos</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tr">
        <f>Idiomas!$D$369</f>
        <v>Pegar valores Cuartos</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tr">
        <f>Idiomas!$D$370</f>
        <v>Pegar valores Semifinales</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tr">
        <f>Idiomas!$D$371</f>
        <v>Pegar valores 3º-4º puesto y Final</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tr">
        <f>Idiomas!$D$373</f>
        <v>Pegar Valores Cuadro de Honor</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38</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39</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40</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-1.3599999999999999E-2</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38</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38</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38</v>
      </c>
      <c r="EG265" s="25"/>
      <c r="EH265" s="25"/>
      <c r="EI265" s="25">
        <f ca="1">RANK(EI266,OFFSET($S$266,0,0,1,$D$5*3),0)</f>
        <v>38</v>
      </c>
      <c r="EJ265" s="25"/>
      <c r="EK265" s="25"/>
      <c r="EL265" s="25">
        <f ca="1">RANK(EL266,OFFSET($S$266,0,0,1,$D$5*3),0)</f>
        <v>38</v>
      </c>
      <c r="EM265" s="25"/>
      <c r="EN265" s="25"/>
      <c r="EO265" s="25">
        <f ca="1">RANK(EO266,OFFSET($S$266,0,0,1,$D$5*3),0)</f>
        <v>38</v>
      </c>
      <c r="EP265" s="25"/>
      <c r="EQ265" s="25"/>
      <c r="ER265" s="25">
        <f ca="1">RANK(ER266,OFFSET($S$266,0,0,1,$D$5*3),0)</f>
        <v>38</v>
      </c>
      <c r="ES265" s="25"/>
      <c r="ET265" s="25"/>
      <c r="EU265" s="25">
        <f ca="1">RANK(EU266,OFFSET($S$266,0,0,1,$D$5*3),0)</f>
        <v>38</v>
      </c>
      <c r="EV265" s="25"/>
      <c r="EW265" s="25"/>
      <c r="EX265" s="25">
        <f ca="1">RANK(EX266,OFFSET($S$266,0,0,1,$D$5*3),0)</f>
        <v>38</v>
      </c>
      <c r="EY265" s="25"/>
      <c r="EZ265" s="25"/>
      <c r="FA265" s="25">
        <f ca="1">RANK(FA266,OFFSET($S$266,0,0,1,$D$5*3),0)</f>
        <v>38</v>
      </c>
      <c r="FB265" s="25"/>
      <c r="FC265" s="25"/>
      <c r="FD265" s="25">
        <f ca="1">RANK(FD266,OFFSET($S$266,0,0,1,$D$5*3),0)</f>
        <v>38</v>
      </c>
      <c r="FE265" s="25"/>
      <c r="FF265" s="25"/>
      <c r="FG265" s="25">
        <f ca="1">RANK(FG266,OFFSET($S$266,0,0,1,$D$5*3),0)</f>
        <v>38</v>
      </c>
      <c r="FH265" s="25"/>
      <c r="FI265" s="25"/>
      <c r="FJ265" s="25">
        <f ca="1">RANK(FJ266,OFFSET($S$266,0,0,1,$D$5*3),0)</f>
        <v>38</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0</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Pegar Valores Nombre J40</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798" t="str">
        <f>Idiomas!D451&amp;" "&amp;Home!C10</f>
        <v>CLASIFICACIÓN MUNDIAL 2026 Metaporra</v>
      </c>
      <c r="C1" s="799"/>
      <c r="D1" s="799"/>
      <c r="E1" s="799"/>
      <c r="F1" s="799"/>
      <c r="G1" s="799"/>
      <c r="H1" s="799"/>
      <c r="I1" s="799"/>
      <c r="J1" s="799"/>
      <c r="K1" s="799"/>
      <c r="L1" s="799"/>
      <c r="M1" s="799"/>
      <c r="N1" s="799"/>
      <c r="O1" s="799"/>
      <c r="P1" s="799"/>
      <c r="Q1" s="799"/>
      <c r="R1" s="799"/>
      <c r="S1" s="799"/>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Alejandro Lafuente</v>
      </c>
      <c r="D5" s="91">
        <f ca="1">IFERROR(HLOOKUP(A5,Rango_Admin_Clas,4,FALSE),"-")</f>
        <v>4</v>
      </c>
      <c r="E5" s="92" cm="1">
        <f t="array" aca="1" ref="E5" ca="1">IFERROR(INDEX(Rango_Admin_Clas_Total,E$2,MATCH($A5,Rango_Admin_Clas_Primera,0)+1),"-")</f>
        <v>4</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1</v>
      </c>
      <c r="C6" s="18" t="str">
        <f ca="1">IFERROR(HLOOKUP(A6,Rango_Admin_Clas,5,FALSE),"-")</f>
        <v>Jaime Lafuente</v>
      </c>
      <c r="D6" s="91">
        <f ca="1">IFERROR(HLOOKUP(A6,Rango_Admin_Clas,4,FALSE),"-")</f>
        <v>4</v>
      </c>
      <c r="E6" s="92" cm="1">
        <f t="array" aca="1" ref="E6" ca="1">IFERROR(INDEX(Rango_Admin_Clas_Total,E$2,MATCH($A6,Rango_Admin_Clas_Primera,0)+1),"-")</f>
        <v>4</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Pastor</v>
      </c>
      <c r="D7" s="91">
        <f ca="1">IFERROR(HLOOKUP(A7,Rango_Admin_Clas,4,FALSE),"-")</f>
        <v>4</v>
      </c>
      <c r="E7" s="92" cm="1">
        <f t="array" aca="1" ref="E7" ca="1">IFERROR(INDEX(Rango_Admin_Clas_Total,E$2,MATCH($A7,Rango_Admin_Clas_Primera,0)+1),"-")</f>
        <v>4</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Jaime García de la Riva</v>
      </c>
      <c r="D8" s="91">
        <f ca="1">IFERROR(HLOOKUP(A8,Rango_Admin_Clas,4,FALSE),"-")</f>
        <v>4</v>
      </c>
      <c r="E8" s="92" cm="1">
        <f t="array" aca="1" ref="E8" ca="1">IFERROR(INDEX(Rango_Admin_Clas_Total,E$2,MATCH($A8,Rango_Admin_Clas_Primera,0)+1),"-")</f>
        <v>4</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Antonio Zulueta Ramos</v>
      </c>
      <c r="D9" s="91">
        <f ca="1">IFERROR(HLOOKUP(A9,Rango_Admin_Clas,4,FALSE),"-")</f>
        <v>4</v>
      </c>
      <c r="E9" s="92" cm="1">
        <f t="array" aca="1" ref="E9" ca="1">IFERROR(INDEX(Rango_Admin_Clas_Total,E$2,MATCH($A9,Rango_Admin_Clas_Primera,0)+1),"-")</f>
        <v>4</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Carlos Murciano</v>
      </c>
      <c r="D10" s="91">
        <f ca="1">IFERROR(HLOOKUP(A10,Rango_Admin_Clas,4,FALSE),"-")</f>
        <v>4</v>
      </c>
      <c r="E10" s="92" cm="1">
        <f t="array" aca="1" ref="E10" ca="1">IFERROR(INDEX(Rango_Admin_Clas_Total,E$2,MATCH($A10,Rango_Admin_Clas_Primera,0)+1),"-")</f>
        <v>4</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Fercho Muro Matosex</v>
      </c>
      <c r="D11" s="91">
        <f ca="1">IFERROR(HLOOKUP(A11,Rango_Admin_Clas,4,FALSE),"-")</f>
        <v>4</v>
      </c>
      <c r="E11" s="92" cm="1">
        <f t="array" aca="1" ref="E11" ca="1">IFERROR(INDEX(Rango_Admin_Clas_Total,E$2,MATCH($A11,Rango_Admin_Clas_Primera,0)+1),"-")</f>
        <v>4</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JCU</v>
      </c>
      <c r="D12" s="91">
        <f ca="1">IFERROR(HLOOKUP(A12,Rango_Admin_Clas,4,FALSE),"-")</f>
        <v>4</v>
      </c>
      <c r="E12" s="92" cm="1">
        <f t="array" aca="1" ref="E12" ca="1">IFERROR(INDEX(Rango_Admin_Clas_Total,E$2,MATCH($A12,Rango_Admin_Clas_Primera,0)+1),"-")</f>
        <v>4</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Joserra</v>
      </c>
      <c r="D13" s="91">
        <f ca="1">IFERROR(HLOOKUP(A13,Rango_Admin_Clas,4,FALSE),"-")</f>
        <v>4</v>
      </c>
      <c r="E13" s="92" cm="1">
        <f t="array" aca="1" ref="E13" ca="1">IFERROR(INDEX(Rango_Admin_Clas_Total,E$2,MATCH($A13,Rango_Admin_Clas_Primera,0)+1),"-")</f>
        <v>4</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Antonio del Ojo</v>
      </c>
      <c r="D14" s="91">
        <f ca="1">IFERROR(HLOOKUP(A14,Rango_Admin_Clas,4,FALSE),"-")</f>
        <v>4</v>
      </c>
      <c r="E14" s="92" cm="1">
        <f t="array" aca="1" ref="E14" ca="1">IFERROR(INDEX(Rango_Admin_Clas_Total,E$2,MATCH($A14,Rango_Admin_Clas_Primera,0)+1),"-")</f>
        <v>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MURO 204</v>
      </c>
      <c r="D15" s="91">
        <f ca="1">IFERROR(HLOOKUP(A15,Rango_Admin_Clas,4,FALSE),"-")</f>
        <v>4</v>
      </c>
      <c r="E15" s="92" cm="1">
        <f t="array" aca="1" ref="E15" ca="1">IFERROR(INDEX(Rango_Admin_Clas_Total,E$2,MATCH($A15,Rango_Admin_Clas_Primera,0)+1),"-")</f>
        <v>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Miguel San Martín</v>
      </c>
      <c r="D16" s="91">
        <f ca="1">IFERROR(HLOOKUP(A16,Rango_Admin_Clas,4,FALSE),"-")</f>
        <v>4</v>
      </c>
      <c r="E16" s="92" cm="1">
        <f t="array" aca="1" ref="E16" ca="1">IFERROR(INDEX(Rango_Admin_Clas_Total,E$2,MATCH($A16,Rango_Admin_Clas_Primera,0)+1),"-")</f>
        <v>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Florentino Netanyahu</v>
      </c>
      <c r="D17" s="91">
        <f ca="1">IFERROR(HLOOKUP(A17,Rango_Admin_Clas,4,FALSE),"-")</f>
        <v>4</v>
      </c>
      <c r="E17" s="92" cm="1">
        <f t="array" aca="1" ref="E17" ca="1">IFERROR(INDEX(Rango_Admin_Clas_Total,E$2,MATCH($A17,Rango_Admin_Clas_Primera,0)+1),"-")</f>
        <v>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Lucas Oriol</v>
      </c>
      <c r="D18" s="91">
        <f ca="1">IFERROR(HLOOKUP(A18,Rango_Admin_Clas,4,FALSE),"-")</f>
        <v>4</v>
      </c>
      <c r="E18" s="92" cm="1">
        <f t="array" aca="1" ref="E18" ca="1">IFERROR(INDEX(Rango_Admin_Clas_Total,E$2,MATCH($A18,Rango_Admin_Clas_Primera,0)+1),"-")</f>
        <v>4</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YTD</v>
      </c>
      <c r="D19" s="91">
        <f ca="1">IFERROR(HLOOKUP(A19,Rango_Admin_Clas,4,FALSE),"-")</f>
        <v>4</v>
      </c>
      <c r="E19" s="92" cm="1">
        <f t="array" aca="1" ref="E19" ca="1">IFERROR(INDEX(Rango_Admin_Clas_Total,E$2,MATCH($A19,Rango_Admin_Clas_Primera,0)+1),"-")</f>
        <v>4</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Fernando Carlos García-Ramos Redondo</v>
      </c>
      <c r="D20" s="91">
        <f ca="1">IFERROR(HLOOKUP(A20,Rango_Admin_Clas,4,FALSE),"-")</f>
        <v>4</v>
      </c>
      <c r="E20" s="92" cm="1">
        <f t="array" aca="1" ref="E20" ca="1">IFERROR(INDEX(Rango_Admin_Clas_Total,E$2,MATCH($A20,Rango_Admin_Clas_Primera,0)+1),"-")</f>
        <v>4</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Gratacós</v>
      </c>
      <c r="D21" s="91">
        <f ca="1">IFERROR(HLOOKUP(A21,Rango_Admin_Clas,4,FALSE),"-")</f>
        <v>4</v>
      </c>
      <c r="E21" s="92" cm="1">
        <f t="array" aca="1" ref="E21" ca="1">IFERROR(INDEX(Rango_Admin_Clas_Total,E$2,MATCH($A21,Rango_Admin_Clas_Primera,0)+1),"-")</f>
        <v>4</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IGNACIO LAFUENTE</v>
      </c>
      <c r="D22" s="91">
        <f ca="1">IFERROR(HLOOKUP(A22,Rango_Admin_Clas,4,FALSE),"-")</f>
        <v>4</v>
      </c>
      <c r="E22" s="92" cm="1">
        <f t="array" aca="1" ref="E22" ca="1">IFERROR(INDEX(Rango_Admin_Clas_Total,E$2,MATCH($A22,Rango_Admin_Clas_Primera,0)+1),"-")</f>
        <v>4</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DIDI</v>
      </c>
      <c r="D23" s="91">
        <f ca="1">IFERROR(HLOOKUP(A23,Rango_Admin_Clas,4,FALSE),"-")</f>
        <v>4</v>
      </c>
      <c r="E23" s="92" cm="1">
        <f t="array" aca="1" ref="E23" ca="1">IFERROR(INDEX(Rango_Admin_Clas_Total,E$2,MATCH($A23,Rango_Admin_Clas_Primera,0)+1),"-")</f>
        <v>4</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 xml:space="preserve">Ignacio Núñez </v>
      </c>
      <c r="D24" s="91">
        <f ca="1">IFERROR(HLOOKUP(A24,Rango_Admin_Clas,4,FALSE),"-")</f>
        <v>4</v>
      </c>
      <c r="E24" s="92" cm="1">
        <f t="array" aca="1" ref="E24" ca="1">IFERROR(INDEX(Rango_Admin_Clas_Total,E$2,MATCH($A24,Rango_Admin_Clas_Primera,0)+1),"-")</f>
        <v>4</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Kurtischamp</v>
      </c>
      <c r="D25" s="91">
        <f ca="1">IFERROR(HLOOKUP(A25,Rango_Admin_Clas,4,FALSE),"-")</f>
        <v>2</v>
      </c>
      <c r="E25" s="92" cm="1">
        <f t="array" aca="1" ref="E25" ca="1">IFERROR(INDEX(Rango_Admin_Clas_Total,E$2,MATCH($A25,Rango_Admin_Clas_Primera,0)+1),"-")</f>
        <v>2</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21</v>
      </c>
      <c r="C26" s="18" t="str">
        <f ca="1">IFERROR(HLOOKUP(A26,Rango_Admin_Clas,5,FALSE),"-")</f>
        <v>AD Monchus</v>
      </c>
      <c r="D26" s="91">
        <f ca="1">IFERROR(HLOOKUP(A26,Rango_Admin_Clas,4,FALSE),"-")</f>
        <v>2</v>
      </c>
      <c r="E26" s="92" cm="1">
        <f t="array" aca="1" ref="E26" ca="1">IFERROR(INDEX(Rango_Admin_Clas_Total,E$2,MATCH($A26,Rango_Admin_Clas_Primera,0)+1),"-")</f>
        <v>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21</v>
      </c>
      <c r="C27" s="18" t="str">
        <f ca="1">IFERROR(HLOOKUP(A27,Rango_Admin_Clas,5,FALSE),"-")</f>
        <v xml:space="preserve">Martín Matoses </v>
      </c>
      <c r="D27" s="91">
        <f ca="1">IFERROR(HLOOKUP(A27,Rango_Admin_Clas,4,FALSE),"-")</f>
        <v>2</v>
      </c>
      <c r="E27" s="92" cm="1">
        <f t="array" aca="1" ref="E27" ca="1">IFERROR(INDEX(Rango_Admin_Clas_Total,E$2,MATCH($A27,Rango_Admin_Clas_Primera,0)+1),"-")</f>
        <v>2</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Admin</v>
      </c>
      <c r="D28" s="91">
        <f ca="1">IFERROR(HLOOKUP(A28,Rango_Admin_Clas,4,FALSE),"-")</f>
        <v>1</v>
      </c>
      <c r="E28" s="92" cm="1">
        <f t="array" aca="1" ref="E28" ca="1">IFERROR(INDEX(Rango_Admin_Clas_Total,E$2,MATCH($A28,Rango_Admin_Clas_Primera,0)+1),"-")</f>
        <v>1</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Luis B</v>
      </c>
      <c r="D29" s="91">
        <f ca="1">IFERROR(HLOOKUP(A29,Rango_Admin_Clas,4,FALSE),"-")</f>
        <v>1</v>
      </c>
      <c r="E29" s="92" cm="1">
        <f t="array" aca="1" ref="E29" ca="1">IFERROR(INDEX(Rango_Admin_Clas_Total,E$2,MATCH($A29,Rango_Admin_Clas_Primera,0)+1),"-")</f>
        <v>1</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Nacho Novo</v>
      </c>
      <c r="D30" s="91">
        <f ca="1">IFERROR(HLOOKUP(A30,Rango_Admin_Clas,4,FALSE),"-")</f>
        <v>1</v>
      </c>
      <c r="E30" s="92" cm="1">
        <f t="array" aca="1" ref="E30" ca="1">IFERROR(INDEX(Rango_Admin_Clas_Total,E$2,MATCH($A30,Rango_Admin_Clas_Primera,0)+1),"-")</f>
        <v>1</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24</v>
      </c>
      <c r="C31" s="18" t="str">
        <f ca="1">IFERROR(HLOOKUP(A31,Rango_Admin_Clas,5,FALSE),"-")</f>
        <v>Chente Muñoz</v>
      </c>
      <c r="D31" s="91">
        <f ca="1">IFERROR(HLOOKUP(A31,Rango_Admin_Clas,4,FALSE),"-")</f>
        <v>1</v>
      </c>
      <c r="E31" s="92" cm="1">
        <f t="array" aca="1" ref="E31" ca="1">IFERROR(INDEX(Rango_Admin_Clas_Total,E$2,MATCH($A31,Rango_Admin_Clas_Primera,0)+1),"-")</f>
        <v>1</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24</v>
      </c>
      <c r="C32" s="18" t="str">
        <f ca="1">IFERROR(HLOOKUP(A32,Rango_Admin_Clas,5,FALSE),"-")</f>
        <v>Guillermo Murciano</v>
      </c>
      <c r="D32" s="91">
        <f ca="1">IFERROR(HLOOKUP(A32,Rango_Admin_Clas,4,FALSE),"-")</f>
        <v>1</v>
      </c>
      <c r="E32" s="92" cm="1">
        <f t="array" aca="1" ref="E32" ca="1">IFERROR(INDEX(Rango_Admin_Clas_Total,E$2,MATCH($A32,Rango_Admin_Clas_Primera,0)+1),"-")</f>
        <v>1</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24</v>
      </c>
      <c r="C33" s="18" t="str">
        <f ca="1">IFERROR(HLOOKUP(A33,Rango_Admin_Clas,5,FALSE),"-")</f>
        <v>Ignacio de Lecea</v>
      </c>
      <c r="D33" s="91">
        <f ca="1">IFERROR(HLOOKUP(A33,Rango_Admin_Clas,4,FALSE),"-")</f>
        <v>1</v>
      </c>
      <c r="E33" s="92" cm="1">
        <f t="array" aca="1" ref="E33" ca="1">IFERROR(INDEX(Rango_Admin_Clas_Total,E$2,MATCH($A33,Rango_Admin_Clas_Primera,0)+1),"-")</f>
        <v>1</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24</v>
      </c>
      <c r="C34" s="18" t="str">
        <f ca="1">IFERROR(HLOOKUP(A34,Rango_Admin_Clas,5,FALSE),"-")</f>
        <v>Hulk Rexach</v>
      </c>
      <c r="D34" s="91">
        <f ca="1">IFERROR(HLOOKUP(A34,Rango_Admin_Clas,4,FALSE),"-")</f>
        <v>1</v>
      </c>
      <c r="E34" s="92" cm="1">
        <f t="array" aca="1" ref="E34" ca="1">IFERROR(INDEX(Rango_Admin_Clas_Total,E$2,MATCH($A34,Rango_Admin_Clas_Primera,0)+1),"-")</f>
        <v>1</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24</v>
      </c>
      <c r="C35" s="18" t="str">
        <f ca="1">IFERROR(HLOOKUP(A35,Rango_Admin_Clas,5,FALSE),"-")</f>
        <v>bau</v>
      </c>
      <c r="D35" s="91">
        <f ca="1">IFERROR(HLOOKUP(A35,Rango_Admin_Clas,4,FALSE),"-")</f>
        <v>1</v>
      </c>
      <c r="E35" s="92" cm="1">
        <f t="array" aca="1" ref="E35" ca="1">IFERROR(INDEX(Rango_Admin_Clas_Total,E$2,MATCH($A35,Rango_Admin_Clas_Primera,0)+1),"-")</f>
        <v>1</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24</v>
      </c>
      <c r="C36" s="18" t="str">
        <f ca="1">IFERROR(HLOOKUP(A36,Rango_Admin_Clas,5,FALSE),"-")</f>
        <v>William Hartley</v>
      </c>
      <c r="D36" s="91">
        <f ca="1">IFERROR(HLOOKUP(A36,Rango_Admin_Clas,4,FALSE),"-")</f>
        <v>1</v>
      </c>
      <c r="E36" s="92" cm="1">
        <f t="array" aca="1" ref="E36" ca="1">IFERROR(INDEX(Rango_Admin_Clas_Total,E$2,MATCH($A36,Rango_Admin_Clas_Primera,0)+1),"-")</f>
        <v>1</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24</v>
      </c>
      <c r="C37" s="18" t="str">
        <f ca="1">IFERROR(HLOOKUP(A37,Rango_Admin_Clas,5,FALSE),"-")</f>
        <v>KIRICOCHO</v>
      </c>
      <c r="D37" s="91">
        <f ca="1">IFERROR(HLOOKUP(A37,Rango_Admin_Clas,4,FALSE),"-")</f>
        <v>1</v>
      </c>
      <c r="E37" s="92" cm="1">
        <f t="array" aca="1" ref="E37" ca="1">IFERROR(INDEX(Rango_Admin_Clas_Total,E$2,MATCH($A37,Rango_Admin_Clas_Primera,0)+1),"-")</f>
        <v>1</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24</v>
      </c>
      <c r="C38" s="18" t="str">
        <f ca="1">IFERROR(HLOOKUP(A38,Rango_Admin_Clas,5,FALSE),"-")</f>
        <v>BeliBeltrán</v>
      </c>
      <c r="D38" s="91">
        <f ca="1">IFERROR(HLOOKUP(A38,Rango_Admin_Clas,4,FALSE),"-")</f>
        <v>1</v>
      </c>
      <c r="E38" s="92" cm="1">
        <f t="array" aca="1" ref="E38" ca="1">IFERROR(INDEX(Rango_Admin_Clas_Total,E$2,MATCH($A38,Rango_Admin_Clas_Primera,0)+1),"-")</f>
        <v>1</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24</v>
      </c>
      <c r="C39" s="18" t="str">
        <f ca="1">IFERROR(HLOOKUP(A39,Rango_Admin_Clas,5,FALSE),"-")</f>
        <v>Vicuinho</v>
      </c>
      <c r="D39" s="91">
        <f ca="1">IFERROR(HLOOKUP(A39,Rango_Admin_Clas,4,FALSE),"-")</f>
        <v>1</v>
      </c>
      <c r="E39" s="92" cm="1">
        <f t="array" aca="1" ref="E39" ca="1">IFERROR(INDEX(Rango_Admin_Clas_Total,E$2,MATCH($A39,Rango_Admin_Clas_Primera,0)+1),"-")</f>
        <v>1</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24</v>
      </c>
      <c r="C40" s="18" t="str">
        <f ca="1">IFERROR(HLOOKUP(A40,Rango_Admin_Clas,5,FALSE),"-")</f>
        <v>Miguel Suárez-Zuloaga</v>
      </c>
      <c r="D40" s="91">
        <f ca="1">IFERROR(HLOOKUP(A40,Rango_Admin_Clas,4,FALSE),"-")</f>
        <v>1</v>
      </c>
      <c r="E40" s="92" cm="1">
        <f t="array" aca="1" ref="E40" ca="1">IFERROR(INDEX(Rango_Admin_Clas_Total,E$2,MATCH($A40,Rango_Admin_Clas_Primera,0)+1),"-")</f>
        <v>1</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24</v>
      </c>
      <c r="C41" s="18" t="str">
        <f ca="1">IFERROR(HLOOKUP(A41,Rango_Admin_Clas,5,FALSE),"-")</f>
        <v>JUAN SOLAS</v>
      </c>
      <c r="D41" s="91">
        <f ca="1">IFERROR(HLOOKUP(A41,Rango_Admin_Clas,4,FALSE),"-")</f>
        <v>1</v>
      </c>
      <c r="E41" s="92" cm="1">
        <f t="array" aca="1" ref="E41" ca="1">IFERROR(INDEX(Rango_Admin_Clas_Total,E$2,MATCH($A41,Rango_Admin_Clas_Primera,0)+1),"-")</f>
        <v>1</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Migay Marcos</v>
      </c>
      <c r="D42" s="91">
        <f ca="1">IFERROR(HLOOKUP(A42,Rango_Admin_Clas,4,FALSE),"-")</f>
        <v>0</v>
      </c>
      <c r="E42" s="92" cm="1">
        <f t="array" aca="1" ref="E42" ca="1">IFERROR(INDEX(Rango_Admin_Clas_Total,E$2,MATCH($A42,Rango_Admin_Clas_Primera,0)+1),"-")</f>
        <v>0</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Pablo C</v>
      </c>
      <c r="D43" s="91">
        <f ca="1">IFERROR(HLOOKUP(A43,Rango_Admin_Clas,4,FALSE),"-")</f>
        <v>0</v>
      </c>
      <c r="E43" s="92" cm="1">
        <f t="array" aca="1" ref="E43" ca="1">IFERROR(INDEX(Rango_Admin_Clas_Total,E$2,MATCH($A43,Rango_Admin_Clas_Primera,0)+1),"-")</f>
        <v>0</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38</v>
      </c>
      <c r="C44" s="18" t="str">
        <f ca="1">IFERROR(HLOOKUP(A44,Rango_Admin_Clas,5,FALSE),"-")</f>
        <v>Pegar Valores Nombre J40</v>
      </c>
      <c r="D44" s="91">
        <f ca="1">IFERROR(HLOOKUP(A44,Rango_Admin_Clas,4,FALSE),"-")</f>
        <v>0</v>
      </c>
      <c r="E44" s="92" cm="1">
        <f t="array" aca="1" ref="E44" ca="1">IFERROR(INDEX(Rango_Admin_Clas_Total,E$2,MATCH($A44,Rango_Admin_Clas_Primera,0)+1),"-")</f>
        <v>0</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38</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38</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38</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38</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38</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38</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38</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38</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38</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38</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Pegar Valores Nombre J40</v>
      </c>
      <c r="G43" s="429" t="str">
        <f ca="1">IFERROR(VLOOKUP(G$2,Rango_Admin_DailyPred,MATCH($F43,Rango_Admin_DailyPred_Primera,0),0),"-")</f>
        <v>Pegar Valores (J1)</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38</v>
      </c>
      <c r="F41" s="448" t="str">
        <f ca="1">IFERROR(HLOOKUP(C41,Rango_Admin_DailyClas,5,FALSE),"-")</f>
        <v>Migay Marcos</v>
      </c>
      <c r="G41" s="22">
        <f ca="1">IFERROR(HLOOKUP(C41,Rango_Admin_DailyClas,4,FALSE),"-")</f>
        <v>0</v>
      </c>
      <c r="H41" s="429">
        <f ca="1">IFERROR(VLOOKUP(H$2,Rango_Admin_DailyPred,MATCH($F41,Rango_Admin_DailyPred_Primera,0)+1,0),"-")</f>
        <v>0</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38</v>
      </c>
      <c r="F42" s="448" t="str">
        <f ca="1">IFERROR(HLOOKUP(C42,Rango_Admin_DailyClas,5,FALSE),"-")</f>
        <v>Pablo C</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38</v>
      </c>
      <c r="F43" s="448" t="str">
        <f ca="1">IFERROR(HLOOKUP(C43,Rango_Admin_DailyClas,5,FALSE),"-")</f>
        <v>Pegar Valores Nombre J40</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38</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38</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38</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38</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38</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38</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38</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38</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38</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38</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9.6153846153846159E-3</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11</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2</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11</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28</v>
      </c>
      <c r="N10" s="469">
        <f ca="1">IFERROR(COUNTIF(ADMIN!$S$130:INDEX(ADMIN!$S$130:$KI$161,32,ADMIN!$D$5*3-1),Stats!$L10)-SUM(O10:T10),0)</f>
        <v>20</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4</v>
      </c>
      <c r="J11" s="706">
        <f ca="1"/>
        <v>0</v>
      </c>
      <c r="K11" s="404">
        <f ca="1"/>
        <v>0</v>
      </c>
      <c r="L11" s="132" t="str">
        <f ca="1">Horarios!Q6</f>
        <v>Argentina</v>
      </c>
      <c r="M11" s="471">
        <f ca="1">ADMIN!$D$5-SUM(N11:T11)</f>
        <v>11</v>
      </c>
      <c r="N11" s="471">
        <f ca="1">IFERROR(COUNTIF(ADMIN!$S$130:INDEX(ADMIN!$S$130:$KI$161,32,ADMIN!$D$5*3-1),Stats!$L11)-SUM(O11:T11),0)</f>
        <v>3</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49</v>
      </c>
      <c r="N12" s="469">
        <f ca="1">IFERROR(COUNTIF(ADMIN!$S$130:INDEX(ADMIN!$S$130:$KI$161,32,ADMIN!$D$5*3-1),Stats!$L12)-SUM(O12:T12),0)</f>
        <v>1</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100</v>
      </c>
      <c r="F13" s="456">
        <f ca="1">IFERROR(E13/E12,0)</f>
        <v>0.5</v>
      </c>
      <c r="G13" s="17"/>
      <c r="H13" s="457" t="str">
        <f ca="1"/>
        <v>1|3-0</v>
      </c>
      <c r="I13" s="704">
        <f ca="1"/>
        <v>1</v>
      </c>
      <c r="J13" s="706">
        <f ca="1"/>
        <v>0</v>
      </c>
      <c r="K13" s="404">
        <f ca="1"/>
        <v>0</v>
      </c>
      <c r="L13" s="132" t="str">
        <f ca="1">Horarios!Q8</f>
        <v>Austria</v>
      </c>
      <c r="M13" s="471">
        <f ca="1">ADMIN!$D$5-SUM(N13:T13)</f>
        <v>11</v>
      </c>
      <c r="N13" s="471">
        <f ca="1">IFERROR(COUNTIF(ADMIN!$S$130:INDEX(ADMIN!$S$130:$KI$161,32,ADMIN!$D$5*3-1),Stats!$L13)-SUM(O13:T13),0)</f>
        <v>37</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11</v>
      </c>
      <c r="N14" s="469">
        <f ca="1">IFERROR(COUNTIF(ADMIN!$S$130:INDEX(ADMIN!$S$130:$KI$161,32,ADMIN!$D$5*3-1),Stats!$L14)-SUM(O14:T14),0)</f>
        <v>5</v>
      </c>
      <c r="O14" s="469">
        <f ca="1">COUNTIF(ADMIN!$S$182:INDEX(ADMIN!$S$182:$KI$197,16,ADMIN!$D$5*3-1),Stats!$L14)-SUM(P14:T14)</f>
        <v>17</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37</v>
      </c>
      <c r="F15" s="456">
        <f ca="1">IFERROR(E15/ADMIN!$D$5,0)</f>
        <v>0.74</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13</v>
      </c>
      <c r="F16" s="456">
        <f ca="1">IFERROR(E16/ADMIN!$D$5,0)</f>
        <v>0.26</v>
      </c>
      <c r="G16" s="17"/>
      <c r="H16" s="454"/>
      <c r="I16" s="704"/>
      <c r="J16" s="706"/>
      <c r="K16" s="404"/>
      <c r="L16" s="133" t="str">
        <f ca="1">Horarios!Q11</f>
        <v>Brasil</v>
      </c>
      <c r="M16" s="469">
        <f ca="1">ADMIN!$D$5-SUM(N16:T16)</f>
        <v>11</v>
      </c>
      <c r="N16" s="469">
        <f ca="1">IFERROR(COUNTIF(ADMIN!$S$130:INDEX(ADMIN!$S$130:$KI$161,32,ADMIN!$D$5*3-1),Stats!$L16)-SUM(O16:T16),0)</f>
        <v>0</v>
      </c>
      <c r="O16" s="469">
        <f ca="1">COUNTIF(ADMIN!$S$182:INDEX(ADMIN!$S$182:$KI$197,16,ADMIN!$D$5*3-1),Stats!$L16)-SUM(P16:T16)</f>
        <v>5</v>
      </c>
      <c r="P16" s="469">
        <f ca="1">COUNTIF(ADMIN!$S$210:INDEX(ADMIN!$S$210:$KI$217,8,ADMIN!$D$5*3-1),Stats!$L16)-SUM(Q16:T16)</f>
        <v>13</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18</v>
      </c>
      <c r="N18" s="469">
        <f ca="1">IFERROR(COUNTIF(ADMIN!$S$130:INDEX(ADMIN!$S$130:$KI$161,32,ADMIN!$D$5*3-1),Stats!$L18)-SUM(O18:T18),0)</f>
        <v>19</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11</v>
      </c>
      <c r="N20" s="469">
        <f ca="1">IFERROR(COUNTIF(ADMIN!$S$130:INDEX(ADMIN!$S$130:$KI$161,32,ADMIN!$D$5*3-1),Stats!$L20)-SUM(O20:T20),0)</f>
        <v>16</v>
      </c>
      <c r="O20" s="469">
        <f ca="1">COUNTIF(ADMIN!$S$182:INDEX(ADMIN!$S$182:$KI$197,16,ADMIN!$D$5*3-1),Stats!$L20)-SUM(P20:T20)</f>
        <v>18</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18</v>
      </c>
      <c r="N21" s="471">
        <f ca="1">IFERROR(COUNTIF(ADMIN!$S$130:INDEX(ADMIN!$S$130:$KI$161,32,ADMIN!$D$5*3-1),Stats!$L21)-SUM(O21:T21),0)</f>
        <v>17</v>
      </c>
      <c r="O21" s="471">
        <f ca="1">COUNTIF(ADMIN!$S$182:INDEX(ADMIN!$S$182:$KI$197,16,ADMIN!$D$5*3-1),Stats!$L21)-SUM(P21:T21)</f>
        <v>13</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15</v>
      </c>
      <c r="N22" s="469">
        <f ca="1">IFERROR(COUNTIF(ADMIN!$S$130:INDEX(ADMIN!$S$130:$KI$161,32,ADMIN!$D$5*3-1),Stats!$L22)-SUM(O22:T22),0)</f>
        <v>25</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12</v>
      </c>
      <c r="N23" s="471">
        <f ca="1">IFERROR(COUNTIF(ADMIN!$S$130:INDEX(ADMIN!$S$130:$KI$161,32,ADMIN!$D$5*3-1),Stats!$L23)-SUM(O23:T23),0)</f>
        <v>22</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12</v>
      </c>
      <c r="N25" s="471">
        <f ca="1">IFERROR(COUNTIF(ADMIN!$S$130:INDEX(ADMIN!$S$130:$KI$161,32,ADMIN!$D$5*3-1),Stats!$L25)-SUM(O25:T25),0)</f>
        <v>25</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13</v>
      </c>
      <c r="N26" s="469">
        <f ca="1">IFERROR(COUNTIF(ADMIN!$S$130:INDEX(ADMIN!$S$130:$KI$161,32,ADMIN!$D$5*3-1),Stats!$L26)-SUM(O26:T26),0)</f>
        <v>32</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17</v>
      </c>
      <c r="N27" s="471">
        <f ca="1">IFERROR(COUNTIF(ADMIN!$S$130:INDEX(ADMIN!$S$130:$KI$161,32,ADMIN!$D$5*3-1),Stats!$L27)-SUM(O27:T27),0)</f>
        <v>29</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11</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21</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11</v>
      </c>
      <c r="N29" s="471">
        <f ca="1">IFERROR(COUNTIF(ADMIN!$S$130:INDEX(ADMIN!$S$130:$KI$161,32,ADMIN!$D$5*3-1),Stats!$L29)-SUM(O29:T29),0)</f>
        <v>11</v>
      </c>
      <c r="O29" s="471">
        <f ca="1">COUNTIF(ADMIN!$S$182:INDEX(ADMIN!$S$182:$KI$197,16,ADMIN!$D$5*3-1),Stats!$L29)-SUM(P29:T29)</f>
        <v>26</v>
      </c>
      <c r="P29" s="471">
        <f ca="1">COUNTIF(ADMIN!$S$210:INDEX(ADMIN!$S$210:$KI$217,8,ADMIN!$D$5*3-1),Stats!$L29)-SUM(Q29:T29)</f>
        <v>2</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11</v>
      </c>
      <c r="N30" s="469">
        <f ca="1">IFERROR(COUNTIF(ADMIN!$S$130:INDEX(ADMIN!$S$130:$KI$161,32,ADMIN!$D$5*3-1),Stats!$L30)-SUM(O30:T30),0)</f>
        <v>1</v>
      </c>
      <c r="O30" s="469">
        <f ca="1">COUNTIF(ADMIN!$S$182:INDEX(ADMIN!$S$182:$KI$197,16,ADMIN!$D$5*3-1),Stats!$L30)-SUM(P30:T30)</f>
        <v>6</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27</v>
      </c>
      <c r="N31" s="471">
        <f ca="1">IFERROR(COUNTIF(ADMIN!$S$130:INDEX(ADMIN!$S$130:$KI$161,32,ADMIN!$D$5*3-1),Stats!$L31)-SUM(O31:T31),0)</f>
        <v>22</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11</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3</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37</v>
      </c>
      <c r="F35" s="25">
        <f ca="1">IFERROR(E35/SUM($E$35:E37),0)</f>
        <v>0.94871794871794868</v>
      </c>
      <c r="G35" s="17"/>
      <c r="H35" s="17"/>
      <c r="I35" s="17"/>
      <c r="J35" s="25"/>
      <c r="K35" s="25"/>
      <c r="L35" s="132" t="str">
        <f ca="1">Horarios!Q30</f>
        <v>Irán</v>
      </c>
      <c r="M35" s="471">
        <f ca="1">ADMIN!$D$5-SUM(N35:T35)</f>
        <v>31</v>
      </c>
      <c r="N35" s="471">
        <f ca="1">IFERROR(COUNTIF(ADMIN!$S$130:INDEX(ADMIN!$S$130:$KI$161,32,ADMIN!$D$5*3-1),Stats!$L35)-SUM(O35:T35),0)</f>
        <v>19</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4</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4</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5.128205128205128E-2</v>
      </c>
      <c r="G36" s="17"/>
      <c r="H36" s="17"/>
      <c r="I36" s="17"/>
      <c r="J36" s="25"/>
      <c r="K36" s="25"/>
      <c r="L36" s="133" t="str">
        <f ca="1">Horarios!Q31</f>
        <v>Japón</v>
      </c>
      <c r="M36" s="469">
        <f ca="1">ADMIN!$D$5-SUM(N36:T36)</f>
        <v>14</v>
      </c>
      <c r="N36" s="469">
        <f ca="1">IFERROR(COUNTIF(ADMIN!$S$130:INDEX(ADMIN!$S$130:$KI$161,32,ADMIN!$D$5*3-1),Stats!$L36)-SUM(O36:T36),0)</f>
        <v>34</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11</v>
      </c>
      <c r="N38" s="469">
        <f ca="1">IFERROR(COUNTIF(ADMIN!$S$130:INDEX(ADMIN!$S$130:$KI$161,32,ADMIN!$D$5*3-1),Stats!$L38)-SUM(O38:T38),0)</f>
        <v>22</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4</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11</v>
      </c>
      <c r="N39" s="471">
        <f ca="1">IFERROR(COUNTIF(ADMIN!$S$130:INDEX(ADMIN!$S$130:$KI$161,32,ADMIN!$D$5*3-1),Stats!$L39)-SUM(O39:T39),0)</f>
        <v>9</v>
      </c>
      <c r="O39" s="471">
        <f ca="1">COUNTIF(ADMIN!$S$182:INDEX(ADMIN!$S$182:$KI$197,16,ADMIN!$D$5*3-1),Stats!$L39)-SUM(P39:T39)</f>
        <v>24</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11</v>
      </c>
      <c r="N40" s="469">
        <f ca="1">IFERROR(COUNTIF(ADMIN!$S$130:INDEX(ADMIN!$S$130:$KI$161,32,ADMIN!$D$5*3-1),Stats!$L40)-SUM(O40:T40),0)</f>
        <v>13</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11</v>
      </c>
      <c r="X40" s="11" t="str">
        <f ca="1"/>
        <v>Pegar Valores (J1)</v>
      </c>
      <c r="Y40" s="11" t="str">
        <f ca="1"/>
        <v>Pegar Valores (J1)</v>
      </c>
      <c r="Z40" s="11">
        <f ca="1"/>
        <v>11</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11</v>
      </c>
      <c r="N42" s="469">
        <f ca="1">IFERROR(COUNTIF(ADMIN!$S$130:INDEX(ADMIN!$S$130:$KI$161,32,ADMIN!$D$5*3-1),Stats!$L42)-SUM(O42:T42),0)</f>
        <v>21</v>
      </c>
      <c r="O42" s="469">
        <f ca="1">COUNTIF(ADMIN!$S$182:INDEX(ADMIN!$S$182:$KI$197,16,ADMIN!$D$5*3-1),Stats!$L42)-SUM(P42:T42)</f>
        <v>0</v>
      </c>
      <c r="P42" s="469">
        <f ca="1">COUNTIF(ADMIN!$S$210:INDEX(ADMIN!$S$210:$KI$217,8,ADMIN!$D$5*3-1),Stats!$L42)-SUM(Q42:T42)</f>
        <v>15</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 goles en el Mundial de Clubes sin contar tandas de penalti</v>
      </c>
      <c r="F45" s="453"/>
      <c r="G45" s="17"/>
      <c r="H45" s="17"/>
      <c r="I45" s="17"/>
      <c r="J45" s="25"/>
      <c r="K45" s="25"/>
      <c r="L45" s="132" t="str">
        <f ca="1">Horarios!Q40</f>
        <v>Portugal</v>
      </c>
      <c r="M45" s="471">
        <f ca="1">ADMIN!$D$5-SUM(N45:T45)</f>
        <v>11</v>
      </c>
      <c r="N45" s="471">
        <f ca="1">IFERROR(COUNTIF(ADMIN!$S$130:INDEX(ADMIN!$S$130:$KI$161,32,ADMIN!$D$5*3-1),Stats!$L45)-SUM(O45:T45),0)</f>
        <v>1</v>
      </c>
      <c r="O45" s="471">
        <f ca="1">COUNTIF(ADMIN!$S$182:INDEX(ADMIN!$S$182:$KI$197,16,ADMIN!$D$5*3-1),Stats!$L45)-SUM(P45:T45)</f>
        <v>4</v>
      </c>
      <c r="P45" s="471">
        <f ca="1">COUNTIF(ADMIN!$S$210:INDEX(ADMIN!$S$210:$KI$217,8,ADMIN!$D$5*3-1),Stats!$L45)-SUM(Q45:T45)</f>
        <v>11</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18</v>
      </c>
      <c r="N47" s="471">
        <f ca="1">IFERROR(COUNTIF(ADMIN!$S$130:INDEX(ADMIN!$S$130:$KI$161,32,ADMIN!$D$5*3-1),Stats!$L47)-SUM(O47:T47),0)</f>
        <v>23</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15</v>
      </c>
      <c r="N48" s="469">
        <f ca="1">IFERROR(COUNTIF(ADMIN!$S$130:INDEX(ADMIN!$S$130:$KI$161,32,ADMIN!$D$5*3-1),Stats!$L48)-SUM(O48:T48),0)</f>
        <v>29</v>
      </c>
      <c r="O48" s="469">
        <f ca="1">COUNTIF(ADMIN!$S$182:INDEX(ADMIN!$S$182:$KI$197,16,ADMIN!$D$5*3-1),Stats!$L48)-SUM(P48:T48)</f>
        <v>5</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11</v>
      </c>
      <c r="N51" s="471">
        <f ca="1">IFERROR(COUNTIF(ADMIN!$S$130:INDEX(ADMIN!$S$130:$KI$161,32,ADMIN!$D$5*3-1),Stats!$L51)-SUM(O51:T51),0)</f>
        <v>5</v>
      </c>
      <c r="O51" s="471">
        <f ca="1">COUNTIF(ADMIN!$S$182:INDEX(ADMIN!$S$182:$KI$197,16,ADMIN!$D$5*3-1),Stats!$L51)-SUM(P51:T51)</f>
        <v>33</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11</v>
      </c>
      <c r="N53" s="471">
        <f ca="1">IFERROR(COUNTIF(ADMIN!$S$130:INDEX(ADMIN!$S$130:$KI$161,32,ADMIN!$D$5*3-1),Stats!$L53)-SUM(O53:T53),0)</f>
        <v>4</v>
      </c>
      <c r="O53" s="471">
        <f ca="1">COUNTIF(ADMIN!$S$182:INDEX(ADMIN!$S$182:$KI$197,16,ADMIN!$D$5*3-1),Stats!$L53)-SUM(P53:T53)</f>
        <v>19</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11</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0</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2026-06-11T21:05:29Z</dcterms:modified>
  <cp:category/>
</cp:coreProperties>
</file>