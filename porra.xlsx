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33" documentId="13_ncr:1_{AF5F34E1-3CEA-4E5C-856E-DF27FFEF07FE}" xr6:coauthVersionLast="47" xr6:coauthVersionMax="47" xr10:uidLastSave="{E302B657-05F9-48D4-9405-F6251792B0F4}"/>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E233" i="46"/>
  <c r="M61" i="46"/>
  <c r="M45" i="46"/>
  <c r="M69" i="46"/>
  <c r="M29" i="46"/>
  <c r="Q201" i="46"/>
  <c r="M221" i="46"/>
  <c r="M49" i="46"/>
  <c r="M77" i="46"/>
  <c r="M57" i="46"/>
  <c r="E223" i="46"/>
  <c r="M26" i="46"/>
  <c r="M36" i="46"/>
  <c r="M50" i="46"/>
  <c r="M47" i="46"/>
  <c r="M62" i="46"/>
  <c r="M44" i="46"/>
  <c r="M53" i="46"/>
  <c r="M14" i="46"/>
  <c r="M17" i="46"/>
  <c r="D107" i="36"/>
  <c r="M84" i="34" s="1"/>
  <c r="S267" i="46"/>
  <c r="M20" i="46" l="1"/>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I54" i="46"/>
  <c r="EL54" i="46"/>
  <c r="EO54" i="46"/>
  <c r="EX54" i="46"/>
  <c r="FA54" i="46"/>
  <c r="FD54" i="46"/>
  <c r="D367" i="36"/>
  <c r="H244" i="46"/>
  <c r="H201" i="46"/>
  <c r="H214" i="46"/>
  <c r="H155" i="46"/>
  <c r="H140" i="46"/>
  <c r="H138" i="46"/>
  <c r="K193" i="46"/>
  <c r="K183" i="46"/>
  <c r="FD220" i="46"/>
  <c r="EI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K151" i="46"/>
  <c r="K145" i="46"/>
  <c r="K152" i="46"/>
  <c r="EO244" i="46"/>
  <c r="K147" i="46"/>
  <c r="EX232" i="46"/>
  <c r="K133" i="46"/>
  <c r="EU200" i="46"/>
  <c r="FD232" i="46"/>
  <c r="EU244" i="46"/>
  <c r="EX244" i="46"/>
  <c r="AZ93" i="3"/>
  <c r="ER244" i="46"/>
  <c r="K143" i="46"/>
  <c r="E4" i="47"/>
  <c r="J5" i="46"/>
  <c r="K228" i="46"/>
  <c r="AJ53" i="3"/>
  <c r="Z33" i="3"/>
  <c r="EI200" i="46"/>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EI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34" i="3" l="1"/>
  <c r="CA36" i="3"/>
  <c r="CC36" i="3" s="1"/>
  <c r="CA27" i="3"/>
  <c r="CC27" i="3" s="1"/>
  <c r="CB37" i="3"/>
  <c r="CA45" i="3"/>
  <c r="CC45" i="3" s="1"/>
  <c r="CA43" i="3"/>
  <c r="CC43" i="3" s="1"/>
  <c r="CB26" i="3"/>
  <c r="CB9" i="3"/>
  <c r="CA42" i="3"/>
  <c r="CC42" i="3" s="1"/>
  <c r="CB44" i="3"/>
  <c r="CA18" i="3"/>
  <c r="CB20" i="3"/>
  <c r="CB18" i="3"/>
  <c r="CA53" i="3"/>
  <c r="CB12" i="3"/>
  <c r="CA44" i="3"/>
  <c r="CA31" i="3"/>
  <c r="CC31" i="3" s="1"/>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7" i="3" l="1"/>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CF35" i="3" s="1"/>
  <c r="L54" i="3"/>
  <c r="K88" i="3"/>
  <c r="K87" i="3"/>
  <c r="CF47" i="3" s="1"/>
  <c r="K61" i="3"/>
  <c r="CF37" i="3" s="1"/>
  <c r="L47" i="3"/>
  <c r="CF29" i="3" s="1"/>
  <c r="CF49" i="3"/>
  <c r="CF33" i="3"/>
  <c r="CF45" i="3"/>
  <c r="CF16" i="3"/>
  <c r="E9" i="51"/>
  <c r="CF22" i="3"/>
  <c r="CF27" i="3"/>
  <c r="CF26" i="3"/>
  <c r="B46" i="51"/>
  <c r="B47" i="51" s="1"/>
  <c r="E10" i="51"/>
  <c r="E28" i="48"/>
  <c r="F27" i="48" a="1"/>
  <c r="F27" i="48" s="1"/>
  <c r="E12" i="51"/>
  <c r="E11" i="51"/>
  <c r="CF25" i="3" l="1"/>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E31" i="48"/>
  <c r="F30" i="48" a="1"/>
  <c r="F30" i="48" s="1"/>
  <c r="O88" i="3" l="1"/>
  <c r="O93" i="3"/>
  <c r="O78" i="3"/>
  <c r="O53" i="3"/>
  <c r="N96" i="3"/>
  <c r="O80" i="3"/>
  <c r="N47" i="3"/>
  <c r="O22" i="3"/>
  <c r="CJ17" i="3" s="1"/>
  <c r="N84" i="3"/>
  <c r="O97" i="3"/>
  <c r="O16" i="3"/>
  <c r="N15" i="3"/>
  <c r="O15" i="3"/>
  <c r="O61" i="3"/>
  <c r="CJ36" i="3" s="1"/>
  <c r="CJ37" i="3"/>
  <c r="N13" i="3"/>
  <c r="N65" i="3"/>
  <c r="O69" i="3"/>
  <c r="O62" i="3"/>
  <c r="N55" i="3"/>
  <c r="O20" i="3"/>
  <c r="CI14" i="3" s="1"/>
  <c r="O64" i="3"/>
  <c r="N5" i="3"/>
  <c r="CK9" i="3" s="1"/>
  <c r="O14" i="3"/>
  <c r="N93" i="3"/>
  <c r="N33" i="3"/>
  <c r="N52" i="3"/>
  <c r="CJ31" i="3" s="1"/>
  <c r="O57" i="3"/>
  <c r="N17" i="3"/>
  <c r="O31" i="3"/>
  <c r="O84" i="3"/>
  <c r="O45" i="3"/>
  <c r="N9" i="3"/>
  <c r="O52" i="3"/>
  <c r="N80" i="3"/>
  <c r="O55" i="3"/>
  <c r="O81" i="3"/>
  <c r="N76" i="3"/>
  <c r="O29" i="3"/>
  <c r="O71" i="3"/>
  <c r="N69" i="3"/>
  <c r="O37" i="3"/>
  <c r="CI24" i="3" s="1"/>
  <c r="O60" i="3"/>
  <c r="O47" i="3"/>
  <c r="N8" i="3"/>
  <c r="N31" i="3"/>
  <c r="N48" i="3"/>
  <c r="O54" i="3"/>
  <c r="CK30" i="3" s="1"/>
  <c r="N16" i="3"/>
  <c r="O56" i="3"/>
  <c r="O38" i="3"/>
  <c r="N73" i="3"/>
  <c r="N24" i="3"/>
  <c r="N64" i="3"/>
  <c r="O5" i="3"/>
  <c r="CI8" i="3" s="1"/>
  <c r="O70" i="3"/>
  <c r="CJ38" i="3" s="1"/>
  <c r="N39" i="3"/>
  <c r="O40" i="3"/>
  <c r="O13" i="3"/>
  <c r="N22" i="3"/>
  <c r="N89" i="3"/>
  <c r="O4" i="3"/>
  <c r="N62" i="3"/>
  <c r="O92" i="3"/>
  <c r="N60" i="3"/>
  <c r="CJ35" i="3" s="1"/>
  <c r="O41" i="3"/>
  <c r="N36" i="3"/>
  <c r="CK23" i="3" s="1"/>
  <c r="N4" i="3"/>
  <c r="CK7" i="3" s="1"/>
  <c r="N92" i="3"/>
  <c r="O76" i="3"/>
  <c r="N79" i="3"/>
  <c r="N81" i="3"/>
  <c r="N46" i="3"/>
  <c r="N68" i="3"/>
  <c r="O49" i="3"/>
  <c r="O32" i="3"/>
  <c r="N23" i="3"/>
  <c r="N70" i="3"/>
  <c r="N20" i="3"/>
  <c r="CK15" i="3" s="1"/>
  <c r="N30" i="3"/>
  <c r="O39" i="3"/>
  <c r="N29" i="3"/>
  <c r="CK21" i="3" s="1"/>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J43" i="3"/>
  <c r="CI47" i="3"/>
  <c r="CK18" i="3"/>
  <c r="CK36" i="3"/>
  <c r="CI49" i="3"/>
  <c r="CI17" i="3"/>
  <c r="CK53" i="3"/>
  <c r="CI31" i="3"/>
  <c r="CJ11" i="3"/>
  <c r="CK13" i="3"/>
  <c r="CI35" i="3"/>
  <c r="CI18"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I11" i="3"/>
  <c r="CI7" i="3"/>
  <c r="CK52"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K11" i="3"/>
  <c r="CI52" i="3"/>
  <c r="CK34" i="3"/>
  <c r="CK32" i="3"/>
  <c r="CI48" i="3"/>
  <c r="CI13" i="3"/>
  <c r="CJ6" i="3"/>
  <c r="CJ24" i="3"/>
  <c r="CJ8" i="3"/>
  <c r="CJ7" i="3"/>
  <c r="CJ39" i="3"/>
  <c r="CJ23" i="3"/>
  <c r="CJ25" i="3"/>
  <c r="CJ34" i="3"/>
  <c r="CJ27" i="3"/>
  <c r="CJ26" i="3"/>
  <c r="CJ41" i="3"/>
  <c r="E32" i="48"/>
  <c r="F31" i="48" a="1"/>
  <c r="F31" i="48" s="1"/>
  <c r="CJ15" i="3" l="1"/>
  <c r="CL15" i="3" s="1"/>
  <c r="CL32" i="3"/>
  <c r="CL42" i="3"/>
  <c r="CL41" i="3"/>
  <c r="CL53" i="3"/>
  <c r="CJ14" i="3"/>
  <c r="CL14" i="3" s="1"/>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F35" i="48" a="1"/>
  <c r="F35" i="48" s="1"/>
  <c r="E36" i="48"/>
  <c r="CP30" i="3" l="1"/>
  <c r="CP9" i="3"/>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<sst xmlns="http://schemas.openxmlformats.org/spreadsheetml/2006/main" count="16647" uniqueCount="2794">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</sst>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20</c:v>
                </c:pt>
                <c:pt idx="1">
                  <c:v>10</c:v>
                </c:pt>
                <c:pt idx="2">
                  <c:v>9</c:v>
                </c:pt>
                <c:pt idx="3">
                  <c:v>5</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c:v>
                </c:pt>
                <c:pt idx="1">
                  <c:v>0.05</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6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33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46189</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29" zoomScaleNormal="100" workbookViewId="0">
      <selection activeCell="AC54" sqref="AC54"/>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P.1 (2)</v>
      </c>
      <c r="F4" s="744" t="str">
        <f t="shared" ref="F4:F9" ca="1" si="2">IF(D4="Pendiente","-",INDEX($BT$6:$BT$53,MATCH($AF4,$BD$6:$BD$53,0)))</f>
        <v>P.3 (2)</v>
      </c>
      <c r="G4" s="744"/>
      <c r="H4" s="744" t="str">
        <f t="shared" ref="H4:H9" ca="1" si="3">IF(D4="Pendiente","-",INDEX($BZ$6:$BZ$53,MATCH($AA4,$BD$6:$BD$53,0)))</f>
        <v>P.1 (2)</v>
      </c>
      <c r="I4" s="744" t="str">
        <f t="shared" ref="I4:I9" ca="1" si="4">IF(D4="Pendiente","-",INDEX($BZ$6:$BZ$53,MATCH($AF4,$BD$6:$BD$53,0)))</f>
        <v>P.3 (2)</v>
      </c>
      <c r="J4" s="744"/>
      <c r="K4" s="744" t="str">
        <f t="shared" ref="K4:K9" ca="1" si="5">IF(D4="Pendiente","-",INDEX($CE$6:$CE$53,MATCH($AA4,$BD$6:$BD$53,0)))</f>
        <v>P.1 (2)</v>
      </c>
      <c r="L4" s="744" t="str">
        <f t="shared" ref="L4:L9" ca="1" si="6">IF(D4="Pendiente","-",INDEX($CE$6:$CE$53,MATCH($AF4,$BD$6:$BD$53,0)))</f>
        <v>P.3 (2)</v>
      </c>
      <c r="M4" s="744"/>
      <c r="N4" s="744" t="str">
        <f t="shared" ref="N4:N9" ca="1" si="7">IF(D4="Pendiente","-",INDEX($CH$6:$CH$53,MATCH($AA4,$BD$6:$BD$53,0)))</f>
        <v>P.1 (2)</v>
      </c>
      <c r="O4" s="744" t="str">
        <f t="shared" ref="O4:O9" ca="1" si="8">IF(D4="Pendiente","-",INDEX($CH$6:$CH$53,MATCH($AF4,$BD$6:$BD$53,0)))</f>
        <v>P.3 (2)</v>
      </c>
      <c r="P4" s="744"/>
      <c r="Q4" s="744" t="str">
        <f t="shared" ref="Q4:Q9" ca="1" si="9">IF(D4="Pendiente","-",INDEX($CN$6:$CN$53,MATCH($AA4,$BD$6:$BD$53,0)))</f>
        <v>P.1 (2)</v>
      </c>
      <c r="R4" s="744" t="str">
        <f t="shared" ref="R4:R9" ca="1" si="10">IF(D4="Pendiente","-",INDEX($CN$6:$CN$53,MATCH($AF4,$BD$6:$BD$53,0)))</f>
        <v>P.3 (2)</v>
      </c>
      <c r="S4" s="744"/>
      <c r="T4" s="744" t="str">
        <f t="shared" ref="T4:T9" ca="1" si="11">IF(D4="Pendiente","-",INDEX($CS$6:$CS$53,MATCH($AA4,$BD$6:$BD$53,0)))</f>
        <v>P.1 (2)</v>
      </c>
      <c r="U4" s="744" t="str">
        <f t="shared" ref="U4:U9" ca="1" si="12">IF(D4="Pendiente","-",INDEX($CS$6:$CS$53,MATCH($AF4,$BD$6:$BD$53,0)))</f>
        <v>P.3 (2)</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P.1 (2)</v>
      </c>
      <c r="F5" s="744" t="str">
        <f t="shared" ca="1" si="2"/>
        <v>P.3 (2)</v>
      </c>
      <c r="G5" s="744"/>
      <c r="H5" s="744" t="str">
        <f t="shared" ca="1" si="3"/>
        <v>P.1 (2)</v>
      </c>
      <c r="I5" s="744" t="str">
        <f t="shared" ca="1" si="4"/>
        <v>P.3 (2)</v>
      </c>
      <c r="J5" s="744"/>
      <c r="K5" s="744" t="str">
        <f t="shared" ca="1" si="5"/>
        <v>P.1 (2)</v>
      </c>
      <c r="L5" s="744" t="str">
        <f t="shared" ca="1" si="6"/>
        <v>P.3 (2)</v>
      </c>
      <c r="M5" s="744"/>
      <c r="N5" s="744" t="str">
        <f t="shared" ca="1" si="7"/>
        <v>P.1 (2)</v>
      </c>
      <c r="O5" s="744" t="str">
        <f t="shared" ca="1" si="8"/>
        <v>P.3 (2)</v>
      </c>
      <c r="P5" s="744"/>
      <c r="Q5" s="744" t="str">
        <f t="shared" ca="1" si="9"/>
        <v>P.1 (2)</v>
      </c>
      <c r="R5" s="744" t="str">
        <f t="shared" ca="1" si="10"/>
        <v>P.3 (2)</v>
      </c>
      <c r="S5" s="744"/>
      <c r="T5" s="744" t="str">
        <f t="shared" ca="1" si="11"/>
        <v>P.1 (2)</v>
      </c>
      <c r="U5" s="744" t="str">
        <f t="shared" ca="1" si="12"/>
        <v>P.3 (2)</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3</v>
      </c>
      <c r="BF6" s="748">
        <f ca="1">+BG6+BH6+BI6</f>
        <v>1</v>
      </c>
      <c r="BG6" s="748">
        <f t="shared" ref="BG6:BG53" ca="1" si="17">+COUNTIFS(FGLocal,BD6,Ganador,"Local")+COUNTIFS(FGVisitante,BD6,Ganador,"Visitante")</f>
        <v>1</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2</v>
      </c>
      <c r="BK6" s="748">
        <f t="shared" ref="BK6:BK53" ca="1" si="21">+SUMIFS(FG_GolesLocal,FGVisitante,BD6,Ganador,"&lt;&gt;"&amp;"Pendiente",FG_GolesLocal,"&lt;&gt;"&amp;"",FG_GolesVisitante,"&lt;&gt;"&amp;"")+SUMIFS(FG_GolesVisitante,FGLocal,BD6,Ganador,"&lt;&gt;"&amp;"Pendiente",FG_GolesLocal,"&lt;&gt;"&amp;"",FG_GolesVisitante,"&lt;&gt;"&amp;"")</f>
        <v>0</v>
      </c>
      <c r="BL6" s="748">
        <f ca="1">+BJ6-BK6</f>
        <v>2</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3</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(2)</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(2)</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(2)</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(2)</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(2)</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(2)</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(2)</v>
      </c>
      <c r="CW6" s="757">
        <f ca="1">IF(CV6="-","-",BL6)</f>
        <v>2</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4</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826"/>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1</v>
      </c>
      <c r="BG7" s="748">
        <f t="shared" ca="1" si="17"/>
        <v>0</v>
      </c>
      <c r="BH7" s="748">
        <f t="shared" ca="1" si="18"/>
        <v>0</v>
      </c>
      <c r="BI7" s="748">
        <f t="shared" ca="1" si="19"/>
        <v>1</v>
      </c>
      <c r="BJ7" s="748">
        <f t="shared" ca="1" si="20"/>
        <v>0</v>
      </c>
      <c r="BK7" s="748">
        <f t="shared" ca="1" si="21"/>
        <v>2</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0</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0</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4</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1</v>
      </c>
      <c r="BG8" s="748">
        <f t="shared" ca="1" si="17"/>
        <v>1</v>
      </c>
      <c r="BH8" s="748">
        <f t="shared" ca="1" si="18"/>
        <v>0</v>
      </c>
      <c r="BI8" s="748">
        <f t="shared" ca="1" si="19"/>
        <v>0</v>
      </c>
      <c r="BJ8" s="748">
        <f t="shared" ca="1" si="20"/>
        <v>2</v>
      </c>
      <c r="BK8" s="748">
        <f t="shared" ca="1" si="21"/>
        <v>1</v>
      </c>
      <c r="BL8" s="748">
        <f t="shared" ca="1" si="27"/>
        <v>1</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(2)</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(2)</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(2)</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(2)</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(2)</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(2)</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(2)</v>
      </c>
      <c r="CW8" s="757">
        <f t="shared" ca="1" si="30"/>
        <v>1</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4</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2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1</v>
      </c>
      <c r="BG9" s="748">
        <f t="shared" ca="1" si="17"/>
        <v>0</v>
      </c>
      <c r="BH9" s="748">
        <f t="shared" ca="1" si="18"/>
        <v>0</v>
      </c>
      <c r="BI9" s="748">
        <f t="shared" ca="1" si="19"/>
        <v>1</v>
      </c>
      <c r="BJ9" s="748">
        <f t="shared" ca="1" si="20"/>
        <v>1</v>
      </c>
      <c r="BK9" s="748">
        <f t="shared" ca="1" si="21"/>
        <v>2</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0</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0</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4</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1</v>
      </c>
      <c r="BF10" s="748">
        <f t="shared" ca="1" si="26"/>
        <v>1</v>
      </c>
      <c r="BG10" s="748">
        <f t="shared" ca="1" si="17"/>
        <v>0</v>
      </c>
      <c r="BH10" s="748">
        <f t="shared" ca="1" si="18"/>
        <v>1</v>
      </c>
      <c r="BI10" s="748">
        <f t="shared" ca="1" si="19"/>
        <v>0</v>
      </c>
      <c r="BJ10" s="748">
        <f t="shared" ca="1" si="20"/>
        <v>1</v>
      </c>
      <c r="BK10" s="748">
        <f t="shared" ca="1" si="21"/>
        <v>1</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1</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1</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4</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1</v>
      </c>
      <c r="BG11" s="748">
        <f t="shared" ca="1" si="17"/>
        <v>0</v>
      </c>
      <c r="BH11" s="748">
        <f t="shared" ca="1" si="18"/>
        <v>1</v>
      </c>
      <c r="BI11" s="748">
        <f t="shared" ca="1" si="19"/>
        <v>0</v>
      </c>
      <c r="BJ11" s="748">
        <f t="shared" ca="1" si="20"/>
        <v>1</v>
      </c>
      <c r="BK11" s="748">
        <f t="shared" ca="1" si="21"/>
        <v>1</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1</v>
      </c>
      <c r="BW11" s="758">
        <f t="shared" ca="1" si="38"/>
        <v>0</v>
      </c>
      <c r="BX11" s="758">
        <f t="shared" ca="1" si="39"/>
        <v>1</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1</v>
      </c>
      <c r="CB11" s="758">
        <f t="shared" ca="1" si="41"/>
        <v>1</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1</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1</v>
      </c>
      <c r="CK11" s="758">
        <f t="shared" ca="1" si="46"/>
        <v>0</v>
      </c>
      <c r="CL11" s="758">
        <f t="shared" ca="1" si="47"/>
        <v>1</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1</v>
      </c>
      <c r="CP11" s="758">
        <f t="shared" ca="1" si="49"/>
        <v>1</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1</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1</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4</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(4)</v>
      </c>
      <c r="F12" s="744" t="str">
        <f t="shared" ref="F12:F17" ca="1" si="56">IF(D12="Pendiente","-",INDEX($BT$6:$BT$53,MATCH($AF12,$BD$6:$BD$53,0)))</f>
        <v>P.1 (4)</v>
      </c>
      <c r="G12" s="744"/>
      <c r="H12" s="744" t="str">
        <f t="shared" ref="H12:H17" ca="1" si="57">IF(D12="Pendiente","-",INDEX($BZ$6:$BZ$53,MATCH($AA12,$BD$6:$BD$53,0)))</f>
        <v>P.1 (4)</v>
      </c>
      <c r="I12" s="744" t="str">
        <f t="shared" ref="I12:I17" ca="1" si="58">IF(D12="Pendiente","-",INDEX($BZ$6:$BZ$53,MATCH($AF12,$BD$6:$BD$53,0)))</f>
        <v>P.1 (4)</v>
      </c>
      <c r="J12" s="744"/>
      <c r="K12" s="744" t="str">
        <f t="shared" ref="K12:K17" ca="1" si="59">IF(D12="Pendiente","-",INDEX($CE$6:$CE$53,MATCH($AA12,$BD$6:$BD$53,0)))</f>
        <v>P.1 (4)</v>
      </c>
      <c r="L12" s="744" t="str">
        <f t="shared" ref="L12:L17" ca="1" si="60">IF(D12="Pendiente","-",INDEX($CE$6:$CE$53,MATCH($AF12,$BD$6:$BD$53,0)))</f>
        <v>P.1 (4)</v>
      </c>
      <c r="M12" s="744"/>
      <c r="N12" s="744" t="str">
        <f t="shared" ref="N12:N17" ca="1" si="61">IF(D12="Pendiente","-",INDEX($CH$6:$CH$53,MATCH($AA12,$BD$6:$BD$53,0)))</f>
        <v>P.1 (4)</v>
      </c>
      <c r="O12" s="744" t="str">
        <f t="shared" ref="O12:O17" ca="1" si="62">IF(D12="Pendiente","-",INDEX($CH$6:$CH$53,MATCH($AF12,$BD$6:$BD$53,0)))</f>
        <v>P.1 (4)</v>
      </c>
      <c r="P12" s="744"/>
      <c r="Q12" s="744" t="str">
        <f t="shared" ref="Q12:Q17" ca="1" si="63">IF(D12="Pendiente","-",INDEX($CN$6:$CN$53,MATCH($AA12,$BD$6:$BD$53,0)))</f>
        <v>P.1 (4)</v>
      </c>
      <c r="R12" s="744" t="str">
        <f t="shared" ref="R12:R17" ca="1" si="64">IF(D12="Pendiente","-",INDEX($CN$6:$CN$53,MATCH($AF12,$BD$6:$BD$53,0)))</f>
        <v>P.1 (4)</v>
      </c>
      <c r="S12" s="744"/>
      <c r="T12" s="744" t="str">
        <f t="shared" ref="T12:T17" ca="1" si="65">IF(D12="Pendiente","-",INDEX($CS$6:$CS$53,MATCH($AA12,$BD$6:$BD$53,0)))</f>
        <v>P.1 (4)</v>
      </c>
      <c r="U12" s="744" t="str">
        <f t="shared" ref="U12:U17" ca="1" si="66">IF(D12="Pendiente","-",INDEX($CS$6:$CS$53,MATCH($AF12,$BD$6:$BD$53,0)))</f>
        <v>P.1 (4)</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1</v>
      </c>
      <c r="BG12" s="748">
        <f t="shared" ca="1" si="17"/>
        <v>0</v>
      </c>
      <c r="BH12" s="748">
        <f t="shared" ca="1" si="18"/>
        <v>1</v>
      </c>
      <c r="BI12" s="748">
        <f t="shared" ca="1" si="19"/>
        <v>0</v>
      </c>
      <c r="BJ12" s="748">
        <f t="shared" ca="1" si="20"/>
        <v>1</v>
      </c>
      <c r="BK12" s="748">
        <f t="shared" ca="1" si="21"/>
        <v>1</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1</v>
      </c>
      <c r="BW12" s="758">
        <f t="shared" ca="1" si="38"/>
        <v>0</v>
      </c>
      <c r="BX12" s="758">
        <f t="shared" ca="1" si="39"/>
        <v>1</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1</v>
      </c>
      <c r="CB12" s="758">
        <f t="shared" ca="1" si="41"/>
        <v>1</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1</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1</v>
      </c>
      <c r="CK12" s="758">
        <f t="shared" ca="1" si="46"/>
        <v>0</v>
      </c>
      <c r="CL12" s="758">
        <f t="shared" ca="1" si="47"/>
        <v>1</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1</v>
      </c>
      <c r="CP12" s="758">
        <f t="shared" ca="1" si="49"/>
        <v>1</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1</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1</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4</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P.1 (4)</v>
      </c>
      <c r="F13" s="744" t="str">
        <f t="shared" ca="1" si="56"/>
        <v>P.1 (4)</v>
      </c>
      <c r="G13" s="744"/>
      <c r="H13" s="744" t="str">
        <f t="shared" ca="1" si="57"/>
        <v>P.1 (4)</v>
      </c>
      <c r="I13" s="744" t="str">
        <f t="shared" ca="1" si="58"/>
        <v>P.1 (4)</v>
      </c>
      <c r="J13" s="744"/>
      <c r="K13" s="744" t="str">
        <f t="shared" ca="1" si="59"/>
        <v>P.1 (4)</v>
      </c>
      <c r="L13" s="744" t="str">
        <f t="shared" ca="1" si="60"/>
        <v>P.1 (4)</v>
      </c>
      <c r="M13" s="744"/>
      <c r="N13" s="744" t="str">
        <f t="shared" ca="1" si="61"/>
        <v>P.1 (4)</v>
      </c>
      <c r="O13" s="744" t="str">
        <f t="shared" ca="1" si="62"/>
        <v>P.1 (4)</v>
      </c>
      <c r="P13" s="744"/>
      <c r="Q13" s="744" t="str">
        <f t="shared" ca="1" si="63"/>
        <v>P.1 (4)</v>
      </c>
      <c r="R13" s="744" t="str">
        <f t="shared" ca="1" si="64"/>
        <v>P.1 (4)</v>
      </c>
      <c r="S13" s="744"/>
      <c r="T13" s="744" t="str">
        <f t="shared" ca="1" si="65"/>
        <v>P.1 (4)</v>
      </c>
      <c r="U13" s="744" t="str">
        <f t="shared" ca="1" si="66"/>
        <v>P.1 (4)</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1</v>
      </c>
      <c r="BF13" s="748">
        <f t="shared" ca="1" si="26"/>
        <v>1</v>
      </c>
      <c r="BG13" s="748">
        <f t="shared" ca="1" si="17"/>
        <v>0</v>
      </c>
      <c r="BH13" s="748">
        <f t="shared" ca="1" si="18"/>
        <v>1</v>
      </c>
      <c r="BI13" s="748">
        <f t="shared" ca="1" si="19"/>
        <v>0</v>
      </c>
      <c r="BJ13" s="748">
        <f t="shared" ca="1" si="20"/>
        <v>1</v>
      </c>
      <c r="BK13" s="748">
        <f t="shared" ca="1" si="21"/>
        <v>1</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1</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1</v>
      </c>
      <c r="BW13" s="758">
        <f t="shared" ca="1" si="38"/>
        <v>0</v>
      </c>
      <c r="BX13" s="758">
        <f t="shared" ca="1" si="39"/>
        <v>1</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1</v>
      </c>
      <c r="CB13" s="758">
        <f t="shared" ca="1" si="41"/>
        <v>1</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1</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1</v>
      </c>
      <c r="CK13" s="758">
        <f t="shared" ca="1" si="46"/>
        <v>0</v>
      </c>
      <c r="CL13" s="758">
        <f t="shared" ca="1" si="47"/>
        <v>1</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1</v>
      </c>
      <c r="CP13" s="758">
        <f t="shared" ca="1" si="49"/>
        <v>1</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1</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1</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4</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28"/>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1</v>
      </c>
      <c r="BF14" s="748">
        <f t="shared" ca="1" si="26"/>
        <v>1</v>
      </c>
      <c r="BG14" s="748">
        <f t="shared" ca="1" si="17"/>
        <v>0</v>
      </c>
      <c r="BH14" s="748">
        <f t="shared" ca="1" si="18"/>
        <v>1</v>
      </c>
      <c r="BI14" s="748">
        <f t="shared" ca="1" si="19"/>
        <v>0</v>
      </c>
      <c r="BJ14" s="748">
        <f t="shared" ca="1" si="20"/>
        <v>1</v>
      </c>
      <c r="BK14" s="748">
        <f t="shared" ca="1" si="21"/>
        <v>1</v>
      </c>
      <c r="BL14" s="748">
        <f t="shared" ca="1" si="27"/>
        <v>0</v>
      </c>
      <c r="BM14" s="748" t="str">
        <f t="shared" ca="1" si="22"/>
        <v>2C</v>
      </c>
      <c r="BN14" s="748" t="str">
        <f t="shared" ca="1" si="23"/>
        <v>2C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1</v>
      </c>
      <c r="BS14" s="757">
        <f ca="1">BP14+COUNTIFS($BQ$6:$BQ$53,BQ14,$BR$6:BR$53,"&gt;"&amp;BR14,$BC$6:$BC$53,INDEX(T_Equipos[Grupo],MATCH(BD14,T_Equipos[NombreEquipo],0)))</f>
        <v>2</v>
      </c>
      <c r="BT14" s="757" t="str">
        <f ca="1">IF(COUNTIFS($BS$6:$BS$53,BS14,$BC$6:$BC$53,INDEX(T_Equipos[Grupo],MATCH(BD14,T_Equipos[NombreEquipo],0)))=1,"-","P."&amp;BS14&amp;" ("&amp;COUNTIFS($BS$6:$BS$53,BS14,$BC$6:$BC$53,INDEX(T_Equipos[Grupo],MATCH(BD14,T_Equipos[NombreEquipo],0)))&amp;")")</f>
        <v>P.2 (2)</v>
      </c>
      <c r="BU14" s="758">
        <f t="shared" ca="1" si="36"/>
        <v>0</v>
      </c>
      <c r="BV14" s="758">
        <f t="shared" ca="1" si="37"/>
        <v>1</v>
      </c>
      <c r="BW14" s="758">
        <f t="shared" ca="1" si="38"/>
        <v>0</v>
      </c>
      <c r="BX14" s="758">
        <f t="shared" ca="1" si="39"/>
        <v>1</v>
      </c>
      <c r="BY14" s="758">
        <f ca="1">BS14+COUNTIFS($BT$6:$BT$53,BT14,$BX$6:BX$53,"&gt;"&amp;BX14,$BC$6:$BC$53,INDEX(T_Equipos[Grupo],MATCH(BD14,T_Equipos[NombreEquipo],0)))</f>
        <v>2</v>
      </c>
      <c r="BZ14" s="757" t="str">
        <f ca="1">IF(COUNTIFS($BY$6:$BY$53,BY14,$BC$6:$BC$53,INDEX(T_Equipos[Grupo],MATCH(BD14,T_Equipos[NombreEquipo],0)))=1,"-","P."&amp;BY14&amp;" ("&amp;COUNTIFS($BY$6:$BY$53,BY14,$BC$6:$BC$53,INDEX(T_Equipos[Grupo],MATCH(BD14,T_Equipos[NombreEquipo],0)))&amp;")")</f>
        <v>P.2 (2)</v>
      </c>
      <c r="CA14" s="758">
        <f t="shared" ca="1" si="40"/>
        <v>1</v>
      </c>
      <c r="CB14" s="758">
        <f t="shared" ca="1" si="41"/>
        <v>1</v>
      </c>
      <c r="CC14" s="758">
        <f t="shared" ca="1" si="42"/>
        <v>0</v>
      </c>
      <c r="CD14" s="758">
        <f ca="1">BY14+COUNTIFS($BZ$6:$BZ$53,BZ14,$CC$6:CC$53,"&gt;"&amp;CC14,$BC$6:$BC$53,INDEX(T_Equipos[Grupo],MATCH(BD14,T_Equipos[NombreEquipo],0)))</f>
        <v>2</v>
      </c>
      <c r="CE14" s="757" t="str">
        <f ca="1">IF(COUNTIFS($CD$6:$CD$53,CD14,$BC$6:$BC$53,INDEX(T_Equipos[Grupo],MATCH(BD14,T_Equipos[NombreEquipo],0)))=1,"-","P."&amp;CD14&amp;" ("&amp;COUNTIFS($CD$6:$CD$53,CD14,$BC$6:$BC$53,INDEX(T_Equipos[Grupo],MATCH(BD14,T_Equipos[NombreEquipo],0)))&amp;")")</f>
        <v>P.2 (2)</v>
      </c>
      <c r="CF14" s="758">
        <f t="shared" ca="1" si="43"/>
        <v>1</v>
      </c>
      <c r="CG14" s="758">
        <f ca="1">CD14+COUNTIFS($CE$6:$CE$53,CE14,$CF$6:CF$53,"&gt;"&amp;CF14,$BC$6:$BC$53,INDEX(T_Equipos[Grupo],MATCH(BD14,T_Equipos[NombreEquipo],0)))</f>
        <v>2</v>
      </c>
      <c r="CH14" s="757" t="str">
        <f ca="1">IF(COUNTIFS($CG$6:$CG$53,CG14,$BC$6:$BC$53,INDEX(T_Equipos[Grupo],MATCH(BD14,T_Equipos[NombreEquipo],0)))=1,"-","P."&amp;CG14&amp;" ("&amp;COUNTIFS($CG$6:$CG$53,CG14,$BC$6:$BC$53,INDEX(T_Equipos[Grupo],MATCH(BD14,T_Equipos[NombreEquipo],0)))&amp;")")</f>
        <v>P.2 (2)</v>
      </c>
      <c r="CI14" s="758">
        <f t="shared" ca="1" si="44"/>
        <v>0</v>
      </c>
      <c r="CJ14" s="758">
        <f t="shared" ca="1" si="45"/>
        <v>1</v>
      </c>
      <c r="CK14" s="758">
        <f t="shared" ca="1" si="46"/>
        <v>0</v>
      </c>
      <c r="CL14" s="758">
        <f t="shared" ca="1" si="47"/>
        <v>1</v>
      </c>
      <c r="CM14" s="758">
        <f ca="1">CG14+COUNTIFS($CH$6:$CH$53,CH14,$CL$6:CL$53,"&gt;"&amp;CL14,$BC$6:$BC$53,INDEX(T_Equipos[Grupo],MATCH(BD14,T_Equipos[NombreEquipo],0)))</f>
        <v>2</v>
      </c>
      <c r="CN14" s="757" t="str">
        <f ca="1">IF(COUNTIFS($CM$6:$CM$53,CM14,$BC$6:$BC$53,INDEX(T_Equipos[Grupo],MATCH(BD14,T_Equipos[NombreEquipo],0)))=1,"-","P."&amp;CM14&amp;" ("&amp;COUNTIFS($CM$6:$CM$53,CM14,$BC$6:$BC$53,INDEX(T_Equipos[Grupo],MATCH(BD14,T_Equipos[NombreEquipo],0)))&amp;")")</f>
        <v>P.2 (2)</v>
      </c>
      <c r="CO14" s="758">
        <f t="shared" ca="1" si="48"/>
        <v>1</v>
      </c>
      <c r="CP14" s="758">
        <f t="shared" ca="1" si="49"/>
        <v>1</v>
      </c>
      <c r="CQ14" s="758">
        <f t="shared" ca="1" si="50"/>
        <v>0</v>
      </c>
      <c r="CR14" s="758">
        <f ca="1">CM14+COUNTIFS($CN$6:$CN$53,CN14,$CQ$6:CQ$53,"&gt;"&amp;CQ14,$BC$6:$BC$53,INDEX(T_Equipos[Grupo],MATCH(BD14,T_Equipos[NombreEquipo],0)))</f>
        <v>2</v>
      </c>
      <c r="CS14" s="757" t="str">
        <f ca="1">IF(COUNTIFS($CR$6:$CR$53,CR14,$BC$6:$BC$53,INDEX(T_Equipos[Grupo],MATCH(BD14,T_Equipos[NombreEquipo],0)))=1,"-","P."&amp;CR14&amp;" ("&amp;COUNTIFS($CR$6:$CR$53,CR14,$BC$6:$BC$53,INDEX(T_Equipos[Grupo],MATCH(BD14,T_Equipos[NombreEquipo],0)))&amp;")")</f>
        <v>P.2 (2)</v>
      </c>
      <c r="CT14" s="758">
        <f t="shared" ca="1" si="51"/>
        <v>1</v>
      </c>
      <c r="CU14" s="758">
        <f ca="1">CR14+COUNTIFS($CS$6:$CS$53,CS14,$CT$6:CT$53,"&gt;"&amp;CT14,$BC$6:$BC$53,INDEX(T_Equipos[Grupo],MATCH(BD14,T_Equipos[NombreEquipo],0)))</f>
        <v>2</v>
      </c>
      <c r="CV14" s="757" t="str">
        <f ca="1">IF(COUNTIFS($CU$6:$CU$53,CU14,$BC$6:$BC$53,INDEX(T_Equipos[Grupo],MATCH(BD14,T_Equipos[NombreEquipo],0)))=1,"-","P."&amp;CU14&amp;" ("&amp;COUNTIFS($CU$6:$CU$53,CU14,$BC$6:$BC$53,INDEX(T_Equipos[Grupo],MATCH(BD14,T_Equipos[NombreEquipo],0)))&amp;")")</f>
        <v>P.2 (2)</v>
      </c>
      <c r="CW14" s="757">
        <f t="shared" ca="1" si="30"/>
        <v>0</v>
      </c>
      <c r="CX14" s="757">
        <f ca="1">CU14+COUNTIFS($CV$6:$CV$53,CV14,$CW$6:CW$53,"&gt;"&amp;CW14,$BC$6:$BC$53,INDEX(T_Equipos[Grupo],MATCH(BD14,T_Equipos[NombreEquipo],0)))</f>
        <v>2</v>
      </c>
      <c r="CY14" s="757" t="str">
        <f ca="1">IF(COUNTIFS($CX$6:$CX$53,CX14,$BC$6:$BC$53,INDEX(T_Equipos[Grupo],MATCH(BD14,T_Equipos[NombreEquipo],0)))=1,"-","P."&amp;CX14&amp;" ("&amp;COUNTIFS($CX$6:$CX$53,CX14,$BC$6:$BC$53,INDEX(T_Equipos[Grupo],MATCH(BD14,T_Equipos[NombreEquipo],0)))&amp;")")</f>
        <v>P.2 (2)</v>
      </c>
      <c r="CZ14" s="757">
        <f t="shared" ca="1" si="31"/>
        <v>1</v>
      </c>
      <c r="DA14" s="758">
        <f ca="1">CX14+COUNTIFS($CY$6:$CY$53,CY14,$CZ$6:CZ$53,"&gt;"&amp;CZ14,$BC$6:$BC$53,INDEX(T_Equipos[Grupo],MATCH(BD14,T_Equipos[NombreEquipo],0)))</f>
        <v>2</v>
      </c>
      <c r="DB14" s="757" t="str">
        <f ca="1">IF(COUNTIFS($DA$6:$DA$53,DA14,$BC$6:$BC$53,INDEX(T_Equipos[Grupo],MATCH(BD14,T_Equipos[NombreEquipo],0)))=1,"-","P."&amp;DA14&amp;" ("&amp;COUNTIFS($DA$6:$DA$53,DA14,$BC$6:$BC$53,INDEX(T_Equipos[Grupo],MATCH(BD14,T_Equipos[NombreEquipo],0)))&amp;")")</f>
        <v>P.2 (2)</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2</v>
      </c>
      <c r="DE14" s="756"/>
      <c r="DF14" s="756">
        <f t="shared" ca="1" si="52"/>
        <v>2</v>
      </c>
      <c r="DG14" s="756">
        <f ca="1">IF(DB14="-","-",COUNTIFS(DF$6:DF$53,"&lt;"&amp;DF14,$BC$6:$BC$53,INDEX(T_Equipos[Grupo],MATCH(BD14,T_Equipos[NombreEquipo],0))))</f>
        <v>1</v>
      </c>
      <c r="DH14" s="756">
        <f ca="1">DA14+COUNTIFS(DB$6:DB$53,DB14,DG$6:DG$53,"&lt;"&amp;DG14,$BC$6:$BC$53,INDEX(T_Equipos[Grupo],MATCH(BD14,T_Equipos[NombreEquipo],0)))</f>
        <v>2</v>
      </c>
      <c r="DI14" s="744"/>
      <c r="DJ14" s="744">
        <f t="shared" ca="1" si="53"/>
        <v>1</v>
      </c>
      <c r="DK14" s="744">
        <f t="shared" ca="1" si="24"/>
        <v>4</v>
      </c>
      <c r="DL14" s="744">
        <f t="shared" ca="1" si="33"/>
        <v>1</v>
      </c>
      <c r="DM14" s="738" t="str">
        <f t="shared" ca="1" si="34"/>
        <v>1.1</v>
      </c>
      <c r="DN14" s="744" cm="1">
        <f t="array" aca="1" ref="DN14" ca="1">OFFSET(Horarios!$P$3,DJ14-1,0,DL14,1)</f>
        <v>1</v>
      </c>
      <c r="DO14" s="744"/>
      <c r="DP14" s="744" t="s">
        <v>651</v>
      </c>
      <c r="DQ14" s="744" t="str">
        <f t="shared" ca="1" si="35"/>
        <v>Escocia</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28"/>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1</v>
      </c>
      <c r="BF15" s="748">
        <f t="shared" ca="1" si="26"/>
        <v>1</v>
      </c>
      <c r="BG15" s="748">
        <f t="shared" ca="1" si="17"/>
        <v>0</v>
      </c>
      <c r="BH15" s="748">
        <f t="shared" ca="1" si="18"/>
        <v>1</v>
      </c>
      <c r="BI15" s="748">
        <f t="shared" ca="1" si="19"/>
        <v>0</v>
      </c>
      <c r="BJ15" s="748">
        <f t="shared" ca="1" si="20"/>
        <v>1</v>
      </c>
      <c r="BK15" s="748">
        <f t="shared" ca="1" si="21"/>
        <v>1</v>
      </c>
      <c r="BL15" s="748">
        <f t="shared" ca="1" si="27"/>
        <v>0</v>
      </c>
      <c r="BM15" s="748" t="str">
        <f t="shared" ca="1" si="22"/>
        <v>3C</v>
      </c>
      <c r="BN15" s="748" t="str">
        <f t="shared" ca="1" si="23"/>
        <v>3C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1</v>
      </c>
      <c r="BS15" s="757">
        <f ca="1">BP15+COUNTIFS($BQ$6:$BQ$53,BQ15,$BR$6:BR$53,"&gt;"&amp;BR15,$BC$6:$BC$53,INDEX(T_Equipos[Grupo],MATCH(BD15,T_Equipos[NombreEquipo],0)))</f>
        <v>2</v>
      </c>
      <c r="BT15" s="757" t="str">
        <f ca="1">IF(COUNTIFS($BS$6:$BS$53,BS15,$BC$6:$BC$53,INDEX(T_Equipos[Grupo],MATCH(BD15,T_Equipos[NombreEquipo],0)))=1,"-","P."&amp;BS15&amp;" ("&amp;COUNTIFS($BS$6:$BS$53,BS15,$BC$6:$BC$53,INDEX(T_Equipos[Grupo],MATCH(BD15,T_Equipos[NombreEquipo],0)))&amp;")")</f>
        <v>P.2 (2)</v>
      </c>
      <c r="BU15" s="758">
        <f t="shared" ca="1" si="36"/>
        <v>0</v>
      </c>
      <c r="BV15" s="758">
        <f t="shared" ca="1" si="37"/>
        <v>1</v>
      </c>
      <c r="BW15" s="758">
        <f t="shared" ca="1" si="38"/>
        <v>0</v>
      </c>
      <c r="BX15" s="758">
        <f t="shared" ca="1" si="39"/>
        <v>1</v>
      </c>
      <c r="BY15" s="758">
        <f ca="1">BS15+COUNTIFS($BT$6:$BT$53,BT15,$BX$6:BX$53,"&gt;"&amp;BX15,$BC$6:$BC$53,INDEX(T_Equipos[Grupo],MATCH(BD15,T_Equipos[NombreEquipo],0)))</f>
        <v>2</v>
      </c>
      <c r="BZ15" s="757" t="str">
        <f ca="1">IF(COUNTIFS($BY$6:$BY$53,BY15,$BC$6:$BC$53,INDEX(T_Equipos[Grupo],MATCH(BD15,T_Equipos[NombreEquipo],0)))=1,"-","P."&amp;BY15&amp;" ("&amp;COUNTIFS($BY$6:$BY$53,BY15,$BC$6:$BC$53,INDEX(T_Equipos[Grupo],MATCH(BD15,T_Equipos[NombreEquipo],0)))&amp;")")</f>
        <v>P.2 (2)</v>
      </c>
      <c r="CA15" s="758">
        <f t="shared" ca="1" si="40"/>
        <v>1</v>
      </c>
      <c r="CB15" s="758">
        <f t="shared" ca="1" si="41"/>
        <v>1</v>
      </c>
      <c r="CC15" s="758">
        <f t="shared" ca="1" si="42"/>
        <v>0</v>
      </c>
      <c r="CD15" s="758">
        <f ca="1">BY15+COUNTIFS($BZ$6:$BZ$53,BZ15,$CC$6:CC$53,"&gt;"&amp;CC15,$BC$6:$BC$53,INDEX(T_Equipos[Grupo],MATCH(BD15,T_Equipos[NombreEquipo],0)))</f>
        <v>2</v>
      </c>
      <c r="CE15" s="757" t="str">
        <f ca="1">IF(COUNTIFS($CD$6:$CD$53,CD15,$BC$6:$BC$53,INDEX(T_Equipos[Grupo],MATCH(BD15,T_Equipos[NombreEquipo],0)))=1,"-","P."&amp;CD15&amp;" ("&amp;COUNTIFS($CD$6:$CD$53,CD15,$BC$6:$BC$53,INDEX(T_Equipos[Grupo],MATCH(BD15,T_Equipos[NombreEquipo],0)))&amp;")")</f>
        <v>P.2 (2)</v>
      </c>
      <c r="CF15" s="758">
        <f t="shared" ca="1" si="43"/>
        <v>1</v>
      </c>
      <c r="CG15" s="758">
        <f ca="1">CD15+COUNTIFS($CE$6:$CE$53,CE15,$CF$6:CF$53,"&gt;"&amp;CF15,$BC$6:$BC$53,INDEX(T_Equipos[Grupo],MATCH(BD15,T_Equipos[NombreEquipo],0)))</f>
        <v>2</v>
      </c>
      <c r="CH15" s="757" t="str">
        <f ca="1">IF(COUNTIFS($CG$6:$CG$53,CG15,$BC$6:$BC$53,INDEX(T_Equipos[Grupo],MATCH(BD15,T_Equipos[NombreEquipo],0)))=1,"-","P."&amp;CG15&amp;" ("&amp;COUNTIFS($CG$6:$CG$53,CG15,$BC$6:$BC$53,INDEX(T_Equipos[Grupo],MATCH(BD15,T_Equipos[NombreEquipo],0)))&amp;")")</f>
        <v>P.2 (2)</v>
      </c>
      <c r="CI15" s="758">
        <f t="shared" ca="1" si="44"/>
        <v>0</v>
      </c>
      <c r="CJ15" s="758">
        <f t="shared" ca="1" si="45"/>
        <v>1</v>
      </c>
      <c r="CK15" s="758">
        <f t="shared" ca="1" si="46"/>
        <v>0</v>
      </c>
      <c r="CL15" s="758">
        <f t="shared" ca="1" si="47"/>
        <v>1</v>
      </c>
      <c r="CM15" s="758">
        <f ca="1">CG15+COUNTIFS($CH$6:$CH$53,CH15,$CL$6:CL$53,"&gt;"&amp;CL15,$BC$6:$BC$53,INDEX(T_Equipos[Grupo],MATCH(BD15,T_Equipos[NombreEquipo],0)))</f>
        <v>2</v>
      </c>
      <c r="CN15" s="757" t="str">
        <f ca="1">IF(COUNTIFS($CM$6:$CM$53,CM15,$BC$6:$BC$53,INDEX(T_Equipos[Grupo],MATCH(BD15,T_Equipos[NombreEquipo],0)))=1,"-","P."&amp;CM15&amp;" ("&amp;COUNTIFS($CM$6:$CM$53,CM15,$BC$6:$BC$53,INDEX(T_Equipos[Grupo],MATCH(BD15,T_Equipos[NombreEquipo],0)))&amp;")")</f>
        <v>P.2 (2)</v>
      </c>
      <c r="CO15" s="758">
        <f t="shared" ca="1" si="48"/>
        <v>1</v>
      </c>
      <c r="CP15" s="758">
        <f t="shared" ca="1" si="49"/>
        <v>1</v>
      </c>
      <c r="CQ15" s="758">
        <f t="shared" ca="1" si="50"/>
        <v>0</v>
      </c>
      <c r="CR15" s="758">
        <f ca="1">CM15+COUNTIFS($CN$6:$CN$53,CN15,$CQ$6:CQ$53,"&gt;"&amp;CQ15,$BC$6:$BC$53,INDEX(T_Equipos[Grupo],MATCH(BD15,T_Equipos[NombreEquipo],0)))</f>
        <v>2</v>
      </c>
      <c r="CS15" s="757" t="str">
        <f ca="1">IF(COUNTIFS($CR$6:$CR$53,CR15,$BC$6:$BC$53,INDEX(T_Equipos[Grupo],MATCH(BD15,T_Equipos[NombreEquipo],0)))=1,"-","P."&amp;CR15&amp;" ("&amp;COUNTIFS($CR$6:$CR$53,CR15,$BC$6:$BC$53,INDEX(T_Equipos[Grupo],MATCH(BD15,T_Equipos[NombreEquipo],0)))&amp;")")</f>
        <v>P.2 (2)</v>
      </c>
      <c r="CT15" s="758">
        <f t="shared" ca="1" si="51"/>
        <v>1</v>
      </c>
      <c r="CU15" s="758">
        <f ca="1">CR15+COUNTIFS($CS$6:$CS$53,CS15,$CT$6:CT$53,"&gt;"&amp;CT15,$BC$6:$BC$53,INDEX(T_Equipos[Grupo],MATCH(BD15,T_Equipos[NombreEquipo],0)))</f>
        <v>2</v>
      </c>
      <c r="CV15" s="757" t="str">
        <f ca="1">IF(COUNTIFS($CU$6:$CU$53,CU15,$BC$6:$BC$53,INDEX(T_Equipos[Grupo],MATCH(BD15,T_Equipos[NombreEquipo],0)))=1,"-","P."&amp;CU15&amp;" ("&amp;COUNTIFS($CU$6:$CU$53,CU15,$BC$6:$BC$53,INDEX(T_Equipos[Grupo],MATCH(BD15,T_Equipos[NombreEquipo],0)))&amp;")")</f>
        <v>P.2 (2)</v>
      </c>
      <c r="CW15" s="757">
        <f t="shared" ca="1" si="30"/>
        <v>0</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P.2 (2)</v>
      </c>
      <c r="CZ15" s="757">
        <f t="shared" ca="1" si="31"/>
        <v>1</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P.2 (2)</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3</v>
      </c>
      <c r="DE15" s="756"/>
      <c r="DF15" s="756">
        <f t="shared" ca="1" si="52"/>
        <v>3</v>
      </c>
      <c r="DG15" s="756">
        <f ca="1">IF(DB15="-","-",COUNTIFS(DF$6:DF$53,"&lt;"&amp;DF15,$BC$6:$BC$53,INDEX(T_Equipos[Grupo],MATCH(BD15,T_Equipos[NombreEquipo],0))))</f>
        <v>2</v>
      </c>
      <c r="DH15" s="756">
        <f ca="1">DA15+COUNTIFS(DB$6:DB$53,DB15,DG$6:DG$53,"&lt;"&amp;DG15,$BC$6:$BC$53,INDEX(T_Equipos[Grupo],MATCH(BD15,T_Equipos[NombreEquipo],0)))</f>
        <v>3</v>
      </c>
      <c r="DI15" s="744"/>
      <c r="DJ15" s="744">
        <f t="shared" ca="1" si="53"/>
        <v>2</v>
      </c>
      <c r="DK15" s="744">
        <f t="shared" ca="1" si="24"/>
        <v>4</v>
      </c>
      <c r="DL15" s="744">
        <f t="shared" ca="1" si="33"/>
        <v>1</v>
      </c>
      <c r="DM15" s="738" t="str">
        <f t="shared" ca="1" si="34"/>
        <v>2.1</v>
      </c>
      <c r="DN15" s="744" cm="1">
        <f t="array" aca="1" ref="DN15" ca="1">OFFSET(Horarios!$P$3,DJ15-1,0,DL15,1)</f>
        <v>2</v>
      </c>
      <c r="DO15" s="744"/>
      <c r="DP15" s="744" t="s">
        <v>656</v>
      </c>
      <c r="DQ15" s="744" t="str">
        <f t="shared" ca="1" si="35"/>
        <v>Brasil</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2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1</v>
      </c>
      <c r="BG16" s="748">
        <f t="shared" ca="1" si="17"/>
        <v>0</v>
      </c>
      <c r="BH16" s="748">
        <f t="shared" ca="1" si="18"/>
        <v>0</v>
      </c>
      <c r="BI16" s="748">
        <f t="shared" ca="1" si="19"/>
        <v>1</v>
      </c>
      <c r="BJ16" s="748">
        <f t="shared" ca="1" si="20"/>
        <v>0</v>
      </c>
      <c r="BK16" s="748">
        <f t="shared" ca="1" si="21"/>
        <v>1</v>
      </c>
      <c r="BL16" s="748">
        <f t="shared" ca="1" si="27"/>
        <v>-1</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2</v>
      </c>
      <c r="DK16" s="744">
        <f t="shared" ca="1" si="24"/>
        <v>4</v>
      </c>
      <c r="DL16" s="744">
        <f t="shared" ca="1" si="33"/>
        <v>1</v>
      </c>
      <c r="DM16" s="738" t="str">
        <f t="shared" ca="1" si="34"/>
        <v>2.1</v>
      </c>
      <c r="DN16" s="744" cm="1">
        <f t="array" aca="1" ref="DN16" ca="1">OFFSET(Horarios!$P$3,DJ16-1,0,DL16,1)</f>
        <v>2</v>
      </c>
      <c r="DO16" s="744"/>
      <c r="DP16" s="744" t="s">
        <v>91</v>
      </c>
      <c r="DQ16" s="744" t="str">
        <f t="shared" ca="1" si="35"/>
        <v>Marruecos</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1</v>
      </c>
      <c r="BG17" s="748">
        <f t="shared" ca="1" si="17"/>
        <v>1</v>
      </c>
      <c r="BH17" s="748">
        <f t="shared" ca="1" si="18"/>
        <v>0</v>
      </c>
      <c r="BI17" s="748">
        <f t="shared" ca="1" si="19"/>
        <v>0</v>
      </c>
      <c r="BJ17" s="748">
        <f t="shared" ca="1" si="20"/>
        <v>1</v>
      </c>
      <c r="BK17" s="748">
        <f t="shared" ca="1" si="21"/>
        <v>0</v>
      </c>
      <c r="BL17" s="748">
        <f t="shared" ca="1" si="27"/>
        <v>1</v>
      </c>
      <c r="BM17" s="748" t="str">
        <f t="shared" ca="1" si="22"/>
        <v>1C</v>
      </c>
      <c r="BN17" s="748" t="str">
        <f t="shared" ca="1" si="23"/>
        <v>1C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1</v>
      </c>
      <c r="DE17" s="756"/>
      <c r="DF17" s="756">
        <f t="shared" ca="1" si="52"/>
        <v>1</v>
      </c>
      <c r="DG17" s="756" t="str">
        <f ca="1">IF(DB17="-","-",COUNTIFS(DF$6:DF$53,"&lt;"&amp;DF17,$BC$6:$BC$53,INDEX(T_Equipos[Grupo],MATCH(BD17,T_Equipos[NombreEquipo],0))))</f>
        <v>-</v>
      </c>
      <c r="DH17" s="756">
        <f ca="1">DA17+COUNTIFS(DB$6:DB$53,DB17,DG$6:DG$53,"&lt;"&amp;DG17,$BC$6:$BC$53,INDEX(T_Equipos[Grupo],MATCH(BD17,T_Equipos[NombreEquipo],0)))</f>
        <v>1</v>
      </c>
      <c r="DI17" s="744"/>
      <c r="DJ17" s="744">
        <f t="shared" ca="1" si="53"/>
        <v>4</v>
      </c>
      <c r="DK17" s="744">
        <f t="shared" ca="1" si="24"/>
        <v>4</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(2)</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(2)</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(2)</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(2)</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(2)</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(2)</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(2)</v>
      </c>
      <c r="CW18" s="757">
        <f t="shared" ca="1" si="30"/>
        <v>3</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4</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3</v>
      </c>
      <c r="BT19" s="757" t="str">
        <f ca="1">IF(COUNTIFS($BS$6:$BS$53,BS19,$BC$6:$BC$53,INDEX(T_Equipos[Grupo],MATCH(BD19,T_Equipos[NombreEquipo],0)))=1,"-","P."&amp;BS19&amp;" ("&amp;COUNTIFS($BS$6:$BS$53,BS19,$BC$6:$BC$53,INDEX(T_Equipos[Grupo],MATCH(BD19,T_Equipos[NombreEquipo],0)))&amp;")")</f>
        <v>P.3 (2)</v>
      </c>
      <c r="BU19" s="758">
        <f t="shared" ca="1" si="36"/>
        <v>0</v>
      </c>
      <c r="BV19" s="758">
        <f t="shared" ca="1" si="37"/>
        <v>0</v>
      </c>
      <c r="BW19" s="758">
        <f t="shared" ca="1" si="38"/>
        <v>0</v>
      </c>
      <c r="BX19" s="758">
        <f t="shared" ca="1" si="39"/>
        <v>0</v>
      </c>
      <c r="BY19" s="758">
        <f ca="1">BS19+COUNTIFS($BT$6:$BT$53,BT19,$BX$6:BX$53,"&gt;"&amp;BX19,$BC$6:$BC$53,INDEX(T_Equipos[Grupo],MATCH(BD19,T_Equipos[NombreEquipo],0)))</f>
        <v>3</v>
      </c>
      <c r="BZ19" s="757" t="str">
        <f ca="1">IF(COUNTIFS($BY$6:$BY$53,BY19,$BC$6:$BC$53,INDEX(T_Equipos[Grupo],MATCH(BD19,T_Equipos[NombreEquipo],0)))=1,"-","P."&amp;BY19&amp;" ("&amp;COUNTIFS($BY$6:$BY$53,BY19,$BC$6:$BC$53,INDEX(T_Equipos[Grupo],MATCH(BD19,T_Equipos[NombreEquipo],0)))&amp;")")</f>
        <v>P.3 (2)</v>
      </c>
      <c r="CA19" s="758">
        <f t="shared" ca="1" si="40"/>
        <v>0</v>
      </c>
      <c r="CB19" s="758">
        <f t="shared" ca="1" si="41"/>
        <v>0</v>
      </c>
      <c r="CC19" s="758">
        <f t="shared" ca="1" si="42"/>
        <v>0</v>
      </c>
      <c r="CD19" s="758">
        <f ca="1">BY19+COUNTIFS($BZ$6:$BZ$53,BZ19,$CC$6:CC$53,"&gt;"&amp;CC19,$BC$6:$BC$53,INDEX(T_Equipos[Grupo],MATCH(BD19,T_Equipos[NombreEquipo],0)))</f>
        <v>3</v>
      </c>
      <c r="CE19" s="757" t="str">
        <f ca="1">IF(COUNTIFS($CD$6:$CD$53,CD19,$BC$6:$BC$53,INDEX(T_Equipos[Grupo],MATCH(BD19,T_Equipos[NombreEquipo],0)))=1,"-","P."&amp;CD19&amp;" ("&amp;COUNTIFS($CD$6:$CD$53,CD19,$BC$6:$BC$53,INDEX(T_Equipos[Grupo],MATCH(BD19,T_Equipos[NombreEquipo],0)))&amp;")")</f>
        <v>P.3 (2)</v>
      </c>
      <c r="CF19" s="758">
        <f t="shared" ca="1" si="43"/>
        <v>0</v>
      </c>
      <c r="CG19" s="758">
        <f ca="1">CD19+COUNTIFS($CE$6:$CE$53,CE19,$CF$6:CF$53,"&gt;"&amp;CF19,$BC$6:$BC$53,INDEX(T_Equipos[Grupo],MATCH(BD19,T_Equipos[NombreEquipo],0)))</f>
        <v>3</v>
      </c>
      <c r="CH19" s="757" t="str">
        <f ca="1">IF(COUNTIFS($CG$6:$CG$53,CG19,$BC$6:$BC$53,INDEX(T_Equipos[Grupo],MATCH(BD19,T_Equipos[NombreEquipo],0)))=1,"-","P."&amp;CG19&amp;" ("&amp;COUNTIFS($CG$6:$CG$53,CG19,$BC$6:$BC$53,INDEX(T_Equipos[Grupo],MATCH(BD19,T_Equipos[NombreEquipo],0)))&amp;")")</f>
        <v>P.3 (2)</v>
      </c>
      <c r="CI19" s="758">
        <f t="shared" ca="1" si="44"/>
        <v>0</v>
      </c>
      <c r="CJ19" s="758">
        <f t="shared" ca="1" si="45"/>
        <v>0</v>
      </c>
      <c r="CK19" s="758">
        <f t="shared" ca="1" si="46"/>
        <v>0</v>
      </c>
      <c r="CL19" s="758">
        <f t="shared" ca="1" si="47"/>
        <v>0</v>
      </c>
      <c r="CM19" s="758">
        <f ca="1">CG19+COUNTIFS($CH$6:$CH$53,CH19,$CL$6:CL$53,"&gt;"&amp;CL19,$BC$6:$BC$53,INDEX(T_Equipos[Grupo],MATCH(BD19,T_Equipos[NombreEquipo],0)))</f>
        <v>3</v>
      </c>
      <c r="CN19" s="757" t="str">
        <f ca="1">IF(COUNTIFS($CM$6:$CM$53,CM19,$BC$6:$BC$53,INDEX(T_Equipos[Grupo],MATCH(BD19,T_Equipos[NombreEquipo],0)))=1,"-","P."&amp;CM19&amp;" ("&amp;COUNTIFS($CM$6:$CM$53,CM19,$BC$6:$BC$53,INDEX(T_Equipos[Grupo],MATCH(BD19,T_Equipos[NombreEquipo],0)))&amp;")")</f>
        <v>P.3 (2)</v>
      </c>
      <c r="CO19" s="758">
        <f t="shared" ca="1" si="48"/>
        <v>0</v>
      </c>
      <c r="CP19" s="758">
        <f t="shared" ca="1" si="49"/>
        <v>0</v>
      </c>
      <c r="CQ19" s="758">
        <f t="shared" ca="1" si="50"/>
        <v>0</v>
      </c>
      <c r="CR19" s="758">
        <f ca="1">CM19+COUNTIFS($CN$6:$CN$53,CN19,$CQ$6:CQ$53,"&gt;"&amp;CQ19,$BC$6:$BC$53,INDEX(T_Equipos[Grupo],MATCH(BD19,T_Equipos[NombreEquipo],0)))</f>
        <v>3</v>
      </c>
      <c r="CS19" s="757" t="str">
        <f ca="1">IF(COUNTIFS($CR$6:$CR$53,CR19,$BC$6:$BC$53,INDEX(T_Equipos[Grupo],MATCH(BD19,T_Equipos[NombreEquipo],0)))=1,"-","P."&amp;CR19&amp;" ("&amp;COUNTIFS($CR$6:$CR$53,CR19,$BC$6:$BC$53,INDEX(T_Equipos[Grupo],MATCH(BD19,T_Equipos[NombreEquipo],0)))&amp;")")</f>
        <v>P.3 (2)</v>
      </c>
      <c r="CT19" s="758">
        <f t="shared" ca="1" si="51"/>
        <v>0</v>
      </c>
      <c r="CU19" s="758">
        <f ca="1">CR19+COUNTIFS($CS$6:$CS$53,CS19,$CT$6:CT$53,"&gt;"&amp;CT19,$BC$6:$BC$53,INDEX(T_Equipos[Grupo],MATCH(BD19,T_Equipos[NombreEquipo],0)))</f>
        <v>3</v>
      </c>
      <c r="CV19" s="757" t="str">
        <f ca="1">IF(COUNTIFS($CU$6:$CU$53,CU19,$BC$6:$BC$53,INDEX(T_Equipos[Grupo],MATCH(BD19,T_Equipos[NombreEquipo],0)))=1,"-","P."&amp;CU19&amp;" ("&amp;COUNTIFS($CU$6:$CU$53,CU19,$BC$6:$BC$53,INDEX(T_Equipos[Grupo],MATCH(BD19,T_Equipos[NombreEquipo],0)))&amp;")")</f>
        <v>P.3 (2)</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4</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P.2 (2)</v>
      </c>
      <c r="F20" s="744" t="str">
        <f t="shared" ref="F20:F25" ca="1" si="75">IF(D20="Pendiente","-",INDEX($BT$6:$BT$53,MATCH($AF20,$BD$6:$BD$53,0)))</f>
        <v>P.2 (2)</v>
      </c>
      <c r="G20" s="744"/>
      <c r="H20" s="744" t="str">
        <f t="shared" ref="H20:H25" ca="1" si="76">IF(D20="Pendiente","-",INDEX($BZ$6:$BZ$53,MATCH($AA20,$BD$6:$BD$53,0)))</f>
        <v>P.2 (2)</v>
      </c>
      <c r="I20" s="744" t="str">
        <f t="shared" ref="I20:I25" ca="1" si="77">IF(D20="Pendiente","-",INDEX($BZ$6:$BZ$53,MATCH($AF20,$BD$6:$BD$53,0)))</f>
        <v>P.2 (2)</v>
      </c>
      <c r="J20" s="744"/>
      <c r="K20" s="744" t="str">
        <f t="shared" ref="K20:K25" ca="1" si="78">IF(D20="Pendiente","-",INDEX($CE$6:$CE$53,MATCH($AA20,$BD$6:$BD$53,0)))</f>
        <v>P.2 (2)</v>
      </c>
      <c r="L20" s="744" t="str">
        <f t="shared" ref="L20:L25" ca="1" si="79">IF(D20="Pendiente","-",INDEX($CE$6:$CE$53,MATCH($AF20,$BD$6:$BD$53,0)))</f>
        <v>P.2 (2)</v>
      </c>
      <c r="M20" s="744"/>
      <c r="N20" s="744" t="str">
        <f t="shared" ref="N20:N25" ca="1" si="80">IF(D20="Pendiente","-",INDEX($CH$6:$CH$53,MATCH($AA20,$BD$6:$BD$53,0)))</f>
        <v>P.2 (2)</v>
      </c>
      <c r="O20" s="744" t="str">
        <f t="shared" ref="O20:O25" ca="1" si="81">IF(D20="Pendiente","-",INDEX($CH$6:$CH$53,MATCH($AF20,$BD$6:$BD$53,0)))</f>
        <v>P.2 (2)</v>
      </c>
      <c r="P20" s="744"/>
      <c r="Q20" s="744" t="str">
        <f t="shared" ref="Q20:Q25" ca="1" si="82">IF(D20="Pendiente","-",INDEX($CN$6:$CN$53,MATCH($AA20,$BD$6:$BD$53,0)))</f>
        <v>P.2 (2)</v>
      </c>
      <c r="R20" s="744" t="str">
        <f t="shared" ref="R20:R25" ca="1" si="83">IF(D20="Pendiente","-",INDEX($CN$6:$CN$53,MATCH($AF20,$BD$6:$BD$53,0)))</f>
        <v>P.2 (2)</v>
      </c>
      <c r="S20" s="744"/>
      <c r="T20" s="744" t="str">
        <f t="shared" ref="T20:T25" ca="1" si="84">IF(D20="Pendiente","-",INDEX($CS$6:$CS$53,MATCH($AA20,$BD$6:$BD$53,0)))</f>
        <v>P.2 (2)</v>
      </c>
      <c r="U20" s="744" t="str">
        <f t="shared" ref="U20:U25" ca="1" si="85">IF(D20="Pendiente","-",INDEX($CS$6:$CS$53,MATCH($AF20,$BD$6:$BD$53,0)))</f>
        <v>P.2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1</v>
      </c>
      <c r="BG20" s="748">
        <f t="shared" ca="1" si="17"/>
        <v>1</v>
      </c>
      <c r="BH20" s="748">
        <f t="shared" ca="1" si="18"/>
        <v>0</v>
      </c>
      <c r="BI20" s="748">
        <f t="shared" ca="1" si="19"/>
        <v>0</v>
      </c>
      <c r="BJ20" s="748">
        <f t="shared" ca="1" si="20"/>
        <v>2</v>
      </c>
      <c r="BK20" s="748">
        <f t="shared" ca="1" si="21"/>
        <v>0</v>
      </c>
      <c r="BL20" s="748">
        <f t="shared" ca="1" si="27"/>
        <v>2</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(2)</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(2)</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(2)</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(2)</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(2)</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(2)</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(2)</v>
      </c>
      <c r="CW20" s="757">
        <f t="shared" ca="1" si="30"/>
        <v>2</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4</v>
      </c>
      <c r="DL20" s="744">
        <f t="shared" ca="1" si="33"/>
        <v>1</v>
      </c>
      <c r="DM20" s="738" t="str">
        <f t="shared" ca="1" si="34"/>
        <v>3.1</v>
      </c>
      <c r="DN20" s="744" cm="1">
        <f t="array" aca="1" ref="DN20" ca="1">OFFSET(Horarios!$P$3,DJ20-1,0,DL20,1)</f>
        <v>3</v>
      </c>
      <c r="DO20" s="744"/>
      <c r="DP20" s="744" t="s">
        <v>92</v>
      </c>
      <c r="DQ20" s="744" t="str">
        <f t="shared" ca="1" si="35"/>
        <v>Turquía</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1</v>
      </c>
      <c r="BG21" s="748">
        <f t="shared" ca="1" si="17"/>
        <v>0</v>
      </c>
      <c r="BH21" s="748">
        <f t="shared" ca="1" si="18"/>
        <v>0</v>
      </c>
      <c r="BI21" s="748">
        <f t="shared" ca="1" si="19"/>
        <v>1</v>
      </c>
      <c r="BJ21" s="748">
        <f t="shared" ca="1" si="20"/>
        <v>0</v>
      </c>
      <c r="BK21" s="748">
        <f t="shared" ca="1" si="21"/>
        <v>2</v>
      </c>
      <c r="BL21" s="748">
        <f t="shared" ca="1" si="27"/>
        <v>-2</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3</v>
      </c>
      <c r="BT21" s="757" t="str">
        <f ca="1">IF(COUNTIFS($BS$6:$BS$53,BS21,$BC$6:$BC$53,INDEX(T_Equipos[Grupo],MATCH(BD21,T_Equipos[NombreEquipo],0)))=1,"-","P."&amp;BS21&amp;" ("&amp;COUNTIFS($BS$6:$BS$53,BS21,$BC$6:$BC$53,INDEX(T_Equipos[Grupo],MATCH(BD21,T_Equipos[NombreEquipo],0)))&amp;")")</f>
        <v>P.3 (2)</v>
      </c>
      <c r="BU21" s="758">
        <f t="shared" ca="1" si="36"/>
        <v>0</v>
      </c>
      <c r="BV21" s="758">
        <f t="shared" ca="1" si="37"/>
        <v>0</v>
      </c>
      <c r="BW21" s="758">
        <f t="shared" ca="1" si="38"/>
        <v>0</v>
      </c>
      <c r="BX21" s="758">
        <f t="shared" ca="1" si="39"/>
        <v>0</v>
      </c>
      <c r="BY21" s="758">
        <f ca="1">BS21+COUNTIFS($BT$6:$BT$53,BT21,$BX$6:BX$53,"&gt;"&amp;BX21,$BC$6:$BC$53,INDEX(T_Equipos[Grupo],MATCH(BD21,T_Equipos[NombreEquipo],0)))</f>
        <v>3</v>
      </c>
      <c r="BZ21" s="757" t="str">
        <f ca="1">IF(COUNTIFS($BY$6:$BY$53,BY21,$BC$6:$BC$53,INDEX(T_Equipos[Grupo],MATCH(BD21,T_Equipos[NombreEquipo],0)))=1,"-","P."&amp;BY21&amp;" ("&amp;COUNTIFS($BY$6:$BY$53,BY21,$BC$6:$BC$53,INDEX(T_Equipos[Grupo],MATCH(BD21,T_Equipos[NombreEquipo],0)))&amp;")")</f>
        <v>P.3 (2)</v>
      </c>
      <c r="CA21" s="758">
        <f t="shared" ca="1" si="40"/>
        <v>0</v>
      </c>
      <c r="CB21" s="758">
        <f t="shared" ca="1" si="41"/>
        <v>0</v>
      </c>
      <c r="CC21" s="758">
        <f t="shared" ca="1" si="42"/>
        <v>0</v>
      </c>
      <c r="CD21" s="758">
        <f ca="1">BY21+COUNTIFS($BZ$6:$BZ$53,BZ21,$CC$6:CC$53,"&gt;"&amp;CC21,$BC$6:$BC$53,INDEX(T_Equipos[Grupo],MATCH(BD21,T_Equipos[NombreEquipo],0)))</f>
        <v>3</v>
      </c>
      <c r="CE21" s="757" t="str">
        <f ca="1">IF(COUNTIFS($CD$6:$CD$53,CD21,$BC$6:$BC$53,INDEX(T_Equipos[Grupo],MATCH(BD21,T_Equipos[NombreEquipo],0)))=1,"-","P."&amp;CD21&amp;" ("&amp;COUNTIFS($CD$6:$CD$53,CD21,$BC$6:$BC$53,INDEX(T_Equipos[Grupo],MATCH(BD21,T_Equipos[NombreEquipo],0)))&amp;")")</f>
        <v>P.3 (2)</v>
      </c>
      <c r="CF21" s="758">
        <f t="shared" ca="1" si="43"/>
        <v>0</v>
      </c>
      <c r="CG21" s="758">
        <f ca="1">CD21+COUNTIFS($CE$6:$CE$53,CE21,$CF$6:CF$53,"&gt;"&amp;CF21,$BC$6:$BC$53,INDEX(T_Equipos[Grupo],MATCH(BD21,T_Equipos[NombreEquipo],0)))</f>
        <v>3</v>
      </c>
      <c r="CH21" s="757" t="str">
        <f ca="1">IF(COUNTIFS($CG$6:$CG$53,CG21,$BC$6:$BC$53,INDEX(T_Equipos[Grupo],MATCH(BD21,T_Equipos[NombreEquipo],0)))=1,"-","P."&amp;CG21&amp;" ("&amp;COUNTIFS($CG$6:$CG$53,CG21,$BC$6:$BC$53,INDEX(T_Equipos[Grupo],MATCH(BD21,T_Equipos[NombreEquipo],0)))&amp;")")</f>
        <v>P.3 (2)</v>
      </c>
      <c r="CI21" s="758">
        <f t="shared" ca="1" si="44"/>
        <v>0</v>
      </c>
      <c r="CJ21" s="758">
        <f t="shared" ca="1" si="45"/>
        <v>0</v>
      </c>
      <c r="CK21" s="758">
        <f t="shared" ca="1" si="46"/>
        <v>0</v>
      </c>
      <c r="CL21" s="758">
        <f t="shared" ca="1" si="47"/>
        <v>0</v>
      </c>
      <c r="CM21" s="758">
        <f ca="1">CG21+COUNTIFS($CH$6:$CH$53,CH21,$CL$6:CL$53,"&gt;"&amp;CL21,$BC$6:$BC$53,INDEX(T_Equipos[Grupo],MATCH(BD21,T_Equipos[NombreEquipo],0)))</f>
        <v>3</v>
      </c>
      <c r="CN21" s="757" t="str">
        <f ca="1">IF(COUNTIFS($CM$6:$CM$53,CM21,$BC$6:$BC$53,INDEX(T_Equipos[Grupo],MATCH(BD21,T_Equipos[NombreEquipo],0)))=1,"-","P."&amp;CM21&amp;" ("&amp;COUNTIFS($CM$6:$CM$53,CM21,$BC$6:$BC$53,INDEX(T_Equipos[Grupo],MATCH(BD21,T_Equipos[NombreEquipo],0)))&amp;")")</f>
        <v>P.3 (2)</v>
      </c>
      <c r="CO21" s="758">
        <f t="shared" ca="1" si="48"/>
        <v>0</v>
      </c>
      <c r="CP21" s="758">
        <f t="shared" ca="1" si="49"/>
        <v>0</v>
      </c>
      <c r="CQ21" s="758">
        <f t="shared" ca="1" si="50"/>
        <v>0</v>
      </c>
      <c r="CR21" s="758">
        <f ca="1">CM21+COUNTIFS($CN$6:$CN$53,CN21,$CQ$6:CQ$53,"&gt;"&amp;CQ21,$BC$6:$BC$53,INDEX(T_Equipos[Grupo],MATCH(BD21,T_Equipos[NombreEquipo],0)))</f>
        <v>3</v>
      </c>
      <c r="CS21" s="757" t="str">
        <f ca="1">IF(COUNTIFS($CR$6:$CR$53,CR21,$BC$6:$BC$53,INDEX(T_Equipos[Grupo],MATCH(BD21,T_Equipos[NombreEquipo],0)))=1,"-","P."&amp;CR21&amp;" ("&amp;COUNTIFS($CR$6:$CR$53,CR21,$BC$6:$BC$53,INDEX(T_Equipos[Grupo],MATCH(BD21,T_Equipos[NombreEquipo],0)))&amp;")")</f>
        <v>P.3 (2)</v>
      </c>
      <c r="CT21" s="758">
        <f t="shared" ca="1" si="51"/>
        <v>0</v>
      </c>
      <c r="CU21" s="758">
        <f ca="1">CR21+COUNTIFS($CS$6:$CS$53,CS21,$CT$6:CT$53,"&gt;"&amp;CT21,$BC$6:$BC$53,INDEX(T_Equipos[Grupo],MATCH(BD21,T_Equipos[NombreEquipo],0)))</f>
        <v>3</v>
      </c>
      <c r="CV21" s="757" t="str">
        <f ca="1">IF(COUNTIFS($CU$6:$CU$53,CU21,$BC$6:$BC$53,INDEX(T_Equipos[Grupo],MATCH(BD21,T_Equipos[NombreEquipo],0)))=1,"-","P."&amp;CU21&amp;" ("&amp;COUNTIFS($CU$6:$CU$53,CU21,$BC$6:$BC$53,INDEX(T_Equipos[Grupo],MATCH(BD21,T_Equipos[NombreEquipo],0)))&amp;")")</f>
        <v>P.3 (2)</v>
      </c>
      <c r="CW21" s="757">
        <f t="shared" ca="1" si="30"/>
        <v>-2</v>
      </c>
      <c r="CX21" s="757">
        <f ca="1">CU21+COUNTIFS($CV$6:$CV$53,CV21,$CW$6:CW$53,"&gt;"&amp;CW21,$BC$6:$BC$53,INDEX(T_Equipos[Grupo],MATCH(BD21,T_Equipos[NombreEquipo],0)))</f>
        <v>3</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3</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3</v>
      </c>
      <c r="DE21" s="756"/>
      <c r="DF21" s="756">
        <f t="shared" ca="1" si="52"/>
        <v>3</v>
      </c>
      <c r="DG21" s="756" t="str">
        <f ca="1">IF(DB21="-","-",COUNTIFS(DF$6:DF$53,"&lt;"&amp;DF21,$BC$6:$BC$53,INDEX(T_Equipos[Grupo],MATCH(BD21,T_Equipos[NombreEquipo],0))))</f>
        <v>-</v>
      </c>
      <c r="DH21" s="756">
        <f ca="1">DA21+COUNTIFS(DB$6:DB$53,DB21,DG$6:DG$53,"&lt;"&amp;DG21,$BC$6:$BC$53,INDEX(T_Equipos[Grupo],MATCH(BD21,T_Equipos[NombreEquipo],0)))</f>
        <v>3</v>
      </c>
      <c r="DI21" s="744"/>
      <c r="DJ21" s="744">
        <f t="shared" ca="1" si="53"/>
        <v>4</v>
      </c>
      <c r="DK21" s="744">
        <f t="shared" ca="1" si="24"/>
        <v>4</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37"/>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12">
        <f t="array" aca="1" ref="AK22" ca="1">Ver_flag_visit</f>
        <v>#VALUE!</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4"/>
      <c r="BC22" s="756" t="str">
        <f ca="1">+INDEX(T_Equipos[Grupo],MATCH(WORLDCUP!BD22,T_Equipos[NombreEquipo],0))</f>
        <v>E</v>
      </c>
      <c r="BD22" s="744" t="str">
        <f ca="1">+Equipos!B18</f>
        <v>Alemania</v>
      </c>
      <c r="BE22" s="748">
        <f t="shared" ca="1" si="25"/>
        <v>3</v>
      </c>
      <c r="BF22" s="748">
        <f t="shared" ca="1" si="26"/>
        <v>1</v>
      </c>
      <c r="BG22" s="748">
        <f t="shared" ca="1" si="17"/>
        <v>1</v>
      </c>
      <c r="BH22" s="748">
        <f t="shared" ca="1" si="18"/>
        <v>0</v>
      </c>
      <c r="BI22" s="748">
        <f t="shared" ca="1" si="19"/>
        <v>0</v>
      </c>
      <c r="BJ22" s="748">
        <f t="shared" ca="1" si="20"/>
        <v>7</v>
      </c>
      <c r="BK22" s="748">
        <f t="shared" ca="1" si="21"/>
        <v>1</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3</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(2)</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(2)</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(2)</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(2)</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(2)</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(2)</v>
      </c>
      <c r="CW22" s="757">
        <f t="shared" ca="1" si="30"/>
        <v>6</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4</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9">
        <f t="array" aca="1" ref="AK23" ca="1">Ver_flag_visit</f>
        <v>#VALUE!</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1</v>
      </c>
      <c r="BG23" s="748">
        <f t="shared" ca="1" si="17"/>
        <v>0</v>
      </c>
      <c r="BH23" s="748">
        <f t="shared" ca="1" si="18"/>
        <v>0</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0</v>
      </c>
      <c r="BW23" s="758">
        <f t="shared" ca="1" si="38"/>
        <v>0</v>
      </c>
      <c r="BX23" s="758">
        <f t="shared" ca="1" si="39"/>
        <v>0</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0</v>
      </c>
      <c r="CK23" s="758">
        <f t="shared" ca="1" si="46"/>
        <v>0</v>
      </c>
      <c r="CL23" s="758">
        <f t="shared" ca="1" si="47"/>
        <v>0</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4</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3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0">
        <f t="array" aca="1" ref="AK24" ca="1">Ver_flag_visit</f>
        <v>#VALUE!</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1</v>
      </c>
      <c r="BG24" s="748">
        <f t="shared" ca="1" si="17"/>
        <v>1</v>
      </c>
      <c r="BH24" s="748">
        <f t="shared" ca="1" si="18"/>
        <v>0</v>
      </c>
      <c r="BI24" s="748">
        <f t="shared" ca="1" si="19"/>
        <v>0</v>
      </c>
      <c r="BJ24" s="748">
        <f t="shared" ca="1" si="20"/>
        <v>1</v>
      </c>
      <c r="BK24" s="748">
        <f t="shared" ca="1" si="21"/>
        <v>0</v>
      </c>
      <c r="BL24" s="748">
        <f t="shared" ca="1" si="27"/>
        <v>1</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(2)</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(2)</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(2)</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(2)</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(2)</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(2)</v>
      </c>
      <c r="CW24" s="757">
        <f t="shared" ca="1" si="30"/>
        <v>1</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4</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3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1</v>
      </c>
      <c r="BG25" s="748">
        <f t="shared" ca="1" si="17"/>
        <v>0</v>
      </c>
      <c r="BH25" s="748">
        <f t="shared" ca="1" si="18"/>
        <v>0</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0</v>
      </c>
      <c r="BW25" s="758">
        <f t="shared" ca="1" si="38"/>
        <v>0</v>
      </c>
      <c r="BX25" s="758">
        <f t="shared" ca="1" si="39"/>
        <v>0</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0</v>
      </c>
      <c r="CK25" s="758">
        <f t="shared" ca="1" si="46"/>
        <v>0</v>
      </c>
      <c r="CL25" s="758">
        <f t="shared" ca="1" si="47"/>
        <v>0</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4</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1</v>
      </c>
      <c r="BF26" s="748">
        <f t="shared" ca="1" si="26"/>
        <v>1</v>
      </c>
      <c r="BG26" s="748">
        <f t="shared" ca="1" si="17"/>
        <v>0</v>
      </c>
      <c r="BH26" s="748">
        <f t="shared" ca="1" si="18"/>
        <v>1</v>
      </c>
      <c r="BI26" s="748">
        <f t="shared" ca="1" si="19"/>
        <v>0</v>
      </c>
      <c r="BJ26" s="748">
        <f t="shared" ca="1" si="20"/>
        <v>2</v>
      </c>
      <c r="BK26" s="748">
        <f t="shared" ca="1" si="21"/>
        <v>2</v>
      </c>
      <c r="BL26" s="748">
        <f t="shared" ca="1" si="27"/>
        <v>0</v>
      </c>
      <c r="BM26" s="748" t="str">
        <f t="shared" ca="1" si="22"/>
        <v>2F</v>
      </c>
      <c r="BN26" s="748" t="str">
        <f t="shared" ca="1" si="23"/>
        <v>2F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1</v>
      </c>
      <c r="BS26" s="757">
        <f ca="1">BP26+COUNTIFS($BQ$6:$BQ$53,BQ26,$BR$6:BR$53,"&gt;"&amp;BR26,$BC$6:$BC$53,INDEX(T_Equipos[Grupo],MATCH(BD26,T_Equipos[NombreEquipo],0)))</f>
        <v>2</v>
      </c>
      <c r="BT26" s="757" t="str">
        <f ca="1">IF(COUNTIFS($BS$6:$BS$53,BS26,$BC$6:$BC$53,INDEX(T_Equipos[Grupo],MATCH(BD26,T_Equipos[NombreEquipo],0)))=1,"-","P."&amp;BS26&amp;" ("&amp;COUNTIFS($BS$6:$BS$53,BS26,$BC$6:$BC$53,INDEX(T_Equipos[Grupo],MATCH(BD26,T_Equipos[NombreEquipo],0)))&amp;")")</f>
        <v>P.2 (2)</v>
      </c>
      <c r="BU26" s="758">
        <f t="shared" ca="1" si="36"/>
        <v>0</v>
      </c>
      <c r="BV26" s="758">
        <f t="shared" ca="1" si="37"/>
        <v>1</v>
      </c>
      <c r="BW26" s="758">
        <f t="shared" ca="1" si="38"/>
        <v>0</v>
      </c>
      <c r="BX26" s="758">
        <f t="shared" ca="1" si="39"/>
        <v>1</v>
      </c>
      <c r="BY26" s="758">
        <f ca="1">BS26+COUNTIFS($BT$6:$BT$53,BT26,$BX$6:BX$53,"&gt;"&amp;BX26,$BC$6:$BC$53,INDEX(T_Equipos[Grupo],MATCH(BD26,T_Equipos[NombreEquipo],0)))</f>
        <v>2</v>
      </c>
      <c r="BZ26" s="757" t="str">
        <f ca="1">IF(COUNTIFS($BY$6:$BY$53,BY26,$BC$6:$BC$53,INDEX(T_Equipos[Grupo],MATCH(BD26,T_Equipos[NombreEquipo],0)))=1,"-","P."&amp;BY26&amp;" ("&amp;COUNTIFS($BY$6:$BY$53,BY26,$BC$6:$BC$53,INDEX(T_Equipos[Grupo],MATCH(BD26,T_Equipos[NombreEquipo],0)))&amp;")")</f>
        <v>P.2 (2)</v>
      </c>
      <c r="CA26" s="758">
        <f t="shared" ca="1" si="40"/>
        <v>2</v>
      </c>
      <c r="CB26" s="758">
        <f t="shared" ca="1" si="41"/>
        <v>2</v>
      </c>
      <c r="CC26" s="758">
        <f t="shared" ca="1" si="42"/>
        <v>0</v>
      </c>
      <c r="CD26" s="758">
        <f ca="1">BY26+COUNTIFS($BZ$6:$BZ$53,BZ26,$CC$6:CC$53,"&gt;"&amp;CC26,$BC$6:$BC$53,INDEX(T_Equipos[Grupo],MATCH(BD26,T_Equipos[NombreEquipo],0)))</f>
        <v>2</v>
      </c>
      <c r="CE26" s="757" t="str">
        <f ca="1">IF(COUNTIFS($CD$6:$CD$53,CD26,$BC$6:$BC$53,INDEX(T_Equipos[Grupo],MATCH(BD26,T_Equipos[NombreEquipo],0)))=1,"-","P."&amp;CD26&amp;" ("&amp;COUNTIFS($CD$6:$CD$53,CD26,$BC$6:$BC$53,INDEX(T_Equipos[Grupo],MATCH(BD26,T_Equipos[NombreEquipo],0)))&amp;")")</f>
        <v>P.2 (2)</v>
      </c>
      <c r="CF26" s="758">
        <f t="shared" ca="1" si="43"/>
        <v>2</v>
      </c>
      <c r="CG26" s="758">
        <f ca="1">CD26+COUNTIFS($CE$6:$CE$53,CE26,$CF$6:CF$53,"&gt;"&amp;CF26,$BC$6:$BC$53,INDEX(T_Equipos[Grupo],MATCH(BD26,T_Equipos[NombreEquipo],0)))</f>
        <v>2</v>
      </c>
      <c r="CH26" s="757" t="str">
        <f ca="1">IF(COUNTIFS($CG$6:$CG$53,CG26,$BC$6:$BC$53,INDEX(T_Equipos[Grupo],MATCH(BD26,T_Equipos[NombreEquipo],0)))=1,"-","P."&amp;CG26&amp;" ("&amp;COUNTIFS($CG$6:$CG$53,CG26,$BC$6:$BC$53,INDEX(T_Equipos[Grupo],MATCH(BD26,T_Equipos[NombreEquipo],0)))&amp;")")</f>
        <v>P.2 (2)</v>
      </c>
      <c r="CI26" s="758">
        <f t="shared" ca="1" si="44"/>
        <v>0</v>
      </c>
      <c r="CJ26" s="758">
        <f t="shared" ca="1" si="45"/>
        <v>1</v>
      </c>
      <c r="CK26" s="758">
        <f t="shared" ca="1" si="46"/>
        <v>0</v>
      </c>
      <c r="CL26" s="758">
        <f t="shared" ca="1" si="47"/>
        <v>1</v>
      </c>
      <c r="CM26" s="758">
        <f ca="1">CG26+COUNTIFS($CH$6:$CH$53,CH26,$CL$6:CL$53,"&gt;"&amp;CL26,$BC$6:$BC$53,INDEX(T_Equipos[Grupo],MATCH(BD26,T_Equipos[NombreEquipo],0)))</f>
        <v>2</v>
      </c>
      <c r="CN26" s="757" t="str">
        <f ca="1">IF(COUNTIFS($CM$6:$CM$53,CM26,$BC$6:$BC$53,INDEX(T_Equipos[Grupo],MATCH(BD26,T_Equipos[NombreEquipo],0)))=1,"-","P."&amp;CM26&amp;" ("&amp;COUNTIFS($CM$6:$CM$53,CM26,$BC$6:$BC$53,INDEX(T_Equipos[Grupo],MATCH(BD26,T_Equipos[NombreEquipo],0)))&amp;")")</f>
        <v>P.2 (2)</v>
      </c>
      <c r="CO26" s="758">
        <f t="shared" ca="1" si="48"/>
        <v>2</v>
      </c>
      <c r="CP26" s="758">
        <f t="shared" ca="1" si="49"/>
        <v>2</v>
      </c>
      <c r="CQ26" s="758">
        <f t="shared" ca="1" si="50"/>
        <v>0</v>
      </c>
      <c r="CR26" s="758">
        <f ca="1">CM26+COUNTIFS($CN$6:$CN$53,CN26,$CQ$6:CQ$53,"&gt;"&amp;CQ26,$BC$6:$BC$53,INDEX(T_Equipos[Grupo],MATCH(BD26,T_Equipos[NombreEquipo],0)))</f>
        <v>2</v>
      </c>
      <c r="CS26" s="757" t="str">
        <f ca="1">IF(COUNTIFS($CR$6:$CR$53,CR26,$BC$6:$BC$53,INDEX(T_Equipos[Grupo],MATCH(BD26,T_Equipos[NombreEquipo],0)))=1,"-","P."&amp;CR26&amp;" ("&amp;COUNTIFS($CR$6:$CR$53,CR26,$BC$6:$BC$53,INDEX(T_Equipos[Grupo],MATCH(BD26,T_Equipos[NombreEquipo],0)))&amp;")")</f>
        <v>P.2 (2)</v>
      </c>
      <c r="CT26" s="758">
        <f t="shared" ca="1" si="51"/>
        <v>2</v>
      </c>
      <c r="CU26" s="758">
        <f ca="1">CR26+COUNTIFS($CS$6:$CS$53,CS26,$CT$6:CT$53,"&gt;"&amp;CT26,$BC$6:$BC$53,INDEX(T_Equipos[Grupo],MATCH(BD26,T_Equipos[NombreEquipo],0)))</f>
        <v>2</v>
      </c>
      <c r="CV26" s="757" t="str">
        <f ca="1">IF(COUNTIFS($CU$6:$CU$53,CU26,$BC$6:$BC$53,INDEX(T_Equipos[Grupo],MATCH(BD26,T_Equipos[NombreEquipo],0)))=1,"-","P."&amp;CU26&amp;" ("&amp;COUNTIFS($CU$6:$CU$53,CU26,$BC$6:$BC$53,INDEX(T_Equipos[Grupo],MATCH(BD26,T_Equipos[NombreEquipo],0)))&amp;")")</f>
        <v>P.2 (2)</v>
      </c>
      <c r="CW26" s="757">
        <f t="shared" ca="1" si="30"/>
        <v>0</v>
      </c>
      <c r="CX26" s="757">
        <f ca="1">CU26+COUNTIFS($CV$6:$CV$53,CV26,$CW$6:CW$53,"&gt;"&amp;CW26,$BC$6:$BC$53,INDEX(T_Equipos[Grupo],MATCH(BD26,T_Equipos[NombreEquipo],0)))</f>
        <v>2</v>
      </c>
      <c r="CY26" s="757" t="str">
        <f ca="1">IF(COUNTIFS($CX$6:$CX$53,CX26,$BC$6:$BC$53,INDEX(T_Equipos[Grupo],MATCH(BD26,T_Equipos[NombreEquipo],0)))=1,"-","P."&amp;CX26&amp;" ("&amp;COUNTIFS($CX$6:$CX$53,CX26,$BC$6:$BC$53,INDEX(T_Equipos[Grupo],MATCH(BD26,T_Equipos[NombreEquipo],0)))&amp;")")</f>
        <v>P.2 (2)</v>
      </c>
      <c r="CZ26" s="757">
        <f t="shared" ca="1" si="31"/>
        <v>2</v>
      </c>
      <c r="DA26" s="758">
        <f ca="1">CX26+COUNTIFS($CY$6:$CY$53,CY26,$CZ$6:CZ$53,"&gt;"&amp;CZ26,$BC$6:$BC$53,INDEX(T_Equipos[Grupo],MATCH(BD26,T_Equipos[NombreEquipo],0)))</f>
        <v>2</v>
      </c>
      <c r="DB26" s="757" t="str">
        <f ca="1">IF(COUNTIFS($DA$6:$DA$53,DA26,$BC$6:$BC$53,INDEX(T_Equipos[Grupo],MATCH(BD26,T_Equipos[NombreEquipo],0)))=1,"-","P."&amp;DA26&amp;" ("&amp;COUNTIFS($DA$6:$DA$53,DA26,$BC$6:$BC$53,INDEX(T_Equipos[Grupo],MATCH(BD26,T_Equipos[NombreEquipo],0)))&amp;")")</f>
        <v>P.2 (2)</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2</v>
      </c>
      <c r="DE26" s="756"/>
      <c r="DF26" s="756">
        <f t="shared" ca="1" si="52"/>
        <v>2</v>
      </c>
      <c r="DG26" s="756">
        <f ca="1">IF(DB26="-","-",COUNTIFS(DF$6:DF$53,"&lt;"&amp;DF26,$BC$6:$BC$53,INDEX(T_Equipos[Grupo],MATCH(BD26,T_Equipos[NombreEquipo],0))))</f>
        <v>1</v>
      </c>
      <c r="DH26" s="756">
        <f ca="1">DA26+COUNTIFS(DB$6:DB$53,DB26,DG$6:DG$53,"&lt;"&amp;DG26,$BC$6:$BC$53,INDEX(T_Equipos[Grupo],MATCH(BD26,T_Equipos[NombreEquipo],0)))</f>
        <v>2</v>
      </c>
      <c r="DI26" s="744"/>
      <c r="DJ26" s="744">
        <f t="shared" ca="1" si="53"/>
        <v>1</v>
      </c>
      <c r="DK26" s="744">
        <f t="shared" ca="1" si="24"/>
        <v>4</v>
      </c>
      <c r="DL26" s="744">
        <f t="shared" ca="1" si="33"/>
        <v>1</v>
      </c>
      <c r="DM26" s="738" t="str">
        <f t="shared" ca="1" si="34"/>
        <v>1.1</v>
      </c>
      <c r="DN26" s="744" cm="1">
        <f t="array" aca="1" ref="DN26" ca="1">OFFSET(Horarios!$P$3,DJ26-1,0,DL26,1)</f>
        <v>1</v>
      </c>
      <c r="DO26" s="744"/>
      <c r="DP26" s="744" t="s">
        <v>664</v>
      </c>
      <c r="DQ26" s="744" t="str">
        <f t="shared" ca="1" si="35"/>
        <v>Suecia</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1</v>
      </c>
      <c r="BF27" s="748">
        <f t="shared" ca="1" si="26"/>
        <v>1</v>
      </c>
      <c r="BG27" s="748">
        <f t="shared" ca="1" si="17"/>
        <v>0</v>
      </c>
      <c r="BH27" s="748">
        <f t="shared" ca="1" si="18"/>
        <v>1</v>
      </c>
      <c r="BI27" s="748">
        <f t="shared" ca="1" si="19"/>
        <v>0</v>
      </c>
      <c r="BJ27" s="748">
        <f t="shared" ca="1" si="20"/>
        <v>2</v>
      </c>
      <c r="BK27" s="748">
        <f t="shared" ca="1" si="21"/>
        <v>2</v>
      </c>
      <c r="BL27" s="748">
        <f t="shared" ca="1" si="27"/>
        <v>0</v>
      </c>
      <c r="BM27" s="748" t="str">
        <f t="shared" ca="1" si="22"/>
        <v>3F</v>
      </c>
      <c r="BN27" s="748" t="str">
        <f t="shared" ca="1" si="23"/>
        <v>3F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1</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P.2 (2)</v>
      </c>
      <c r="BU27" s="758">
        <f t="shared" ca="1" si="36"/>
        <v>0</v>
      </c>
      <c r="BV27" s="758">
        <f t="shared" ca="1" si="37"/>
        <v>1</v>
      </c>
      <c r="BW27" s="758">
        <f t="shared" ca="1" si="38"/>
        <v>0</v>
      </c>
      <c r="BX27" s="758">
        <f t="shared" ca="1" si="39"/>
        <v>1</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P.2 (2)</v>
      </c>
      <c r="CA27" s="758">
        <f t="shared" ca="1" si="40"/>
        <v>2</v>
      </c>
      <c r="CB27" s="758">
        <f t="shared" ca="1" si="41"/>
        <v>2</v>
      </c>
      <c r="CC27" s="758">
        <f t="shared" ca="1" si="42"/>
        <v>0</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P.2 (2)</v>
      </c>
      <c r="CF27" s="758">
        <f t="shared" ca="1" si="43"/>
        <v>2</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P.2 (2)</v>
      </c>
      <c r="CI27" s="758">
        <f t="shared" ca="1" si="44"/>
        <v>0</v>
      </c>
      <c r="CJ27" s="758">
        <f t="shared" ca="1" si="45"/>
        <v>1</v>
      </c>
      <c r="CK27" s="758">
        <f t="shared" ca="1" si="46"/>
        <v>0</v>
      </c>
      <c r="CL27" s="758">
        <f t="shared" ca="1" si="47"/>
        <v>1</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P.2 (2)</v>
      </c>
      <c r="CO27" s="758">
        <f t="shared" ca="1" si="48"/>
        <v>2</v>
      </c>
      <c r="CP27" s="758">
        <f t="shared" ca="1" si="49"/>
        <v>2</v>
      </c>
      <c r="CQ27" s="758">
        <f t="shared" ca="1" si="50"/>
        <v>0</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P.2 (2)</v>
      </c>
      <c r="CT27" s="758">
        <f t="shared" ca="1" si="51"/>
        <v>2</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P.2 (2)</v>
      </c>
      <c r="CW27" s="757">
        <f t="shared" ca="1" si="30"/>
        <v>0</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P.2 (2)</v>
      </c>
      <c r="CZ27" s="757">
        <f t="shared" ca="1" si="31"/>
        <v>2</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P.2 (2)</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3</v>
      </c>
      <c r="DE27" s="756"/>
      <c r="DF27" s="756">
        <f t="shared" ca="1" si="52"/>
        <v>3</v>
      </c>
      <c r="DG27" s="756">
        <f ca="1">IF(DB27="-","-",COUNTIFS(DF$6:DF$53,"&lt;"&amp;DF27,$BC$6:$BC$53,INDEX(T_Equipos[Grupo],MATCH(BD27,T_Equipos[NombreEquipo],0))))</f>
        <v>2</v>
      </c>
      <c r="DH27" s="756">
        <f ca="1">DA27+COUNTIFS(DB$6:DB$53,DB27,DG$6:DG$53,"&lt;"&amp;DG27,$BC$6:$BC$53,INDEX(T_Equipos[Grupo],MATCH(BD27,T_Equipos[NombreEquipo],0)))</f>
        <v>3</v>
      </c>
      <c r="DI27" s="744"/>
      <c r="DJ27" s="744">
        <f t="shared" ca="1" si="53"/>
        <v>2</v>
      </c>
      <c r="DK27" s="744">
        <f t="shared" ca="1" si="24"/>
        <v>4</v>
      </c>
      <c r="DL27" s="744">
        <f t="shared" ca="1" si="33"/>
        <v>1</v>
      </c>
      <c r="DM27" s="738" t="str">
        <f t="shared" ca="1" si="34"/>
        <v>2.1</v>
      </c>
      <c r="DN27" s="744" cm="1">
        <f t="array" aca="1" ref="DN27" ca="1">OFFSET(Horarios!$P$3,DJ27-1,0,DL27,1)</f>
        <v>2</v>
      </c>
      <c r="DO27" s="744"/>
      <c r="DP27" s="744" t="s">
        <v>665</v>
      </c>
      <c r="DQ27" s="744" t="str">
        <f t="shared" ca="1" si="35"/>
        <v>Países Bajos</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P.1 (2)</v>
      </c>
      <c r="F28" s="744" t="str">
        <f t="shared" ref="F28:F33" ca="1" si="96">IF(D28="Pendiente","-",INDEX($BT$6:$BT$53,MATCH($AF28,$BD$6:$BD$53,0)))</f>
        <v>P.3 (2)</v>
      </c>
      <c r="G28" s="744"/>
      <c r="H28" s="744" t="str">
        <f t="shared" ref="H28:H33" ca="1" si="97">IF(D28="Pendiente","-",INDEX($BZ$6:$BZ$53,MATCH($AA28,$BD$6:$BD$53,0)))</f>
        <v>P.1 (2)</v>
      </c>
      <c r="I28" s="744" t="str">
        <f t="shared" ref="I28:I33" ca="1" si="98">IF(D28="Pendiente","-",INDEX($BZ$6:$BZ$53,MATCH($AF28,$BD$6:$BD$53,0)))</f>
        <v>P.3 (2)</v>
      </c>
      <c r="J28" s="744"/>
      <c r="K28" s="744" t="str">
        <f t="shared" ref="K28:K33" ca="1" si="99">IF(D28="Pendiente","-",INDEX($CE$6:$CE$53,MATCH($AA28,$BD$6:$BD$53,0)))</f>
        <v>P.1 (2)</v>
      </c>
      <c r="L28" s="744" t="str">
        <f t="shared" ref="L28:L33" ca="1" si="100">IF(D28="Pendiente","-",INDEX($CE$6:$CE$53,MATCH($AF28,$BD$6:$BD$53,0)))</f>
        <v>P.3 (2)</v>
      </c>
      <c r="M28" s="744"/>
      <c r="N28" s="744" t="str">
        <f t="shared" ref="N28:N33" ca="1" si="101">IF(D28="Pendiente","-",INDEX($CH$6:$CH$53,MATCH($AA28,$BD$6:$BD$53,0)))</f>
        <v>P.1 (2)</v>
      </c>
      <c r="O28" s="744" t="str">
        <f t="shared" ref="O28:O33" ca="1" si="102">IF(D28="Pendiente","-",INDEX($CH$6:$CH$53,MATCH($AF28,$BD$6:$BD$53,0)))</f>
        <v>P.3 (2)</v>
      </c>
      <c r="P28" s="744"/>
      <c r="Q28" s="744" t="str">
        <f t="shared" ref="Q28:Q33" ca="1" si="103">IF(D28="Pendiente","-",INDEX($CN$6:$CN$53,MATCH($AA28,$BD$6:$BD$53,0)))</f>
        <v>P.1 (2)</v>
      </c>
      <c r="R28" s="744" t="str">
        <f t="shared" ref="R28:R33" ca="1" si="104">IF(D28="Pendiente","-",INDEX($CN$6:$CN$53,MATCH($AF28,$BD$6:$BD$53,0)))</f>
        <v>P.3 (2)</v>
      </c>
      <c r="S28" s="744"/>
      <c r="T28" s="744" t="str">
        <f t="shared" ref="T28:T33" ca="1" si="105">IF(D28="Pendiente","-",INDEX($CS$6:$CS$53,MATCH($AA28,$BD$6:$BD$53,0)))</f>
        <v>P.1 (2)</v>
      </c>
      <c r="U28" s="744" t="str">
        <f t="shared" ref="U28:U33" ca="1" si="106">IF(D28="Pendiente","-",INDEX($CS$6:$CS$53,MATCH($AF28,$BD$6:$BD$53,0)))</f>
        <v>P.3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1</v>
      </c>
      <c r="BG28" s="748">
        <f t="shared" ca="1" si="17"/>
        <v>1</v>
      </c>
      <c r="BH28" s="748">
        <f t="shared" ca="1" si="18"/>
        <v>0</v>
      </c>
      <c r="BI28" s="748">
        <f t="shared" ca="1" si="19"/>
        <v>0</v>
      </c>
      <c r="BJ28" s="748">
        <f t="shared" ca="1" si="20"/>
        <v>5</v>
      </c>
      <c r="BK28" s="748">
        <f t="shared" ca="1" si="21"/>
        <v>1</v>
      </c>
      <c r="BL28" s="748">
        <f t="shared" ca="1" si="27"/>
        <v>4</v>
      </c>
      <c r="BM28" s="748" t="str">
        <f t="shared" ca="1" si="22"/>
        <v>1F</v>
      </c>
      <c r="BN28" s="748" t="str">
        <f t="shared" ca="1" si="23"/>
        <v>1F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1</v>
      </c>
      <c r="DE28" s="756"/>
      <c r="DF28" s="756">
        <f t="shared" ca="1" si="52"/>
        <v>1</v>
      </c>
      <c r="DG28" s="756" t="str">
        <f ca="1">IF(DB28="-","-",COUNTIFS(DF$6:DF$53,"&lt;"&amp;DF28,$BC$6:$BC$53,INDEX(T_Equipos[Grupo],MATCH(BD28,T_Equipos[NombreEquipo],0))))</f>
        <v>-</v>
      </c>
      <c r="DH28" s="756">
        <f ca="1">DA28+COUNTIFS(DB$6:DB$53,DB28,DG$6:DG$53,"&lt;"&amp;DG28,$BC$6:$BC$53,INDEX(T_Equipos[Grupo],MATCH(BD28,T_Equipos[NombreEquipo],0)))</f>
        <v>1</v>
      </c>
      <c r="DI28" s="744"/>
      <c r="DJ28" s="744">
        <f t="shared" ca="1" si="53"/>
        <v>2</v>
      </c>
      <c r="DK28" s="744">
        <f t="shared" ca="1" si="24"/>
        <v>4</v>
      </c>
      <c r="DL28" s="744">
        <f t="shared" ca="1" si="33"/>
        <v>1</v>
      </c>
      <c r="DM28" s="738" t="str">
        <f t="shared" ca="1" si="34"/>
        <v>2.1</v>
      </c>
      <c r="DN28" s="744" cm="1">
        <f t="array" aca="1" ref="DN28" ca="1">OFFSET(Horarios!$P$3,DJ28-1,0,DL28,1)</f>
        <v>2</v>
      </c>
      <c r="DO28" s="744"/>
      <c r="DP28" s="744" t="s">
        <v>94</v>
      </c>
      <c r="DQ28" s="744" t="str">
        <f t="shared" ca="1" si="35"/>
        <v>Japón</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P.1 (2)</v>
      </c>
      <c r="F29" s="744" t="str">
        <f t="shared" ca="1" si="96"/>
        <v>P.3 (2)</v>
      </c>
      <c r="G29" s="744"/>
      <c r="H29" s="744" t="str">
        <f t="shared" ca="1" si="97"/>
        <v>P.1 (2)</v>
      </c>
      <c r="I29" s="744" t="str">
        <f t="shared" ca="1" si="98"/>
        <v>P.3 (2)</v>
      </c>
      <c r="J29" s="744"/>
      <c r="K29" s="744" t="str">
        <f t="shared" ca="1" si="99"/>
        <v>P.1 (2)</v>
      </c>
      <c r="L29" s="744" t="str">
        <f t="shared" ca="1" si="100"/>
        <v>P.3 (2)</v>
      </c>
      <c r="M29" s="744"/>
      <c r="N29" s="744" t="str">
        <f t="shared" ca="1" si="101"/>
        <v>P.1 (2)</v>
      </c>
      <c r="O29" s="744" t="str">
        <f t="shared" ca="1" si="102"/>
        <v>P.3 (2)</v>
      </c>
      <c r="P29" s="744"/>
      <c r="Q29" s="744" t="str">
        <f t="shared" ca="1" si="103"/>
        <v>P.1 (2)</v>
      </c>
      <c r="R29" s="744" t="str">
        <f t="shared" ca="1" si="104"/>
        <v>P.3 (2)</v>
      </c>
      <c r="S29" s="744"/>
      <c r="T29" s="744" t="str">
        <f t="shared" ca="1" si="105"/>
        <v>P.1 (2)</v>
      </c>
      <c r="U29" s="744" t="str">
        <f t="shared" ca="1" si="106"/>
        <v>P.3 (2)</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1</v>
      </c>
      <c r="BG29" s="748">
        <f t="shared" ca="1" si="17"/>
        <v>0</v>
      </c>
      <c r="BH29" s="748">
        <f t="shared" ca="1" si="18"/>
        <v>0</v>
      </c>
      <c r="BI29" s="748">
        <f t="shared" ca="1" si="19"/>
        <v>1</v>
      </c>
      <c r="BJ29" s="748">
        <f t="shared" ca="1" si="20"/>
        <v>1</v>
      </c>
      <c r="BK29" s="748">
        <f t="shared" ca="1" si="21"/>
        <v>5</v>
      </c>
      <c r="BL29" s="748">
        <f t="shared" ca="1" si="27"/>
        <v>-4</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4</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39"/>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1</v>
      </c>
      <c r="BF30" s="748">
        <f t="shared" ca="1" si="26"/>
        <v>1</v>
      </c>
      <c r="BG30" s="748">
        <f t="shared" ca="1" si="17"/>
        <v>0</v>
      </c>
      <c r="BH30" s="748">
        <f t="shared" ca="1" si="18"/>
        <v>1</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1</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1</v>
      </c>
      <c r="CG30" s="758">
        <f ca="1">CD30+COUNTIFS($CE$6:$CE$53,CE30,$CF$6:CF$53,"&gt;"&amp;CF30,$BC$6:$BC$53,INDEX(T_Equipos[Grupo],MATCH(BD30,T_Equipos[NombreEquipo],0)))</f>
        <v>3</v>
      </c>
      <c r="CH30" s="757" t="str">
        <f ca="1">IF(COUNTIFS($CG$6:$CG$53,CG30,$BC$6:$BC$53,INDEX(T_Equipos[Grupo],MATCH(BD30,T_Equipos[NombreEquipo],0)))=1,"-","P."&amp;CG30&amp;" ("&amp;COUNTIFS($CG$6:$CG$53,CG30,$BC$6:$BC$53,INDEX(T_Equipos[Grupo],MATCH(BD30,T_Equipos[NombreEquipo],0)))&amp;")")</f>
        <v>P.3 (2)</v>
      </c>
      <c r="CI30" s="758">
        <f t="shared" ca="1" si="44"/>
        <v>0</v>
      </c>
      <c r="CJ30" s="758">
        <f t="shared" ca="1" si="45"/>
        <v>1</v>
      </c>
      <c r="CK30" s="758">
        <f t="shared" ca="1" si="46"/>
        <v>0</v>
      </c>
      <c r="CL30" s="758">
        <f t="shared" ca="1" si="47"/>
        <v>1</v>
      </c>
      <c r="CM30" s="758">
        <f ca="1">CG30+COUNTIFS($CH$6:$CH$53,CH30,$CL$6:CL$53,"&gt;"&amp;CL30,$BC$6:$BC$53,INDEX(T_Equipos[Grupo],MATCH(BD30,T_Equipos[NombreEquipo],0)))</f>
        <v>3</v>
      </c>
      <c r="CN30" s="757" t="str">
        <f ca="1">IF(COUNTIFS($CM$6:$CM$53,CM30,$BC$6:$BC$53,INDEX(T_Equipos[Grupo],MATCH(BD30,T_Equipos[NombreEquipo],0)))=1,"-","P."&amp;CM30&amp;" ("&amp;COUNTIFS($CM$6:$CM$53,CM30,$BC$6:$BC$53,INDEX(T_Equipos[Grupo],MATCH(BD30,T_Equipos[NombreEquipo],0)))&amp;")")</f>
        <v>P.3 (2)</v>
      </c>
      <c r="CO30" s="758">
        <f t="shared" ca="1" si="48"/>
        <v>1</v>
      </c>
      <c r="CP30" s="758">
        <f t="shared" ca="1" si="49"/>
        <v>1</v>
      </c>
      <c r="CQ30" s="758">
        <f t="shared" ca="1" si="50"/>
        <v>0</v>
      </c>
      <c r="CR30" s="758">
        <f ca="1">CM30+COUNTIFS($CN$6:$CN$53,CN30,$CQ$6:CQ$53,"&gt;"&amp;CQ30,$BC$6:$BC$53,INDEX(T_Equipos[Grupo],MATCH(BD30,T_Equipos[NombreEquipo],0)))</f>
        <v>3</v>
      </c>
      <c r="CS30" s="757" t="str">
        <f ca="1">IF(COUNTIFS($CR$6:$CR$53,CR30,$BC$6:$BC$53,INDEX(T_Equipos[Grupo],MATCH(BD30,T_Equipos[NombreEquipo],0)))=1,"-","P."&amp;CR30&amp;" ("&amp;COUNTIFS($CR$6:$CR$53,CR30,$BC$6:$BC$53,INDEX(T_Equipos[Grupo],MATCH(BD30,T_Equipos[NombreEquipo],0)))&amp;")")</f>
        <v>P.3 (2)</v>
      </c>
      <c r="CT30" s="758">
        <f t="shared" ca="1" si="51"/>
        <v>1</v>
      </c>
      <c r="CU30" s="758">
        <f ca="1">CR30+COUNTIFS($CS$6:$CS$53,CS30,$CT$6:CT$53,"&gt;"&amp;CT30,$BC$6:$BC$53,INDEX(T_Equipos[Grupo],MATCH(BD30,T_Equipos[NombreEquipo],0)))</f>
        <v>3</v>
      </c>
      <c r="CV30" s="757" t="str">
        <f ca="1">IF(COUNTIFS($CU$6:$CU$53,CU30,$BC$6:$BC$53,INDEX(T_Equipos[Grupo],MATCH(BD30,T_Equipos[NombreEquipo],0)))=1,"-","P."&amp;CU30&amp;" ("&amp;COUNTIFS($CU$6:$CU$53,CU30,$BC$6:$BC$53,INDEX(T_Equipos[Grupo],MATCH(BD30,T_Equipos[NombreEquipo],0)))&amp;")")</f>
        <v>P.3 (2)</v>
      </c>
      <c r="CW30" s="757">
        <f t="shared" ca="1" si="30"/>
        <v>0</v>
      </c>
      <c r="CX30" s="757">
        <f ca="1">CU30+COUNTIFS($CV$6:$CV$53,CV30,$CW$6:CW$53,"&gt;"&amp;CW30,$BC$6:$BC$53,INDEX(T_Equipos[Grupo],MATCH(BD30,T_Equipos[NombreEquipo],0)))</f>
        <v>3</v>
      </c>
      <c r="CY30" s="757" t="str">
        <f ca="1">IF(COUNTIFS($CX$6:$CX$53,CX30,$BC$6:$BC$53,INDEX(T_Equipos[Grupo],MATCH(BD30,T_Equipos[NombreEquipo],0)))=1,"-","P."&amp;CX30&amp;" ("&amp;COUNTIFS($CX$6:$CX$53,CX30,$BC$6:$BC$53,INDEX(T_Equipos[Grupo],MATCH(BD30,T_Equipos[NombreEquipo],0)))&amp;")")</f>
        <v>P.3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P.3 (2)</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3</v>
      </c>
      <c r="DE30" s="756"/>
      <c r="DF30" s="756">
        <f t="shared" ca="1" si="52"/>
        <v>3</v>
      </c>
      <c r="DG30" s="756">
        <f ca="1">IF(DB30="-","-",COUNTIFS(DF$6:DF$53,"&lt;"&amp;DF30,$BC$6:$BC$53,INDEX(T_Equipos[Grupo],MATCH(BD30,T_Equipos[NombreEquipo],0))))</f>
        <v>2</v>
      </c>
      <c r="DH30" s="756">
        <f ca="1">DA30+COUNTIFS(DB$6:DB$53,DB30,DG$6:DG$53,"&lt;"&amp;DG30,$BC$6:$BC$53,INDEX(T_Equipos[Grupo],MATCH(BD30,T_Equipos[NombreEquipo],0)))</f>
        <v>3</v>
      </c>
      <c r="DI30" s="744"/>
      <c r="DJ30" s="744">
        <f t="shared" ca="1" si="53"/>
        <v>1</v>
      </c>
      <c r="DK30" s="744">
        <f t="shared" ca="1" si="24"/>
        <v>4</v>
      </c>
      <c r="DL30" s="744">
        <f t="shared" ca="1" si="33"/>
        <v>1</v>
      </c>
      <c r="DM30" s="738" t="str">
        <f t="shared" ca="1" si="34"/>
        <v>1.1</v>
      </c>
      <c r="DN30" s="744" cm="1">
        <f t="array" aca="1" ref="DN30" ca="1">OFFSET(Horarios!$P$3,DJ30-1,0,DL30,1)</f>
        <v>1</v>
      </c>
      <c r="DO30" s="744"/>
      <c r="DP30" s="744" t="s">
        <v>667</v>
      </c>
      <c r="DQ30" s="744" t="str">
        <f t="shared" ca="1" si="35"/>
        <v>Irán</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1</v>
      </c>
      <c r="BF31" s="748">
        <f t="shared" ca="1" si="26"/>
        <v>1</v>
      </c>
      <c r="BG31" s="748">
        <f t="shared" ca="1" si="17"/>
        <v>0</v>
      </c>
      <c r="BH31" s="748">
        <f t="shared" ca="1" si="18"/>
        <v>1</v>
      </c>
      <c r="BI31" s="748">
        <f t="shared" ca="1" si="19"/>
        <v>0</v>
      </c>
      <c r="BJ31" s="748">
        <f t="shared" ca="1" si="20"/>
        <v>1</v>
      </c>
      <c r="BK31" s="748">
        <f t="shared" ca="1" si="21"/>
        <v>1</v>
      </c>
      <c r="BL31" s="748">
        <f t="shared" ca="1" si="27"/>
        <v>0</v>
      </c>
      <c r="BM31" s="748" t="str">
        <f t="shared" ca="1" si="22"/>
        <v>4G</v>
      </c>
      <c r="BN31" s="748" t="str">
        <f t="shared" ca="1" si="23"/>
        <v>4G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1</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1</v>
      </c>
      <c r="CG31" s="758">
        <f ca="1">CD31+COUNTIFS($CE$6:$CE$53,CE31,$CF$6:CF$53,"&gt;"&amp;CF31,$BC$6:$BC$53,INDEX(T_Equipos[Grupo],MATCH(BD31,T_Equipos[NombreEquipo],0)))</f>
        <v>3</v>
      </c>
      <c r="CH31" s="757" t="str">
        <f ca="1">IF(COUNTIFS($CG$6:$CG$53,CG31,$BC$6:$BC$53,INDEX(T_Equipos[Grupo],MATCH(BD31,T_Equipos[NombreEquipo],0)))=1,"-","P."&amp;CG31&amp;" ("&amp;COUNTIFS($CG$6:$CG$53,CG31,$BC$6:$BC$53,INDEX(T_Equipos[Grupo],MATCH(BD31,T_Equipos[NombreEquipo],0)))&amp;")")</f>
        <v>P.3 (2)</v>
      </c>
      <c r="CI31" s="758">
        <f t="shared" ca="1" si="44"/>
        <v>0</v>
      </c>
      <c r="CJ31" s="758">
        <f t="shared" ca="1" si="45"/>
        <v>1</v>
      </c>
      <c r="CK31" s="758">
        <f t="shared" ca="1" si="46"/>
        <v>0</v>
      </c>
      <c r="CL31" s="758">
        <f t="shared" ca="1" si="47"/>
        <v>1</v>
      </c>
      <c r="CM31" s="758">
        <f ca="1">CG31+COUNTIFS($CH$6:$CH$53,CH31,$CL$6:CL$53,"&gt;"&amp;CL31,$BC$6:$BC$53,INDEX(T_Equipos[Grupo],MATCH(BD31,T_Equipos[NombreEquipo],0)))</f>
        <v>3</v>
      </c>
      <c r="CN31" s="757" t="str">
        <f ca="1">IF(COUNTIFS($CM$6:$CM$53,CM31,$BC$6:$BC$53,INDEX(T_Equipos[Grupo],MATCH(BD31,T_Equipos[NombreEquipo],0)))=1,"-","P."&amp;CM31&amp;" ("&amp;COUNTIFS($CM$6:$CM$53,CM31,$BC$6:$BC$53,INDEX(T_Equipos[Grupo],MATCH(BD31,T_Equipos[NombreEquipo],0)))&amp;")")</f>
        <v>P.3 (2)</v>
      </c>
      <c r="CO31" s="758">
        <f t="shared" ca="1" si="48"/>
        <v>1</v>
      </c>
      <c r="CP31" s="758">
        <f t="shared" ca="1" si="49"/>
        <v>1</v>
      </c>
      <c r="CQ31" s="758">
        <f t="shared" ca="1" si="50"/>
        <v>0</v>
      </c>
      <c r="CR31" s="758">
        <f ca="1">CM31+COUNTIFS($CN$6:$CN$53,CN31,$CQ$6:CQ$53,"&gt;"&amp;CQ31,$BC$6:$BC$53,INDEX(T_Equipos[Grupo],MATCH(BD31,T_Equipos[NombreEquipo],0)))</f>
        <v>3</v>
      </c>
      <c r="CS31" s="757" t="str">
        <f ca="1">IF(COUNTIFS($CR$6:$CR$53,CR31,$BC$6:$BC$53,INDEX(T_Equipos[Grupo],MATCH(BD31,T_Equipos[NombreEquipo],0)))=1,"-","P."&amp;CR31&amp;" ("&amp;COUNTIFS($CR$6:$CR$53,CR31,$BC$6:$BC$53,INDEX(T_Equipos[Grupo],MATCH(BD31,T_Equipos[NombreEquipo],0)))&amp;")")</f>
        <v>P.3 (2)</v>
      </c>
      <c r="CT31" s="758">
        <f t="shared" ca="1" si="51"/>
        <v>1</v>
      </c>
      <c r="CU31" s="758">
        <f ca="1">CR31+COUNTIFS($CS$6:$CS$53,CS31,$CT$6:CT$53,"&gt;"&amp;CT31,$BC$6:$BC$53,INDEX(T_Equipos[Grupo],MATCH(BD31,T_Equipos[NombreEquipo],0)))</f>
        <v>3</v>
      </c>
      <c r="CV31" s="757" t="str">
        <f ca="1">IF(COUNTIFS($CU$6:$CU$53,CU31,$BC$6:$BC$53,INDEX(T_Equipos[Grupo],MATCH(BD31,T_Equipos[NombreEquipo],0)))=1,"-","P."&amp;CU31&amp;" ("&amp;COUNTIFS($CU$6:$CU$53,CU31,$BC$6:$BC$53,INDEX(T_Equipos[Grupo],MATCH(BD31,T_Equipos[NombreEquipo],0)))&amp;")")</f>
        <v>P.3 (2)</v>
      </c>
      <c r="CW31" s="757">
        <f t="shared" ca="1" si="30"/>
        <v>0</v>
      </c>
      <c r="CX31" s="757">
        <f ca="1">CU31+COUNTIFS($CV$6:$CV$53,CV31,$CW$6:CW$53,"&gt;"&amp;CW31,$BC$6:$BC$53,INDEX(T_Equipos[Grupo],MATCH(BD31,T_Equipos[NombreEquipo],0)))</f>
        <v>3</v>
      </c>
      <c r="CY31" s="757" t="str">
        <f ca="1">IF(COUNTIFS($CX$6:$CX$53,CX31,$BC$6:$BC$53,INDEX(T_Equipos[Grupo],MATCH(BD31,T_Equipos[NombreEquipo],0)))=1,"-","P."&amp;CX31&amp;" ("&amp;COUNTIFS($CX$6:$CX$53,CX31,$BC$6:$BC$53,INDEX(T_Equipos[Grupo],MATCH(BD31,T_Equipos[NombreEquipo],0)))&amp;")")</f>
        <v>P.3 (2)</v>
      </c>
      <c r="CZ31" s="757">
        <f t="shared" ca="1" si="31"/>
        <v>1</v>
      </c>
      <c r="DA31" s="758">
        <f ca="1">CX31+COUNTIFS($CY$6:$CY$53,CY31,$CZ$6:CZ$53,"&gt;"&amp;CZ31,$BC$6:$BC$53,INDEX(T_Equipos[Grupo],MATCH(BD31,T_Equipos[NombreEquipo],0)))</f>
        <v>3</v>
      </c>
      <c r="DB31" s="757" t="str">
        <f ca="1">IF(COUNTIFS($DA$6:$DA$53,DA31,$BC$6:$BC$53,INDEX(T_Equipos[Grupo],MATCH(BD31,T_Equipos[NombreEquipo],0)))=1,"-","P."&amp;DA31&amp;" ("&amp;COUNTIFS($DA$6:$DA$53,DA31,$BC$6:$BC$53,INDEX(T_Equipos[Grupo],MATCH(BD31,T_Equipos[NombreEquipo],0)))&amp;")")</f>
        <v>P.3 (2)</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4</v>
      </c>
      <c r="DE31" s="756"/>
      <c r="DF31" s="756">
        <f t="shared" ca="1" si="52"/>
        <v>4</v>
      </c>
      <c r="DG31" s="756">
        <f ca="1">IF(DB31="-","-",COUNTIFS(DF$6:DF$53,"&lt;"&amp;DF31,$BC$6:$BC$53,INDEX(T_Equipos[Grupo],MATCH(BD31,T_Equipos[NombreEquipo],0))))</f>
        <v>3</v>
      </c>
      <c r="DH31" s="756">
        <f ca="1">DA31+COUNTIFS(DB$6:DB$53,DB31,DG$6:DG$53,"&lt;"&amp;DG31,$BC$6:$BC$53,INDEX(T_Equipos[Grupo],MATCH(BD31,T_Equipos[NombreEquipo],0)))</f>
        <v>4</v>
      </c>
      <c r="DI31" s="744"/>
      <c r="DJ31" s="744">
        <f t="shared" ca="1" si="53"/>
        <v>1</v>
      </c>
      <c r="DK31" s="744">
        <f t="shared" ca="1" si="24"/>
        <v>4</v>
      </c>
      <c r="DL31" s="744">
        <f t="shared" ca="1" si="33"/>
        <v>1</v>
      </c>
      <c r="DM31" s="738" t="str">
        <f t="shared" ca="1" si="34"/>
        <v>1.1</v>
      </c>
      <c r="DN31" s="744" cm="1">
        <f t="array" aca="1" ref="DN31" ca="1">OFFSET(Horarios!$P$3,DJ31-1,0,DL31,1)</f>
        <v>1</v>
      </c>
      <c r="DO31" s="744"/>
      <c r="DP31" s="744" t="s">
        <v>668</v>
      </c>
      <c r="DQ31" s="744" t="str">
        <f t="shared" ca="1" si="35"/>
        <v>Nueva Zelanda</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1</v>
      </c>
      <c r="BF32" s="748">
        <f t="shared" ca="1" si="26"/>
        <v>1</v>
      </c>
      <c r="BG32" s="748">
        <f t="shared" ca="1" si="17"/>
        <v>0</v>
      </c>
      <c r="BH32" s="748">
        <f t="shared" ca="1" si="18"/>
        <v>1</v>
      </c>
      <c r="BI32" s="748">
        <f t="shared" ca="1" si="19"/>
        <v>0</v>
      </c>
      <c r="BJ32" s="748">
        <f t="shared" ca="1" si="20"/>
        <v>2</v>
      </c>
      <c r="BK32" s="748">
        <f t="shared" ca="1" si="21"/>
        <v>2</v>
      </c>
      <c r="BL32" s="748">
        <f t="shared" ca="1" si="27"/>
        <v>0</v>
      </c>
      <c r="BM32" s="748" t="str">
        <f t="shared" ca="1" si="22"/>
        <v>1G</v>
      </c>
      <c r="BN32" s="748" t="str">
        <f t="shared" ca="1" si="23"/>
        <v>1G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1</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1</v>
      </c>
      <c r="BW32" s="758">
        <f t="shared" ca="1" si="38"/>
        <v>0</v>
      </c>
      <c r="BX32" s="758">
        <f t="shared" ca="1" si="39"/>
        <v>1</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2</v>
      </c>
      <c r="CB32" s="758">
        <f t="shared" ca="1" si="41"/>
        <v>2</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2</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(2)</v>
      </c>
      <c r="CI32" s="758">
        <f t="shared" ca="1" si="44"/>
        <v>0</v>
      </c>
      <c r="CJ32" s="758">
        <f t="shared" ca="1" si="45"/>
        <v>1</v>
      </c>
      <c r="CK32" s="758">
        <f t="shared" ca="1" si="46"/>
        <v>0</v>
      </c>
      <c r="CL32" s="758">
        <f t="shared" ca="1" si="47"/>
        <v>1</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(2)</v>
      </c>
      <c r="CO32" s="758">
        <f t="shared" ca="1" si="48"/>
        <v>2</v>
      </c>
      <c r="CP32" s="758">
        <f t="shared" ca="1" si="49"/>
        <v>2</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(2)</v>
      </c>
      <c r="CT32" s="758">
        <f t="shared" ca="1" si="51"/>
        <v>2</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(2)</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(2)</v>
      </c>
      <c r="CZ32" s="757">
        <f t="shared" ca="1" si="31"/>
        <v>2</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(2)</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1</v>
      </c>
      <c r="DE32" s="756"/>
      <c r="DF32" s="756">
        <f t="shared" ca="1" si="52"/>
        <v>1</v>
      </c>
      <c r="DG32" s="756">
        <f ca="1">IF(DB32="-","-",COUNTIFS(DF$6:DF$53,"&lt;"&amp;DF32,$BC$6:$BC$53,INDEX(T_Equipos[Grupo],MATCH(BD32,T_Equipos[NombreEquipo],0))))</f>
        <v>0</v>
      </c>
      <c r="DH32" s="756">
        <f ca="1">DA32+COUNTIFS(DB$6:DB$53,DB32,DG$6:DG$53,"&lt;"&amp;DG32,$BC$6:$BC$53,INDEX(T_Equipos[Grupo],MATCH(BD32,T_Equipos[NombreEquipo],0)))</f>
        <v>1</v>
      </c>
      <c r="DI32" s="744"/>
      <c r="DJ32" s="744">
        <f t="shared" ca="1" si="53"/>
        <v>3</v>
      </c>
      <c r="DK32" s="744">
        <f t="shared" ca="1" si="24"/>
        <v>4</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1</v>
      </c>
      <c r="BG33" s="748">
        <f t="shared" ca="1" si="17"/>
        <v>0</v>
      </c>
      <c r="BH33" s="748">
        <f t="shared" ca="1" si="18"/>
        <v>1</v>
      </c>
      <c r="BI33" s="748">
        <f t="shared" ca="1" si="19"/>
        <v>0</v>
      </c>
      <c r="BJ33" s="748">
        <f t="shared" ca="1" si="20"/>
        <v>2</v>
      </c>
      <c r="BK33" s="748">
        <f t="shared" ca="1" si="21"/>
        <v>2</v>
      </c>
      <c r="BL33" s="748">
        <f t="shared" ca="1" si="27"/>
        <v>0</v>
      </c>
      <c r="BM33" s="748" t="str">
        <f t="shared" ca="1" si="22"/>
        <v>2G</v>
      </c>
      <c r="BN33" s="748" t="str">
        <f t="shared" ca="1" si="23"/>
        <v>2G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1</v>
      </c>
      <c r="BW33" s="758">
        <f t="shared" ca="1" si="38"/>
        <v>0</v>
      </c>
      <c r="BX33" s="758">
        <f t="shared" ca="1" si="39"/>
        <v>1</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2</v>
      </c>
      <c r="CB33" s="758">
        <f t="shared" ca="1" si="41"/>
        <v>2</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2</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(2)</v>
      </c>
      <c r="CI33" s="758">
        <f t="shared" ca="1" si="44"/>
        <v>0</v>
      </c>
      <c r="CJ33" s="758">
        <f t="shared" ca="1" si="45"/>
        <v>1</v>
      </c>
      <c r="CK33" s="758">
        <f t="shared" ca="1" si="46"/>
        <v>0</v>
      </c>
      <c r="CL33" s="758">
        <f t="shared" ca="1" si="47"/>
        <v>1</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(2)</v>
      </c>
      <c r="CO33" s="758">
        <f t="shared" ca="1" si="48"/>
        <v>2</v>
      </c>
      <c r="CP33" s="758">
        <f t="shared" ca="1" si="49"/>
        <v>2</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(2)</v>
      </c>
      <c r="CT33" s="758">
        <f t="shared" ca="1" si="51"/>
        <v>2</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(2)</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(2)</v>
      </c>
      <c r="CZ33" s="757">
        <f t="shared" ca="1" si="31"/>
        <v>2</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(2)</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2</v>
      </c>
      <c r="DE33" s="756"/>
      <c r="DF33" s="756">
        <f t="shared" ca="1" si="52"/>
        <v>2</v>
      </c>
      <c r="DG33" s="756">
        <f ca="1">IF(DB33="-","-",COUNTIFS(DF$6:DF$53,"&lt;"&amp;DF33,$BC$6:$BC$53,INDEX(T_Equipos[Grupo],MATCH(BD33,T_Equipos[NombreEquipo],0))))</f>
        <v>1</v>
      </c>
      <c r="DH33" s="756">
        <f ca="1">DA33+COUNTIFS(DB$6:DB$53,DB33,DG$6:DG$53,"&lt;"&amp;DG33,$BC$6:$BC$53,INDEX(T_Equipos[Grupo],MATCH(BD33,T_Equipos[NombreEquipo],0)))</f>
        <v>2</v>
      </c>
      <c r="DI33" s="744"/>
      <c r="DJ33" s="744">
        <f t="shared" ca="1" si="53"/>
        <v>3</v>
      </c>
      <c r="DK33" s="744">
        <f t="shared" ca="1" si="24"/>
        <v>4</v>
      </c>
      <c r="DL33" s="744">
        <f t="shared" ca="1" si="33"/>
        <v>1</v>
      </c>
      <c r="DM33" s="738" t="str">
        <f t="shared" ca="1" si="34"/>
        <v>3.1</v>
      </c>
      <c r="DN33" s="744" cm="1">
        <f t="array" aca="1" ref="DN33" ca="1">OFFSET(Horarios!$P$3,DJ33-1,0,DL33,1)</f>
        <v>3</v>
      </c>
      <c r="DO33" s="744"/>
      <c r="DP33" s="744" t="s">
        <v>669</v>
      </c>
      <c r="DQ33" s="744" t="str">
        <f t="shared" ca="1" si="35"/>
        <v>Egipto</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1</v>
      </c>
      <c r="BF34" s="748">
        <f t="shared" ca="1" si="26"/>
        <v>1</v>
      </c>
      <c r="BG34" s="748">
        <f t="shared" ca="1" si="17"/>
        <v>0</v>
      </c>
      <c r="BH34" s="748">
        <f t="shared" ca="1" si="18"/>
        <v>1</v>
      </c>
      <c r="BI34" s="748">
        <f t="shared" ca="1" si="19"/>
        <v>0</v>
      </c>
      <c r="BJ34" s="748">
        <f t="shared" ca="1" si="20"/>
        <v>0</v>
      </c>
      <c r="BK34" s="748">
        <f t="shared" ca="1" si="21"/>
        <v>0</v>
      </c>
      <c r="BL34" s="748">
        <f t="shared" ca="1" si="27"/>
        <v>0</v>
      </c>
      <c r="BM34" s="748" t="str">
        <f t="shared" ca="1" si="22"/>
        <v>3H</v>
      </c>
      <c r="BN34" s="748" t="str">
        <f t="shared" ca="1" si="23"/>
        <v>3H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1</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1</v>
      </c>
      <c r="BW34" s="758">
        <f t="shared" ca="1" si="38"/>
        <v>0</v>
      </c>
      <c r="BX34" s="758">
        <f t="shared" ca="1" si="39"/>
        <v>1</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3</v>
      </c>
      <c r="CH34" s="757" t="str">
        <f ca="1">IF(COUNTIFS($CG$6:$CG$53,CG34,$BC$6:$BC$53,INDEX(T_Equipos[Grupo],MATCH(BD34,T_Equipos[NombreEquipo],0)))=1,"-","P."&amp;CG34&amp;" ("&amp;COUNTIFS($CG$6:$CG$53,CG34,$BC$6:$BC$53,INDEX(T_Equipos[Grupo],MATCH(BD34,T_Equipos[NombreEquipo],0)))&amp;")")</f>
        <v>P.3 (2)</v>
      </c>
      <c r="CI34" s="758">
        <f t="shared" ca="1" si="44"/>
        <v>0</v>
      </c>
      <c r="CJ34" s="758">
        <f t="shared" ca="1" si="45"/>
        <v>1</v>
      </c>
      <c r="CK34" s="758">
        <f t="shared" ca="1" si="46"/>
        <v>0</v>
      </c>
      <c r="CL34" s="758">
        <f t="shared" ca="1" si="47"/>
        <v>1</v>
      </c>
      <c r="CM34" s="758">
        <f ca="1">CG34+COUNTIFS($CH$6:$CH$53,CH34,$CL$6:CL$53,"&gt;"&amp;CL34,$BC$6:$BC$53,INDEX(T_Equipos[Grupo],MATCH(BD34,T_Equipos[NombreEquipo],0)))</f>
        <v>3</v>
      </c>
      <c r="CN34" s="757" t="str">
        <f ca="1">IF(COUNTIFS($CM$6:$CM$53,CM34,$BC$6:$BC$53,INDEX(T_Equipos[Grupo],MATCH(BD34,T_Equipos[NombreEquipo],0)))=1,"-","P."&amp;CM34&amp;" ("&amp;COUNTIFS($CM$6:$CM$53,CM34,$BC$6:$BC$53,INDEX(T_Equipos[Grupo],MATCH(BD34,T_Equipos[NombreEquipo],0)))&amp;")")</f>
        <v>P.3 (2)</v>
      </c>
      <c r="CO34" s="758">
        <f t="shared" ca="1" si="48"/>
        <v>0</v>
      </c>
      <c r="CP34" s="758">
        <f t="shared" ca="1" si="49"/>
        <v>0</v>
      </c>
      <c r="CQ34" s="758">
        <f t="shared" ca="1" si="50"/>
        <v>0</v>
      </c>
      <c r="CR34" s="758">
        <f ca="1">CM34+COUNTIFS($CN$6:$CN$53,CN34,$CQ$6:CQ$53,"&gt;"&amp;CQ34,$BC$6:$BC$53,INDEX(T_Equipos[Grupo],MATCH(BD34,T_Equipos[NombreEquipo],0)))</f>
        <v>3</v>
      </c>
      <c r="CS34" s="757" t="str">
        <f ca="1">IF(COUNTIFS($CR$6:$CR$53,CR34,$BC$6:$BC$53,INDEX(T_Equipos[Grupo],MATCH(BD34,T_Equipos[NombreEquipo],0)))=1,"-","P."&amp;CR34&amp;" ("&amp;COUNTIFS($CR$6:$CR$53,CR34,$BC$6:$BC$53,INDEX(T_Equipos[Grupo],MATCH(BD34,T_Equipos[NombreEquipo],0)))&amp;")")</f>
        <v>P.3 (2)</v>
      </c>
      <c r="CT34" s="758">
        <f t="shared" ca="1" si="51"/>
        <v>0</v>
      </c>
      <c r="CU34" s="758">
        <f ca="1">CR34+COUNTIFS($CS$6:$CS$53,CS34,$CT$6:CT$53,"&gt;"&amp;CT34,$BC$6:$BC$53,INDEX(T_Equipos[Grupo],MATCH(BD34,T_Equipos[NombreEquipo],0)))</f>
        <v>3</v>
      </c>
      <c r="CV34" s="757" t="str">
        <f ca="1">IF(COUNTIFS($CU$6:$CU$53,CU34,$BC$6:$BC$53,INDEX(T_Equipos[Grupo],MATCH(BD34,T_Equipos[NombreEquipo],0)))=1,"-","P."&amp;CU34&amp;" ("&amp;COUNTIFS($CU$6:$CU$53,CU34,$BC$6:$BC$53,INDEX(T_Equipos[Grupo],MATCH(BD34,T_Equipos[NombreEquipo],0)))&amp;")")</f>
        <v>P.3 (2)</v>
      </c>
      <c r="CW34" s="757">
        <f t="shared" ca="1" si="30"/>
        <v>0</v>
      </c>
      <c r="CX34" s="757">
        <f ca="1">CU34+COUNTIFS($CV$6:$CV$53,CV34,$CW$6:CW$53,"&gt;"&amp;CW34,$BC$6:$BC$53,INDEX(T_Equipos[Grupo],MATCH(BD34,T_Equipos[NombreEquipo],0)))</f>
        <v>3</v>
      </c>
      <c r="CY34" s="757" t="str">
        <f ca="1">IF(COUNTIFS($CX$6:$CX$53,CX34,$BC$6:$BC$53,INDEX(T_Equipos[Grupo],MATCH(BD34,T_Equipos[NombreEquipo],0)))=1,"-","P."&amp;CX34&amp;" ("&amp;COUNTIFS($CX$6:$CX$53,CX34,$BC$6:$BC$53,INDEX(T_Equipos[Grupo],MATCH(BD34,T_Equipos[NombreEquipo],0)))&amp;")")</f>
        <v>P.3 (2)</v>
      </c>
      <c r="CZ34" s="757">
        <f t="shared" ca="1" si="31"/>
        <v>0</v>
      </c>
      <c r="DA34" s="758">
        <f ca="1">CX34+COUNTIFS($CY$6:$CY$53,CY34,$CZ$6:CZ$53,"&gt;"&amp;CZ34,$BC$6:$BC$53,INDEX(T_Equipos[Grupo],MATCH(BD34,T_Equipos[NombreEquipo],0)))</f>
        <v>3</v>
      </c>
      <c r="DB34" s="757" t="str">
        <f ca="1">IF(COUNTIFS($DA$6:$DA$53,DA34,$BC$6:$BC$53,INDEX(T_Equipos[Grupo],MATCH(BD34,T_Equipos[NombreEquipo],0)))=1,"-","P."&amp;DA34&amp;" ("&amp;COUNTIFS($DA$6:$DA$53,DA34,$BC$6:$BC$53,INDEX(T_Equipos[Grupo],MATCH(BD34,T_Equipos[NombreEquipo],0)))&amp;")")</f>
        <v>P.3 (2)</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3</v>
      </c>
      <c r="DE34" s="756"/>
      <c r="DF34" s="756">
        <f t="shared" ca="1" si="52"/>
        <v>3</v>
      </c>
      <c r="DG34" s="756">
        <f ca="1">IF(DB34="-","-",COUNTIFS(DF$6:DF$53,"&lt;"&amp;DF34,$BC$6:$BC$53,INDEX(T_Equipos[Grupo],MATCH(BD34,T_Equipos[NombreEquipo],0))))</f>
        <v>2</v>
      </c>
      <c r="DH34" s="756">
        <f ca="1">DA34+COUNTIFS(DB$6:DB$53,DB34,DG$6:DG$53,"&lt;"&amp;DG34,$BC$6:$BC$53,INDEX(T_Equipos[Grupo],MATCH(BD34,T_Equipos[NombreEquipo],0)))</f>
        <v>3</v>
      </c>
      <c r="DI34" s="744"/>
      <c r="DJ34" s="744">
        <f t="shared" ca="1" si="53"/>
        <v>1</v>
      </c>
      <c r="DK34" s="744">
        <f t="shared" ca="1" si="24"/>
        <v>4</v>
      </c>
      <c r="DL34" s="744">
        <f t="shared" ca="1" si="33"/>
        <v>1</v>
      </c>
      <c r="DM34" s="738" t="str">
        <f t="shared" ca="1" si="34"/>
        <v>1.1</v>
      </c>
      <c r="DN34" s="744" cm="1">
        <f t="array" aca="1" ref="DN34" ca="1">OFFSET(Horarios!$P$3,DJ34-1,0,DL34,1)</f>
        <v>1</v>
      </c>
      <c r="DO34" s="744"/>
      <c r="DP34" s="744" t="s">
        <v>670</v>
      </c>
      <c r="DQ34" s="744" t="str">
        <f t="shared" ca="1" si="35"/>
        <v>Arabia Saudita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1</v>
      </c>
      <c r="BF35" s="748">
        <f t="shared" ca="1" si="26"/>
        <v>1</v>
      </c>
      <c r="BG35" s="748">
        <f t="shared" ca="1" si="17"/>
        <v>0</v>
      </c>
      <c r="BH35" s="748">
        <f t="shared" ca="1" si="18"/>
        <v>1</v>
      </c>
      <c r="BI35" s="748">
        <f t="shared" ca="1" si="19"/>
        <v>0</v>
      </c>
      <c r="BJ35" s="748">
        <f t="shared" ca="1" si="20"/>
        <v>0</v>
      </c>
      <c r="BK35" s="748">
        <f t="shared" ca="1" si="21"/>
        <v>0</v>
      </c>
      <c r="BL35" s="748">
        <f t="shared" ca="1" si="27"/>
        <v>0</v>
      </c>
      <c r="BM35" s="748" t="str">
        <f t="shared" ca="1" si="22"/>
        <v>4H</v>
      </c>
      <c r="BN35" s="748" t="str">
        <f t="shared" ca="1" si="23"/>
        <v>4H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1</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1</v>
      </c>
      <c r="BW35" s="758">
        <f t="shared" ca="1" si="38"/>
        <v>0</v>
      </c>
      <c r="BX35" s="758">
        <f t="shared" ca="1" si="39"/>
        <v>1</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3</v>
      </c>
      <c r="CH35" s="757" t="str">
        <f ca="1">IF(COUNTIFS($CG$6:$CG$53,CG35,$BC$6:$BC$53,INDEX(T_Equipos[Grupo],MATCH(BD35,T_Equipos[NombreEquipo],0)))=1,"-","P."&amp;CG35&amp;" ("&amp;COUNTIFS($CG$6:$CG$53,CG35,$BC$6:$BC$53,INDEX(T_Equipos[Grupo],MATCH(BD35,T_Equipos[NombreEquipo],0)))&amp;")")</f>
        <v>P.3 (2)</v>
      </c>
      <c r="CI35" s="758">
        <f t="shared" ca="1" si="44"/>
        <v>0</v>
      </c>
      <c r="CJ35" s="758">
        <f t="shared" ca="1" si="45"/>
        <v>1</v>
      </c>
      <c r="CK35" s="758">
        <f t="shared" ca="1" si="46"/>
        <v>0</v>
      </c>
      <c r="CL35" s="758">
        <f t="shared" ca="1" si="47"/>
        <v>1</v>
      </c>
      <c r="CM35" s="758">
        <f ca="1">CG35+COUNTIFS($CH$6:$CH$53,CH35,$CL$6:CL$53,"&gt;"&amp;CL35,$BC$6:$BC$53,INDEX(T_Equipos[Grupo],MATCH(BD35,T_Equipos[NombreEquipo],0)))</f>
        <v>3</v>
      </c>
      <c r="CN35" s="757" t="str">
        <f ca="1">IF(COUNTIFS($CM$6:$CM$53,CM35,$BC$6:$BC$53,INDEX(T_Equipos[Grupo],MATCH(BD35,T_Equipos[NombreEquipo],0)))=1,"-","P."&amp;CM35&amp;" ("&amp;COUNTIFS($CM$6:$CM$53,CM35,$BC$6:$BC$53,INDEX(T_Equipos[Grupo],MATCH(BD35,T_Equipos[NombreEquipo],0)))&amp;")")</f>
        <v>P.3 (2)</v>
      </c>
      <c r="CO35" s="758">
        <f t="shared" ca="1" si="48"/>
        <v>0</v>
      </c>
      <c r="CP35" s="758">
        <f t="shared" ca="1" si="49"/>
        <v>0</v>
      </c>
      <c r="CQ35" s="758">
        <f t="shared" ca="1" si="50"/>
        <v>0</v>
      </c>
      <c r="CR35" s="758">
        <f ca="1">CM35+COUNTIFS($CN$6:$CN$53,CN35,$CQ$6:CQ$53,"&gt;"&amp;CQ35,$BC$6:$BC$53,INDEX(T_Equipos[Grupo],MATCH(BD35,T_Equipos[NombreEquipo],0)))</f>
        <v>3</v>
      </c>
      <c r="CS35" s="757" t="str">
        <f ca="1">IF(COUNTIFS($CR$6:$CR$53,CR35,$BC$6:$BC$53,INDEX(T_Equipos[Grupo],MATCH(BD35,T_Equipos[NombreEquipo],0)))=1,"-","P."&amp;CR35&amp;" ("&amp;COUNTIFS($CR$6:$CR$53,CR35,$BC$6:$BC$53,INDEX(T_Equipos[Grupo],MATCH(BD35,T_Equipos[NombreEquipo],0)))&amp;")")</f>
        <v>P.3 (2)</v>
      </c>
      <c r="CT35" s="758">
        <f t="shared" ca="1" si="51"/>
        <v>0</v>
      </c>
      <c r="CU35" s="758">
        <f ca="1">CR35+COUNTIFS($CS$6:$CS$53,CS35,$CT$6:CT$53,"&gt;"&amp;CT35,$BC$6:$BC$53,INDEX(T_Equipos[Grupo],MATCH(BD35,T_Equipos[NombreEquipo],0)))</f>
        <v>3</v>
      </c>
      <c r="CV35" s="757" t="str">
        <f ca="1">IF(COUNTIFS($CU$6:$CU$53,CU35,$BC$6:$BC$53,INDEX(T_Equipos[Grupo],MATCH(BD35,T_Equipos[NombreEquipo],0)))=1,"-","P."&amp;CU35&amp;" ("&amp;COUNTIFS($CU$6:$CU$53,CU35,$BC$6:$BC$53,INDEX(T_Equipos[Grupo],MATCH(BD35,T_Equipos[NombreEquipo],0)))&amp;")")</f>
        <v>P.3 (2)</v>
      </c>
      <c r="CW35" s="757">
        <f t="shared" ca="1" si="30"/>
        <v>0</v>
      </c>
      <c r="CX35" s="757">
        <f ca="1">CU35+COUNTIFS($CV$6:$CV$53,CV35,$CW$6:CW$53,"&gt;"&amp;CW35,$BC$6:$BC$53,INDEX(T_Equipos[Grupo],MATCH(BD35,T_Equipos[NombreEquipo],0)))</f>
        <v>3</v>
      </c>
      <c r="CY35" s="757" t="str">
        <f ca="1">IF(COUNTIFS($CX$6:$CX$53,CX35,$BC$6:$BC$53,INDEX(T_Equipos[Grupo],MATCH(BD35,T_Equipos[NombreEquipo],0)))=1,"-","P."&amp;CX35&amp;" ("&amp;COUNTIFS($CX$6:$CX$53,CX35,$BC$6:$BC$53,INDEX(T_Equipos[Grupo],MATCH(BD35,T_Equipos[NombreEquipo],0)))&amp;")")</f>
        <v>P.3 (2)</v>
      </c>
      <c r="CZ35" s="757">
        <f t="shared" ca="1" si="31"/>
        <v>0</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P.3 (2)</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4</v>
      </c>
      <c r="DE35" s="756"/>
      <c r="DF35" s="756">
        <f t="shared" ca="1" si="52"/>
        <v>4</v>
      </c>
      <c r="DG35" s="756">
        <f ca="1">IF(DB35="-","-",COUNTIFS(DF$6:DF$53,"&lt;"&amp;DF35,$BC$6:$BC$53,INDEX(T_Equipos[Grupo],MATCH(BD35,T_Equipos[NombreEquipo],0))))</f>
        <v>3</v>
      </c>
      <c r="DH35" s="756">
        <f ca="1">DA35+COUNTIFS(DB$6:DB$53,DB35,DG$6:DG$53,"&lt;"&amp;DG35,$BC$6:$BC$53,INDEX(T_Equipos[Grupo],MATCH(BD35,T_Equipos[NombreEquipo],0)))</f>
        <v>4</v>
      </c>
      <c r="DI35" s="744"/>
      <c r="DJ35" s="744">
        <f t="shared" ca="1" si="53"/>
        <v>1</v>
      </c>
      <c r="DK35" s="744">
        <f t="shared" ca="1" si="24"/>
        <v>4</v>
      </c>
      <c r="DL35" s="744">
        <f t="shared" ca="1" si="33"/>
        <v>1</v>
      </c>
      <c r="DM35" s="738" t="str">
        <f t="shared" ca="1" si="34"/>
        <v>1.1</v>
      </c>
      <c r="DN35" s="744" cm="1">
        <f t="array" aca="1" ref="DN35" ca="1">OFFSET(Horarios!$P$3,DJ35-1,0,DL35,1)</f>
        <v>1</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P.3 (2)</v>
      </c>
      <c r="G36" s="744"/>
      <c r="H36" s="744" t="str">
        <f t="shared" ref="H36:H41" ca="1" si="118">IF(D36="Pendiente","-",INDEX($BZ$6:$BZ$53,MATCH($AA36,$BD$6:$BD$53,0)))</f>
        <v>P.1 (2)</v>
      </c>
      <c r="I36" s="744" t="str">
        <f t="shared" ref="I36:I41" ca="1" si="119">IF(D36="Pendiente","-",INDEX($BZ$6:$BZ$53,MATCH($AF36,$BD$6:$BD$53,0)))</f>
        <v>P.3 (2)</v>
      </c>
      <c r="J36" s="744"/>
      <c r="K36" s="744" t="str">
        <f t="shared" ref="K36:K41" ca="1" si="120">IF(D36="Pendiente","-",INDEX($CE$6:$CE$53,MATCH($AA36,$BD$6:$BD$53,0)))</f>
        <v>P.1 (2)</v>
      </c>
      <c r="L36" s="744" t="str">
        <f t="shared" ref="L36:L41" ca="1" si="121">IF(D36="Pendiente","-",INDEX($CE$6:$CE$53,MATCH($AF36,$BD$6:$BD$53,0)))</f>
        <v>P.3 (2)</v>
      </c>
      <c r="M36" s="744"/>
      <c r="N36" s="744" t="str">
        <f t="shared" ref="N36:N41" ca="1" si="122">IF(D36="Pendiente","-",INDEX($CH$6:$CH$53,MATCH($AA36,$BD$6:$BD$53,0)))</f>
        <v>P.1 (2)</v>
      </c>
      <c r="O36" s="744" t="str">
        <f t="shared" ref="O36:O41" ca="1" si="123">IF(D36="Pendiente","-",INDEX($CH$6:$CH$53,MATCH($AF36,$BD$6:$BD$53,0)))</f>
        <v>P.3 (2)</v>
      </c>
      <c r="P36" s="744"/>
      <c r="Q36" s="744" t="str">
        <f t="shared" ref="Q36:Q41" ca="1" si="124">IF(D36="Pendiente","-",INDEX($CN$6:$CN$53,MATCH($AA36,$BD$6:$BD$53,0)))</f>
        <v>P.1 (2)</v>
      </c>
      <c r="R36" s="744" t="str">
        <f t="shared" ref="R36:R41" ca="1" si="125">IF(D36="Pendiente","-",INDEX($CN$6:$CN$53,MATCH($AF36,$BD$6:$BD$53,0)))</f>
        <v>P.3 (2)</v>
      </c>
      <c r="S36" s="744"/>
      <c r="T36" s="744" t="str">
        <f t="shared" ref="T36:T41" ca="1" si="126">IF(D36="Pendiente","-",INDEX($CS$6:$CS$53,MATCH($AA36,$BD$6:$BD$53,0)))</f>
        <v>P.1 (2)</v>
      </c>
      <c r="U36" s="744" t="str">
        <f t="shared" ref="U36:U41" ca="1" si="127">IF(D36="Pendiente","-",INDEX($CS$6:$CS$53,MATCH($AF36,$BD$6:$BD$53,0)))</f>
        <v>P.3 (2)</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1</v>
      </c>
      <c r="BG36" s="748">
        <f t="shared" ca="1" si="17"/>
        <v>0</v>
      </c>
      <c r="BH36" s="748">
        <f t="shared" ca="1" si="18"/>
        <v>1</v>
      </c>
      <c r="BI36" s="748">
        <f t="shared" ca="1" si="19"/>
        <v>0</v>
      </c>
      <c r="BJ36" s="748">
        <f t="shared" ca="1" si="20"/>
        <v>1</v>
      </c>
      <c r="BK36" s="748">
        <f t="shared" ca="1" si="21"/>
        <v>1</v>
      </c>
      <c r="BL36" s="748">
        <f t="shared" ca="1" si="27"/>
        <v>0</v>
      </c>
      <c r="BM36" s="748" t="str">
        <f t="shared" ca="1" si="22"/>
        <v>1H</v>
      </c>
      <c r="BN36" s="748" t="str">
        <f t="shared" ca="1" si="23"/>
        <v>1H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1</v>
      </c>
      <c r="BW36" s="758">
        <f t="shared" ca="1" si="38"/>
        <v>0</v>
      </c>
      <c r="BX36" s="758">
        <f t="shared" ca="1" si="39"/>
        <v>1</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1</v>
      </c>
      <c r="CB36" s="758">
        <f t="shared" ca="1" si="41"/>
        <v>1</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1</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(2)</v>
      </c>
      <c r="CI36" s="758">
        <f t="shared" ca="1" si="44"/>
        <v>0</v>
      </c>
      <c r="CJ36" s="758">
        <f t="shared" ca="1" si="45"/>
        <v>1</v>
      </c>
      <c r="CK36" s="758">
        <f t="shared" ca="1" si="46"/>
        <v>0</v>
      </c>
      <c r="CL36" s="758">
        <f t="shared" ca="1" si="47"/>
        <v>1</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(2)</v>
      </c>
      <c r="CO36" s="758">
        <f t="shared" ca="1" si="48"/>
        <v>1</v>
      </c>
      <c r="CP36" s="758">
        <f t="shared" ca="1" si="49"/>
        <v>1</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(2)</v>
      </c>
      <c r="CT36" s="758">
        <f t="shared" ca="1" si="51"/>
        <v>1</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(2)</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(2)</v>
      </c>
      <c r="CZ36" s="757">
        <f t="shared" ca="1" si="31"/>
        <v>1</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(2)</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1</v>
      </c>
      <c r="DE36" s="756"/>
      <c r="DF36" s="756">
        <f t="shared" ca="1" si="52"/>
        <v>1</v>
      </c>
      <c r="DG36" s="756">
        <f ca="1">IF(DB36="-","-",COUNTIFS(DF$6:DF$53,"&lt;"&amp;DF36,$BC$6:$BC$53,INDEX(T_Equipos[Grupo],MATCH(BD36,T_Equipos[NombreEquipo],0))))</f>
        <v>0</v>
      </c>
      <c r="DH36" s="756">
        <f ca="1">DA36+COUNTIFS(DB$6:DB$53,DB36,DG$6:DG$53,"&lt;"&amp;DG36,$BC$6:$BC$53,INDEX(T_Equipos[Grupo],MATCH(BD36,T_Equipos[NombreEquipo],0)))</f>
        <v>1</v>
      </c>
      <c r="DI36" s="744"/>
      <c r="DJ36" s="744">
        <f t="shared" ca="1" si="53"/>
        <v>3</v>
      </c>
      <c r="DK36" s="744">
        <f t="shared" ca="1" si="24"/>
        <v>4</v>
      </c>
      <c r="DL36" s="744">
        <f t="shared" ca="1" si="33"/>
        <v>1</v>
      </c>
      <c r="DM36" s="738" t="str">
        <f t="shared" ca="1" si="34"/>
        <v>3.1</v>
      </c>
      <c r="DN36" s="744" cm="1">
        <f t="array" aca="1" ref="DN36" ca="1">OFFSET(Horarios!$P$3,DJ36-1,0,DL36,1)</f>
        <v>3</v>
      </c>
      <c r="DO36" s="744"/>
      <c r="DP36" s="744" t="s">
        <v>436</v>
      </c>
      <c r="DQ36" s="744" t="str">
        <f t="shared" ca="1" si="35"/>
        <v>España</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P.1 (2)</v>
      </c>
      <c r="F37" s="744" t="str">
        <f t="shared" ca="1" si="117"/>
        <v>P.3 (2)</v>
      </c>
      <c r="G37" s="744"/>
      <c r="H37" s="744" t="str">
        <f t="shared" ca="1" si="118"/>
        <v>P.1 (2)</v>
      </c>
      <c r="I37" s="744" t="str">
        <f t="shared" ca="1" si="119"/>
        <v>P.3 (2)</v>
      </c>
      <c r="J37" s="744"/>
      <c r="K37" s="744" t="str">
        <f t="shared" ca="1" si="120"/>
        <v>P.1 (2)</v>
      </c>
      <c r="L37" s="744" t="str">
        <f t="shared" ca="1" si="121"/>
        <v>P.3 (2)</v>
      </c>
      <c r="M37" s="744"/>
      <c r="N37" s="744" t="str">
        <f t="shared" ca="1" si="122"/>
        <v>P.1 (2)</v>
      </c>
      <c r="O37" s="744" t="str">
        <f t="shared" ca="1" si="123"/>
        <v>P.3 (2)</v>
      </c>
      <c r="P37" s="744"/>
      <c r="Q37" s="744" t="str">
        <f t="shared" ca="1" si="124"/>
        <v>P.1 (2)</v>
      </c>
      <c r="R37" s="744" t="str">
        <f t="shared" ca="1" si="125"/>
        <v>P.3 (2)</v>
      </c>
      <c r="S37" s="744"/>
      <c r="T37" s="744" t="str">
        <f t="shared" ca="1" si="126"/>
        <v>P.1 (2)</v>
      </c>
      <c r="U37" s="744" t="str">
        <f t="shared" ca="1" si="127"/>
        <v>P.3 (2)</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1</v>
      </c>
      <c r="BF37" s="748">
        <f t="shared" ca="1" si="26"/>
        <v>1</v>
      </c>
      <c r="BG37" s="748">
        <f t="shared" ca="1" si="17"/>
        <v>0</v>
      </c>
      <c r="BH37" s="748">
        <f t="shared" ca="1" si="18"/>
        <v>1</v>
      </c>
      <c r="BI37" s="748">
        <f t="shared" ca="1" si="19"/>
        <v>0</v>
      </c>
      <c r="BJ37" s="748">
        <f t="shared" ca="1" si="20"/>
        <v>1</v>
      </c>
      <c r="BK37" s="748">
        <f t="shared" ca="1" si="21"/>
        <v>1</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1</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1</v>
      </c>
      <c r="BW37" s="758">
        <f t="shared" ca="1" si="38"/>
        <v>0</v>
      </c>
      <c r="BX37" s="758">
        <f t="shared" ca="1" si="39"/>
        <v>1</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1</v>
      </c>
      <c r="CB37" s="758">
        <f t="shared" ca="1" si="41"/>
        <v>1</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1</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(2)</v>
      </c>
      <c r="CI37" s="758">
        <f t="shared" ca="1" si="44"/>
        <v>0</v>
      </c>
      <c r="CJ37" s="758">
        <f t="shared" ca="1" si="45"/>
        <v>1</v>
      </c>
      <c r="CK37" s="758">
        <f t="shared" ca="1" si="46"/>
        <v>0</v>
      </c>
      <c r="CL37" s="758">
        <f t="shared" ca="1" si="47"/>
        <v>1</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(2)</v>
      </c>
      <c r="CO37" s="758">
        <f t="shared" ca="1" si="48"/>
        <v>1</v>
      </c>
      <c r="CP37" s="758">
        <f t="shared" ca="1" si="49"/>
        <v>1</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(2)</v>
      </c>
      <c r="CT37" s="758">
        <f t="shared" ca="1" si="51"/>
        <v>1</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(2)</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(2)</v>
      </c>
      <c r="CZ37" s="757">
        <f t="shared" ca="1" si="31"/>
        <v>1</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(2)</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2</v>
      </c>
      <c r="DE37" s="756"/>
      <c r="DF37" s="756">
        <f t="shared" ca="1" si="52"/>
        <v>2</v>
      </c>
      <c r="DG37" s="756">
        <f ca="1">IF(DB37="-","-",COUNTIFS(DF$6:DF$53,"&lt;"&amp;DF37,$BC$6:$BC$53,INDEX(T_Equipos[Grupo],MATCH(BD37,T_Equipos[NombreEquipo],0))))</f>
        <v>1</v>
      </c>
      <c r="DH37" s="756">
        <f ca="1">DA37+COUNTIFS(DB$6:DB$53,DB37,DG$6:DG$53,"&lt;"&amp;DG37,$BC$6:$BC$53,INDEX(T_Equipos[Grupo],MATCH(BD37,T_Equipos[NombreEquipo],0)))</f>
        <v>2</v>
      </c>
      <c r="DI37" s="744"/>
      <c r="DJ37" s="744">
        <f t="shared" ca="1" si="53"/>
        <v>3</v>
      </c>
      <c r="DK37" s="744">
        <f t="shared" ca="1" si="24"/>
        <v>4</v>
      </c>
      <c r="DL37" s="744">
        <f t="shared" ca="1" si="33"/>
        <v>1</v>
      </c>
      <c r="DM37" s="738" t="str">
        <f t="shared" ca="1" si="34"/>
        <v>3.1</v>
      </c>
      <c r="DN37" s="744" cm="1">
        <f t="array" aca="1" ref="DN37" ca="1">OFFSET(Horarios!$P$3,DJ37-1,0,DL37,1)</f>
        <v>3</v>
      </c>
      <c r="DO37" s="744"/>
      <c r="DP37" s="744" t="s">
        <v>672</v>
      </c>
      <c r="DQ37" s="744" t="str">
        <f t="shared" ca="1" si="35"/>
        <v>Cabo Verde</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P.2 (2)</v>
      </c>
      <c r="F44" s="744" t="str">
        <f t="shared" ref="F44:F49" ca="1" si="138">IF(D44="Pendiente","-",INDEX($BT$6:$BT$53,MATCH($AF44,$BD$6:$BD$53,0)))</f>
        <v>P.2 (2)</v>
      </c>
      <c r="G44" s="744"/>
      <c r="H44" s="744" t="str">
        <f t="shared" ref="H44:H49" ca="1" si="139">IF(D44="Pendiente","-",INDEX($BZ$6:$BZ$53,MATCH($AA44,$BD$6:$BD$53,0)))</f>
        <v>P.2 (2)</v>
      </c>
      <c r="I44" s="744" t="str">
        <f t="shared" ref="I44:I49" ca="1" si="140">IF(D44="Pendiente","-",INDEX($BZ$6:$BZ$53,MATCH($AF44,$BD$6:$BD$53,0)))</f>
        <v>P.2 (2)</v>
      </c>
      <c r="J44" s="744"/>
      <c r="K44" s="744" t="str">
        <f t="shared" ref="K44:K49" ca="1" si="141">IF(D44="Pendiente","-",INDEX($CE$6:$CE$53,MATCH($AA44,$BD$6:$BD$53,0)))</f>
        <v>P.2 (2)</v>
      </c>
      <c r="L44" s="744" t="str">
        <f t="shared" ref="L44:L49" ca="1" si="142">IF(D44="Pendiente","-",INDEX($CE$6:$CE$53,MATCH($AF44,$BD$6:$BD$53,0)))</f>
        <v>P.2 (2)</v>
      </c>
      <c r="M44" s="744"/>
      <c r="N44" s="744" t="str">
        <f t="shared" ref="N44:N49" ca="1" si="143">IF(D44="Pendiente","-",INDEX($CH$6:$CH$53,MATCH($AA44,$BD$6:$BD$53,0)))</f>
        <v>P.2 (2)</v>
      </c>
      <c r="O44" s="744" t="str">
        <f t="shared" ref="O44:O49" ca="1" si="144">IF(D44="Pendiente","-",INDEX($CH$6:$CH$53,MATCH($AF44,$BD$6:$BD$53,0)))</f>
        <v>P.2 (2)</v>
      </c>
      <c r="P44" s="744"/>
      <c r="Q44" s="744" t="str">
        <f t="shared" ref="Q44:Q49" ca="1" si="145">IF(D44="Pendiente","-",INDEX($CN$6:$CN$53,MATCH($AA44,$BD$6:$BD$53,0)))</f>
        <v>P.2 (2)</v>
      </c>
      <c r="R44" s="744" t="str">
        <f t="shared" ref="R44:R49" ca="1" si="146">IF(D44="Pendiente","-",INDEX($CN$6:$CN$53,MATCH($AF44,$BD$6:$BD$53,0)))</f>
        <v>P.2 (2)</v>
      </c>
      <c r="S44" s="744"/>
      <c r="T44" s="744" t="str">
        <f t="shared" ref="T44:T49" ca="1" si="147">IF(D44="Pendiente","-",INDEX($CS$6:$CS$53,MATCH($AA44,$BD$6:$BD$53,0)))</f>
        <v>P.2 (2)</v>
      </c>
      <c r="U44" s="744" t="str">
        <f t="shared" ref="U44:U49" ca="1" si="148">IF(D44="Pendiente","-",INDEX($CS$6:$CS$53,MATCH($AF44,$BD$6:$BD$53,0)))</f>
        <v>P.2 (2)</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3">
        <f t="array" aca="1" ref="AK46" ca="1">Ver_flag_visit</f>
        <v>#VALUE!</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04"/>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1">
        <f t="array" aca="1" ref="AK47" ca="1">Ver_flag_visit</f>
        <v>#VALUE!</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2">
        <f t="array" aca="1" ref="AK48" ca="1">Ver_flag_visit</f>
        <v>#VALUE!</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(4)</v>
      </c>
      <c r="F52" s="744" t="str">
        <f t="shared" ref="F52:F57" ca="1" si="157">IF(D52="Pendiente","-",INDEX($BT$6:$BT$53,MATCH($AF52,$BD$6:$BD$53,0)))</f>
        <v>P.1 (4)</v>
      </c>
      <c r="G52" s="744"/>
      <c r="H52" s="744" t="str">
        <f t="shared" ref="H52:H57" ca="1" si="158">IF(D52="Pendiente","-",INDEX($BZ$6:$BZ$53,MATCH($AA52,$BD$6:$BD$53,0)))</f>
        <v>P.1 (4)</v>
      </c>
      <c r="I52" s="744" t="str">
        <f t="shared" ref="I52:I57" ca="1" si="159">IF(D52="Pendiente","-",INDEX($BZ$6:$BZ$53,MATCH($AF52,$BD$6:$BD$53,0)))</f>
        <v>P.1 (4)</v>
      </c>
      <c r="J52" s="744"/>
      <c r="K52" s="744" t="str">
        <f t="shared" ref="K52:K57" ca="1" si="160">IF(D52="Pendiente","-",INDEX($CE$6:$CE$53,MATCH($AA52,$BD$6:$BD$53,0)))</f>
        <v>P.1 (4)</v>
      </c>
      <c r="L52" s="744" t="str">
        <f t="shared" ref="L52:L57" ca="1" si="161">IF(D52="Pendiente","-",INDEX($CE$6:$CE$53,MATCH($AF52,$BD$6:$BD$53,0)))</f>
        <v>P.1 (4)</v>
      </c>
      <c r="M52" s="744"/>
      <c r="N52" s="744" t="str">
        <f t="shared" ref="N52:N57" ca="1" si="162">IF(D52="Pendiente","-",INDEX($CH$6:$CH$53,MATCH($AA52,$BD$6:$BD$53,0)))</f>
        <v>P.3 (2)</v>
      </c>
      <c r="O52" s="744" t="str">
        <f t="shared" ref="O52:O57" ca="1" si="163">IF(D52="Pendiente","-",INDEX($CH$6:$CH$53,MATCH($AF52,$BD$6:$BD$53,0)))</f>
        <v>P.3 (2)</v>
      </c>
      <c r="P52" s="744"/>
      <c r="Q52" s="744" t="str">
        <f t="shared" ref="Q52:Q57" ca="1" si="164">IF(D52="Pendiente","-",INDEX($CN$6:$CN$53,MATCH($AA52,$BD$6:$BD$53,0)))</f>
        <v>P.3 (2)</v>
      </c>
      <c r="R52" s="744" t="str">
        <f t="shared" ref="R52:R57" ca="1" si="165">IF(D52="Pendiente","-",INDEX($CN$6:$CN$53,MATCH($AF52,$BD$6:$BD$53,0)))</f>
        <v>P.3 (2)</v>
      </c>
      <c r="S52" s="744"/>
      <c r="T52" s="744" t="str">
        <f t="shared" ref="T52:T57" ca="1" si="166">IF(D52="Pendiente","-",INDEX($CS$6:$CS$53,MATCH($AA52,$BD$6:$BD$53,0)))</f>
        <v>P.3 (2)</v>
      </c>
      <c r="U52" s="744" t="str">
        <f t="shared" ref="U52:U57" ca="1" si="167">IF(D52="Pendiente","-",INDEX($CS$6:$CS$53,MATCH($AF52,$BD$6:$BD$53,0)))</f>
        <v>P.3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P.1 (4)</v>
      </c>
      <c r="F53" s="744" t="str">
        <f t="shared" ca="1" si="157"/>
        <v>P.1 (4)</v>
      </c>
      <c r="G53" s="744"/>
      <c r="H53" s="744" t="str">
        <f t="shared" ca="1" si="158"/>
        <v>P.1 (4)</v>
      </c>
      <c r="I53" s="744" t="str">
        <f t="shared" ca="1" si="159"/>
        <v>P.1 (4)</v>
      </c>
      <c r="J53" s="744"/>
      <c r="K53" s="744" t="str">
        <f t="shared" ca="1" si="160"/>
        <v>P.1 (4)</v>
      </c>
      <c r="L53" s="744" t="str">
        <f t="shared" ca="1" si="161"/>
        <v>P.1 (4)</v>
      </c>
      <c r="M53" s="744"/>
      <c r="N53" s="744" t="str">
        <f t="shared" ca="1" si="162"/>
        <v>P.1 (2)</v>
      </c>
      <c r="O53" s="744" t="str">
        <f t="shared" ca="1" si="163"/>
        <v>P.1 (2)</v>
      </c>
      <c r="P53" s="744"/>
      <c r="Q53" s="744" t="str">
        <f t="shared" ca="1" si="164"/>
        <v>P.1 (2)</v>
      </c>
      <c r="R53" s="744" t="str">
        <f t="shared" ca="1" si="165"/>
        <v>P.1 (2)</v>
      </c>
      <c r="S53" s="744"/>
      <c r="T53" s="744" t="str">
        <f t="shared" ca="1" si="166"/>
        <v>P.1 (2)</v>
      </c>
      <c r="U53" s="744" t="str">
        <f t="shared" ca="1" si="167"/>
        <v>P.1 (2)</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7">
        <f t="array" aca="1" ref="AK54" ca="1">Ver_flag_visit</f>
        <v>#VALUE!</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24"/>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8">
        <f t="array" aca="1" ref="AK55" ca="1">Ver_flag_visit</f>
        <v>#VALUE!</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6">
        <f t="array" aca="1" ref="AK57" ca="1">Ver_flag_visit</f>
        <v>#VALUE!</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0</v>
      </c>
      <c r="BF58" s="748">
        <f ca="1">+BG58+BH58+BI58</f>
        <v>1</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8">
        <f ca="1">BJ58-BK58</f>
        <v>-1</v>
      </c>
      <c r="BM58" s="748">
        <f ca="1">CB58</f>
        <v>10</v>
      </c>
      <c r="BN58" s="748">
        <f ca="1">CF58</f>
        <v>10</v>
      </c>
      <c r="BO58" s="738" t="str">
        <f>"4"&amp;BC58</f>
        <v>4A</v>
      </c>
      <c r="BP58" s="738"/>
      <c r="BQ58" s="738"/>
      <c r="BR58" s="748">
        <f t="shared" ref="BR58:BR69" ca="1" si="179">+BE58</f>
        <v>0</v>
      </c>
      <c r="BS58" s="748">
        <f ca="1">COUNTIFS(BR$58:BR$69,"&gt;"&amp;BR58)+1</f>
        <v>6</v>
      </c>
      <c r="BT58" s="748" t="str">
        <f ca="1">IF(COUNTIF(BS$58:BS$69,BS58)=1,"-","Pos. "&amp;BS58&amp;" ("&amp;COUNTIF(BS$58:BS$69,BS58)&amp;")")</f>
        <v>Pos. 6 (7)</v>
      </c>
      <c r="BU58" s="748">
        <f t="shared" ref="BU58:BU69" ca="1" si="180">IF(BT58="-","-",BL58)</f>
        <v>-1</v>
      </c>
      <c r="BV58" s="748">
        <f t="shared" ref="BV58:BV69" ca="1" si="181">BS58+COUNTIFS(BT$58:BT$69,BT58,BU$58:BU$69,"&gt;"&amp;BU58)</f>
        <v>10</v>
      </c>
      <c r="BW58" s="748" t="str">
        <f t="shared" ref="BW58:BW69" ca="1" si="182">IF(COUNTIF(BV$58:BV$69,BV58)=1,"-","Pos. "&amp;BV58&amp;" ("&amp;COUNTIF(BV$58:BV$69,BV58)&amp;")")</f>
        <v>Pos. 10 (2)</v>
      </c>
      <c r="BX58" s="748">
        <f t="shared" ref="BX58:BX69" ca="1" si="183">IF(BW58="-","-",BJ58)</f>
        <v>1</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Japón</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1</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0</v>
      </c>
      <c r="BJ59" s="748">
        <f t="shared" ca="1" si="177"/>
        <v>1</v>
      </c>
      <c r="BK59" s="748">
        <f t="shared" ca="1" si="178"/>
        <v>1</v>
      </c>
      <c r="BL59" s="748">
        <f t="shared" ref="BL59:BL69" ca="1" si="193">BJ59-BK59</f>
        <v>0</v>
      </c>
      <c r="BM59" s="748">
        <f t="shared" ref="BM59:BM69" ca="1" si="194">CB59</f>
        <v>3</v>
      </c>
      <c r="BN59" s="748">
        <f t="shared" ref="BN59:BN69" ca="1" si="195">CF59</f>
        <v>3</v>
      </c>
      <c r="BO59" s="738" t="str">
        <f t="shared" ref="BO59:BO69" si="196">"4"&amp;BC59</f>
        <v>4B</v>
      </c>
      <c r="BP59" s="738"/>
      <c r="BQ59" s="738"/>
      <c r="BR59" s="748">
        <f t="shared" ca="1" si="179"/>
        <v>1</v>
      </c>
      <c r="BS59" s="748">
        <f t="shared" ref="BS59:BS69" ca="1" si="197">COUNTIFS(BR$58:BR$69,"&gt;"&amp;BR59)+1</f>
        <v>1</v>
      </c>
      <c r="BT59" s="748" t="str">
        <f t="shared" ref="BT59:BT69" ca="1" si="198">IF(COUNTIF(BS$58:BS$69,BS59)=1,"-","Pos. "&amp;BS59&amp;" ("&amp;COUNTIF(BS$58:BS$69,BS59)&amp;")")</f>
        <v>Pos. 1 (5)</v>
      </c>
      <c r="BU59" s="748">
        <f t="shared" ca="1" si="180"/>
        <v>0</v>
      </c>
      <c r="BV59" s="748">
        <f t="shared" ca="1" si="181"/>
        <v>1</v>
      </c>
      <c r="BW59" s="748" t="str">
        <f t="shared" ca="1" si="182"/>
        <v>Pos. 1 (5)</v>
      </c>
      <c r="BX59" s="748">
        <f t="shared" ca="1" si="183"/>
        <v>1</v>
      </c>
      <c r="BY59" s="748">
        <f t="shared" ca="1" si="184"/>
        <v>2</v>
      </c>
      <c r="BZ59" s="748" t="str">
        <f t="shared" ca="1" si="185"/>
        <v>Pos. 2 (3)</v>
      </c>
      <c r="CA59" s="748">
        <f t="shared" ref="CA59:CA69" ca="1" si="199">IF(BZ59="-","-",COUNTIF($BD$58:$BD$69,"&gt;"&amp;BD59))</f>
        <v>9</v>
      </c>
      <c r="CB59" s="748">
        <f t="shared" ref="CB59:CB68" ca="1" si="200">BY59+COUNTIFS(BZ$58:BZ$69,BZ59,CA$58:CA$69,"&gt;"&amp;CA59)</f>
        <v>3</v>
      </c>
      <c r="CC59" s="748"/>
      <c r="CD59" s="748">
        <f t="shared" ref="CD59:CD69" ca="1" si="201">IF(OR(INDEX($AW$102:$AW$113,MATCH($BD59,$AV$102:$AV$113,0))="",BZ59="-"),CB59,INDEX($AW$102:$AW$113,MATCH($BD59,$AV$102:$AV$113,0))+CB59/1000)</f>
        <v>3</v>
      </c>
      <c r="CE59" s="748">
        <f t="shared" ref="CE59:CE69" ca="1" si="202">IF(BZ59="-","-",COUNTIF(CD$58:CD$69,"&lt;"&amp;CD59))</f>
        <v>2</v>
      </c>
      <c r="CF59" s="748">
        <f t="shared" ref="CF59:CF69" ca="1" si="203">BY59+COUNTIFS(BZ$58:BZ$69,BZ59,CE$58:CE$69,"&lt;"&amp;CE59)</f>
        <v>3</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Bélgica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P.1 (4)</v>
      </c>
      <c r="F60" s="744" t="str">
        <f t="shared" ref="F60:F65" ca="1" si="208">IF(D60="Pendiente","-",INDEX($BT$6:$BT$53,MATCH($AF60,$BD$6:$BD$53,0)))</f>
        <v>P.1 (4)</v>
      </c>
      <c r="G60" s="744"/>
      <c r="H60" s="744" t="str">
        <f t="shared" ref="H60:H65" ca="1" si="209">IF(D60="Pendiente","-",INDEX($BZ$6:$BZ$53,MATCH($AA60,$BD$6:$BD$53,0)))</f>
        <v>P.1 (4)</v>
      </c>
      <c r="I60" s="744" t="str">
        <f t="shared" ref="I60:I65" ca="1" si="210">IF(D60="Pendiente","-",INDEX($BZ$6:$BZ$53,MATCH($AF60,$BD$6:$BD$53,0)))</f>
        <v>P.1 (4)</v>
      </c>
      <c r="J60" s="744"/>
      <c r="K60" s="744" t="str">
        <f t="shared" ref="K60:K65" ca="1" si="211">IF(D60="Pendiente","-",INDEX($CE$6:$CE$53,MATCH($AA60,$BD$6:$BD$53,0)))</f>
        <v>P.1 (4)</v>
      </c>
      <c r="L60" s="744" t="str">
        <f t="shared" ref="L60:L65" ca="1" si="212">IF(D60="Pendiente","-",INDEX($CE$6:$CE$53,MATCH($AF60,$BD$6:$BD$53,0)))</f>
        <v>P.1 (4)</v>
      </c>
      <c r="M60" s="744"/>
      <c r="N60" s="744" t="str">
        <f t="shared" ref="N60:N65" ca="1" si="213">IF(D60="Pendiente","-",INDEX($CH$6:$CH$53,MATCH($AA60,$BD$6:$BD$53,0)))</f>
        <v>P.3 (2)</v>
      </c>
      <c r="O60" s="744" t="str">
        <f t="shared" ref="O60:O65" ca="1" si="214">IF(D60="Pendiente","-",INDEX($CH$6:$CH$53,MATCH($AF60,$BD$6:$BD$53,0)))</f>
        <v>P.3 (2)</v>
      </c>
      <c r="P60" s="744"/>
      <c r="Q60" s="744" t="str">
        <f t="shared" ref="Q60:Q65" ca="1" si="215">IF(D60="Pendiente","-",INDEX($CN$6:$CN$53,MATCH($AA60,$BD$6:$BD$53,0)))</f>
        <v>P.3 (2)</v>
      </c>
      <c r="R60" s="744" t="str">
        <f t="shared" ref="R60:R65" ca="1" si="216">IF(D60="Pendiente","-",INDEX($CN$6:$CN$53,MATCH($AF60,$BD$6:$BD$53,0)))</f>
        <v>P.3 (2)</v>
      </c>
      <c r="S60" s="744"/>
      <c r="T60" s="744" t="str">
        <f t="shared" ref="T60:T65" ca="1" si="217">IF(D60="Pendiente","-",INDEX($CS$6:$CS$53,MATCH($AA60,$BD$6:$BD$53,0)))</f>
        <v>P.3 (2)</v>
      </c>
      <c r="U60" s="744" t="str">
        <f t="shared" ref="U60:U65" ca="1" si="218">IF(D60="Pendiente","-",INDEX($CS$6:$CS$53,MATCH($AF60,$BD$6:$BD$53,0)))</f>
        <v>P.3 (2)</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Marruecos</v>
      </c>
      <c r="BE60" s="748">
        <f t="shared" ca="1" si="189"/>
        <v>1</v>
      </c>
      <c r="BF60" s="748">
        <f t="shared" ca="1" si="190"/>
        <v>1</v>
      </c>
      <c r="BG60" s="748">
        <f t="shared" ca="1" si="191"/>
        <v>0</v>
      </c>
      <c r="BH60" s="748">
        <f t="shared" ca="1" si="192"/>
        <v>1</v>
      </c>
      <c r="BI60" s="748">
        <f t="shared" ca="1" si="176"/>
        <v>0</v>
      </c>
      <c r="BJ60" s="748">
        <f t="shared" ca="1" si="177"/>
        <v>1</v>
      </c>
      <c r="BK60" s="748">
        <f t="shared" ca="1" si="178"/>
        <v>1</v>
      </c>
      <c r="BL60" s="748">
        <f t="shared" ca="1" si="193"/>
        <v>0</v>
      </c>
      <c r="BM60" s="748">
        <f t="shared" ca="1" si="194"/>
        <v>4</v>
      </c>
      <c r="BN60" s="748">
        <f t="shared" ca="1" si="195"/>
        <v>4</v>
      </c>
      <c r="BO60" s="738" t="str">
        <f t="shared" si="196"/>
        <v>4C</v>
      </c>
      <c r="BP60" s="738"/>
      <c r="BQ60" s="738"/>
      <c r="BR60" s="748">
        <f t="shared" ca="1" si="179"/>
        <v>1</v>
      </c>
      <c r="BS60" s="748">
        <f t="shared" ca="1" si="197"/>
        <v>1</v>
      </c>
      <c r="BT60" s="748" t="str">
        <f t="shared" ca="1" si="198"/>
        <v>Pos. 1 (5)</v>
      </c>
      <c r="BU60" s="748">
        <f t="shared" ca="1" si="180"/>
        <v>0</v>
      </c>
      <c r="BV60" s="748">
        <f t="shared" ca="1" si="181"/>
        <v>1</v>
      </c>
      <c r="BW60" s="748" t="str">
        <f t="shared" ca="1" si="182"/>
        <v>Pos. 1 (5)</v>
      </c>
      <c r="BX60" s="748">
        <f t="shared" ca="1" si="183"/>
        <v>1</v>
      </c>
      <c r="BY60" s="748">
        <f t="shared" ca="1" si="184"/>
        <v>2</v>
      </c>
      <c r="BZ60" s="748" t="str">
        <f t="shared" ca="1" si="185"/>
        <v>Pos. 2 (3)</v>
      </c>
      <c r="CA60" s="748">
        <f t="shared" ca="1" si="199"/>
        <v>3</v>
      </c>
      <c r="CB60" s="748">
        <f t="shared" ca="1" si="200"/>
        <v>4</v>
      </c>
      <c r="CC60" s="748"/>
      <c r="CD60" s="748">
        <f t="shared" ca="1" si="201"/>
        <v>4</v>
      </c>
      <c r="CE60" s="748">
        <f t="shared" ca="1" si="202"/>
        <v>3</v>
      </c>
      <c r="CF60" s="748">
        <f t="shared" ca="1" si="203"/>
        <v>4</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2</v>
      </c>
      <c r="DK60" s="744"/>
      <c r="DL60" s="744">
        <f t="shared" ca="1" si="204"/>
        <v>1</v>
      </c>
      <c r="DM60" s="738" t="str">
        <f t="shared" ca="1" si="187"/>
        <v>2.1</v>
      </c>
      <c r="DN60" s="744" cm="1">
        <f t="array" aca="1" ref="DN60" ca="1">OFFSET(Horarios!$P$3,DJ60-1,0,DL60,1)</f>
        <v>2</v>
      </c>
      <c r="DO60" s="744"/>
      <c r="DP60" s="744">
        <v>3</v>
      </c>
      <c r="DQ60" s="744" t="str">
        <f t="shared" ca="1" si="205"/>
        <v>Catar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P.1 (4)</v>
      </c>
      <c r="F61" s="744" t="str">
        <f t="shared" ca="1" si="208"/>
        <v>P.1 (4)</v>
      </c>
      <c r="G61" s="744"/>
      <c r="H61" s="744" t="str">
        <f t="shared" ca="1" si="209"/>
        <v>P.1 (4)</v>
      </c>
      <c r="I61" s="744" t="str">
        <f t="shared" ca="1" si="210"/>
        <v>P.1 (4)</v>
      </c>
      <c r="J61" s="744"/>
      <c r="K61" s="744" t="str">
        <f t="shared" ca="1" si="211"/>
        <v>P.1 (4)</v>
      </c>
      <c r="L61" s="744" t="str">
        <f t="shared" ca="1" si="212"/>
        <v>P.1 (4)</v>
      </c>
      <c r="M61" s="744"/>
      <c r="N61" s="744" t="str">
        <f t="shared" ca="1" si="213"/>
        <v>P.1 (2)</v>
      </c>
      <c r="O61" s="744" t="str">
        <f t="shared" ca="1" si="214"/>
        <v>P.1 (2)</v>
      </c>
      <c r="P61" s="744"/>
      <c r="Q61" s="744" t="str">
        <f t="shared" ca="1" si="215"/>
        <v>P.1 (2)</v>
      </c>
      <c r="R61" s="744" t="str">
        <f t="shared" ca="1" si="216"/>
        <v>P.1 (2)</v>
      </c>
      <c r="S61" s="744"/>
      <c r="T61" s="744" t="str">
        <f t="shared" ca="1" si="217"/>
        <v>P.1 (2)</v>
      </c>
      <c r="U61" s="744" t="str">
        <f t="shared" ca="1" si="218"/>
        <v>P.1 (2)</v>
      </c>
      <c r="V61" s="172"/>
      <c r="W61" s="806"/>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1</v>
      </c>
      <c r="BG61" s="748">
        <f t="shared" ca="1" si="191"/>
        <v>0</v>
      </c>
      <c r="BH61" s="748">
        <f t="shared" ca="1" si="192"/>
        <v>0</v>
      </c>
      <c r="BI61" s="748">
        <f t="shared" ca="1" si="176"/>
        <v>1</v>
      </c>
      <c r="BJ61" s="748">
        <f t="shared" ca="1" si="177"/>
        <v>0</v>
      </c>
      <c r="BK61" s="748">
        <f t="shared" ca="1" si="178"/>
        <v>2</v>
      </c>
      <c r="BL61" s="748">
        <f t="shared" ca="1" si="193"/>
        <v>-2</v>
      </c>
      <c r="BM61" s="748">
        <f t="shared" ca="1" si="194"/>
        <v>12</v>
      </c>
      <c r="BN61" s="748">
        <f t="shared" ca="1" si="195"/>
        <v>12</v>
      </c>
      <c r="BO61" s="738" t="str">
        <f t="shared" si="196"/>
        <v>4D</v>
      </c>
      <c r="BP61" s="738"/>
      <c r="BQ61" s="738"/>
      <c r="BR61" s="748">
        <f t="shared" ca="1" si="179"/>
        <v>0</v>
      </c>
      <c r="BS61" s="748">
        <f t="shared" ca="1" si="197"/>
        <v>6</v>
      </c>
      <c r="BT61" s="748" t="str">
        <f t="shared" ca="1" si="198"/>
        <v>Pos. 6 (7)</v>
      </c>
      <c r="BU61" s="748">
        <f t="shared" ca="1" si="180"/>
        <v>-2</v>
      </c>
      <c r="BV61" s="748">
        <f t="shared" ca="1" si="181"/>
        <v>12</v>
      </c>
      <c r="BW61" s="748" t="str">
        <f t="shared" ca="1" si="182"/>
        <v>-</v>
      </c>
      <c r="BX61" s="748" t="str">
        <f t="shared" ca="1" si="183"/>
        <v>-</v>
      </c>
      <c r="BY61" s="748">
        <f t="shared" ca="1" si="184"/>
        <v>12</v>
      </c>
      <c r="BZ61" s="748" t="str">
        <f t="shared" ca="1" si="185"/>
        <v>-</v>
      </c>
      <c r="CA61" s="748" t="str">
        <f t="shared" ca="1" si="199"/>
        <v>-</v>
      </c>
      <c r="CB61" s="748">
        <f t="shared" ca="1" si="200"/>
        <v>12</v>
      </c>
      <c r="CC61" s="748"/>
      <c r="CD61" s="748">
        <f t="shared" ca="1" si="201"/>
        <v>12</v>
      </c>
      <c r="CE61" s="748" t="str">
        <f t="shared" ca="1" si="202"/>
        <v>-</v>
      </c>
      <c r="CF61" s="748">
        <f t="shared" ca="1" si="203"/>
        <v>12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2</v>
      </c>
      <c r="DK61" s="744"/>
      <c r="DL61" s="744">
        <f t="shared" ca="1" si="204"/>
        <v>1</v>
      </c>
      <c r="DM61" s="738" t="str">
        <f t="shared" ca="1" si="187"/>
        <v>2.1</v>
      </c>
      <c r="DN61" s="744" cm="1">
        <f t="array" aca="1" ref="DN61" ca="1">OFFSET(Horarios!$P$3,DJ61-1,0,DL61,1)</f>
        <v>2</v>
      </c>
      <c r="DO61" s="744"/>
      <c r="DP61" s="744">
        <v>4</v>
      </c>
      <c r="DQ61" s="744" t="str">
        <f t="shared" ca="1" si="205"/>
        <v>Marruecos</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06"/>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31">
        <f t="array" aca="1" ref="AK62" ca="1">Ver_flag_visit</f>
        <v>#VALUE!</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9" t="str">
        <f t="shared" si="188"/>
        <v>3E</v>
      </c>
      <c r="BC62" s="756" t="s">
        <v>3</v>
      </c>
      <c r="BD62" s="744" t="str">
        <f t="shared" ca="1" si="175"/>
        <v>Ecuador</v>
      </c>
      <c r="BE62" s="748">
        <f t="shared" ca="1" si="189"/>
        <v>0</v>
      </c>
      <c r="BF62" s="748">
        <f t="shared" ca="1" si="190"/>
        <v>1</v>
      </c>
      <c r="BG62" s="748">
        <f t="shared" ca="1" si="191"/>
        <v>0</v>
      </c>
      <c r="BH62" s="748">
        <f t="shared" ca="1" si="192"/>
        <v>0</v>
      </c>
      <c r="BI62" s="748">
        <f t="shared" ca="1" si="176"/>
        <v>1</v>
      </c>
      <c r="BJ62" s="748">
        <f t="shared" ca="1" si="177"/>
        <v>0</v>
      </c>
      <c r="BK62" s="748">
        <f t="shared" ca="1" si="178"/>
        <v>1</v>
      </c>
      <c r="BL62" s="748">
        <f t="shared" ca="1" si="193"/>
        <v>-1</v>
      </c>
      <c r="BM62" s="748">
        <f t="shared" ca="1" si="194"/>
        <v>11</v>
      </c>
      <c r="BN62" s="748">
        <f t="shared" ca="1" si="195"/>
        <v>11</v>
      </c>
      <c r="BO62" s="738" t="str">
        <f t="shared" si="196"/>
        <v>4E</v>
      </c>
      <c r="BP62" s="738"/>
      <c r="BQ62" s="738"/>
      <c r="BR62" s="748">
        <f t="shared" ca="1" si="179"/>
        <v>0</v>
      </c>
      <c r="BS62" s="748">
        <f t="shared" ca="1" si="197"/>
        <v>6</v>
      </c>
      <c r="BT62" s="748" t="str">
        <f t="shared" ca="1" si="198"/>
        <v>Pos. 6 (7)</v>
      </c>
      <c r="BU62" s="748">
        <f t="shared" ca="1" si="180"/>
        <v>-1</v>
      </c>
      <c r="BV62" s="748">
        <f t="shared" ca="1" si="181"/>
        <v>10</v>
      </c>
      <c r="BW62" s="748" t="str">
        <f t="shared" ca="1" si="182"/>
        <v>Pos. 10 (2)</v>
      </c>
      <c r="BX62" s="748">
        <f t="shared" ca="1" si="183"/>
        <v>0</v>
      </c>
      <c r="BY62" s="748">
        <f t="shared" ca="1" si="184"/>
        <v>11</v>
      </c>
      <c r="BZ62" s="748" t="str">
        <f t="shared" ca="1" si="185"/>
        <v>-</v>
      </c>
      <c r="CA62" s="748" t="str">
        <f t="shared" ca="1" si="199"/>
        <v>-</v>
      </c>
      <c r="CB62" s="748">
        <f t="shared" ca="1" si="200"/>
        <v>11</v>
      </c>
      <c r="CC62" s="748"/>
      <c r="CD62" s="748">
        <f t="shared" ca="1" si="201"/>
        <v>11</v>
      </c>
      <c r="CE62" s="748" t="str">
        <f t="shared" ca="1" si="202"/>
        <v>-</v>
      </c>
      <c r="CF62" s="748">
        <f t="shared" ca="1" si="203"/>
        <v>11</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España</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06"/>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Japón</v>
      </c>
      <c r="BE63" s="748">
        <f t="shared" ca="1" si="189"/>
        <v>1</v>
      </c>
      <c r="BF63" s="748">
        <f t="shared" ca="1" si="190"/>
        <v>1</v>
      </c>
      <c r="BG63" s="748">
        <f t="shared" ca="1" si="191"/>
        <v>0</v>
      </c>
      <c r="BH63" s="748">
        <f t="shared" ca="1" si="192"/>
        <v>1</v>
      </c>
      <c r="BI63" s="748">
        <f t="shared" ca="1" si="176"/>
        <v>0</v>
      </c>
      <c r="BJ63" s="748">
        <f t="shared" ca="1" si="177"/>
        <v>2</v>
      </c>
      <c r="BK63" s="748">
        <f t="shared" ca="1" si="178"/>
        <v>2</v>
      </c>
      <c r="BL63" s="748">
        <f t="shared" ca="1" si="193"/>
        <v>0</v>
      </c>
      <c r="BM63" s="748">
        <f t="shared" ca="1" si="194"/>
        <v>1</v>
      </c>
      <c r="BN63" s="748">
        <f t="shared" ca="1" si="195"/>
        <v>1</v>
      </c>
      <c r="BO63" s="738" t="str">
        <f t="shared" si="196"/>
        <v>4F</v>
      </c>
      <c r="BP63" s="738"/>
      <c r="BQ63" s="738"/>
      <c r="BR63" s="748">
        <f t="shared" ca="1" si="179"/>
        <v>1</v>
      </c>
      <c r="BS63" s="748">
        <f t="shared" ca="1" si="197"/>
        <v>1</v>
      </c>
      <c r="BT63" s="748" t="str">
        <f t="shared" ca="1" si="198"/>
        <v>Pos. 1 (5)</v>
      </c>
      <c r="BU63" s="748">
        <f t="shared" ca="1" si="180"/>
        <v>0</v>
      </c>
      <c r="BV63" s="748">
        <f t="shared" ca="1" si="181"/>
        <v>1</v>
      </c>
      <c r="BW63" s="748" t="str">
        <f t="shared" ca="1" si="182"/>
        <v>Pos. 1 (5)</v>
      </c>
      <c r="BX63" s="748">
        <f t="shared" ca="1" si="183"/>
        <v>2</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Austria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29">
        <f t="array" aca="1" ref="AK64" ca="1">Ver_flag_visit</f>
        <v>#VALUE!</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9" t="str">
        <f t="shared" si="188"/>
        <v>3G</v>
      </c>
      <c r="BC64" s="756" t="s">
        <v>6</v>
      </c>
      <c r="BD64" s="744" t="str">
        <f t="shared" ca="1" si="175"/>
        <v>Bélgica</v>
      </c>
      <c r="BE64" s="748">
        <f t="shared" ca="1" si="189"/>
        <v>1</v>
      </c>
      <c r="BF64" s="748">
        <f t="shared" ca="1" si="190"/>
        <v>1</v>
      </c>
      <c r="BG64" s="748">
        <f t="shared" ca="1" si="191"/>
        <v>0</v>
      </c>
      <c r="BH64" s="748">
        <f t="shared" ca="1" si="192"/>
        <v>1</v>
      </c>
      <c r="BI64" s="748">
        <f t="shared" ca="1" si="176"/>
        <v>0</v>
      </c>
      <c r="BJ64" s="748">
        <f t="shared" ca="1" si="177"/>
        <v>1</v>
      </c>
      <c r="BK64" s="748">
        <f t="shared" ca="1" si="178"/>
        <v>1</v>
      </c>
      <c r="BL64" s="748">
        <f t="shared" ca="1" si="193"/>
        <v>0</v>
      </c>
      <c r="BM64" s="748">
        <f t="shared" ca="1" si="194"/>
        <v>2</v>
      </c>
      <c r="BN64" s="748">
        <f t="shared" ca="1" si="195"/>
        <v>2</v>
      </c>
      <c r="BO64" s="738" t="str">
        <f t="shared" si="196"/>
        <v>4G</v>
      </c>
      <c r="BP64" s="738"/>
      <c r="BQ64" s="738"/>
      <c r="BR64" s="748">
        <f t="shared" ca="1" si="179"/>
        <v>1</v>
      </c>
      <c r="BS64" s="748">
        <f t="shared" ca="1" si="197"/>
        <v>1</v>
      </c>
      <c r="BT64" s="748" t="str">
        <f t="shared" ca="1" si="198"/>
        <v>Pos. 1 (5)</v>
      </c>
      <c r="BU64" s="748">
        <f t="shared" ca="1" si="180"/>
        <v>0</v>
      </c>
      <c r="BV64" s="748">
        <f t="shared" ca="1" si="181"/>
        <v>1</v>
      </c>
      <c r="BW64" s="748" t="str">
        <f t="shared" ca="1" si="182"/>
        <v>Pos. 1 (5)</v>
      </c>
      <c r="BX64" s="748">
        <f t="shared" ca="1" si="183"/>
        <v>1</v>
      </c>
      <c r="BY64" s="748">
        <f t="shared" ca="1" si="184"/>
        <v>2</v>
      </c>
      <c r="BZ64" s="748" t="str">
        <f t="shared" ca="1" si="185"/>
        <v>Pos. 2 (3)</v>
      </c>
      <c r="CA64" s="748">
        <f t="shared" ca="1" si="199"/>
        <v>10</v>
      </c>
      <c r="CB64" s="748">
        <f t="shared" ca="1" si="200"/>
        <v>2</v>
      </c>
      <c r="CC64" s="748"/>
      <c r="CD64" s="748">
        <f t="shared" ca="1" si="201"/>
        <v>2</v>
      </c>
      <c r="CE64" s="748">
        <f t="shared" ca="1" si="202"/>
        <v>1</v>
      </c>
      <c r="CF64" s="748">
        <f t="shared" ca="1" si="203"/>
        <v>2</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6</v>
      </c>
      <c r="DK64" s="744"/>
      <c r="DL64" s="744">
        <f t="shared" ca="1" si="204"/>
        <v>1</v>
      </c>
      <c r="DM64" s="738" t="str">
        <f t="shared" ca="1" si="187"/>
        <v>6.1</v>
      </c>
      <c r="DN64" s="744" cm="1">
        <f t="array" aca="1" ref="DN64" ca="1">OFFSET(Horarios!$P$3,DJ64-1,0,DL64,1)</f>
        <v>6</v>
      </c>
      <c r="DO64" s="744"/>
      <c r="DP64" s="744">
        <v>7</v>
      </c>
      <c r="DQ64" s="744" t="str">
        <f t="shared" ca="1" si="205"/>
        <v>Ghana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0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0">
        <f t="array" aca="1" ref="AK65" ca="1">Ver_flag_visit</f>
        <v>#VALUE!</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9" t="str">
        <f t="shared" si="188"/>
        <v>3H</v>
      </c>
      <c r="BC65" s="756" t="s">
        <v>437</v>
      </c>
      <c r="BD65" s="744" t="str">
        <f t="shared" ca="1" si="175"/>
        <v>España</v>
      </c>
      <c r="BE65" s="748">
        <f t="shared" ca="1" si="189"/>
        <v>1</v>
      </c>
      <c r="BF65" s="748">
        <f t="shared" ca="1" si="190"/>
        <v>1</v>
      </c>
      <c r="BG65" s="748">
        <f t="shared" ca="1" si="191"/>
        <v>0</v>
      </c>
      <c r="BH65" s="748">
        <f t="shared" ca="1" si="192"/>
        <v>1</v>
      </c>
      <c r="BI65" s="748">
        <f t="shared" ca="1" si="176"/>
        <v>0</v>
      </c>
      <c r="BJ65" s="748">
        <f t="shared" ca="1" si="177"/>
        <v>0</v>
      </c>
      <c r="BK65" s="748">
        <f t="shared" ca="1" si="178"/>
        <v>0</v>
      </c>
      <c r="BL65" s="748">
        <f t="shared" ca="1" si="193"/>
        <v>0</v>
      </c>
      <c r="BM65" s="748">
        <f t="shared" ca="1" si="194"/>
        <v>5</v>
      </c>
      <c r="BN65" s="748">
        <f t="shared" ca="1" si="195"/>
        <v>5</v>
      </c>
      <c r="BO65" s="738" t="str">
        <f t="shared" si="196"/>
        <v>4H</v>
      </c>
      <c r="BP65" s="738"/>
      <c r="BQ65" s="738"/>
      <c r="BR65" s="748">
        <f t="shared" ca="1" si="179"/>
        <v>1</v>
      </c>
      <c r="BS65" s="748">
        <f t="shared" ca="1" si="197"/>
        <v>1</v>
      </c>
      <c r="BT65" s="748" t="str">
        <f t="shared" ca="1" si="198"/>
        <v>Pos. 1 (5)</v>
      </c>
      <c r="BU65" s="748">
        <f t="shared" ca="1" si="180"/>
        <v>0</v>
      </c>
      <c r="BV65" s="748">
        <f t="shared" ca="1" si="181"/>
        <v>1</v>
      </c>
      <c r="BW65" s="748" t="str">
        <f t="shared" ca="1" si="182"/>
        <v>Pos. 1 (5)</v>
      </c>
      <c r="BX65" s="748">
        <f t="shared" ca="1" si="183"/>
        <v>0</v>
      </c>
      <c r="BY65" s="748">
        <f t="shared" ca="1" si="184"/>
        <v>5</v>
      </c>
      <c r="BZ65" s="748" t="str">
        <f t="shared" ca="1" si="185"/>
        <v>-</v>
      </c>
      <c r="CA65" s="748" t="str">
        <f t="shared" ca="1" si="199"/>
        <v>-</v>
      </c>
      <c r="CB65" s="748">
        <f t="shared" ca="1" si="200"/>
        <v>5</v>
      </c>
      <c r="CC65" s="748"/>
      <c r="CD65" s="748">
        <f t="shared" ca="1" si="201"/>
        <v>5</v>
      </c>
      <c r="CE65" s="748" t="str">
        <f t="shared" ca="1" si="202"/>
        <v>-</v>
      </c>
      <c r="CF65" s="748">
        <f t="shared" ca="1" si="203"/>
        <v>5</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6</v>
      </c>
      <c r="DK65" s="744"/>
      <c r="DL65" s="744">
        <f t="shared" ca="1" si="204"/>
        <v>1</v>
      </c>
      <c r="DM65" s="738" t="str">
        <f t="shared" ca="1" si="187"/>
        <v>6.1</v>
      </c>
      <c r="DN65" s="744" cm="1">
        <f t="array" aca="1" ref="DN65" ca="1">OFFSET(Horarios!$P$3,DJ65-1,0,DL65,1)</f>
        <v>6</v>
      </c>
      <c r="DO65" s="744"/>
      <c r="DP65" s="744">
        <v>8</v>
      </c>
      <c r="DQ65" s="744" t="str">
        <f t="shared" ca="1" si="205"/>
        <v>Irak</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8</v>
      </c>
      <c r="BN66" s="748">
        <f t="shared" ca="1" si="195"/>
        <v>8</v>
      </c>
      <c r="BO66" s="738" t="str">
        <f t="shared" si="196"/>
        <v>4I</v>
      </c>
      <c r="BP66" s="738"/>
      <c r="BQ66" s="738"/>
      <c r="BR66" s="748">
        <f t="shared" ca="1" si="179"/>
        <v>0</v>
      </c>
      <c r="BS66" s="748">
        <f t="shared" ca="1" si="197"/>
        <v>6</v>
      </c>
      <c r="BT66" s="748" t="str">
        <f t="shared" ca="1" si="198"/>
        <v>Pos. 6 (7)</v>
      </c>
      <c r="BU66" s="748">
        <f t="shared" ca="1" si="180"/>
        <v>0</v>
      </c>
      <c r="BV66" s="748">
        <f t="shared" ca="1" si="181"/>
        <v>6</v>
      </c>
      <c r="BW66" s="748" t="str">
        <f t="shared" ca="1" si="182"/>
        <v>Pos. 6 (4)</v>
      </c>
      <c r="BX66" s="748">
        <f t="shared" ca="1" si="183"/>
        <v>0</v>
      </c>
      <c r="BY66" s="748">
        <f t="shared" ca="1" si="184"/>
        <v>6</v>
      </c>
      <c r="BZ66" s="748" t="str">
        <f t="shared" ca="1" si="185"/>
        <v>Pos. 6 (4)</v>
      </c>
      <c r="CA66" s="748">
        <f t="shared" ca="1" si="199"/>
        <v>5</v>
      </c>
      <c r="CB66" s="748">
        <f t="shared" ca="1" si="200"/>
        <v>8</v>
      </c>
      <c r="CC66" s="748"/>
      <c r="CD66" s="748">
        <f t="shared" ca="1" si="201"/>
        <v>8</v>
      </c>
      <c r="CE66" s="748">
        <f t="shared" ca="1" si="202"/>
        <v>7</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6</v>
      </c>
      <c r="DK66" s="744"/>
      <c r="DL66" s="744">
        <f t="shared" ca="1" si="204"/>
        <v>1</v>
      </c>
      <c r="DM66" s="738" t="str">
        <f t="shared" ca="1" si="187"/>
        <v>6.1</v>
      </c>
      <c r="DN66" s="744" cm="1">
        <f t="array" aca="1" ref="DN66" ca="1">OFFSET(Horarios!$P$3,DJ66-1,0,DL66,1)</f>
        <v>6</v>
      </c>
      <c r="DO66" s="744"/>
      <c r="DP66" s="744">
        <v>9</v>
      </c>
      <c r="DQ66" s="744" t="str">
        <f t="shared" ca="1" si="205"/>
        <v>Uzbekistán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6</v>
      </c>
      <c r="BN67" s="748">
        <f t="shared" ca="1" si="195"/>
        <v>6</v>
      </c>
      <c r="BO67" s="738" t="str">
        <f t="shared" si="196"/>
        <v>4J</v>
      </c>
      <c r="BP67" s="738"/>
      <c r="BQ67" s="738"/>
      <c r="BR67" s="748">
        <f t="shared" ca="1" si="179"/>
        <v>0</v>
      </c>
      <c r="BS67" s="748">
        <f t="shared" ca="1" si="197"/>
        <v>6</v>
      </c>
      <c r="BT67" s="748" t="str">
        <f t="shared" ca="1" si="198"/>
        <v>Pos. 6 (7)</v>
      </c>
      <c r="BU67" s="748">
        <f t="shared" ca="1" si="180"/>
        <v>0</v>
      </c>
      <c r="BV67" s="748">
        <f t="shared" ca="1" si="181"/>
        <v>6</v>
      </c>
      <c r="BW67" s="748" t="str">
        <f t="shared" ca="1" si="182"/>
        <v>Pos. 6 (4)</v>
      </c>
      <c r="BX67" s="748">
        <f t="shared" ca="1" si="183"/>
        <v>0</v>
      </c>
      <c r="BY67" s="748">
        <f t="shared" ca="1" si="184"/>
        <v>6</v>
      </c>
      <c r="BZ67" s="748" t="str">
        <f t="shared" ca="1" si="185"/>
        <v>Pos. 6 (4)</v>
      </c>
      <c r="CA67" s="748">
        <f t="shared" ca="1" si="199"/>
        <v>11</v>
      </c>
      <c r="CB67" s="748">
        <f t="shared" ca="1" si="200"/>
        <v>6</v>
      </c>
      <c r="CC67" s="748"/>
      <c r="CD67" s="748">
        <f t="shared" ca="1" si="201"/>
        <v>6</v>
      </c>
      <c r="CE67" s="748">
        <f t="shared" ca="1" si="202"/>
        <v>5</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República Checa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Pendiente</v>
      </c>
      <c r="E68" s="744" t="str">
        <f t="shared" ref="E68:E73" si="226">IF(D68="Pendiente","-",INDEX($BT$6:$BT$53,MATCH($AA68,$BD$6:$BD$53,0)))</f>
        <v>-</v>
      </c>
      <c r="F68" s="744" t="str">
        <f t="shared" ref="F68:F73" si="227">IF(D68="Pendiente","-",INDEX($BT$6:$BT$53,MATCH($AF68,$BD$6:$BD$53,0)))</f>
        <v>-</v>
      </c>
      <c r="G68" s="744"/>
      <c r="H68" s="744" t="str">
        <f t="shared" ref="H68:H73" si="228">IF(D68="Pendiente","-",INDEX($BZ$6:$BZ$53,MATCH($AA68,$BD$6:$BD$53,0)))</f>
        <v>-</v>
      </c>
      <c r="I68" s="744" t="str">
        <f t="shared" ref="I68:I73" si="229">IF(D68="Pendiente","-",INDEX($BZ$6:$BZ$53,MATCH($AF68,$BD$6:$BD$53,0)))</f>
        <v>-</v>
      </c>
      <c r="J68" s="744"/>
      <c r="K68" s="744" t="str">
        <f t="shared" ref="K68:K73" si="230">IF(D68="Pendiente","-",INDEX($CE$6:$CE$53,MATCH($AA68,$BD$6:$BD$53,0)))</f>
        <v>-</v>
      </c>
      <c r="L68" s="744" t="str">
        <f t="shared" ref="L68:L73" si="231">IF(D68="Pendiente","-",INDEX($CE$6:$CE$53,MATCH($AF68,$BD$6:$BD$53,0)))</f>
        <v>-</v>
      </c>
      <c r="M68" s="744"/>
      <c r="N68" s="744" t="str">
        <f t="shared" ref="N68:N73" si="232">IF(D68="Pendiente","-",INDEX($CH$6:$CH$53,MATCH($AA68,$BD$6:$BD$53,0)))</f>
        <v>-</v>
      </c>
      <c r="O68" s="744" t="str">
        <f t="shared" ref="O68:O73" si="233">IF(D68="Pendiente","-",INDEX($CH$6:$CH$53,MATCH($AF68,$BD$6:$BD$53,0)))</f>
        <v>-</v>
      </c>
      <c r="P68" s="744"/>
      <c r="Q68" s="744" t="str">
        <f t="shared" ref="Q68:Q73" si="234">IF(D68="Pendiente","-",INDEX($CN$6:$CN$53,MATCH($AA68,$BD$6:$BD$53,0)))</f>
        <v>-</v>
      </c>
      <c r="R68" s="744" t="str">
        <f t="shared" ref="R68:R73" si="235">IF(D68="Pendiente","-",INDEX($CN$6:$CN$53,MATCH($AF68,$BD$6:$BD$53,0)))</f>
        <v>-</v>
      </c>
      <c r="S68" s="744"/>
      <c r="T68" s="744" t="str">
        <f t="shared" ref="T68:T73" si="236">IF(D68="Pendiente","-",INDEX($CS$6:$CS$53,MATCH($AA68,$BD$6:$BD$53,0)))</f>
        <v>-</v>
      </c>
      <c r="U68" s="744" t="str">
        <f t="shared" ref="U68:U73" si="237">IF(D68="Pendiente","-",INDEX($CS$6:$CS$53,MATCH($AF68,$BD$6:$BD$53,0)))</f>
        <v>-</v>
      </c>
      <c r="V68" s="172"/>
      <c r="W68" s="812"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9</v>
      </c>
      <c r="BN68" s="748">
        <f t="shared" ca="1" si="195"/>
        <v>9</v>
      </c>
      <c r="BO68" s="738" t="str">
        <f t="shared" si="196"/>
        <v>4K</v>
      </c>
      <c r="BP68" s="738"/>
      <c r="BQ68" s="738"/>
      <c r="BR68" s="748">
        <f t="shared" ca="1" si="179"/>
        <v>0</v>
      </c>
      <c r="BS68" s="748">
        <f t="shared" ca="1" si="197"/>
        <v>6</v>
      </c>
      <c r="BT68" s="748" t="str">
        <f t="shared" ca="1" si="198"/>
        <v>Pos. 6 (7)</v>
      </c>
      <c r="BU68" s="748">
        <f t="shared" ca="1" si="180"/>
        <v>0</v>
      </c>
      <c r="BV68" s="748">
        <f t="shared" ca="1" si="181"/>
        <v>6</v>
      </c>
      <c r="BW68" s="748" t="str">
        <f t="shared" ca="1" si="182"/>
        <v>Pos. 6 (4)</v>
      </c>
      <c r="BX68" s="748">
        <f t="shared" ca="1" si="183"/>
        <v>0</v>
      </c>
      <c r="BY68" s="748">
        <f t="shared" ca="1" si="184"/>
        <v>6</v>
      </c>
      <c r="BZ68" s="748" t="str">
        <f t="shared" ca="1" si="185"/>
        <v>Pos. 6 (4)</v>
      </c>
      <c r="CA68" s="748">
        <f t="shared" ca="1" si="199"/>
        <v>0</v>
      </c>
      <c r="CB68" s="748">
        <f t="shared" ca="1" si="200"/>
        <v>9</v>
      </c>
      <c r="CC68" s="748"/>
      <c r="CD68" s="748">
        <f t="shared" ca="1" si="201"/>
        <v>9</v>
      </c>
      <c r="CE68" s="748">
        <f t="shared" ca="1" si="202"/>
        <v>8</v>
      </c>
      <c r="CF68" s="748">
        <f t="shared" ca="1" si="203"/>
        <v>9</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Ecuador</v>
      </c>
      <c r="DR68" s="744"/>
      <c r="DS68" s="744"/>
      <c r="DT68" s="744" t="str">
        <f t="shared" ca="1" si="15"/>
        <v>Francia-Senegal</v>
      </c>
      <c r="DU68" s="744"/>
      <c r="DV68" s="744"/>
      <c r="DW68" s="8"/>
    </row>
    <row r="69" spans="1:127" ht="16.05" customHeight="1">
      <c r="A69" s="745" t="str">
        <f ca="1">+Equipos!B34</f>
        <v>Francia</v>
      </c>
      <c r="B69" s="742"/>
      <c r="C69" s="742"/>
      <c r="D69" s="744" t="str">
        <f t="shared" si="225"/>
        <v>Pendiente</v>
      </c>
      <c r="E69" s="744" t="str">
        <f t="shared" si="226"/>
        <v>-</v>
      </c>
      <c r="F69" s="744" t="str">
        <f t="shared" si="227"/>
        <v>-</v>
      </c>
      <c r="G69" s="744"/>
      <c r="H69" s="744" t="str">
        <f t="shared" si="228"/>
        <v>-</v>
      </c>
      <c r="I69" s="744" t="str">
        <f t="shared" si="229"/>
        <v>-</v>
      </c>
      <c r="J69" s="744"/>
      <c r="K69" s="744" t="str">
        <f t="shared" si="230"/>
        <v>-</v>
      </c>
      <c r="L69" s="744" t="str">
        <f t="shared" si="231"/>
        <v>-</v>
      </c>
      <c r="M69" s="744"/>
      <c r="N69" s="744" t="str">
        <f t="shared" si="232"/>
        <v>-</v>
      </c>
      <c r="O69" s="744" t="str">
        <f t="shared" si="233"/>
        <v>-</v>
      </c>
      <c r="P69" s="744"/>
      <c r="Q69" s="744" t="str">
        <f t="shared" si="234"/>
        <v>-</v>
      </c>
      <c r="R69" s="744" t="str">
        <f t="shared" si="235"/>
        <v>-</v>
      </c>
      <c r="S69" s="744"/>
      <c r="T69" s="744" t="str">
        <f t="shared" si="236"/>
        <v>-</v>
      </c>
      <c r="U69" s="744" t="str">
        <f t="shared" si="237"/>
        <v>-</v>
      </c>
      <c r="V69" s="172"/>
      <c r="W69" s="812"/>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7</v>
      </c>
      <c r="BN69" s="748">
        <f t="shared" ca="1" si="195"/>
        <v>7</v>
      </c>
      <c r="BO69" s="738" t="str">
        <f t="shared" si="196"/>
        <v>4L</v>
      </c>
      <c r="BP69" s="738"/>
      <c r="BQ69" s="738"/>
      <c r="BR69" s="748">
        <f t="shared" ca="1" si="179"/>
        <v>0</v>
      </c>
      <c r="BS69" s="748">
        <f t="shared" ca="1" si="197"/>
        <v>6</v>
      </c>
      <c r="BT69" s="748" t="str">
        <f t="shared" ca="1" si="198"/>
        <v>Pos. 6 (7)</v>
      </c>
      <c r="BU69" s="748">
        <f t="shared" ca="1" si="180"/>
        <v>0</v>
      </c>
      <c r="BV69" s="748">
        <f t="shared" ca="1" si="181"/>
        <v>6</v>
      </c>
      <c r="BW69" s="748" t="str">
        <f t="shared" ca="1" si="182"/>
        <v>Pos. 6 (4)</v>
      </c>
      <c r="BX69" s="748">
        <f t="shared" ca="1" si="183"/>
        <v>0</v>
      </c>
      <c r="BY69" s="748">
        <f t="shared" ca="1" si="184"/>
        <v>6</v>
      </c>
      <c r="BZ69" s="748" t="str">
        <f t="shared" ca="1" si="185"/>
        <v>Pos. 6 (4)</v>
      </c>
      <c r="CA69" s="748">
        <f t="shared" ca="1" si="199"/>
        <v>6</v>
      </c>
      <c r="CB69" s="748">
        <f ca="1">BY69+COUNTIFS(BZ$58:BZ$69,BZ69,CA$58:CA$69,"&gt;"&amp;CA69)</f>
        <v>7</v>
      </c>
      <c r="CC69" s="748"/>
      <c r="CD69" s="748">
        <f t="shared" ca="1" si="201"/>
        <v>7</v>
      </c>
      <c r="CE69" s="748">
        <f t="shared" ca="1" si="202"/>
        <v>6</v>
      </c>
      <c r="CF69" s="748">
        <f t="shared" ca="1" si="203"/>
        <v>7</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Turquía</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12"/>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12"/>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1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1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Pendiente</v>
      </c>
      <c r="E76" s="744" t="str">
        <f t="shared" ref="E76:E81" si="246">IF(D76="Pendiente","-",INDEX($BT$6:$BT$53,MATCH($AA76,$BD$6:$BD$53,0)))</f>
        <v>-</v>
      </c>
      <c r="F76" s="744" t="str">
        <f t="shared" ref="F76:F81" si="247">IF(D76="Pendiente","-",INDEX($BT$6:$BT$53,MATCH($AF76,$BD$6:$BD$53,0)))</f>
        <v>-</v>
      </c>
      <c r="G76" s="744"/>
      <c r="H76" s="744" t="str">
        <f t="shared" ref="H76:H81" si="248">IF(D76="Pendiente","-",INDEX($BZ$6:$BZ$53,MATCH($AA76,$BD$6:$BD$53,0)))</f>
        <v>-</v>
      </c>
      <c r="I76" s="744" t="str">
        <f t="shared" ref="I76:I81" si="249">IF(D76="Pendiente","-",INDEX($BZ$6:$BZ$53,MATCH($AF76,$BD$6:$BD$53,0)))</f>
        <v>-</v>
      </c>
      <c r="J76" s="744"/>
      <c r="K76" s="744" t="str">
        <f t="shared" ref="K76:K81" si="250">IF(D76="Pendiente","-",INDEX($CE$6:$CE$53,MATCH($AA76,$BD$6:$BD$53,0)))</f>
        <v>-</v>
      </c>
      <c r="L76" s="744" t="str">
        <f t="shared" ref="L76:L81" si="251">IF(D76="Pendiente","-",INDEX($CE$6:$CE$53,MATCH($AF76,$BD$6:$BD$53,0)))</f>
        <v>-</v>
      </c>
      <c r="M76" s="744"/>
      <c r="N76" s="744" t="str">
        <f t="shared" ref="N76:N81" si="252">IF(D76="Pendiente","-",INDEX($CH$6:$CH$53,MATCH($AA76,$BD$6:$BD$53,0)))</f>
        <v>-</v>
      </c>
      <c r="O76" s="744" t="str">
        <f t="shared" ref="O76:O81" si="253">IF(D76="Pendiente","-",INDEX($CH$6:$CH$53,MATCH($AF76,$BD$6:$BD$53,0)))</f>
        <v>-</v>
      </c>
      <c r="P76" s="744"/>
      <c r="Q76" s="744" t="str">
        <f t="shared" ref="Q76:Q81" si="254">IF(D76="Pendiente","-",INDEX($CN$6:$CN$53,MATCH($AA76,$BD$6:$BD$53,0)))</f>
        <v>-</v>
      </c>
      <c r="R76" s="744" t="str">
        <f t="shared" ref="R76:R81" si="255">IF(D76="Pendiente","-",INDEX($CN$6:$CN$53,MATCH($AF76,$BD$6:$BD$53,0)))</f>
        <v>-</v>
      </c>
      <c r="S76" s="744"/>
      <c r="T76" s="744" t="str">
        <f t="shared" ref="T76:T81" si="256">IF(D76="Pendiente","-",INDEX($CS$6:$CS$53,MATCH($AA76,$BD$6:$BD$53,0)))</f>
        <v>-</v>
      </c>
      <c r="U76" s="744" t="str">
        <f t="shared" ref="U76:U81" si="257">IF(D76="Pendiente","-",INDEX($CS$6:$CS$53,MATCH($AF76,$BD$6:$BD$53,0)))</f>
        <v>-</v>
      </c>
      <c r="V76" s="172"/>
      <c r="W76" s="808"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Pendiente</v>
      </c>
      <c r="E77" s="744" t="str">
        <f t="shared" si="246"/>
        <v>-</v>
      </c>
      <c r="F77" s="744" t="str">
        <f t="shared" si="247"/>
        <v>-</v>
      </c>
      <c r="G77" s="744"/>
      <c r="H77" s="744" t="str">
        <f t="shared" si="248"/>
        <v>-</v>
      </c>
      <c r="I77" s="744" t="str">
        <f t="shared" si="249"/>
        <v>-</v>
      </c>
      <c r="J77" s="744"/>
      <c r="K77" s="744" t="str">
        <f t="shared" si="250"/>
        <v>-</v>
      </c>
      <c r="L77" s="744" t="str">
        <f t="shared" si="251"/>
        <v>-</v>
      </c>
      <c r="M77" s="744"/>
      <c r="N77" s="744" t="str">
        <f t="shared" si="252"/>
        <v>-</v>
      </c>
      <c r="O77" s="744" t="str">
        <f t="shared" si="253"/>
        <v>-</v>
      </c>
      <c r="P77" s="744"/>
      <c r="Q77" s="744" t="str">
        <f t="shared" si="254"/>
        <v>-</v>
      </c>
      <c r="R77" s="744" t="str">
        <f t="shared" si="255"/>
        <v>-</v>
      </c>
      <c r="S77" s="744"/>
      <c r="T77" s="744" t="str">
        <f t="shared" si="256"/>
        <v>-</v>
      </c>
      <c r="U77" s="744" t="str">
        <f t="shared" si="257"/>
        <v>-</v>
      </c>
      <c r="V77" s="172"/>
      <c r="W77" s="808"/>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08"/>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08"/>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0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0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14"/>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14"/>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14"/>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1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1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10"/>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10"/>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10"/>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1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1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4</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4</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4</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Bélgica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4</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Catar</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4</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Marruecos</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4</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España</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4</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Austria</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4</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Uzbekistán</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República Checa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Ecuador</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32</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Turquía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1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1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2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F5" sqref="EF5:EF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8</v>
      </c>
      <c r="T1" s="87"/>
      <c r="U1" s="65"/>
      <c r="V1" s="87">
        <f ca="1">+IFERROR(RANK(V2,OFFSET($S$2,0,0,1,$D$5*3),0),"-")</f>
        <v>39</v>
      </c>
      <c r="W1" s="87"/>
      <c r="X1" s="65"/>
      <c r="Y1" s="87">
        <f ca="1">+IFERROR(RANK(Y2,OFFSET($S$2,0,0,1,$D$5*3),0),"-")</f>
        <v>15</v>
      </c>
      <c r="Z1" s="87"/>
      <c r="AA1" s="65"/>
      <c r="AB1" s="87">
        <f ca="1">+IFERROR(RANK(AB2,OFFSET($S$2,0,0,1,$D$5*3),0),"-")</f>
        <v>2</v>
      </c>
      <c r="AC1" s="87"/>
      <c r="AD1" s="65"/>
      <c r="AE1" s="87">
        <f ca="1">+IFERROR(RANK(AE2,OFFSET($S$2,0,0,1,$D$5*3),0),"-")</f>
        <v>22</v>
      </c>
      <c r="AF1" s="87"/>
      <c r="AG1" s="65"/>
      <c r="AH1" s="87">
        <f ca="1">+IFERROR(RANK(AH2,OFFSET($S$2,0,0,1,$D$5*3),0),"-")</f>
        <v>4</v>
      </c>
      <c r="AI1" s="87"/>
      <c r="AJ1" s="65"/>
      <c r="AK1" s="87">
        <f ca="1">+IFERROR(RANK(AK2,OFFSET($S$2,0,0,1,$D$5*3),0),"-")</f>
        <v>24</v>
      </c>
      <c r="AL1" s="87"/>
      <c r="AM1" s="65"/>
      <c r="AN1" s="87">
        <f ca="1">+IFERROR(RANK(AN2,OFFSET($S$2,0,0,1,$D$5*3),0),"-")</f>
        <v>23</v>
      </c>
      <c r="AO1" s="87"/>
      <c r="AP1" s="65"/>
      <c r="AQ1" s="87">
        <f ca="1">+IFERROR(RANK(AQ2,OFFSET($S$2,0,0,1,$D$5*3),0),"-")</f>
        <v>6</v>
      </c>
      <c r="AR1" s="87"/>
      <c r="AS1" s="65"/>
      <c r="AT1" s="87">
        <f ca="1">+IFERROR(RANK(AT2,OFFSET($S$2,0,0,1,$D$5*3),0),"-")</f>
        <v>17</v>
      </c>
      <c r="AU1" s="87"/>
      <c r="AV1" s="65"/>
      <c r="AW1" s="87">
        <f ca="1">+IFERROR(RANK(AW2,OFFSET($S$2,0,0,1,$D$5*3),0),"-")</f>
        <v>29</v>
      </c>
      <c r="AX1" s="87"/>
      <c r="AY1" s="65"/>
      <c r="AZ1" s="87">
        <f ca="1">+IFERROR(RANK(AZ2,OFFSET($S$2,0,0,1,$D$5*3),0),"-")</f>
        <v>9</v>
      </c>
      <c r="BA1" s="87"/>
      <c r="BB1" s="65"/>
      <c r="BC1" s="87">
        <f ca="1">+IFERROR(RANK(BC2,OFFSET($S$2,0,0,1,$D$5*3),0),"-")</f>
        <v>18</v>
      </c>
      <c r="BD1" s="87"/>
      <c r="BE1" s="65"/>
      <c r="BF1" s="87">
        <f ca="1">+IFERROR(RANK(BF2,OFFSET($S$2,0,0,1,$D$5*3),0),"-")</f>
        <v>19</v>
      </c>
      <c r="BG1" s="87"/>
      <c r="BH1" s="65"/>
      <c r="BI1" s="87">
        <f ca="1">+IFERROR(RANK(BI2,OFFSET($S$2,0,0,1,$D$5*3),0),"-")</f>
        <v>16</v>
      </c>
      <c r="BJ1" s="87"/>
      <c r="BK1" s="65"/>
      <c r="BL1" s="87">
        <f ca="1">+IFERROR(RANK(BL2,OFFSET($S$2,0,0,1,$D$5*3),0),"-")</f>
        <v>38</v>
      </c>
      <c r="BM1" s="87"/>
      <c r="BN1" s="65"/>
      <c r="BO1" s="87">
        <f ca="1">+IFERROR(RANK(BO2,OFFSET($S$2,0,0,1,$D$5*3),0),"-")</f>
        <v>11</v>
      </c>
      <c r="BP1" s="87"/>
      <c r="BQ1" s="65"/>
      <c r="BR1" s="87">
        <f ca="1">+IFERROR(RANK(BR2,OFFSET($S$2,0,0,1,$D$5*3),0),"-")</f>
        <v>7</v>
      </c>
      <c r="BS1" s="87"/>
      <c r="BT1" s="65"/>
      <c r="BU1" s="87">
        <f ca="1">+IFERROR(RANK(BU2,OFFSET($S$2,0,0,1,$D$5*3),0),"-")</f>
        <v>30</v>
      </c>
      <c r="BV1" s="87"/>
      <c r="BW1" s="65"/>
      <c r="BX1" s="87">
        <f ca="1">+IFERROR(RANK(BX2,OFFSET($S$2,0,0,1,$D$5*3),0),"-")</f>
        <v>27</v>
      </c>
      <c r="BY1" s="87"/>
      <c r="BZ1" s="65"/>
      <c r="CA1" s="87">
        <f ca="1">+IFERROR(RANK(CA2,OFFSET($S$2,0,0,1,$D$5*3),0),"-")</f>
        <v>13</v>
      </c>
      <c r="CB1" s="87"/>
      <c r="CC1" s="65"/>
      <c r="CD1" s="87">
        <f ca="1">+IFERROR(RANK(CD2,OFFSET($S$2,0,0,1,$D$5*3),0),"-")</f>
        <v>5</v>
      </c>
      <c r="CE1" s="87"/>
      <c r="CF1" s="65"/>
      <c r="CG1" s="87">
        <f ca="1">+IFERROR(RANK(CG2,OFFSET($S$2,0,0,1,$D$5*3),0),"-")</f>
        <v>12</v>
      </c>
      <c r="CH1" s="87"/>
      <c r="CI1" s="65"/>
      <c r="CJ1" s="87">
        <f ca="1">+IFERROR(RANK(CJ2,OFFSET($S$2,0,0,1,$D$5*3),0),"-")</f>
        <v>28</v>
      </c>
      <c r="CK1" s="87"/>
      <c r="CL1" s="65"/>
      <c r="CM1" s="87">
        <f ca="1">+IFERROR(RANK(CM2,OFFSET($S$2,0,0,1,$D$5*3),0),"-")</f>
        <v>14</v>
      </c>
      <c r="CN1" s="87"/>
      <c r="CO1" s="65"/>
      <c r="CP1" s="87">
        <f ca="1">+IFERROR(RANK(CP2,OFFSET($S$2,0,0,1,$D$5*3),0),"-")</f>
        <v>31</v>
      </c>
      <c r="CQ1" s="87"/>
      <c r="CR1" s="65"/>
      <c r="CS1" s="87">
        <f ca="1">+IFERROR(RANK(CS2,OFFSET($S$2,0,0,1,$D$5*3),0),"-")</f>
        <v>32</v>
      </c>
      <c r="CT1" s="87"/>
      <c r="CU1" s="65"/>
      <c r="CV1" s="87">
        <f ca="1">+IFERROR(RANK(CV2,OFFSET($S$2,0,0,1,$D$5*3),0),"-")</f>
        <v>3</v>
      </c>
      <c r="CW1" s="87"/>
      <c r="CX1" s="65"/>
      <c r="CY1" s="87">
        <f ca="1">+IFERROR(RANK(CY2,OFFSET($S$2,0,0,1,$D$5*3),0),"-")</f>
        <v>10</v>
      </c>
      <c r="CZ1" s="87"/>
      <c r="DA1" s="65"/>
      <c r="DB1" s="87">
        <f ca="1">+IFERROR(RANK(DB2,OFFSET($S$2,0,0,1,$D$5*3),0),"-")</f>
        <v>36</v>
      </c>
      <c r="DC1" s="87"/>
      <c r="DD1" s="65"/>
      <c r="DE1" s="87">
        <f ca="1">+IFERROR(RANK(DE2,OFFSET($S$2,0,0,1,$D$5*3),0),"-")</f>
        <v>33</v>
      </c>
      <c r="DF1" s="87"/>
      <c r="DG1" s="65"/>
      <c r="DH1" s="87">
        <f ca="1">+IFERROR(RANK(DH2,OFFSET($S$2,0,0,1,$D$5*3),0),"-")</f>
        <v>20</v>
      </c>
      <c r="DI1" s="87"/>
      <c r="DJ1" s="65"/>
      <c r="DK1" s="87">
        <f ca="1">+IFERROR(RANK(DK2,OFFSET($S$2,0,0,1,$D$5*3),0),"-")</f>
        <v>37</v>
      </c>
      <c r="DL1" s="87"/>
      <c r="DM1" s="65"/>
      <c r="DN1" s="87">
        <f ca="1">+IFERROR(RANK(DN2,OFFSET($S$2,0,0,1,$D$5*3),0),"-")</f>
        <v>34</v>
      </c>
      <c r="DO1" s="87"/>
      <c r="DP1" s="65"/>
      <c r="DQ1" s="87">
        <f ca="1">+IFERROR(RANK(DQ2,OFFSET($S$2,0,0,1,$D$5*3),0),"-")</f>
        <v>40</v>
      </c>
      <c r="DR1" s="87"/>
      <c r="DS1" s="65"/>
      <c r="DT1" s="87">
        <f ca="1">+IFERROR(RANK(DT2,OFFSET($S$2,0,0,1,$D$5*3),0),"-")</f>
        <v>21</v>
      </c>
      <c r="DU1" s="87"/>
      <c r="DV1" s="65"/>
      <c r="DW1" s="87">
        <f ca="1">+IFERROR(RANK(DW2,OFFSET($S$2,0,0,1,$D$5*3),0),"-")</f>
        <v>1</v>
      </c>
      <c r="DX1" s="87"/>
      <c r="DY1" s="65"/>
      <c r="DZ1" s="87">
        <f ca="1">+IFERROR(RANK(DZ2,OFFSET($S$2,0,0,1,$D$5*3),0),"-")</f>
        <v>25</v>
      </c>
      <c r="EA1" s="87"/>
      <c r="EB1" s="65"/>
      <c r="EC1" s="87">
        <f ca="1">+IFERROR(RANK(EC2,OFFSET($S$2,0,0,1,$D$5*3),0),"-")</f>
        <v>35</v>
      </c>
      <c r="ED1" s="87"/>
      <c r="EE1" s="65"/>
      <c r="EF1" s="87">
        <f ca="1">+IFERROR(RANK(EF2,OFFSET($S$2,0,0,1,$D$5*3),0),"-")</f>
        <v>26</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15.998100000000001</v>
      </c>
      <c r="T2" s="87"/>
      <c r="U2" s="65"/>
      <c r="V2" s="87">
        <f t="shared" ref="V2" ca="1" si="0">V4-(COLUMN()/10000)</f>
        <v>4.9977999999999998</v>
      </c>
      <c r="W2" s="87"/>
      <c r="X2" s="65"/>
      <c r="Y2" s="87">
        <f t="shared" ref="Y2" ca="1" si="1">Y4-(COLUMN()/10000)</f>
        <v>12.9975</v>
      </c>
      <c r="Z2" s="87"/>
      <c r="AA2" s="65"/>
      <c r="AB2" s="87">
        <f t="shared" ref="AB2" ca="1" si="2">AB4-(COLUMN()/10000)</f>
        <v>19.997199999999999</v>
      </c>
      <c r="AC2" s="87"/>
      <c r="AD2" s="65"/>
      <c r="AE2" s="87">
        <f t="shared" ref="AE2" ca="1" si="3">AE4-(COLUMN()/10000)</f>
        <v>10.9969</v>
      </c>
      <c r="AF2" s="87"/>
      <c r="AG2" s="65"/>
      <c r="AH2" s="87">
        <f t="shared" ref="AH2" ca="1" si="4">AH4-(COLUMN()/10000)</f>
        <v>18.996600000000001</v>
      </c>
      <c r="AI2" s="87"/>
      <c r="AJ2" s="65"/>
      <c r="AK2" s="87">
        <f t="shared" ref="AK2" ca="1" si="5">AK4-(COLUMN()/10000)</f>
        <v>9.9962999999999997</v>
      </c>
      <c r="AL2" s="87"/>
      <c r="AM2" s="65"/>
      <c r="AN2" s="87">
        <f t="shared" ref="AN2" ca="1" si="6">AN4-(COLUMN()/10000)</f>
        <v>10.996</v>
      </c>
      <c r="AO2" s="87"/>
      <c r="AP2" s="65"/>
      <c r="AQ2" s="87">
        <f t="shared" ref="AQ2" ca="1" si="7">AQ4-(COLUMN()/10000)</f>
        <v>17.995699999999999</v>
      </c>
      <c r="AR2" s="87"/>
      <c r="AS2" s="65"/>
      <c r="AT2" s="87">
        <f t="shared" ref="AT2" ca="1" si="8">AT4-(COLUMN()/10000)</f>
        <v>11.9954</v>
      </c>
      <c r="AU2" s="87"/>
      <c r="AV2" s="65"/>
      <c r="AW2" s="87">
        <f t="shared" ref="AW2" ca="1" si="9">AW4-(COLUMN()/10000)</f>
        <v>7.9950999999999999</v>
      </c>
      <c r="AX2" s="87"/>
      <c r="AY2" s="65"/>
      <c r="AZ2" s="87">
        <f t="shared" ref="AZ2" ca="1" si="10">AZ4-(COLUMN()/10000)</f>
        <v>15.9948</v>
      </c>
      <c r="BA2" s="87"/>
      <c r="BB2" s="65"/>
      <c r="BC2" s="87">
        <f t="shared" ref="BC2" ca="1" si="11">BC4-(COLUMN()/10000)</f>
        <v>11.9945</v>
      </c>
      <c r="BD2" s="87"/>
      <c r="BE2" s="65"/>
      <c r="BF2" s="87">
        <f t="shared" ref="BF2" ca="1" si="12">BF4-(COLUMN()/10000)</f>
        <v>11.994199999999999</v>
      </c>
      <c r="BG2" s="87"/>
      <c r="BH2" s="65"/>
      <c r="BI2" s="87">
        <f t="shared" ref="BI2" ca="1" si="13">BI4-(COLUMN()/10000)</f>
        <v>12.9939</v>
      </c>
      <c r="BJ2" s="87"/>
      <c r="BK2" s="65"/>
      <c r="BL2" s="87">
        <f t="shared" ref="BL2" ca="1" si="14">BL4-(COLUMN()/10000)</f>
        <v>5.9935999999999998</v>
      </c>
      <c r="BM2" s="87"/>
      <c r="BN2" s="65"/>
      <c r="BO2" s="87">
        <f t="shared" ref="BO2" ca="1" si="15">BO4-(COLUMN()/10000)</f>
        <v>14.9933</v>
      </c>
      <c r="BP2" s="87"/>
      <c r="BQ2" s="65"/>
      <c r="BR2" s="87">
        <f t="shared" ref="BR2" ca="1" si="16">BR4-(COLUMN()/10000)</f>
        <v>17.992999999999999</v>
      </c>
      <c r="BS2" s="87"/>
      <c r="BT2" s="65"/>
      <c r="BU2" s="87">
        <f t="shared" ref="BU2" ca="1" si="17">BU4-(COLUMN()/10000)</f>
        <v>7.9927000000000001</v>
      </c>
      <c r="BV2" s="87"/>
      <c r="BW2" s="65"/>
      <c r="BX2" s="87">
        <f t="shared" ref="BX2" ca="1" si="18">BX4-(COLUMN()/10000)</f>
        <v>8.9923999999999999</v>
      </c>
      <c r="BY2" s="87"/>
      <c r="BZ2" s="65"/>
      <c r="CA2" s="87">
        <f t="shared" ref="CA2" ca="1" si="19">CA4-(COLUMN()/10000)</f>
        <v>13.992100000000001</v>
      </c>
      <c r="CB2" s="87"/>
      <c r="CC2" s="65"/>
      <c r="CD2" s="87">
        <f t="shared" ref="CD2" ca="1" si="20">CD4-(COLUMN()/10000)</f>
        <v>18.991800000000001</v>
      </c>
      <c r="CE2" s="87"/>
      <c r="CF2" s="65"/>
      <c r="CG2" s="87">
        <f t="shared" ref="CG2" ca="1" si="21">CG4-(COLUMN()/10000)</f>
        <v>14.9915</v>
      </c>
      <c r="CH2" s="87"/>
      <c r="CI2" s="65"/>
      <c r="CJ2" s="87">
        <f t="shared" ref="CJ2" ca="1" si="22">CJ4-(COLUMN()/10000)</f>
        <v>8.9911999999999992</v>
      </c>
      <c r="CK2" s="87"/>
      <c r="CL2" s="65"/>
      <c r="CM2" s="87">
        <f t="shared" ref="CM2" ca="1" si="23">CM4-(COLUMN()/10000)</f>
        <v>13.9909</v>
      </c>
      <c r="CN2" s="87"/>
      <c r="CO2" s="65"/>
      <c r="CP2" s="87">
        <f t="shared" ref="CP2" ca="1" si="24">CP4-(COLUMN()/10000)</f>
        <v>7.9905999999999997</v>
      </c>
      <c r="CQ2" s="87"/>
      <c r="CR2" s="65"/>
      <c r="CS2" s="87">
        <f t="shared" ref="CS2" ca="1" si="25">CS4-(COLUMN()/10000)</f>
        <v>7.9903000000000004</v>
      </c>
      <c r="CT2" s="87"/>
      <c r="CU2" s="65"/>
      <c r="CV2" s="87">
        <f t="shared" ref="CV2" ca="1" si="26">CV4-(COLUMN()/10000)</f>
        <v>19.989999999999998</v>
      </c>
      <c r="CW2" s="87"/>
      <c r="CX2" s="65"/>
      <c r="CY2" s="87">
        <f t="shared" ref="CY2" ca="1" si="27">CY4-(COLUMN()/10000)</f>
        <v>15.989699999999999</v>
      </c>
      <c r="CZ2" s="87"/>
      <c r="DA2" s="65"/>
      <c r="DB2" s="87">
        <f t="shared" ref="DB2" ca="1" si="28">DB4-(COLUMN()/10000)</f>
        <v>6.9893999999999998</v>
      </c>
      <c r="DC2" s="87"/>
      <c r="DD2" s="65"/>
      <c r="DE2" s="87">
        <f t="shared" ref="DE2" ca="1" si="29">DE4-(COLUMN()/10000)</f>
        <v>7.9890999999999996</v>
      </c>
      <c r="DF2" s="87"/>
      <c r="DG2" s="65"/>
      <c r="DH2" s="87">
        <f t="shared" ref="DH2" ca="1" si="30">DH4-(COLUMN()/10000)</f>
        <v>11.988799999999999</v>
      </c>
      <c r="DI2" s="87"/>
      <c r="DJ2" s="65"/>
      <c r="DK2" s="87">
        <f t="shared" ref="DK2" ca="1" si="31">DK4-(COLUMN()/10000)</f>
        <v>6.9885000000000002</v>
      </c>
      <c r="DL2" s="87"/>
      <c r="DM2" s="65"/>
      <c r="DN2" s="87">
        <f t="shared" ref="DN2" ca="1" si="32">DN4-(COLUMN()/10000)</f>
        <v>7.9882</v>
      </c>
      <c r="DO2" s="87"/>
      <c r="DP2" s="65"/>
      <c r="DQ2" s="87">
        <f t="shared" ref="DQ2" ca="1" si="33">DQ4-(COLUMN()/10000)</f>
        <v>3.9878999999999998</v>
      </c>
      <c r="DR2" s="87"/>
      <c r="DS2" s="65"/>
      <c r="DT2" s="87">
        <f t="shared" ref="DT2" ca="1" si="34">DT4-(COLUMN()/10000)</f>
        <v>11.9876</v>
      </c>
      <c r="DU2" s="87"/>
      <c r="DV2" s="65"/>
      <c r="DW2" s="87">
        <f t="shared" ref="DW2" ca="1" si="35">DW4-(COLUMN()/10000)</f>
        <v>22.987300000000001</v>
      </c>
      <c r="DX2" s="87"/>
      <c r="DY2" s="65"/>
      <c r="DZ2" s="87">
        <f t="shared" ref="DZ2" ca="1" si="36">DZ4-(COLUMN()/10000)</f>
        <v>9.9870000000000001</v>
      </c>
      <c r="EA2" s="87"/>
      <c r="EB2" s="65"/>
      <c r="EC2" s="87">
        <f t="shared" ref="EC2" ca="1" si="37">EC4-(COLUMN()/10000)</f>
        <v>7.9866999999999999</v>
      </c>
      <c r="ED2" s="87"/>
      <c r="EE2" s="65"/>
      <c r="EF2" s="87">
        <f t="shared" ref="EF2" ca="1" si="38">EF4-(COLUMN()/10000)</f>
        <v>9.9863999999999997</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8</v>
      </c>
      <c r="T3" s="87"/>
      <c r="U3" s="65"/>
      <c r="V3" s="87">
        <f ca="1">RANK(V4,OFFSET($S$4,0,0,1,$D$5*3),0)</f>
        <v>39</v>
      </c>
      <c r="W3" s="87"/>
      <c r="X3" s="65"/>
      <c r="Y3" s="87">
        <f ca="1">RANK(Y4,OFFSET($S$4,0,0,1,$D$5*3),0)</f>
        <v>15</v>
      </c>
      <c r="Z3" s="87"/>
      <c r="AA3" s="65"/>
      <c r="AB3" s="87">
        <f ca="1">RANK(AB4,OFFSET($S$4,0,0,1,$D$5*3),0)</f>
        <v>2</v>
      </c>
      <c r="AC3" s="87"/>
      <c r="AD3" s="65"/>
      <c r="AE3" s="87">
        <f ca="1">RANK(AE4,OFFSET($S$4,0,0,1,$D$5*3),0)</f>
        <v>22</v>
      </c>
      <c r="AF3" s="87"/>
      <c r="AG3" s="65"/>
      <c r="AH3" s="87">
        <f ca="1">RANK(AH4,OFFSET($S$4,0,0,1,$D$5*3),0)</f>
        <v>4</v>
      </c>
      <c r="AI3" s="87"/>
      <c r="AJ3" s="65"/>
      <c r="AK3" s="87">
        <f ca="1">RANK(AK4,OFFSET($S$4,0,0,1,$D$5*3),0)</f>
        <v>24</v>
      </c>
      <c r="AL3" s="87"/>
      <c r="AM3" s="65"/>
      <c r="AN3" s="87">
        <f ca="1">RANK(AN4,OFFSET($S$4,0,0,1,$D$5*3),0)</f>
        <v>22</v>
      </c>
      <c r="AO3" s="87"/>
      <c r="AP3" s="65"/>
      <c r="AQ3" s="87">
        <f ca="1">RANK(AQ4,OFFSET($S$4,0,0,1,$D$5*3),0)</f>
        <v>6</v>
      </c>
      <c r="AR3" s="87"/>
      <c r="AS3" s="65"/>
      <c r="AT3" s="87">
        <f ca="1">RANK(AT4,OFFSET($S$4,0,0,1,$D$5*3),0)</f>
        <v>17</v>
      </c>
      <c r="AU3" s="87"/>
      <c r="AV3" s="65"/>
      <c r="AW3" s="87">
        <f ca="1">RANK(AW4,OFFSET($S$4,0,0,1,$D$5*3),0)</f>
        <v>29</v>
      </c>
      <c r="AX3" s="87"/>
      <c r="AY3" s="65"/>
      <c r="AZ3" s="87">
        <f ca="1">RANK(AZ4,OFFSET($S$4,0,0,1,$D$5*3),0)</f>
        <v>8</v>
      </c>
      <c r="BA3" s="87"/>
      <c r="BB3" s="65"/>
      <c r="BC3" s="87">
        <f ca="1">RANK(BC4,OFFSET($S$4,0,0,1,$D$5*3),0)</f>
        <v>17</v>
      </c>
      <c r="BD3" s="87"/>
      <c r="BE3" s="65"/>
      <c r="BF3" s="87">
        <f ca="1">RANK(BF4,OFFSET($S$4,0,0,1,$D$5*3),0)</f>
        <v>17</v>
      </c>
      <c r="BG3" s="87"/>
      <c r="BH3" s="65"/>
      <c r="BI3" s="87">
        <f ca="1">RANK(BI4,OFFSET($S$4,0,0,1,$D$5*3),0)</f>
        <v>15</v>
      </c>
      <c r="BJ3" s="87"/>
      <c r="BK3" s="65"/>
      <c r="BL3" s="87">
        <f ca="1">RANK(BL4,OFFSET($S$4,0,0,1,$D$5*3),0)</f>
        <v>38</v>
      </c>
      <c r="BM3" s="87"/>
      <c r="BN3" s="65"/>
      <c r="BO3" s="87">
        <f ca="1">RANK(BO4,OFFSET($S$4,0,0,1,$D$5*3),0)</f>
        <v>11</v>
      </c>
      <c r="BP3" s="87"/>
      <c r="BQ3" s="65"/>
      <c r="BR3" s="87">
        <f ca="1">RANK(BR4,OFFSET($S$4,0,0,1,$D$5*3),0)</f>
        <v>6</v>
      </c>
      <c r="BS3" s="87"/>
      <c r="BT3" s="65"/>
      <c r="BU3" s="87">
        <f ca="1">RANK(BU4,OFFSET($S$4,0,0,1,$D$5*3),0)</f>
        <v>29</v>
      </c>
      <c r="BV3" s="87"/>
      <c r="BW3" s="65"/>
      <c r="BX3" s="87">
        <f ca="1">RANK(BX4,OFFSET($S$4,0,0,1,$D$5*3),0)</f>
        <v>27</v>
      </c>
      <c r="BY3" s="87"/>
      <c r="BZ3" s="65"/>
      <c r="CA3" s="87">
        <f ca="1">RANK(CA4,OFFSET($S$4,0,0,1,$D$5*3),0)</f>
        <v>13</v>
      </c>
      <c r="CB3" s="87"/>
      <c r="CC3" s="65"/>
      <c r="CD3" s="87">
        <f ca="1">RANK(CD4,OFFSET($S$4,0,0,1,$D$5*3),0)</f>
        <v>4</v>
      </c>
      <c r="CE3" s="87"/>
      <c r="CF3" s="65"/>
      <c r="CG3" s="87">
        <f ca="1">RANK(CG4,OFFSET($S$4,0,0,1,$D$5*3),0)</f>
        <v>11</v>
      </c>
      <c r="CH3" s="87"/>
      <c r="CI3" s="65"/>
      <c r="CJ3" s="87">
        <f ca="1">RANK(CJ4,OFFSET($S$4,0,0,1,$D$5*3),0)</f>
        <v>27</v>
      </c>
      <c r="CK3" s="87"/>
      <c r="CL3" s="65"/>
      <c r="CM3" s="87">
        <f ca="1">RANK(CM4,OFFSET($S$4,0,0,1,$D$5*3),0)</f>
        <v>13</v>
      </c>
      <c r="CN3" s="87"/>
      <c r="CO3" s="65"/>
      <c r="CP3" s="87">
        <f ca="1">RANK(CP4,OFFSET($S$4,0,0,1,$D$5*3),0)</f>
        <v>29</v>
      </c>
      <c r="CQ3" s="87"/>
      <c r="CR3" s="65"/>
      <c r="CS3" s="87">
        <f ca="1">RANK(CS4,OFFSET($S$4,0,0,1,$D$5*3),0)</f>
        <v>29</v>
      </c>
      <c r="CT3" s="87"/>
      <c r="CU3" s="65"/>
      <c r="CV3" s="87">
        <f ca="1">RANK(CV4,OFFSET($S$4,0,0,1,$D$5*3),0)</f>
        <v>2</v>
      </c>
      <c r="CW3" s="87"/>
      <c r="CX3" s="65"/>
      <c r="CY3" s="87">
        <f ca="1">RANK(CY4,OFFSET($S$4,0,0,1,$D$5*3),0)</f>
        <v>8</v>
      </c>
      <c r="CZ3" s="87"/>
      <c r="DA3" s="65"/>
      <c r="DB3" s="87">
        <f ca="1">RANK(DB4,OFFSET($S$4,0,0,1,$D$5*3),0)</f>
        <v>36</v>
      </c>
      <c r="DC3" s="87"/>
      <c r="DD3" s="65"/>
      <c r="DE3" s="87">
        <f ca="1">RANK(DE4,OFFSET($S$4,0,0,1,$D$5*3),0)</f>
        <v>29</v>
      </c>
      <c r="DF3" s="87"/>
      <c r="DG3" s="65"/>
      <c r="DH3" s="87">
        <f ca="1">RANK(DH4,OFFSET($S$4,0,0,1,$D$5*3),0)</f>
        <v>17</v>
      </c>
      <c r="DI3" s="87"/>
      <c r="DJ3" s="65"/>
      <c r="DK3" s="87">
        <f ca="1">RANK(DK4,OFFSET($S$4,0,0,1,$D$5*3),0)</f>
        <v>36</v>
      </c>
      <c r="DL3" s="87"/>
      <c r="DM3" s="65"/>
      <c r="DN3" s="87">
        <f ca="1">RANK(DN4,OFFSET($S$4,0,0,1,$D$5*3),0)</f>
        <v>29</v>
      </c>
      <c r="DO3" s="87"/>
      <c r="DP3" s="65"/>
      <c r="DQ3" s="87">
        <f ca="1">RANK(DQ4,OFFSET($S$4,0,0,1,$D$5*3),0)</f>
        <v>40</v>
      </c>
      <c r="DR3" s="87"/>
      <c r="DS3" s="65"/>
      <c r="DT3" s="87">
        <f ca="1">RANK(DT4,OFFSET($S$4,0,0,1,$D$5*3),0)</f>
        <v>17</v>
      </c>
      <c r="DU3" s="87"/>
      <c r="DV3" s="65"/>
      <c r="DW3" s="87">
        <f ca="1">RANK(DW4,OFFSET($S$4,0,0,1,$D$5*3),0)</f>
        <v>1</v>
      </c>
      <c r="DX3" s="87"/>
      <c r="DY3" s="65"/>
      <c r="DZ3" s="87">
        <f ca="1">RANK(DZ4,OFFSET($S$4,0,0,1,$D$5*3),0)</f>
        <v>24</v>
      </c>
      <c r="EA3" s="87"/>
      <c r="EB3" s="65"/>
      <c r="EC3" s="87">
        <f ca="1">RANK(EC4,OFFSET($S$4,0,0,1,$D$5*3),0)</f>
        <v>29</v>
      </c>
      <c r="ED3" s="87"/>
      <c r="EE3" s="65"/>
      <c r="EF3" s="87">
        <f ca="1">RANK(EF4,OFFSET($S$4,0,0,1,$D$5*3),0)</f>
        <v>24</v>
      </c>
      <c r="EG3" s="87"/>
      <c r="EH3" s="65"/>
      <c r="EI3" s="87">
        <f ca="1">RANK(EI4,OFFSET($S$4,0,0,1,$D$5*3),0)</f>
        <v>41</v>
      </c>
      <c r="EJ3" s="87"/>
      <c r="EK3" s="65"/>
      <c r="EL3" s="87">
        <f ca="1">RANK(EL4,OFFSET($S$4,0,0,1,$D$5*3),0)</f>
        <v>41</v>
      </c>
      <c r="EM3" s="87"/>
      <c r="EN3" s="65"/>
      <c r="EO3" s="87">
        <f ca="1">RANK(EO4,OFFSET($S$4,0,0,1,$D$5*3),0)</f>
        <v>41</v>
      </c>
      <c r="EP3" s="87"/>
      <c r="EQ3" s="65"/>
      <c r="ER3" s="87">
        <f ca="1">RANK(ER4,OFFSET($S$4,0,0,1,$D$5*3),0)</f>
        <v>41</v>
      </c>
      <c r="ES3" s="87"/>
      <c r="ET3" s="65"/>
      <c r="EU3" s="87">
        <f ca="1">RANK(EU4,OFFSET($S$4,0,0,1,$D$5*3),0)</f>
        <v>41</v>
      </c>
      <c r="EV3" s="87"/>
      <c r="EW3" s="65"/>
      <c r="EX3" s="87">
        <f ca="1">RANK(EX4,OFFSET($S$4,0,0,1,$D$5*3),0)</f>
        <v>41</v>
      </c>
      <c r="EY3" s="87"/>
      <c r="EZ3" s="65"/>
      <c r="FA3" s="87">
        <f ca="1">RANK(FA4,OFFSET($S$4,0,0,1,$D$5*3),0)</f>
        <v>41</v>
      </c>
      <c r="FB3" s="87"/>
      <c r="FC3" s="65"/>
      <c r="FD3" s="87">
        <f ca="1">RANK(FD4,OFFSET($S$4,0,0,1,$D$5*3),0)</f>
        <v>41</v>
      </c>
      <c r="FE3" s="87"/>
      <c r="FF3" s="65"/>
      <c r="FG3" s="87">
        <f ca="1">RANK(FG4,OFFSET($S$4,0,0,1,$D$5*3),0)</f>
        <v>41</v>
      </c>
      <c r="FH3" s="87"/>
      <c r="FI3" s="65"/>
      <c r="FJ3" s="87">
        <f ca="1">RANK(FJ4,OFFSET($S$4,0,0,1,$D$5*3),0)</f>
        <v>41</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16</v>
      </c>
      <c r="T4" s="68"/>
      <c r="U4" s="65"/>
      <c r="V4" s="67">
        <f ca="1">SUM(W6:W259)/2</f>
        <v>5</v>
      </c>
      <c r="W4" s="68"/>
      <c r="X4" s="65"/>
      <c r="Y4" s="67">
        <f ca="1">SUM(Z6:Z259)/2</f>
        <v>13</v>
      </c>
      <c r="Z4" s="68"/>
      <c r="AA4" s="65"/>
      <c r="AB4" s="67">
        <f ca="1">SUM(AC6:AC259)/2</f>
        <v>20</v>
      </c>
      <c r="AC4" s="68"/>
      <c r="AD4" s="65"/>
      <c r="AE4" s="67">
        <f ca="1">SUM(AF6:AF259)/2</f>
        <v>11</v>
      </c>
      <c r="AF4" s="68"/>
      <c r="AG4" s="65"/>
      <c r="AH4" s="67">
        <f ca="1">SUM(AI6:AI259)/2</f>
        <v>19</v>
      </c>
      <c r="AI4" s="68"/>
      <c r="AJ4" s="65"/>
      <c r="AK4" s="67">
        <f ca="1">SUM(AL6:AL259)/2</f>
        <v>10</v>
      </c>
      <c r="AL4" s="68"/>
      <c r="AM4" s="65"/>
      <c r="AN4" s="67">
        <f ca="1">SUM(AO6:AO259)/2</f>
        <v>11</v>
      </c>
      <c r="AO4" s="68"/>
      <c r="AP4" s="65"/>
      <c r="AQ4" s="67">
        <f ca="1">SUM(AR6:AR259)/2</f>
        <v>18</v>
      </c>
      <c r="AR4" s="68"/>
      <c r="AS4" s="65"/>
      <c r="AT4" s="67">
        <f ca="1">SUM(AU6:AU259)/2</f>
        <v>12</v>
      </c>
      <c r="AU4" s="68"/>
      <c r="AV4" s="65"/>
      <c r="AW4" s="67">
        <f ca="1">SUM(AX6:AX259)/2</f>
        <v>8</v>
      </c>
      <c r="AX4" s="68"/>
      <c r="AY4" s="65"/>
      <c r="AZ4" s="67">
        <f ca="1">SUM(BA6:BA259)/2</f>
        <v>16</v>
      </c>
      <c r="BA4" s="68"/>
      <c r="BB4" s="65"/>
      <c r="BC4" s="67">
        <f ca="1">SUM(BD6:BD259)/2</f>
        <v>12</v>
      </c>
      <c r="BD4" s="68"/>
      <c r="BE4" s="65"/>
      <c r="BF4" s="67">
        <f ca="1">SUM(BG6:BG259)/2</f>
        <v>12</v>
      </c>
      <c r="BG4" s="68"/>
      <c r="BH4" s="65"/>
      <c r="BI4" s="67">
        <f ca="1">SUM(BJ6:BJ259)/2</f>
        <v>13</v>
      </c>
      <c r="BJ4" s="68"/>
      <c r="BK4" s="65"/>
      <c r="BL4" s="67">
        <f ca="1">SUM(BM6:BM259)/2</f>
        <v>6</v>
      </c>
      <c r="BM4" s="68"/>
      <c r="BN4" s="65"/>
      <c r="BO4" s="67">
        <f ca="1">SUM(BP6:BP259)/2</f>
        <v>15</v>
      </c>
      <c r="BP4" s="68"/>
      <c r="BQ4" s="65"/>
      <c r="BR4" s="67">
        <f ca="1">SUM(BS6:BS259)/2</f>
        <v>18</v>
      </c>
      <c r="BS4" s="68"/>
      <c r="BT4" s="65"/>
      <c r="BU4" s="67">
        <f ca="1">SUM(BV6:BV259)/2</f>
        <v>8</v>
      </c>
      <c r="BV4" s="68"/>
      <c r="BW4" s="65"/>
      <c r="BX4" s="67">
        <f ca="1">SUM(BY6:BY259)/2</f>
        <v>9</v>
      </c>
      <c r="BY4" s="68"/>
      <c r="BZ4" s="65"/>
      <c r="CA4" s="67">
        <f ca="1">SUM(CB6:CB259)/2</f>
        <v>14</v>
      </c>
      <c r="CB4" s="68"/>
      <c r="CC4" s="65"/>
      <c r="CD4" s="67">
        <f ca="1">SUM(CE6:CE259)/2</f>
        <v>19</v>
      </c>
      <c r="CE4" s="68"/>
      <c r="CF4" s="65"/>
      <c r="CG4" s="67">
        <f ca="1">SUM(CH6:CH259)/2</f>
        <v>15</v>
      </c>
      <c r="CH4" s="68"/>
      <c r="CI4" s="65"/>
      <c r="CJ4" s="67">
        <f ca="1">SUM(CK6:CK259)/2</f>
        <v>9</v>
      </c>
      <c r="CK4" s="68"/>
      <c r="CL4" s="65"/>
      <c r="CM4" s="67">
        <f ca="1">SUM(CN6:CN259)/2</f>
        <v>14</v>
      </c>
      <c r="CN4" s="68"/>
      <c r="CO4" s="65"/>
      <c r="CP4" s="67">
        <f ca="1">SUM(CQ6:CQ259)/2</f>
        <v>8</v>
      </c>
      <c r="CQ4" s="68"/>
      <c r="CR4" s="65"/>
      <c r="CS4" s="67">
        <f ca="1">SUM(CT6:CT259)/2</f>
        <v>8</v>
      </c>
      <c r="CT4" s="68"/>
      <c r="CU4" s="65"/>
      <c r="CV4" s="67">
        <f ca="1">SUM(CW6:CW259)/2</f>
        <v>20</v>
      </c>
      <c r="CW4" s="68"/>
      <c r="CX4" s="65"/>
      <c r="CY4" s="67">
        <f ca="1">SUM(CZ6:CZ259)/2</f>
        <v>16</v>
      </c>
      <c r="CZ4" s="68"/>
      <c r="DA4" s="65"/>
      <c r="DB4" s="67">
        <f ca="1">SUM(DC6:DC259)/2</f>
        <v>7</v>
      </c>
      <c r="DC4" s="68"/>
      <c r="DD4" s="65"/>
      <c r="DE4" s="67">
        <f ca="1">SUM(DF6:DF259)/2</f>
        <v>8</v>
      </c>
      <c r="DF4" s="68"/>
      <c r="DG4" s="65"/>
      <c r="DH4" s="67">
        <f ca="1">SUM(DI6:DI259)/2</f>
        <v>12</v>
      </c>
      <c r="DI4" s="68"/>
      <c r="DJ4" s="65"/>
      <c r="DK4" s="67">
        <f ca="1">SUM(DL6:DL259)/2</f>
        <v>7</v>
      </c>
      <c r="DL4" s="68"/>
      <c r="DM4" s="65"/>
      <c r="DN4" s="67">
        <f ca="1">SUM(DO6:DO259)/2</f>
        <v>8</v>
      </c>
      <c r="DO4" s="68"/>
      <c r="DP4" s="65"/>
      <c r="DQ4" s="67">
        <f ca="1">SUM(DR6:DR259)/2</f>
        <v>4</v>
      </c>
      <c r="DR4" s="68"/>
      <c r="DS4" s="65"/>
      <c r="DT4" s="67">
        <f ca="1">SUM(DU6:DU259)/2</f>
        <v>12</v>
      </c>
      <c r="DU4" s="68"/>
      <c r="DV4" s="65"/>
      <c r="DW4" s="67">
        <f ca="1">SUM(DX6:DX259)/2</f>
        <v>23</v>
      </c>
      <c r="DX4" s="68"/>
      <c r="DY4" s="65"/>
      <c r="DZ4" s="67">
        <f ca="1">SUM(EA6:EA259)/2</f>
        <v>10</v>
      </c>
      <c r="EA4" s="68"/>
      <c r="EB4" s="65"/>
      <c r="EC4" s="67">
        <f ca="1">SUM(ED6:ED259)/2</f>
        <v>8</v>
      </c>
      <c r="ED4" s="68"/>
      <c r="EE4" s="65"/>
      <c r="EF4" s="67">
        <f ca="1">SUM(EG6:EG259)/2</f>
        <v>10</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795" t="s">
        <v>2001</v>
      </c>
      <c r="DR22" s="73">
        <f t="shared" si="102"/>
        <v>0</v>
      </c>
      <c r="DS22" s="65"/>
      <c r="DT22" s="74" t="s">
        <v>1954</v>
      </c>
      <c r="DU22" s="73">
        <f t="shared" si="105"/>
        <v>0</v>
      </c>
      <c r="DV22" s="65"/>
      <c r="DW22" s="74" t="s">
        <v>1948</v>
      </c>
      <c r="DX22" s="73">
        <f t="shared" si="105"/>
        <v>0</v>
      </c>
      <c r="DY22" s="65"/>
      <c r="DZ22" s="74" t="s">
        <v>1954</v>
      </c>
      <c r="EA22" s="73">
        <f t="shared" si="105"/>
        <v>0</v>
      </c>
      <c r="EB22" s="65"/>
      <c r="EC22" s="74" t="s">
        <v>1958</v>
      </c>
      <c r="ED22" s="73">
        <f t="shared" si="105"/>
        <v>0</v>
      </c>
      <c r="EE22" s="65"/>
      <c r="EF22" s="74" t="s">
        <v>1946</v>
      </c>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95" t="s">
        <v>1948</v>
      </c>
      <c r="DR23" s="73">
        <f t="shared" si="102"/>
        <v>0</v>
      </c>
      <c r="DS23" s="65"/>
      <c r="DT23" s="74" t="s">
        <v>1952</v>
      </c>
      <c r="DU23" s="73">
        <f t="shared" si="105"/>
        <v>0</v>
      </c>
      <c r="DV23" s="65"/>
      <c r="DW23" s="74" t="s">
        <v>1945</v>
      </c>
      <c r="DX23" s="73">
        <f t="shared" si="105"/>
        <v>0</v>
      </c>
      <c r="DY23" s="65"/>
      <c r="DZ23" s="74" t="s">
        <v>1949</v>
      </c>
      <c r="EA23" s="73">
        <f t="shared" si="105"/>
        <v>0</v>
      </c>
      <c r="EB23" s="65"/>
      <c r="EC23" s="74" t="s">
        <v>1952</v>
      </c>
      <c r="ED23" s="73">
        <f t="shared" si="105"/>
        <v>0</v>
      </c>
      <c r="EE23" s="65"/>
      <c r="EF23" s="74" t="s">
        <v>1952</v>
      </c>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95" t="s">
        <v>1948</v>
      </c>
      <c r="DR24" s="77">
        <f t="shared" si="102"/>
        <v>0</v>
      </c>
      <c r="DS24" s="65"/>
      <c r="DT24" s="76" t="s">
        <v>1946</v>
      </c>
      <c r="DU24" s="77">
        <f t="shared" si="105"/>
        <v>0</v>
      </c>
      <c r="DV24" s="65"/>
      <c r="DW24" s="76" t="s">
        <v>1954</v>
      </c>
      <c r="DX24" s="77">
        <f t="shared" si="105"/>
        <v>0</v>
      </c>
      <c r="DY24" s="65"/>
      <c r="DZ24" s="76" t="s">
        <v>1948</v>
      </c>
      <c r="EA24" s="77">
        <f t="shared" si="105"/>
        <v>0</v>
      </c>
      <c r="EB24" s="65"/>
      <c r="EC24" s="76" t="s">
        <v>1954</v>
      </c>
      <c r="ED24" s="77">
        <f t="shared" si="105"/>
        <v>0</v>
      </c>
      <c r="EE24" s="65"/>
      <c r="EF24" s="76" t="s">
        <v>1957</v>
      </c>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95" t="s">
        <v>1948</v>
      </c>
      <c r="DR25" s="73">
        <f t="shared" si="102"/>
        <v>0</v>
      </c>
      <c r="DS25" s="65"/>
      <c r="DT25" s="74" t="s">
        <v>1942</v>
      </c>
      <c r="DU25" s="73">
        <f t="shared" si="105"/>
        <v>0</v>
      </c>
      <c r="DV25" s="65"/>
      <c r="DW25" s="74" t="s">
        <v>1943</v>
      </c>
      <c r="DX25" s="73">
        <f t="shared" si="105"/>
        <v>0</v>
      </c>
      <c r="DY25" s="65"/>
      <c r="DZ25" s="74" t="s">
        <v>1954</v>
      </c>
      <c r="EA25" s="73">
        <f t="shared" si="105"/>
        <v>0</v>
      </c>
      <c r="EB25" s="65"/>
      <c r="EC25" s="74" t="s">
        <v>1942</v>
      </c>
      <c r="ED25" s="73">
        <f t="shared" si="105"/>
        <v>0</v>
      </c>
      <c r="EE25" s="65"/>
      <c r="EF25" s="74" t="s">
        <v>1942</v>
      </c>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95" t="s">
        <v>1949</v>
      </c>
      <c r="DR27" s="73">
        <f t="shared" si="102"/>
        <v>0</v>
      </c>
      <c r="DS27" s="65"/>
      <c r="DT27" s="74" t="s">
        <v>1949</v>
      </c>
      <c r="DU27" s="73">
        <f t="shared" si="105"/>
        <v>0</v>
      </c>
      <c r="DV27" s="65"/>
      <c r="DW27" s="74" t="s">
        <v>1945</v>
      </c>
      <c r="DX27" s="73">
        <f t="shared" si="105"/>
        <v>0</v>
      </c>
      <c r="DY27" s="65"/>
      <c r="DZ27" s="74" t="s">
        <v>1960</v>
      </c>
      <c r="EA27" s="73">
        <f t="shared" si="105"/>
        <v>0</v>
      </c>
      <c r="EB27" s="65"/>
      <c r="EC27" s="74" t="s">
        <v>1949</v>
      </c>
      <c r="ED27" s="73">
        <f t="shared" si="105"/>
        <v>0</v>
      </c>
      <c r="EE27" s="65"/>
      <c r="EF27" s="74" t="s">
        <v>1945</v>
      </c>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95" t="s">
        <v>1952</v>
      </c>
      <c r="DR28" s="73">
        <f t="shared" si="102"/>
        <v>0</v>
      </c>
      <c r="DS28" s="65"/>
      <c r="DT28" s="74" t="s">
        <v>1952</v>
      </c>
      <c r="DU28" s="73">
        <f t="shared" si="105"/>
        <v>0</v>
      </c>
      <c r="DV28" s="65"/>
      <c r="DW28" s="74" t="s">
        <v>1943</v>
      </c>
      <c r="DX28" s="73">
        <f t="shared" si="105"/>
        <v>0</v>
      </c>
      <c r="DY28" s="65"/>
      <c r="DZ28" s="74" t="s">
        <v>1946</v>
      </c>
      <c r="EA28" s="73">
        <f t="shared" si="105"/>
        <v>0</v>
      </c>
      <c r="EB28" s="65"/>
      <c r="EC28" s="74" t="s">
        <v>1954</v>
      </c>
      <c r="ED28" s="73">
        <f t="shared" si="105"/>
        <v>0</v>
      </c>
      <c r="EE28" s="65"/>
      <c r="EF28" s="74" t="s">
        <v>1943</v>
      </c>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95" t="s">
        <v>1946</v>
      </c>
      <c r="DR29" s="79">
        <f t="shared" si="102"/>
        <v>0</v>
      </c>
      <c r="DS29" s="65"/>
      <c r="DT29" s="78" t="s">
        <v>1948</v>
      </c>
      <c r="DU29" s="79">
        <f t="shared" si="105"/>
        <v>0</v>
      </c>
      <c r="DV29" s="65"/>
      <c r="DW29" s="78" t="s">
        <v>1954</v>
      </c>
      <c r="DX29" s="79">
        <f t="shared" si="105"/>
        <v>0</v>
      </c>
      <c r="DY29" s="65"/>
      <c r="DZ29" s="78" t="s">
        <v>1942</v>
      </c>
      <c r="EA29" s="79">
        <f t="shared" si="105"/>
        <v>0</v>
      </c>
      <c r="EB29" s="65"/>
      <c r="EC29" s="78" t="s">
        <v>1948</v>
      </c>
      <c r="ED29" s="79">
        <f t="shared" si="105"/>
        <v>0</v>
      </c>
      <c r="EE29" s="65"/>
      <c r="EF29" s="78" t="s">
        <v>1954</v>
      </c>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0</v>
      </c>
      <c r="DS30" s="65"/>
      <c r="DT30" s="76" t="s">
        <v>1944</v>
      </c>
      <c r="DU30" s="77">
        <f t="shared" si="107"/>
        <v>0</v>
      </c>
      <c r="DV30" s="65"/>
      <c r="DW30" s="76" t="s">
        <v>1948</v>
      </c>
      <c r="DX30" s="77">
        <f t="shared" si="105"/>
        <v>0</v>
      </c>
      <c r="DY30" s="65"/>
      <c r="DZ30" s="76" t="s">
        <v>1942</v>
      </c>
      <c r="EA30" s="77">
        <f t="shared" si="105"/>
        <v>0</v>
      </c>
      <c r="EB30" s="65"/>
      <c r="EC30" s="76" t="s">
        <v>1946</v>
      </c>
      <c r="ED30" s="77">
        <f t="shared" si="105"/>
        <v>0</v>
      </c>
      <c r="EE30" s="65"/>
      <c r="EF30" s="76" t="s">
        <v>1942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95" t="s">
        <v>1958</v>
      </c>
      <c r="DR31" s="73">
        <f t="shared" si="107"/>
        <v>0</v>
      </c>
      <c r="DS31" s="65"/>
      <c r="DT31" s="74" t="s">
        <v>1956</v>
      </c>
      <c r="DU31" s="73">
        <f t="shared" si="107"/>
        <v>0</v>
      </c>
      <c r="DV31" s="65"/>
      <c r="DW31" s="74" t="s">
        <v>1956</v>
      </c>
      <c r="DX31" s="73">
        <f t="shared" si="105"/>
        <v>0</v>
      </c>
      <c r="DY31" s="65"/>
      <c r="DZ31" s="74" t="s">
        <v>1946</v>
      </c>
      <c r="EA31" s="73">
        <f t="shared" si="105"/>
        <v>0</v>
      </c>
      <c r="EB31" s="65"/>
      <c r="EC31" s="74" t="s">
        <v>1942</v>
      </c>
      <c r="ED31" s="73">
        <f t="shared" si="105"/>
        <v>0</v>
      </c>
      <c r="EE31" s="65"/>
      <c r="EF31" s="74" t="s">
        <v>1946</v>
      </c>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95"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t="s">
        <v>1946</v>
      </c>
      <c r="EA32" s="73">
        <f t="shared" si="109"/>
        <v>0</v>
      </c>
      <c r="EB32" s="65"/>
      <c r="EC32" s="74" t="s">
        <v>1948</v>
      </c>
      <c r="ED32" s="73">
        <f t="shared" si="109"/>
        <v>0</v>
      </c>
      <c r="EE32" s="65"/>
      <c r="EF32" s="74" t="s">
        <v>1943</v>
      </c>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95" t="s">
        <v>1960</v>
      </c>
      <c r="DR33" s="73">
        <f t="shared" si="107"/>
        <v>0</v>
      </c>
      <c r="DS33" s="65"/>
      <c r="DT33" s="74" t="s">
        <v>1948</v>
      </c>
      <c r="DU33" s="73">
        <f t="shared" si="107"/>
        <v>0</v>
      </c>
      <c r="DV33" s="65"/>
      <c r="DW33" s="74" t="s">
        <v>1948</v>
      </c>
      <c r="DX33" s="73">
        <f t="shared" si="109"/>
        <v>0</v>
      </c>
      <c r="DY33" s="65"/>
      <c r="DZ33" s="74" t="s">
        <v>1954</v>
      </c>
      <c r="EA33" s="73">
        <f t="shared" si="109"/>
        <v>0</v>
      </c>
      <c r="EB33" s="65"/>
      <c r="EC33" s="74" t="s">
        <v>1960</v>
      </c>
      <c r="ED33" s="73">
        <f t="shared" si="109"/>
        <v>0</v>
      </c>
      <c r="EE33" s="65"/>
      <c r="EF33" s="74" t="s">
        <v>1948</v>
      </c>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16</v>
      </c>
      <c r="U78" s="64"/>
      <c r="V78" s="82"/>
      <c r="W78" s="83">
        <f>SUM(W6:W77)</f>
        <v>5</v>
      </c>
      <c r="X78" s="64"/>
      <c r="Y78" s="82"/>
      <c r="Z78" s="83">
        <f t="shared" ref="Z78" si="127">SUM(Z6:Z77)</f>
        <v>13</v>
      </c>
      <c r="AA78" s="64"/>
      <c r="AB78" s="82"/>
      <c r="AC78" s="83">
        <f t="shared" ref="AC78" si="128">SUM(AC6:AC77)</f>
        <v>20</v>
      </c>
      <c r="AD78" s="64"/>
      <c r="AE78" s="82"/>
      <c r="AF78" s="83">
        <f t="shared" ref="AF78" si="129">SUM(AF6:AF77)</f>
        <v>11</v>
      </c>
      <c r="AG78" s="64"/>
      <c r="AH78" s="82"/>
      <c r="AI78" s="83">
        <f t="shared" ref="AI78" si="130">SUM(AI6:AI77)</f>
        <v>19</v>
      </c>
      <c r="AJ78" s="64"/>
      <c r="AK78" s="82"/>
      <c r="AL78" s="83">
        <f t="shared" ref="AL78" si="131">SUM(AL6:AL77)</f>
        <v>10</v>
      </c>
      <c r="AM78" s="64"/>
      <c r="AN78" s="82"/>
      <c r="AO78" s="83">
        <f t="shared" ref="AO78" si="132">SUM(AO6:AO77)</f>
        <v>11</v>
      </c>
      <c r="AP78" s="64"/>
      <c r="AQ78" s="82"/>
      <c r="AR78" s="83">
        <f t="shared" ref="AR78" si="133">SUM(AR6:AR77)</f>
        <v>18</v>
      </c>
      <c r="AS78" s="64"/>
      <c r="AT78" s="82"/>
      <c r="AU78" s="83">
        <f t="shared" ref="AU78" si="134">SUM(AU6:AU77)</f>
        <v>12</v>
      </c>
      <c r="AV78" s="64"/>
      <c r="AW78" s="82"/>
      <c r="AX78" s="83">
        <f t="shared" ref="AX78" si="135">SUM(AX6:AX77)</f>
        <v>8</v>
      </c>
      <c r="AY78" s="64"/>
      <c r="AZ78" s="82"/>
      <c r="BA78" s="83">
        <f t="shared" ref="BA78" si="136">SUM(BA6:BA77)</f>
        <v>16</v>
      </c>
      <c r="BB78" s="64"/>
      <c r="BC78" s="82"/>
      <c r="BD78" s="83">
        <f t="shared" ref="BD78" si="137">SUM(BD6:BD77)</f>
        <v>12</v>
      </c>
      <c r="BE78" s="64"/>
      <c r="BF78" s="82"/>
      <c r="BG78" s="83">
        <f t="shared" ref="BG78" si="138">SUM(BG6:BG77)</f>
        <v>12</v>
      </c>
      <c r="BH78" s="64"/>
      <c r="BI78" s="82"/>
      <c r="BJ78" s="83">
        <f t="shared" ref="BJ78" si="139">SUM(BJ6:BJ77)</f>
        <v>13</v>
      </c>
      <c r="BK78" s="64"/>
      <c r="BL78" s="82"/>
      <c r="BM78" s="83">
        <f t="shared" ref="BM78" si="140">SUM(BM6:BM77)</f>
        <v>6</v>
      </c>
      <c r="BN78" s="64"/>
      <c r="BO78" s="82"/>
      <c r="BP78" s="83">
        <f t="shared" ref="BP78" si="141">SUM(BP6:BP77)</f>
        <v>15</v>
      </c>
      <c r="BQ78" s="64"/>
      <c r="BR78" s="82"/>
      <c r="BS78" s="83">
        <f t="shared" ref="BS78" si="142">SUM(BS6:BS77)</f>
        <v>18</v>
      </c>
      <c r="BT78" s="64"/>
      <c r="BU78" s="82"/>
      <c r="BV78" s="83">
        <f t="shared" ref="BV78" si="143">SUM(BV6:BV77)</f>
        <v>8</v>
      </c>
      <c r="BW78" s="64"/>
      <c r="BX78" s="82"/>
      <c r="BY78" s="83">
        <f t="shared" ref="BY78" si="144">SUM(BY6:BY77)</f>
        <v>9</v>
      </c>
      <c r="BZ78" s="64"/>
      <c r="CA78" s="82"/>
      <c r="CB78" s="83">
        <f t="shared" ref="CB78" si="145">SUM(CB6:CB77)</f>
        <v>14</v>
      </c>
      <c r="CC78" s="64"/>
      <c r="CD78" s="82"/>
      <c r="CE78" s="83">
        <f t="shared" ref="CE78" si="146">SUM(CE6:CE77)</f>
        <v>19</v>
      </c>
      <c r="CF78" s="64"/>
      <c r="CG78" s="82"/>
      <c r="CH78" s="83">
        <f t="shared" ref="CH78" si="147">SUM(CH6:CH77)</f>
        <v>15</v>
      </c>
      <c r="CI78" s="64"/>
      <c r="CJ78" s="82"/>
      <c r="CK78" s="83">
        <f t="shared" ref="CK78" si="148">SUM(CK6:CK77)</f>
        <v>9</v>
      </c>
      <c r="CL78" s="64"/>
      <c r="CM78" s="82"/>
      <c r="CN78" s="83">
        <f t="shared" ref="CN78" si="149">SUM(CN6:CN77)</f>
        <v>14</v>
      </c>
      <c r="CO78" s="64"/>
      <c r="CP78" s="82"/>
      <c r="CQ78" s="83">
        <f t="shared" ref="CQ78" si="150">SUM(CQ6:CQ77)</f>
        <v>8</v>
      </c>
      <c r="CR78" s="64"/>
      <c r="CS78" s="82"/>
      <c r="CT78" s="83">
        <f t="shared" ref="CT78" si="151">SUM(CT6:CT77)</f>
        <v>8</v>
      </c>
      <c r="CU78" s="64"/>
      <c r="CV78" s="82"/>
      <c r="CW78" s="83">
        <f t="shared" ref="CW78" si="152">SUM(CW6:CW77)</f>
        <v>20</v>
      </c>
      <c r="CX78" s="64"/>
      <c r="CY78" s="82"/>
      <c r="CZ78" s="83">
        <f t="shared" ref="CZ78" si="153">SUM(CZ6:CZ77)</f>
        <v>16</v>
      </c>
      <c r="DA78" s="64"/>
      <c r="DB78" s="82"/>
      <c r="DC78" s="83">
        <f t="shared" ref="DC78" si="154">SUM(DC6:DC77)</f>
        <v>7</v>
      </c>
      <c r="DD78" s="64"/>
      <c r="DE78" s="82"/>
      <c r="DF78" s="83">
        <f t="shared" ref="DF78" si="155">SUM(DF6:DF77)</f>
        <v>8</v>
      </c>
      <c r="DG78" s="64"/>
      <c r="DH78" s="82"/>
      <c r="DI78" s="83">
        <f t="shared" ref="DI78" si="156">SUM(DI6:DI77)</f>
        <v>12</v>
      </c>
      <c r="DJ78" s="64"/>
      <c r="DK78" s="82"/>
      <c r="DL78" s="83">
        <f t="shared" ref="DL78" si="157">SUM(DL6:DL77)</f>
        <v>7</v>
      </c>
      <c r="DM78" s="64"/>
      <c r="DN78" s="796"/>
      <c r="DO78" s="83">
        <f t="shared" ref="DO78" si="158">SUM(DO6:DO77)</f>
        <v>8</v>
      </c>
      <c r="DP78" s="64"/>
      <c r="DQ78" s="796"/>
      <c r="DR78" s="83">
        <f t="shared" ref="DR78" si="159">SUM(DR6:DR77)</f>
        <v>4</v>
      </c>
      <c r="DS78" s="64"/>
      <c r="DT78" s="82"/>
      <c r="DU78" s="83">
        <f t="shared" ref="DU78" si="160">SUM(DU6:DU77)</f>
        <v>12</v>
      </c>
      <c r="DV78" s="64"/>
      <c r="DW78" s="82"/>
      <c r="DX78" s="83">
        <f t="shared" ref="DX78" si="161">SUM(DX6:DX77)</f>
        <v>23</v>
      </c>
      <c r="DY78" s="64"/>
      <c r="DZ78" s="82"/>
      <c r="EA78" s="83">
        <f t="shared" ref="EA78" si="162">SUM(EA6:EA77)</f>
        <v>10</v>
      </c>
      <c r="EB78" s="64"/>
      <c r="EC78" s="82"/>
      <c r="ED78" s="83">
        <f t="shared" ref="ED78" si="163">SUM(ED6:ED77)</f>
        <v>8</v>
      </c>
      <c r="EE78" s="64"/>
      <c r="EF78" s="82"/>
      <c r="EG78" s="83">
        <f t="shared" ref="EG78" si="164">SUM(EG6:EG77)</f>
        <v>10</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39</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40</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39</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39</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39</v>
      </c>
      <c r="EJ265" s="25"/>
      <c r="EK265" s="25"/>
      <c r="EL265" s="25">
        <f ca="1">RANK(EL266,OFFSET($S$266,0,0,1,$D$5*3),0)</f>
        <v>39</v>
      </c>
      <c r="EM265" s="25"/>
      <c r="EN265" s="25"/>
      <c r="EO265" s="25">
        <f ca="1">RANK(EO266,OFFSET($S$266,0,0,1,$D$5*3),0)</f>
        <v>39</v>
      </c>
      <c r="EP265" s="25"/>
      <c r="EQ265" s="25"/>
      <c r="ER265" s="25">
        <f ca="1">RANK(ER266,OFFSET($S$266,0,0,1,$D$5*3),0)</f>
        <v>39</v>
      </c>
      <c r="ES265" s="25"/>
      <c r="ET265" s="25"/>
      <c r="EU265" s="25">
        <f ca="1">RANK(EU266,OFFSET($S$266,0,0,1,$D$5*3),0)</f>
        <v>39</v>
      </c>
      <c r="EV265" s="25"/>
      <c r="EW265" s="25"/>
      <c r="EX265" s="25">
        <f ca="1">RANK(EX266,OFFSET($S$266,0,0,1,$D$5*3),0)</f>
        <v>39</v>
      </c>
      <c r="EY265" s="25"/>
      <c r="EZ265" s="25"/>
      <c r="FA265" s="25">
        <f ca="1">RANK(FA266,OFFSET($S$266,0,0,1,$D$5*3),0)</f>
        <v>39</v>
      </c>
      <c r="FB265" s="25"/>
      <c r="FC265" s="25"/>
      <c r="FD265" s="25">
        <f ca="1">RANK(FD266,OFFSET($S$266,0,0,1,$D$5*3),0)</f>
        <v>39</v>
      </c>
      <c r="FE265" s="25"/>
      <c r="FF265" s="25"/>
      <c r="FG265" s="25">
        <f ca="1">RANK(FG266,OFFSET($S$266,0,0,1,$D$5*3),0)</f>
        <v>39</v>
      </c>
      <c r="FH265" s="25"/>
      <c r="FI265" s="25"/>
      <c r="FJ265" s="25">
        <f ca="1">RANK(FJ266,OFFSET($S$266,0,0,1,$D$5*3),0)</f>
        <v>39</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IGNACIO LAFUENTE</v>
      </c>
      <c r="D5" s="91">
        <f ca="1">IFERROR(HLOOKUP(A5,Rango_Admin_Clas,4,FALSE),"-")</f>
        <v>23</v>
      </c>
      <c r="E5" s="92" cm="1">
        <f t="array" aca="1" ref="E5" ca="1">IFERROR(INDEX(Rango_Admin_Clas_Total,E$2,MATCH($A5,Rango_Admin_Clas_Primera,0)+1),"-")</f>
        <v>23</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Jaime Lafuente</v>
      </c>
      <c r="D6" s="91">
        <f ca="1">IFERROR(HLOOKUP(A6,Rango_Admin_Clas,4,FALSE),"-")</f>
        <v>20</v>
      </c>
      <c r="E6" s="92" cm="1">
        <f t="array" aca="1" ref="E6" ca="1">IFERROR(INDEX(Rango_Admin_Clas_Total,E$2,MATCH($A6,Rango_Admin_Clas_Primera,0)+1),"-")</f>
        <v>20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KIRICOCHO</v>
      </c>
      <c r="D7" s="91">
        <f ca="1">IFERROR(HLOOKUP(A7,Rango_Admin_Clas,4,FALSE),"-")</f>
        <v>20</v>
      </c>
      <c r="E7" s="92" cm="1">
        <f t="array" aca="1" ref="E7" ca="1">IFERROR(INDEX(Rango_Admin_Clas_Total,E$2,MATCH($A7,Rango_Admin_Clas_Primera,0)+1),"-")</f>
        <v>20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Jaime García de la Riva</v>
      </c>
      <c r="D8" s="91">
        <f ca="1">IFERROR(HLOOKUP(A8,Rango_Admin_Clas,4,FALSE),"-")</f>
        <v>19</v>
      </c>
      <c r="E8" s="92" cm="1">
        <f t="array" aca="1" ref="E8" ca="1">IFERROR(INDEX(Rango_Admin_Clas_Total,E$2,MATCH($A8,Rango_Admin_Clas_Primera,0)+1),"-")</f>
        <v>19</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bau</v>
      </c>
      <c r="D9" s="91">
        <f ca="1">IFERROR(HLOOKUP(A9,Rango_Admin_Clas,4,FALSE),"-")</f>
        <v>19</v>
      </c>
      <c r="E9" s="92" cm="1">
        <f t="array" aca="1" ref="E9" ca="1">IFERROR(INDEX(Rango_Admin_Clas_Total,E$2,MATCH($A9,Rango_Admin_Clas_Primera,0)+1),"-")</f>
        <v>19</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Carlos Murciano</v>
      </c>
      <c r="D10" s="91">
        <f ca="1">IFERROR(HLOOKUP(A10,Rango_Admin_Clas,4,FALSE),"-")</f>
        <v>18</v>
      </c>
      <c r="E10" s="92" cm="1">
        <f t="array" aca="1" ref="E10" ca="1">IFERROR(INDEX(Rango_Admin_Clas_Total,E$2,MATCH($A10,Rango_Admin_Clas_Primera,0)+1),"-")</f>
        <v>18</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6</v>
      </c>
      <c r="C11" s="18" t="str">
        <f ca="1">IFERROR(HLOOKUP(A11,Rango_Admin_Clas,5,FALSE),"-")</f>
        <v>MURO 204</v>
      </c>
      <c r="D11" s="91">
        <f ca="1">IFERROR(HLOOKUP(A11,Rango_Admin_Clas,4,FALSE),"-")</f>
        <v>18</v>
      </c>
      <c r="E11" s="92" cm="1">
        <f t="array" aca="1" ref="E11" ca="1">IFERROR(INDEX(Rango_Admin_Clas_Total,E$2,MATCH($A11,Rango_Admin_Clas_Primera,0)+1),"-")</f>
        <v>18</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Admin</v>
      </c>
      <c r="D12" s="91">
        <f ca="1">IFERROR(HLOOKUP(A12,Rango_Admin_Clas,4,FALSE),"-")</f>
        <v>16</v>
      </c>
      <c r="E12" s="92" cm="1">
        <f t="array" aca="1" ref="E12" ca="1">IFERROR(INDEX(Rango_Admin_Clas_Total,E$2,MATCH($A12,Rango_Admin_Clas_Primera,0)+1),"-")</f>
        <v>16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Guillermo Murciano</v>
      </c>
      <c r="D13" s="91">
        <f ca="1">IFERROR(HLOOKUP(A13,Rango_Admin_Clas,4,FALSE),"-")</f>
        <v>16</v>
      </c>
      <c r="E13" s="92" cm="1">
        <f t="array" aca="1" ref="E13" ca="1">IFERROR(INDEX(Rango_Admin_Clas_Total,E$2,MATCH($A13,Rango_Admin_Clas_Primera,0)+1),"-")</f>
        <v>16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8</v>
      </c>
      <c r="C14" s="18" t="str">
        <f ca="1">IFERROR(HLOOKUP(A14,Rango_Admin_Clas,5,FALSE),"-")</f>
        <v>BeliBeltrán</v>
      </c>
      <c r="D14" s="91">
        <f ca="1">IFERROR(HLOOKUP(A14,Rango_Admin_Clas,4,FALSE),"-")</f>
        <v>16</v>
      </c>
      <c r="E14" s="92" cm="1">
        <f t="array" aca="1" ref="E14" ca="1">IFERROR(INDEX(Rango_Admin_Clas_Total,E$2,MATCH($A14,Rango_Admin_Clas_Primera,0)+1),"-")</f>
        <v>16</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Antonio del Ojo</v>
      </c>
      <c r="D15" s="91">
        <f ca="1">IFERROR(HLOOKUP(A15,Rango_Admin_Clas,4,FALSE),"-")</f>
        <v>15</v>
      </c>
      <c r="E15" s="92" cm="1">
        <f t="array" aca="1" ref="E15" ca="1">IFERROR(INDEX(Rango_Admin_Clas_Total,E$2,MATCH($A15,Rango_Admin_Clas_Primera,0)+1),"-")</f>
        <v>15</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11</v>
      </c>
      <c r="C16" s="18" t="str">
        <f ca="1">IFERROR(HLOOKUP(A16,Rango_Admin_Clas,5,FALSE),"-")</f>
        <v>Florentino Netanyahu</v>
      </c>
      <c r="D16" s="91">
        <f ca="1">IFERROR(HLOOKUP(A16,Rango_Admin_Clas,4,FALSE),"-")</f>
        <v>15</v>
      </c>
      <c r="E16" s="92" cm="1">
        <f t="array" aca="1" ref="E16" ca="1">IFERROR(INDEX(Rango_Admin_Clas_Total,E$2,MATCH($A16,Rango_Admin_Clas_Primera,0)+1),"-")</f>
        <v>15</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Pablo C</v>
      </c>
      <c r="D17" s="91">
        <f ca="1">IFERROR(HLOOKUP(A17,Rango_Admin_Clas,4,FALSE),"-")</f>
        <v>14</v>
      </c>
      <c r="E17" s="92" cm="1">
        <f t="array" aca="1" ref="E17" ca="1">IFERROR(INDEX(Rango_Admin_Clas_Total,E$2,MATCH($A17,Rango_Admin_Clas_Primera,0)+1),"-")</f>
        <v>14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YTD</v>
      </c>
      <c r="D18" s="91">
        <f ca="1">IFERROR(HLOOKUP(A18,Rango_Admin_Clas,4,FALSE),"-")</f>
        <v>14</v>
      </c>
      <c r="E18" s="92" cm="1">
        <f t="array" aca="1" ref="E18" ca="1">IFERROR(INDEX(Rango_Admin_Clas_Total,E$2,MATCH($A18,Rango_Admin_Clas_Primera,0)+1),"-")</f>
        <v>14</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Alejandro Lafuente</v>
      </c>
      <c r="D19" s="91">
        <f ca="1">IFERROR(HLOOKUP(A19,Rango_Admin_Clas,4,FALSE),"-")</f>
        <v>13</v>
      </c>
      <c r="E19" s="92" cm="1">
        <f t="array" aca="1" ref="E19" ca="1">IFERROR(INDEX(Rango_Admin_Clas_Total,E$2,MATCH($A19,Rango_Admin_Clas_Primera,0)+1),"-")</f>
        <v>13</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Joserra</v>
      </c>
      <c r="D20" s="91">
        <f ca="1">IFERROR(HLOOKUP(A20,Rango_Admin_Clas,4,FALSE),"-")</f>
        <v>13</v>
      </c>
      <c r="E20" s="92" cm="1">
        <f t="array" aca="1" ref="E20" ca="1">IFERROR(INDEX(Rango_Admin_Clas_Total,E$2,MATCH($A20,Rango_Admin_Clas_Primera,0)+1),"-")</f>
        <v>13</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Chente Muñoz</v>
      </c>
      <c r="D21" s="91">
        <f ca="1">IFERROR(HLOOKUP(A21,Rango_Admin_Clas,4,FALSE),"-")</f>
        <v>12</v>
      </c>
      <c r="E21" s="92" cm="1">
        <f t="array" aca="1" ref="E21" ca="1">IFERROR(INDEX(Rango_Admin_Clas_Total,E$2,MATCH($A21,Rango_Admin_Clas_Primera,0)+1),"-")</f>
        <v>12</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Ignacio de Lecea</v>
      </c>
      <c r="D22" s="91">
        <f ca="1">IFERROR(HLOOKUP(A22,Rango_Admin_Clas,4,FALSE),"-")</f>
        <v>12</v>
      </c>
      <c r="E22" s="92" cm="1">
        <f t="array" aca="1" ref="E22" ca="1">IFERROR(INDEX(Rango_Admin_Clas_Total,E$2,MATCH($A22,Rango_Admin_Clas_Primera,0)+1),"-")</f>
        <v>12</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17</v>
      </c>
      <c r="C23" s="18" t="str">
        <f ca="1">IFERROR(HLOOKUP(A23,Rango_Admin_Clas,5,FALSE),"-")</f>
        <v>JCU</v>
      </c>
      <c r="D23" s="91">
        <f ca="1">IFERROR(HLOOKUP(A23,Rango_Admin_Clas,4,FALSE),"-")</f>
        <v>12</v>
      </c>
      <c r="E23" s="92" cm="1">
        <f t="array" aca="1" ref="E23" ca="1">IFERROR(INDEX(Rango_Admin_Clas_Total,E$2,MATCH($A23,Rango_Admin_Clas_Primera,0)+1),"-")</f>
        <v>12</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17</v>
      </c>
      <c r="C24" s="18" t="str">
        <f ca="1">IFERROR(HLOOKUP(A24,Rango_Admin_Clas,5,FALSE),"-")</f>
        <v>Miguel Suárez-Zuloaga</v>
      </c>
      <c r="D24" s="91">
        <f ca="1">IFERROR(HLOOKUP(A24,Rango_Admin_Clas,4,FALSE),"-")</f>
        <v>12</v>
      </c>
      <c r="E24" s="92" cm="1">
        <f t="array" aca="1" ref="E24" ca="1">IFERROR(INDEX(Rango_Admin_Clas_Total,E$2,MATCH($A24,Rango_Admin_Clas_Primera,0)+1),"-")</f>
        <v>12</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17</v>
      </c>
      <c r="C25" s="18" t="str">
        <f ca="1">IFERROR(HLOOKUP(A25,Rango_Admin_Clas,5,FALSE),"-")</f>
        <v xml:space="preserve">Martín Matoses </v>
      </c>
      <c r="D25" s="91">
        <f ca="1">IFERROR(HLOOKUP(A25,Rango_Admin_Clas,4,FALSE),"-")</f>
        <v>12</v>
      </c>
      <c r="E25" s="92" cm="1">
        <f t="array" aca="1" ref="E25" ca="1">IFERROR(INDEX(Rango_Admin_Clas_Total,E$2,MATCH($A25,Rango_Admin_Clas_Primera,0)+1),"-")</f>
        <v>12</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Pastor</v>
      </c>
      <c r="D26" s="91">
        <f ca="1">IFERROR(HLOOKUP(A26,Rango_Admin_Clas,4,FALSE),"-")</f>
        <v>11</v>
      </c>
      <c r="E26" s="92" cm="1">
        <f t="array" aca="1" ref="E26" ca="1">IFERROR(INDEX(Rango_Admin_Clas_Total,E$2,MATCH($A26,Rango_Admin_Clas_Primera,0)+1),"-")</f>
        <v>11</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Antonio Zulueta Ramos</v>
      </c>
      <c r="D27" s="91">
        <f ca="1">IFERROR(HLOOKUP(A27,Rango_Admin_Clas,4,FALSE),"-")</f>
        <v>11</v>
      </c>
      <c r="E27" s="92" cm="1">
        <f t="array" aca="1" ref="E27" ca="1">IFERROR(INDEX(Rango_Admin_Clas_Total,E$2,MATCH($A27,Rango_Admin_Clas_Primera,0)+1),"-")</f>
        <v>11</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Nacho Novo</v>
      </c>
      <c r="D28" s="91">
        <f ca="1">IFERROR(HLOOKUP(A28,Rango_Admin_Clas,4,FALSE),"-")</f>
        <v>10</v>
      </c>
      <c r="E28" s="92" cm="1">
        <f t="array" aca="1" ref="E28" ca="1">IFERROR(INDEX(Rango_Admin_Clas_Total,E$2,MATCH($A28,Rango_Admin_Clas_Primera,0)+1),"-")</f>
        <v>10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DIDI</v>
      </c>
      <c r="D29" s="91">
        <f ca="1">IFERROR(HLOOKUP(A29,Rango_Admin_Clas,4,FALSE),"-")</f>
        <v>10</v>
      </c>
      <c r="E29" s="92" cm="1">
        <f t="array" aca="1" ref="E29" ca="1">IFERROR(INDEX(Rango_Admin_Clas_Total,E$2,MATCH($A29,Rango_Admin_Clas_Primera,0)+1),"-")</f>
        <v>10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Ricardo Soto</v>
      </c>
      <c r="D30" s="91">
        <f ca="1">IFERROR(HLOOKUP(A30,Rango_Admin_Clas,4,FALSE),"-")</f>
        <v>10</v>
      </c>
      <c r="E30" s="92" cm="1">
        <f t="array" aca="1" ref="E30" ca="1">IFERROR(INDEX(Rango_Admin_Clas_Total,E$2,MATCH($A30,Rango_Admin_Clas_Primera,0)+1),"-")</f>
        <v>10</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Miguel San Martín</v>
      </c>
      <c r="D31" s="91">
        <f ca="1">IFERROR(HLOOKUP(A31,Rango_Admin_Clas,4,FALSE),"-")</f>
        <v>9</v>
      </c>
      <c r="E31" s="92" cm="1">
        <f t="array" aca="1" ref="E31" ca="1">IFERROR(INDEX(Rango_Admin_Clas_Total,E$2,MATCH($A31,Rango_Admin_Clas_Primera,0)+1),"-")</f>
        <v>9</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Lucas Oriol</v>
      </c>
      <c r="D32" s="91">
        <f ca="1">IFERROR(HLOOKUP(A32,Rango_Admin_Clas,4,FALSE),"-")</f>
        <v>9</v>
      </c>
      <c r="E32" s="92" cm="1">
        <f t="array" aca="1" ref="E32" ca="1">IFERROR(INDEX(Rango_Admin_Clas_Total,E$2,MATCH($A32,Rango_Admin_Clas_Primera,0)+1),"-")</f>
        <v>9</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Fercho Muro Matosex</v>
      </c>
      <c r="D33" s="91">
        <f ca="1">IFERROR(HLOOKUP(A33,Rango_Admin_Clas,4,FALSE),"-")</f>
        <v>8</v>
      </c>
      <c r="E33" s="92" cm="1">
        <f t="array" aca="1" ref="E33" ca="1">IFERROR(INDEX(Rango_Admin_Clas_Total,E$2,MATCH($A33,Rango_Admin_Clas_Primera,0)+1),"-")</f>
        <v>8</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Hulk Rexach</v>
      </c>
      <c r="D34" s="91">
        <f ca="1">IFERROR(HLOOKUP(A34,Rango_Admin_Clas,4,FALSE),"-")</f>
        <v>8</v>
      </c>
      <c r="E34" s="92" cm="1">
        <f t="array" aca="1" ref="E34" ca="1">IFERROR(INDEX(Rango_Admin_Clas_Total,E$2,MATCH($A34,Rango_Admin_Clas_Primera,0)+1),"-")</f>
        <v>8</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29</v>
      </c>
      <c r="C35" s="18" t="str">
        <f ca="1">IFERROR(HLOOKUP(A35,Rango_Admin_Clas,5,FALSE),"-")</f>
        <v>William Hartley</v>
      </c>
      <c r="D35" s="91">
        <f ca="1">IFERROR(HLOOKUP(A35,Rango_Admin_Clas,4,FALSE),"-")</f>
        <v>8</v>
      </c>
      <c r="E35" s="92" cm="1">
        <f t="array" aca="1" ref="E35" ca="1">IFERROR(INDEX(Rango_Admin_Clas_Total,E$2,MATCH($A35,Rango_Admin_Clas_Primera,0)+1),"-")</f>
        <v>8</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29</v>
      </c>
      <c r="C36" s="18" t="str">
        <f ca="1">IFERROR(HLOOKUP(A36,Rango_Admin_Clas,5,FALSE),"-")</f>
        <v>Kurtischamp</v>
      </c>
      <c r="D36" s="91">
        <f ca="1">IFERROR(HLOOKUP(A36,Rango_Admin_Clas,4,FALSE),"-")</f>
        <v>8</v>
      </c>
      <c r="E36" s="92" cm="1">
        <f t="array" aca="1" ref="E36" ca="1">IFERROR(INDEX(Rango_Admin_Clas_Total,E$2,MATCH($A36,Rango_Admin_Clas_Primera,0)+1),"-")</f>
        <v>8</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29</v>
      </c>
      <c r="C37" s="18" t="str">
        <f ca="1">IFERROR(HLOOKUP(A37,Rango_Admin_Clas,5,FALSE),"-")</f>
        <v>Vicuinho</v>
      </c>
      <c r="D37" s="91">
        <f ca="1">IFERROR(HLOOKUP(A37,Rango_Admin_Clas,4,FALSE),"-")</f>
        <v>8</v>
      </c>
      <c r="E37" s="92" cm="1">
        <f t="array" aca="1" ref="E37" ca="1">IFERROR(INDEX(Rango_Admin_Clas_Total,E$2,MATCH($A37,Rango_Admin_Clas_Primera,0)+1),"-")</f>
        <v>8</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29</v>
      </c>
      <c r="C38" s="18" t="str">
        <f ca="1">IFERROR(HLOOKUP(A38,Rango_Admin_Clas,5,FALSE),"-")</f>
        <v>AD Monchus</v>
      </c>
      <c r="D38" s="91">
        <f ca="1">IFERROR(HLOOKUP(A38,Rango_Admin_Clas,4,FALSE),"-")</f>
        <v>8</v>
      </c>
      <c r="E38" s="92" cm="1">
        <f t="array" aca="1" ref="E38" ca="1">IFERROR(INDEX(Rango_Admin_Clas_Total,E$2,MATCH($A38,Rango_Admin_Clas_Primera,0)+1),"-")</f>
        <v>8</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29</v>
      </c>
      <c r="C39" s="18" t="str">
        <f ca="1">IFERROR(HLOOKUP(A39,Rango_Admin_Clas,5,FALSE),"-")</f>
        <v xml:space="preserve">Ignacio Núñez </v>
      </c>
      <c r="D39" s="91">
        <f ca="1">IFERROR(HLOOKUP(A39,Rango_Admin_Clas,4,FALSE),"-")</f>
        <v>8</v>
      </c>
      <c r="E39" s="92" cm="1">
        <f t="array" aca="1" ref="E39" ca="1">IFERROR(INDEX(Rango_Admin_Clas_Total,E$2,MATCH($A39,Rango_Admin_Clas_Primera,0)+1),"-")</f>
        <v>8</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Fernando Carlos García-Ramos Redondo</v>
      </c>
      <c r="D40" s="91">
        <f ca="1">IFERROR(HLOOKUP(A40,Rango_Admin_Clas,4,FALSE),"-")</f>
        <v>7</v>
      </c>
      <c r="E40" s="92" cm="1">
        <f t="array" aca="1" ref="E40" ca="1">IFERROR(INDEX(Rango_Admin_Clas_Total,E$2,MATCH($A40,Rango_Admin_Clas_Primera,0)+1),"-")</f>
        <v>7</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36</v>
      </c>
      <c r="C41" s="18" t="str">
        <f ca="1">IFERROR(HLOOKUP(A41,Rango_Admin_Clas,5,FALSE),"-")</f>
        <v>Gratacós</v>
      </c>
      <c r="D41" s="91">
        <f ca="1">IFERROR(HLOOKUP(A41,Rango_Admin_Clas,4,FALSE),"-")</f>
        <v>7</v>
      </c>
      <c r="E41" s="92" cm="1">
        <f t="array" aca="1" ref="E41" ca="1">IFERROR(INDEX(Rango_Admin_Clas_Total,E$2,MATCH($A41,Rango_Admin_Clas_Primera,0)+1),"-")</f>
        <v>7</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Migay Marcos</v>
      </c>
      <c r="D42" s="91">
        <f ca="1">IFERROR(HLOOKUP(A42,Rango_Admin_Clas,4,FALSE),"-")</f>
        <v>6</v>
      </c>
      <c r="E42" s="92" cm="1">
        <f t="array" aca="1" ref="E42" ca="1">IFERROR(INDEX(Rango_Admin_Clas_Total,E$2,MATCH($A42,Rango_Admin_Clas_Primera,0)+1),"-")</f>
        <v>6</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Luis B</v>
      </c>
      <c r="D43" s="91">
        <f ca="1">IFERROR(HLOOKUP(A43,Rango_Admin_Clas,4,FALSE),"-")</f>
        <v>5</v>
      </c>
      <c r="E43" s="92" cm="1">
        <f t="array" aca="1" ref="E43" ca="1">IFERROR(INDEX(Rango_Admin_Clas_Total,E$2,MATCH($A43,Rango_Admin_Clas_Primera,0)+1),"-")</f>
        <v>5</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JUAN SOLAS</v>
      </c>
      <c r="D44" s="91">
        <f ca="1">IFERROR(HLOOKUP(A44,Rango_Admin_Clas,4,FALSE),"-")</f>
        <v>4</v>
      </c>
      <c r="E44" s="92" cm="1">
        <f t="array" aca="1" ref="E44" ca="1">IFERROR(INDEX(Rango_Admin_Clas_Total,E$2,MATCH($A44,Rango_Admin_Clas_Primera,0)+1),"-")</f>
        <v>4</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39</v>
      </c>
      <c r="F42" s="448" t="str">
        <f ca="1">IFERROR(HLOOKUP(C42,Rango_Admin_DailyClas,5,FALSE),"-")</f>
        <v>Migay Marcos</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39</v>
      </c>
      <c r="F43" s="448" t="str">
        <f ca="1">IFERROR(HLOOKUP(C43,Rango_Admin_DailyClas,5,FALSE),"-")</f>
        <v>Pablo C</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39</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39</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39</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39</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39</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39</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39</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39</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39</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39</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0.15384615384615385</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10</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10</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27</v>
      </c>
      <c r="N10" s="469">
        <f ca="1">IFERROR(COUNTIF(ADMIN!$S$130:INDEX(ADMIN!$S$130:$KI$161,32,ADMIN!$D$5*3-1),Stats!$L10)-SUM(O10:T10),0)</f>
        <v>21</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5</v>
      </c>
      <c r="J11" s="706">
        <f ca="1"/>
        <v>0</v>
      </c>
      <c r="K11" s="404">
        <f ca="1"/>
        <v>0</v>
      </c>
      <c r="L11" s="132" t="str">
        <f ca="1">Horarios!Q6</f>
        <v>Argentina</v>
      </c>
      <c r="M11" s="471">
        <f ca="1">ADMIN!$D$5-SUM(N11:T11)</f>
        <v>10</v>
      </c>
      <c r="N11" s="471">
        <f ca="1">IFERROR(COUNTIF(ADMIN!$S$130:INDEX(ADMIN!$S$130:$KI$161,32,ADMIN!$D$5*3-1),Stats!$L11)-SUM(O11:T11),0)</f>
        <v>4</v>
      </c>
      <c r="O11" s="471">
        <f ca="1">COUNTIF(ADMIN!$S$182:INDEX(ADMIN!$S$182:$KI$197,16,ADMIN!$D$5*3-1),Stats!$L11)-SUM(P11:T11)</f>
        <v>1</v>
      </c>
      <c r="P11" s="471">
        <f ca="1">COUNTIF(ADMIN!$S$210:INDEX(ADMIN!$S$210:$KI$217,8,ADMIN!$D$5*3-1),Stats!$L11)-SUM(Q11:T11)</f>
        <v>21</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101</v>
      </c>
      <c r="F13" s="456">
        <f ca="1">IFERROR(E13/E12,0)</f>
        <v>0.505</v>
      </c>
      <c r="G13" s="17"/>
      <c r="H13" s="457" t="str">
        <f ca="1"/>
        <v>1|3-0</v>
      </c>
      <c r="I13" s="704">
        <f ca="1"/>
        <v>1</v>
      </c>
      <c r="J13" s="706">
        <f ca="1"/>
        <v>0</v>
      </c>
      <c r="K13" s="404">
        <f ca="1"/>
        <v>0</v>
      </c>
      <c r="L13" s="132" t="str">
        <f ca="1">Horarios!Q8</f>
        <v>Austria</v>
      </c>
      <c r="M13" s="471">
        <f ca="1">ADMIN!$D$5-SUM(N13:T13)</f>
        <v>10</v>
      </c>
      <c r="N13" s="471">
        <f ca="1">IFERROR(COUNTIF(ADMIN!$S$130:INDEX(ADMIN!$S$130:$KI$161,32,ADMIN!$D$5*3-1),Stats!$L13)-SUM(O13:T13),0)</f>
        <v>38</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10</v>
      </c>
      <c r="N14" s="469">
        <f ca="1">IFERROR(COUNTIF(ADMIN!$S$130:INDEX(ADMIN!$S$130:$KI$161,32,ADMIN!$D$5*3-1),Stats!$L14)-SUM(O14:T14),0)</f>
        <v>5</v>
      </c>
      <c r="O14" s="469">
        <f ca="1">COUNTIF(ADMIN!$S$182:INDEX(ADMIN!$S$182:$KI$197,16,ADMIN!$D$5*3-1),Stats!$L14)-SUM(P14:T14)</f>
        <v>18</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38</v>
      </c>
      <c r="F15" s="456">
        <f ca="1">IFERROR(E15/ADMIN!$D$5,0)</f>
        <v>0.76</v>
      </c>
      <c r="G15" s="17"/>
      <c r="H15" s="457" t="str">
        <f ca="1"/>
        <v>X|2-2</v>
      </c>
      <c r="I15" s="704">
        <f ca="1"/>
        <v>1</v>
      </c>
      <c r="J15" s="706">
        <f ca="1"/>
        <v>0</v>
      </c>
      <c r="K15" s="404">
        <f ca="1"/>
        <v>0</v>
      </c>
      <c r="L15" s="132" t="str">
        <f ca="1">Horarios!Q10</f>
        <v>Bosnia y Herzegovina</v>
      </c>
      <c r="M15" s="471">
        <f ca="1">ADMIN!$D$5-SUM(N15:T15)</f>
        <v>21</v>
      </c>
      <c r="N15" s="471">
        <f ca="1">IFERROR(COUNTIF(ADMIN!$S$130:INDEX(ADMIN!$S$130:$KI$161,32,ADMIN!$D$5*3-1),Stats!$L15)-SUM(O15:T15),0)</f>
        <v>25</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12</v>
      </c>
      <c r="F16" s="456">
        <f ca="1">IFERROR(E16/ADMIN!$D$5,0)</f>
        <v>0.24</v>
      </c>
      <c r="G16" s="17"/>
      <c r="H16" s="454"/>
      <c r="I16" s="704"/>
      <c r="J16" s="706"/>
      <c r="K16" s="404"/>
      <c r="L16" s="133" t="str">
        <f ca="1">Horarios!Q11</f>
        <v>Brasil</v>
      </c>
      <c r="M16" s="469">
        <f ca="1">ADMIN!$D$5-SUM(N16:T16)</f>
        <v>10</v>
      </c>
      <c r="N16" s="469">
        <f ca="1">IFERROR(COUNTIF(ADMIN!$S$130:INDEX(ADMIN!$S$130:$KI$161,32,ADMIN!$D$5*3-1),Stats!$L16)-SUM(O16:T16),0)</f>
        <v>0</v>
      </c>
      <c r="O16" s="469">
        <f ca="1">COUNTIF(ADMIN!$S$182:INDEX(ADMIN!$S$182:$KI$197,16,ADMIN!$D$5*3-1),Stats!$L16)-SUM(P16:T16)</f>
        <v>5</v>
      </c>
      <c r="P16" s="469">
        <f ca="1">COUNTIF(ADMIN!$S$210:INDEX(ADMIN!$S$210:$KI$217,8,ADMIN!$D$5*3-1),Stats!$L16)-SUM(Q16:T16)</f>
        <v>14</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17</v>
      </c>
      <c r="N18" s="469">
        <f ca="1">IFERROR(COUNTIF(ADMIN!$S$130:INDEX(ADMIN!$S$130:$KI$161,32,ADMIN!$D$5*3-1),Stats!$L18)-SUM(O18:T18),0)</f>
        <v>20</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10</v>
      </c>
      <c r="N20" s="469">
        <f ca="1">IFERROR(COUNTIF(ADMIN!$S$130:INDEX(ADMIN!$S$130:$KI$161,32,ADMIN!$D$5*3-1),Stats!$L20)-SUM(O20:T20),0)</f>
        <v>16</v>
      </c>
      <c r="O20" s="469">
        <f ca="1">COUNTIF(ADMIN!$S$182:INDEX(ADMIN!$S$182:$KI$197,16,ADMIN!$D$5*3-1),Stats!$L20)-SUM(P20:T20)</f>
        <v>19</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17</v>
      </c>
      <c r="N21" s="471">
        <f ca="1">IFERROR(COUNTIF(ADMIN!$S$130:INDEX(ADMIN!$S$130:$KI$161,32,ADMIN!$D$5*3-1),Stats!$L21)-SUM(O21:T21),0)</f>
        <v>17</v>
      </c>
      <c r="O21" s="471">
        <f ca="1">COUNTIF(ADMIN!$S$182:INDEX(ADMIN!$S$182:$KI$197,16,ADMIN!$D$5*3-1),Stats!$L21)-SUM(P21:T21)</f>
        <v>14</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14</v>
      </c>
      <c r="N22" s="469">
        <f ca="1">IFERROR(COUNTIF(ADMIN!$S$130:INDEX(ADMIN!$S$130:$KI$161,32,ADMIN!$D$5*3-1),Stats!$L22)-SUM(O22:T22),0)</f>
        <v>26</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11</v>
      </c>
      <c r="N23" s="471">
        <f ca="1">IFERROR(COUNTIF(ADMIN!$S$130:INDEX(ADMIN!$S$130:$KI$161,32,ADMIN!$D$5*3-1),Stats!$L23)-SUM(O23:T23),0)</f>
        <v>23</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11</v>
      </c>
      <c r="N25" s="471">
        <f ca="1">IFERROR(COUNTIF(ADMIN!$S$130:INDEX(ADMIN!$S$130:$KI$161,32,ADMIN!$D$5*3-1),Stats!$L25)-SUM(O25:T25),0)</f>
        <v>26</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12</v>
      </c>
      <c r="N26" s="469">
        <f ca="1">IFERROR(COUNTIF(ADMIN!$S$130:INDEX(ADMIN!$S$130:$KI$161,32,ADMIN!$D$5*3-1),Stats!$L26)-SUM(O26:T26),0)</f>
        <v>33</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16</v>
      </c>
      <c r="N27" s="471">
        <f ca="1">IFERROR(COUNTIF(ADMIN!$S$130:INDEX(ADMIN!$S$130:$KI$161,32,ADMIN!$D$5*3-1),Stats!$L27)-SUM(O27:T27),0)</f>
        <v>30</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10</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22</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10</v>
      </c>
      <c r="N29" s="471">
        <f ca="1">IFERROR(COUNTIF(ADMIN!$S$130:INDEX(ADMIN!$S$130:$KI$161,32,ADMIN!$D$5*3-1),Stats!$L29)-SUM(O29:T29),0)</f>
        <v>11</v>
      </c>
      <c r="O29" s="471">
        <f ca="1">COUNTIF(ADMIN!$S$182:INDEX(ADMIN!$S$182:$KI$197,16,ADMIN!$D$5*3-1),Stats!$L29)-SUM(P29:T29)</f>
        <v>26</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10</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10</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9</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38</v>
      </c>
      <c r="F35" s="25">
        <f ca="1">IFERROR(E35/SUM($E$35:E37),0)</f>
        <v>0.95</v>
      </c>
      <c r="G35" s="17"/>
      <c r="H35" s="17"/>
      <c r="I35" s="17"/>
      <c r="J35" s="25"/>
      <c r="K35" s="25"/>
      <c r="L35" s="132" t="str">
        <f ca="1">Horarios!Q30</f>
        <v>Irán</v>
      </c>
      <c r="M35" s="471">
        <f ca="1">ADMIN!$D$5-SUM(N35:T35)</f>
        <v>30</v>
      </c>
      <c r="N35" s="471">
        <f ca="1">IFERROR(COUNTIF(ADMIN!$S$130:INDEX(ADMIN!$S$130:$KI$161,32,ADMIN!$D$5*3-1),Stats!$L35)-SUM(O35:T35),0)</f>
        <v>20</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5</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5</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0.05</v>
      </c>
      <c r="G36" s="17"/>
      <c r="H36" s="17"/>
      <c r="I36" s="17"/>
      <c r="J36" s="25"/>
      <c r="K36" s="25"/>
      <c r="L36" s="133" t="str">
        <f ca="1">Horarios!Q31</f>
        <v>Japón</v>
      </c>
      <c r="M36" s="469">
        <f ca="1">ADMIN!$D$5-SUM(N36:T36)</f>
        <v>13</v>
      </c>
      <c r="N36" s="469">
        <f ca="1">IFERROR(COUNTIF(ADMIN!$S$130:INDEX(ADMIN!$S$130:$KI$161,32,ADMIN!$D$5*3-1),Stats!$L36)-SUM(O36:T36),0)</f>
        <v>35</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Pegar Valores (J1)</v>
      </c>
      <c r="AD36" s="11">
        <f ca="1"/>
        <v>10</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10</v>
      </c>
      <c r="N38" s="469">
        <f ca="1">IFERROR(COUNTIF(ADMIN!$S$130:INDEX(ADMIN!$S$130:$KI$161,32,ADMIN!$D$5*3-1),Stats!$L38)-SUM(O38:T38),0)</f>
        <v>23</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5</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10</v>
      </c>
      <c r="N39" s="471">
        <f ca="1">IFERROR(COUNTIF(ADMIN!$S$130:INDEX(ADMIN!$S$130:$KI$161,32,ADMIN!$D$5*3-1),Stats!$L39)-SUM(O39:T39),0)</f>
        <v>9</v>
      </c>
      <c r="O39" s="471">
        <f ca="1">COUNTIF(ADMIN!$S$182:INDEX(ADMIN!$S$182:$KI$197,16,ADMIN!$D$5*3-1),Stats!$L39)-SUM(P39:T39)</f>
        <v>25</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10</v>
      </c>
      <c r="N40" s="469">
        <f ca="1">IFERROR(COUNTIF(ADMIN!$S$130:INDEX(ADMIN!$S$130:$KI$161,32,ADMIN!$D$5*3-1),Stats!$L40)-SUM(O40:T40),0)</f>
        <v>14</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10</v>
      </c>
      <c r="X40" s="11" t="str">
        <f ca="1"/>
        <v>Pegar Valores (J1)</v>
      </c>
      <c r="Y40" s="11" t="str">
        <f ca="1"/>
        <v>Pegar Valores (J1)</v>
      </c>
      <c r="Z40" s="11">
        <f ca="1"/>
        <v>10</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10</v>
      </c>
      <c r="N42" s="469">
        <f ca="1">IFERROR(COUNTIF(ADMIN!$S$130:INDEX(ADMIN!$S$130:$KI$161,32,ADMIN!$D$5*3-1),Stats!$L42)-SUM(O42:T42),0)</f>
        <v>21</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27</v>
      </c>
      <c r="N44" s="469">
        <f ca="1">IFERROR(COUNTIF(ADMIN!$S$130:INDEX(ADMIN!$S$130:$KI$161,32,ADMIN!$D$5*3-1),Stats!$L44)-SUM(O44:T44),0)</f>
        <v>16</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46 goles en el Mundial de Clubes sin contar tandas de penalti</v>
      </c>
      <c r="F45" s="453"/>
      <c r="G45" s="17"/>
      <c r="H45" s="17"/>
      <c r="I45" s="17"/>
      <c r="J45" s="25"/>
      <c r="K45" s="25"/>
      <c r="L45" s="132" t="str">
        <f ca="1">Horarios!Q40</f>
        <v>Portugal</v>
      </c>
      <c r="M45" s="471">
        <f ca="1">ADMIN!$D$5-SUM(N45:T45)</f>
        <v>10</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12</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17</v>
      </c>
      <c r="N47" s="471">
        <f ca="1">IFERROR(COUNTIF(ADMIN!$S$130:INDEX(ADMIN!$S$130:$KI$161,32,ADMIN!$D$5*3-1),Stats!$L47)-SUM(O47:T47),0)</f>
        <v>24</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14</v>
      </c>
      <c r="N48" s="469">
        <f ca="1">IFERROR(COUNTIF(ADMIN!$S$130:INDEX(ADMIN!$S$130:$KI$161,32,ADMIN!$D$5*3-1),Stats!$L48)-SUM(O48:T48),0)</f>
        <v>29</v>
      </c>
      <c r="O48" s="469">
        <f ca="1">COUNTIF(ADMIN!$S$182:INDEX(ADMIN!$S$182:$KI$197,16,ADMIN!$D$5*3-1),Stats!$L48)-SUM(P48:T48)</f>
        <v>6</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10</v>
      </c>
      <c r="N51" s="471">
        <f ca="1">IFERROR(COUNTIF(ADMIN!$S$130:INDEX(ADMIN!$S$130:$KI$161,32,ADMIN!$D$5*3-1),Stats!$L51)-SUM(O51:T51),0)</f>
        <v>5</v>
      </c>
      <c r="O51" s="471">
        <f ca="1">COUNTIF(ADMIN!$S$182:INDEX(ADMIN!$S$182:$KI$197,16,ADMIN!$D$5*3-1),Stats!$L51)-SUM(P51:T51)</f>
        <v>34</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10</v>
      </c>
      <c r="N53" s="471">
        <f ca="1">IFERROR(COUNTIF(ADMIN!$S$130:INDEX(ADMIN!$S$130:$KI$161,32,ADMIN!$D$5*3-1),Stats!$L53)-SUM(O53:T53),0)</f>
        <v>4</v>
      </c>
      <c r="O53" s="471">
        <f ca="1">COUNTIF(ADMIN!$S$182:INDEX(ADMIN!$S$182:$KI$197,16,ADMIN!$D$5*3-1),Stats!$L53)-SUM(P53:T53)</f>
        <v>20</v>
      </c>
      <c r="P53" s="471">
        <f ca="1">COUNTIF(ADMIN!$S$210:INDEX(ADMIN!$S$210:$KI$217,8,ADMIN!$D$5*3-1),Stats!$L53)-SUM(Q53:T53)</f>
        <v>15</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10</v>
      </c>
      <c r="N54" s="469">
        <f ca="1">IFERROR(COUNTIF(ADMIN!$S$130:INDEX(ADMIN!$S$130:$KI$161,32,ADMIN!$D$5*3-1),Stats!$L54)-SUM(O54:T54),0)</f>
        <v>35</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Austria</v>
      </c>
      <c r="E2" s="11" t="str">
        <f ca="1">+WORLDCUP!BD66</f>
        <v>Irak</v>
      </c>
      <c r="F2" s="11" t="str">
        <f ca="1">+WORLDCUP!BD63</f>
        <v>Japón</v>
      </c>
      <c r="G2" s="11" t="str">
        <f ca="1">+WORLDCUP!BD65</f>
        <v>España</v>
      </c>
      <c r="H2" s="11" t="str">
        <f ca="1">+WORLDCUP!BD64</f>
        <v>Bélgica</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Irak</v>
      </c>
      <c r="F3" s="11" t="str">
        <f ca="1">+WORLDCUP!BD61</f>
        <v>Turquía</v>
      </c>
      <c r="G3" s="11" t="str">
        <f ca="1">+WORLDCUP!BD67</f>
        <v>Austria</v>
      </c>
      <c r="H3" s="11" t="str">
        <f ca="1">+WORLDCUP!BD63</f>
        <v>Japón</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Austria</v>
      </c>
      <c r="E4" s="11" t="str">
        <f ca="1">+WORLDCUP!BD66</f>
        <v>Irak</v>
      </c>
      <c r="F4" s="11" t="str">
        <f ca="1">+WORLDCUP!BD61</f>
        <v>Turquía</v>
      </c>
      <c r="G4" s="11" t="str">
        <f ca="1">+WORLDCUP!BD65</f>
        <v>España</v>
      </c>
      <c r="H4" s="11" t="str">
        <f ca="1">+WORLDCUP!BD64</f>
        <v>Bélgica</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Austria</v>
      </c>
      <c r="E5" s="11" t="str">
        <f ca="1">+WORLDCUP!BD66</f>
        <v>Irak</v>
      </c>
      <c r="F5" s="11" t="str">
        <f ca="1">+WORLDCUP!BD61</f>
        <v>Turquía</v>
      </c>
      <c r="G5" s="11" t="str">
        <f ca="1">+WORLDCUP!BD65</f>
        <v>España</v>
      </c>
      <c r="H5" s="11" t="str">
        <f ca="1">+WORLDCUP!BD63</f>
        <v>Japón</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Irak</v>
      </c>
      <c r="F6" s="11" t="str">
        <f ca="1">+WORLDCUP!BD61</f>
        <v>Turquía</v>
      </c>
      <c r="G6" s="11" t="str">
        <f ca="1">+WORLDCUP!BD67</f>
        <v>Austria</v>
      </c>
      <c r="H6" s="11" t="str">
        <f ca="1">+WORLDCUP!BD63</f>
        <v>Japón</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Austria</v>
      </c>
      <c r="F7" s="11" t="str">
        <f ca="1">+WORLDCUP!BD61</f>
        <v>Turquía</v>
      </c>
      <c r="G7" s="11" t="str">
        <f ca="1">+WORLDCUP!BD65</f>
        <v>España</v>
      </c>
      <c r="H7" s="11" t="str">
        <f ca="1">+WORLDCUP!BD63</f>
        <v>Japón</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Irak</v>
      </c>
      <c r="F8" s="11" t="str">
        <f ca="1">+WORLDCUP!BD61</f>
        <v>Turquía</v>
      </c>
      <c r="G8" s="11" t="str">
        <f ca="1">+WORLDCUP!BD65</f>
        <v>España</v>
      </c>
      <c r="H8" s="11" t="str">
        <f ca="1">+WORLDCUP!BD63</f>
        <v>Japón</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Austria</v>
      </c>
      <c r="F9" s="11" t="str">
        <f ca="1">+WORLDCUP!BD61</f>
        <v>Turquía</v>
      </c>
      <c r="G9" s="11" t="str">
        <f ca="1">+WORLDCUP!BD65</f>
        <v>España</v>
      </c>
      <c r="H9" s="11" t="str">
        <f ca="1">+WORLDCUP!BD63</f>
        <v>Japón</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Austria</v>
      </c>
      <c r="F10" s="11" t="str">
        <f ca="1">+WORLDCUP!BD61</f>
        <v>Turquía</v>
      </c>
      <c r="G10" s="11" t="str">
        <f ca="1">+WORLDCUP!BD65</f>
        <v>España</v>
      </c>
      <c r="H10" s="11" t="str">
        <f ca="1">+WORLDCUP!BD63</f>
        <v>Japón</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Irak</v>
      </c>
      <c r="F11" s="11" t="str">
        <f ca="1">+WORLDCUP!BD60</f>
        <v>Marruecos</v>
      </c>
      <c r="G11" s="11" t="str">
        <f ca="1">+WORLDCUP!BD67</f>
        <v>Austria</v>
      </c>
      <c r="H11" s="11" t="str">
        <f ca="1">+WORLDCUP!BD63</f>
        <v>Japón</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Austria</v>
      </c>
      <c r="E12" s="11" t="str">
        <f ca="1">+WORLDCUP!BD66</f>
        <v>Irak</v>
      </c>
      <c r="F12" s="11" t="str">
        <f ca="1">+WORLDCUP!BD60</f>
        <v>Marruecos</v>
      </c>
      <c r="G12" s="11" t="str">
        <f ca="1">+WORLDCUP!BD65</f>
        <v>España</v>
      </c>
      <c r="H12" s="11" t="str">
        <f ca="1">+WORLDCUP!BD64</f>
        <v>Bélgica</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Austria</v>
      </c>
      <c r="E13" s="11" t="str">
        <f ca="1">+WORLDCUP!BD66</f>
        <v>Irak</v>
      </c>
      <c r="F13" s="11" t="str">
        <f ca="1">+WORLDCUP!BD60</f>
        <v>Marruecos</v>
      </c>
      <c r="G13" s="11" t="str">
        <f ca="1">+WORLDCUP!BD65</f>
        <v>España</v>
      </c>
      <c r="H13" s="11" t="str">
        <f ca="1">+WORLDCUP!BD63</f>
        <v>Japón</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Irak</v>
      </c>
      <c r="F14" s="11" t="str">
        <f ca="1">+WORLDCUP!BD60</f>
        <v>Marruecos</v>
      </c>
      <c r="G14" s="11" t="str">
        <f ca="1">+WORLDCUP!BD67</f>
        <v>Austria</v>
      </c>
      <c r="H14" s="11" t="str">
        <f ca="1">+WORLDCUP!BD63</f>
        <v>Japón</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Austria</v>
      </c>
      <c r="F15" s="11" t="str">
        <f ca="1">+WORLDCUP!BD60</f>
        <v>Marruecos</v>
      </c>
      <c r="G15" s="11" t="str">
        <f ca="1">+WORLDCUP!BD65</f>
        <v>España</v>
      </c>
      <c r="H15" s="11" t="str">
        <f ca="1">+WORLDCUP!BD63</f>
        <v>Japón</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Irak</v>
      </c>
      <c r="F16" s="11" t="str">
        <f ca="1">+WORLDCUP!BD60</f>
        <v>Marruecos</v>
      </c>
      <c r="G16" s="11" t="str">
        <f ca="1">+WORLDCUP!BD65</f>
        <v>España</v>
      </c>
      <c r="H16" s="11" t="str">
        <f ca="1">+WORLDCUP!BD63</f>
        <v>Japón</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Austria</v>
      </c>
      <c r="F17" s="11" t="str">
        <f ca="1">+WORLDCUP!BD60</f>
        <v>Marruecos</v>
      </c>
      <c r="G17" s="11" t="str">
        <f ca="1">+WORLDCUP!BD65</f>
        <v>España</v>
      </c>
      <c r="H17" s="11" t="str">
        <f ca="1">+WORLDCUP!BD63</f>
        <v>Japón</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Austria</v>
      </c>
      <c r="F18" s="11" t="str">
        <f ca="1">+WORLDCUP!BD60</f>
        <v>Marruecos</v>
      </c>
      <c r="G18" s="11" t="str">
        <f ca="1">+WORLDCUP!BD65</f>
        <v>España</v>
      </c>
      <c r="H18" s="11" t="str">
        <f ca="1">+WORLDCUP!BD63</f>
        <v>Japón</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Irak</v>
      </c>
      <c r="F19" s="11" t="str">
        <f ca="1">+WORLDCUP!BD60</f>
        <v>Marruecos</v>
      </c>
      <c r="G19" s="11" t="str">
        <f ca="1">+WORLDCUP!BD67</f>
        <v>Austria</v>
      </c>
      <c r="H19" s="11" t="str">
        <f ca="1">+WORLDCUP!BD61</f>
        <v>Turquía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Austria</v>
      </c>
      <c r="E20" s="11" t="str">
        <f ca="1">+WORLDCUP!BD66</f>
        <v>Irak</v>
      </c>
      <c r="F20" s="11" t="str">
        <f ca="1">+WORLDCUP!BD61</f>
        <v>Turquía</v>
      </c>
      <c r="G20" s="11" t="str">
        <f ca="1">+WORLDCUP!BD65</f>
        <v>España</v>
      </c>
      <c r="H20" s="11" t="str">
        <f ca="1">+WORLDCUP!BD63</f>
        <v>Japón</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Irak</v>
      </c>
      <c r="F21" s="11" t="str">
        <f ca="1">+WORLDCUP!BD61</f>
        <v>Turquía</v>
      </c>
      <c r="G21" s="11" t="str">
        <f ca="1">+WORLDCUP!BD67</f>
        <v>Austria</v>
      </c>
      <c r="H21" s="11" t="str">
        <f ca="1">+WORLDCUP!BD63</f>
        <v>Japón</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Austria</v>
      </c>
      <c r="F22" s="11" t="str">
        <f ca="1">+WORLDCUP!BD61</f>
        <v>Turquía</v>
      </c>
      <c r="G22" s="11" t="str">
        <f ca="1">+WORLDCUP!BD65</f>
        <v>España</v>
      </c>
      <c r="H22" s="11" t="str">
        <f ca="1">+WORLDCUP!BD63</f>
        <v>Japón</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Irak</v>
      </c>
      <c r="F23" s="11" t="str">
        <f ca="1">+WORLDCUP!BD61</f>
        <v>Turquía</v>
      </c>
      <c r="G23" s="11" t="str">
        <f ca="1">+WORLDCUP!BD65</f>
        <v>España</v>
      </c>
      <c r="H23" s="11" t="str">
        <f ca="1">+WORLDCUP!BD63</f>
        <v>Japón</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Austria</v>
      </c>
      <c r="F24" s="11" t="str">
        <f ca="1">+WORLDCUP!BD61</f>
        <v>Turquía</v>
      </c>
      <c r="G24" s="11" t="str">
        <f ca="1">+WORLDCUP!BD65</f>
        <v>España</v>
      </c>
      <c r="H24" s="11" t="str">
        <f ca="1">+WORLDCUP!BD63</f>
        <v>Japón</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Austria</v>
      </c>
      <c r="F25" s="11" t="str">
        <f ca="1">+WORLDCUP!BD61</f>
        <v>Turquía</v>
      </c>
      <c r="G25" s="11" t="str">
        <f ca="1">+WORLDCUP!BD65</f>
        <v>España</v>
      </c>
      <c r="H25" s="11" t="str">
        <f ca="1">+WORLDCUP!BD63</f>
        <v>Japón</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Austria</v>
      </c>
      <c r="E26" s="11" t="str">
        <f ca="1">+WORLDCUP!BD66</f>
        <v>Irak</v>
      </c>
      <c r="F26" s="11" t="str">
        <f ca="1">+WORLDCUP!BD60</f>
        <v>Marruecos</v>
      </c>
      <c r="G26" s="11" t="str">
        <f ca="1">+WORLDCUP!BD65</f>
        <v>España</v>
      </c>
      <c r="H26" s="11" t="str">
        <f ca="1">+WORLDCUP!BD61</f>
        <v>Turquía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Irak</v>
      </c>
      <c r="F27" s="11" t="str">
        <f ca="1">+WORLDCUP!BD60</f>
        <v>Marruecos</v>
      </c>
      <c r="G27" s="11" t="str">
        <f ca="1">+WORLDCUP!BD67</f>
        <v>Austria</v>
      </c>
      <c r="H27" s="11" t="str">
        <f ca="1">+WORLDCUP!BD61</f>
        <v>Turquía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Austria</v>
      </c>
      <c r="F28" s="11" t="str">
        <f ca="1">+WORLDCUP!BD60</f>
        <v>Marruecos</v>
      </c>
      <c r="G28" s="11" t="str">
        <f ca="1">+WORLDCUP!BD65</f>
        <v>España</v>
      </c>
      <c r="H28" s="11" t="str">
        <f ca="1">+WORLDCUP!BD61</f>
        <v>Turquía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Irak</v>
      </c>
      <c r="F29" s="11" t="str">
        <f ca="1">+WORLDCUP!BD60</f>
        <v>Marruecos</v>
      </c>
      <c r="G29" s="11" t="str">
        <f ca="1">+WORLDCUP!BD65</f>
        <v>España</v>
      </c>
      <c r="H29" s="11" t="str">
        <f ca="1">+WORLDCUP!BD61</f>
        <v>Turquía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Austria</v>
      </c>
      <c r="F30" s="11" t="str">
        <f ca="1">+WORLDCUP!BD60</f>
        <v>Marruecos</v>
      </c>
      <c r="G30" s="11" t="str">
        <f ca="1">+WORLDCUP!BD65</f>
        <v>España</v>
      </c>
      <c r="H30" s="11" t="str">
        <f ca="1">+WORLDCUP!BD61</f>
        <v>Turquía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Austria</v>
      </c>
      <c r="F31" s="11" t="str">
        <f ca="1">+WORLDCUP!BD60</f>
        <v>Marruecos</v>
      </c>
      <c r="G31" s="11" t="str">
        <f ca="1">+WORLDCUP!BD65</f>
        <v>España</v>
      </c>
      <c r="H31" s="11" t="str">
        <f ca="1">+WORLDCUP!BD61</f>
        <v>Turquía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Austria</v>
      </c>
      <c r="E32" s="11" t="str">
        <f ca="1">+WORLDCUP!BD62</f>
        <v>Ecuador</v>
      </c>
      <c r="F32" s="11" t="str">
        <f ca="1">+WORLDCUP!BD61</f>
        <v>Turquía</v>
      </c>
      <c r="G32" s="11" t="str">
        <f ca="1">+WORLDCUP!BD66</f>
        <v>Irak</v>
      </c>
      <c r="H32" s="11" t="str">
        <f ca="1">+WORLDCUP!BD63</f>
        <v>Japón</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Austria</v>
      </c>
      <c r="E33" s="11" t="str">
        <f ca="1">+WORLDCUP!BD62</f>
        <v>Ecuador</v>
      </c>
      <c r="F33" s="11" t="str">
        <f ca="1">+WORLDCUP!BD61</f>
        <v>Turquía</v>
      </c>
      <c r="G33" s="11" t="str">
        <f ca="1">+WORLDCUP!BD65</f>
        <v>España</v>
      </c>
      <c r="H33" s="11" t="str">
        <f ca="1">+WORLDCUP!BD63</f>
        <v>Japón</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Irak</v>
      </c>
      <c r="F34" s="11" t="str">
        <f ca="1">+WORLDCUP!BD61</f>
        <v>Turquía</v>
      </c>
      <c r="G34" s="11" t="str">
        <f ca="1">+WORLDCUP!BD65</f>
        <v>España</v>
      </c>
      <c r="H34" s="11" t="str">
        <f ca="1">+WORLDCUP!BD63</f>
        <v>Japón</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Austria</v>
      </c>
      <c r="E35" s="11" t="str">
        <f ca="1">+WORLDCUP!BD62</f>
        <v>Ecuador</v>
      </c>
      <c r="F35" s="11" t="str">
        <f ca="1">+WORLDCUP!BD61</f>
        <v>Turquía</v>
      </c>
      <c r="G35" s="11" t="str">
        <f ca="1">+WORLDCUP!BD65</f>
        <v>España</v>
      </c>
      <c r="H35" s="11" t="str">
        <f ca="1">+WORLDCUP!BD63</f>
        <v>Japón</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Austria</v>
      </c>
      <c r="E36" s="11" t="str">
        <f ca="1">+WORLDCUP!BD62</f>
        <v>Ecuador</v>
      </c>
      <c r="F36" s="11" t="str">
        <f ca="1">+WORLDCUP!BD61</f>
        <v>Turquía</v>
      </c>
      <c r="G36" s="11" t="str">
        <f ca="1">+WORLDCUP!BD65</f>
        <v>España</v>
      </c>
      <c r="H36" s="11" t="str">
        <f ca="1">+WORLDCUP!BD63</f>
        <v>Japón</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Austria</v>
      </c>
      <c r="H37" s="11" t="str">
        <f ca="1">+WORLDCUP!BD63</f>
        <v>Japón</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Irak</v>
      </c>
      <c r="H38" s="11" t="str">
        <f ca="1">+WORLDCUP!BD63</f>
        <v>Japón</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Austria</v>
      </c>
      <c r="H39" s="11" t="str">
        <f ca="1">+WORLDCUP!BD63</f>
        <v>Japón</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Austria</v>
      </c>
      <c r="H40" s="11" t="str">
        <f ca="1">+WORLDCUP!BD63</f>
        <v>Japón</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Austria</v>
      </c>
      <c r="F42" s="11" t="str">
        <f ca="1">+WORLDCUP!BD61</f>
        <v>Turquía</v>
      </c>
      <c r="G42" s="11" t="str">
        <f ca="1">+WORLDCUP!BD65</f>
        <v>España</v>
      </c>
      <c r="H42" s="11" t="str">
        <f ca="1">+WORLDCUP!BD63</f>
        <v>Japón</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Austria</v>
      </c>
      <c r="F43" s="11" t="str">
        <f ca="1">+WORLDCUP!BD61</f>
        <v>Turquía</v>
      </c>
      <c r="G43" s="11" t="str">
        <f ca="1">+WORLDCUP!BD65</f>
        <v>España</v>
      </c>
      <c r="H43" s="11" t="str">
        <f ca="1">+WORLDCUP!BD63</f>
        <v>Japón</v>
      </c>
      <c r="I43" s="11" t="str">
        <f ca="1">+WORLDCUP!BD62</f>
        <v>Ecuador</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Austria</v>
      </c>
      <c r="F46" s="11" t="str">
        <f ca="1">+WORLDCUP!BD61</f>
        <v>Turquía</v>
      </c>
      <c r="G46" s="11" t="str">
        <f ca="1">+WORLDCUP!BD65</f>
        <v>España</v>
      </c>
      <c r="H46" s="11" t="str">
        <f ca="1">+WORLDCUP!BD63</f>
        <v>Japón</v>
      </c>
      <c r="I46" s="11" t="str">
        <f ca="1">+WORLDCUP!BD62</f>
        <v>Ecuador</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Austria</v>
      </c>
      <c r="E47" s="11" t="str">
        <f ca="1">+WORLDCUP!BD59</f>
        <v>Catar</v>
      </c>
      <c r="F47" s="11" t="str">
        <f ca="1">+WORLDCUP!BD63</f>
        <v>Japón</v>
      </c>
      <c r="G47" s="11" t="str">
        <f ca="1">+WORLDCUP!BD66</f>
        <v>Irak</v>
      </c>
      <c r="H47" s="11" t="str">
        <f ca="1">+WORLDCUP!BD64</f>
        <v>Bélgica</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Austria</v>
      </c>
      <c r="E48" s="11" t="str">
        <f ca="1">+WORLDCUP!BD66</f>
        <v>Irak</v>
      </c>
      <c r="F48" s="11" t="str">
        <f ca="1">+WORLDCUP!BD59</f>
        <v>Catar</v>
      </c>
      <c r="G48" s="11" t="str">
        <f ca="1">+WORLDCUP!BD65</f>
        <v>España</v>
      </c>
      <c r="H48" s="11" t="str">
        <f ca="1">+WORLDCUP!BD64</f>
        <v>Bélgica</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Austria</v>
      </c>
      <c r="E49" s="11" t="str">
        <f ca="1">+WORLDCUP!BD59</f>
        <v>Catar</v>
      </c>
      <c r="F49" s="11" t="str">
        <f ca="1">+WORLDCUP!BD63</f>
        <v>Japón</v>
      </c>
      <c r="G49" s="11" t="str">
        <f ca="1">+WORLDCUP!BD66</f>
        <v>Irak</v>
      </c>
      <c r="H49" s="11" t="str">
        <f ca="1">+WORLDCUP!BD65</f>
        <v>España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Austria</v>
      </c>
      <c r="E50" s="11" t="str">
        <f ca="1">+WORLDCUP!BD59</f>
        <v>Catar</v>
      </c>
      <c r="F50" s="11" t="str">
        <f ca="1">+WORLDCUP!BD63</f>
        <v>Japón</v>
      </c>
      <c r="G50" s="11" t="str">
        <f ca="1">+WORLDCUP!BD66</f>
        <v>Irak</v>
      </c>
      <c r="H50" s="11" t="str">
        <f ca="1">+WORLDCUP!BD64</f>
        <v>Bélgica</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Austria</v>
      </c>
      <c r="E51" s="11" t="str">
        <f ca="1">+WORLDCUP!BD59</f>
        <v>Catar</v>
      </c>
      <c r="F51" s="11" t="str">
        <f ca="1">+WORLDCUP!BD63</f>
        <v>Japón</v>
      </c>
      <c r="G51" s="11" t="str">
        <f ca="1">+WORLDCUP!BD65</f>
        <v>España</v>
      </c>
      <c r="H51" s="11" t="str">
        <f ca="1">+WORLDCUP!BD64</f>
        <v>Bélgica</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Irak</v>
      </c>
      <c r="H52" s="11" t="str">
        <f ca="1">+WORLDCUP!BD65</f>
        <v>España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Austria</v>
      </c>
      <c r="E53" s="11" t="str">
        <f ca="1">+WORLDCUP!BD59</f>
        <v>Catar</v>
      </c>
      <c r="F53" s="11" t="str">
        <f ca="1">+WORLDCUP!BD63</f>
        <v>Japón</v>
      </c>
      <c r="G53" s="11" t="str">
        <f ca="1">+WORLDCUP!BD65</f>
        <v>España</v>
      </c>
      <c r="H53" s="11" t="str">
        <f ca="1">+WORLDCUP!BD64</f>
        <v>Bélgica</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Austria</v>
      </c>
      <c r="E54" s="11" t="str">
        <f ca="1">+WORLDCUP!BD59</f>
        <v>Catar</v>
      </c>
      <c r="F54" s="11" t="str">
        <f ca="1">+WORLDCUP!BD63</f>
        <v>Japón</v>
      </c>
      <c r="G54" s="11" t="str">
        <f ca="1">+WORLDCUP!BD65</f>
        <v>España</v>
      </c>
      <c r="H54" s="11" t="str">
        <f ca="1">+WORLDCUP!BD64</f>
        <v>Bélgica</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Austria</v>
      </c>
      <c r="E55" s="11" t="str">
        <f ca="1">+WORLDCUP!BD59</f>
        <v>Catar</v>
      </c>
      <c r="F55" s="11" t="str">
        <f ca="1">+WORLDCUP!BD61</f>
        <v>Turquía</v>
      </c>
      <c r="G55" s="11" t="str">
        <f ca="1">+WORLDCUP!BD66</f>
        <v>Irak</v>
      </c>
      <c r="H55" s="11" t="str">
        <f ca="1">+WORLDCUP!BD64</f>
        <v>Bélgica</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Austria</v>
      </c>
      <c r="E56" s="11" t="str">
        <f ca="1">+WORLDCUP!BD59</f>
        <v>Catar</v>
      </c>
      <c r="F56" s="11" t="str">
        <f ca="1">+WORLDCUP!BD61</f>
        <v>Turquía</v>
      </c>
      <c r="G56" s="11" t="str">
        <f ca="1">+WORLDCUP!BD66</f>
        <v>Irak</v>
      </c>
      <c r="H56" s="11" t="str">
        <f ca="1">+WORLDCUP!BD63</f>
        <v>Japón</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Bélgica</v>
      </c>
      <c r="E57" s="11" t="str">
        <f ca="1">+WORLDCUP!BD59</f>
        <v>Catar</v>
      </c>
      <c r="F57" s="11" t="str">
        <f ca="1">+WORLDCUP!BD61</f>
        <v>Turquía</v>
      </c>
      <c r="G57" s="11" t="str">
        <f ca="1">+WORLDCUP!BD67</f>
        <v>Austria</v>
      </c>
      <c r="H57" s="11" t="str">
        <f ca="1">+WORLDCUP!BD63</f>
        <v>Japón</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Austria</v>
      </c>
      <c r="H58" s="11" t="str">
        <f ca="1">+WORLDCUP!BD63</f>
        <v>Japón</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Irak</v>
      </c>
      <c r="H59" s="11" t="str">
        <f ca="1">+WORLDCUP!BD63</f>
        <v>Japón</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Austria</v>
      </c>
      <c r="H60" s="11" t="str">
        <f ca="1">+WORLDCUP!BD63</f>
        <v>Japón</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Austria</v>
      </c>
      <c r="H61" s="11" t="str">
        <f ca="1">+WORLDCUP!BD63</f>
        <v>Japón</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Austria</v>
      </c>
      <c r="E62" s="11" t="str">
        <f ca="1">+WORLDCUP!BD59</f>
        <v>Catar</v>
      </c>
      <c r="F62" s="11" t="str">
        <f ca="1">+WORLDCUP!BD61</f>
        <v>Turquía</v>
      </c>
      <c r="G62" s="11" t="str">
        <f ca="1">+WORLDCUP!BD66</f>
        <v>Irak</v>
      </c>
      <c r="H62" s="11" t="str">
        <f ca="1">+WORLDCUP!BD65</f>
        <v>España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Austria</v>
      </c>
      <c r="E63" s="11" t="str">
        <f ca="1">+WORLDCUP!BD59</f>
        <v>Catar</v>
      </c>
      <c r="F63" s="11" t="str">
        <f ca="1">+WORLDCUP!BD61</f>
        <v>Turquía</v>
      </c>
      <c r="G63" s="11" t="str">
        <f ca="1">+WORLDCUP!BD66</f>
        <v>Irak</v>
      </c>
      <c r="H63" s="11" t="str">
        <f ca="1">+WORLDCUP!BD64</f>
        <v>Bélgica</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Austria</v>
      </c>
      <c r="E64" s="11" t="str">
        <f ca="1">+WORLDCUP!BD59</f>
        <v>Catar</v>
      </c>
      <c r="F64" s="11" t="str">
        <f ca="1">+WORLDCUP!BD61</f>
        <v>Turquía</v>
      </c>
      <c r="G64" s="11" t="str">
        <f ca="1">+WORLDCUP!BD65</f>
        <v>España</v>
      </c>
      <c r="H64" s="11" t="str">
        <f ca="1">+WORLDCUP!BD64</f>
        <v>Bélgica</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Irak</v>
      </c>
      <c r="H65" s="11" t="str">
        <f ca="1">+WORLDCUP!BD65</f>
        <v>España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Austria</v>
      </c>
      <c r="E66" s="11" t="str">
        <f ca="1">+WORLDCUP!BD59</f>
        <v>Catar</v>
      </c>
      <c r="F66" s="11" t="str">
        <f ca="1">+WORLDCUP!BD61</f>
        <v>Turquía</v>
      </c>
      <c r="G66" s="11" t="str">
        <f ca="1">+WORLDCUP!BD65</f>
        <v>España</v>
      </c>
      <c r="H66" s="11" t="str">
        <f ca="1">+WORLDCUP!BD64</f>
        <v>Bélgica</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Austria</v>
      </c>
      <c r="E67" s="11" t="str">
        <f ca="1">+WORLDCUP!BD59</f>
        <v>Catar</v>
      </c>
      <c r="F67" s="11" t="str">
        <f ca="1">+WORLDCUP!BD61</f>
        <v>Turquía</v>
      </c>
      <c r="G67" s="11" t="str">
        <f ca="1">+WORLDCUP!BD65</f>
        <v>España</v>
      </c>
      <c r="H67" s="11" t="str">
        <f ca="1">+WORLDCUP!BD64</f>
        <v>Bélgica</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Austria</v>
      </c>
      <c r="E68" s="11" t="str">
        <f ca="1">+WORLDCUP!BD59</f>
        <v>Catar</v>
      </c>
      <c r="F68" s="11" t="str">
        <f ca="1">+WORLDCUP!BD61</f>
        <v>Turquía</v>
      </c>
      <c r="G68" s="11" t="str">
        <f ca="1">+WORLDCUP!BD66</f>
        <v>Irak</v>
      </c>
      <c r="H68" s="11" t="str">
        <f ca="1">+WORLDCUP!BD63</f>
        <v>Japón</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Austria</v>
      </c>
      <c r="E69" s="11" t="str">
        <f ca="1">+WORLDCUP!BD59</f>
        <v>Catar</v>
      </c>
      <c r="F69" s="11" t="str">
        <f ca="1">+WORLDCUP!BD61</f>
        <v>Turquía</v>
      </c>
      <c r="G69" s="11" t="str">
        <f ca="1">+WORLDCUP!BD65</f>
        <v>España</v>
      </c>
      <c r="H69" s="11" t="str">
        <f ca="1">+WORLDCUP!BD63</f>
        <v>Japón</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Irak</v>
      </c>
      <c r="E70" s="11" t="str">
        <f ca="1">+WORLDCUP!BD59</f>
        <v>Catar</v>
      </c>
      <c r="F70" s="11" t="str">
        <f ca="1">+WORLDCUP!BD61</f>
        <v>Turquía</v>
      </c>
      <c r="G70" s="11" t="str">
        <f ca="1">+WORLDCUP!BD65</f>
        <v>España</v>
      </c>
      <c r="H70" s="11" t="str">
        <f ca="1">+WORLDCUP!BD63</f>
        <v>Japón</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Austria</v>
      </c>
      <c r="E71" s="11" t="str">
        <f ca="1">+WORLDCUP!BD59</f>
        <v>Catar</v>
      </c>
      <c r="F71" s="11" t="str">
        <f ca="1">+WORLDCUP!BD61</f>
        <v>Turquía</v>
      </c>
      <c r="G71" s="11" t="str">
        <f ca="1">+WORLDCUP!BD65</f>
        <v>España</v>
      </c>
      <c r="H71" s="11" t="str">
        <f ca="1">+WORLDCUP!BD63</f>
        <v>Japón</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Austria</v>
      </c>
      <c r="E72" s="11" t="str">
        <f ca="1">+WORLDCUP!BD59</f>
        <v>Catar</v>
      </c>
      <c r="F72" s="11" t="str">
        <f ca="1">+WORLDCUP!BD61</f>
        <v>Turquía</v>
      </c>
      <c r="G72" s="11" t="str">
        <f ca="1">+WORLDCUP!BD65</f>
        <v>España</v>
      </c>
      <c r="H72" s="11" t="str">
        <f ca="1">+WORLDCUP!BD63</f>
        <v>Japón</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Austria</v>
      </c>
      <c r="H73" s="11" t="str">
        <f ca="1">+WORLDCUP!BD63</f>
        <v>Japón</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Irak</v>
      </c>
      <c r="H74" s="11" t="str">
        <f ca="1">+WORLDCUP!BD63</f>
        <v>Japón</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Austria</v>
      </c>
      <c r="H75" s="11" t="str">
        <f ca="1">+WORLDCUP!BD63</f>
        <v>Japón</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Austria</v>
      </c>
      <c r="H76" s="11" t="str">
        <f ca="1">+WORLDCUP!BD63</f>
        <v>Japón</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Austria</v>
      </c>
      <c r="H78" s="11" t="str">
        <f ca="1">+WORLDCUP!BD63</f>
        <v>Japón</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Austria</v>
      </c>
      <c r="H79" s="11" t="str">
        <f ca="1">+WORLDCUP!BD63</f>
        <v>Japón</v>
      </c>
      <c r="I79" s="11" t="str">
        <f ca="1">+WORLDCUP!BD62</f>
        <v>Ecuador</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Austria</v>
      </c>
      <c r="H82" s="11" t="str">
        <f ca="1">+WORLDCUP!BD63</f>
        <v>Japón</v>
      </c>
      <c r="I82" s="11" t="str">
        <f ca="1">+WORLDCUP!BD62</f>
        <v>Ecuador</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Austria</v>
      </c>
      <c r="E83" s="11" t="str">
        <f ca="1">+WORLDCUP!BD59</f>
        <v>Catar</v>
      </c>
      <c r="F83" s="11" t="str">
        <f ca="1">+WORLDCUP!BD60</f>
        <v>Marruecos</v>
      </c>
      <c r="G83" s="11" t="str">
        <f ca="1">+WORLDCUP!BD66</f>
        <v>Irak</v>
      </c>
      <c r="H83" s="11" t="str">
        <f ca="1">+WORLDCUP!BD64</f>
        <v>Bélgica</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Austria</v>
      </c>
      <c r="E84" s="11" t="str">
        <f ca="1">+WORLDCUP!BD59</f>
        <v>Catar</v>
      </c>
      <c r="F84" s="11" t="str">
        <f ca="1">+WORLDCUP!BD60</f>
        <v>Marruecos</v>
      </c>
      <c r="G84" s="11" t="str">
        <f ca="1">+WORLDCUP!BD66</f>
        <v>Irak</v>
      </c>
      <c r="H84" s="11" t="str">
        <f ca="1">+WORLDCUP!BD63</f>
        <v>Japón</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Bélgica</v>
      </c>
      <c r="E85" s="11" t="str">
        <f ca="1">+WORLDCUP!BD59</f>
        <v>Catar</v>
      </c>
      <c r="F85" s="11" t="str">
        <f ca="1">+WORLDCUP!BD60</f>
        <v>Marruecos</v>
      </c>
      <c r="G85" s="11" t="str">
        <f ca="1">+WORLDCUP!BD67</f>
        <v>Austria</v>
      </c>
      <c r="H85" s="11" t="str">
        <f ca="1">+WORLDCUP!BD63</f>
        <v>Japón</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Austria</v>
      </c>
      <c r="H86" s="11" t="str">
        <f ca="1">+WORLDCUP!BD63</f>
        <v>Japón</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Irak</v>
      </c>
      <c r="H87" s="11" t="str">
        <f ca="1">+WORLDCUP!BD63</f>
        <v>Japón</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Austria</v>
      </c>
      <c r="H88" s="11" t="str">
        <f ca="1">+WORLDCUP!BD63</f>
        <v>Japón</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Austria</v>
      </c>
      <c r="H89" s="11" t="str">
        <f ca="1">+WORLDCUP!BD63</f>
        <v>Japón</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Austria</v>
      </c>
      <c r="E90" s="11" t="str">
        <f ca="1">+WORLDCUP!BD59</f>
        <v>Catar</v>
      </c>
      <c r="F90" s="11" t="str">
        <f ca="1">+WORLDCUP!BD60</f>
        <v>Marruecos</v>
      </c>
      <c r="G90" s="11" t="str">
        <f ca="1">+WORLDCUP!BD66</f>
        <v>Irak</v>
      </c>
      <c r="H90" s="11" t="str">
        <f ca="1">+WORLDCUP!BD65</f>
        <v>España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Austria</v>
      </c>
      <c r="E91" s="11" t="str">
        <f ca="1">+WORLDCUP!BD59</f>
        <v>Catar</v>
      </c>
      <c r="F91" s="11" t="str">
        <f ca="1">+WORLDCUP!BD60</f>
        <v>Marruecos</v>
      </c>
      <c r="G91" s="11" t="str">
        <f ca="1">+WORLDCUP!BD66</f>
        <v>Irak</v>
      </c>
      <c r="H91" s="11" t="str">
        <f ca="1">+WORLDCUP!BD64</f>
        <v>Bélgica</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Austria</v>
      </c>
      <c r="E92" s="11" t="str">
        <f ca="1">+WORLDCUP!BD59</f>
        <v>Catar</v>
      </c>
      <c r="F92" s="11" t="str">
        <f ca="1">+WORLDCUP!BD60</f>
        <v>Marruecos</v>
      </c>
      <c r="G92" s="11" t="str">
        <f ca="1">+WORLDCUP!BD65</f>
        <v>España</v>
      </c>
      <c r="H92" s="11" t="str">
        <f ca="1">+WORLDCUP!BD64</f>
        <v>Bélgica</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Irak</v>
      </c>
      <c r="H93" s="11" t="str">
        <f ca="1">+WORLDCUP!BD65</f>
        <v>España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Austria</v>
      </c>
      <c r="E94" s="11" t="str">
        <f ca="1">+WORLDCUP!BD59</f>
        <v>Catar</v>
      </c>
      <c r="F94" s="11" t="str">
        <f ca="1">+WORLDCUP!BD60</f>
        <v>Marruecos</v>
      </c>
      <c r="G94" s="11" t="str">
        <f ca="1">+WORLDCUP!BD65</f>
        <v>España</v>
      </c>
      <c r="H94" s="11" t="str">
        <f ca="1">+WORLDCUP!BD64</f>
        <v>Bélgica</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Austria</v>
      </c>
      <c r="E95" s="11" t="str">
        <f ca="1">+WORLDCUP!BD59</f>
        <v>Catar</v>
      </c>
      <c r="F95" s="11" t="str">
        <f ca="1">+WORLDCUP!BD60</f>
        <v>Marruecos</v>
      </c>
      <c r="G95" s="11" t="str">
        <f ca="1">+WORLDCUP!BD65</f>
        <v>España</v>
      </c>
      <c r="H95" s="11" t="str">
        <f ca="1">+WORLDCUP!BD64</f>
        <v>Bélgica</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Austria</v>
      </c>
      <c r="E96" s="11" t="str">
        <f ca="1">+WORLDCUP!BD59</f>
        <v>Catar</v>
      </c>
      <c r="F96" s="11" t="str">
        <f ca="1">+WORLDCUP!BD60</f>
        <v>Marruecos</v>
      </c>
      <c r="G96" s="11" t="str">
        <f ca="1">+WORLDCUP!BD66</f>
        <v>Irak</v>
      </c>
      <c r="H96" s="11" t="str">
        <f ca="1">+WORLDCUP!BD63</f>
        <v>Japón</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Austria</v>
      </c>
      <c r="E97" s="11" t="str">
        <f ca="1">+WORLDCUP!BD59</f>
        <v>Catar</v>
      </c>
      <c r="F97" s="11" t="str">
        <f ca="1">+WORLDCUP!BD60</f>
        <v>Marruecos</v>
      </c>
      <c r="G97" s="11" t="str">
        <f ca="1">+WORLDCUP!BD65</f>
        <v>España</v>
      </c>
      <c r="H97" s="11" t="str">
        <f ca="1">+WORLDCUP!BD63</f>
        <v>Japón</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Irak</v>
      </c>
      <c r="E98" s="11" t="str">
        <f ca="1">+WORLDCUP!BD59</f>
        <v>Catar</v>
      </c>
      <c r="F98" s="11" t="str">
        <f ca="1">+WORLDCUP!BD60</f>
        <v>Marruecos</v>
      </c>
      <c r="G98" s="11" t="str">
        <f ca="1">+WORLDCUP!BD65</f>
        <v>España</v>
      </c>
      <c r="H98" s="11" t="str">
        <f ca="1">+WORLDCUP!BD63</f>
        <v>Japón</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Austria</v>
      </c>
      <c r="E99" s="11" t="str">
        <f ca="1">+WORLDCUP!BD59</f>
        <v>Catar</v>
      </c>
      <c r="F99" s="11" t="str">
        <f ca="1">+WORLDCUP!BD60</f>
        <v>Marruecos</v>
      </c>
      <c r="G99" s="11" t="str">
        <f ca="1">+WORLDCUP!BD65</f>
        <v>España</v>
      </c>
      <c r="H99" s="11" t="str">
        <f ca="1">+WORLDCUP!BD63</f>
        <v>Japón</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Austria</v>
      </c>
      <c r="E100" s="11" t="str">
        <f ca="1">+WORLDCUP!BD59</f>
        <v>Catar</v>
      </c>
      <c r="F100" s="11" t="str">
        <f ca="1">+WORLDCUP!BD60</f>
        <v>Marruecos</v>
      </c>
      <c r="G100" s="11" t="str">
        <f ca="1">+WORLDCUP!BD65</f>
        <v>España</v>
      </c>
      <c r="H100" s="11" t="str">
        <f ca="1">+WORLDCUP!BD63</f>
        <v>Japón</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Austria</v>
      </c>
      <c r="H101" s="11" t="str">
        <f ca="1">+WORLDCUP!BD63</f>
        <v>Japón</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Irak</v>
      </c>
      <c r="H102" s="11" t="str">
        <f ca="1">+WORLDCUP!BD63</f>
        <v>Japón</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Austria</v>
      </c>
      <c r="H103" s="11" t="str">
        <f ca="1">+WORLDCUP!BD63</f>
        <v>Japón</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Austria</v>
      </c>
      <c r="H104" s="11" t="str">
        <f ca="1">+WORLDCUP!BD63</f>
        <v>Japón</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Austria</v>
      </c>
      <c r="H106" s="11" t="str">
        <f ca="1">+WORLDCUP!BD63</f>
        <v>Japón</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Austria</v>
      </c>
      <c r="H107" s="11" t="str">
        <f ca="1">+WORLDCUP!BD63</f>
        <v>Japón</v>
      </c>
      <c r="I107" s="11" t="str">
        <f ca="1">+WORLDCUP!BD62</f>
        <v>Ecuador</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Austria</v>
      </c>
      <c r="H110" s="11" t="str">
        <f ca="1">+WORLDCUP!BD63</f>
        <v>Japón</v>
      </c>
      <c r="I110" s="11" t="str">
        <f ca="1">+WORLDCUP!BD62</f>
        <v>Ecuador</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Austria</v>
      </c>
      <c r="E111" s="11" t="str">
        <f ca="1">+WORLDCUP!BD59</f>
        <v>Catar</v>
      </c>
      <c r="F111" s="11" t="str">
        <f ca="1">+WORLDCUP!BD60</f>
        <v>Marruecos</v>
      </c>
      <c r="G111" s="11" t="str">
        <f ca="1">+WORLDCUP!BD66</f>
        <v>Irak</v>
      </c>
      <c r="H111" s="11" t="str">
        <f ca="1">+WORLDCUP!BD61</f>
        <v>Turquía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Bélgica</v>
      </c>
      <c r="E112" s="11" t="str">
        <f ca="1">+WORLDCUP!BD59</f>
        <v>Catar</v>
      </c>
      <c r="F112" s="11" t="str">
        <f ca="1">+WORLDCUP!BD60</f>
        <v>Marruecos</v>
      </c>
      <c r="G112" s="11" t="str">
        <f ca="1">+WORLDCUP!BD67</f>
        <v>Austria</v>
      </c>
      <c r="H112" s="11" t="str">
        <f ca="1">+WORLDCUP!BD61</f>
        <v>Turquía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Austria</v>
      </c>
      <c r="H113" s="11" t="str">
        <f ca="1">+WORLDCUP!BD61</f>
        <v>Turquía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Irak</v>
      </c>
      <c r="H114" s="11" t="str">
        <f ca="1">+WORLDCUP!BD61</f>
        <v>Turquía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Austria</v>
      </c>
      <c r="H115" s="11" t="str">
        <f ca="1">+WORLDCUP!BD61</f>
        <v>Turquía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Austria</v>
      </c>
      <c r="H116" s="11" t="str">
        <f ca="1">+WORLDCUP!BD61</f>
        <v>Turquía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Austria</v>
      </c>
      <c r="E117" s="11" t="str">
        <f ca="1">+WORLDCUP!BD59</f>
        <v>Catar</v>
      </c>
      <c r="F117" s="11" t="str">
        <f ca="1">+WORLDCUP!BD61</f>
        <v>Turquía</v>
      </c>
      <c r="G117" s="11" t="str">
        <f ca="1">+WORLDCUP!BD66</f>
        <v>Irak</v>
      </c>
      <c r="H117" s="11" t="str">
        <f ca="1">+WORLDCUP!BD63</f>
        <v>Japón</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Austria</v>
      </c>
      <c r="E118" s="11" t="str">
        <f ca="1">+WORLDCUP!BD59</f>
        <v>Catar</v>
      </c>
      <c r="F118" s="11" t="str">
        <f ca="1">+WORLDCUP!BD61</f>
        <v>Turquía</v>
      </c>
      <c r="G118" s="11" t="str">
        <f ca="1">+WORLDCUP!BD65</f>
        <v>España</v>
      </c>
      <c r="H118" s="11" t="str">
        <f ca="1">+WORLDCUP!BD63</f>
        <v>Japón</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Irak</v>
      </c>
      <c r="E119" s="11" t="str">
        <f ca="1">+WORLDCUP!BD59</f>
        <v>Catar</v>
      </c>
      <c r="F119" s="11" t="str">
        <f ca="1">+WORLDCUP!BD61</f>
        <v>Turquía</v>
      </c>
      <c r="G119" s="11" t="str">
        <f ca="1">+WORLDCUP!BD65</f>
        <v>España</v>
      </c>
      <c r="H119" s="11" t="str">
        <f ca="1">+WORLDCUP!BD63</f>
        <v>Japón</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Austria</v>
      </c>
      <c r="E120" s="11" t="str">
        <f ca="1">+WORLDCUP!BD59</f>
        <v>Catar</v>
      </c>
      <c r="F120" s="11" t="str">
        <f ca="1">+WORLDCUP!BD61</f>
        <v>Turquía</v>
      </c>
      <c r="G120" s="11" t="str">
        <f ca="1">+WORLDCUP!BD65</f>
        <v>España</v>
      </c>
      <c r="H120" s="11" t="str">
        <f ca="1">+WORLDCUP!BD63</f>
        <v>Japón</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Austria</v>
      </c>
      <c r="E121" s="11" t="str">
        <f ca="1">+WORLDCUP!BD59</f>
        <v>Catar</v>
      </c>
      <c r="F121" s="11" t="str">
        <f ca="1">+WORLDCUP!BD61</f>
        <v>Turquía</v>
      </c>
      <c r="G121" s="11" t="str">
        <f ca="1">+WORLDCUP!BD65</f>
        <v>España</v>
      </c>
      <c r="H121" s="11" t="str">
        <f ca="1">+WORLDCUP!BD63</f>
        <v>Japón</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Austria</v>
      </c>
      <c r="H122" s="11" t="str">
        <f ca="1">+WORLDCUP!BD63</f>
        <v>Japón</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Irak</v>
      </c>
      <c r="H123" s="11" t="str">
        <f ca="1">+WORLDCUP!BD63</f>
        <v>Japón</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Austria</v>
      </c>
      <c r="H124" s="11" t="str">
        <f ca="1">+WORLDCUP!BD63</f>
        <v>Japón</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Austria</v>
      </c>
      <c r="H125" s="11" t="str">
        <f ca="1">+WORLDCUP!BD63</f>
        <v>Japón</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Austria</v>
      </c>
      <c r="H128" s="11" t="str">
        <f ca="1">+WORLDCUP!BD63</f>
        <v>Japón</v>
      </c>
      <c r="I128" s="11" t="str">
        <f ca="1">+WORLDCUP!BD61</f>
        <v>Turquía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Austria</v>
      </c>
      <c r="H131" s="11" t="str">
        <f ca="1">+WORLDCUP!BD63</f>
        <v>Japón</v>
      </c>
      <c r="I131" s="11" t="str">
        <f ca="1">+WORLDCUP!BD61</f>
        <v>Turquía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Austria</v>
      </c>
      <c r="E132" s="11" t="str">
        <f ca="1">+WORLDCUP!BD59</f>
        <v>Catar</v>
      </c>
      <c r="F132" s="11" t="str">
        <f ca="1">+WORLDCUP!BD60</f>
        <v>Marruecos</v>
      </c>
      <c r="G132" s="11" t="str">
        <f ca="1">+WORLDCUP!BD66</f>
        <v>Irak</v>
      </c>
      <c r="H132" s="11" t="str">
        <f ca="1">+WORLDCUP!BD61</f>
        <v>Turquía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Austria</v>
      </c>
      <c r="E133" s="11" t="str">
        <f ca="1">+WORLDCUP!BD59</f>
        <v>Catar</v>
      </c>
      <c r="F133" s="11" t="str">
        <f ca="1">+WORLDCUP!BD60</f>
        <v>Marruecos</v>
      </c>
      <c r="G133" s="11" t="str">
        <f ca="1">+WORLDCUP!BD65</f>
        <v>España</v>
      </c>
      <c r="H133" s="11" t="str">
        <f ca="1">+WORLDCUP!BD61</f>
        <v>Turquía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Irak</v>
      </c>
      <c r="E134" s="11" t="str">
        <f ca="1">+WORLDCUP!BD59</f>
        <v>Catar</v>
      </c>
      <c r="F134" s="11" t="str">
        <f ca="1">+WORLDCUP!BD60</f>
        <v>Marruecos</v>
      </c>
      <c r="G134" s="11" t="str">
        <f ca="1">+WORLDCUP!BD65</f>
        <v>España</v>
      </c>
      <c r="H134" s="11" t="str">
        <f ca="1">+WORLDCUP!BD61</f>
        <v>Turquía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Austria</v>
      </c>
      <c r="E135" s="11" t="str">
        <f ca="1">+WORLDCUP!BD59</f>
        <v>Catar</v>
      </c>
      <c r="F135" s="11" t="str">
        <f ca="1">+WORLDCUP!BD60</f>
        <v>Marruecos</v>
      </c>
      <c r="G135" s="11" t="str">
        <f ca="1">+WORLDCUP!BD65</f>
        <v>España</v>
      </c>
      <c r="H135" s="11" t="str">
        <f ca="1">+WORLDCUP!BD61</f>
        <v>Turquía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Austria</v>
      </c>
      <c r="E136" s="11" t="str">
        <f ca="1">+WORLDCUP!BD59</f>
        <v>Catar</v>
      </c>
      <c r="F136" s="11" t="str">
        <f ca="1">+WORLDCUP!BD60</f>
        <v>Marruecos</v>
      </c>
      <c r="G136" s="11" t="str">
        <f ca="1">+WORLDCUP!BD65</f>
        <v>España</v>
      </c>
      <c r="H136" s="11" t="str">
        <f ca="1">+WORLDCUP!BD61</f>
        <v>Turquía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Austria</v>
      </c>
      <c r="H137" s="11" t="str">
        <f ca="1">+WORLDCUP!BD61</f>
        <v>Turquía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Irak</v>
      </c>
      <c r="H138" s="11" t="str">
        <f ca="1">+WORLDCUP!BD61</f>
        <v>Turquía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Austria</v>
      </c>
      <c r="H139" s="11" t="str">
        <f ca="1">+WORLDCUP!BD61</f>
        <v>Turquía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Austria</v>
      </c>
      <c r="H140" s="11" t="str">
        <f ca="1">+WORLDCUP!BD61</f>
        <v>Turquía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Austria</v>
      </c>
      <c r="H142" s="11" t="str">
        <f ca="1">+WORLDCUP!BD61</f>
        <v>Turquía</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Austria</v>
      </c>
      <c r="H143" s="11" t="str">
        <f ca="1">+WORLDCUP!BD61</f>
        <v>Turquía</v>
      </c>
      <c r="I143" s="11" t="str">
        <f ca="1">+WORLDCUP!BD62</f>
        <v>Ecuador</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Austria</v>
      </c>
      <c r="H146" s="11" t="str">
        <f ca="1">+WORLDCUP!BD61</f>
        <v>Turquía</v>
      </c>
      <c r="I146" s="11" t="str">
        <f ca="1">+WORLDCUP!BD62</f>
        <v>Ecuador</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Austria</v>
      </c>
      <c r="E147" s="11" t="str">
        <f ca="1">+WORLDCUP!BD59</f>
        <v>Catar</v>
      </c>
      <c r="F147" s="11" t="str">
        <f ca="1">+WORLDCUP!BD61</f>
        <v>Turquía</v>
      </c>
      <c r="G147" s="11" t="str">
        <f ca="1">+WORLDCUP!BD62</f>
        <v>Ecuador</v>
      </c>
      <c r="H147" s="11" t="str">
        <f ca="1">+WORLDCUP!BD63</f>
        <v>Japón</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Irak</v>
      </c>
      <c r="H148" s="11" t="str">
        <f ca="1">+WORLDCUP!BD63</f>
        <v>Japón</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Austria</v>
      </c>
      <c r="E149" s="11" t="str">
        <f ca="1">+WORLDCUP!BD59</f>
        <v>Catar</v>
      </c>
      <c r="F149" s="11" t="str">
        <f ca="1">+WORLDCUP!BD61</f>
        <v>Turquía</v>
      </c>
      <c r="G149" s="11" t="str">
        <f ca="1">+WORLDCUP!BD62</f>
        <v>Ecuador</v>
      </c>
      <c r="H149" s="11" t="str">
        <f ca="1">+WORLDCUP!BD63</f>
        <v>Japón</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Austria</v>
      </c>
      <c r="E150" s="11" t="str">
        <f ca="1">+WORLDCUP!BD59</f>
        <v>Catar</v>
      </c>
      <c r="F150" s="11" t="str">
        <f ca="1">+WORLDCUP!BD61</f>
        <v>Turquía</v>
      </c>
      <c r="G150" s="11" t="str">
        <f ca="1">+WORLDCUP!BD62</f>
        <v>Ecuador</v>
      </c>
      <c r="H150" s="11" t="str">
        <f ca="1">+WORLDCUP!BD63</f>
        <v>Japón</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Austria</v>
      </c>
      <c r="E152" s="11" t="str">
        <f ca="1">+WORLDCUP!BD59</f>
        <v>Catar</v>
      </c>
      <c r="F152" s="11" t="str">
        <f ca="1">+WORLDCUP!BD61</f>
        <v>Turquía</v>
      </c>
      <c r="G152" s="11" t="str">
        <f ca="1">+WORLDCUP!BD65</f>
        <v>España</v>
      </c>
      <c r="H152" s="11" t="str">
        <f ca="1">+WORLDCUP!BD63</f>
        <v>Japón</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Austria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Austria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Austria</v>
      </c>
      <c r="H158" s="11" t="str">
        <f ca="1">+WORLDCUP!BD63</f>
        <v>Japón</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Austria</v>
      </c>
      <c r="H159" s="11" t="str">
        <f ca="1">+WORLDCUP!BD63</f>
        <v>Japón</v>
      </c>
      <c r="I159" s="11" t="str">
        <f ca="1">+WORLDCUP!BD62</f>
        <v>Ecuador</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Austria</v>
      </c>
      <c r="H162" s="11" t="str">
        <f ca="1">+WORLDCUP!BD63</f>
        <v>Japón</v>
      </c>
      <c r="I162" s="11" t="str">
        <f ca="1">+WORLDCUP!BD62</f>
        <v>Ecuador</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Austria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Austria</v>
      </c>
      <c r="E167" s="11" t="str">
        <f ca="1">+WORLDCUP!BD66</f>
        <v>Irak</v>
      </c>
      <c r="F167" s="11" t="str">
        <f ca="1">+WORLDCUP!BD63</f>
        <v>Japón</v>
      </c>
      <c r="G167" s="11" t="str">
        <f ca="1">+WORLDCUP!BD58</f>
        <v>República Checa</v>
      </c>
      <c r="H167" s="11" t="str">
        <f ca="1">+WORLDCUP!BD64</f>
        <v>Bélgica</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Austria</v>
      </c>
      <c r="E168" s="11" t="str">
        <f ca="1">+WORLDCUP!BD66</f>
        <v>Irak</v>
      </c>
      <c r="F168" s="11" t="str">
        <f ca="1">+WORLDCUP!BD58</f>
        <v>República Checa</v>
      </c>
      <c r="G168" s="11" t="str">
        <f ca="1">+WORLDCUP!BD65</f>
        <v>España</v>
      </c>
      <c r="H168" s="11" t="str">
        <f ca="1">+WORLDCUP!BD64</f>
        <v>Bélgica</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Austria</v>
      </c>
      <c r="E169" s="11" t="str">
        <f ca="1">+WORLDCUP!BD66</f>
        <v>Irak</v>
      </c>
      <c r="F169" s="11" t="str">
        <f ca="1">+WORLDCUP!BD63</f>
        <v>Japón</v>
      </c>
      <c r="G169" s="11" t="str">
        <f ca="1">+WORLDCUP!BD58</f>
        <v>República Checa</v>
      </c>
      <c r="H169" s="11" t="str">
        <f ca="1">+WORLDCUP!BD65</f>
        <v>España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Austria</v>
      </c>
      <c r="E170" s="11" t="str">
        <f ca="1">+WORLDCUP!BD66</f>
        <v>Irak</v>
      </c>
      <c r="F170" s="11" t="str">
        <f ca="1">+WORLDCUP!BD63</f>
        <v>Japón</v>
      </c>
      <c r="G170" s="11" t="str">
        <f ca="1">+WORLDCUP!BD58</f>
        <v>República Checa</v>
      </c>
      <c r="H170" s="11" t="str">
        <f ca="1">+WORLDCUP!BD64</f>
        <v>Bélgica</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Austria</v>
      </c>
      <c r="F171" s="11" t="str">
        <f ca="1">+WORLDCUP!BD63</f>
        <v>Japón</v>
      </c>
      <c r="G171" s="11" t="str">
        <f ca="1">+WORLDCUP!BD58</f>
        <v>República Checa</v>
      </c>
      <c r="H171" s="11" t="str">
        <f ca="1">+WORLDCUP!BD65</f>
        <v>España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Irak</v>
      </c>
      <c r="F172" s="11" t="str">
        <f ca="1">+WORLDCUP!BD63</f>
        <v>Japón</v>
      </c>
      <c r="G172" s="11" t="str">
        <f ca="1">+WORLDCUP!BD58</f>
        <v>República Checa</v>
      </c>
      <c r="H172" s="11" t="str">
        <f ca="1">+WORLDCUP!BD65</f>
        <v>España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Austria</v>
      </c>
      <c r="F173" s="11" t="str">
        <f ca="1">+WORLDCUP!BD63</f>
        <v>Japón</v>
      </c>
      <c r="G173" s="11" t="str">
        <f ca="1">+WORLDCUP!BD58</f>
        <v>República Checa</v>
      </c>
      <c r="H173" s="11" t="str">
        <f ca="1">+WORLDCUP!BD65</f>
        <v>España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Austria</v>
      </c>
      <c r="F174" s="11" t="str">
        <f ca="1">+WORLDCUP!BD63</f>
        <v>Japón</v>
      </c>
      <c r="G174" s="11" t="str">
        <f ca="1">+WORLDCUP!BD58</f>
        <v>República Checa</v>
      </c>
      <c r="H174" s="11" t="str">
        <f ca="1">+WORLDCUP!BD65</f>
        <v>España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Austria</v>
      </c>
      <c r="E175" s="11" t="str">
        <f ca="1">+WORLDCUP!BD66</f>
        <v>Irak</v>
      </c>
      <c r="F175" s="11" t="str">
        <f ca="1">+WORLDCUP!BD61</f>
        <v>Turquía</v>
      </c>
      <c r="G175" s="11" t="str">
        <f ca="1">+WORLDCUP!BD58</f>
        <v>República Checa</v>
      </c>
      <c r="H175" s="11" t="str">
        <f ca="1">+WORLDCUP!BD64</f>
        <v>Bélgica</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Austria</v>
      </c>
      <c r="E176" s="11" t="str">
        <f ca="1">+WORLDCUP!BD66</f>
        <v>Irak</v>
      </c>
      <c r="F176" s="11" t="str">
        <f ca="1">+WORLDCUP!BD61</f>
        <v>Turquía</v>
      </c>
      <c r="G176" s="11" t="str">
        <f ca="1">+WORLDCUP!BD58</f>
        <v>República Checa</v>
      </c>
      <c r="H176" s="11" t="str">
        <f ca="1">+WORLDCUP!BD63</f>
        <v>Japón</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Bélgica</v>
      </c>
      <c r="E177" s="11" t="str">
        <f ca="1">+WORLDCUP!BD67</f>
        <v>Austria</v>
      </c>
      <c r="F177" s="11" t="str">
        <f ca="1">+WORLDCUP!BD61</f>
        <v>Turquía</v>
      </c>
      <c r="G177" s="11" t="str">
        <f ca="1">+WORLDCUP!BD58</f>
        <v>República Checa</v>
      </c>
      <c r="H177" s="11" t="str">
        <f ca="1">+WORLDCUP!BD63</f>
        <v>Japón</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Austria</v>
      </c>
      <c r="F178" s="11" t="str">
        <f ca="1">+WORLDCUP!BD61</f>
        <v>Turquía</v>
      </c>
      <c r="G178" s="11" t="str">
        <f ca="1">+WORLDCUP!BD58</f>
        <v>República Checa</v>
      </c>
      <c r="H178" s="11" t="str">
        <f ca="1">+WORLDCUP!BD63</f>
        <v>Japón</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Irak</v>
      </c>
      <c r="F179" s="11" t="str">
        <f ca="1">+WORLDCUP!BD61</f>
        <v>Turquía</v>
      </c>
      <c r="G179" s="11" t="str">
        <f ca="1">+WORLDCUP!BD58</f>
        <v>República Checa</v>
      </c>
      <c r="H179" s="11" t="str">
        <f ca="1">+WORLDCUP!BD63</f>
        <v>Japón</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Austria</v>
      </c>
      <c r="F180" s="11" t="str">
        <f ca="1">+WORLDCUP!BD61</f>
        <v>Turquía</v>
      </c>
      <c r="G180" s="11" t="str">
        <f ca="1">+WORLDCUP!BD58</f>
        <v>República Checa</v>
      </c>
      <c r="H180" s="11" t="str">
        <f ca="1">+WORLDCUP!BD63</f>
        <v>Japón</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Austria</v>
      </c>
      <c r="F181" s="11" t="str">
        <f ca="1">+WORLDCUP!BD61</f>
        <v>Turquía</v>
      </c>
      <c r="G181" s="11" t="str">
        <f ca="1">+WORLDCUP!BD58</f>
        <v>República Checa</v>
      </c>
      <c r="H181" s="11" t="str">
        <f ca="1">+WORLDCUP!BD63</f>
        <v>Japón</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Austria</v>
      </c>
      <c r="E182" s="11" t="str">
        <f ca="1">+WORLDCUP!BD66</f>
        <v>Irak</v>
      </c>
      <c r="F182" s="11" t="str">
        <f ca="1">+WORLDCUP!BD61</f>
        <v>Turquía</v>
      </c>
      <c r="G182" s="11" t="str">
        <f ca="1">+WORLDCUP!BD58</f>
        <v>República Checa</v>
      </c>
      <c r="H182" s="11" t="str">
        <f ca="1">+WORLDCUP!BD65</f>
        <v>España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Austria</v>
      </c>
      <c r="E183" s="11" t="str">
        <f ca="1">+WORLDCUP!BD66</f>
        <v>Irak</v>
      </c>
      <c r="F183" s="11" t="str">
        <f ca="1">+WORLDCUP!BD61</f>
        <v>Turquía</v>
      </c>
      <c r="G183" s="11" t="str">
        <f ca="1">+WORLDCUP!BD58</f>
        <v>República Checa</v>
      </c>
      <c r="H183" s="11" t="str">
        <f ca="1">+WORLDCUP!BD64</f>
        <v>Bélgica</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Austria</v>
      </c>
      <c r="F184" s="11" t="str">
        <f ca="1">+WORLDCUP!BD61</f>
        <v>Turquía</v>
      </c>
      <c r="G184" s="11" t="str">
        <f ca="1">+WORLDCUP!BD58</f>
        <v>República Checa</v>
      </c>
      <c r="H184" s="11" t="str">
        <f ca="1">+WORLDCUP!BD65</f>
        <v>España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Irak</v>
      </c>
      <c r="F185" s="11" t="str">
        <f ca="1">+WORLDCUP!BD61</f>
        <v>Turquía</v>
      </c>
      <c r="G185" s="11" t="str">
        <f ca="1">+WORLDCUP!BD58</f>
        <v>República Checa</v>
      </c>
      <c r="H185" s="11" t="str">
        <f ca="1">+WORLDCUP!BD65</f>
        <v>España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Austria</v>
      </c>
      <c r="F186" s="11" t="str">
        <f ca="1">+WORLDCUP!BD61</f>
        <v>Turquía</v>
      </c>
      <c r="G186" s="11" t="str">
        <f ca="1">+WORLDCUP!BD58</f>
        <v>República Checa</v>
      </c>
      <c r="H186" s="11" t="str">
        <f ca="1">+WORLDCUP!BD65</f>
        <v>España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Austria</v>
      </c>
      <c r="F187" s="11" t="str">
        <f ca="1">+WORLDCUP!BD61</f>
        <v>Turquía</v>
      </c>
      <c r="G187" s="11" t="str">
        <f ca="1">+WORLDCUP!BD58</f>
        <v>República Checa</v>
      </c>
      <c r="H187" s="11" t="str">
        <f ca="1">+WORLDCUP!BD65</f>
        <v>España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Austria</v>
      </c>
      <c r="E188" s="11" t="str">
        <f ca="1">+WORLDCUP!BD66</f>
        <v>Irak</v>
      </c>
      <c r="F188" s="11" t="str">
        <f ca="1">+WORLDCUP!BD61</f>
        <v>Turquía</v>
      </c>
      <c r="G188" s="11" t="str">
        <f ca="1">+WORLDCUP!BD58</f>
        <v>República Checa</v>
      </c>
      <c r="H188" s="11" t="str">
        <f ca="1">+WORLDCUP!BD63</f>
        <v>Japón</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Austria</v>
      </c>
      <c r="E189" s="11" t="str">
        <f ca="1">+WORLDCUP!BD62</f>
        <v>Ecuador</v>
      </c>
      <c r="F189" s="11" t="str">
        <f ca="1">+WORLDCUP!BD61</f>
        <v>Turquía</v>
      </c>
      <c r="G189" s="11" t="str">
        <f ca="1">+WORLDCUP!BD58</f>
        <v>República Checa</v>
      </c>
      <c r="H189" s="11" t="str">
        <f ca="1">+WORLDCUP!BD63</f>
        <v>Japón</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Irak</v>
      </c>
      <c r="F190" s="11" t="str">
        <f ca="1">+WORLDCUP!BD61</f>
        <v>Turquía</v>
      </c>
      <c r="G190" s="11" t="str">
        <f ca="1">+WORLDCUP!BD58</f>
        <v>República Checa</v>
      </c>
      <c r="H190" s="11" t="str">
        <f ca="1">+WORLDCUP!BD63</f>
        <v>Japón</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Austria</v>
      </c>
      <c r="E191" s="11" t="str">
        <f ca="1">+WORLDCUP!BD62</f>
        <v>Ecuador</v>
      </c>
      <c r="F191" s="11" t="str">
        <f ca="1">+WORLDCUP!BD61</f>
        <v>Turquía</v>
      </c>
      <c r="G191" s="11" t="str">
        <f ca="1">+WORLDCUP!BD58</f>
        <v>República Checa</v>
      </c>
      <c r="H191" s="11" t="str">
        <f ca="1">+WORLDCUP!BD63</f>
        <v>Japón</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Austria</v>
      </c>
      <c r="E192" s="11" t="str">
        <f ca="1">+WORLDCUP!BD62</f>
        <v>Ecuador</v>
      </c>
      <c r="F192" s="11" t="str">
        <f ca="1">+WORLDCUP!BD61</f>
        <v>Turquía</v>
      </c>
      <c r="G192" s="11" t="str">
        <f ca="1">+WORLDCUP!BD58</f>
        <v>República Checa</v>
      </c>
      <c r="H192" s="11" t="str">
        <f ca="1">+WORLDCUP!BD63</f>
        <v>Japón</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Austria</v>
      </c>
      <c r="F193" s="11" t="str">
        <f ca="1">+WORLDCUP!BD61</f>
        <v>Turquía</v>
      </c>
      <c r="G193" s="11" t="str">
        <f ca="1">+WORLDCUP!BD58</f>
        <v>República Checa</v>
      </c>
      <c r="H193" s="11" t="str">
        <f ca="1">+WORLDCUP!BD63</f>
        <v>Japón</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Irak</v>
      </c>
      <c r="F194" s="11" t="str">
        <f ca="1">+WORLDCUP!BD61</f>
        <v>Turquía</v>
      </c>
      <c r="G194" s="11" t="str">
        <f ca="1">+WORLDCUP!BD58</f>
        <v>República Checa</v>
      </c>
      <c r="H194" s="11" t="str">
        <f ca="1">+WORLDCUP!BD63</f>
        <v>Japón</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Austria</v>
      </c>
      <c r="F195" s="11" t="str">
        <f ca="1">+WORLDCUP!BD61</f>
        <v>Turquía</v>
      </c>
      <c r="G195" s="11" t="str">
        <f ca="1">+WORLDCUP!BD58</f>
        <v>República Checa</v>
      </c>
      <c r="H195" s="11" t="str">
        <f ca="1">+WORLDCUP!BD63</f>
        <v>Japón</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Austria</v>
      </c>
      <c r="F196" s="11" t="str">
        <f ca="1">+WORLDCUP!BD61</f>
        <v>Turquía</v>
      </c>
      <c r="G196" s="11" t="str">
        <f ca="1">+WORLDCUP!BD58</f>
        <v>República Checa</v>
      </c>
      <c r="H196" s="11" t="str">
        <f ca="1">+WORLDCUP!BD63</f>
        <v>Japón</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Austria</v>
      </c>
      <c r="F198" s="11" t="str">
        <f ca="1">+WORLDCUP!BD61</f>
        <v>Turquía</v>
      </c>
      <c r="G198" s="11" t="str">
        <f ca="1">+WORLDCUP!BD58</f>
        <v>República Checa</v>
      </c>
      <c r="H198" s="11" t="str">
        <f ca="1">+WORLDCUP!BD63</f>
        <v>Japón</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Austria</v>
      </c>
      <c r="F199" s="11" t="str">
        <f ca="1">+WORLDCUP!BD61</f>
        <v>Turquía</v>
      </c>
      <c r="G199" s="11" t="str">
        <f ca="1">+WORLDCUP!BD58</f>
        <v>República Checa</v>
      </c>
      <c r="H199" s="11" t="str">
        <f ca="1">+WORLDCUP!BD63</f>
        <v>Japón</v>
      </c>
      <c r="I199" s="11" t="str">
        <f ca="1">+WORLDCUP!BD62</f>
        <v>Ecuador</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Austria</v>
      </c>
      <c r="F202" s="11" t="str">
        <f ca="1">+WORLDCUP!BD61</f>
        <v>Turquía</v>
      </c>
      <c r="G202" s="11" t="str">
        <f ca="1">+WORLDCUP!BD58</f>
        <v>República Checa</v>
      </c>
      <c r="H202" s="11" t="str">
        <f ca="1">+WORLDCUP!BD63</f>
        <v>Japón</v>
      </c>
      <c r="I202" s="11" t="str">
        <f ca="1">+WORLDCUP!BD62</f>
        <v>Ecuador</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Austria</v>
      </c>
      <c r="E203" s="11" t="str">
        <f ca="1">+WORLDCUP!BD66</f>
        <v>Irak</v>
      </c>
      <c r="F203" s="11" t="str">
        <f ca="1">+WORLDCUP!BD60</f>
        <v>Marruecos</v>
      </c>
      <c r="G203" s="11" t="str">
        <f ca="1">+WORLDCUP!BD58</f>
        <v>República Checa</v>
      </c>
      <c r="H203" s="11" t="str">
        <f ca="1">+WORLDCUP!BD64</f>
        <v>Bélgica</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Austria</v>
      </c>
      <c r="E204" s="11" t="str">
        <f ca="1">+WORLDCUP!BD66</f>
        <v>Irak</v>
      </c>
      <c r="F204" s="11" t="str">
        <f ca="1">+WORLDCUP!BD60</f>
        <v>Marruecos</v>
      </c>
      <c r="G204" s="11" t="str">
        <f ca="1">+WORLDCUP!BD58</f>
        <v>República Checa</v>
      </c>
      <c r="H204" s="11" t="str">
        <f ca="1">+WORLDCUP!BD63</f>
        <v>Japón</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Bélgica</v>
      </c>
      <c r="E205" s="11" t="str">
        <f ca="1">+WORLDCUP!BD67</f>
        <v>Austria</v>
      </c>
      <c r="F205" s="11" t="str">
        <f ca="1">+WORLDCUP!BD60</f>
        <v>Marruecos</v>
      </c>
      <c r="G205" s="11" t="str">
        <f ca="1">+WORLDCUP!BD58</f>
        <v>República Checa</v>
      </c>
      <c r="H205" s="11" t="str">
        <f ca="1">+WORLDCUP!BD63</f>
        <v>Japón</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Austria</v>
      </c>
      <c r="F206" s="11" t="str">
        <f ca="1">+WORLDCUP!BD60</f>
        <v>Marruecos</v>
      </c>
      <c r="G206" s="11" t="str">
        <f ca="1">+WORLDCUP!BD58</f>
        <v>República Checa</v>
      </c>
      <c r="H206" s="11" t="str">
        <f ca="1">+WORLDCUP!BD63</f>
        <v>Japón</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Irak</v>
      </c>
      <c r="F207" s="11" t="str">
        <f ca="1">+WORLDCUP!BD60</f>
        <v>Marruecos</v>
      </c>
      <c r="G207" s="11" t="str">
        <f ca="1">+WORLDCUP!BD58</f>
        <v>República Checa</v>
      </c>
      <c r="H207" s="11" t="str">
        <f ca="1">+WORLDCUP!BD63</f>
        <v>Japón</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Austria</v>
      </c>
      <c r="F208" s="11" t="str">
        <f ca="1">+WORLDCUP!BD60</f>
        <v>Marruecos</v>
      </c>
      <c r="G208" s="11" t="str">
        <f ca="1">+WORLDCUP!BD58</f>
        <v>República Checa</v>
      </c>
      <c r="H208" s="11" t="str">
        <f ca="1">+WORLDCUP!BD63</f>
        <v>Japón</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Austria</v>
      </c>
      <c r="F209" s="11" t="str">
        <f ca="1">+WORLDCUP!BD60</f>
        <v>Marruecos</v>
      </c>
      <c r="G209" s="11" t="str">
        <f ca="1">+WORLDCUP!BD58</f>
        <v>República Checa</v>
      </c>
      <c r="H209" s="11" t="str">
        <f ca="1">+WORLDCUP!BD63</f>
        <v>Japón</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Austria</v>
      </c>
      <c r="E210" s="11" t="str">
        <f ca="1">+WORLDCUP!BD66</f>
        <v>Irak</v>
      </c>
      <c r="F210" s="11" t="str">
        <f ca="1">+WORLDCUP!BD60</f>
        <v>Marruecos</v>
      </c>
      <c r="G210" s="11" t="str">
        <f ca="1">+WORLDCUP!BD58</f>
        <v>República Checa</v>
      </c>
      <c r="H210" s="11" t="str">
        <f ca="1">+WORLDCUP!BD65</f>
        <v>España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Austria</v>
      </c>
      <c r="E211" s="11" t="str">
        <f ca="1">+WORLDCUP!BD66</f>
        <v>Irak</v>
      </c>
      <c r="F211" s="11" t="str">
        <f ca="1">+WORLDCUP!BD60</f>
        <v>Marruecos</v>
      </c>
      <c r="G211" s="11" t="str">
        <f ca="1">+WORLDCUP!BD58</f>
        <v>República Checa</v>
      </c>
      <c r="H211" s="11" t="str">
        <f ca="1">+WORLDCUP!BD64</f>
        <v>Bélgica</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Austria</v>
      </c>
      <c r="F212" s="11" t="str">
        <f ca="1">+WORLDCUP!BD60</f>
        <v>Marruecos</v>
      </c>
      <c r="G212" s="11" t="str">
        <f ca="1">+WORLDCUP!BD58</f>
        <v>República Checa</v>
      </c>
      <c r="H212" s="11" t="str">
        <f ca="1">+WORLDCUP!BD65</f>
        <v>España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Irak</v>
      </c>
      <c r="F213" s="11" t="str">
        <f ca="1">+WORLDCUP!BD60</f>
        <v>Marruecos</v>
      </c>
      <c r="G213" s="11" t="str">
        <f ca="1">+WORLDCUP!BD58</f>
        <v>República Checa</v>
      </c>
      <c r="H213" s="11" t="str">
        <f ca="1">+WORLDCUP!BD65</f>
        <v>España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Austria</v>
      </c>
      <c r="F214" s="11" t="str">
        <f ca="1">+WORLDCUP!BD60</f>
        <v>Marruecos</v>
      </c>
      <c r="G214" s="11" t="str">
        <f ca="1">+WORLDCUP!BD58</f>
        <v>República Checa</v>
      </c>
      <c r="H214" s="11" t="str">
        <f ca="1">+WORLDCUP!BD65</f>
        <v>España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Austria</v>
      </c>
      <c r="F215" s="11" t="str">
        <f ca="1">+WORLDCUP!BD60</f>
        <v>Marruecos</v>
      </c>
      <c r="G215" s="11" t="str">
        <f ca="1">+WORLDCUP!BD58</f>
        <v>República Checa</v>
      </c>
      <c r="H215" s="11" t="str">
        <f ca="1">+WORLDCUP!BD65</f>
        <v>España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Austria</v>
      </c>
      <c r="E216" s="11" t="str">
        <f ca="1">+WORLDCUP!BD66</f>
        <v>Irak</v>
      </c>
      <c r="F216" s="11" t="str">
        <f ca="1">+WORLDCUP!BD60</f>
        <v>Marruecos</v>
      </c>
      <c r="G216" s="11" t="str">
        <f ca="1">+WORLDCUP!BD58</f>
        <v>República Checa</v>
      </c>
      <c r="H216" s="11" t="str">
        <f ca="1">+WORLDCUP!BD63</f>
        <v>Japón</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Austria</v>
      </c>
      <c r="E217" s="11" t="str">
        <f ca="1">+WORLDCUP!BD62</f>
        <v>Ecuador</v>
      </c>
      <c r="F217" s="11" t="str">
        <f ca="1">+WORLDCUP!BD60</f>
        <v>Marruecos</v>
      </c>
      <c r="G217" s="11" t="str">
        <f ca="1">+WORLDCUP!BD58</f>
        <v>República Checa</v>
      </c>
      <c r="H217" s="11" t="str">
        <f ca="1">+WORLDCUP!BD63</f>
        <v>Japón</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Irak</v>
      </c>
      <c r="F218" s="11" t="str">
        <f ca="1">+WORLDCUP!BD60</f>
        <v>Marruecos</v>
      </c>
      <c r="G218" s="11" t="str">
        <f ca="1">+WORLDCUP!BD58</f>
        <v>República Checa</v>
      </c>
      <c r="H218" s="11" t="str">
        <f ca="1">+WORLDCUP!BD63</f>
        <v>Japón</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Austria</v>
      </c>
      <c r="E219" s="11" t="str">
        <f ca="1">+WORLDCUP!BD62</f>
        <v>Ecuador</v>
      </c>
      <c r="F219" s="11" t="str">
        <f ca="1">+WORLDCUP!BD60</f>
        <v>Marruecos</v>
      </c>
      <c r="G219" s="11" t="str">
        <f ca="1">+WORLDCUP!BD58</f>
        <v>República Checa</v>
      </c>
      <c r="H219" s="11" t="str">
        <f ca="1">+WORLDCUP!BD63</f>
        <v>Japón</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Austria</v>
      </c>
      <c r="E220" s="11" t="str">
        <f ca="1">+WORLDCUP!BD62</f>
        <v>Ecuador</v>
      </c>
      <c r="F220" s="11" t="str">
        <f ca="1">+WORLDCUP!BD60</f>
        <v>Marruecos</v>
      </c>
      <c r="G220" s="11" t="str">
        <f ca="1">+WORLDCUP!BD58</f>
        <v>República Checa</v>
      </c>
      <c r="H220" s="11" t="str">
        <f ca="1">+WORLDCUP!BD63</f>
        <v>Japón</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Austria</v>
      </c>
      <c r="F221" s="11" t="str">
        <f ca="1">+WORLDCUP!BD60</f>
        <v>Marruecos</v>
      </c>
      <c r="G221" s="11" t="str">
        <f ca="1">+WORLDCUP!BD58</f>
        <v>República Checa</v>
      </c>
      <c r="H221" s="11" t="str">
        <f ca="1">+WORLDCUP!BD63</f>
        <v>Japón</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Irak</v>
      </c>
      <c r="F222" s="11" t="str">
        <f ca="1">+WORLDCUP!BD60</f>
        <v>Marruecos</v>
      </c>
      <c r="G222" s="11" t="str">
        <f ca="1">+WORLDCUP!BD58</f>
        <v>República Checa</v>
      </c>
      <c r="H222" s="11" t="str">
        <f ca="1">+WORLDCUP!BD63</f>
        <v>Japón</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Austria</v>
      </c>
      <c r="F223" s="11" t="str">
        <f ca="1">+WORLDCUP!BD60</f>
        <v>Marruecos</v>
      </c>
      <c r="G223" s="11" t="str">
        <f ca="1">+WORLDCUP!BD58</f>
        <v>República Checa</v>
      </c>
      <c r="H223" s="11" t="str">
        <f ca="1">+WORLDCUP!BD63</f>
        <v>Japón</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Austria</v>
      </c>
      <c r="F224" s="11" t="str">
        <f ca="1">+WORLDCUP!BD60</f>
        <v>Marruecos</v>
      </c>
      <c r="G224" s="11" t="str">
        <f ca="1">+WORLDCUP!BD58</f>
        <v>República Checa</v>
      </c>
      <c r="H224" s="11" t="str">
        <f ca="1">+WORLDCUP!BD63</f>
        <v>Japón</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Austria</v>
      </c>
      <c r="F226" s="11" t="str">
        <f ca="1">+WORLDCUP!BD60</f>
        <v>Marruecos</v>
      </c>
      <c r="G226" s="11" t="str">
        <f ca="1">+WORLDCUP!BD58</f>
        <v>República Checa</v>
      </c>
      <c r="H226" s="11" t="str">
        <f ca="1">+WORLDCUP!BD63</f>
        <v>Japón</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Austria</v>
      </c>
      <c r="F227" s="11" t="str">
        <f ca="1">+WORLDCUP!BD60</f>
        <v>Marruecos</v>
      </c>
      <c r="G227" s="11" t="str">
        <f ca="1">+WORLDCUP!BD58</f>
        <v>República Checa</v>
      </c>
      <c r="H227" s="11" t="str">
        <f ca="1">+WORLDCUP!BD63</f>
        <v>Japón</v>
      </c>
      <c r="I227" s="11" t="str">
        <f ca="1">+WORLDCUP!BD62</f>
        <v>Ecuador</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Austria</v>
      </c>
      <c r="F230" s="11" t="str">
        <f ca="1">+WORLDCUP!BD60</f>
        <v>Marruecos</v>
      </c>
      <c r="G230" s="11" t="str">
        <f ca="1">+WORLDCUP!BD58</f>
        <v>República Checa</v>
      </c>
      <c r="H230" s="11" t="str">
        <f ca="1">+WORLDCUP!BD63</f>
        <v>Japón</v>
      </c>
      <c r="I230" s="11" t="str">
        <f ca="1">+WORLDCUP!BD62</f>
        <v>Ecuador</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Austria</v>
      </c>
      <c r="E231" s="11" t="str">
        <f ca="1">+WORLDCUP!BD66</f>
        <v>Irak</v>
      </c>
      <c r="F231" s="11" t="str">
        <f ca="1">+WORLDCUP!BD60</f>
        <v>Marruecos</v>
      </c>
      <c r="G231" s="11" t="str">
        <f ca="1">+WORLDCUP!BD58</f>
        <v>República Checa</v>
      </c>
      <c r="H231" s="11" t="str">
        <f ca="1">+WORLDCUP!BD61</f>
        <v>Turquía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Bélgica</v>
      </c>
      <c r="E232" s="11" t="str">
        <f ca="1">+WORLDCUP!BD67</f>
        <v>Austria</v>
      </c>
      <c r="F232" s="11" t="str">
        <f ca="1">+WORLDCUP!BD60</f>
        <v>Marruecos</v>
      </c>
      <c r="G232" s="11" t="str">
        <f ca="1">+WORLDCUP!BD58</f>
        <v>República Checa</v>
      </c>
      <c r="H232" s="11" t="str">
        <f ca="1">+WORLDCUP!BD61</f>
        <v>Turquía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Austria</v>
      </c>
      <c r="F233" s="11" t="str">
        <f ca="1">+WORLDCUP!BD60</f>
        <v>Marruecos</v>
      </c>
      <c r="G233" s="11" t="str">
        <f ca="1">+WORLDCUP!BD58</f>
        <v>República Checa</v>
      </c>
      <c r="H233" s="11" t="str">
        <f ca="1">+WORLDCUP!BD61</f>
        <v>Turquía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Irak</v>
      </c>
      <c r="F234" s="11" t="str">
        <f ca="1">+WORLDCUP!BD60</f>
        <v>Marruecos</v>
      </c>
      <c r="G234" s="11" t="str">
        <f ca="1">+WORLDCUP!BD58</f>
        <v>República Checa</v>
      </c>
      <c r="H234" s="11" t="str">
        <f ca="1">+WORLDCUP!BD61</f>
        <v>Turquía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Austria</v>
      </c>
      <c r="F235" s="11" t="str">
        <f ca="1">+WORLDCUP!BD60</f>
        <v>Marruecos</v>
      </c>
      <c r="G235" s="11" t="str">
        <f ca="1">+WORLDCUP!BD58</f>
        <v>República Checa</v>
      </c>
      <c r="H235" s="11" t="str">
        <f ca="1">+WORLDCUP!BD61</f>
        <v>Turquía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Austria</v>
      </c>
      <c r="F236" s="11" t="str">
        <f ca="1">+WORLDCUP!BD60</f>
        <v>Marruecos</v>
      </c>
      <c r="G236" s="11" t="str">
        <f ca="1">+WORLDCUP!BD58</f>
        <v>República Checa</v>
      </c>
      <c r="H236" s="11" t="str">
        <f ca="1">+WORLDCUP!BD61</f>
        <v>Turquía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Austria</v>
      </c>
      <c r="E237" s="11" t="str">
        <f ca="1">+WORLDCUP!BD66</f>
        <v>Irak</v>
      </c>
      <c r="F237" s="11" t="str">
        <f ca="1">+WORLDCUP!BD61</f>
        <v>Turquía</v>
      </c>
      <c r="G237" s="11" t="str">
        <f ca="1">+WORLDCUP!BD58</f>
        <v>República Checa</v>
      </c>
      <c r="H237" s="11" t="str">
        <f ca="1">+WORLDCUP!BD63</f>
        <v>Japón</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Austria</v>
      </c>
      <c r="E238" s="11" t="str">
        <f ca="1">+WORLDCUP!BD63</f>
        <v>Japón</v>
      </c>
      <c r="F238" s="11" t="str">
        <f ca="1">+WORLDCUP!BD60</f>
        <v>Marruecos</v>
      </c>
      <c r="G238" s="11" t="str">
        <f ca="1">+WORLDCUP!BD58</f>
        <v>República Checa</v>
      </c>
      <c r="H238" s="11" t="str">
        <f ca="1">+WORLDCUP!BD61</f>
        <v>Turquía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Irak</v>
      </c>
      <c r="F239" s="11" t="str">
        <f ca="1">+WORLDCUP!BD60</f>
        <v>Marruecos</v>
      </c>
      <c r="G239" s="11" t="str">
        <f ca="1">+WORLDCUP!BD58</f>
        <v>República Checa</v>
      </c>
      <c r="H239" s="11" t="str">
        <f ca="1">+WORLDCUP!BD61</f>
        <v>Turquía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Austria</v>
      </c>
      <c r="E240" s="11" t="str">
        <f ca="1">+WORLDCUP!BD63</f>
        <v>Japón</v>
      </c>
      <c r="F240" s="11" t="str">
        <f ca="1">+WORLDCUP!BD60</f>
        <v>Marruecos</v>
      </c>
      <c r="G240" s="11" t="str">
        <f ca="1">+WORLDCUP!BD58</f>
        <v>República Checa</v>
      </c>
      <c r="H240" s="11" t="str">
        <f ca="1">+WORLDCUP!BD61</f>
        <v>Turquía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Austria</v>
      </c>
      <c r="E241" s="11" t="str">
        <f ca="1">+WORLDCUP!BD63</f>
        <v>Japón</v>
      </c>
      <c r="F241" s="11" t="str">
        <f ca="1">+WORLDCUP!BD60</f>
        <v>Marruecos</v>
      </c>
      <c r="G241" s="11" t="str">
        <f ca="1">+WORLDCUP!BD58</f>
        <v>República Checa</v>
      </c>
      <c r="H241" s="11" t="str">
        <f ca="1">+WORLDCUP!BD61</f>
        <v>Turquía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Austria</v>
      </c>
      <c r="F242" s="11" t="str">
        <f ca="1">+WORLDCUP!BD61</f>
        <v>Turquía</v>
      </c>
      <c r="G242" s="11" t="str">
        <f ca="1">+WORLDCUP!BD58</f>
        <v>República Checa</v>
      </c>
      <c r="H242" s="11" t="str">
        <f ca="1">+WORLDCUP!BD63</f>
        <v>Japón</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Irak</v>
      </c>
      <c r="F243" s="11" t="str">
        <f ca="1">+WORLDCUP!BD61</f>
        <v>Turquía</v>
      </c>
      <c r="G243" s="11" t="str">
        <f ca="1">+WORLDCUP!BD58</f>
        <v>República Checa</v>
      </c>
      <c r="H243" s="11" t="str">
        <f ca="1">+WORLDCUP!BD63</f>
        <v>Japón</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Austria</v>
      </c>
      <c r="F244" s="11" t="str">
        <f ca="1">+WORLDCUP!BD61</f>
        <v>Turquía</v>
      </c>
      <c r="G244" s="11" t="str">
        <f ca="1">+WORLDCUP!BD58</f>
        <v>República Checa</v>
      </c>
      <c r="H244" s="11" t="str">
        <f ca="1">+WORLDCUP!BD63</f>
        <v>Japón</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Austria</v>
      </c>
      <c r="F245" s="11" t="str">
        <f ca="1">+WORLDCUP!BD61</f>
        <v>Turquía</v>
      </c>
      <c r="G245" s="11" t="str">
        <f ca="1">+WORLDCUP!BD58</f>
        <v>República Checa</v>
      </c>
      <c r="H245" s="11" t="str">
        <f ca="1">+WORLDCUP!BD63</f>
        <v>Japón</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Austria</v>
      </c>
      <c r="F247" s="11" t="str">
        <f ca="1">+WORLDCUP!BD61</f>
        <v>Turquía</v>
      </c>
      <c r="G247" s="11" t="str">
        <f ca="1">+WORLDCUP!BD58</f>
        <v>República Checa</v>
      </c>
      <c r="H247" s="11" t="str">
        <f ca="1">+WORLDCUP!BD63</f>
        <v>Japón</v>
      </c>
      <c r="I247" s="11" t="str">
        <f ca="1">+WORLDCUP!BD69</f>
        <v>Ghana</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Austria</v>
      </c>
      <c r="F248" s="11" t="str">
        <f ca="1">+WORLDCUP!BD60</f>
        <v>Marruecos</v>
      </c>
      <c r="G248" s="11" t="str">
        <f ca="1">+WORLDCUP!BD58</f>
        <v>República Checa</v>
      </c>
      <c r="H248" s="11" t="str">
        <f ca="1">+WORLDCUP!BD63</f>
        <v>Japón</v>
      </c>
      <c r="I248" s="11" t="str">
        <f ca="1">+WORLDCUP!BD61</f>
        <v>Turquía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Austria</v>
      </c>
      <c r="F251" s="11" t="str">
        <f ca="1">+WORLDCUP!BD60</f>
        <v>Marruecos</v>
      </c>
      <c r="G251" s="11" t="str">
        <f ca="1">+WORLDCUP!BD58</f>
        <v>República Checa</v>
      </c>
      <c r="H251" s="11" t="str">
        <f ca="1">+WORLDCUP!BD63</f>
        <v>Japón</v>
      </c>
      <c r="I251" s="11" t="str">
        <f ca="1">+WORLDCUP!BD61</f>
        <v>Turquía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Austria</v>
      </c>
      <c r="E252" s="11" t="str">
        <f ca="1">+WORLDCUP!BD66</f>
        <v>Irak</v>
      </c>
      <c r="F252" s="11" t="str">
        <f ca="1">+WORLDCUP!BD60</f>
        <v>Marruecos</v>
      </c>
      <c r="G252" s="11" t="str">
        <f ca="1">+WORLDCUP!BD58</f>
        <v>República Checa</v>
      </c>
      <c r="H252" s="11" t="str">
        <f ca="1">+WORLDCUP!BD61</f>
        <v>Turquía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Austria</v>
      </c>
      <c r="E253" s="11" t="str">
        <f ca="1">+WORLDCUP!BD62</f>
        <v>Ecuador</v>
      </c>
      <c r="F253" s="11" t="str">
        <f ca="1">+WORLDCUP!BD60</f>
        <v>Marruecos</v>
      </c>
      <c r="G253" s="11" t="str">
        <f ca="1">+WORLDCUP!BD58</f>
        <v>República Checa</v>
      </c>
      <c r="H253" s="11" t="str">
        <f ca="1">+WORLDCUP!BD61</f>
        <v>Turquía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Irak</v>
      </c>
      <c r="F254" s="11" t="str">
        <f ca="1">+WORLDCUP!BD60</f>
        <v>Marruecos</v>
      </c>
      <c r="G254" s="11" t="str">
        <f ca="1">+WORLDCUP!BD58</f>
        <v>República Checa</v>
      </c>
      <c r="H254" s="11" t="str">
        <f ca="1">+WORLDCUP!BD61</f>
        <v>Turquía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Austria</v>
      </c>
      <c r="E255" s="11" t="str">
        <f ca="1">+WORLDCUP!BD62</f>
        <v>Ecuador</v>
      </c>
      <c r="F255" s="11" t="str">
        <f ca="1">+WORLDCUP!BD60</f>
        <v>Marruecos</v>
      </c>
      <c r="G255" s="11" t="str">
        <f ca="1">+WORLDCUP!BD58</f>
        <v>República Checa</v>
      </c>
      <c r="H255" s="11" t="str">
        <f ca="1">+WORLDCUP!BD61</f>
        <v>Turquía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Austria</v>
      </c>
      <c r="E256" s="11" t="str">
        <f ca="1">+WORLDCUP!BD62</f>
        <v>Ecuador</v>
      </c>
      <c r="F256" s="11" t="str">
        <f ca="1">+WORLDCUP!BD60</f>
        <v>Marruecos</v>
      </c>
      <c r="G256" s="11" t="str">
        <f ca="1">+WORLDCUP!BD58</f>
        <v>República Checa</v>
      </c>
      <c r="H256" s="11" t="str">
        <f ca="1">+WORLDCUP!BD61</f>
        <v>Turquía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Austria</v>
      </c>
      <c r="F257" s="11" t="str">
        <f ca="1">+WORLDCUP!BD60</f>
        <v>Marruecos</v>
      </c>
      <c r="G257" s="11" t="str">
        <f ca="1">+WORLDCUP!BD58</f>
        <v>República Checa</v>
      </c>
      <c r="H257" s="11" t="str">
        <f ca="1">+WORLDCUP!BD61</f>
        <v>Turquía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Irak</v>
      </c>
      <c r="F258" s="11" t="str">
        <f ca="1">+WORLDCUP!BD60</f>
        <v>Marruecos</v>
      </c>
      <c r="G258" s="11" t="str">
        <f ca="1">+WORLDCUP!BD58</f>
        <v>República Checa</v>
      </c>
      <c r="H258" s="11" t="str">
        <f ca="1">+WORLDCUP!BD61</f>
        <v>Turquía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Austria</v>
      </c>
      <c r="F259" s="11" t="str">
        <f ca="1">+WORLDCUP!BD60</f>
        <v>Marruecos</v>
      </c>
      <c r="G259" s="11" t="str">
        <f ca="1">+WORLDCUP!BD58</f>
        <v>República Checa</v>
      </c>
      <c r="H259" s="11" t="str">
        <f ca="1">+WORLDCUP!BD61</f>
        <v>Turquía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Austria</v>
      </c>
      <c r="F260" s="11" t="str">
        <f ca="1">+WORLDCUP!BD60</f>
        <v>Marruecos</v>
      </c>
      <c r="G260" s="11" t="str">
        <f ca="1">+WORLDCUP!BD58</f>
        <v>República Checa</v>
      </c>
      <c r="H260" s="11" t="str">
        <f ca="1">+WORLDCUP!BD61</f>
        <v>Turquía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Austria</v>
      </c>
      <c r="F262" s="11" t="str">
        <f ca="1">+WORLDCUP!BD60</f>
        <v>Marruecos</v>
      </c>
      <c r="G262" s="11" t="str">
        <f ca="1">+WORLDCUP!BD58</f>
        <v>República Checa</v>
      </c>
      <c r="H262" s="11" t="str">
        <f ca="1">+WORLDCUP!BD61</f>
        <v>Turquía</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Austria</v>
      </c>
      <c r="F263" s="11" t="str">
        <f ca="1">+WORLDCUP!BD60</f>
        <v>Marruecos</v>
      </c>
      <c r="G263" s="11" t="str">
        <f ca="1">+WORLDCUP!BD58</f>
        <v>República Checa</v>
      </c>
      <c r="H263" s="11" t="str">
        <f ca="1">+WORLDCUP!BD61</f>
        <v>Turquía</v>
      </c>
      <c r="I263" s="11" t="str">
        <f ca="1">+WORLDCUP!BD62</f>
        <v>Ecuador</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Austria</v>
      </c>
      <c r="F266" s="11" t="str">
        <f ca="1">+WORLDCUP!BD60</f>
        <v>Marruecos</v>
      </c>
      <c r="G266" s="11" t="str">
        <f ca="1">+WORLDCUP!BD58</f>
        <v>República Checa</v>
      </c>
      <c r="H266" s="11" t="str">
        <f ca="1">+WORLDCUP!BD61</f>
        <v>Turquía</v>
      </c>
      <c r="I266" s="11" t="str">
        <f ca="1">+WORLDCUP!BD62</f>
        <v>Ecuador</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Austria</v>
      </c>
      <c r="E267" s="11" t="str">
        <f ca="1">+WORLDCUP!BD62</f>
        <v>Ecuador</v>
      </c>
      <c r="F267" s="11" t="str">
        <f ca="1">+WORLDCUP!BD61</f>
        <v>Turquía</v>
      </c>
      <c r="G267" s="11" t="str">
        <f ca="1">+WORLDCUP!BD58</f>
        <v>República Checa</v>
      </c>
      <c r="H267" s="11" t="str">
        <f ca="1">+WORLDCUP!BD63</f>
        <v>Japón</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Irak</v>
      </c>
      <c r="F268" s="11" t="str">
        <f ca="1">+WORLDCUP!BD61</f>
        <v>Turquía</v>
      </c>
      <c r="G268" s="11" t="str">
        <f ca="1">+WORLDCUP!BD58</f>
        <v>República Checa</v>
      </c>
      <c r="H268" s="11" t="str">
        <f ca="1">+WORLDCUP!BD63</f>
        <v>Japón</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Austria</v>
      </c>
      <c r="E269" s="11" t="str">
        <f ca="1">+WORLDCUP!BD62</f>
        <v>Ecuador</v>
      </c>
      <c r="F269" s="11" t="str">
        <f ca="1">+WORLDCUP!BD61</f>
        <v>Turquía</v>
      </c>
      <c r="G269" s="11" t="str">
        <f ca="1">+WORLDCUP!BD58</f>
        <v>República Checa</v>
      </c>
      <c r="H269" s="11" t="str">
        <f ca="1">+WORLDCUP!BD63</f>
        <v>Japón</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Austria</v>
      </c>
      <c r="E270" s="11" t="str">
        <f ca="1">+WORLDCUP!BD62</f>
        <v>Ecuador</v>
      </c>
      <c r="F270" s="11" t="str">
        <f ca="1">+WORLDCUP!BD61</f>
        <v>Turquía</v>
      </c>
      <c r="G270" s="11" t="str">
        <f ca="1">+WORLDCUP!BD58</f>
        <v>República Checa</v>
      </c>
      <c r="H270" s="11" t="str">
        <f ca="1">+WORLDCUP!BD63</f>
        <v>Japón</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Austria</v>
      </c>
      <c r="E272" s="11" t="str">
        <f ca="1">+WORLDCUP!BD63</f>
        <v>Japón</v>
      </c>
      <c r="F272" s="11" t="str">
        <f ca="1">+WORLDCUP!BD60</f>
        <v>Marruecos</v>
      </c>
      <c r="G272" s="11" t="str">
        <f ca="1">+WORLDCUP!BD58</f>
        <v>República Checa</v>
      </c>
      <c r="H272" s="11" t="str">
        <f ca="1">+WORLDCUP!BD61</f>
        <v>Turquía</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Austria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Austria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Austria</v>
      </c>
      <c r="F278" s="11" t="str">
        <f ca="1">+WORLDCUP!BD61</f>
        <v>Turquía</v>
      </c>
      <c r="G278" s="11" t="str">
        <f ca="1">+WORLDCUP!BD58</f>
        <v>República Checa</v>
      </c>
      <c r="H278" s="11" t="str">
        <f ca="1">+WORLDCUP!BD63</f>
        <v>Japón</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Austria</v>
      </c>
      <c r="F279" s="11" t="str">
        <f ca="1">+WORLDCUP!BD61</f>
        <v>Turquía</v>
      </c>
      <c r="G279" s="11" t="str">
        <f ca="1">+WORLDCUP!BD58</f>
        <v>República Checa</v>
      </c>
      <c r="H279" s="11" t="str">
        <f ca="1">+WORLDCUP!BD63</f>
        <v>Japón</v>
      </c>
      <c r="I279" s="11" t="str">
        <f ca="1">+WORLDCUP!BD62</f>
        <v>Ecuador</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Austria</v>
      </c>
      <c r="F282" s="11" t="str">
        <f ca="1">+WORLDCUP!BD61</f>
        <v>Turquía</v>
      </c>
      <c r="G282" s="11" t="str">
        <f ca="1">+WORLDCUP!BD58</f>
        <v>República Checa</v>
      </c>
      <c r="H282" s="11" t="str">
        <f ca="1">+WORLDCUP!BD63</f>
        <v>Japón</v>
      </c>
      <c r="I282" s="11" t="str">
        <f ca="1">+WORLDCUP!BD62</f>
        <v>Ecuador</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Austria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Austria</v>
      </c>
      <c r="E287" s="11" t="str">
        <f ca="1">+WORLDCUP!BD59</f>
        <v>Catar</v>
      </c>
      <c r="F287" s="11" t="str">
        <f ca="1">+WORLDCUP!BD58</f>
        <v>República Checa</v>
      </c>
      <c r="G287" s="11" t="str">
        <f ca="1">+WORLDCUP!BD66</f>
        <v>Irak</v>
      </c>
      <c r="H287" s="11" t="str">
        <f ca="1">+WORLDCUP!BD64</f>
        <v>Bélgica</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Austria</v>
      </c>
      <c r="E288" s="11" t="str">
        <f ca="1">+WORLDCUP!BD59</f>
        <v>Catar</v>
      </c>
      <c r="F288" s="11" t="str">
        <f ca="1">+WORLDCUP!BD58</f>
        <v>República Checa</v>
      </c>
      <c r="G288" s="11" t="str">
        <f ca="1">+WORLDCUP!BD66</f>
        <v>Irak</v>
      </c>
      <c r="H288" s="11" t="str">
        <f ca="1">+WORLDCUP!BD63</f>
        <v>Japón</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Japón</v>
      </c>
      <c r="G289" s="11" t="str">
        <f ca="1">+WORLDCUP!BD58</f>
        <v>República Checa</v>
      </c>
      <c r="H289" s="11" t="str">
        <f ca="1">+WORLDCUP!BD64</f>
        <v>Bélgica</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Austria</v>
      </c>
      <c r="E290" s="11" t="str">
        <f ca="1">+WORLDCUP!BD59</f>
        <v>Catar</v>
      </c>
      <c r="F290" s="11" t="str">
        <f ca="1">+WORLDCUP!BD63</f>
        <v>Japón</v>
      </c>
      <c r="G290" s="11" t="str">
        <f ca="1">+WORLDCUP!BD58</f>
        <v>República Checa</v>
      </c>
      <c r="H290" s="11" t="str">
        <f ca="1">+WORLDCUP!BD64</f>
        <v>Bélgica</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Irak</v>
      </c>
      <c r="H291" s="11" t="str">
        <f ca="1">+WORLDCUP!BD63</f>
        <v>Japón</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Austria</v>
      </c>
      <c r="E292" s="11" t="str">
        <f ca="1">+WORLDCUP!BD59</f>
        <v>Catar</v>
      </c>
      <c r="F292" s="11" t="str">
        <f ca="1">+WORLDCUP!BD63</f>
        <v>Japón</v>
      </c>
      <c r="G292" s="11" t="str">
        <f ca="1">+WORLDCUP!BD58</f>
        <v>República Checa</v>
      </c>
      <c r="H292" s="11" t="str">
        <f ca="1">+WORLDCUP!BD64</f>
        <v>Bélgica</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Austria</v>
      </c>
      <c r="E293" s="11" t="str">
        <f ca="1">+WORLDCUP!BD59</f>
        <v>Catar</v>
      </c>
      <c r="F293" s="11" t="str">
        <f ca="1">+WORLDCUP!BD63</f>
        <v>Japón</v>
      </c>
      <c r="G293" s="11" t="str">
        <f ca="1">+WORLDCUP!BD58</f>
        <v>República Checa</v>
      </c>
      <c r="H293" s="11" t="str">
        <f ca="1">+WORLDCUP!BD64</f>
        <v>Bélgica</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Austria</v>
      </c>
      <c r="E294" s="11" t="str">
        <f ca="1">+WORLDCUP!BD59</f>
        <v>Catar</v>
      </c>
      <c r="F294" s="11" t="str">
        <f ca="1">+WORLDCUP!BD58</f>
        <v>República Checa</v>
      </c>
      <c r="G294" s="11" t="str">
        <f ca="1">+WORLDCUP!BD66</f>
        <v>Irak</v>
      </c>
      <c r="H294" s="11" t="str">
        <f ca="1">+WORLDCUP!BD65</f>
        <v>España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Austria</v>
      </c>
      <c r="E295" s="11" t="str">
        <f ca="1">+WORLDCUP!BD59</f>
        <v>Catar</v>
      </c>
      <c r="F295" s="11" t="str">
        <f ca="1">+WORLDCUP!BD58</f>
        <v>República Checa</v>
      </c>
      <c r="G295" s="11" t="str">
        <f ca="1">+WORLDCUP!BD66</f>
        <v>Irak</v>
      </c>
      <c r="H295" s="11" t="str">
        <f ca="1">+WORLDCUP!BD64</f>
        <v>Bélgica</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Austria</v>
      </c>
      <c r="E296" s="11" t="str">
        <f ca="1">+WORLDCUP!BD59</f>
        <v>Catar</v>
      </c>
      <c r="F296" s="11" t="str">
        <f ca="1">+WORLDCUP!BD58</f>
        <v>República Checa</v>
      </c>
      <c r="G296" s="11" t="str">
        <f ca="1">+WORLDCUP!BD65</f>
        <v>España</v>
      </c>
      <c r="H296" s="11" t="str">
        <f ca="1">+WORLDCUP!BD64</f>
        <v>Bélgica</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Irak</v>
      </c>
      <c r="H297" s="11" t="str">
        <f ca="1">+WORLDCUP!BD65</f>
        <v>España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Austria</v>
      </c>
      <c r="E298" s="11" t="str">
        <f ca="1">+WORLDCUP!BD59</f>
        <v>Catar</v>
      </c>
      <c r="F298" s="11" t="str">
        <f ca="1">+WORLDCUP!BD58</f>
        <v>República Checa</v>
      </c>
      <c r="G298" s="11" t="str">
        <f ca="1">+WORLDCUP!BD65</f>
        <v>España</v>
      </c>
      <c r="H298" s="11" t="str">
        <f ca="1">+WORLDCUP!BD64</f>
        <v>Bélgica</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Austria</v>
      </c>
      <c r="E299" s="11" t="str">
        <f ca="1">+WORLDCUP!BD59</f>
        <v>Catar</v>
      </c>
      <c r="F299" s="11" t="str">
        <f ca="1">+WORLDCUP!BD58</f>
        <v>República Checa</v>
      </c>
      <c r="G299" s="11" t="str">
        <f ca="1">+WORLDCUP!BD65</f>
        <v>España</v>
      </c>
      <c r="H299" s="11" t="str">
        <f ca="1">+WORLDCUP!BD64</f>
        <v>Bélgica</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Austria</v>
      </c>
      <c r="E300" s="11" t="str">
        <f ca="1">+WORLDCUP!BD59</f>
        <v>Catar</v>
      </c>
      <c r="F300" s="11" t="str">
        <f ca="1">+WORLDCUP!BD58</f>
        <v>República Checa</v>
      </c>
      <c r="G300" s="11" t="str">
        <f ca="1">+WORLDCUP!BD66</f>
        <v>Irak</v>
      </c>
      <c r="H300" s="11" t="str">
        <f ca="1">+WORLDCUP!BD63</f>
        <v>Japón</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Austria</v>
      </c>
      <c r="E301" s="11" t="str">
        <f ca="1">+WORLDCUP!BD59</f>
        <v>Catar</v>
      </c>
      <c r="F301" s="11" t="str">
        <f ca="1">+WORLDCUP!BD63</f>
        <v>Japón</v>
      </c>
      <c r="G301" s="11" t="str">
        <f ca="1">+WORLDCUP!BD58</f>
        <v>República Checa</v>
      </c>
      <c r="H301" s="11" t="str">
        <f ca="1">+WORLDCUP!BD65</f>
        <v>España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Irak</v>
      </c>
      <c r="E302" s="11" t="str">
        <f ca="1">+WORLDCUP!BD59</f>
        <v>Catar</v>
      </c>
      <c r="F302" s="11" t="str">
        <f ca="1">+WORLDCUP!BD63</f>
        <v>Japón</v>
      </c>
      <c r="G302" s="11" t="str">
        <f ca="1">+WORLDCUP!BD58</f>
        <v>República Checa</v>
      </c>
      <c r="H302" s="11" t="str">
        <f ca="1">+WORLDCUP!BD65</f>
        <v>España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Austria</v>
      </c>
      <c r="E303" s="11" t="str">
        <f ca="1">+WORLDCUP!BD59</f>
        <v>Catar</v>
      </c>
      <c r="F303" s="11" t="str">
        <f ca="1">+WORLDCUP!BD63</f>
        <v>Japón</v>
      </c>
      <c r="G303" s="11" t="str">
        <f ca="1">+WORLDCUP!BD58</f>
        <v>República Checa</v>
      </c>
      <c r="H303" s="11" t="str">
        <f ca="1">+WORLDCUP!BD65</f>
        <v>España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Austria</v>
      </c>
      <c r="E304" s="11" t="str">
        <f ca="1">+WORLDCUP!BD59</f>
        <v>Catar</v>
      </c>
      <c r="F304" s="11" t="str">
        <f ca="1">+WORLDCUP!BD63</f>
        <v>Japón</v>
      </c>
      <c r="G304" s="11" t="str">
        <f ca="1">+WORLDCUP!BD58</f>
        <v>República Checa</v>
      </c>
      <c r="H304" s="11" t="str">
        <f ca="1">+WORLDCUP!BD65</f>
        <v>España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Austria</v>
      </c>
      <c r="E305" s="11" t="str">
        <f ca="1">+WORLDCUP!BD59</f>
        <v>Catar</v>
      </c>
      <c r="F305" s="11" t="str">
        <f ca="1">+WORLDCUP!BD63</f>
        <v>Japón</v>
      </c>
      <c r="G305" s="11" t="str">
        <f ca="1">+WORLDCUP!BD58</f>
        <v>República Checa</v>
      </c>
      <c r="H305" s="11" t="str">
        <f ca="1">+WORLDCUP!BD64</f>
        <v>Bélgica</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Irak</v>
      </c>
      <c r="H306" s="11" t="str">
        <f ca="1">+WORLDCUP!BD63</f>
        <v>Japón</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Austria</v>
      </c>
      <c r="E307" s="11" t="str">
        <f ca="1">+WORLDCUP!BD59</f>
        <v>Catar</v>
      </c>
      <c r="F307" s="11" t="str">
        <f ca="1">+WORLDCUP!BD63</f>
        <v>Japón</v>
      </c>
      <c r="G307" s="11" t="str">
        <f ca="1">+WORLDCUP!BD58</f>
        <v>República Checa</v>
      </c>
      <c r="H307" s="11" t="str">
        <f ca="1">+WORLDCUP!BD64</f>
        <v>Bélgica</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Austria</v>
      </c>
      <c r="E308" s="11" t="str">
        <f ca="1">+WORLDCUP!BD59</f>
        <v>Catar</v>
      </c>
      <c r="F308" s="11" t="str">
        <f ca="1">+WORLDCUP!BD63</f>
        <v>Japón</v>
      </c>
      <c r="G308" s="11" t="str">
        <f ca="1">+WORLDCUP!BD58</f>
        <v>República Checa</v>
      </c>
      <c r="H308" s="11" t="str">
        <f ca="1">+WORLDCUP!BD64</f>
        <v>Bélgica</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Austria</v>
      </c>
      <c r="E310" s="11" t="str">
        <f ca="1">+WORLDCUP!BD59</f>
        <v>Catar</v>
      </c>
      <c r="F310" s="11" t="str">
        <f ca="1">+WORLDCUP!BD63</f>
        <v>Japón</v>
      </c>
      <c r="G310" s="11" t="str">
        <f ca="1">+WORLDCUP!BD58</f>
        <v>República Checa</v>
      </c>
      <c r="H310" s="11" t="str">
        <f ca="1">+WORLDCUP!BD64</f>
        <v>Bélgica</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Austria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Austria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Turquía</v>
      </c>
      <c r="G315" s="11" t="str">
        <f ca="1">+WORLDCUP!BD58</f>
        <v>República Checa</v>
      </c>
      <c r="H315" s="11" t="str">
        <f ca="1">+WORLDCUP!BD65</f>
        <v>España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Turquía</v>
      </c>
      <c r="G316" s="11" t="str">
        <f ca="1">+WORLDCUP!BD58</f>
        <v>República Checa</v>
      </c>
      <c r="H316" s="11" t="str">
        <f ca="1">+WORLDCUP!BD64</f>
        <v>Bélgica</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Austria</v>
      </c>
      <c r="E317" s="11" t="str">
        <f ca="1">+WORLDCUP!BD59</f>
        <v>Catar</v>
      </c>
      <c r="F317" s="11" t="str">
        <f ca="1">+WORLDCUP!BD61</f>
        <v>Turquía</v>
      </c>
      <c r="G317" s="11" t="str">
        <f ca="1">+WORLDCUP!BD58</f>
        <v>República Checa</v>
      </c>
      <c r="H317" s="11" t="str">
        <f ca="1">+WORLDCUP!BD64</f>
        <v>Bélgica</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Austria</v>
      </c>
      <c r="E319" s="11" t="str">
        <f ca="1">+WORLDCUP!BD59</f>
        <v>Catar</v>
      </c>
      <c r="F319" s="11" t="str">
        <f ca="1">+WORLDCUP!BD61</f>
        <v>Turquía</v>
      </c>
      <c r="G319" s="11" t="str">
        <f ca="1">+WORLDCUP!BD58</f>
        <v>República Checa</v>
      </c>
      <c r="H319" s="11" t="str">
        <f ca="1">+WORLDCUP!BD64</f>
        <v>Bélgica</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Austria</v>
      </c>
      <c r="E320" s="11" t="str">
        <f ca="1">+WORLDCUP!BD59</f>
        <v>Catar</v>
      </c>
      <c r="F320" s="11" t="str">
        <f ca="1">+WORLDCUP!BD61</f>
        <v>Turquía</v>
      </c>
      <c r="G320" s="11" t="str">
        <f ca="1">+WORLDCUP!BD58</f>
        <v>República Checa</v>
      </c>
      <c r="H320" s="11" t="str">
        <f ca="1">+WORLDCUP!BD64</f>
        <v>Bélgica</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Turquía</v>
      </c>
      <c r="G321" s="11" t="str">
        <f ca="1">+WORLDCUP!BD58</f>
        <v>República Checa</v>
      </c>
      <c r="H321" s="11" t="str">
        <f ca="1">+WORLDCUP!BD63</f>
        <v>Japón</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Austria</v>
      </c>
      <c r="E322" s="11" t="str">
        <f ca="1">+WORLDCUP!BD59</f>
        <v>Catar</v>
      </c>
      <c r="F322" s="11" t="str">
        <f ca="1">+WORLDCUP!BD61</f>
        <v>Turquía</v>
      </c>
      <c r="G322" s="11" t="str">
        <f ca="1">+WORLDCUP!BD58</f>
        <v>República Checa</v>
      </c>
      <c r="H322" s="11" t="str">
        <f ca="1">+WORLDCUP!BD63</f>
        <v>Japón</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Irak</v>
      </c>
      <c r="E323" s="11" t="str">
        <f ca="1">+WORLDCUP!BD59</f>
        <v>Catar</v>
      </c>
      <c r="F323" s="11" t="str">
        <f ca="1">+WORLDCUP!BD61</f>
        <v>Turquía</v>
      </c>
      <c r="G323" s="11" t="str">
        <f ca="1">+WORLDCUP!BD58</f>
        <v>República Checa</v>
      </c>
      <c r="H323" s="11" t="str">
        <f ca="1">+WORLDCUP!BD63</f>
        <v>Japón</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Austria</v>
      </c>
      <c r="E324" s="11" t="str">
        <f ca="1">+WORLDCUP!BD59</f>
        <v>Catar</v>
      </c>
      <c r="F324" s="11" t="str">
        <f ca="1">+WORLDCUP!BD61</f>
        <v>Turquía</v>
      </c>
      <c r="G324" s="11" t="str">
        <f ca="1">+WORLDCUP!BD58</f>
        <v>República Checa</v>
      </c>
      <c r="H324" s="11" t="str">
        <f ca="1">+WORLDCUP!BD63</f>
        <v>Japón</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Austria</v>
      </c>
      <c r="E325" s="11" t="str">
        <f ca="1">+WORLDCUP!BD59</f>
        <v>Catar</v>
      </c>
      <c r="F325" s="11" t="str">
        <f ca="1">+WORLDCUP!BD61</f>
        <v>Turquía</v>
      </c>
      <c r="G325" s="11" t="str">
        <f ca="1">+WORLDCUP!BD58</f>
        <v>República Checa</v>
      </c>
      <c r="H325" s="11" t="str">
        <f ca="1">+WORLDCUP!BD63</f>
        <v>Japón</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Austria</v>
      </c>
      <c r="E326" s="11" t="str">
        <f ca="1">+WORLDCUP!BD59</f>
        <v>Catar</v>
      </c>
      <c r="F326" s="11" t="str">
        <f ca="1">+WORLDCUP!BD61</f>
        <v>Turquía</v>
      </c>
      <c r="G326" s="11" t="str">
        <f ca="1">+WORLDCUP!BD58</f>
        <v>República Checa</v>
      </c>
      <c r="H326" s="11" t="str">
        <f ca="1">+WORLDCUP!BD64</f>
        <v>Bélgica</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Austria</v>
      </c>
      <c r="E328" s="11" t="str">
        <f ca="1">+WORLDCUP!BD59</f>
        <v>Catar</v>
      </c>
      <c r="F328" s="11" t="str">
        <f ca="1">+WORLDCUP!BD61</f>
        <v>Turquía</v>
      </c>
      <c r="G328" s="11" t="str">
        <f ca="1">+WORLDCUP!BD58</f>
        <v>República Checa</v>
      </c>
      <c r="H328" s="11" t="str">
        <f ca="1">+WORLDCUP!BD64</f>
        <v>Bélgica</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Austria</v>
      </c>
      <c r="E329" s="11" t="str">
        <f ca="1">+WORLDCUP!BD59</f>
        <v>Catar</v>
      </c>
      <c r="F329" s="11" t="str">
        <f ca="1">+WORLDCUP!BD61</f>
        <v>Turquía</v>
      </c>
      <c r="G329" s="11" t="str">
        <f ca="1">+WORLDCUP!BD58</f>
        <v>República Checa</v>
      </c>
      <c r="H329" s="11" t="str">
        <f ca="1">+WORLDCUP!BD64</f>
        <v>Bélgica</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Austria</v>
      </c>
      <c r="E336" s="11" t="str">
        <f ca="1">+WORLDCUP!BD59</f>
        <v>Catar</v>
      </c>
      <c r="F336" s="11" t="str">
        <f ca="1">+WORLDCUP!BD58</f>
        <v>República Checa</v>
      </c>
      <c r="G336" s="11" t="str">
        <f ca="1">+WORLDCUP!BD66</f>
        <v>Irak</v>
      </c>
      <c r="H336" s="11" t="str">
        <f ca="1">+WORLDCUP!BD61</f>
        <v>Turquía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Austria</v>
      </c>
      <c r="E337" s="11" t="str">
        <f ca="1">+WORLDCUP!BD59</f>
        <v>Catar</v>
      </c>
      <c r="F337" s="11" t="str">
        <f ca="1">+WORLDCUP!BD61</f>
        <v>Turquía</v>
      </c>
      <c r="G337" s="11" t="str">
        <f ca="1">+WORLDCUP!BD58</f>
        <v>República Checa</v>
      </c>
      <c r="H337" s="11" t="str">
        <f ca="1">+WORLDCUP!BD65</f>
        <v>España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Irak</v>
      </c>
      <c r="E338" s="11" t="str">
        <f ca="1">+WORLDCUP!BD59</f>
        <v>Catar</v>
      </c>
      <c r="F338" s="11" t="str">
        <f ca="1">+WORLDCUP!BD61</f>
        <v>Turquía</v>
      </c>
      <c r="G338" s="11" t="str">
        <f ca="1">+WORLDCUP!BD58</f>
        <v>República Checa</v>
      </c>
      <c r="H338" s="11" t="str">
        <f ca="1">+WORLDCUP!BD65</f>
        <v>España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Austria</v>
      </c>
      <c r="E339" s="11" t="str">
        <f ca="1">+WORLDCUP!BD59</f>
        <v>Catar</v>
      </c>
      <c r="F339" s="11" t="str">
        <f ca="1">+WORLDCUP!BD61</f>
        <v>Turquía</v>
      </c>
      <c r="G339" s="11" t="str">
        <f ca="1">+WORLDCUP!BD58</f>
        <v>República Checa</v>
      </c>
      <c r="H339" s="11" t="str">
        <f ca="1">+WORLDCUP!BD65</f>
        <v>España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Austria</v>
      </c>
      <c r="E340" s="11" t="str">
        <f ca="1">+WORLDCUP!BD59</f>
        <v>Catar</v>
      </c>
      <c r="F340" s="11" t="str">
        <f ca="1">+WORLDCUP!BD61</f>
        <v>Turquía</v>
      </c>
      <c r="G340" s="11" t="str">
        <f ca="1">+WORLDCUP!BD58</f>
        <v>República Checa</v>
      </c>
      <c r="H340" s="11" t="str">
        <f ca="1">+WORLDCUP!BD65</f>
        <v>España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Austria</v>
      </c>
      <c r="E341" s="11" t="str">
        <f ca="1">+WORLDCUP!BD59</f>
        <v>Catar</v>
      </c>
      <c r="F341" s="11" t="str">
        <f ca="1">+WORLDCUP!BD61</f>
        <v>Turquía</v>
      </c>
      <c r="G341" s="11" t="str">
        <f ca="1">+WORLDCUP!BD58</f>
        <v>República Checa</v>
      </c>
      <c r="H341" s="11" t="str">
        <f ca="1">+WORLDCUP!BD64</f>
        <v>Bélgica</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Irak</v>
      </c>
      <c r="H342" s="11" t="str">
        <f ca="1">+WORLDCUP!BD61</f>
        <v>Turquía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Austria</v>
      </c>
      <c r="E343" s="11" t="str">
        <f ca="1">+WORLDCUP!BD59</f>
        <v>Catar</v>
      </c>
      <c r="F343" s="11" t="str">
        <f ca="1">+WORLDCUP!BD61</f>
        <v>Turquía</v>
      </c>
      <c r="G343" s="11" t="str">
        <f ca="1">+WORLDCUP!BD58</f>
        <v>República Checa</v>
      </c>
      <c r="H343" s="11" t="str">
        <f ca="1">+WORLDCUP!BD64</f>
        <v>Bélgica</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Austria</v>
      </c>
      <c r="E344" s="11" t="str">
        <f ca="1">+WORLDCUP!BD59</f>
        <v>Catar</v>
      </c>
      <c r="F344" s="11" t="str">
        <f ca="1">+WORLDCUP!BD61</f>
        <v>Turquía</v>
      </c>
      <c r="G344" s="11" t="str">
        <f ca="1">+WORLDCUP!BD58</f>
        <v>República Checa</v>
      </c>
      <c r="H344" s="11" t="str">
        <f ca="1">+WORLDCUP!BD64</f>
        <v>Bélgica</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Austria</v>
      </c>
      <c r="E346" s="11" t="str">
        <f ca="1">+WORLDCUP!BD59</f>
        <v>Catar</v>
      </c>
      <c r="F346" s="11" t="str">
        <f ca="1">+WORLDCUP!BD61</f>
        <v>Turquía</v>
      </c>
      <c r="G346" s="11" t="str">
        <f ca="1">+WORLDCUP!BD58</f>
        <v>República Checa</v>
      </c>
      <c r="H346" s="11" t="str">
        <f ca="1">+WORLDCUP!BD64</f>
        <v>Bélgica</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Austria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Austria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Austria</v>
      </c>
      <c r="E351" s="11" t="str">
        <f ca="1">+WORLDCUP!BD59</f>
        <v>Catar</v>
      </c>
      <c r="F351" s="11" t="str">
        <f ca="1">+WORLDCUP!BD61</f>
        <v>Turquía</v>
      </c>
      <c r="G351" s="11" t="str">
        <f ca="1">+WORLDCUP!BD58</f>
        <v>República Checa</v>
      </c>
      <c r="H351" s="11" t="str">
        <f ca="1">+WORLDCUP!BD63</f>
        <v>Japón</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Irak</v>
      </c>
      <c r="E352" s="11" t="str">
        <f ca="1">+WORLDCUP!BD59</f>
        <v>Catar</v>
      </c>
      <c r="F352" s="11" t="str">
        <f ca="1">+WORLDCUP!BD61</f>
        <v>Turquía</v>
      </c>
      <c r="G352" s="11" t="str">
        <f ca="1">+WORLDCUP!BD58</f>
        <v>República Checa</v>
      </c>
      <c r="H352" s="11" t="str">
        <f ca="1">+WORLDCUP!BD63</f>
        <v>Japón</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Austria</v>
      </c>
      <c r="E353" s="11" t="str">
        <f ca="1">+WORLDCUP!BD59</f>
        <v>Catar</v>
      </c>
      <c r="F353" s="11" t="str">
        <f ca="1">+WORLDCUP!BD61</f>
        <v>Turquía</v>
      </c>
      <c r="G353" s="11" t="str">
        <f ca="1">+WORLDCUP!BD58</f>
        <v>República Checa</v>
      </c>
      <c r="H353" s="11" t="str">
        <f ca="1">+WORLDCUP!BD63</f>
        <v>Japón</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Austria</v>
      </c>
      <c r="E354" s="11" t="str">
        <f ca="1">+WORLDCUP!BD59</f>
        <v>Catar</v>
      </c>
      <c r="F354" s="11" t="str">
        <f ca="1">+WORLDCUP!BD61</f>
        <v>Turquía</v>
      </c>
      <c r="G354" s="11" t="str">
        <f ca="1">+WORLDCUP!BD58</f>
        <v>República Checa</v>
      </c>
      <c r="H354" s="11" t="str">
        <f ca="1">+WORLDCUP!BD63</f>
        <v>Japón</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Austria</v>
      </c>
      <c r="E356" s="11" t="str">
        <f ca="1">+WORLDCUP!BD59</f>
        <v>Catar</v>
      </c>
      <c r="F356" s="11" t="str">
        <f ca="1">+WORLDCUP!BD61</f>
        <v>Turquía</v>
      </c>
      <c r="G356" s="11" t="str">
        <f ca="1">+WORLDCUP!BD58</f>
        <v>República Checa</v>
      </c>
      <c r="H356" s="11" t="str">
        <f ca="1">+WORLDCUP!BD63</f>
        <v>Japón</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Austria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Austria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Marruecos</v>
      </c>
      <c r="G371" s="11" t="str">
        <f ca="1">+WORLDCUP!BD58</f>
        <v>República Checa</v>
      </c>
      <c r="H371" s="11" t="str">
        <f ca="1">+WORLDCUP!BD65</f>
        <v>España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Marruecos</v>
      </c>
      <c r="G372" s="11" t="str">
        <f ca="1">+WORLDCUP!BD58</f>
        <v>República Checa</v>
      </c>
      <c r="H372" s="11" t="str">
        <f ca="1">+WORLDCUP!BD64</f>
        <v>Bélgica</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Austria</v>
      </c>
      <c r="E373" s="11" t="str">
        <f ca="1">+WORLDCUP!BD59</f>
        <v>Catar</v>
      </c>
      <c r="F373" s="11" t="str">
        <f ca="1">+WORLDCUP!BD60</f>
        <v>Marruecos</v>
      </c>
      <c r="G373" s="11" t="str">
        <f ca="1">+WORLDCUP!BD58</f>
        <v>República Checa</v>
      </c>
      <c r="H373" s="11" t="str">
        <f ca="1">+WORLDCUP!BD64</f>
        <v>Bélgica</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Austria</v>
      </c>
      <c r="E375" s="11" t="str">
        <f ca="1">+WORLDCUP!BD59</f>
        <v>Catar</v>
      </c>
      <c r="F375" s="11" t="str">
        <f ca="1">+WORLDCUP!BD60</f>
        <v>Marruecos</v>
      </c>
      <c r="G375" s="11" t="str">
        <f ca="1">+WORLDCUP!BD58</f>
        <v>República Checa</v>
      </c>
      <c r="H375" s="11" t="str">
        <f ca="1">+WORLDCUP!BD64</f>
        <v>Bélgica</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Austria</v>
      </c>
      <c r="E376" s="11" t="str">
        <f ca="1">+WORLDCUP!BD59</f>
        <v>Catar</v>
      </c>
      <c r="F376" s="11" t="str">
        <f ca="1">+WORLDCUP!BD60</f>
        <v>Marruecos</v>
      </c>
      <c r="G376" s="11" t="str">
        <f ca="1">+WORLDCUP!BD58</f>
        <v>República Checa</v>
      </c>
      <c r="H376" s="11" t="str">
        <f ca="1">+WORLDCUP!BD64</f>
        <v>Bélgica</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Marruecos</v>
      </c>
      <c r="G377" s="11" t="str">
        <f ca="1">+WORLDCUP!BD58</f>
        <v>República Checa</v>
      </c>
      <c r="H377" s="11" t="str">
        <f ca="1">+WORLDCUP!BD63</f>
        <v>Japón</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Austria</v>
      </c>
      <c r="E378" s="11" t="str">
        <f ca="1">+WORLDCUP!BD59</f>
        <v>Catar</v>
      </c>
      <c r="F378" s="11" t="str">
        <f ca="1">+WORLDCUP!BD60</f>
        <v>Marruecos</v>
      </c>
      <c r="G378" s="11" t="str">
        <f ca="1">+WORLDCUP!BD58</f>
        <v>República Checa</v>
      </c>
      <c r="H378" s="11" t="str">
        <f ca="1">+WORLDCUP!BD63</f>
        <v>Japón</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Irak</v>
      </c>
      <c r="E379" s="11" t="str">
        <f ca="1">+WORLDCUP!BD59</f>
        <v>Catar</v>
      </c>
      <c r="F379" s="11" t="str">
        <f ca="1">+WORLDCUP!BD60</f>
        <v>Marruecos</v>
      </c>
      <c r="G379" s="11" t="str">
        <f ca="1">+WORLDCUP!BD58</f>
        <v>República Checa</v>
      </c>
      <c r="H379" s="11" t="str">
        <f ca="1">+WORLDCUP!BD63</f>
        <v>Japón</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Austria</v>
      </c>
      <c r="E380" s="11" t="str">
        <f ca="1">+WORLDCUP!BD59</f>
        <v>Catar</v>
      </c>
      <c r="F380" s="11" t="str">
        <f ca="1">+WORLDCUP!BD60</f>
        <v>Marruecos</v>
      </c>
      <c r="G380" s="11" t="str">
        <f ca="1">+WORLDCUP!BD58</f>
        <v>República Checa</v>
      </c>
      <c r="H380" s="11" t="str">
        <f ca="1">+WORLDCUP!BD63</f>
        <v>Japón</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Austria</v>
      </c>
      <c r="E381" s="11" t="str">
        <f ca="1">+WORLDCUP!BD59</f>
        <v>Catar</v>
      </c>
      <c r="F381" s="11" t="str">
        <f ca="1">+WORLDCUP!BD60</f>
        <v>Marruecos</v>
      </c>
      <c r="G381" s="11" t="str">
        <f ca="1">+WORLDCUP!BD58</f>
        <v>República Checa</v>
      </c>
      <c r="H381" s="11" t="str">
        <f ca="1">+WORLDCUP!BD63</f>
        <v>Japón</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Austria</v>
      </c>
      <c r="E382" s="11" t="str">
        <f ca="1">+WORLDCUP!BD59</f>
        <v>Catar</v>
      </c>
      <c r="F382" s="11" t="str">
        <f ca="1">+WORLDCUP!BD63</f>
        <v>Japón</v>
      </c>
      <c r="G382" s="11" t="str">
        <f ca="1">+WORLDCUP!BD58</f>
        <v>República Checa</v>
      </c>
      <c r="H382" s="11" t="str">
        <f ca="1">+WORLDCUP!BD64</f>
        <v>Bélgica</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Austria</v>
      </c>
      <c r="E384" s="11" t="str">
        <f ca="1">+WORLDCUP!BD59</f>
        <v>Catar</v>
      </c>
      <c r="F384" s="11" t="str">
        <f ca="1">+WORLDCUP!BD63</f>
        <v>Japón</v>
      </c>
      <c r="G384" s="11" t="str">
        <f ca="1">+WORLDCUP!BD58</f>
        <v>República Checa</v>
      </c>
      <c r="H384" s="11" t="str">
        <f ca="1">+WORLDCUP!BD64</f>
        <v>Bélgica</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Austria</v>
      </c>
      <c r="E385" s="11" t="str">
        <f ca="1">+WORLDCUP!BD59</f>
        <v>Catar</v>
      </c>
      <c r="F385" s="11" t="str">
        <f ca="1">+WORLDCUP!BD63</f>
        <v>Japón</v>
      </c>
      <c r="G385" s="11" t="str">
        <f ca="1">+WORLDCUP!BD58</f>
        <v>República Checa</v>
      </c>
      <c r="H385" s="11" t="str">
        <f ca="1">+WORLDCUP!BD64</f>
        <v>Bélgica</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Austria</v>
      </c>
      <c r="E392" s="11" t="str">
        <f ca="1">+WORLDCUP!BD59</f>
        <v>Catar</v>
      </c>
      <c r="F392" s="11" t="str">
        <f ca="1">+WORLDCUP!BD58</f>
        <v>República Checa</v>
      </c>
      <c r="G392" s="11" t="str">
        <f ca="1">+WORLDCUP!BD66</f>
        <v>Irak</v>
      </c>
      <c r="H392" s="11" t="str">
        <f ca="1">+WORLDCUP!BD60</f>
        <v>Marruecos</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Austria</v>
      </c>
      <c r="E393" s="11" t="str">
        <f ca="1">+WORLDCUP!BD59</f>
        <v>Catar</v>
      </c>
      <c r="F393" s="11" t="str">
        <f ca="1">+WORLDCUP!BD60</f>
        <v>Marruecos</v>
      </c>
      <c r="G393" s="11" t="str">
        <f ca="1">+WORLDCUP!BD58</f>
        <v>República Checa</v>
      </c>
      <c r="H393" s="11" t="str">
        <f ca="1">+WORLDCUP!BD65</f>
        <v>España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Irak</v>
      </c>
      <c r="E394" s="11" t="str">
        <f ca="1">+WORLDCUP!BD59</f>
        <v>Catar</v>
      </c>
      <c r="F394" s="11" t="str">
        <f ca="1">+WORLDCUP!BD60</f>
        <v>Marruecos</v>
      </c>
      <c r="G394" s="11" t="str">
        <f ca="1">+WORLDCUP!BD58</f>
        <v>República Checa</v>
      </c>
      <c r="H394" s="11" t="str">
        <f ca="1">+WORLDCUP!BD65</f>
        <v>España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Austria</v>
      </c>
      <c r="E395" s="11" t="str">
        <f ca="1">+WORLDCUP!BD59</f>
        <v>Catar</v>
      </c>
      <c r="F395" s="11" t="str">
        <f ca="1">+WORLDCUP!BD60</f>
        <v>Marruecos</v>
      </c>
      <c r="G395" s="11" t="str">
        <f ca="1">+WORLDCUP!BD58</f>
        <v>República Checa</v>
      </c>
      <c r="H395" s="11" t="str">
        <f ca="1">+WORLDCUP!BD65</f>
        <v>España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Austria</v>
      </c>
      <c r="E396" s="11" t="str">
        <f ca="1">+WORLDCUP!BD59</f>
        <v>Catar</v>
      </c>
      <c r="F396" s="11" t="str">
        <f ca="1">+WORLDCUP!BD60</f>
        <v>Marruecos</v>
      </c>
      <c r="G396" s="11" t="str">
        <f ca="1">+WORLDCUP!BD58</f>
        <v>República Checa</v>
      </c>
      <c r="H396" s="11" t="str">
        <f ca="1">+WORLDCUP!BD65</f>
        <v>España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Austria</v>
      </c>
      <c r="E397" s="11" t="str">
        <f ca="1">+WORLDCUP!BD59</f>
        <v>Catar</v>
      </c>
      <c r="F397" s="11" t="str">
        <f ca="1">+WORLDCUP!BD60</f>
        <v>Marruecos</v>
      </c>
      <c r="G397" s="11" t="str">
        <f ca="1">+WORLDCUP!BD58</f>
        <v>República Checa</v>
      </c>
      <c r="H397" s="11" t="str">
        <f ca="1">+WORLDCUP!BD64</f>
        <v>Bélgica</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Irak</v>
      </c>
      <c r="H398" s="11" t="str">
        <f ca="1">+WORLDCUP!BD60</f>
        <v>Marruecos</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Austria</v>
      </c>
      <c r="E399" s="11" t="str">
        <f ca="1">+WORLDCUP!BD59</f>
        <v>Catar</v>
      </c>
      <c r="F399" s="11" t="str">
        <f ca="1">+WORLDCUP!BD60</f>
        <v>Marruecos</v>
      </c>
      <c r="G399" s="11" t="str">
        <f ca="1">+WORLDCUP!BD58</f>
        <v>República Checa</v>
      </c>
      <c r="H399" s="11" t="str">
        <f ca="1">+WORLDCUP!BD64</f>
        <v>Bélgica</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Austria</v>
      </c>
      <c r="E400" s="11" t="str">
        <f ca="1">+WORLDCUP!BD59</f>
        <v>Catar</v>
      </c>
      <c r="F400" s="11" t="str">
        <f ca="1">+WORLDCUP!BD60</f>
        <v>Marruecos</v>
      </c>
      <c r="G400" s="11" t="str">
        <f ca="1">+WORLDCUP!BD58</f>
        <v>República Checa</v>
      </c>
      <c r="H400" s="11" t="str">
        <f ca="1">+WORLDCUP!BD64</f>
        <v>Bélgica</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Austria</v>
      </c>
      <c r="E402" s="11" t="str">
        <f ca="1">+WORLDCUP!BD59</f>
        <v>Catar</v>
      </c>
      <c r="F402" s="11" t="str">
        <f ca="1">+WORLDCUP!BD60</f>
        <v>Marruecos</v>
      </c>
      <c r="G402" s="11" t="str">
        <f ca="1">+WORLDCUP!BD58</f>
        <v>República Checa</v>
      </c>
      <c r="H402" s="11" t="str">
        <f ca="1">+WORLDCUP!BD64</f>
        <v>Bélgica</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Austria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Austria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Austria</v>
      </c>
      <c r="E407" s="11" t="str">
        <f ca="1">+WORLDCUP!BD59</f>
        <v>Catar</v>
      </c>
      <c r="F407" s="11" t="str">
        <f ca="1">+WORLDCUP!BD60</f>
        <v>Marruecos</v>
      </c>
      <c r="G407" s="11" t="str">
        <f ca="1">+WORLDCUP!BD58</f>
        <v>República Checa</v>
      </c>
      <c r="H407" s="11" t="str">
        <f ca="1">+WORLDCUP!BD63</f>
        <v>Japón</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Irak</v>
      </c>
      <c r="E408" s="11" t="str">
        <f ca="1">+WORLDCUP!BD59</f>
        <v>Catar</v>
      </c>
      <c r="F408" s="11" t="str">
        <f ca="1">+WORLDCUP!BD60</f>
        <v>Marruecos</v>
      </c>
      <c r="G408" s="11" t="str">
        <f ca="1">+WORLDCUP!BD58</f>
        <v>República Checa</v>
      </c>
      <c r="H408" s="11" t="str">
        <f ca="1">+WORLDCUP!BD63</f>
        <v>Japón</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Austria</v>
      </c>
      <c r="E409" s="11" t="str">
        <f ca="1">+WORLDCUP!BD59</f>
        <v>Catar</v>
      </c>
      <c r="F409" s="11" t="str">
        <f ca="1">+WORLDCUP!BD60</f>
        <v>Marruecos</v>
      </c>
      <c r="G409" s="11" t="str">
        <f ca="1">+WORLDCUP!BD58</f>
        <v>República Checa</v>
      </c>
      <c r="H409" s="11" t="str">
        <f ca="1">+WORLDCUP!BD63</f>
        <v>Japón</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Austria</v>
      </c>
      <c r="E410" s="11" t="str">
        <f ca="1">+WORLDCUP!BD59</f>
        <v>Catar</v>
      </c>
      <c r="F410" s="11" t="str">
        <f ca="1">+WORLDCUP!BD60</f>
        <v>Marruecos</v>
      </c>
      <c r="G410" s="11" t="str">
        <f ca="1">+WORLDCUP!BD58</f>
        <v>República Checa</v>
      </c>
      <c r="H410" s="11" t="str">
        <f ca="1">+WORLDCUP!BD63</f>
        <v>Japón</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Austria</v>
      </c>
      <c r="E412" s="11" t="str">
        <f ca="1">+WORLDCUP!BD59</f>
        <v>Catar</v>
      </c>
      <c r="F412" s="11" t="str">
        <f ca="1">+WORLDCUP!BD60</f>
        <v>Marruecos</v>
      </c>
      <c r="G412" s="11" t="str">
        <f ca="1">+WORLDCUP!BD58</f>
        <v>República Checa</v>
      </c>
      <c r="H412" s="11" t="str">
        <f ca="1">+WORLDCUP!BD63</f>
        <v>Japón</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Austria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Austria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Marruecos</v>
      </c>
      <c r="G427" s="11" t="str">
        <f ca="1">+WORLDCUP!BD58</f>
        <v>República Checa</v>
      </c>
      <c r="H427" s="11" t="str">
        <f ca="1">+WORLDCUP!BD61</f>
        <v>Turquía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Austria</v>
      </c>
      <c r="E428" s="11" t="str">
        <f ca="1">+WORLDCUP!BD59</f>
        <v>Catar</v>
      </c>
      <c r="F428" s="11" t="str">
        <f ca="1">+WORLDCUP!BD60</f>
        <v>Marruecos</v>
      </c>
      <c r="G428" s="11" t="str">
        <f ca="1">+WORLDCUP!BD58</f>
        <v>República Checa</v>
      </c>
      <c r="H428" s="11" t="str">
        <f ca="1">+WORLDCUP!BD61</f>
        <v>Turquía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Irak</v>
      </c>
      <c r="E429" s="11" t="str">
        <f ca="1">+WORLDCUP!BD59</f>
        <v>Catar</v>
      </c>
      <c r="F429" s="11" t="str">
        <f ca="1">+WORLDCUP!BD60</f>
        <v>Marruecos</v>
      </c>
      <c r="G429" s="11" t="str">
        <f ca="1">+WORLDCUP!BD58</f>
        <v>República Checa</v>
      </c>
      <c r="H429" s="11" t="str">
        <f ca="1">+WORLDCUP!BD61</f>
        <v>Turquía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Austria</v>
      </c>
      <c r="E430" s="11" t="str">
        <f ca="1">+WORLDCUP!BD59</f>
        <v>Catar</v>
      </c>
      <c r="F430" s="11" t="str">
        <f ca="1">+WORLDCUP!BD60</f>
        <v>Marruecos</v>
      </c>
      <c r="G430" s="11" t="str">
        <f ca="1">+WORLDCUP!BD58</f>
        <v>República Checa</v>
      </c>
      <c r="H430" s="11" t="str">
        <f ca="1">+WORLDCUP!BD61</f>
        <v>Turquía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Austria</v>
      </c>
      <c r="E431" s="11" t="str">
        <f ca="1">+WORLDCUP!BD59</f>
        <v>Catar</v>
      </c>
      <c r="F431" s="11" t="str">
        <f ca="1">+WORLDCUP!BD60</f>
        <v>Marruecos</v>
      </c>
      <c r="G431" s="11" t="str">
        <f ca="1">+WORLDCUP!BD58</f>
        <v>República Checa</v>
      </c>
      <c r="H431" s="11" t="str">
        <f ca="1">+WORLDCUP!BD61</f>
        <v>Turquía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Austria</v>
      </c>
      <c r="E432" s="11" t="str">
        <f ca="1">+WORLDCUP!BD59</f>
        <v>Catar</v>
      </c>
      <c r="F432" s="11" t="str">
        <f ca="1">+WORLDCUP!BD61</f>
        <v>Turquía</v>
      </c>
      <c r="G432" s="11" t="str">
        <f ca="1">+WORLDCUP!BD58</f>
        <v>República Checa</v>
      </c>
      <c r="H432" s="11" t="str">
        <f ca="1">+WORLDCUP!BD64</f>
        <v>Bélgica</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Austria</v>
      </c>
      <c r="E434" s="11" t="str">
        <f ca="1">+WORLDCUP!BD59</f>
        <v>Catar</v>
      </c>
      <c r="F434" s="11" t="str">
        <f ca="1">+WORLDCUP!BD61</f>
        <v>Turquía</v>
      </c>
      <c r="G434" s="11" t="str">
        <f ca="1">+WORLDCUP!BD58</f>
        <v>República Checa</v>
      </c>
      <c r="H434" s="11" t="str">
        <f ca="1">+WORLDCUP!BD64</f>
        <v>Bélgica</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Austria</v>
      </c>
      <c r="E435" s="11" t="str">
        <f ca="1">+WORLDCUP!BD59</f>
        <v>Catar</v>
      </c>
      <c r="F435" s="11" t="str">
        <f ca="1">+WORLDCUP!BD61</f>
        <v>Turquía</v>
      </c>
      <c r="G435" s="11" t="str">
        <f ca="1">+WORLDCUP!BD58</f>
        <v>República Checa</v>
      </c>
      <c r="H435" s="11" t="str">
        <f ca="1">+WORLDCUP!BD64</f>
        <v>Bélgica</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Austria</v>
      </c>
      <c r="E442" s="11" t="str">
        <f ca="1">+WORLDCUP!BD59</f>
        <v>Catar</v>
      </c>
      <c r="F442" s="11" t="str">
        <f ca="1">+WORLDCUP!BD61</f>
        <v>Turquía</v>
      </c>
      <c r="G442" s="11" t="str">
        <f ca="1">+WORLDCUP!BD58</f>
        <v>República Checa</v>
      </c>
      <c r="H442" s="11" t="str">
        <f ca="1">+WORLDCUP!BD63</f>
        <v>Japón</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Irak</v>
      </c>
      <c r="E443" s="11" t="str">
        <f ca="1">+WORLDCUP!BD59</f>
        <v>Catar</v>
      </c>
      <c r="F443" s="11" t="str">
        <f ca="1">+WORLDCUP!BD61</f>
        <v>Turquía</v>
      </c>
      <c r="G443" s="11" t="str">
        <f ca="1">+WORLDCUP!BD58</f>
        <v>República Checa</v>
      </c>
      <c r="H443" s="11" t="str">
        <f ca="1">+WORLDCUP!BD63</f>
        <v>Japón</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Austria</v>
      </c>
      <c r="E444" s="11" t="str">
        <f ca="1">+WORLDCUP!BD59</f>
        <v>Catar</v>
      </c>
      <c r="F444" s="11" t="str">
        <f ca="1">+WORLDCUP!BD61</f>
        <v>Turquía</v>
      </c>
      <c r="G444" s="11" t="str">
        <f ca="1">+WORLDCUP!BD58</f>
        <v>República Checa</v>
      </c>
      <c r="H444" s="11" t="str">
        <f ca="1">+WORLDCUP!BD63</f>
        <v>Japón</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Austria</v>
      </c>
      <c r="E445" s="11" t="str">
        <f ca="1">+WORLDCUP!BD59</f>
        <v>Catar</v>
      </c>
      <c r="F445" s="11" t="str">
        <f ca="1">+WORLDCUP!BD61</f>
        <v>Turquía</v>
      </c>
      <c r="G445" s="11" t="str">
        <f ca="1">+WORLDCUP!BD58</f>
        <v>República Checa</v>
      </c>
      <c r="H445" s="11" t="str">
        <f ca="1">+WORLDCUP!BD63</f>
        <v>Japón</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Austria</v>
      </c>
      <c r="E447" s="11" t="str">
        <f ca="1">+WORLDCUP!BD59</f>
        <v>Catar</v>
      </c>
      <c r="F447" s="11" t="str">
        <f ca="1">+WORLDCUP!BD61</f>
        <v>Turquía</v>
      </c>
      <c r="G447" s="11" t="str">
        <f ca="1">+WORLDCUP!BD58</f>
        <v>República Checa</v>
      </c>
      <c r="H447" s="11" t="str">
        <f ca="1">+WORLDCUP!BD63</f>
        <v>Japón</v>
      </c>
      <c r="I447" s="11" t="str">
        <f ca="1">+WORLDCUP!BD69</f>
        <v>Ghana</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Austria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Austria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Ghana</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Austria</v>
      </c>
      <c r="E462" s="11" t="str">
        <f ca="1">+WORLDCUP!BD59</f>
        <v>Catar</v>
      </c>
      <c r="F462" s="11" t="str">
        <f ca="1">+WORLDCUP!BD60</f>
        <v>Marruecos</v>
      </c>
      <c r="G462" s="11" t="str">
        <f ca="1">+WORLDCUP!BD58</f>
        <v>República Checa</v>
      </c>
      <c r="H462" s="11" t="str">
        <f ca="1">+WORLDCUP!BD61</f>
        <v>Turquía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Irak</v>
      </c>
      <c r="E463" s="11" t="str">
        <f ca="1">+WORLDCUP!BD59</f>
        <v>Catar</v>
      </c>
      <c r="F463" s="11" t="str">
        <f ca="1">+WORLDCUP!BD60</f>
        <v>Marruecos</v>
      </c>
      <c r="G463" s="11" t="str">
        <f ca="1">+WORLDCUP!BD58</f>
        <v>República Checa</v>
      </c>
      <c r="H463" s="11" t="str">
        <f ca="1">+WORLDCUP!BD61</f>
        <v>Turquía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Austria</v>
      </c>
      <c r="E464" s="11" t="str">
        <f ca="1">+WORLDCUP!BD59</f>
        <v>Catar</v>
      </c>
      <c r="F464" s="11" t="str">
        <f ca="1">+WORLDCUP!BD60</f>
        <v>Marruecos</v>
      </c>
      <c r="G464" s="11" t="str">
        <f ca="1">+WORLDCUP!BD58</f>
        <v>República Checa</v>
      </c>
      <c r="H464" s="11" t="str">
        <f ca="1">+WORLDCUP!BD61</f>
        <v>Turquía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Austria</v>
      </c>
      <c r="E465" s="11" t="str">
        <f ca="1">+WORLDCUP!BD59</f>
        <v>Catar</v>
      </c>
      <c r="F465" s="11" t="str">
        <f ca="1">+WORLDCUP!BD60</f>
        <v>Marruecos</v>
      </c>
      <c r="G465" s="11" t="str">
        <f ca="1">+WORLDCUP!BD58</f>
        <v>República Checa</v>
      </c>
      <c r="H465" s="11" t="str">
        <f ca="1">+WORLDCUP!BD61</f>
        <v>Turquía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Austria</v>
      </c>
      <c r="E467" s="11" t="str">
        <f ca="1">+WORLDCUP!BD59</f>
        <v>Catar</v>
      </c>
      <c r="F467" s="11" t="str">
        <f ca="1">+WORLDCUP!BD60</f>
        <v>Marruecos</v>
      </c>
      <c r="G467" s="11" t="str">
        <f ca="1">+WORLDCUP!BD58</f>
        <v>República Checa</v>
      </c>
      <c r="H467" s="11" t="str">
        <f ca="1">+WORLDCUP!BD61</f>
        <v>Turquía</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Austria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Austria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Austria</v>
      </c>
      <c r="E483" s="11" t="str">
        <f ca="1">+WORLDCUP!BD59</f>
        <v>Catar</v>
      </c>
      <c r="F483" s="11" t="str">
        <f ca="1">+WORLDCUP!BD61</f>
        <v>Turquía</v>
      </c>
      <c r="G483" s="11" t="str">
        <f ca="1">+WORLDCUP!BD58</f>
        <v>República Checa</v>
      </c>
      <c r="H483" s="11" t="str">
        <f ca="1">+WORLDCUP!BD63</f>
        <v>Japón</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Austria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Austria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Austria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2026-06-16T05:01:58Z</dcterms:modified>
  <cp:category/>
</cp:coreProperties>
</file>