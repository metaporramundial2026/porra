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97" documentId="13_ncr:1_{AD95B255-EB8E-3243-8DDE-83C0E318ABBB}" xr6:coauthVersionLast="47" xr6:coauthVersionMax="47" xr10:uidLastSave="{D061AA73-EB51-4F94-B78A-23F84BFE4396}"/>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5" i="46"/>
  <c r="EF267" i="46" s="1"/>
  <c r="EC5" i="46"/>
  <c r="EC267" i="46" s="1"/>
  <c r="DZ5" i="46"/>
  <c r="DZ267" i="46" s="1"/>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Q21" i="46"/>
  <c r="E233" i="46"/>
  <c r="M8" i="46"/>
  <c r="M61" i="46"/>
  <c r="M45" i="46"/>
  <c r="M69" i="46"/>
  <c r="M29" i="46"/>
  <c r="Q201" i="46"/>
  <c r="M221" i="46"/>
  <c r="M49" i="46"/>
  <c r="M13" i="46"/>
  <c r="M77" i="46"/>
  <c r="M57" i="46"/>
  <c r="E223" i="46"/>
  <c r="M26" i="46"/>
  <c r="M36" i="46"/>
  <c r="M50" i="46"/>
  <c r="M47" i="46"/>
  <c r="M62" i="46"/>
  <c r="M11" i="46"/>
  <c r="M44" i="46"/>
  <c r="M53" i="46"/>
  <c r="M14" i="46"/>
  <c r="M17" i="46"/>
  <c r="D107" i="36"/>
  <c r="M84" i="34" s="1"/>
  <c r="S267" i="46"/>
  <c r="Q27" i="46" l="1"/>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Z244" i="46" s="1"/>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Z6" i="46" s="1"/>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EC253" i="46" s="1"/>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EF232" i="46" s="1"/>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EF244" i="46"/>
  <c r="K129" i="46"/>
  <c r="H131" i="46"/>
  <c r="H250" i="46"/>
  <c r="H158" i="46"/>
  <c r="H151" i="46"/>
  <c r="H137" i="46"/>
  <c r="H206" i="46"/>
  <c r="D13" i="36"/>
  <c r="K14" i="30" s="1"/>
  <c r="D432" i="36"/>
  <c r="H147" i="46"/>
  <c r="H132" i="46"/>
  <c r="H161" i="46"/>
  <c r="K197" i="46"/>
  <c r="ER54" i="46"/>
  <c r="EU54" i="46"/>
  <c r="EC54" i="46"/>
  <c r="FG54" i="46"/>
  <c r="EF54" i="46"/>
  <c r="FJ54" i="46"/>
  <c r="EI54" i="46"/>
  <c r="EL54" i="46"/>
  <c r="EO54" i="46"/>
  <c r="EX54" i="46"/>
  <c r="FA54" i="46"/>
  <c r="FD54" i="46"/>
  <c r="DZ54" i="46"/>
  <c r="D367" i="36"/>
  <c r="H244" i="46"/>
  <c r="H201" i="46"/>
  <c r="H214" i="46"/>
  <c r="H155" i="46"/>
  <c r="H140" i="46"/>
  <c r="H138" i="46"/>
  <c r="K193" i="46"/>
  <c r="K183" i="46"/>
  <c r="EF220" i="46"/>
  <c r="FD220" i="46"/>
  <c r="EI220" i="46"/>
  <c r="FG220" i="46"/>
  <c r="EL220" i="46"/>
  <c r="EO220" i="46"/>
  <c r="ER220" i="46"/>
  <c r="EU220" i="46"/>
  <c r="EX220" i="46"/>
  <c r="FA220" i="46"/>
  <c r="DZ220" i="46"/>
  <c r="FJ220" i="46"/>
  <c r="EC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H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EI244" i="46"/>
  <c r="K148" i="46"/>
  <c r="AZ29" i="3"/>
  <c r="K155" i="46"/>
  <c r="FJ232" i="46"/>
  <c r="FD244" i="46"/>
  <c r="FG232" i="46"/>
  <c r="FA244" i="46"/>
  <c r="K134" i="46"/>
  <c r="K159" i="46"/>
  <c r="K161" i="46"/>
  <c r="EI232" i="46"/>
  <c r="EC244" i="46"/>
  <c r="K151" i="46"/>
  <c r="K145" i="46"/>
  <c r="EC232" i="46"/>
  <c r="K152" i="46"/>
  <c r="EO244" i="46"/>
  <c r="K147" i="46"/>
  <c r="EX232" i="46"/>
  <c r="K133" i="46"/>
  <c r="EU200" i="46"/>
  <c r="DZ232" i="46"/>
  <c r="FD232" i="46"/>
  <c r="EU244" i="46"/>
  <c r="EX244" i="46"/>
  <c r="AZ93" i="3"/>
  <c r="ER244" i="46"/>
  <c r="K143" i="46"/>
  <c r="E4" i="47"/>
  <c r="J5" i="46"/>
  <c r="K228" i="46"/>
  <c r="AJ53" i="3"/>
  <c r="Z33" i="3"/>
  <c r="EI200" i="46"/>
  <c r="CN254" i="46"/>
  <c r="Z32" i="3"/>
  <c r="AJ85" i="3"/>
  <c r="AJ21" i="3"/>
  <c r="DI254" i="46"/>
  <c r="Z40" i="3"/>
  <c r="AJ77" i="3"/>
  <c r="FJ200" i="46"/>
  <c r="ES254" i="46"/>
  <c r="AJ37" i="3"/>
  <c r="DZ200" i="46"/>
  <c r="CE254" i="46"/>
  <c r="AJ69" i="3"/>
  <c r="FG200" i="46"/>
  <c r="AI254" i="46"/>
  <c r="AJ61" i="3"/>
  <c r="CB254" i="46"/>
  <c r="AH155" i="3"/>
  <c r="AG155" i="3" s="1"/>
  <c r="EC200" i="46"/>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EF200" i="46"/>
  <c r="AU253" i="46"/>
  <c r="ED254" i="46"/>
  <c r="EY254" i="46"/>
  <c r="W254" i="46"/>
  <c r="T253" i="46"/>
  <c r="AM61" i="3"/>
  <c r="AD27" i="3"/>
  <c r="BJ253" i="46"/>
  <c r="CH254" i="46"/>
  <c r="DC254" i="46"/>
  <c r="FH254" i="46"/>
  <c r="Q24" i="6"/>
  <c r="AD59" i="3"/>
  <c r="EO200" i="46"/>
  <c r="AL254" i="46"/>
  <c r="BG254" i="46"/>
  <c r="EJ254" i="46"/>
  <c r="ED253" i="46"/>
  <c r="EF30" i="46"/>
  <c r="EG30" i="46" s="1"/>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F253" i="46"/>
  <c r="EG253" i="46" s="1"/>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F6" i="46"/>
  <c r="EG6" i="46" s="1"/>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C6" i="46"/>
  <c r="ED6" i="46" s="1"/>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DZ253" i="46"/>
  <c r="EA253" i="46" s="1"/>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DZ30" i="46"/>
  <c r="EA30" i="46" s="1"/>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U30" i="46"/>
  <c r="AF137" i="3"/>
  <c r="K135" i="46"/>
  <c r="K160" i="46"/>
  <c r="K138" i="46"/>
  <c r="K158" i="46"/>
  <c r="K137" i="46"/>
  <c r="K150" i="46"/>
  <c r="AO13" i="3"/>
  <c r="K234" i="46"/>
  <c r="AR53" i="3"/>
  <c r="AO69" i="3"/>
  <c r="W253" i="46"/>
  <c r="EC30" i="46"/>
  <c r="ED30" i="46" s="1"/>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DZ164" i="46"/>
  <c r="EX164" i="46"/>
  <c r="EF164" i="46"/>
  <c r="FD164" i="46"/>
  <c r="EI164" i="46"/>
  <c r="FG164" i="46"/>
  <c r="EC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CA34" i="3" s="1"/>
  <c r="I64" i="3"/>
  <c r="I63" i="3"/>
  <c r="I52" i="3"/>
  <c r="H57" i="3"/>
  <c r="I53" i="3"/>
  <c r="H38" i="3"/>
  <c r="I32" i="3"/>
  <c r="H56" i="3"/>
  <c r="I22" i="3"/>
  <c r="I41" i="3"/>
  <c r="I78" i="3"/>
  <c r="H40" i="3"/>
  <c r="I39" i="3"/>
  <c r="H33" i="3"/>
  <c r="H12" i="3"/>
  <c r="H70" i="3"/>
  <c r="H79" i="3"/>
  <c r="CB43" i="3" s="1"/>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36" i="3" l="1"/>
  <c r="CC36" i="3" s="1"/>
  <c r="CA27" i="3"/>
  <c r="CC27" i="3" s="1"/>
  <c r="CB37" i="3"/>
  <c r="CA45" i="3"/>
  <c r="CC45" i="3" s="1"/>
  <c r="CA43" i="3"/>
  <c r="CC43" i="3" s="1"/>
  <c r="CB26" i="3"/>
  <c r="CB9" i="3"/>
  <c r="CA42" i="3"/>
  <c r="CC42" i="3" s="1"/>
  <c r="CB44" i="3"/>
  <c r="CA18" i="3"/>
  <c r="CB20" i="3"/>
  <c r="CB18" i="3"/>
  <c r="CA53" i="3"/>
  <c r="CB12" i="3"/>
  <c r="CA44" i="3"/>
  <c r="CA31" i="3"/>
  <c r="CC31" i="3" s="1"/>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7" i="3" l="1"/>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L28" i="3"/>
  <c r="L55" i="3"/>
  <c r="K33" i="3"/>
  <c r="K32" i="3"/>
  <c r="L72" i="3"/>
  <c r="K6" i="3"/>
  <c r="CF7" i="3" s="1"/>
  <c r="L13" i="3"/>
  <c r="CF12" i="3" s="1"/>
  <c r="K40" i="3"/>
  <c r="CF24" i="3" s="1"/>
  <c r="L8" i="3"/>
  <c r="K16" i="3"/>
  <c r="K7" i="3"/>
  <c r="CF8" i="3" s="1"/>
  <c r="K64" i="3"/>
  <c r="CF36" i="3" s="1"/>
  <c r="L39" i="3"/>
  <c r="CF25" i="3" s="1"/>
  <c r="L29" i="3"/>
  <c r="L71" i="3"/>
  <c r="K73" i="3"/>
  <c r="CF40" i="3" s="1"/>
  <c r="L6" i="3"/>
  <c r="K53" i="3"/>
  <c r="L4" i="3"/>
  <c r="L64" i="3"/>
  <c r="CF35" i="3" s="1"/>
  <c r="L54" i="3"/>
  <c r="K88" i="3"/>
  <c r="K87" i="3"/>
  <c r="CF47" i="3" s="1"/>
  <c r="K61" i="3"/>
  <c r="CF37" i="3" s="1"/>
  <c r="L47" i="3"/>
  <c r="CF29" i="3" s="1"/>
  <c r="CF49" i="3"/>
  <c r="CF33" i="3"/>
  <c r="CF45" i="3"/>
  <c r="CF16" i="3"/>
  <c r="CF19" i="3"/>
  <c r="E9" i="51"/>
  <c r="CF22" i="3"/>
  <c r="CF27" i="3"/>
  <c r="CF26" i="3"/>
  <c r="B46" i="51"/>
  <c r="B47" i="51" s="1"/>
  <c r="E10" i="51"/>
  <c r="E28" i="48"/>
  <c r="F27" i="48" a="1"/>
  <c r="F27" i="48" s="1"/>
  <c r="E12" i="51"/>
  <c r="E11" i="51"/>
  <c r="CF32" i="3" l="1"/>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E31" i="48"/>
  <c r="F30" i="48" a="1"/>
  <c r="F30" i="48" s="1"/>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E32" i="48"/>
  <c r="F31" i="48" a="1"/>
  <c r="F31" i="48" s="1"/>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CP30" i="3" s="1"/>
  <c r="F35" i="48" a="1"/>
  <c r="F35" i="48" s="1"/>
  <c r="E36" i="48"/>
  <c r="CP9" i="3" l="1"/>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H5" i="47" s="1" a="1"/>
  <c r="H5" i="47" s="1"/>
  <c r="BU1" i="46"/>
  <c r="V1" i="46"/>
  <c r="AW1" i="46"/>
  <c r="DH1" i="46"/>
  <c r="EU1" i="46"/>
  <c r="FD1" i="46"/>
  <c r="AB1" i="46"/>
  <c r="DB1" i="46"/>
  <c r="EF1" i="46"/>
  <c r="AE1" i="46"/>
  <c r="BL1" i="46"/>
  <c r="BF1" i="46"/>
  <c r="EI1" i="46"/>
  <c r="CV1" i="46"/>
  <c r="CM1" i="46"/>
  <c r="ER1" i="46"/>
  <c r="AQ1" i="46"/>
  <c r="CG1" i="46"/>
  <c r="CS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<sst xmlns="http://schemas.openxmlformats.org/spreadsheetml/2006/main" count="15969" uniqueCount="2750">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</sst>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7">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18</c:v>
                </c:pt>
                <c:pt idx="1">
                  <c:v>13</c:v>
                </c:pt>
                <c:pt idx="2">
                  <c:v>9</c:v>
                </c:pt>
                <c:pt idx="3">
                  <c:v>4</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0.94594594594594594</c:v>
                </c:pt>
                <c:pt idx="1">
                  <c:v>5.4054054054054057E-2</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4"/>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5" t="str">
        <f>Idiomas!D8</f>
        <v>XXIII Mundial USA/MEX/CAN 2026</v>
      </c>
      <c r="C3" s="805"/>
      <c r="D3" s="805"/>
      <c r="E3" s="805"/>
      <c r="F3" s="805"/>
      <c r="G3" s="805"/>
      <c r="H3" s="805"/>
      <c r="I3" s="805"/>
      <c r="J3" s="805"/>
      <c r="K3" s="805"/>
      <c r="L3" s="80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03"/>
      <c r="F16" s="804"/>
      <c r="G16" s="804"/>
      <c r="H16" s="804"/>
      <c r="I16" s="80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02"/>
      <c r="F17" s="802"/>
      <c r="G17" s="802"/>
      <c r="H17" s="802"/>
      <c r="I17" s="802"/>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6"/>
      <c r="C24" s="80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40" t="str">
        <f>Idiomas!D8</f>
        <v>XXIII Mundial USA/MEX/CAN 2026</v>
      </c>
      <c r="X1" s="840"/>
      <c r="Y1" s="840"/>
      <c r="Z1" s="840"/>
      <c r="AA1" s="840"/>
      <c r="AB1" s="840"/>
      <c r="AC1" s="840"/>
      <c r="AD1" s="840"/>
      <c r="AE1" s="840"/>
      <c r="AF1" s="84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Pendiente</v>
      </c>
      <c r="E4" s="744" t="str">
        <f t="shared" ref="E4:E9" si="1">IF(D4="Pendiente","-",INDEX($BT$6:$BT$53,MATCH($AA4,$BD$6:$BD$53,0)))</f>
        <v>-</v>
      </c>
      <c r="F4" s="744" t="str">
        <f t="shared" ref="F4:F9" si="2">IF(D4="Pendiente","-",INDEX($BT$6:$BT$53,MATCH($AF4,$BD$6:$BD$53,0)))</f>
        <v>-</v>
      </c>
      <c r="G4" s="744"/>
      <c r="H4" s="744" t="str">
        <f t="shared" ref="H4:H9" si="3">IF(D4="Pendiente","-",INDEX($BZ$6:$BZ$53,MATCH($AA4,$BD$6:$BD$53,0)))</f>
        <v>-</v>
      </c>
      <c r="I4" s="744" t="str">
        <f t="shared" ref="I4:I9" si="4">IF(D4="Pendiente","-",INDEX($BZ$6:$BZ$53,MATCH($AF4,$BD$6:$BD$53,0)))</f>
        <v>-</v>
      </c>
      <c r="J4" s="744"/>
      <c r="K4" s="744" t="str">
        <f t="shared" ref="K4:K9" si="5">IF(D4="Pendiente","-",INDEX($CE$6:$CE$53,MATCH($AA4,$BD$6:$BD$53,0)))</f>
        <v>-</v>
      </c>
      <c r="L4" s="744" t="str">
        <f t="shared" ref="L4:L9" si="6">IF(D4="Pendiente","-",INDEX($CE$6:$CE$53,MATCH($AF4,$BD$6:$BD$53,0)))</f>
        <v>-</v>
      </c>
      <c r="M4" s="744"/>
      <c r="N4" s="744" t="str">
        <f t="shared" ref="N4:N9" si="7">IF(D4="Pendiente","-",INDEX($CH$6:$CH$53,MATCH($AA4,$BD$6:$BD$53,0)))</f>
        <v>-</v>
      </c>
      <c r="O4" s="744" t="str">
        <f t="shared" ref="O4:O9" si="8">IF(D4="Pendiente","-",INDEX($CH$6:$CH$53,MATCH($AF4,$BD$6:$BD$53,0)))</f>
        <v>-</v>
      </c>
      <c r="P4" s="744"/>
      <c r="Q4" s="744" t="str">
        <f t="shared" ref="Q4:Q9" si="9">IF(D4="Pendiente","-",INDEX($CN$6:$CN$53,MATCH($AA4,$BD$6:$BD$53,0)))</f>
        <v>-</v>
      </c>
      <c r="R4" s="744" t="str">
        <f t="shared" ref="R4:R9" si="10">IF(D4="Pendiente","-",INDEX($CN$6:$CN$53,MATCH($AF4,$BD$6:$BD$53,0)))</f>
        <v>-</v>
      </c>
      <c r="S4" s="744"/>
      <c r="T4" s="744" t="str">
        <f t="shared" ref="T4:T9" si="11">IF(D4="Pendiente","-",INDEX($CS$6:$CS$53,MATCH($AA4,$BD$6:$BD$53,0)))</f>
        <v>-</v>
      </c>
      <c r="U4" s="744" t="str">
        <f t="shared" ref="U4:U9" si="12">IF(D4="Pendiente","-",INDEX($CS$6:$CS$53,MATCH($AF4,$BD$6:$BD$53,0)))</f>
        <v>-</v>
      </c>
      <c r="V4" s="172"/>
      <c r="W4" s="836" t="s">
        <v>0</v>
      </c>
      <c r="X4" s="189">
        <f ca="1">Horarios!C4</f>
        <v>46184.875</v>
      </c>
      <c r="Y4" s="190">
        <f ca="1">Horarios!C4</f>
        <v>46184.875</v>
      </c>
      <c r="Z4" s="191" t="str">
        <f>Idiomas!D63</f>
        <v>J1</v>
      </c>
      <c r="AA4" s="192" t="str">
        <f ca="1">+A5</f>
        <v>México</v>
      </c>
      <c r="AB4" s="480" t="e" cm="1" vm="1">
        <f t="array" aca="1" ref="AB4" ca="1">Ver_flag_local</f>
        <v>#VALUE!</v>
      </c>
      <c r="AC4" s="193"/>
      <c r="AD4" s="194"/>
      <c r="AE4" s="483" t="e" cm="1" vm="2">
        <f t="array" aca="1" ref="AE4" ca="1">Ver_flag_visit</f>
        <v>#VALUE!</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Pendiente</v>
      </c>
      <c r="E5" s="744" t="str">
        <f t="shared" si="1"/>
        <v>-</v>
      </c>
      <c r="F5" s="744" t="str">
        <f t="shared" si="2"/>
        <v>-</v>
      </c>
      <c r="G5" s="744"/>
      <c r="H5" s="744" t="str">
        <f t="shared" si="3"/>
        <v>-</v>
      </c>
      <c r="I5" s="744" t="str">
        <f t="shared" si="4"/>
        <v>-</v>
      </c>
      <c r="J5" s="744"/>
      <c r="K5" s="744" t="str">
        <f t="shared" si="5"/>
        <v>-</v>
      </c>
      <c r="L5" s="744" t="str">
        <f t="shared" si="6"/>
        <v>-</v>
      </c>
      <c r="M5" s="744"/>
      <c r="N5" s="744" t="str">
        <f t="shared" si="7"/>
        <v>-</v>
      </c>
      <c r="O5" s="744" t="str">
        <f t="shared" si="8"/>
        <v>-</v>
      </c>
      <c r="P5" s="744"/>
      <c r="Q5" s="744" t="str">
        <f t="shared" si="9"/>
        <v>-</v>
      </c>
      <c r="R5" s="744" t="str">
        <f t="shared" si="10"/>
        <v>-</v>
      </c>
      <c r="S5" s="744"/>
      <c r="T5" s="744" t="str">
        <f t="shared" si="11"/>
        <v>-</v>
      </c>
      <c r="U5" s="744" t="str">
        <f t="shared" si="12"/>
        <v>-</v>
      </c>
      <c r="V5" s="172"/>
      <c r="W5" s="836"/>
      <c r="X5" s="189">
        <f ca="1">Horarios!C5</f>
        <v>46185.166666666664</v>
      </c>
      <c r="Y5" s="190">
        <f ca="1">Horarios!C5</f>
        <v>46185.166666666664</v>
      </c>
      <c r="Z5" s="191" t="str">
        <f>$Z$4</f>
        <v>J1</v>
      </c>
      <c r="AA5" s="192" t="str">
        <f ca="1">A7</f>
        <v>Corea del Sur</v>
      </c>
      <c r="AB5" s="480" t="e" cm="1" vm="3">
        <f t="array" aca="1" ref="AB5" ca="1">Ver_flag_local</f>
        <v>#VALUE!</v>
      </c>
      <c r="AC5" s="193"/>
      <c r="AD5" s="194"/>
      <c r="AE5" s="483" t="e" cm="1" vm="4">
        <f t="array" aca="1" ref="AE5" ca="1">Ver_flag_visit</f>
        <v>#VALUE!</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836"/>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0</v>
      </c>
      <c r="BF6" s="748">
        <f ca="1">+BG6+BH6+BI6</f>
        <v>0</v>
      </c>
      <c r="BG6" s="748">
        <f t="shared" ref="BG6:BG53" ca="1" si="17">+COUNTIFS(FGLocal,BD6,Ganador,"Local")+COUNTIFS(FGVisitante,BD6,Ganador,"Visitante")</f>
        <v>0</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0</v>
      </c>
      <c r="BK6" s="748">
        <f t="shared" ref="BK6:BK53" ca="1" si="21">+SUMIFS(FG_GolesLocal,FGVisitante,BD6,Ganador,"&lt;&gt;"&amp;"Pendiente",FG_GolesLocal,"&lt;&gt;"&amp;"",FG_GolesVisitante,"&lt;&gt;"&amp;"")+SUMIFS(FG_GolesVisitante,FGLocal,BD6,Ganador,"&lt;&gt;"&amp;"Pendiente",FG_GolesLocal,"&lt;&gt;"&amp;"",FG_GolesVisitante,"&lt;&gt;"&amp;"")</f>
        <v>0</v>
      </c>
      <c r="BL6" s="748">
        <f ca="1">+BJ6-BK6</f>
        <v>0</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0</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(4)</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(4)</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(4)</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(4)</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(4)</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(4)</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(4)</v>
      </c>
      <c r="CW6" s="757">
        <f ca="1">IF(CV6="-","-",BL6)</f>
        <v>0</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P.1 (4)</v>
      </c>
      <c r="CZ6" s="757">
        <f ca="1">IF(CY6="-","-",BJ6)</f>
        <v>0</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P.1 (4)</v>
      </c>
      <c r="DC6" s="756">
        <f ca="1">IF(DB6="-","-",COUNTIFS(T_Equipos[Rank],"&lt;"&amp;INDEX(T_Equipos[Rank],MATCH(BD6,T_Equipos[NombreEquipo],0)),$BC$6:$BC$53,INDEX(T_Equipos[Grupo],MATCH(BD6,T_Equipos[NombreEquipo],0)))+1)</f>
        <v>1</v>
      </c>
      <c r="DD6" s="756">
        <f ca="1">DA6+COUNTIFS($DB$6:$DB$53,DB6,$DC$6:DC$53,"&lt;"&amp;DC6,$BC$6:$BC$53,INDEX(T_Equipos[Grupo],MATCH(BD6,T_Equipos[NombreEquipo],0)))</f>
        <v>1</v>
      </c>
      <c r="DE6" s="756"/>
      <c r="DF6" s="756">
        <f ca="1">IF(OR(INDEX($AW$6:$AW$97,MATCH($BD6,$AV$6:$AV$97,0))="",DB6="-"),DD6,INDEX($AW$6:$AW$97,MATCH($BD6,$AV$6:$AV$97,0))+DD6/1000)</f>
        <v>1</v>
      </c>
      <c r="DG6" s="756">
        <f ca="1">IF(DB6="-","-",COUNTIFS(DF$6:DF$53,"&lt;"&amp;DF6,$BC$6:$BC$53,INDEX(T_Equipos[Grupo],MATCH(BD6,T_Equipos[NombreEquipo],0))))</f>
        <v>0</v>
      </c>
      <c r="DH6" s="756">
        <f ca="1">DA6+COUNTIFS(DB$6:DB$53,DB6,DG$6:DG$53,"&lt;"&amp;DG6,$BC$6:$BC$53,INDEX(T_Equipos[Grupo],MATCH(BD6,T_Equipos[NombreEquipo],0)))</f>
        <v>1</v>
      </c>
      <c r="DI6" s="744"/>
      <c r="DJ6" s="744">
        <f ca="1">INDEX($DA$6:$DA$53,MATCH($DQ6,$BD$6:$BD$53,0))</f>
        <v>1</v>
      </c>
      <c r="DK6" s="744">
        <f t="shared" ref="DK6:DK53" ca="1" si="24">+SUMIF($BC$6:$BC$53,BC6,$BF$6:$BF$53)</f>
        <v>0</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836"/>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2">
        <f t="array" aca="1" ref="AK7" ca="1">Ver_flag_visit</f>
        <v>#VALUE!</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0</v>
      </c>
      <c r="BG7" s="748">
        <f t="shared" ca="1" si="17"/>
        <v>0</v>
      </c>
      <c r="BH7" s="748">
        <f t="shared" ca="1" si="18"/>
        <v>0</v>
      </c>
      <c r="BI7" s="748">
        <f t="shared" ca="1" si="19"/>
        <v>0</v>
      </c>
      <c r="BJ7" s="748">
        <f t="shared" ca="1" si="20"/>
        <v>0</v>
      </c>
      <c r="BK7" s="748">
        <f t="shared" ca="1" si="21"/>
        <v>0</v>
      </c>
      <c r="BL7" s="748">
        <f t="shared" ref="BL7:BL53" ca="1" si="27">+BJ7-BK7</f>
        <v>0</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1</v>
      </c>
      <c r="BT7" s="757" t="str">
        <f ca="1">IF(COUNTIFS($BS$6:$BS$53,BS7,$BC$6:$BC$53,INDEX(T_Equipos[Grupo],MATCH(BD7,T_Equipos[NombreEquipo],0)))=1,"-","P."&amp;BS7&amp;" ("&amp;COUNTIFS($BS$6:$BS$53,BS7,$BC$6:$BC$53,INDEX(T_Equipos[Grupo],MATCH(BD7,T_Equipos[NombreEquipo],0)))&amp;")")</f>
        <v>P.1 (4)</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1</v>
      </c>
      <c r="BZ7" s="757" t="str">
        <f ca="1">IF(COUNTIFS($BY$6:$BY$53,BY7,$BC$6:$BC$53,INDEX(T_Equipos[Grupo],MATCH(BD7,T_Equipos[NombreEquipo],0)))=1,"-","P."&amp;BY7&amp;" ("&amp;COUNTIFS($BY$6:$BY$53,BY7,$BC$6:$BC$53,INDEX(T_Equipos[Grupo],MATCH(BD7,T_Equipos[NombreEquipo],0)))&amp;")")</f>
        <v>P.1 (4)</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1</v>
      </c>
      <c r="CE7" s="757" t="str">
        <f ca="1">IF(COUNTIFS($CD$6:$CD$53,CD7,$BC$6:$BC$53,INDEX(T_Equipos[Grupo],MATCH(BD7,T_Equipos[NombreEquipo],0)))=1,"-","P."&amp;CD7&amp;" ("&amp;COUNTIFS($CD$6:$CD$53,CD7,$BC$6:$BC$53,INDEX(T_Equipos[Grupo],MATCH(BD7,T_Equipos[NombreEquipo],0)))&amp;")")</f>
        <v>P.1 (4)</v>
      </c>
      <c r="CF7" s="758">
        <f ca="1">IF($CE7="-","-",SUMIFS(FG_GolesLocal,FGLocal,$BD7,Part1Empate3V,$CE7)+SUMIFS(FG_GolesVisitante,FGVisitante,$BD7,Part1Empate3L,$CE7))</f>
        <v>0</v>
      </c>
      <c r="CG7" s="758">
        <f ca="1">CD7+COUNTIFS($CE$6:$CE$53,CE7,$CF$6:CF$53,"&gt;"&amp;CF7,$BC$6:$BC$53,INDEX(T_Equipos[Grupo],MATCH(BD7,T_Equipos[NombreEquipo],0)))</f>
        <v>1</v>
      </c>
      <c r="CH7" s="757" t="str">
        <f ca="1">IF(COUNTIFS($CG$6:$CG$53,CG7,$BC$6:$BC$53,INDEX(T_Equipos[Grupo],MATCH(BD7,T_Equipos[NombreEquipo],0)))=1,"-","P."&amp;CG7&amp;" ("&amp;COUNTIFS($CG$6:$CG$53,CG7,$BC$6:$BC$53,INDEX(T_Equipos[Grupo],MATCH(BD7,T_Equipos[NombreEquipo],0)))&amp;")")</f>
        <v>P.1 (4)</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1</v>
      </c>
      <c r="CN7" s="757" t="str">
        <f ca="1">IF(COUNTIFS($CM$6:$CM$53,CM7,$BC$6:$BC$53,INDEX(T_Equipos[Grupo],MATCH(BD7,T_Equipos[NombreEquipo],0)))=1,"-","P."&amp;CM7&amp;" ("&amp;COUNTIFS($CM$6:$CM$53,CM7,$BC$6:$BC$53,INDEX(T_Equipos[Grupo],MATCH(BD7,T_Equipos[NombreEquipo],0)))&amp;")")</f>
        <v>P.1 (4)</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1</v>
      </c>
      <c r="CS7" s="757" t="str">
        <f ca="1">IF(COUNTIFS($CR$6:$CR$53,CR7,$BC$6:$BC$53,INDEX(T_Equipos[Grupo],MATCH(BD7,T_Equipos[NombreEquipo],0)))=1,"-","P."&amp;CR7&amp;" ("&amp;COUNTIFS($CR$6:$CR$53,CR7,$BC$6:$BC$53,INDEX(T_Equipos[Grupo],MATCH(BD7,T_Equipos[NombreEquipo],0)))&amp;")")</f>
        <v>P.1 (4)</v>
      </c>
      <c r="CT7" s="758">
        <f ca="1">IF($CS7="-","-",SUMIFS(FG_GolesLocal,FGLocal,$BD7,Part2Empate6V,$CS7)+SUMIFS(FG_GolesVisitante,FGVisitante,$BD7,Part2Empate6L,$CS7))</f>
        <v>0</v>
      </c>
      <c r="CU7" s="758">
        <f ca="1">CR7+COUNTIFS($CS$6:$CS$53,CS7,$CT$6:CT$53,"&gt;"&amp;CT7,$BC$6:$BC$53,INDEX(T_Equipos[Grupo],MATCH(BD7,T_Equipos[NombreEquipo],0)))</f>
        <v>1</v>
      </c>
      <c r="CV7" s="757" t="str">
        <f ca="1">IF(COUNTIFS($CU$6:$CU$53,CU7,$BC$6:$BC$53,INDEX(T_Equipos[Grupo],MATCH(BD7,T_Equipos[NombreEquipo],0)))=1,"-","P."&amp;CU7&amp;" ("&amp;COUNTIFS($CU$6:$CU$53,CU7,$BC$6:$BC$53,INDEX(T_Equipos[Grupo],MATCH(BD7,T_Equipos[NombreEquipo],0)))&amp;")")</f>
        <v>P.1 (4)</v>
      </c>
      <c r="CW7" s="757">
        <f t="shared" ref="CW7:CW53" ca="1" si="30">IF(CV7="-","-",BL7)</f>
        <v>0</v>
      </c>
      <c r="CX7" s="757">
        <f ca="1">CU7+COUNTIFS($CV$6:$CV$53,CV7,$CW$6:CW$53,"&gt;"&amp;CW7,$BC$6:$BC$53,INDEX(T_Equipos[Grupo],MATCH(BD7,T_Equipos[NombreEquipo],0)))</f>
        <v>1</v>
      </c>
      <c r="CY7" s="757" t="str">
        <f ca="1">IF(COUNTIFS($CX$6:$CX$53,CX7,$BC$6:$BC$53,INDEX(T_Equipos[Grupo],MATCH(BD7,T_Equipos[NombreEquipo],0)))=1,"-","P."&amp;CX7&amp;" ("&amp;COUNTIFS($CX$6:$CX$53,CX7,$BC$6:$BC$53,INDEX(T_Equipos[Grupo],MATCH(BD7,T_Equipos[NombreEquipo],0)))&amp;")")</f>
        <v>P.1 (4)</v>
      </c>
      <c r="CZ7" s="757">
        <f t="shared" ref="CZ7:CZ53" ca="1" si="31">IF(CY7="-","-",BJ7)</f>
        <v>0</v>
      </c>
      <c r="DA7" s="758">
        <f ca="1">CX7+COUNTIFS($CY$6:$CY$53,CY7,$CZ$6:CZ$53,"&gt;"&amp;CZ7,$BC$6:$BC$53,INDEX(T_Equipos[Grupo],MATCH(BD7,T_Equipos[NombreEquipo],0)))</f>
        <v>1</v>
      </c>
      <c r="DB7" s="757" t="str">
        <f ca="1">IF(COUNTIFS($DA$6:$DA$53,DA7,$BC$6:$BC$53,INDEX(T_Equipos[Grupo],MATCH(BD7,T_Equipos[NombreEquipo],0)))=1,"-","P."&amp;DA7&amp;" ("&amp;COUNTIFS($DA$6:$DA$53,DA7,$BC$6:$BC$53,INDEX(T_Equipos[Grupo],MATCH(BD7,T_Equipos[NombreEquipo],0)))&amp;")")</f>
        <v>P.1 (4)</v>
      </c>
      <c r="DC7" s="756">
        <f ca="1">IF(DB7="-","-",COUNTIFS(T_Equipos[Rank],"&lt;"&amp;INDEX(T_Equipos[Rank],MATCH(BD7,T_Equipos[NombreEquipo],0)),$BC$6:$BC$53,INDEX(T_Equipos[Grupo],MATCH(BD7,T_Equipos[NombreEquipo],0)))+1)</f>
        <v>2</v>
      </c>
      <c r="DD7" s="756">
        <f ca="1">DA7+COUNTIFS($DB$6:$DB$53,DB7,$DC$6:DC$53,"&lt;"&amp;DC7,$BC$6:$BC$53,INDEX(T_Equipos[Grupo],MATCH(BD7,T_Equipos[NombreEquipo],0)))</f>
        <v>2</v>
      </c>
      <c r="DE7" s="756"/>
      <c r="DF7" s="756">
        <f t="shared" ref="DF7:DF9" ca="1" si="32">IF(OR(INDEX($AW$6:$AW$97,MATCH($BD7,$AV$6:$AV$97,0))="",DB7="-"),DD7,INDEX($AW$6:$AW$97,MATCH($BD7,$AV$6:$AV$97,0))+DD7/1000)</f>
        <v>2</v>
      </c>
      <c r="DG7" s="756">
        <f ca="1">IF(DB7="-","-",COUNTIFS(DF$6:DF$53,"&lt;"&amp;DF7,$BC$6:$BC$53,INDEX(T_Equipos[Grupo],MATCH(BD7,T_Equipos[NombreEquipo],0))))</f>
        <v>1</v>
      </c>
      <c r="DH7" s="756">
        <f ca="1">DA7+COUNTIFS(DB$6:DB$53,DB7,DG$6:DG$53,"&lt;"&amp;DG7,$BC$6:$BC$53,INDEX(T_Equipos[Grupo],MATCH(BD7,T_Equipos[NombreEquipo],0)))</f>
        <v>2</v>
      </c>
      <c r="DI7" s="744"/>
      <c r="DJ7" s="744">
        <f ca="1">INDEX($DA$6:$DA$53,MATCH($DQ7,$BD$6:$BD$53,0))</f>
        <v>1</v>
      </c>
      <c r="DK7" s="744">
        <f t="shared" ca="1" si="24"/>
        <v>0</v>
      </c>
      <c r="DL7" s="744">
        <f t="shared" ref="DL7:DL53" ca="1" si="33">IF(OR(DK7=12,$AJ$99=144),COUNTIFS($DJ$6:$DJ$53,DJ7,$BC$6:$BC$53,BC7),1)</f>
        <v>1</v>
      </c>
      <c r="DM7" s="738" t="str">
        <f t="shared" ref="DM7:DM53" ca="1" si="34">DJ7&amp;"."&amp;DL7</f>
        <v>1.1</v>
      </c>
      <c r="DN7" s="744" cm="1">
        <f t="array" aca="1" ref="DN7" ca="1">OFFSET(Horarios!$P$3,DJ7-1,0,DL7,1)</f>
        <v>1</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3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3">
        <f t="array" aca="1" ref="AK8" ca="1">Ver_flag_visit</f>
        <v>#VALUE!</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0</v>
      </c>
      <c r="BF8" s="748">
        <f t="shared" ca="1" si="26"/>
        <v>0</v>
      </c>
      <c r="BG8" s="748">
        <f t="shared" ca="1" si="17"/>
        <v>0</v>
      </c>
      <c r="BH8" s="748">
        <f t="shared" ca="1" si="18"/>
        <v>0</v>
      </c>
      <c r="BI8" s="748">
        <f t="shared" ca="1" si="19"/>
        <v>0</v>
      </c>
      <c r="BJ8" s="748">
        <f t="shared" ca="1" si="20"/>
        <v>0</v>
      </c>
      <c r="BK8" s="748">
        <f t="shared" ca="1" si="21"/>
        <v>0</v>
      </c>
      <c r="BL8" s="748">
        <f t="shared" ca="1" si="27"/>
        <v>0</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0</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(4)</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(4)</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(4)</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(4)</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(4)</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(4)</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(4)</v>
      </c>
      <c r="CW8" s="757">
        <f t="shared" ca="1" si="30"/>
        <v>0</v>
      </c>
      <c r="CX8" s="757">
        <f ca="1">CU8+COUNTIFS($CV$6:$CV$53,CV8,$CW$6:CW$53,"&gt;"&amp;CW8,$BC$6:$BC$53,INDEX(T_Equipos[Grupo],MATCH(BD8,T_Equipos[NombreEquipo],0)))</f>
        <v>1</v>
      </c>
      <c r="CY8" s="757" t="str">
        <f ca="1">IF(COUNTIFS($CX$6:$CX$53,CX8,$BC$6:$BC$53,INDEX(T_Equipos[Grupo],MATCH(BD8,T_Equipos[NombreEquipo],0)))=1,"-","P."&amp;CX8&amp;" ("&amp;COUNTIFS($CX$6:$CX$53,CX8,$BC$6:$BC$53,INDEX(T_Equipos[Grupo],MATCH(BD8,T_Equipos[NombreEquipo],0)))&amp;")")</f>
        <v>P.1 (4)</v>
      </c>
      <c r="CZ8" s="757">
        <f t="shared" ca="1" si="31"/>
        <v>0</v>
      </c>
      <c r="DA8" s="758">
        <f ca="1">CX8+COUNTIFS($CY$6:$CY$53,CY8,$CZ$6:CZ$53,"&gt;"&amp;CZ8,$BC$6:$BC$53,INDEX(T_Equipos[Grupo],MATCH(BD8,T_Equipos[NombreEquipo],0)))</f>
        <v>1</v>
      </c>
      <c r="DB8" s="757" t="str">
        <f ca="1">IF(COUNTIFS($DA$6:$DA$53,DA8,$BC$6:$BC$53,INDEX(T_Equipos[Grupo],MATCH(BD8,T_Equipos[NombreEquipo],0)))=1,"-","P."&amp;DA8&amp;" ("&amp;COUNTIFS($DA$6:$DA$53,DA8,$BC$6:$BC$53,INDEX(T_Equipos[Grupo],MATCH(BD8,T_Equipos[NombreEquipo],0)))&amp;")")</f>
        <v>P.1 (4)</v>
      </c>
      <c r="DC8" s="756">
        <f ca="1">IF(DB8="-","-",COUNTIFS(T_Equipos[Rank],"&lt;"&amp;INDEX(T_Equipos[Rank],MATCH(BD8,T_Equipos[NombreEquipo],0)),$BC$6:$BC$53,INDEX(T_Equipos[Grupo],MATCH(BD8,T_Equipos[NombreEquipo],0)))+1)</f>
        <v>3</v>
      </c>
      <c r="DD8" s="756">
        <f ca="1">DA8+COUNTIFS($DB$6:$DB$53,DB8,$DC$6:DC$53,"&lt;"&amp;DC8,$BC$6:$BC$53,INDEX(T_Equipos[Grupo],MATCH(BD8,T_Equipos[NombreEquipo],0)))</f>
        <v>3</v>
      </c>
      <c r="DE8" s="756"/>
      <c r="DF8" s="756">
        <f t="shared" ca="1" si="32"/>
        <v>3</v>
      </c>
      <c r="DG8" s="756">
        <f ca="1">IF(DB8="-","-",COUNTIFS(DF$6:DF$53,"&lt;"&amp;DF8,$BC$6:$BC$53,INDEX(T_Equipos[Grupo],MATCH(BD8,T_Equipos[NombreEquipo],0))))</f>
        <v>2</v>
      </c>
      <c r="DH8" s="756">
        <f ca="1">DA8+COUNTIFS(DB$6:DB$53,DB8,DG$6:DG$53,"&lt;"&amp;DG8,$BC$6:$BC$53,INDEX(T_Equipos[Grupo],MATCH(BD8,T_Equipos[NombreEquipo],0)))</f>
        <v>3</v>
      </c>
      <c r="DI8" s="744"/>
      <c r="DJ8" s="744">
        <f ca="1">INDEX($DA$6:$DA$53,MATCH($DQ8,$BD$6:$BD$53,0))</f>
        <v>1</v>
      </c>
      <c r="DK8" s="744">
        <f t="shared" ca="1" si="24"/>
        <v>0</v>
      </c>
      <c r="DL8" s="744">
        <f t="shared" ca="1" si="33"/>
        <v>1</v>
      </c>
      <c r="DM8" s="738" t="str">
        <f t="shared" ca="1" si="34"/>
        <v>1.1</v>
      </c>
      <c r="DN8" s="744" cm="1">
        <f t="array" aca="1" ref="DN8" ca="1">OFFSET(Horarios!$P$3,DJ8-1,0,DL8,1)</f>
        <v>1</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3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4">
        <f t="array" aca="1" ref="AK9" ca="1">Ver_flag_visit</f>
        <v>#VALUE!</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0</v>
      </c>
      <c r="BG9" s="748">
        <f t="shared" ca="1" si="17"/>
        <v>0</v>
      </c>
      <c r="BH9" s="748">
        <f t="shared" ca="1" si="18"/>
        <v>0</v>
      </c>
      <c r="BI9" s="748">
        <f t="shared" ca="1" si="19"/>
        <v>0</v>
      </c>
      <c r="BJ9" s="748">
        <f t="shared" ca="1" si="20"/>
        <v>0</v>
      </c>
      <c r="BK9" s="748">
        <f t="shared" ca="1" si="21"/>
        <v>0</v>
      </c>
      <c r="BL9" s="748">
        <f t="shared" ca="1" si="27"/>
        <v>0</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1</v>
      </c>
      <c r="BT9" s="757" t="str">
        <f ca="1">IF(COUNTIFS($BS$6:$BS$53,BS9,$BC$6:$BC$53,INDEX(T_Equipos[Grupo],MATCH(BD9,T_Equipos[NombreEquipo],0)))=1,"-","P."&amp;BS9&amp;" ("&amp;COUNTIFS($BS$6:$BS$53,BS9,$BC$6:$BC$53,INDEX(T_Equipos[Grupo],MATCH(BD9,T_Equipos[NombreEquipo],0)))&amp;")")</f>
        <v>P.1 (4)</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1</v>
      </c>
      <c r="BZ9" s="757" t="str">
        <f ca="1">IF(COUNTIFS($BY$6:$BY$53,BY9,$BC$6:$BC$53,INDEX(T_Equipos[Grupo],MATCH(BD9,T_Equipos[NombreEquipo],0)))=1,"-","P."&amp;BY9&amp;" ("&amp;COUNTIFS($BY$6:$BY$53,BY9,$BC$6:$BC$53,INDEX(T_Equipos[Grupo],MATCH(BD9,T_Equipos[NombreEquipo],0)))&amp;")")</f>
        <v>P.1 (4)</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1</v>
      </c>
      <c r="CE9" s="757" t="str">
        <f ca="1">IF(COUNTIFS($CD$6:$CD$53,CD9,$BC$6:$BC$53,INDEX(T_Equipos[Grupo],MATCH(BD9,T_Equipos[NombreEquipo],0)))=1,"-","P."&amp;CD9&amp;" ("&amp;COUNTIFS($CD$6:$CD$53,CD9,$BC$6:$BC$53,INDEX(T_Equipos[Grupo],MATCH(BD9,T_Equipos[NombreEquipo],0)))&amp;")")</f>
        <v>P.1 (4)</v>
      </c>
      <c r="CF9" s="758">
        <f ca="1">IF($CE9="-","-",SUMIFS(FG_GolesLocal,FGLocal,$BD9,Part1Empate3V,$CE9)+SUMIFS(FG_GolesVisitante,FGVisitante,$BD9,Part1Empate3L,$CE9))</f>
        <v>0</v>
      </c>
      <c r="CG9" s="758">
        <f ca="1">CD9+COUNTIFS($CE$6:$CE$53,CE9,$CF$6:CF$53,"&gt;"&amp;CF9,$BC$6:$BC$53,INDEX(T_Equipos[Grupo],MATCH(BD9,T_Equipos[NombreEquipo],0)))</f>
        <v>1</v>
      </c>
      <c r="CH9" s="757" t="str">
        <f ca="1">IF(COUNTIFS($CG$6:$CG$53,CG9,$BC$6:$BC$53,INDEX(T_Equipos[Grupo],MATCH(BD9,T_Equipos[NombreEquipo],0)))=1,"-","P."&amp;CG9&amp;" ("&amp;COUNTIFS($CG$6:$CG$53,CG9,$BC$6:$BC$53,INDEX(T_Equipos[Grupo],MATCH(BD9,T_Equipos[NombreEquipo],0)))&amp;")")</f>
        <v>P.1 (4)</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1</v>
      </c>
      <c r="CN9" s="757" t="str">
        <f ca="1">IF(COUNTIFS($CM$6:$CM$53,CM9,$BC$6:$BC$53,INDEX(T_Equipos[Grupo],MATCH(BD9,T_Equipos[NombreEquipo],0)))=1,"-","P."&amp;CM9&amp;" ("&amp;COUNTIFS($CM$6:$CM$53,CM9,$BC$6:$BC$53,INDEX(T_Equipos[Grupo],MATCH(BD9,T_Equipos[NombreEquipo],0)))&amp;")")</f>
        <v>P.1 (4)</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1</v>
      </c>
      <c r="CS9" s="757" t="str">
        <f ca="1">IF(COUNTIFS($CR$6:$CR$53,CR9,$BC$6:$BC$53,INDEX(T_Equipos[Grupo],MATCH(BD9,T_Equipos[NombreEquipo],0)))=1,"-","P."&amp;CR9&amp;" ("&amp;COUNTIFS($CR$6:$CR$53,CR9,$BC$6:$BC$53,INDEX(T_Equipos[Grupo],MATCH(BD9,T_Equipos[NombreEquipo],0)))&amp;")")</f>
        <v>P.1 (4)</v>
      </c>
      <c r="CT9" s="758">
        <f ca="1">IF($CS9="-","-",SUMIFS(FG_GolesLocal,FGLocal,$BD9,Part2Empate6V,$CS9)+SUMIFS(FG_GolesVisitante,FGVisitante,$BD9,Part2Empate6L,$CS9))</f>
        <v>0</v>
      </c>
      <c r="CU9" s="758">
        <f ca="1">CR9+COUNTIFS($CS$6:$CS$53,CS9,$CT$6:CT$53,"&gt;"&amp;CT9,$BC$6:$BC$53,INDEX(T_Equipos[Grupo],MATCH(BD9,T_Equipos[NombreEquipo],0)))</f>
        <v>1</v>
      </c>
      <c r="CV9" s="757" t="str">
        <f ca="1">IF(COUNTIFS($CU$6:$CU$53,CU9,$BC$6:$BC$53,INDEX(T_Equipos[Grupo],MATCH(BD9,T_Equipos[NombreEquipo],0)))=1,"-","P."&amp;CU9&amp;" ("&amp;COUNTIFS($CU$6:$CU$53,CU9,$BC$6:$BC$53,INDEX(T_Equipos[Grupo],MATCH(BD9,T_Equipos[NombreEquipo],0)))&amp;")")</f>
        <v>P.1 (4)</v>
      </c>
      <c r="CW9" s="757">
        <f t="shared" ca="1" si="30"/>
        <v>0</v>
      </c>
      <c r="CX9" s="757">
        <f ca="1">CU9+COUNTIFS($CV$6:$CV$53,CV9,$CW$6:CW$53,"&gt;"&amp;CW9,$BC$6:$BC$53,INDEX(T_Equipos[Grupo],MATCH(BD9,T_Equipos[NombreEquipo],0)))</f>
        <v>1</v>
      </c>
      <c r="CY9" s="757" t="str">
        <f ca="1">IF(COUNTIFS($CX$6:$CX$53,CX9,$BC$6:$BC$53,INDEX(T_Equipos[Grupo],MATCH(BD9,T_Equipos[NombreEquipo],0)))=1,"-","P."&amp;CX9&amp;" ("&amp;COUNTIFS($CX$6:$CX$53,CX9,$BC$6:$BC$53,INDEX(T_Equipos[Grupo],MATCH(BD9,T_Equipos[NombreEquipo],0)))&amp;")")</f>
        <v>P.1 (4)</v>
      </c>
      <c r="CZ9" s="757">
        <f t="shared" ca="1" si="31"/>
        <v>0</v>
      </c>
      <c r="DA9" s="758">
        <f ca="1">CX9+COUNTIFS($CY$6:$CY$53,CY9,$CZ$6:CZ$53,"&gt;"&amp;CZ9,$BC$6:$BC$53,INDEX(T_Equipos[Grupo],MATCH(BD9,T_Equipos[NombreEquipo],0)))</f>
        <v>1</v>
      </c>
      <c r="DB9" s="757" t="str">
        <f ca="1">IF(COUNTIFS($DA$6:$DA$53,DA9,$BC$6:$BC$53,INDEX(T_Equipos[Grupo],MATCH(BD9,T_Equipos[NombreEquipo],0)))=1,"-","P."&amp;DA9&amp;" ("&amp;COUNTIFS($DA$6:$DA$53,DA9,$BC$6:$BC$53,INDEX(T_Equipos[Grupo],MATCH(BD9,T_Equipos[NombreEquipo],0)))&amp;")")</f>
        <v>P.1 (4)</v>
      </c>
      <c r="DC9" s="756">
        <f ca="1">IF(DB9="-","-",COUNTIFS(T_Equipos[Rank],"&lt;"&amp;INDEX(T_Equipos[Rank],MATCH(BD9,T_Equipos[NombreEquipo],0)),$BC$6:$BC$53,INDEX(T_Equipos[Grupo],MATCH(BD9,T_Equipos[NombreEquipo],0)))+1)</f>
        <v>4</v>
      </c>
      <c r="DD9" s="756">
        <f ca="1">DA9+COUNTIFS($DB$6:$DB$53,DB9,$DC$6:DC$53,"&lt;"&amp;DC9,$BC$6:$BC$53,INDEX(T_Equipos[Grupo],MATCH(BD9,T_Equipos[NombreEquipo],0)))</f>
        <v>4</v>
      </c>
      <c r="DE9" s="756"/>
      <c r="DF9" s="756">
        <f t="shared" ca="1" si="32"/>
        <v>4</v>
      </c>
      <c r="DG9" s="756">
        <f ca="1">IF(DB9="-","-",COUNTIFS(DF$6:DF$53,"&lt;"&amp;DF9,$BC$6:$BC$53,INDEX(T_Equipos[Grupo],MATCH(BD9,T_Equipos[NombreEquipo],0))))</f>
        <v>3</v>
      </c>
      <c r="DH9" s="756">
        <f ca="1">DA9+COUNTIFS(DB$6:DB$53,DB9,DG$6:DG$53,"&lt;"&amp;DG9,$BC$6:$BC$53,INDEX(T_Equipos[Grupo],MATCH(BD9,T_Equipos[NombreEquipo],0)))</f>
        <v>4</v>
      </c>
      <c r="DI9" s="744"/>
      <c r="DJ9" s="744">
        <f ca="1">INDEX($DA$6:$DA$53,MATCH($DQ9,$BD$6:$BD$53,0))</f>
        <v>1</v>
      </c>
      <c r="DK9" s="744">
        <f t="shared" ca="1" si="24"/>
        <v>0</v>
      </c>
      <c r="DL9" s="744">
        <f t="shared" ca="1" si="33"/>
        <v>1</v>
      </c>
      <c r="DM9" s="738" t="str">
        <f t="shared" ca="1" si="34"/>
        <v>1.1</v>
      </c>
      <c r="DN9" s="744" cm="1">
        <f t="array" aca="1" ref="DN9" ca="1">OFFSET(Horarios!$P$3,DJ9-1,0,DL9,1)</f>
        <v>1</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0</v>
      </c>
      <c r="BF10" s="748">
        <f t="shared" ca="1" si="26"/>
        <v>0</v>
      </c>
      <c r="BG10" s="748">
        <f t="shared" ca="1" si="17"/>
        <v>0</v>
      </c>
      <c r="BH10" s="748">
        <f t="shared" ca="1" si="18"/>
        <v>0</v>
      </c>
      <c r="BI10" s="748">
        <f t="shared" ca="1" si="19"/>
        <v>0</v>
      </c>
      <c r="BJ10" s="748">
        <f t="shared" ca="1" si="20"/>
        <v>0</v>
      </c>
      <c r="BK10" s="748">
        <f t="shared" ca="1" si="21"/>
        <v>0</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0</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0</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0</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0</v>
      </c>
      <c r="BF11" s="748">
        <f t="shared" ca="1" si="26"/>
        <v>0</v>
      </c>
      <c r="BG11" s="748">
        <f t="shared" ca="1" si="17"/>
        <v>0</v>
      </c>
      <c r="BH11" s="748">
        <f t="shared" ca="1" si="18"/>
        <v>0</v>
      </c>
      <c r="BI11" s="748">
        <f t="shared" ca="1" si="19"/>
        <v>0</v>
      </c>
      <c r="BJ11" s="748">
        <f t="shared" ca="1" si="20"/>
        <v>0</v>
      </c>
      <c r="BK11" s="748">
        <f t="shared" ca="1" si="21"/>
        <v>0</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0</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0</v>
      </c>
      <c r="BW11" s="758">
        <f t="shared" ca="1" si="38"/>
        <v>0</v>
      </c>
      <c r="BX11" s="758">
        <f t="shared" ca="1" si="39"/>
        <v>0</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0</v>
      </c>
      <c r="CB11" s="758">
        <f t="shared" ca="1" si="41"/>
        <v>0</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0</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0</v>
      </c>
      <c r="CK11" s="758">
        <f t="shared" ca="1" si="46"/>
        <v>0</v>
      </c>
      <c r="CL11" s="758">
        <f t="shared" ca="1" si="47"/>
        <v>0</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0</v>
      </c>
      <c r="CP11" s="758">
        <f t="shared" ca="1" si="49"/>
        <v>0</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0</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0</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0</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Pendiente</v>
      </c>
      <c r="E12" s="744" t="str">
        <f t="shared" ref="E12:E17" si="55">IF(D12="Pendiente","-",INDEX($BT$6:$BT$53,MATCH($AA12,$BD$6:$BD$53,0)))</f>
        <v>-</v>
      </c>
      <c r="F12" s="744" t="str">
        <f t="shared" ref="F12:F17" si="56">IF(D12="Pendiente","-",INDEX($BT$6:$BT$53,MATCH($AF12,$BD$6:$BD$53,0)))</f>
        <v>-</v>
      </c>
      <c r="G12" s="744"/>
      <c r="H12" s="744" t="str">
        <f t="shared" ref="H12:H17" si="57">IF(D12="Pendiente","-",INDEX($BZ$6:$BZ$53,MATCH($AA12,$BD$6:$BD$53,0)))</f>
        <v>-</v>
      </c>
      <c r="I12" s="744" t="str">
        <f t="shared" ref="I12:I17" si="58">IF(D12="Pendiente","-",INDEX($BZ$6:$BZ$53,MATCH($AF12,$BD$6:$BD$53,0)))</f>
        <v>-</v>
      </c>
      <c r="J12" s="744"/>
      <c r="K12" s="744" t="str">
        <f t="shared" ref="K12:K17" si="59">IF(D12="Pendiente","-",INDEX($CE$6:$CE$53,MATCH($AA12,$BD$6:$BD$53,0)))</f>
        <v>-</v>
      </c>
      <c r="L12" s="744" t="str">
        <f t="shared" ref="L12:L17" si="60">IF(D12="Pendiente","-",INDEX($CE$6:$CE$53,MATCH($AF12,$BD$6:$BD$53,0)))</f>
        <v>-</v>
      </c>
      <c r="M12" s="744"/>
      <c r="N12" s="744" t="str">
        <f t="shared" ref="N12:N17" si="61">IF(D12="Pendiente","-",INDEX($CH$6:$CH$53,MATCH($AA12,$BD$6:$BD$53,0)))</f>
        <v>-</v>
      </c>
      <c r="O12" s="744" t="str">
        <f t="shared" ref="O12:O17" si="62">IF(D12="Pendiente","-",INDEX($CH$6:$CH$53,MATCH($AF12,$BD$6:$BD$53,0)))</f>
        <v>-</v>
      </c>
      <c r="P12" s="744"/>
      <c r="Q12" s="744" t="str">
        <f t="shared" ref="Q12:Q17" si="63">IF(D12="Pendiente","-",INDEX($CN$6:$CN$53,MATCH($AA12,$BD$6:$BD$53,0)))</f>
        <v>-</v>
      </c>
      <c r="R12" s="744" t="str">
        <f t="shared" ref="R12:R17" si="64">IF(D12="Pendiente","-",INDEX($CN$6:$CN$53,MATCH($AF12,$BD$6:$BD$53,0)))</f>
        <v>-</v>
      </c>
      <c r="S12" s="744"/>
      <c r="T12" s="744" t="str">
        <f t="shared" ref="T12:T17" si="65">IF(D12="Pendiente","-",INDEX($CS$6:$CS$53,MATCH($AA12,$BD$6:$BD$53,0)))</f>
        <v>-</v>
      </c>
      <c r="U12" s="744" t="str">
        <f t="shared" ref="U12:U17" si="66">IF(D12="Pendiente","-",INDEX($CS$6:$CS$53,MATCH($AF12,$BD$6:$BD$53,0)))</f>
        <v>-</v>
      </c>
      <c r="V12" s="172"/>
      <c r="W12" s="838" t="s">
        <v>1</v>
      </c>
      <c r="X12" s="189">
        <f ca="1">Horarios!C12</f>
        <v>46185.875</v>
      </c>
      <c r="Y12" s="190">
        <f ca="1">Horarios!C12</f>
        <v>46185.875</v>
      </c>
      <c r="Z12" s="191" t="str">
        <f>$Z$4</f>
        <v>J1</v>
      </c>
      <c r="AA12" s="192" t="str">
        <f ca="1">A13</f>
        <v>Canadá</v>
      </c>
      <c r="AB12" s="478" t="e" cm="1" vm="5">
        <f t="array" aca="1" ref="AB12" ca="1">Ver_flag_local</f>
        <v>#VALUE!</v>
      </c>
      <c r="AC12" s="193"/>
      <c r="AD12" s="194"/>
      <c r="AE12" s="483" t="e" cm="1" vm="6">
        <f t="array" aca="1" ref="AE12" ca="1">Ver_flag_visit</f>
        <v>#VALUE!</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0</v>
      </c>
      <c r="BF12" s="748">
        <f t="shared" ca="1" si="26"/>
        <v>0</v>
      </c>
      <c r="BG12" s="748">
        <f t="shared" ca="1" si="17"/>
        <v>0</v>
      </c>
      <c r="BH12" s="748">
        <f t="shared" ca="1" si="18"/>
        <v>0</v>
      </c>
      <c r="BI12" s="748">
        <f t="shared" ca="1" si="19"/>
        <v>0</v>
      </c>
      <c r="BJ12" s="748">
        <f t="shared" ca="1" si="20"/>
        <v>0</v>
      </c>
      <c r="BK12" s="748">
        <f t="shared" ca="1" si="21"/>
        <v>0</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0</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0</v>
      </c>
      <c r="BW12" s="758">
        <f t="shared" ca="1" si="38"/>
        <v>0</v>
      </c>
      <c r="BX12" s="758">
        <f t="shared" ca="1" si="39"/>
        <v>0</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0</v>
      </c>
      <c r="CB12" s="758">
        <f t="shared" ca="1" si="41"/>
        <v>0</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0</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0</v>
      </c>
      <c r="CK12" s="758">
        <f t="shared" ca="1" si="46"/>
        <v>0</v>
      </c>
      <c r="CL12" s="758">
        <f t="shared" ca="1" si="47"/>
        <v>0</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0</v>
      </c>
      <c r="CP12" s="758">
        <f t="shared" ca="1" si="49"/>
        <v>0</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0</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0</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0</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Pendiente</v>
      </c>
      <c r="E13" s="744" t="str">
        <f t="shared" si="55"/>
        <v>-</v>
      </c>
      <c r="F13" s="744" t="str">
        <f t="shared" si="56"/>
        <v>-</v>
      </c>
      <c r="G13" s="744"/>
      <c r="H13" s="744" t="str">
        <f t="shared" si="57"/>
        <v>-</v>
      </c>
      <c r="I13" s="744" t="str">
        <f t="shared" si="58"/>
        <v>-</v>
      </c>
      <c r="J13" s="744"/>
      <c r="K13" s="744" t="str">
        <f t="shared" si="59"/>
        <v>-</v>
      </c>
      <c r="L13" s="744" t="str">
        <f t="shared" si="60"/>
        <v>-</v>
      </c>
      <c r="M13" s="744"/>
      <c r="N13" s="744" t="str">
        <f t="shared" si="61"/>
        <v>-</v>
      </c>
      <c r="O13" s="744" t="str">
        <f t="shared" si="62"/>
        <v>-</v>
      </c>
      <c r="P13" s="744"/>
      <c r="Q13" s="744" t="str">
        <f t="shared" si="63"/>
        <v>-</v>
      </c>
      <c r="R13" s="744" t="str">
        <f t="shared" si="64"/>
        <v>-</v>
      </c>
      <c r="S13" s="744"/>
      <c r="T13" s="744" t="str">
        <f t="shared" si="65"/>
        <v>-</v>
      </c>
      <c r="U13" s="744" t="str">
        <f t="shared" si="66"/>
        <v>-</v>
      </c>
      <c r="V13" s="172"/>
      <c r="W13" s="838"/>
      <c r="X13" s="189">
        <f ca="1">Horarios!C13</f>
        <v>46186.875</v>
      </c>
      <c r="Y13" s="190">
        <f ca="1">Horarios!C13</f>
        <v>46186.875</v>
      </c>
      <c r="Z13" s="191" t="str">
        <f>$Z$4</f>
        <v>J1</v>
      </c>
      <c r="AA13" s="192" t="str">
        <f ca="1">A15</f>
        <v>Catar</v>
      </c>
      <c r="AB13" s="478" t="e" cm="1" vm="7">
        <f t="array" aca="1" ref="AB13" ca="1">Ver_flag_local</f>
        <v>#VALUE!</v>
      </c>
      <c r="AC13" s="193"/>
      <c r="AD13" s="194"/>
      <c r="AE13" s="483" t="e" cm="1" vm="8">
        <f t="array" aca="1" ref="AE13" ca="1">Ver_flag_visit</f>
        <v>#VALUE!</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0</v>
      </c>
      <c r="BF13" s="748">
        <f t="shared" ca="1" si="26"/>
        <v>0</v>
      </c>
      <c r="BG13" s="748">
        <f t="shared" ca="1" si="17"/>
        <v>0</v>
      </c>
      <c r="BH13" s="748">
        <f t="shared" ca="1" si="18"/>
        <v>0</v>
      </c>
      <c r="BI13" s="748">
        <f t="shared" ca="1" si="19"/>
        <v>0</v>
      </c>
      <c r="BJ13" s="748">
        <f t="shared" ca="1" si="20"/>
        <v>0</v>
      </c>
      <c r="BK13" s="748">
        <f t="shared" ca="1" si="21"/>
        <v>0</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0</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0</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0</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38"/>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0</v>
      </c>
      <c r="BF14" s="748">
        <f t="shared" ca="1" si="26"/>
        <v>0</v>
      </c>
      <c r="BG14" s="748">
        <f t="shared" ca="1" si="17"/>
        <v>0</v>
      </c>
      <c r="BH14" s="748">
        <f t="shared" ca="1" si="18"/>
        <v>0</v>
      </c>
      <c r="BI14" s="748">
        <f t="shared" ca="1" si="19"/>
        <v>0</v>
      </c>
      <c r="BJ14" s="748">
        <f t="shared" ca="1" si="20"/>
        <v>0</v>
      </c>
      <c r="BK14" s="748">
        <f t="shared" ca="1" si="21"/>
        <v>0</v>
      </c>
      <c r="BL14" s="748">
        <f t="shared" ca="1" si="27"/>
        <v>0</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0</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(4)</v>
      </c>
      <c r="BU14" s="758">
        <f t="shared" ca="1" si="36"/>
        <v>0</v>
      </c>
      <c r="BV14" s="758">
        <f t="shared" ca="1" si="37"/>
        <v>0</v>
      </c>
      <c r="BW14" s="758">
        <f t="shared" ca="1" si="38"/>
        <v>0</v>
      </c>
      <c r="BX14" s="758">
        <f t="shared" ca="1" si="39"/>
        <v>0</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(4)</v>
      </c>
      <c r="CA14" s="758">
        <f t="shared" ca="1" si="40"/>
        <v>0</v>
      </c>
      <c r="CB14" s="758">
        <f t="shared" ca="1" si="41"/>
        <v>0</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(4)</v>
      </c>
      <c r="CF14" s="758">
        <f t="shared" ca="1" si="43"/>
        <v>0</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(4)</v>
      </c>
      <c r="CI14" s="758">
        <f t="shared" ca="1" si="44"/>
        <v>0</v>
      </c>
      <c r="CJ14" s="758">
        <f t="shared" ca="1" si="45"/>
        <v>0</v>
      </c>
      <c r="CK14" s="758">
        <f t="shared" ca="1" si="46"/>
        <v>0</v>
      </c>
      <c r="CL14" s="758">
        <f t="shared" ca="1" si="47"/>
        <v>0</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(4)</v>
      </c>
      <c r="CO14" s="758">
        <f t="shared" ca="1" si="48"/>
        <v>0</v>
      </c>
      <c r="CP14" s="758">
        <f t="shared" ca="1" si="49"/>
        <v>0</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(4)</v>
      </c>
      <c r="CT14" s="758">
        <f t="shared" ca="1" si="51"/>
        <v>0</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(4)</v>
      </c>
      <c r="CW14" s="757">
        <f t="shared" ca="1" si="30"/>
        <v>0</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P.1 (4)</v>
      </c>
      <c r="CZ14" s="757">
        <f t="shared" ca="1" si="31"/>
        <v>0</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P.1 (4)</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1</v>
      </c>
      <c r="DE14" s="756"/>
      <c r="DF14" s="756">
        <f t="shared" ca="1" si="52"/>
        <v>1</v>
      </c>
      <c r="DG14" s="756">
        <f ca="1">IF(DB14="-","-",COUNTIFS(DF$6:DF$53,"&lt;"&amp;DF14,$BC$6:$BC$53,INDEX(T_Equipos[Grupo],MATCH(BD14,T_Equipos[NombreEquipo],0))))</f>
        <v>0</v>
      </c>
      <c r="DH14" s="756">
        <f ca="1">DA14+COUNTIFS(DB$6:DB$53,DB14,DG$6:DG$53,"&lt;"&amp;DG14,$BC$6:$BC$53,INDEX(T_Equipos[Grupo],MATCH(BD14,T_Equipos[NombreEquipo],0)))</f>
        <v>1</v>
      </c>
      <c r="DI14" s="744"/>
      <c r="DJ14" s="744">
        <f t="shared" ca="1" si="53"/>
        <v>1</v>
      </c>
      <c r="DK14" s="744">
        <f t="shared" ca="1" si="24"/>
        <v>0</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38"/>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0</v>
      </c>
      <c r="BF15" s="748">
        <f t="shared" ca="1" si="26"/>
        <v>0</v>
      </c>
      <c r="BG15" s="748">
        <f t="shared" ca="1" si="17"/>
        <v>0</v>
      </c>
      <c r="BH15" s="748">
        <f t="shared" ca="1" si="18"/>
        <v>0</v>
      </c>
      <c r="BI15" s="748">
        <f t="shared" ca="1" si="19"/>
        <v>0</v>
      </c>
      <c r="BJ15" s="748">
        <f t="shared" ca="1" si="20"/>
        <v>0</v>
      </c>
      <c r="BK15" s="748">
        <f t="shared" ca="1" si="21"/>
        <v>0</v>
      </c>
      <c r="BL15" s="748">
        <f t="shared" ca="1" si="27"/>
        <v>0</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0</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(4)</v>
      </c>
      <c r="BU15" s="758">
        <f t="shared" ca="1" si="36"/>
        <v>0</v>
      </c>
      <c r="BV15" s="758">
        <f t="shared" ca="1" si="37"/>
        <v>0</v>
      </c>
      <c r="BW15" s="758">
        <f t="shared" ca="1" si="38"/>
        <v>0</v>
      </c>
      <c r="BX15" s="758">
        <f t="shared" ca="1" si="39"/>
        <v>0</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(4)</v>
      </c>
      <c r="CA15" s="758">
        <f t="shared" ca="1" si="40"/>
        <v>0</v>
      </c>
      <c r="CB15" s="758">
        <f t="shared" ca="1" si="41"/>
        <v>0</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(4)</v>
      </c>
      <c r="CF15" s="758">
        <f t="shared" ca="1" si="43"/>
        <v>0</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(4)</v>
      </c>
      <c r="CI15" s="758">
        <f t="shared" ca="1" si="44"/>
        <v>0</v>
      </c>
      <c r="CJ15" s="758">
        <f t="shared" ca="1" si="45"/>
        <v>0</v>
      </c>
      <c r="CK15" s="758">
        <f t="shared" ca="1" si="46"/>
        <v>0</v>
      </c>
      <c r="CL15" s="758">
        <f t="shared" ca="1" si="47"/>
        <v>0</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(4)</v>
      </c>
      <c r="CO15" s="758">
        <f t="shared" ca="1" si="48"/>
        <v>0</v>
      </c>
      <c r="CP15" s="758">
        <f t="shared" ca="1" si="49"/>
        <v>0</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(4)</v>
      </c>
      <c r="CT15" s="758">
        <f t="shared" ca="1" si="51"/>
        <v>0</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(4)</v>
      </c>
      <c r="CW15" s="757">
        <f t="shared" ca="1" si="30"/>
        <v>0</v>
      </c>
      <c r="CX15" s="757">
        <f ca="1">CU15+COUNTIFS($CV$6:$CV$53,CV15,$CW$6:CW$53,"&gt;"&amp;CW15,$BC$6:$BC$53,INDEX(T_Equipos[Grupo],MATCH(BD15,T_Equipos[NombreEquipo],0)))</f>
        <v>1</v>
      </c>
      <c r="CY15" s="757" t="str">
        <f ca="1">IF(COUNTIFS($CX$6:$CX$53,CX15,$BC$6:$BC$53,INDEX(T_Equipos[Grupo],MATCH(BD15,T_Equipos[NombreEquipo],0)))=1,"-","P."&amp;CX15&amp;" ("&amp;COUNTIFS($CX$6:$CX$53,CX15,$BC$6:$BC$53,INDEX(T_Equipos[Grupo],MATCH(BD15,T_Equipos[NombreEquipo],0)))&amp;")")</f>
        <v>P.1 (4)</v>
      </c>
      <c r="CZ15" s="757">
        <f t="shared" ca="1" si="31"/>
        <v>0</v>
      </c>
      <c r="DA15" s="758">
        <f ca="1">CX15+COUNTIFS($CY$6:$CY$53,CY15,$CZ$6:CZ$53,"&gt;"&amp;CZ15,$BC$6:$BC$53,INDEX(T_Equipos[Grupo],MATCH(BD15,T_Equipos[NombreEquipo],0)))</f>
        <v>1</v>
      </c>
      <c r="DB15" s="757" t="str">
        <f ca="1">IF(COUNTIFS($DA$6:$DA$53,DA15,$BC$6:$BC$53,INDEX(T_Equipos[Grupo],MATCH(BD15,T_Equipos[NombreEquipo],0)))=1,"-","P."&amp;DA15&amp;" ("&amp;COUNTIFS($DA$6:$DA$53,DA15,$BC$6:$BC$53,INDEX(T_Equipos[Grupo],MATCH(BD15,T_Equipos[NombreEquipo],0)))&amp;")")</f>
        <v>P.1 (4)</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2</v>
      </c>
      <c r="DE15" s="756"/>
      <c r="DF15" s="756">
        <f t="shared" ca="1" si="52"/>
        <v>2</v>
      </c>
      <c r="DG15" s="756">
        <f ca="1">IF(DB15="-","-",COUNTIFS(DF$6:DF$53,"&lt;"&amp;DF15,$BC$6:$BC$53,INDEX(T_Equipos[Grupo],MATCH(BD15,T_Equipos[NombreEquipo],0))))</f>
        <v>1</v>
      </c>
      <c r="DH15" s="756">
        <f ca="1">DA15+COUNTIFS(DB$6:DB$53,DB15,DG$6:DG$53,"&lt;"&amp;DG15,$BC$6:$BC$53,INDEX(T_Equipos[Grupo],MATCH(BD15,T_Equipos[NombreEquipo],0)))</f>
        <v>2</v>
      </c>
      <c r="DI15" s="744"/>
      <c r="DJ15" s="744">
        <f t="shared" ca="1" si="53"/>
        <v>1</v>
      </c>
      <c r="DK15" s="744">
        <f t="shared" ca="1" si="24"/>
        <v>0</v>
      </c>
      <c r="DL15" s="744">
        <f t="shared" ca="1" si="33"/>
        <v>1</v>
      </c>
      <c r="DM15" s="738" t="str">
        <f t="shared" ca="1" si="34"/>
        <v>1.1</v>
      </c>
      <c r="DN15" s="744" cm="1">
        <f t="array" aca="1" ref="DN15" ca="1">OFFSET(Horarios!$P$3,DJ15-1,0,DL15,1)</f>
        <v>1</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3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0</v>
      </c>
      <c r="BG16" s="748">
        <f t="shared" ca="1" si="17"/>
        <v>0</v>
      </c>
      <c r="BH16" s="748">
        <f t="shared" ca="1" si="18"/>
        <v>0</v>
      </c>
      <c r="BI16" s="748">
        <f t="shared" ca="1" si="19"/>
        <v>0</v>
      </c>
      <c r="BJ16" s="748">
        <f t="shared" ca="1" si="20"/>
        <v>0</v>
      </c>
      <c r="BK16" s="748">
        <f t="shared" ca="1" si="21"/>
        <v>0</v>
      </c>
      <c r="BL16" s="748">
        <f t="shared" ca="1" si="27"/>
        <v>0</v>
      </c>
      <c r="BM16" s="748" t="str">
        <f t="shared" ca="1" si="22"/>
        <v>3C</v>
      </c>
      <c r="BN16" s="748" t="str">
        <f t="shared" ca="1" si="23"/>
        <v>3C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1</v>
      </c>
      <c r="BT16" s="757" t="str">
        <f ca="1">IF(COUNTIFS($BS$6:$BS$53,BS16,$BC$6:$BC$53,INDEX(T_Equipos[Grupo],MATCH(BD16,T_Equipos[NombreEquipo],0)))=1,"-","P."&amp;BS16&amp;" ("&amp;COUNTIFS($BS$6:$BS$53,BS16,$BC$6:$BC$53,INDEX(T_Equipos[Grupo],MATCH(BD16,T_Equipos[NombreEquipo],0)))&amp;")")</f>
        <v>P.1 (4)</v>
      </c>
      <c r="BU16" s="758">
        <f t="shared" ca="1" si="36"/>
        <v>0</v>
      </c>
      <c r="BV16" s="758">
        <f t="shared" ca="1" si="37"/>
        <v>0</v>
      </c>
      <c r="BW16" s="758">
        <f t="shared" ca="1" si="38"/>
        <v>0</v>
      </c>
      <c r="BX16" s="758">
        <f t="shared" ca="1" si="39"/>
        <v>0</v>
      </c>
      <c r="BY16" s="758">
        <f ca="1">BS16+COUNTIFS($BT$6:$BT$53,BT16,$BX$6:BX$53,"&gt;"&amp;BX16,$BC$6:$BC$53,INDEX(T_Equipos[Grupo],MATCH(BD16,T_Equipos[NombreEquipo],0)))</f>
        <v>1</v>
      </c>
      <c r="BZ16" s="757" t="str">
        <f ca="1">IF(COUNTIFS($BY$6:$BY$53,BY16,$BC$6:$BC$53,INDEX(T_Equipos[Grupo],MATCH(BD16,T_Equipos[NombreEquipo],0)))=1,"-","P."&amp;BY16&amp;" ("&amp;COUNTIFS($BY$6:$BY$53,BY16,$BC$6:$BC$53,INDEX(T_Equipos[Grupo],MATCH(BD16,T_Equipos[NombreEquipo],0)))&amp;")")</f>
        <v>P.1 (4)</v>
      </c>
      <c r="CA16" s="758">
        <f t="shared" ca="1" si="40"/>
        <v>0</v>
      </c>
      <c r="CB16" s="758">
        <f t="shared" ca="1" si="41"/>
        <v>0</v>
      </c>
      <c r="CC16" s="758">
        <f t="shared" ca="1" si="42"/>
        <v>0</v>
      </c>
      <c r="CD16" s="758">
        <f ca="1">BY16+COUNTIFS($BZ$6:$BZ$53,BZ16,$CC$6:CC$53,"&gt;"&amp;CC16,$BC$6:$BC$53,INDEX(T_Equipos[Grupo],MATCH(BD16,T_Equipos[NombreEquipo],0)))</f>
        <v>1</v>
      </c>
      <c r="CE16" s="757" t="str">
        <f ca="1">IF(COUNTIFS($CD$6:$CD$53,CD16,$BC$6:$BC$53,INDEX(T_Equipos[Grupo],MATCH(BD16,T_Equipos[NombreEquipo],0)))=1,"-","P."&amp;CD16&amp;" ("&amp;COUNTIFS($CD$6:$CD$53,CD16,$BC$6:$BC$53,INDEX(T_Equipos[Grupo],MATCH(BD16,T_Equipos[NombreEquipo],0)))&amp;")")</f>
        <v>P.1 (4)</v>
      </c>
      <c r="CF16" s="758">
        <f t="shared" ca="1" si="43"/>
        <v>0</v>
      </c>
      <c r="CG16" s="758">
        <f ca="1">CD16+COUNTIFS($CE$6:$CE$53,CE16,$CF$6:CF$53,"&gt;"&amp;CF16,$BC$6:$BC$53,INDEX(T_Equipos[Grupo],MATCH(BD16,T_Equipos[NombreEquipo],0)))</f>
        <v>1</v>
      </c>
      <c r="CH16" s="757" t="str">
        <f ca="1">IF(COUNTIFS($CG$6:$CG$53,CG16,$BC$6:$BC$53,INDEX(T_Equipos[Grupo],MATCH(BD16,T_Equipos[NombreEquipo],0)))=1,"-","P."&amp;CG16&amp;" ("&amp;COUNTIFS($CG$6:$CG$53,CG16,$BC$6:$BC$53,INDEX(T_Equipos[Grupo],MATCH(BD16,T_Equipos[NombreEquipo],0)))&amp;")")</f>
        <v>P.1 (4)</v>
      </c>
      <c r="CI16" s="758">
        <f t="shared" ca="1" si="44"/>
        <v>0</v>
      </c>
      <c r="CJ16" s="758">
        <f t="shared" ca="1" si="45"/>
        <v>0</v>
      </c>
      <c r="CK16" s="758">
        <f t="shared" ca="1" si="46"/>
        <v>0</v>
      </c>
      <c r="CL16" s="758">
        <f t="shared" ca="1" si="47"/>
        <v>0</v>
      </c>
      <c r="CM16" s="758">
        <f ca="1">CG16+COUNTIFS($CH$6:$CH$53,CH16,$CL$6:CL$53,"&gt;"&amp;CL16,$BC$6:$BC$53,INDEX(T_Equipos[Grupo],MATCH(BD16,T_Equipos[NombreEquipo],0)))</f>
        <v>1</v>
      </c>
      <c r="CN16" s="757" t="str">
        <f ca="1">IF(COUNTIFS($CM$6:$CM$53,CM16,$BC$6:$BC$53,INDEX(T_Equipos[Grupo],MATCH(BD16,T_Equipos[NombreEquipo],0)))=1,"-","P."&amp;CM16&amp;" ("&amp;COUNTIFS($CM$6:$CM$53,CM16,$BC$6:$BC$53,INDEX(T_Equipos[Grupo],MATCH(BD16,T_Equipos[NombreEquipo],0)))&amp;")")</f>
        <v>P.1 (4)</v>
      </c>
      <c r="CO16" s="758">
        <f t="shared" ca="1" si="48"/>
        <v>0</v>
      </c>
      <c r="CP16" s="758">
        <f t="shared" ca="1" si="49"/>
        <v>0</v>
      </c>
      <c r="CQ16" s="758">
        <f t="shared" ca="1" si="50"/>
        <v>0</v>
      </c>
      <c r="CR16" s="758">
        <f ca="1">CM16+COUNTIFS($CN$6:$CN$53,CN16,$CQ$6:CQ$53,"&gt;"&amp;CQ16,$BC$6:$BC$53,INDEX(T_Equipos[Grupo],MATCH(BD16,T_Equipos[NombreEquipo],0)))</f>
        <v>1</v>
      </c>
      <c r="CS16" s="757" t="str">
        <f ca="1">IF(COUNTIFS($CR$6:$CR$53,CR16,$BC$6:$BC$53,INDEX(T_Equipos[Grupo],MATCH(BD16,T_Equipos[NombreEquipo],0)))=1,"-","P."&amp;CR16&amp;" ("&amp;COUNTIFS($CR$6:$CR$53,CR16,$BC$6:$BC$53,INDEX(T_Equipos[Grupo],MATCH(BD16,T_Equipos[NombreEquipo],0)))&amp;")")</f>
        <v>P.1 (4)</v>
      </c>
      <c r="CT16" s="758">
        <f t="shared" ca="1" si="51"/>
        <v>0</v>
      </c>
      <c r="CU16" s="758">
        <f ca="1">CR16+COUNTIFS($CS$6:$CS$53,CS16,$CT$6:CT$53,"&gt;"&amp;CT16,$BC$6:$BC$53,INDEX(T_Equipos[Grupo],MATCH(BD16,T_Equipos[NombreEquipo],0)))</f>
        <v>1</v>
      </c>
      <c r="CV16" s="757" t="str">
        <f ca="1">IF(COUNTIFS($CU$6:$CU$53,CU16,$BC$6:$BC$53,INDEX(T_Equipos[Grupo],MATCH(BD16,T_Equipos[NombreEquipo],0)))=1,"-","P."&amp;CU16&amp;" ("&amp;COUNTIFS($CU$6:$CU$53,CU16,$BC$6:$BC$53,INDEX(T_Equipos[Grupo],MATCH(BD16,T_Equipos[NombreEquipo],0)))&amp;")")</f>
        <v>P.1 (4)</v>
      </c>
      <c r="CW16" s="757">
        <f t="shared" ca="1" si="30"/>
        <v>0</v>
      </c>
      <c r="CX16" s="757">
        <f ca="1">CU16+COUNTIFS($CV$6:$CV$53,CV16,$CW$6:CW$53,"&gt;"&amp;CW16,$BC$6:$BC$53,INDEX(T_Equipos[Grupo],MATCH(BD16,T_Equipos[NombreEquipo],0)))</f>
        <v>1</v>
      </c>
      <c r="CY16" s="757" t="str">
        <f ca="1">IF(COUNTIFS($CX$6:$CX$53,CX16,$BC$6:$BC$53,INDEX(T_Equipos[Grupo],MATCH(BD16,T_Equipos[NombreEquipo],0)))=1,"-","P."&amp;CX16&amp;" ("&amp;COUNTIFS($CX$6:$CX$53,CX16,$BC$6:$BC$53,INDEX(T_Equipos[Grupo],MATCH(BD16,T_Equipos[NombreEquipo],0)))&amp;")")</f>
        <v>P.1 (4)</v>
      </c>
      <c r="CZ16" s="757">
        <f t="shared" ca="1" si="31"/>
        <v>0</v>
      </c>
      <c r="DA16" s="758">
        <f ca="1">CX16+COUNTIFS($CY$6:$CY$53,CY16,$CZ$6:CZ$53,"&gt;"&amp;CZ16,$BC$6:$BC$53,INDEX(T_Equipos[Grupo],MATCH(BD16,T_Equipos[NombreEquipo],0)))</f>
        <v>1</v>
      </c>
      <c r="DB16" s="757" t="str">
        <f ca="1">IF(COUNTIFS($DA$6:$DA$53,DA16,$BC$6:$BC$53,INDEX(T_Equipos[Grupo],MATCH(BD16,T_Equipos[NombreEquipo],0)))=1,"-","P."&amp;DA16&amp;" ("&amp;COUNTIFS($DA$6:$DA$53,DA16,$BC$6:$BC$53,INDEX(T_Equipos[Grupo],MATCH(BD16,T_Equipos[NombreEquipo],0)))&amp;")")</f>
        <v>P.1 (4)</v>
      </c>
      <c r="DC16" s="756">
        <f ca="1">IF(DB16="-","-",COUNTIFS(T_Equipos[Rank],"&lt;"&amp;INDEX(T_Equipos[Rank],MATCH(BD16,T_Equipos[NombreEquipo],0)),$BC$6:$BC$53,INDEX(T_Equipos[Grupo],MATCH(BD16,T_Equipos[NombreEquipo],0)))+1)</f>
        <v>3</v>
      </c>
      <c r="DD16" s="756">
        <f ca="1">DA16+COUNTIFS($DB$6:$DB$53,DB16,$DC$6:DC$53,"&lt;"&amp;DC16,$BC$6:$BC$53,INDEX(T_Equipos[Grupo],MATCH(BD16,T_Equipos[NombreEquipo],0)))</f>
        <v>3</v>
      </c>
      <c r="DE16" s="756"/>
      <c r="DF16" s="756">
        <f t="shared" ca="1" si="52"/>
        <v>3</v>
      </c>
      <c r="DG16" s="756">
        <f ca="1">IF(DB16="-","-",COUNTIFS(DF$6:DF$53,"&lt;"&amp;DF16,$BC$6:$BC$53,INDEX(T_Equipos[Grupo],MATCH(BD16,T_Equipos[NombreEquipo],0))))</f>
        <v>2</v>
      </c>
      <c r="DH16" s="756">
        <f ca="1">DA16+COUNTIFS(DB$6:DB$53,DB16,DG$6:DG$53,"&lt;"&amp;DG16,$BC$6:$BC$53,INDEX(T_Equipos[Grupo],MATCH(BD16,T_Equipos[NombreEquipo],0)))</f>
        <v>3</v>
      </c>
      <c r="DI16" s="744"/>
      <c r="DJ16" s="744">
        <f t="shared" ca="1" si="53"/>
        <v>1</v>
      </c>
      <c r="DK16" s="744">
        <f t="shared" ca="1" si="24"/>
        <v>0</v>
      </c>
      <c r="DL16" s="744">
        <f t="shared" ca="1" si="33"/>
        <v>1</v>
      </c>
      <c r="DM16" s="738" t="str">
        <f t="shared" ca="1" si="34"/>
        <v>1.1</v>
      </c>
      <c r="DN16" s="744" cm="1">
        <f t="array" aca="1" ref="DN16" ca="1">OFFSET(Horarios!$P$3,DJ16-1,0,DL16,1)</f>
        <v>1</v>
      </c>
      <c r="DO16" s="744"/>
      <c r="DP16" s="744" t="s">
        <v>91</v>
      </c>
      <c r="DQ16" s="744" t="str">
        <f t="shared" ca="1" si="35"/>
        <v>Haití</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3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0</v>
      </c>
      <c r="BF17" s="748">
        <f t="shared" ca="1" si="26"/>
        <v>0</v>
      </c>
      <c r="BG17" s="748">
        <f t="shared" ca="1" si="17"/>
        <v>0</v>
      </c>
      <c r="BH17" s="748">
        <f t="shared" ca="1" si="18"/>
        <v>0</v>
      </c>
      <c r="BI17" s="748">
        <f t="shared" ca="1" si="19"/>
        <v>0</v>
      </c>
      <c r="BJ17" s="748">
        <f t="shared" ca="1" si="20"/>
        <v>0</v>
      </c>
      <c r="BK17" s="748">
        <f t="shared" ca="1" si="21"/>
        <v>0</v>
      </c>
      <c r="BL17" s="748">
        <f t="shared" ca="1" si="27"/>
        <v>0</v>
      </c>
      <c r="BM17" s="748" t="str">
        <f t="shared" ca="1" si="22"/>
        <v>4C</v>
      </c>
      <c r="BN17" s="748" t="str">
        <f t="shared" ca="1" si="23"/>
        <v>4C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0</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P.1 (4)</v>
      </c>
      <c r="BU17" s="758">
        <f t="shared" ca="1" si="36"/>
        <v>0</v>
      </c>
      <c r="BV17" s="758">
        <f t="shared" ca="1" si="37"/>
        <v>0</v>
      </c>
      <c r="BW17" s="758">
        <f t="shared" ca="1" si="38"/>
        <v>0</v>
      </c>
      <c r="BX17" s="758">
        <f t="shared" ca="1" si="39"/>
        <v>0</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P.1 (4)</v>
      </c>
      <c r="CA17" s="758">
        <f t="shared" ca="1" si="40"/>
        <v>0</v>
      </c>
      <c r="CB17" s="758">
        <f t="shared" ca="1" si="41"/>
        <v>0</v>
      </c>
      <c r="CC17" s="758">
        <f t="shared" ca="1" si="42"/>
        <v>0</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P.1 (4)</v>
      </c>
      <c r="CF17" s="758">
        <f t="shared" ca="1" si="43"/>
        <v>0</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P.1 (4)</v>
      </c>
      <c r="CI17" s="758">
        <f t="shared" ca="1" si="44"/>
        <v>0</v>
      </c>
      <c r="CJ17" s="758">
        <f t="shared" ca="1" si="45"/>
        <v>0</v>
      </c>
      <c r="CK17" s="758">
        <f t="shared" ca="1" si="46"/>
        <v>0</v>
      </c>
      <c r="CL17" s="758">
        <f t="shared" ca="1" si="47"/>
        <v>0</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P.1 (4)</v>
      </c>
      <c r="CO17" s="758">
        <f t="shared" ca="1" si="48"/>
        <v>0</v>
      </c>
      <c r="CP17" s="758">
        <f t="shared" ca="1" si="49"/>
        <v>0</v>
      </c>
      <c r="CQ17" s="758">
        <f t="shared" ca="1" si="50"/>
        <v>0</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P.1 (4)</v>
      </c>
      <c r="CT17" s="758">
        <f t="shared" ca="1" si="51"/>
        <v>0</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P.1 (4)</v>
      </c>
      <c r="CW17" s="757">
        <f t="shared" ca="1" si="30"/>
        <v>0</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P.1 (4)</v>
      </c>
      <c r="CZ17" s="757">
        <f t="shared" ca="1" si="31"/>
        <v>0</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P.1 (4)</v>
      </c>
      <c r="DC17" s="756">
        <f ca="1">IF(DB17="-","-",COUNTIFS(T_Equipos[Rank],"&lt;"&amp;INDEX(T_Equipos[Rank],MATCH(BD17,T_Equipos[NombreEquipo],0)),$BC$6:$BC$53,INDEX(T_Equipos[Grupo],MATCH(BD17,T_Equipos[NombreEquipo],0)))+1)</f>
        <v>4</v>
      </c>
      <c r="DD17" s="756">
        <f ca="1">DA17+COUNTIFS($DB$6:$DB$53,DB17,$DC$6:DC$53,"&lt;"&amp;DC17,$BC$6:$BC$53,INDEX(T_Equipos[Grupo],MATCH(BD17,T_Equipos[NombreEquipo],0)))</f>
        <v>4</v>
      </c>
      <c r="DE17" s="756"/>
      <c r="DF17" s="756">
        <f t="shared" ca="1" si="52"/>
        <v>4</v>
      </c>
      <c r="DG17" s="756">
        <f ca="1">IF(DB17="-","-",COUNTIFS(DF$6:DF$53,"&lt;"&amp;DF17,$BC$6:$BC$53,INDEX(T_Equipos[Grupo],MATCH(BD17,T_Equipos[NombreEquipo],0))))</f>
        <v>3</v>
      </c>
      <c r="DH17" s="756">
        <f ca="1">DA17+COUNTIFS(DB$6:DB$53,DB17,DG$6:DG$53,"&lt;"&amp;DG17,$BC$6:$BC$53,INDEX(T_Equipos[Grupo],MATCH(BD17,T_Equipos[NombreEquipo],0)))</f>
        <v>4</v>
      </c>
      <c r="DI17" s="744"/>
      <c r="DJ17" s="744">
        <f t="shared" ca="1" si="53"/>
        <v>1</v>
      </c>
      <c r="DK17" s="744">
        <f t="shared" ca="1" si="24"/>
        <v>0</v>
      </c>
      <c r="DL17" s="744">
        <f t="shared" ca="1" si="33"/>
        <v>1</v>
      </c>
      <c r="DM17" s="738" t="str">
        <f t="shared" ca="1" si="34"/>
        <v>1.1</v>
      </c>
      <c r="DN17" s="744" cm="1">
        <f t="array" aca="1" ref="DN17" ca="1">OFFSET(Horarios!$P$3,DJ17-1,0,DL17,1)</f>
        <v>1</v>
      </c>
      <c r="DO17" s="744"/>
      <c r="DP17" s="744" t="s">
        <v>657</v>
      </c>
      <c r="DQ17" s="744" t="str">
        <f t="shared" ca="1" si="35"/>
        <v>Escocia</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0</v>
      </c>
      <c r="BF18" s="748">
        <f t="shared" ca="1" si="26"/>
        <v>0</v>
      </c>
      <c r="BG18" s="748">
        <f t="shared" ca="1" si="17"/>
        <v>0</v>
      </c>
      <c r="BH18" s="748">
        <f t="shared" ca="1" si="18"/>
        <v>0</v>
      </c>
      <c r="BI18" s="748">
        <f t="shared" ca="1" si="19"/>
        <v>0</v>
      </c>
      <c r="BJ18" s="748">
        <f t="shared" ca="1" si="20"/>
        <v>0</v>
      </c>
      <c r="BK18" s="748">
        <f t="shared" ca="1" si="21"/>
        <v>0</v>
      </c>
      <c r="BL18" s="748">
        <f t="shared" ca="1" si="27"/>
        <v>0</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0</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(4)</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(4)</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(4)</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(4)</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(4)</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(4)</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(4)</v>
      </c>
      <c r="CW18" s="757">
        <f t="shared" ca="1" si="30"/>
        <v>0</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P.1 (4)</v>
      </c>
      <c r="CZ18" s="757">
        <f t="shared" ca="1" si="31"/>
        <v>0</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P.1 (4)</v>
      </c>
      <c r="DC18" s="756">
        <f ca="1">IF(DB18="-","-",COUNTIFS(T_Equipos[Rank],"&lt;"&amp;INDEX(T_Equipos[Rank],MATCH(BD18,T_Equipos[NombreEquipo],0)),$BC$6:$BC$53,INDEX(T_Equipos[Grupo],MATCH(BD18,T_Equipos[NombreEquipo],0)))+1)</f>
        <v>1</v>
      </c>
      <c r="DD18" s="756">
        <f ca="1">DA18+COUNTIFS($DB$6:$DB$53,DB18,$DC$6:DC$53,"&lt;"&amp;DC18,$BC$6:$BC$53,INDEX(T_Equipos[Grupo],MATCH(BD18,T_Equipos[NombreEquipo],0)))</f>
        <v>1</v>
      </c>
      <c r="DE18" s="756"/>
      <c r="DF18" s="756">
        <f t="shared" ca="1" si="52"/>
        <v>1</v>
      </c>
      <c r="DG18" s="756">
        <f ca="1">IF(DB18="-","-",COUNTIFS(DF$6:DF$53,"&lt;"&amp;DF18,$BC$6:$BC$53,INDEX(T_Equipos[Grupo],MATCH(BD18,T_Equipos[NombreEquipo],0))))</f>
        <v>0</v>
      </c>
      <c r="DH18" s="756">
        <f ca="1">DA18+COUNTIFS(DB$6:DB$53,DB18,DG$6:DG$53,"&lt;"&amp;DG18,$BC$6:$BC$53,INDEX(T_Equipos[Grupo],MATCH(BD18,T_Equipos[NombreEquipo],0)))</f>
        <v>1</v>
      </c>
      <c r="DI18" s="744"/>
      <c r="DJ18" s="744">
        <f t="shared" ca="1" si="53"/>
        <v>1</v>
      </c>
      <c r="DK18" s="744">
        <f t="shared" ca="1" si="24"/>
        <v>0</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0</v>
      </c>
      <c r="BG19" s="748">
        <f t="shared" ca="1" si="17"/>
        <v>0</v>
      </c>
      <c r="BH19" s="748">
        <f t="shared" ca="1" si="18"/>
        <v>0</v>
      </c>
      <c r="BI19" s="748">
        <f t="shared" ca="1" si="19"/>
        <v>0</v>
      </c>
      <c r="BJ19" s="748">
        <f t="shared" ca="1" si="20"/>
        <v>0</v>
      </c>
      <c r="BK19" s="748">
        <f t="shared" ca="1" si="21"/>
        <v>0</v>
      </c>
      <c r="BL19" s="748">
        <f t="shared" ca="1" si="27"/>
        <v>0</v>
      </c>
      <c r="BM19" s="748" t="str">
        <f t="shared" ca="1" si="22"/>
        <v>2D</v>
      </c>
      <c r="BN19" s="748" t="str">
        <f t="shared" ca="1" si="23"/>
        <v>2D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1</v>
      </c>
      <c r="BT19" s="757" t="str">
        <f ca="1">IF(COUNTIFS($BS$6:$BS$53,BS19,$BC$6:$BC$53,INDEX(T_Equipos[Grupo],MATCH(BD19,T_Equipos[NombreEquipo],0)))=1,"-","P."&amp;BS19&amp;" ("&amp;COUNTIFS($BS$6:$BS$53,BS19,$BC$6:$BC$53,INDEX(T_Equipos[Grupo],MATCH(BD19,T_Equipos[NombreEquipo],0)))&amp;")")</f>
        <v>P.1 (4)</v>
      </c>
      <c r="BU19" s="758">
        <f t="shared" ca="1" si="36"/>
        <v>0</v>
      </c>
      <c r="BV19" s="758">
        <f t="shared" ca="1" si="37"/>
        <v>0</v>
      </c>
      <c r="BW19" s="758">
        <f t="shared" ca="1" si="38"/>
        <v>0</v>
      </c>
      <c r="BX19" s="758">
        <f t="shared" ca="1" si="39"/>
        <v>0</v>
      </c>
      <c r="BY19" s="758">
        <f ca="1">BS19+COUNTIFS($BT$6:$BT$53,BT19,$BX$6:BX$53,"&gt;"&amp;BX19,$BC$6:$BC$53,INDEX(T_Equipos[Grupo],MATCH(BD19,T_Equipos[NombreEquipo],0)))</f>
        <v>1</v>
      </c>
      <c r="BZ19" s="757" t="str">
        <f ca="1">IF(COUNTIFS($BY$6:$BY$53,BY19,$BC$6:$BC$53,INDEX(T_Equipos[Grupo],MATCH(BD19,T_Equipos[NombreEquipo],0)))=1,"-","P."&amp;BY19&amp;" ("&amp;COUNTIFS($BY$6:$BY$53,BY19,$BC$6:$BC$53,INDEX(T_Equipos[Grupo],MATCH(BD19,T_Equipos[NombreEquipo],0)))&amp;")")</f>
        <v>P.1 (4)</v>
      </c>
      <c r="CA19" s="758">
        <f t="shared" ca="1" si="40"/>
        <v>0</v>
      </c>
      <c r="CB19" s="758">
        <f t="shared" ca="1" si="41"/>
        <v>0</v>
      </c>
      <c r="CC19" s="758">
        <f t="shared" ca="1" si="42"/>
        <v>0</v>
      </c>
      <c r="CD19" s="758">
        <f ca="1">BY19+COUNTIFS($BZ$6:$BZ$53,BZ19,$CC$6:CC$53,"&gt;"&amp;CC19,$BC$6:$BC$53,INDEX(T_Equipos[Grupo],MATCH(BD19,T_Equipos[NombreEquipo],0)))</f>
        <v>1</v>
      </c>
      <c r="CE19" s="757" t="str">
        <f ca="1">IF(COUNTIFS($CD$6:$CD$53,CD19,$BC$6:$BC$53,INDEX(T_Equipos[Grupo],MATCH(BD19,T_Equipos[NombreEquipo],0)))=1,"-","P."&amp;CD19&amp;" ("&amp;COUNTIFS($CD$6:$CD$53,CD19,$BC$6:$BC$53,INDEX(T_Equipos[Grupo],MATCH(BD19,T_Equipos[NombreEquipo],0)))&amp;")")</f>
        <v>P.1 (4)</v>
      </c>
      <c r="CF19" s="758">
        <f t="shared" ca="1" si="43"/>
        <v>0</v>
      </c>
      <c r="CG19" s="758">
        <f ca="1">CD19+COUNTIFS($CE$6:$CE$53,CE19,$CF$6:CF$53,"&gt;"&amp;CF19,$BC$6:$BC$53,INDEX(T_Equipos[Grupo],MATCH(BD19,T_Equipos[NombreEquipo],0)))</f>
        <v>1</v>
      </c>
      <c r="CH19" s="757" t="str">
        <f ca="1">IF(COUNTIFS($CG$6:$CG$53,CG19,$BC$6:$BC$53,INDEX(T_Equipos[Grupo],MATCH(BD19,T_Equipos[NombreEquipo],0)))=1,"-","P."&amp;CG19&amp;" ("&amp;COUNTIFS($CG$6:$CG$53,CG19,$BC$6:$BC$53,INDEX(T_Equipos[Grupo],MATCH(BD19,T_Equipos[NombreEquipo],0)))&amp;")")</f>
        <v>P.1 (4)</v>
      </c>
      <c r="CI19" s="758">
        <f t="shared" ca="1" si="44"/>
        <v>0</v>
      </c>
      <c r="CJ19" s="758">
        <f t="shared" ca="1" si="45"/>
        <v>0</v>
      </c>
      <c r="CK19" s="758">
        <f t="shared" ca="1" si="46"/>
        <v>0</v>
      </c>
      <c r="CL19" s="758">
        <f t="shared" ca="1" si="47"/>
        <v>0</v>
      </c>
      <c r="CM19" s="758">
        <f ca="1">CG19+COUNTIFS($CH$6:$CH$53,CH19,$CL$6:CL$53,"&gt;"&amp;CL19,$BC$6:$BC$53,INDEX(T_Equipos[Grupo],MATCH(BD19,T_Equipos[NombreEquipo],0)))</f>
        <v>1</v>
      </c>
      <c r="CN19" s="757" t="str">
        <f ca="1">IF(COUNTIFS($CM$6:$CM$53,CM19,$BC$6:$BC$53,INDEX(T_Equipos[Grupo],MATCH(BD19,T_Equipos[NombreEquipo],0)))=1,"-","P."&amp;CM19&amp;" ("&amp;COUNTIFS($CM$6:$CM$53,CM19,$BC$6:$BC$53,INDEX(T_Equipos[Grupo],MATCH(BD19,T_Equipos[NombreEquipo],0)))&amp;")")</f>
        <v>P.1 (4)</v>
      </c>
      <c r="CO19" s="758">
        <f t="shared" ca="1" si="48"/>
        <v>0</v>
      </c>
      <c r="CP19" s="758">
        <f t="shared" ca="1" si="49"/>
        <v>0</v>
      </c>
      <c r="CQ19" s="758">
        <f t="shared" ca="1" si="50"/>
        <v>0</v>
      </c>
      <c r="CR19" s="758">
        <f ca="1">CM19+COUNTIFS($CN$6:$CN$53,CN19,$CQ$6:CQ$53,"&gt;"&amp;CQ19,$BC$6:$BC$53,INDEX(T_Equipos[Grupo],MATCH(BD19,T_Equipos[NombreEquipo],0)))</f>
        <v>1</v>
      </c>
      <c r="CS19" s="757" t="str">
        <f ca="1">IF(COUNTIFS($CR$6:$CR$53,CR19,$BC$6:$BC$53,INDEX(T_Equipos[Grupo],MATCH(BD19,T_Equipos[NombreEquipo],0)))=1,"-","P."&amp;CR19&amp;" ("&amp;COUNTIFS($CR$6:$CR$53,CR19,$BC$6:$BC$53,INDEX(T_Equipos[Grupo],MATCH(BD19,T_Equipos[NombreEquipo],0)))&amp;")")</f>
        <v>P.1 (4)</v>
      </c>
      <c r="CT19" s="758">
        <f t="shared" ca="1" si="51"/>
        <v>0</v>
      </c>
      <c r="CU19" s="758">
        <f ca="1">CR19+COUNTIFS($CS$6:$CS$53,CS19,$CT$6:CT$53,"&gt;"&amp;CT19,$BC$6:$BC$53,INDEX(T_Equipos[Grupo],MATCH(BD19,T_Equipos[NombreEquipo],0)))</f>
        <v>1</v>
      </c>
      <c r="CV19" s="757" t="str">
        <f ca="1">IF(COUNTIFS($CU$6:$CU$53,CU19,$BC$6:$BC$53,INDEX(T_Equipos[Grupo],MATCH(BD19,T_Equipos[NombreEquipo],0)))=1,"-","P."&amp;CU19&amp;" ("&amp;COUNTIFS($CU$6:$CU$53,CU19,$BC$6:$BC$53,INDEX(T_Equipos[Grupo],MATCH(BD19,T_Equipos[NombreEquipo],0)))&amp;")")</f>
        <v>P.1 (4)</v>
      </c>
      <c r="CW19" s="757">
        <f t="shared" ca="1" si="30"/>
        <v>0</v>
      </c>
      <c r="CX19" s="757">
        <f ca="1">CU19+COUNTIFS($CV$6:$CV$53,CV19,$CW$6:CW$53,"&gt;"&amp;CW19,$BC$6:$BC$53,INDEX(T_Equipos[Grupo],MATCH(BD19,T_Equipos[NombreEquipo],0)))</f>
        <v>1</v>
      </c>
      <c r="CY19" s="757" t="str">
        <f ca="1">IF(COUNTIFS($CX$6:$CX$53,CX19,$BC$6:$BC$53,INDEX(T_Equipos[Grupo],MATCH(BD19,T_Equipos[NombreEquipo],0)))=1,"-","P."&amp;CX19&amp;" ("&amp;COUNTIFS($CX$6:$CX$53,CX19,$BC$6:$BC$53,INDEX(T_Equipos[Grupo],MATCH(BD19,T_Equipos[NombreEquipo],0)))&amp;")")</f>
        <v>P.1 (4)</v>
      </c>
      <c r="CZ19" s="757">
        <f t="shared" ca="1" si="31"/>
        <v>0</v>
      </c>
      <c r="DA19" s="758">
        <f ca="1">CX19+COUNTIFS($CY$6:$CY$53,CY19,$CZ$6:CZ$53,"&gt;"&amp;CZ19,$BC$6:$BC$53,INDEX(T_Equipos[Grupo],MATCH(BD19,T_Equipos[NombreEquipo],0)))</f>
        <v>1</v>
      </c>
      <c r="DB19" s="757" t="str">
        <f ca="1">IF(COUNTIFS($DA$6:$DA$53,DA19,$BC$6:$BC$53,INDEX(T_Equipos[Grupo],MATCH(BD19,T_Equipos[NombreEquipo],0)))=1,"-","P."&amp;DA19&amp;" ("&amp;COUNTIFS($DA$6:$DA$53,DA19,$BC$6:$BC$53,INDEX(T_Equipos[Grupo],MATCH(BD19,T_Equipos[NombreEquipo],0)))&amp;")")</f>
        <v>P.1 (4)</v>
      </c>
      <c r="DC19" s="756">
        <f ca="1">IF(DB19="-","-",COUNTIFS(T_Equipos[Rank],"&lt;"&amp;INDEX(T_Equipos[Rank],MATCH(BD19,T_Equipos[NombreEquipo],0)),$BC$6:$BC$53,INDEX(T_Equipos[Grupo],MATCH(BD19,T_Equipos[NombreEquipo],0)))+1)</f>
        <v>2</v>
      </c>
      <c r="DD19" s="756">
        <f ca="1">DA19+COUNTIFS($DB$6:$DB$53,DB19,$DC$6:DC$53,"&lt;"&amp;DC19,$BC$6:$BC$53,INDEX(T_Equipos[Grupo],MATCH(BD19,T_Equipos[NombreEquipo],0)))</f>
        <v>2</v>
      </c>
      <c r="DE19" s="756"/>
      <c r="DF19" s="756">
        <f t="shared" ca="1" si="52"/>
        <v>2</v>
      </c>
      <c r="DG19" s="756">
        <f ca="1">IF(DB19="-","-",COUNTIFS(DF$6:DF$53,"&lt;"&amp;DF19,$BC$6:$BC$53,INDEX(T_Equipos[Grupo],MATCH(BD19,T_Equipos[NombreEquipo],0))))</f>
        <v>1</v>
      </c>
      <c r="DH19" s="756">
        <f ca="1">DA19+COUNTIFS(DB$6:DB$53,DB19,DG$6:DG$53,"&lt;"&amp;DG19,$BC$6:$BC$53,INDEX(T_Equipos[Grupo],MATCH(BD19,T_Equipos[NombreEquipo],0)))</f>
        <v>2</v>
      </c>
      <c r="DI19" s="744"/>
      <c r="DJ19" s="744">
        <f t="shared" ca="1" si="53"/>
        <v>1</v>
      </c>
      <c r="DK19" s="744">
        <f t="shared" ca="1" si="24"/>
        <v>0</v>
      </c>
      <c r="DL19" s="744">
        <f t="shared" ca="1" si="33"/>
        <v>1</v>
      </c>
      <c r="DM19" s="738" t="str">
        <f t="shared" ca="1" si="34"/>
        <v>1.1</v>
      </c>
      <c r="DN19" s="744" cm="1">
        <f t="array" aca="1" ref="DN19" ca="1">OFFSET(Horarios!$P$3,DJ19-1,0,DL19,1)</f>
        <v>1</v>
      </c>
      <c r="DO19" s="744"/>
      <c r="DP19" s="744" t="s">
        <v>659</v>
      </c>
      <c r="DQ19" s="744" t="str">
        <f t="shared" ca="1" si="35"/>
        <v>Paraguay</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Pendiente</v>
      </c>
      <c r="E20" s="744" t="str">
        <f t="shared" ref="E20:E25" si="74">IF(D20="Pendiente","-",INDEX($BT$6:$BT$53,MATCH($AA20,$BD$6:$BD$53,0)))</f>
        <v>-</v>
      </c>
      <c r="F20" s="744" t="str">
        <f t="shared" ref="F20:F25" si="75">IF(D20="Pendiente","-",INDEX($BT$6:$BT$53,MATCH($AF20,$BD$6:$BD$53,0)))</f>
        <v>-</v>
      </c>
      <c r="G20" s="744"/>
      <c r="H20" s="744" t="str">
        <f t="shared" ref="H20:H25" si="76">IF(D20="Pendiente","-",INDEX($BZ$6:$BZ$53,MATCH($AA20,$BD$6:$BD$53,0)))</f>
        <v>-</v>
      </c>
      <c r="I20" s="744" t="str">
        <f t="shared" ref="I20:I25" si="77">IF(D20="Pendiente","-",INDEX($BZ$6:$BZ$53,MATCH($AF20,$BD$6:$BD$53,0)))</f>
        <v>-</v>
      </c>
      <c r="J20" s="744"/>
      <c r="K20" s="744" t="str">
        <f t="shared" ref="K20:K25" si="78">IF(D20="Pendiente","-",INDEX($CE$6:$CE$53,MATCH($AA20,$BD$6:$BD$53,0)))</f>
        <v>-</v>
      </c>
      <c r="L20" s="744" t="str">
        <f t="shared" ref="L20:L25" si="79">IF(D20="Pendiente","-",INDEX($CE$6:$CE$53,MATCH($AF20,$BD$6:$BD$53,0)))</f>
        <v>-</v>
      </c>
      <c r="M20" s="744"/>
      <c r="N20" s="744" t="str">
        <f t="shared" ref="N20:N25" si="80">IF(D20="Pendiente","-",INDEX($CH$6:$CH$53,MATCH($AA20,$BD$6:$BD$53,0)))</f>
        <v>-</v>
      </c>
      <c r="O20" s="744" t="str">
        <f t="shared" ref="O20:O25" si="81">IF(D20="Pendiente","-",INDEX($CH$6:$CH$53,MATCH($AF20,$BD$6:$BD$53,0)))</f>
        <v>-</v>
      </c>
      <c r="P20" s="744"/>
      <c r="Q20" s="744" t="str">
        <f t="shared" ref="Q20:Q25" si="82">IF(D20="Pendiente","-",INDEX($CN$6:$CN$53,MATCH($AA20,$BD$6:$BD$53,0)))</f>
        <v>-</v>
      </c>
      <c r="R20" s="744" t="str">
        <f t="shared" ref="R20:R25" si="83">IF(D20="Pendiente","-",INDEX($CN$6:$CN$53,MATCH($AF20,$BD$6:$BD$53,0)))</f>
        <v>-</v>
      </c>
      <c r="S20" s="744"/>
      <c r="T20" s="744" t="str">
        <f t="shared" ref="T20:T25" si="84">IF(D20="Pendiente","-",INDEX($CS$6:$CS$53,MATCH($AA20,$BD$6:$BD$53,0)))</f>
        <v>-</v>
      </c>
      <c r="U20" s="744" t="str">
        <f t="shared" ref="U20:U25" si="85">IF(D20="Pendiente","-",INDEX($CS$6:$CS$53,MATCH($AF20,$BD$6:$BD$53,0)))</f>
        <v>-</v>
      </c>
      <c r="V20" s="172"/>
      <c r="W20" s="847" t="s">
        <v>2</v>
      </c>
      <c r="X20" s="189">
        <f ca="1">Horarios!C20</f>
        <v>46187</v>
      </c>
      <c r="Y20" s="190">
        <f ca="1">Horarios!C20</f>
        <v>46187</v>
      </c>
      <c r="Z20" s="191" t="str">
        <f>$Z$4</f>
        <v>J1</v>
      </c>
      <c r="AA20" s="192" t="str">
        <f ca="1">A21</f>
        <v>Brasil</v>
      </c>
      <c r="AB20" s="478" t="e" cm="1" vm="9">
        <f t="array" aca="1" ref="AB20" ca="1">Ver_flag_local</f>
        <v>#VALUE!</v>
      </c>
      <c r="AC20" s="193"/>
      <c r="AD20" s="194"/>
      <c r="AE20" s="483" t="e" cm="1" vm="10">
        <f t="array" aca="1" ref="AE20" ca="1">Ver_flag_visit</f>
        <v>#VALUE!</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0</v>
      </c>
      <c r="BF20" s="748">
        <f t="shared" ca="1" si="26"/>
        <v>0</v>
      </c>
      <c r="BG20" s="748">
        <f t="shared" ca="1" si="17"/>
        <v>0</v>
      </c>
      <c r="BH20" s="748">
        <f t="shared" ca="1" si="18"/>
        <v>0</v>
      </c>
      <c r="BI20" s="748">
        <f t="shared" ca="1" si="19"/>
        <v>0</v>
      </c>
      <c r="BJ20" s="748">
        <f t="shared" ca="1" si="20"/>
        <v>0</v>
      </c>
      <c r="BK20" s="748">
        <f t="shared" ca="1" si="21"/>
        <v>0</v>
      </c>
      <c r="BL20" s="748">
        <f t="shared" ca="1" si="27"/>
        <v>0</v>
      </c>
      <c r="BM20" s="748" t="str">
        <f t="shared" ca="1" si="22"/>
        <v>3D</v>
      </c>
      <c r="BN20" s="748" t="str">
        <f t="shared" ca="1" si="23"/>
        <v>3D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0</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(4)</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(4)</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(4)</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(4)</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(4)</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(4)</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(4)</v>
      </c>
      <c r="CW20" s="757">
        <f t="shared" ca="1" si="30"/>
        <v>0</v>
      </c>
      <c r="CX20" s="757">
        <f ca="1">CU20+COUNTIFS($CV$6:$CV$53,CV20,$CW$6:CW$53,"&gt;"&amp;CW20,$BC$6:$BC$53,INDEX(T_Equipos[Grupo],MATCH(BD20,T_Equipos[NombreEquipo],0)))</f>
        <v>1</v>
      </c>
      <c r="CY20" s="757" t="str">
        <f ca="1">IF(COUNTIFS($CX$6:$CX$53,CX20,$BC$6:$BC$53,INDEX(T_Equipos[Grupo],MATCH(BD20,T_Equipos[NombreEquipo],0)))=1,"-","P."&amp;CX20&amp;" ("&amp;COUNTIFS($CX$6:$CX$53,CX20,$BC$6:$BC$53,INDEX(T_Equipos[Grupo],MATCH(BD20,T_Equipos[NombreEquipo],0)))&amp;")")</f>
        <v>P.1 (4)</v>
      </c>
      <c r="CZ20" s="757">
        <f t="shared" ca="1" si="31"/>
        <v>0</v>
      </c>
      <c r="DA20" s="758">
        <f ca="1">CX20+COUNTIFS($CY$6:$CY$53,CY20,$CZ$6:CZ$53,"&gt;"&amp;CZ20,$BC$6:$BC$53,INDEX(T_Equipos[Grupo],MATCH(BD20,T_Equipos[NombreEquipo],0)))</f>
        <v>1</v>
      </c>
      <c r="DB20" s="757" t="str">
        <f ca="1">IF(COUNTIFS($DA$6:$DA$53,DA20,$BC$6:$BC$53,INDEX(T_Equipos[Grupo],MATCH(BD20,T_Equipos[NombreEquipo],0)))=1,"-","P."&amp;DA20&amp;" ("&amp;COUNTIFS($DA$6:$DA$53,DA20,$BC$6:$BC$53,INDEX(T_Equipos[Grupo],MATCH(BD20,T_Equipos[NombreEquipo],0)))&amp;")")</f>
        <v>P.1 (4)</v>
      </c>
      <c r="DC20" s="756">
        <f ca="1">IF(DB20="-","-",COUNTIFS(T_Equipos[Rank],"&lt;"&amp;INDEX(T_Equipos[Rank],MATCH(BD20,T_Equipos[NombreEquipo],0)),$BC$6:$BC$53,INDEX(T_Equipos[Grupo],MATCH(BD20,T_Equipos[NombreEquipo],0)))+1)</f>
        <v>3</v>
      </c>
      <c r="DD20" s="756">
        <f ca="1">DA20+COUNTIFS($DB$6:$DB$53,DB20,$DC$6:DC$53,"&lt;"&amp;DC20,$BC$6:$BC$53,INDEX(T_Equipos[Grupo],MATCH(BD20,T_Equipos[NombreEquipo],0)))</f>
        <v>3</v>
      </c>
      <c r="DE20" s="756"/>
      <c r="DF20" s="756">
        <f t="shared" ca="1" si="52"/>
        <v>3</v>
      </c>
      <c r="DG20" s="756">
        <f ca="1">IF(DB20="-","-",COUNTIFS(DF$6:DF$53,"&lt;"&amp;DF20,$BC$6:$BC$53,INDEX(T_Equipos[Grupo],MATCH(BD20,T_Equipos[NombreEquipo],0))))</f>
        <v>2</v>
      </c>
      <c r="DH20" s="756">
        <f ca="1">DA20+COUNTIFS(DB$6:DB$53,DB20,DG$6:DG$53,"&lt;"&amp;DG20,$BC$6:$BC$53,INDEX(T_Equipos[Grupo],MATCH(BD20,T_Equipos[NombreEquipo],0)))</f>
        <v>3</v>
      </c>
      <c r="DI20" s="744"/>
      <c r="DJ20" s="744">
        <f t="shared" ca="1" si="53"/>
        <v>1</v>
      </c>
      <c r="DK20" s="744">
        <f t="shared" ca="1" si="24"/>
        <v>0</v>
      </c>
      <c r="DL20" s="744">
        <f t="shared" ca="1" si="33"/>
        <v>1</v>
      </c>
      <c r="DM20" s="738" t="str">
        <f t="shared" ca="1" si="34"/>
        <v>1.1</v>
      </c>
      <c r="DN20" s="744" cm="1">
        <f t="array" aca="1" ref="DN20" ca="1">OFFSET(Horarios!$P$3,DJ20-1,0,DL20,1)</f>
        <v>1</v>
      </c>
      <c r="DO20" s="744"/>
      <c r="DP20" s="744" t="s">
        <v>92</v>
      </c>
      <c r="DQ20" s="744" t="str">
        <f t="shared" ca="1" si="35"/>
        <v>Australia</v>
      </c>
      <c r="DR20" s="744"/>
      <c r="DS20" s="744"/>
      <c r="DT20" s="744" t="str">
        <f t="shared" ca="1" si="15"/>
        <v>Brasil-Marruecos</v>
      </c>
      <c r="DU20" s="744"/>
      <c r="DV20" s="744"/>
      <c r="DW20" s="8"/>
    </row>
    <row r="21" spans="1:127" ht="16.05" customHeight="1">
      <c r="A21" s="745" t="str">
        <f ca="1">+Equipos!B10</f>
        <v>Brasil</v>
      </c>
      <c r="B21" s="742"/>
      <c r="C21" s="742"/>
      <c r="D21" s="744" t="str">
        <f t="shared" si="73"/>
        <v>Pendiente</v>
      </c>
      <c r="E21" s="744" t="str">
        <f t="shared" si="74"/>
        <v>-</v>
      </c>
      <c r="F21" s="744" t="str">
        <f t="shared" si="75"/>
        <v>-</v>
      </c>
      <c r="G21" s="744"/>
      <c r="H21" s="744" t="str">
        <f t="shared" si="76"/>
        <v>-</v>
      </c>
      <c r="I21" s="744" t="str">
        <f t="shared" si="77"/>
        <v>-</v>
      </c>
      <c r="J21" s="744"/>
      <c r="K21" s="744" t="str">
        <f t="shared" si="78"/>
        <v>-</v>
      </c>
      <c r="L21" s="744" t="str">
        <f t="shared" si="79"/>
        <v>-</v>
      </c>
      <c r="M21" s="744"/>
      <c r="N21" s="744" t="str">
        <f t="shared" si="80"/>
        <v>-</v>
      </c>
      <c r="O21" s="744" t="str">
        <f t="shared" si="81"/>
        <v>-</v>
      </c>
      <c r="P21" s="744"/>
      <c r="Q21" s="744" t="str">
        <f t="shared" si="82"/>
        <v>-</v>
      </c>
      <c r="R21" s="744" t="str">
        <f t="shared" si="83"/>
        <v>-</v>
      </c>
      <c r="S21" s="744"/>
      <c r="T21" s="744" t="str">
        <f t="shared" si="84"/>
        <v>-</v>
      </c>
      <c r="U21" s="744" t="str">
        <f t="shared" si="85"/>
        <v>-</v>
      </c>
      <c r="V21" s="172"/>
      <c r="W21" s="847"/>
      <c r="X21" s="189">
        <f ca="1">Horarios!C21</f>
        <v>46187.125</v>
      </c>
      <c r="Y21" s="190">
        <f ca="1">Horarios!C21</f>
        <v>46187.125</v>
      </c>
      <c r="Z21" s="191" t="str">
        <f>$Z$4</f>
        <v>J1</v>
      </c>
      <c r="AA21" s="192" t="str">
        <f ca="1">A23</f>
        <v>Haití</v>
      </c>
      <c r="AB21" s="478" t="e" cm="1" vm="11">
        <f t="array" aca="1" ref="AB21" ca="1">Ver_flag_local</f>
        <v>#VALUE!</v>
      </c>
      <c r="AC21" s="193"/>
      <c r="AD21" s="194"/>
      <c r="AE21" s="483" t="e" cm="1" vm="12">
        <f t="array" aca="1" ref="AE21" ca="1">Ver_flag_visit</f>
        <v>#VALUE!</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0</v>
      </c>
      <c r="BG21" s="748">
        <f t="shared" ca="1" si="17"/>
        <v>0</v>
      </c>
      <c r="BH21" s="748">
        <f t="shared" ca="1" si="18"/>
        <v>0</v>
      </c>
      <c r="BI21" s="748">
        <f t="shared" ca="1" si="19"/>
        <v>0</v>
      </c>
      <c r="BJ21" s="748">
        <f t="shared" ca="1" si="20"/>
        <v>0</v>
      </c>
      <c r="BK21" s="748">
        <f t="shared" ca="1" si="21"/>
        <v>0</v>
      </c>
      <c r="BL21" s="748">
        <f t="shared" ca="1" si="27"/>
        <v>0</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1</v>
      </c>
      <c r="BT21" s="757" t="str">
        <f ca="1">IF(COUNTIFS($BS$6:$BS$53,BS21,$BC$6:$BC$53,INDEX(T_Equipos[Grupo],MATCH(BD21,T_Equipos[NombreEquipo],0)))=1,"-","P."&amp;BS21&amp;" ("&amp;COUNTIFS($BS$6:$BS$53,BS21,$BC$6:$BC$53,INDEX(T_Equipos[Grupo],MATCH(BD21,T_Equipos[NombreEquipo],0)))&amp;")")</f>
        <v>P.1 (4)</v>
      </c>
      <c r="BU21" s="758">
        <f t="shared" ca="1" si="36"/>
        <v>0</v>
      </c>
      <c r="BV21" s="758">
        <f t="shared" ca="1" si="37"/>
        <v>0</v>
      </c>
      <c r="BW21" s="758">
        <f t="shared" ca="1" si="38"/>
        <v>0</v>
      </c>
      <c r="BX21" s="758">
        <f t="shared" ca="1" si="39"/>
        <v>0</v>
      </c>
      <c r="BY21" s="758">
        <f ca="1">BS21+COUNTIFS($BT$6:$BT$53,BT21,$BX$6:BX$53,"&gt;"&amp;BX21,$BC$6:$BC$53,INDEX(T_Equipos[Grupo],MATCH(BD21,T_Equipos[NombreEquipo],0)))</f>
        <v>1</v>
      </c>
      <c r="BZ21" s="757" t="str">
        <f ca="1">IF(COUNTIFS($BY$6:$BY$53,BY21,$BC$6:$BC$53,INDEX(T_Equipos[Grupo],MATCH(BD21,T_Equipos[NombreEquipo],0)))=1,"-","P."&amp;BY21&amp;" ("&amp;COUNTIFS($BY$6:$BY$53,BY21,$BC$6:$BC$53,INDEX(T_Equipos[Grupo],MATCH(BD21,T_Equipos[NombreEquipo],0)))&amp;")")</f>
        <v>P.1 (4)</v>
      </c>
      <c r="CA21" s="758">
        <f t="shared" ca="1" si="40"/>
        <v>0</v>
      </c>
      <c r="CB21" s="758">
        <f t="shared" ca="1" si="41"/>
        <v>0</v>
      </c>
      <c r="CC21" s="758">
        <f t="shared" ca="1" si="42"/>
        <v>0</v>
      </c>
      <c r="CD21" s="758">
        <f ca="1">BY21+COUNTIFS($BZ$6:$BZ$53,BZ21,$CC$6:CC$53,"&gt;"&amp;CC21,$BC$6:$BC$53,INDEX(T_Equipos[Grupo],MATCH(BD21,T_Equipos[NombreEquipo],0)))</f>
        <v>1</v>
      </c>
      <c r="CE21" s="757" t="str">
        <f ca="1">IF(COUNTIFS($CD$6:$CD$53,CD21,$BC$6:$BC$53,INDEX(T_Equipos[Grupo],MATCH(BD21,T_Equipos[NombreEquipo],0)))=1,"-","P."&amp;CD21&amp;" ("&amp;COUNTIFS($CD$6:$CD$53,CD21,$BC$6:$BC$53,INDEX(T_Equipos[Grupo],MATCH(BD21,T_Equipos[NombreEquipo],0)))&amp;")")</f>
        <v>P.1 (4)</v>
      </c>
      <c r="CF21" s="758">
        <f t="shared" ca="1" si="43"/>
        <v>0</v>
      </c>
      <c r="CG21" s="758">
        <f ca="1">CD21+COUNTIFS($CE$6:$CE$53,CE21,$CF$6:CF$53,"&gt;"&amp;CF21,$BC$6:$BC$53,INDEX(T_Equipos[Grupo],MATCH(BD21,T_Equipos[NombreEquipo],0)))</f>
        <v>1</v>
      </c>
      <c r="CH21" s="757" t="str">
        <f ca="1">IF(COUNTIFS($CG$6:$CG$53,CG21,$BC$6:$BC$53,INDEX(T_Equipos[Grupo],MATCH(BD21,T_Equipos[NombreEquipo],0)))=1,"-","P."&amp;CG21&amp;" ("&amp;COUNTIFS($CG$6:$CG$53,CG21,$BC$6:$BC$53,INDEX(T_Equipos[Grupo],MATCH(BD21,T_Equipos[NombreEquipo],0)))&amp;")")</f>
        <v>P.1 (4)</v>
      </c>
      <c r="CI21" s="758">
        <f t="shared" ca="1" si="44"/>
        <v>0</v>
      </c>
      <c r="CJ21" s="758">
        <f t="shared" ca="1" si="45"/>
        <v>0</v>
      </c>
      <c r="CK21" s="758">
        <f t="shared" ca="1" si="46"/>
        <v>0</v>
      </c>
      <c r="CL21" s="758">
        <f t="shared" ca="1" si="47"/>
        <v>0</v>
      </c>
      <c r="CM21" s="758">
        <f ca="1">CG21+COUNTIFS($CH$6:$CH$53,CH21,$CL$6:CL$53,"&gt;"&amp;CL21,$BC$6:$BC$53,INDEX(T_Equipos[Grupo],MATCH(BD21,T_Equipos[NombreEquipo],0)))</f>
        <v>1</v>
      </c>
      <c r="CN21" s="757" t="str">
        <f ca="1">IF(COUNTIFS($CM$6:$CM$53,CM21,$BC$6:$BC$53,INDEX(T_Equipos[Grupo],MATCH(BD21,T_Equipos[NombreEquipo],0)))=1,"-","P."&amp;CM21&amp;" ("&amp;COUNTIFS($CM$6:$CM$53,CM21,$BC$6:$BC$53,INDEX(T_Equipos[Grupo],MATCH(BD21,T_Equipos[NombreEquipo],0)))&amp;")")</f>
        <v>P.1 (4)</v>
      </c>
      <c r="CO21" s="758">
        <f t="shared" ca="1" si="48"/>
        <v>0</v>
      </c>
      <c r="CP21" s="758">
        <f t="shared" ca="1" si="49"/>
        <v>0</v>
      </c>
      <c r="CQ21" s="758">
        <f t="shared" ca="1" si="50"/>
        <v>0</v>
      </c>
      <c r="CR21" s="758">
        <f ca="1">CM21+COUNTIFS($CN$6:$CN$53,CN21,$CQ$6:CQ$53,"&gt;"&amp;CQ21,$BC$6:$BC$53,INDEX(T_Equipos[Grupo],MATCH(BD21,T_Equipos[NombreEquipo],0)))</f>
        <v>1</v>
      </c>
      <c r="CS21" s="757" t="str">
        <f ca="1">IF(COUNTIFS($CR$6:$CR$53,CR21,$BC$6:$BC$53,INDEX(T_Equipos[Grupo],MATCH(BD21,T_Equipos[NombreEquipo],0)))=1,"-","P."&amp;CR21&amp;" ("&amp;COUNTIFS($CR$6:$CR$53,CR21,$BC$6:$BC$53,INDEX(T_Equipos[Grupo],MATCH(BD21,T_Equipos[NombreEquipo],0)))&amp;")")</f>
        <v>P.1 (4)</v>
      </c>
      <c r="CT21" s="758">
        <f t="shared" ca="1" si="51"/>
        <v>0</v>
      </c>
      <c r="CU21" s="758">
        <f ca="1">CR21+COUNTIFS($CS$6:$CS$53,CS21,$CT$6:CT$53,"&gt;"&amp;CT21,$BC$6:$BC$53,INDEX(T_Equipos[Grupo],MATCH(BD21,T_Equipos[NombreEquipo],0)))</f>
        <v>1</v>
      </c>
      <c r="CV21" s="757" t="str">
        <f ca="1">IF(COUNTIFS($CU$6:$CU$53,CU21,$BC$6:$BC$53,INDEX(T_Equipos[Grupo],MATCH(BD21,T_Equipos[NombreEquipo],0)))=1,"-","P."&amp;CU21&amp;" ("&amp;COUNTIFS($CU$6:$CU$53,CU21,$BC$6:$BC$53,INDEX(T_Equipos[Grupo],MATCH(BD21,T_Equipos[NombreEquipo],0)))&amp;")")</f>
        <v>P.1 (4)</v>
      </c>
      <c r="CW21" s="757">
        <f t="shared" ca="1" si="30"/>
        <v>0</v>
      </c>
      <c r="CX21" s="757">
        <f ca="1">CU21+COUNTIFS($CV$6:$CV$53,CV21,$CW$6:CW$53,"&gt;"&amp;CW21,$BC$6:$BC$53,INDEX(T_Equipos[Grupo],MATCH(BD21,T_Equipos[NombreEquipo],0)))</f>
        <v>1</v>
      </c>
      <c r="CY21" s="757" t="str">
        <f ca="1">IF(COUNTIFS($CX$6:$CX$53,CX21,$BC$6:$BC$53,INDEX(T_Equipos[Grupo],MATCH(BD21,T_Equipos[NombreEquipo],0)))=1,"-","P."&amp;CX21&amp;" ("&amp;COUNTIFS($CX$6:$CX$53,CX21,$BC$6:$BC$53,INDEX(T_Equipos[Grupo],MATCH(BD21,T_Equipos[NombreEquipo],0)))&amp;")")</f>
        <v>P.1 (4)</v>
      </c>
      <c r="CZ21" s="757">
        <f t="shared" ca="1" si="31"/>
        <v>0</v>
      </c>
      <c r="DA21" s="758">
        <f ca="1">CX21+COUNTIFS($CY$6:$CY$53,CY21,$CZ$6:CZ$53,"&gt;"&amp;CZ21,$BC$6:$BC$53,INDEX(T_Equipos[Grupo],MATCH(BD21,T_Equipos[NombreEquipo],0)))</f>
        <v>1</v>
      </c>
      <c r="DB21" s="757" t="str">
        <f ca="1">IF(COUNTIFS($DA$6:$DA$53,DA21,$BC$6:$BC$53,INDEX(T_Equipos[Grupo],MATCH(BD21,T_Equipos[NombreEquipo],0)))=1,"-","P."&amp;DA21&amp;" ("&amp;COUNTIFS($DA$6:$DA$53,DA21,$BC$6:$BC$53,INDEX(T_Equipos[Grupo],MATCH(BD21,T_Equipos[NombreEquipo],0)))&amp;")")</f>
        <v>P.1 (4)</v>
      </c>
      <c r="DC21" s="756">
        <f ca="1">IF(DB21="-","-",COUNTIFS(T_Equipos[Rank],"&lt;"&amp;INDEX(T_Equipos[Rank],MATCH(BD21,T_Equipos[NombreEquipo],0)),$BC$6:$BC$53,INDEX(T_Equipos[Grupo],MATCH(BD21,T_Equipos[NombreEquipo],0)))+1)</f>
        <v>4</v>
      </c>
      <c r="DD21" s="756">
        <f ca="1">DA21+COUNTIFS($DB$6:$DB$53,DB21,$DC$6:DC$53,"&lt;"&amp;DC21,$BC$6:$BC$53,INDEX(T_Equipos[Grupo],MATCH(BD21,T_Equipos[NombreEquipo],0)))</f>
        <v>4</v>
      </c>
      <c r="DE21" s="756"/>
      <c r="DF21" s="756">
        <f t="shared" ca="1" si="52"/>
        <v>4</v>
      </c>
      <c r="DG21" s="756">
        <f ca="1">IF(DB21="-","-",COUNTIFS(DF$6:DF$53,"&lt;"&amp;DF21,$BC$6:$BC$53,INDEX(T_Equipos[Grupo],MATCH(BD21,T_Equipos[NombreEquipo],0))))</f>
        <v>3</v>
      </c>
      <c r="DH21" s="756">
        <f ca="1">DA21+COUNTIFS(DB$6:DB$53,DB21,DG$6:DG$53,"&lt;"&amp;DG21,$BC$6:$BC$53,INDEX(T_Equipos[Grupo],MATCH(BD21,T_Equipos[NombreEquipo],0)))</f>
        <v>4</v>
      </c>
      <c r="DI21" s="744"/>
      <c r="DJ21" s="744">
        <f t="shared" ca="1" si="53"/>
        <v>1</v>
      </c>
      <c r="DK21" s="744">
        <f t="shared" ca="1" si="24"/>
        <v>0</v>
      </c>
      <c r="DL21" s="744">
        <f t="shared" ca="1" si="33"/>
        <v>1</v>
      </c>
      <c r="DM21" s="738" t="str">
        <f t="shared" ca="1" si="34"/>
        <v>1.1</v>
      </c>
      <c r="DN21" s="744" cm="1">
        <f t="array" aca="1" ref="DN21" ca="1">OFFSET(Horarios!$P$3,DJ21-1,0,DL21,1)</f>
        <v>1</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47"/>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0</v>
      </c>
      <c r="BF22" s="748">
        <f t="shared" ca="1" si="26"/>
        <v>0</v>
      </c>
      <c r="BG22" s="748">
        <f t="shared" ca="1" si="17"/>
        <v>0</v>
      </c>
      <c r="BH22" s="748">
        <f t="shared" ca="1" si="18"/>
        <v>0</v>
      </c>
      <c r="BI22" s="748">
        <f t="shared" ca="1" si="19"/>
        <v>0</v>
      </c>
      <c r="BJ22" s="748">
        <f t="shared" ca="1" si="20"/>
        <v>0</v>
      </c>
      <c r="BK22" s="748">
        <f t="shared" ca="1" si="21"/>
        <v>0</v>
      </c>
      <c r="BL22" s="748">
        <f t="shared" ca="1" si="27"/>
        <v>0</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0</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(4)</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(4)</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(4)</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(4)</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(4)</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(4)</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(4)</v>
      </c>
      <c r="CW22" s="757">
        <f t="shared" ca="1" si="30"/>
        <v>0</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P.1 (4)</v>
      </c>
      <c r="CZ22" s="757">
        <f t="shared" ca="1" si="31"/>
        <v>0</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P.1 (4)</v>
      </c>
      <c r="DC22" s="756">
        <f ca="1">IF(DB22="-","-",COUNTIFS(T_Equipos[Rank],"&lt;"&amp;INDEX(T_Equipos[Rank],MATCH(BD22,T_Equipos[NombreEquipo],0)),$BC$6:$BC$53,INDEX(T_Equipos[Grupo],MATCH(BD22,T_Equipos[NombreEquipo],0)))+1)</f>
        <v>1</v>
      </c>
      <c r="DD22" s="756">
        <f ca="1">DA22+COUNTIFS($DB$6:$DB$53,DB22,$DC$6:DC$53,"&lt;"&amp;DC22,$BC$6:$BC$53,INDEX(T_Equipos[Grupo],MATCH(BD22,T_Equipos[NombreEquipo],0)))</f>
        <v>1</v>
      </c>
      <c r="DE22" s="756"/>
      <c r="DF22" s="756">
        <f t="shared" ca="1" si="52"/>
        <v>1</v>
      </c>
      <c r="DG22" s="756">
        <f ca="1">IF(DB22="-","-",COUNTIFS(DF$6:DF$53,"&lt;"&amp;DF22,$BC$6:$BC$53,INDEX(T_Equipos[Grupo],MATCH(BD22,T_Equipos[NombreEquipo],0))))</f>
        <v>0</v>
      </c>
      <c r="DH22" s="756">
        <f ca="1">DA22+COUNTIFS(DB$6:DB$53,DB22,DG$6:DG$53,"&lt;"&amp;DG22,$BC$6:$BC$53,INDEX(T_Equipos[Grupo],MATCH(BD22,T_Equipos[NombreEquipo],0)))</f>
        <v>1</v>
      </c>
      <c r="DI22" s="744"/>
      <c r="DJ22" s="744">
        <f t="shared" ca="1" si="53"/>
        <v>1</v>
      </c>
      <c r="DK22" s="744">
        <f t="shared" ca="1" si="24"/>
        <v>0</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47"/>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0</v>
      </c>
      <c r="BG23" s="748">
        <f t="shared" ca="1" si="17"/>
        <v>0</v>
      </c>
      <c r="BH23" s="748">
        <f t="shared" ca="1" si="18"/>
        <v>0</v>
      </c>
      <c r="BI23" s="748">
        <f t="shared" ca="1" si="19"/>
        <v>0</v>
      </c>
      <c r="BJ23" s="748">
        <f t="shared" ca="1" si="20"/>
        <v>0</v>
      </c>
      <c r="BK23" s="748">
        <f t="shared" ca="1" si="21"/>
        <v>0</v>
      </c>
      <c r="BL23" s="748">
        <f t="shared" ca="1" si="27"/>
        <v>0</v>
      </c>
      <c r="BM23" s="748" t="str">
        <f t="shared" ca="1" si="22"/>
        <v>2E</v>
      </c>
      <c r="BN23" s="748" t="str">
        <f t="shared" ca="1" si="23"/>
        <v>2E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1</v>
      </c>
      <c r="BT23" s="757" t="str">
        <f ca="1">IF(COUNTIFS($BS$6:$BS$53,BS23,$BC$6:$BC$53,INDEX(T_Equipos[Grupo],MATCH(BD23,T_Equipos[NombreEquipo],0)))=1,"-","P."&amp;BS23&amp;" ("&amp;COUNTIFS($BS$6:$BS$53,BS23,$BC$6:$BC$53,INDEX(T_Equipos[Grupo],MATCH(BD23,T_Equipos[NombreEquipo],0)))&amp;")")</f>
        <v>P.1 (4)</v>
      </c>
      <c r="BU23" s="758">
        <f t="shared" ca="1" si="36"/>
        <v>0</v>
      </c>
      <c r="BV23" s="758">
        <f t="shared" ca="1" si="37"/>
        <v>0</v>
      </c>
      <c r="BW23" s="758">
        <f t="shared" ca="1" si="38"/>
        <v>0</v>
      </c>
      <c r="BX23" s="758">
        <f t="shared" ca="1" si="39"/>
        <v>0</v>
      </c>
      <c r="BY23" s="758">
        <f ca="1">BS23+COUNTIFS($BT$6:$BT$53,BT23,$BX$6:BX$53,"&gt;"&amp;BX23,$BC$6:$BC$53,INDEX(T_Equipos[Grupo],MATCH(BD23,T_Equipos[NombreEquipo],0)))</f>
        <v>1</v>
      </c>
      <c r="BZ23" s="757" t="str">
        <f ca="1">IF(COUNTIFS($BY$6:$BY$53,BY23,$BC$6:$BC$53,INDEX(T_Equipos[Grupo],MATCH(BD23,T_Equipos[NombreEquipo],0)))=1,"-","P."&amp;BY23&amp;" ("&amp;COUNTIFS($BY$6:$BY$53,BY23,$BC$6:$BC$53,INDEX(T_Equipos[Grupo],MATCH(BD23,T_Equipos[NombreEquipo],0)))&amp;")")</f>
        <v>P.1 (4)</v>
      </c>
      <c r="CA23" s="758">
        <f t="shared" ca="1" si="40"/>
        <v>0</v>
      </c>
      <c r="CB23" s="758">
        <f t="shared" ca="1" si="41"/>
        <v>0</v>
      </c>
      <c r="CC23" s="758">
        <f t="shared" ca="1" si="42"/>
        <v>0</v>
      </c>
      <c r="CD23" s="758">
        <f ca="1">BY23+COUNTIFS($BZ$6:$BZ$53,BZ23,$CC$6:CC$53,"&gt;"&amp;CC23,$BC$6:$BC$53,INDEX(T_Equipos[Grupo],MATCH(BD23,T_Equipos[NombreEquipo],0)))</f>
        <v>1</v>
      </c>
      <c r="CE23" s="757" t="str">
        <f ca="1">IF(COUNTIFS($CD$6:$CD$53,CD23,$BC$6:$BC$53,INDEX(T_Equipos[Grupo],MATCH(BD23,T_Equipos[NombreEquipo],0)))=1,"-","P."&amp;CD23&amp;" ("&amp;COUNTIFS($CD$6:$CD$53,CD23,$BC$6:$BC$53,INDEX(T_Equipos[Grupo],MATCH(BD23,T_Equipos[NombreEquipo],0)))&amp;")")</f>
        <v>P.1 (4)</v>
      </c>
      <c r="CF23" s="758">
        <f t="shared" ca="1" si="43"/>
        <v>0</v>
      </c>
      <c r="CG23" s="758">
        <f ca="1">CD23+COUNTIFS($CE$6:$CE$53,CE23,$CF$6:CF$53,"&gt;"&amp;CF23,$BC$6:$BC$53,INDEX(T_Equipos[Grupo],MATCH(BD23,T_Equipos[NombreEquipo],0)))</f>
        <v>1</v>
      </c>
      <c r="CH23" s="757" t="str">
        <f ca="1">IF(COUNTIFS($CG$6:$CG$53,CG23,$BC$6:$BC$53,INDEX(T_Equipos[Grupo],MATCH(BD23,T_Equipos[NombreEquipo],0)))=1,"-","P."&amp;CG23&amp;" ("&amp;COUNTIFS($CG$6:$CG$53,CG23,$BC$6:$BC$53,INDEX(T_Equipos[Grupo],MATCH(BD23,T_Equipos[NombreEquipo],0)))&amp;")")</f>
        <v>P.1 (4)</v>
      </c>
      <c r="CI23" s="758">
        <f t="shared" ca="1" si="44"/>
        <v>0</v>
      </c>
      <c r="CJ23" s="758">
        <f t="shared" ca="1" si="45"/>
        <v>0</v>
      </c>
      <c r="CK23" s="758">
        <f t="shared" ca="1" si="46"/>
        <v>0</v>
      </c>
      <c r="CL23" s="758">
        <f t="shared" ca="1" si="47"/>
        <v>0</v>
      </c>
      <c r="CM23" s="758">
        <f ca="1">CG23+COUNTIFS($CH$6:$CH$53,CH23,$CL$6:CL$53,"&gt;"&amp;CL23,$BC$6:$BC$53,INDEX(T_Equipos[Grupo],MATCH(BD23,T_Equipos[NombreEquipo],0)))</f>
        <v>1</v>
      </c>
      <c r="CN23" s="757" t="str">
        <f ca="1">IF(COUNTIFS($CM$6:$CM$53,CM23,$BC$6:$BC$53,INDEX(T_Equipos[Grupo],MATCH(BD23,T_Equipos[NombreEquipo],0)))=1,"-","P."&amp;CM23&amp;" ("&amp;COUNTIFS($CM$6:$CM$53,CM23,$BC$6:$BC$53,INDEX(T_Equipos[Grupo],MATCH(BD23,T_Equipos[NombreEquipo],0)))&amp;")")</f>
        <v>P.1 (4)</v>
      </c>
      <c r="CO23" s="758">
        <f t="shared" ca="1" si="48"/>
        <v>0</v>
      </c>
      <c r="CP23" s="758">
        <f t="shared" ca="1" si="49"/>
        <v>0</v>
      </c>
      <c r="CQ23" s="758">
        <f t="shared" ca="1" si="50"/>
        <v>0</v>
      </c>
      <c r="CR23" s="758">
        <f ca="1">CM23+COUNTIFS($CN$6:$CN$53,CN23,$CQ$6:CQ$53,"&gt;"&amp;CQ23,$BC$6:$BC$53,INDEX(T_Equipos[Grupo],MATCH(BD23,T_Equipos[NombreEquipo],0)))</f>
        <v>1</v>
      </c>
      <c r="CS23" s="757" t="str">
        <f ca="1">IF(COUNTIFS($CR$6:$CR$53,CR23,$BC$6:$BC$53,INDEX(T_Equipos[Grupo],MATCH(BD23,T_Equipos[NombreEquipo],0)))=1,"-","P."&amp;CR23&amp;" ("&amp;COUNTIFS($CR$6:$CR$53,CR23,$BC$6:$BC$53,INDEX(T_Equipos[Grupo],MATCH(BD23,T_Equipos[NombreEquipo],0)))&amp;")")</f>
        <v>P.1 (4)</v>
      </c>
      <c r="CT23" s="758">
        <f t="shared" ca="1" si="51"/>
        <v>0</v>
      </c>
      <c r="CU23" s="758">
        <f ca="1">CR23+COUNTIFS($CS$6:$CS$53,CS23,$CT$6:CT$53,"&gt;"&amp;CT23,$BC$6:$BC$53,INDEX(T_Equipos[Grupo],MATCH(BD23,T_Equipos[NombreEquipo],0)))</f>
        <v>1</v>
      </c>
      <c r="CV23" s="757" t="str">
        <f ca="1">IF(COUNTIFS($CU$6:$CU$53,CU23,$BC$6:$BC$53,INDEX(T_Equipos[Grupo],MATCH(BD23,T_Equipos[NombreEquipo],0)))=1,"-","P."&amp;CU23&amp;" ("&amp;COUNTIFS($CU$6:$CU$53,CU23,$BC$6:$BC$53,INDEX(T_Equipos[Grupo],MATCH(BD23,T_Equipos[NombreEquipo],0)))&amp;")")</f>
        <v>P.1 (4)</v>
      </c>
      <c r="CW23" s="757">
        <f t="shared" ca="1" si="30"/>
        <v>0</v>
      </c>
      <c r="CX23" s="757">
        <f ca="1">CU23+COUNTIFS($CV$6:$CV$53,CV23,$CW$6:CW$53,"&gt;"&amp;CW23,$BC$6:$BC$53,INDEX(T_Equipos[Grupo],MATCH(BD23,T_Equipos[NombreEquipo],0)))</f>
        <v>1</v>
      </c>
      <c r="CY23" s="757" t="str">
        <f ca="1">IF(COUNTIFS($CX$6:$CX$53,CX23,$BC$6:$BC$53,INDEX(T_Equipos[Grupo],MATCH(BD23,T_Equipos[NombreEquipo],0)))=1,"-","P."&amp;CX23&amp;" ("&amp;COUNTIFS($CX$6:$CX$53,CX23,$BC$6:$BC$53,INDEX(T_Equipos[Grupo],MATCH(BD23,T_Equipos[NombreEquipo],0)))&amp;")")</f>
        <v>P.1 (4)</v>
      </c>
      <c r="CZ23" s="757">
        <f t="shared" ca="1" si="31"/>
        <v>0</v>
      </c>
      <c r="DA23" s="758">
        <f ca="1">CX23+COUNTIFS($CY$6:$CY$53,CY23,$CZ$6:CZ$53,"&gt;"&amp;CZ23,$BC$6:$BC$53,INDEX(T_Equipos[Grupo],MATCH(BD23,T_Equipos[NombreEquipo],0)))</f>
        <v>1</v>
      </c>
      <c r="DB23" s="757" t="str">
        <f ca="1">IF(COUNTIFS($DA$6:$DA$53,DA23,$BC$6:$BC$53,INDEX(T_Equipos[Grupo],MATCH(BD23,T_Equipos[NombreEquipo],0)))=1,"-","P."&amp;DA23&amp;" ("&amp;COUNTIFS($DA$6:$DA$53,DA23,$BC$6:$BC$53,INDEX(T_Equipos[Grupo],MATCH(BD23,T_Equipos[NombreEquipo],0)))&amp;")")</f>
        <v>P.1 (4)</v>
      </c>
      <c r="DC23" s="756">
        <f ca="1">IF(DB23="-","-",COUNTIFS(T_Equipos[Rank],"&lt;"&amp;INDEX(T_Equipos[Rank],MATCH(BD23,T_Equipos[NombreEquipo],0)),$BC$6:$BC$53,INDEX(T_Equipos[Grupo],MATCH(BD23,T_Equipos[NombreEquipo],0)))+1)</f>
        <v>2</v>
      </c>
      <c r="DD23" s="756">
        <f ca="1">DA23+COUNTIFS($DB$6:$DB$53,DB23,$DC$6:DC$53,"&lt;"&amp;DC23,$BC$6:$BC$53,INDEX(T_Equipos[Grupo],MATCH(BD23,T_Equipos[NombreEquipo],0)))</f>
        <v>2</v>
      </c>
      <c r="DE23" s="756"/>
      <c r="DF23" s="756">
        <f t="shared" ca="1" si="52"/>
        <v>2</v>
      </c>
      <c r="DG23" s="756">
        <f ca="1">IF(DB23="-","-",COUNTIFS(DF$6:DF$53,"&lt;"&amp;DF23,$BC$6:$BC$53,INDEX(T_Equipos[Grupo],MATCH(BD23,T_Equipos[NombreEquipo],0))))</f>
        <v>1</v>
      </c>
      <c r="DH23" s="756">
        <f ca="1">DA23+COUNTIFS(DB$6:DB$53,DB23,DG$6:DG$53,"&lt;"&amp;DG23,$BC$6:$BC$53,INDEX(T_Equipos[Grupo],MATCH(BD23,T_Equipos[NombreEquipo],0)))</f>
        <v>2</v>
      </c>
      <c r="DI23" s="744"/>
      <c r="DJ23" s="744">
        <f t="shared" ca="1" si="53"/>
        <v>1</v>
      </c>
      <c r="DK23" s="744">
        <f t="shared" ca="1" si="24"/>
        <v>0</v>
      </c>
      <c r="DL23" s="744">
        <f t="shared" ca="1" si="33"/>
        <v>1</v>
      </c>
      <c r="DM23" s="738" t="str">
        <f t="shared" ca="1" si="34"/>
        <v>1.1</v>
      </c>
      <c r="DN23" s="744" cm="1">
        <f t="array" aca="1" ref="DN23" ca="1">OFFSET(Horarios!$P$3,DJ23-1,0,DL23,1)</f>
        <v>1</v>
      </c>
      <c r="DO23" s="744"/>
      <c r="DP23" s="744" t="s">
        <v>662</v>
      </c>
      <c r="DQ23" s="744" t="str">
        <f t="shared" ca="1" si="35"/>
        <v>Curazao</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4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1">
        <f t="array" aca="1" ref="AK24" ca="1">Ver_flag_visit</f>
        <v>#VALUE!</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0</v>
      </c>
      <c r="BF24" s="748">
        <f t="shared" ca="1" si="26"/>
        <v>0</v>
      </c>
      <c r="BG24" s="748">
        <f t="shared" ca="1" si="17"/>
        <v>0</v>
      </c>
      <c r="BH24" s="748">
        <f t="shared" ca="1" si="18"/>
        <v>0</v>
      </c>
      <c r="BI24" s="748">
        <f t="shared" ca="1" si="19"/>
        <v>0</v>
      </c>
      <c r="BJ24" s="748">
        <f t="shared" ca="1" si="20"/>
        <v>0</v>
      </c>
      <c r="BK24" s="748">
        <f t="shared" ca="1" si="21"/>
        <v>0</v>
      </c>
      <c r="BL24" s="748">
        <f t="shared" ca="1" si="27"/>
        <v>0</v>
      </c>
      <c r="BM24" s="748" t="str">
        <f t="shared" ca="1" si="22"/>
        <v>3E</v>
      </c>
      <c r="BN24" s="748" t="str">
        <f t="shared" ca="1" si="23"/>
        <v>3E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0</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(4)</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(4)</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(4)</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(4)</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(4)</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(4)</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(4)</v>
      </c>
      <c r="CW24" s="757">
        <f t="shared" ca="1" si="30"/>
        <v>0</v>
      </c>
      <c r="CX24" s="757">
        <f ca="1">CU24+COUNTIFS($CV$6:$CV$53,CV24,$CW$6:CW$53,"&gt;"&amp;CW24,$BC$6:$BC$53,INDEX(T_Equipos[Grupo],MATCH(BD24,T_Equipos[NombreEquipo],0)))</f>
        <v>1</v>
      </c>
      <c r="CY24" s="757" t="str">
        <f ca="1">IF(COUNTIFS($CX$6:$CX$53,CX24,$BC$6:$BC$53,INDEX(T_Equipos[Grupo],MATCH(BD24,T_Equipos[NombreEquipo],0)))=1,"-","P."&amp;CX24&amp;" ("&amp;COUNTIFS($CX$6:$CX$53,CX24,$BC$6:$BC$53,INDEX(T_Equipos[Grupo],MATCH(BD24,T_Equipos[NombreEquipo],0)))&amp;")")</f>
        <v>P.1 (4)</v>
      </c>
      <c r="CZ24" s="757">
        <f t="shared" ca="1" si="31"/>
        <v>0</v>
      </c>
      <c r="DA24" s="758">
        <f ca="1">CX24+COUNTIFS($CY$6:$CY$53,CY24,$CZ$6:CZ$53,"&gt;"&amp;CZ24,$BC$6:$BC$53,INDEX(T_Equipos[Grupo],MATCH(BD24,T_Equipos[NombreEquipo],0)))</f>
        <v>1</v>
      </c>
      <c r="DB24" s="757" t="str">
        <f ca="1">IF(COUNTIFS($DA$6:$DA$53,DA24,$BC$6:$BC$53,INDEX(T_Equipos[Grupo],MATCH(BD24,T_Equipos[NombreEquipo],0)))=1,"-","P."&amp;DA24&amp;" ("&amp;COUNTIFS($DA$6:$DA$53,DA24,$BC$6:$BC$53,INDEX(T_Equipos[Grupo],MATCH(BD24,T_Equipos[NombreEquipo],0)))&amp;")")</f>
        <v>P.1 (4)</v>
      </c>
      <c r="DC24" s="756">
        <f ca="1">IF(DB24="-","-",COUNTIFS(T_Equipos[Rank],"&lt;"&amp;INDEX(T_Equipos[Rank],MATCH(BD24,T_Equipos[NombreEquipo],0)),$BC$6:$BC$53,INDEX(T_Equipos[Grupo],MATCH(BD24,T_Equipos[NombreEquipo],0)))+1)</f>
        <v>3</v>
      </c>
      <c r="DD24" s="756">
        <f ca="1">DA24+COUNTIFS($DB$6:$DB$53,DB24,$DC$6:DC$53,"&lt;"&amp;DC24,$BC$6:$BC$53,INDEX(T_Equipos[Grupo],MATCH(BD24,T_Equipos[NombreEquipo],0)))</f>
        <v>3</v>
      </c>
      <c r="DE24" s="756"/>
      <c r="DF24" s="756">
        <f t="shared" ca="1" si="52"/>
        <v>3</v>
      </c>
      <c r="DG24" s="756">
        <f ca="1">IF(DB24="-","-",COUNTIFS(DF$6:DF$53,"&lt;"&amp;DF24,$BC$6:$BC$53,INDEX(T_Equipos[Grupo],MATCH(BD24,T_Equipos[NombreEquipo],0))))</f>
        <v>2</v>
      </c>
      <c r="DH24" s="756">
        <f ca="1">DA24+COUNTIFS(DB$6:DB$53,DB24,DG$6:DG$53,"&lt;"&amp;DG24,$BC$6:$BC$53,INDEX(T_Equipos[Grupo],MATCH(BD24,T_Equipos[NombreEquipo],0)))</f>
        <v>3</v>
      </c>
      <c r="DI24" s="744"/>
      <c r="DJ24" s="744">
        <f t="shared" ca="1" si="53"/>
        <v>1</v>
      </c>
      <c r="DK24" s="744">
        <f t="shared" ca="1" si="24"/>
        <v>0</v>
      </c>
      <c r="DL24" s="744">
        <f t="shared" ca="1" si="33"/>
        <v>1</v>
      </c>
      <c r="DM24" s="738" t="str">
        <f t="shared" ca="1" si="34"/>
        <v>1.1</v>
      </c>
      <c r="DN24" s="744" cm="1">
        <f t="array" aca="1" ref="DN24" ca="1">OFFSET(Horarios!$P$3,DJ24-1,0,DL24,1)</f>
        <v>1</v>
      </c>
      <c r="DO24" s="744"/>
      <c r="DP24" s="744" t="s">
        <v>93</v>
      </c>
      <c r="DQ24" s="744" t="str">
        <f t="shared" ca="1" si="35"/>
        <v>Costa de Marfil</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4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2">
        <f t="array" aca="1" ref="AK25" ca="1">Ver_flag_visit</f>
        <v>#VALUE!</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0</v>
      </c>
      <c r="BG25" s="748">
        <f t="shared" ca="1" si="17"/>
        <v>0</v>
      </c>
      <c r="BH25" s="748">
        <f t="shared" ca="1" si="18"/>
        <v>0</v>
      </c>
      <c r="BI25" s="748">
        <f t="shared" ca="1" si="19"/>
        <v>0</v>
      </c>
      <c r="BJ25" s="748">
        <f t="shared" ca="1" si="20"/>
        <v>0</v>
      </c>
      <c r="BK25" s="748">
        <f t="shared" ca="1" si="21"/>
        <v>0</v>
      </c>
      <c r="BL25" s="748">
        <f t="shared" ca="1" si="27"/>
        <v>0</v>
      </c>
      <c r="BM25" s="748" t="str">
        <f t="shared" ca="1" si="22"/>
        <v>4E</v>
      </c>
      <c r="BN25" s="748" t="str">
        <f t="shared" ca="1" si="23"/>
        <v>4E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1</v>
      </c>
      <c r="BT25" s="757" t="str">
        <f ca="1">IF(COUNTIFS($BS$6:$BS$53,BS25,$BC$6:$BC$53,INDEX(T_Equipos[Grupo],MATCH(BD25,T_Equipos[NombreEquipo],0)))=1,"-","P."&amp;BS25&amp;" ("&amp;COUNTIFS($BS$6:$BS$53,BS25,$BC$6:$BC$53,INDEX(T_Equipos[Grupo],MATCH(BD25,T_Equipos[NombreEquipo],0)))&amp;")")</f>
        <v>P.1 (4)</v>
      </c>
      <c r="BU25" s="758">
        <f t="shared" ca="1" si="36"/>
        <v>0</v>
      </c>
      <c r="BV25" s="758">
        <f t="shared" ca="1" si="37"/>
        <v>0</v>
      </c>
      <c r="BW25" s="758">
        <f t="shared" ca="1" si="38"/>
        <v>0</v>
      </c>
      <c r="BX25" s="758">
        <f t="shared" ca="1" si="39"/>
        <v>0</v>
      </c>
      <c r="BY25" s="758">
        <f ca="1">BS25+COUNTIFS($BT$6:$BT$53,BT25,$BX$6:BX$53,"&gt;"&amp;BX25,$BC$6:$BC$53,INDEX(T_Equipos[Grupo],MATCH(BD25,T_Equipos[NombreEquipo],0)))</f>
        <v>1</v>
      </c>
      <c r="BZ25" s="757" t="str">
        <f ca="1">IF(COUNTIFS($BY$6:$BY$53,BY25,$BC$6:$BC$53,INDEX(T_Equipos[Grupo],MATCH(BD25,T_Equipos[NombreEquipo],0)))=1,"-","P."&amp;BY25&amp;" ("&amp;COUNTIFS($BY$6:$BY$53,BY25,$BC$6:$BC$53,INDEX(T_Equipos[Grupo],MATCH(BD25,T_Equipos[NombreEquipo],0)))&amp;")")</f>
        <v>P.1 (4)</v>
      </c>
      <c r="CA25" s="758">
        <f t="shared" ca="1" si="40"/>
        <v>0</v>
      </c>
      <c r="CB25" s="758">
        <f t="shared" ca="1" si="41"/>
        <v>0</v>
      </c>
      <c r="CC25" s="758">
        <f t="shared" ca="1" si="42"/>
        <v>0</v>
      </c>
      <c r="CD25" s="758">
        <f ca="1">BY25+COUNTIFS($BZ$6:$BZ$53,BZ25,$CC$6:CC$53,"&gt;"&amp;CC25,$BC$6:$BC$53,INDEX(T_Equipos[Grupo],MATCH(BD25,T_Equipos[NombreEquipo],0)))</f>
        <v>1</v>
      </c>
      <c r="CE25" s="757" t="str">
        <f ca="1">IF(COUNTIFS($CD$6:$CD$53,CD25,$BC$6:$BC$53,INDEX(T_Equipos[Grupo],MATCH(BD25,T_Equipos[NombreEquipo],0)))=1,"-","P."&amp;CD25&amp;" ("&amp;COUNTIFS($CD$6:$CD$53,CD25,$BC$6:$BC$53,INDEX(T_Equipos[Grupo],MATCH(BD25,T_Equipos[NombreEquipo],0)))&amp;")")</f>
        <v>P.1 (4)</v>
      </c>
      <c r="CF25" s="758">
        <f t="shared" ca="1" si="43"/>
        <v>0</v>
      </c>
      <c r="CG25" s="758">
        <f ca="1">CD25+COUNTIFS($CE$6:$CE$53,CE25,$CF$6:CF$53,"&gt;"&amp;CF25,$BC$6:$BC$53,INDEX(T_Equipos[Grupo],MATCH(BD25,T_Equipos[NombreEquipo],0)))</f>
        <v>1</v>
      </c>
      <c r="CH25" s="757" t="str">
        <f ca="1">IF(COUNTIFS($CG$6:$CG$53,CG25,$BC$6:$BC$53,INDEX(T_Equipos[Grupo],MATCH(BD25,T_Equipos[NombreEquipo],0)))=1,"-","P."&amp;CG25&amp;" ("&amp;COUNTIFS($CG$6:$CG$53,CG25,$BC$6:$BC$53,INDEX(T_Equipos[Grupo],MATCH(BD25,T_Equipos[NombreEquipo],0)))&amp;")")</f>
        <v>P.1 (4)</v>
      </c>
      <c r="CI25" s="758">
        <f t="shared" ca="1" si="44"/>
        <v>0</v>
      </c>
      <c r="CJ25" s="758">
        <f t="shared" ca="1" si="45"/>
        <v>0</v>
      </c>
      <c r="CK25" s="758">
        <f t="shared" ca="1" si="46"/>
        <v>0</v>
      </c>
      <c r="CL25" s="758">
        <f t="shared" ca="1" si="47"/>
        <v>0</v>
      </c>
      <c r="CM25" s="758">
        <f ca="1">CG25+COUNTIFS($CH$6:$CH$53,CH25,$CL$6:CL$53,"&gt;"&amp;CL25,$BC$6:$BC$53,INDEX(T_Equipos[Grupo],MATCH(BD25,T_Equipos[NombreEquipo],0)))</f>
        <v>1</v>
      </c>
      <c r="CN25" s="757" t="str">
        <f ca="1">IF(COUNTIFS($CM$6:$CM$53,CM25,$BC$6:$BC$53,INDEX(T_Equipos[Grupo],MATCH(BD25,T_Equipos[NombreEquipo],0)))=1,"-","P."&amp;CM25&amp;" ("&amp;COUNTIFS($CM$6:$CM$53,CM25,$BC$6:$BC$53,INDEX(T_Equipos[Grupo],MATCH(BD25,T_Equipos[NombreEquipo],0)))&amp;")")</f>
        <v>P.1 (4)</v>
      </c>
      <c r="CO25" s="758">
        <f t="shared" ca="1" si="48"/>
        <v>0</v>
      </c>
      <c r="CP25" s="758">
        <f t="shared" ca="1" si="49"/>
        <v>0</v>
      </c>
      <c r="CQ25" s="758">
        <f t="shared" ca="1" si="50"/>
        <v>0</v>
      </c>
      <c r="CR25" s="758">
        <f ca="1">CM25+COUNTIFS($CN$6:$CN$53,CN25,$CQ$6:CQ$53,"&gt;"&amp;CQ25,$BC$6:$BC$53,INDEX(T_Equipos[Grupo],MATCH(BD25,T_Equipos[NombreEquipo],0)))</f>
        <v>1</v>
      </c>
      <c r="CS25" s="757" t="str">
        <f ca="1">IF(COUNTIFS($CR$6:$CR$53,CR25,$BC$6:$BC$53,INDEX(T_Equipos[Grupo],MATCH(BD25,T_Equipos[NombreEquipo],0)))=1,"-","P."&amp;CR25&amp;" ("&amp;COUNTIFS($CR$6:$CR$53,CR25,$BC$6:$BC$53,INDEX(T_Equipos[Grupo],MATCH(BD25,T_Equipos[NombreEquipo],0)))&amp;")")</f>
        <v>P.1 (4)</v>
      </c>
      <c r="CT25" s="758">
        <f t="shared" ca="1" si="51"/>
        <v>0</v>
      </c>
      <c r="CU25" s="758">
        <f ca="1">CR25+COUNTIFS($CS$6:$CS$53,CS25,$CT$6:CT$53,"&gt;"&amp;CT25,$BC$6:$BC$53,INDEX(T_Equipos[Grupo],MATCH(BD25,T_Equipos[NombreEquipo],0)))</f>
        <v>1</v>
      </c>
      <c r="CV25" s="757" t="str">
        <f ca="1">IF(COUNTIFS($CU$6:$CU$53,CU25,$BC$6:$BC$53,INDEX(T_Equipos[Grupo],MATCH(BD25,T_Equipos[NombreEquipo],0)))=1,"-","P."&amp;CU25&amp;" ("&amp;COUNTIFS($CU$6:$CU$53,CU25,$BC$6:$BC$53,INDEX(T_Equipos[Grupo],MATCH(BD25,T_Equipos[NombreEquipo],0)))&amp;")")</f>
        <v>P.1 (4)</v>
      </c>
      <c r="CW25" s="757">
        <f t="shared" ca="1" si="30"/>
        <v>0</v>
      </c>
      <c r="CX25" s="757">
        <f ca="1">CU25+COUNTIFS($CV$6:$CV$53,CV25,$CW$6:CW$53,"&gt;"&amp;CW25,$BC$6:$BC$53,INDEX(T_Equipos[Grupo],MATCH(BD25,T_Equipos[NombreEquipo],0)))</f>
        <v>1</v>
      </c>
      <c r="CY25" s="757" t="str">
        <f ca="1">IF(COUNTIFS($CX$6:$CX$53,CX25,$BC$6:$BC$53,INDEX(T_Equipos[Grupo],MATCH(BD25,T_Equipos[NombreEquipo],0)))=1,"-","P."&amp;CX25&amp;" ("&amp;COUNTIFS($CX$6:$CX$53,CX25,$BC$6:$BC$53,INDEX(T_Equipos[Grupo],MATCH(BD25,T_Equipos[NombreEquipo],0)))&amp;")")</f>
        <v>P.1 (4)</v>
      </c>
      <c r="CZ25" s="757">
        <f t="shared" ca="1" si="31"/>
        <v>0</v>
      </c>
      <c r="DA25" s="758">
        <f ca="1">CX25+COUNTIFS($CY$6:$CY$53,CY25,$CZ$6:CZ$53,"&gt;"&amp;CZ25,$BC$6:$BC$53,INDEX(T_Equipos[Grupo],MATCH(BD25,T_Equipos[NombreEquipo],0)))</f>
        <v>1</v>
      </c>
      <c r="DB25" s="757" t="str">
        <f ca="1">IF(COUNTIFS($DA$6:$DA$53,DA25,$BC$6:$BC$53,INDEX(T_Equipos[Grupo],MATCH(BD25,T_Equipos[NombreEquipo],0)))=1,"-","P."&amp;DA25&amp;" ("&amp;COUNTIFS($DA$6:$DA$53,DA25,$BC$6:$BC$53,INDEX(T_Equipos[Grupo],MATCH(BD25,T_Equipos[NombreEquipo],0)))&amp;")")</f>
        <v>P.1 (4)</v>
      </c>
      <c r="DC25" s="756">
        <f ca="1">IF(DB25="-","-",COUNTIFS(T_Equipos[Rank],"&lt;"&amp;INDEX(T_Equipos[Rank],MATCH(BD25,T_Equipos[NombreEquipo],0)),$BC$6:$BC$53,INDEX(T_Equipos[Grupo],MATCH(BD25,T_Equipos[NombreEquipo],0)))+1)</f>
        <v>4</v>
      </c>
      <c r="DD25" s="756">
        <f ca="1">DA25+COUNTIFS($DB$6:$DB$53,DB25,$DC$6:DC$53,"&lt;"&amp;DC25,$BC$6:$BC$53,INDEX(T_Equipos[Grupo],MATCH(BD25,T_Equipos[NombreEquipo],0)))</f>
        <v>4</v>
      </c>
      <c r="DE25" s="756"/>
      <c r="DF25" s="756">
        <f t="shared" ca="1" si="52"/>
        <v>4</v>
      </c>
      <c r="DG25" s="756">
        <f ca="1">IF(DB25="-","-",COUNTIFS(DF$6:DF$53,"&lt;"&amp;DF25,$BC$6:$BC$53,INDEX(T_Equipos[Grupo],MATCH(BD25,T_Equipos[NombreEquipo],0))))</f>
        <v>3</v>
      </c>
      <c r="DH25" s="756">
        <f ca="1">DA25+COUNTIFS(DB$6:DB$53,DB25,DG$6:DG$53,"&lt;"&amp;DG25,$BC$6:$BC$53,INDEX(T_Equipos[Grupo],MATCH(BD25,T_Equipos[NombreEquipo],0)))</f>
        <v>4</v>
      </c>
      <c r="DI25" s="744"/>
      <c r="DJ25" s="744">
        <f t="shared" ca="1" si="53"/>
        <v>1</v>
      </c>
      <c r="DK25" s="744">
        <f t="shared" ca="1" si="24"/>
        <v>0</v>
      </c>
      <c r="DL25" s="744">
        <f t="shared" ca="1" si="33"/>
        <v>1</v>
      </c>
      <c r="DM25" s="738" t="str">
        <f t="shared" ca="1" si="34"/>
        <v>1.1</v>
      </c>
      <c r="DN25" s="744" cm="1">
        <f t="array" aca="1" ref="DN25" ca="1">OFFSET(Horarios!$P$3,DJ25-1,0,DL25,1)</f>
        <v>1</v>
      </c>
      <c r="DO25" s="744"/>
      <c r="DP25" s="744" t="s">
        <v>663</v>
      </c>
      <c r="DQ25" s="744" t="str">
        <f t="shared" ca="1" si="35"/>
        <v>Ecuador</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0</v>
      </c>
      <c r="BF26" s="748">
        <f t="shared" ca="1" si="26"/>
        <v>0</v>
      </c>
      <c r="BG26" s="748">
        <f t="shared" ca="1" si="17"/>
        <v>0</v>
      </c>
      <c r="BH26" s="748">
        <f t="shared" ca="1" si="18"/>
        <v>0</v>
      </c>
      <c r="BI26" s="748">
        <f t="shared" ca="1" si="19"/>
        <v>0</v>
      </c>
      <c r="BJ26" s="748">
        <f t="shared" ca="1" si="20"/>
        <v>0</v>
      </c>
      <c r="BK26" s="748">
        <f t="shared" ca="1" si="21"/>
        <v>0</v>
      </c>
      <c r="BL26" s="748">
        <f t="shared" ca="1" si="27"/>
        <v>0</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0</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(4)</v>
      </c>
      <c r="BU26" s="758">
        <f t="shared" ca="1" si="36"/>
        <v>0</v>
      </c>
      <c r="BV26" s="758">
        <f t="shared" ca="1" si="37"/>
        <v>0</v>
      </c>
      <c r="BW26" s="758">
        <f t="shared" ca="1" si="38"/>
        <v>0</v>
      </c>
      <c r="BX26" s="758">
        <f t="shared" ca="1" si="39"/>
        <v>0</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(4)</v>
      </c>
      <c r="CA26" s="758">
        <f t="shared" ca="1" si="40"/>
        <v>0</v>
      </c>
      <c r="CB26" s="758">
        <f t="shared" ca="1" si="41"/>
        <v>0</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(4)</v>
      </c>
      <c r="CF26" s="758">
        <f t="shared" ca="1" si="43"/>
        <v>0</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(4)</v>
      </c>
      <c r="CI26" s="758">
        <f t="shared" ca="1" si="44"/>
        <v>0</v>
      </c>
      <c r="CJ26" s="758">
        <f t="shared" ca="1" si="45"/>
        <v>0</v>
      </c>
      <c r="CK26" s="758">
        <f t="shared" ca="1" si="46"/>
        <v>0</v>
      </c>
      <c r="CL26" s="758">
        <f t="shared" ca="1" si="47"/>
        <v>0</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(4)</v>
      </c>
      <c r="CO26" s="758">
        <f t="shared" ca="1" si="48"/>
        <v>0</v>
      </c>
      <c r="CP26" s="758">
        <f t="shared" ca="1" si="49"/>
        <v>0</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(4)</v>
      </c>
      <c r="CT26" s="758">
        <f t="shared" ca="1" si="51"/>
        <v>0</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(4)</v>
      </c>
      <c r="CW26" s="757">
        <f t="shared" ca="1" si="30"/>
        <v>0</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(4)</v>
      </c>
      <c r="CZ26" s="757">
        <f t="shared" ca="1" si="31"/>
        <v>0</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P.1 (4)</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1</v>
      </c>
      <c r="DE26" s="756"/>
      <c r="DF26" s="756">
        <f t="shared" ca="1" si="52"/>
        <v>1</v>
      </c>
      <c r="DG26" s="756">
        <f ca="1">IF(DB26="-","-",COUNTIFS(DF$6:DF$53,"&lt;"&amp;DF26,$BC$6:$BC$53,INDEX(T_Equipos[Grupo],MATCH(BD26,T_Equipos[NombreEquipo],0))))</f>
        <v>0</v>
      </c>
      <c r="DH26" s="756">
        <f ca="1">DA26+COUNTIFS(DB$6:DB$53,DB26,DG$6:DG$53,"&lt;"&amp;DG26,$BC$6:$BC$53,INDEX(T_Equipos[Grupo],MATCH(BD26,T_Equipos[NombreEquipo],0)))</f>
        <v>1</v>
      </c>
      <c r="DI26" s="744"/>
      <c r="DJ26" s="744">
        <f t="shared" ca="1" si="53"/>
        <v>1</v>
      </c>
      <c r="DK26" s="744">
        <f t="shared" ca="1" si="24"/>
        <v>0</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0</v>
      </c>
      <c r="BF27" s="748">
        <f t="shared" ca="1" si="26"/>
        <v>0</v>
      </c>
      <c r="BG27" s="748">
        <f t="shared" ca="1" si="17"/>
        <v>0</v>
      </c>
      <c r="BH27" s="748">
        <f t="shared" ca="1" si="18"/>
        <v>0</v>
      </c>
      <c r="BI27" s="748">
        <f t="shared" ca="1" si="19"/>
        <v>0</v>
      </c>
      <c r="BJ27" s="748">
        <f t="shared" ca="1" si="20"/>
        <v>0</v>
      </c>
      <c r="BK27" s="748">
        <f t="shared" ca="1" si="21"/>
        <v>0</v>
      </c>
      <c r="BL27" s="748">
        <f t="shared" ca="1" si="27"/>
        <v>0</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0</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(4)</v>
      </c>
      <c r="BU27" s="758">
        <f t="shared" ca="1" si="36"/>
        <v>0</v>
      </c>
      <c r="BV27" s="758">
        <f t="shared" ca="1" si="37"/>
        <v>0</v>
      </c>
      <c r="BW27" s="758">
        <f t="shared" ca="1" si="38"/>
        <v>0</v>
      </c>
      <c r="BX27" s="758">
        <f t="shared" ca="1" si="39"/>
        <v>0</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(4)</v>
      </c>
      <c r="CA27" s="758">
        <f t="shared" ca="1" si="40"/>
        <v>0</v>
      </c>
      <c r="CB27" s="758">
        <f t="shared" ca="1" si="41"/>
        <v>0</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(4)</v>
      </c>
      <c r="CF27" s="758">
        <f t="shared" ca="1" si="43"/>
        <v>0</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(4)</v>
      </c>
      <c r="CI27" s="758">
        <f t="shared" ca="1" si="44"/>
        <v>0</v>
      </c>
      <c r="CJ27" s="758">
        <f t="shared" ca="1" si="45"/>
        <v>0</v>
      </c>
      <c r="CK27" s="758">
        <f t="shared" ca="1" si="46"/>
        <v>0</v>
      </c>
      <c r="CL27" s="758">
        <f t="shared" ca="1" si="47"/>
        <v>0</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(4)</v>
      </c>
      <c r="CO27" s="758">
        <f t="shared" ca="1" si="48"/>
        <v>0</v>
      </c>
      <c r="CP27" s="758">
        <f t="shared" ca="1" si="49"/>
        <v>0</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(4)</v>
      </c>
      <c r="CT27" s="758">
        <f t="shared" ca="1" si="51"/>
        <v>0</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(4)</v>
      </c>
      <c r="CW27" s="757">
        <f t="shared" ca="1" si="30"/>
        <v>0</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(4)</v>
      </c>
      <c r="CZ27" s="757">
        <f t="shared" ca="1" si="31"/>
        <v>0</v>
      </c>
      <c r="DA27" s="758">
        <f ca="1">CX27+COUNTIFS($CY$6:$CY$53,CY27,$CZ$6:CZ$53,"&gt;"&amp;CZ27,$BC$6:$BC$53,INDEX(T_Equipos[Grupo],MATCH(BD27,T_Equipos[NombreEquipo],0)))</f>
        <v>1</v>
      </c>
      <c r="DB27" s="757" t="str">
        <f ca="1">IF(COUNTIFS($DA$6:$DA$53,DA27,$BC$6:$BC$53,INDEX(T_Equipos[Grupo],MATCH(BD27,T_Equipos[NombreEquipo],0)))=1,"-","P."&amp;DA27&amp;" ("&amp;COUNTIFS($DA$6:$DA$53,DA27,$BC$6:$BC$53,INDEX(T_Equipos[Grupo],MATCH(BD27,T_Equipos[NombreEquipo],0)))&amp;")")</f>
        <v>P.1 (4)</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2</v>
      </c>
      <c r="DE27" s="756"/>
      <c r="DF27" s="756">
        <f t="shared" ca="1" si="52"/>
        <v>2</v>
      </c>
      <c r="DG27" s="756">
        <f ca="1">IF(DB27="-","-",COUNTIFS(DF$6:DF$53,"&lt;"&amp;DF27,$BC$6:$BC$53,INDEX(T_Equipos[Grupo],MATCH(BD27,T_Equipos[NombreEquipo],0))))</f>
        <v>1</v>
      </c>
      <c r="DH27" s="756">
        <f ca="1">DA27+COUNTIFS(DB$6:DB$53,DB27,DG$6:DG$53,"&lt;"&amp;DG27,$BC$6:$BC$53,INDEX(T_Equipos[Grupo],MATCH(BD27,T_Equipos[NombreEquipo],0)))</f>
        <v>2</v>
      </c>
      <c r="DI27" s="744"/>
      <c r="DJ27" s="744">
        <f t="shared" ca="1" si="53"/>
        <v>1</v>
      </c>
      <c r="DK27" s="744">
        <f t="shared" ca="1" si="24"/>
        <v>0</v>
      </c>
      <c r="DL27" s="744">
        <f t="shared" ca="1" si="33"/>
        <v>1</v>
      </c>
      <c r="DM27" s="738" t="str">
        <f t="shared" ca="1" si="34"/>
        <v>1.1</v>
      </c>
      <c r="DN27" s="744" cm="1">
        <f t="array" aca="1" ref="DN27" ca="1">OFFSET(Horarios!$P$3,DJ27-1,0,DL27,1)</f>
        <v>1</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Pendiente</v>
      </c>
      <c r="E28" s="744" t="str">
        <f t="shared" ref="E28:E33" si="95">IF(D28="Pendiente","-",INDEX($BT$6:$BT$53,MATCH($AA28,$BD$6:$BD$53,0)))</f>
        <v>-</v>
      </c>
      <c r="F28" s="744" t="str">
        <f t="shared" ref="F28:F33" si="96">IF(D28="Pendiente","-",INDEX($BT$6:$BT$53,MATCH($AF28,$BD$6:$BD$53,0)))</f>
        <v>-</v>
      </c>
      <c r="G28" s="744"/>
      <c r="H28" s="744" t="str">
        <f t="shared" ref="H28:H33" si="97">IF(D28="Pendiente","-",INDEX($BZ$6:$BZ$53,MATCH($AA28,$BD$6:$BD$53,0)))</f>
        <v>-</v>
      </c>
      <c r="I28" s="744" t="str">
        <f t="shared" ref="I28:I33" si="98">IF(D28="Pendiente","-",INDEX($BZ$6:$BZ$53,MATCH($AF28,$BD$6:$BD$53,0)))</f>
        <v>-</v>
      </c>
      <c r="J28" s="744"/>
      <c r="K28" s="744" t="str">
        <f t="shared" ref="K28:K33" si="99">IF(D28="Pendiente","-",INDEX($CE$6:$CE$53,MATCH($AA28,$BD$6:$BD$53,0)))</f>
        <v>-</v>
      </c>
      <c r="L28" s="744" t="str">
        <f t="shared" ref="L28:L33" si="100">IF(D28="Pendiente","-",INDEX($CE$6:$CE$53,MATCH($AF28,$BD$6:$BD$53,0)))</f>
        <v>-</v>
      </c>
      <c r="M28" s="744"/>
      <c r="N28" s="744" t="str">
        <f t="shared" ref="N28:N33" si="101">IF(D28="Pendiente","-",INDEX($CH$6:$CH$53,MATCH($AA28,$BD$6:$BD$53,0)))</f>
        <v>-</v>
      </c>
      <c r="O28" s="744" t="str">
        <f t="shared" ref="O28:O33" si="102">IF(D28="Pendiente","-",INDEX($CH$6:$CH$53,MATCH($AF28,$BD$6:$BD$53,0)))</f>
        <v>-</v>
      </c>
      <c r="P28" s="744"/>
      <c r="Q28" s="744" t="str">
        <f t="shared" ref="Q28:Q33" si="103">IF(D28="Pendiente","-",INDEX($CN$6:$CN$53,MATCH($AA28,$BD$6:$BD$53,0)))</f>
        <v>-</v>
      </c>
      <c r="R28" s="744" t="str">
        <f t="shared" ref="R28:R33" si="104">IF(D28="Pendiente","-",INDEX($CN$6:$CN$53,MATCH($AF28,$BD$6:$BD$53,0)))</f>
        <v>-</v>
      </c>
      <c r="S28" s="744"/>
      <c r="T28" s="744" t="str">
        <f t="shared" ref="T28:T33" si="105">IF(D28="Pendiente","-",INDEX($CS$6:$CS$53,MATCH($AA28,$BD$6:$BD$53,0)))</f>
        <v>-</v>
      </c>
      <c r="U28" s="744" t="str">
        <f t="shared" ref="U28:U33" si="106">IF(D28="Pendiente","-",INDEX($CS$6:$CS$53,MATCH($AF28,$BD$6:$BD$53,0)))</f>
        <v>-</v>
      </c>
      <c r="V28" s="172"/>
      <c r="W28" s="849" t="s">
        <v>73</v>
      </c>
      <c r="X28" s="189">
        <f ca="1">Horarios!C28</f>
        <v>46186.125</v>
      </c>
      <c r="Y28" s="190">
        <f ca="1">Horarios!C28</f>
        <v>46186.125</v>
      </c>
      <c r="Z28" s="191" t="str">
        <f>$Z$4</f>
        <v>J1</v>
      </c>
      <c r="AA28" s="192" t="str">
        <f ca="1">A29</f>
        <v>Estados Unidos</v>
      </c>
      <c r="AB28" s="478" t="e" cm="1" vm="13">
        <f t="array" aca="1" ref="AB28" ca="1">Ver_flag_local</f>
        <v>#VALUE!</v>
      </c>
      <c r="AC28" s="193"/>
      <c r="AD28" s="194"/>
      <c r="AE28" s="483" t="e" cm="1" vm="14">
        <f t="array" aca="1" ref="AE28" ca="1">Ver_flag_visit</f>
        <v>#VALUE!</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0</v>
      </c>
      <c r="BF28" s="748">
        <f t="shared" ca="1" si="26"/>
        <v>0</v>
      </c>
      <c r="BG28" s="748">
        <f t="shared" ca="1" si="17"/>
        <v>0</v>
      </c>
      <c r="BH28" s="748">
        <f t="shared" ca="1" si="18"/>
        <v>0</v>
      </c>
      <c r="BI28" s="748">
        <f t="shared" ca="1" si="19"/>
        <v>0</v>
      </c>
      <c r="BJ28" s="748">
        <f t="shared" ca="1" si="20"/>
        <v>0</v>
      </c>
      <c r="BK28" s="748">
        <f t="shared" ca="1" si="21"/>
        <v>0</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0</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P.1 (4)</v>
      </c>
      <c r="BU28" s="758">
        <f t="shared" ca="1" si="36"/>
        <v>0</v>
      </c>
      <c r="BV28" s="758">
        <f t="shared" ca="1" si="37"/>
        <v>0</v>
      </c>
      <c r="BW28" s="758">
        <f t="shared" ca="1" si="38"/>
        <v>0</v>
      </c>
      <c r="BX28" s="758">
        <f t="shared" ca="1" si="39"/>
        <v>0</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P.1 (4)</v>
      </c>
      <c r="CA28" s="758">
        <f t="shared" ca="1" si="40"/>
        <v>0</v>
      </c>
      <c r="CB28" s="758">
        <f t="shared" ca="1" si="41"/>
        <v>0</v>
      </c>
      <c r="CC28" s="758">
        <f t="shared" ca="1" si="42"/>
        <v>0</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P.1 (4)</v>
      </c>
      <c r="CF28" s="758">
        <f t="shared" ca="1" si="43"/>
        <v>0</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P.1 (4)</v>
      </c>
      <c r="CI28" s="758">
        <f t="shared" ca="1" si="44"/>
        <v>0</v>
      </c>
      <c r="CJ28" s="758">
        <f t="shared" ca="1" si="45"/>
        <v>0</v>
      </c>
      <c r="CK28" s="758">
        <f t="shared" ca="1" si="46"/>
        <v>0</v>
      </c>
      <c r="CL28" s="758">
        <f t="shared" ca="1" si="47"/>
        <v>0</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P.1 (4)</v>
      </c>
      <c r="CO28" s="758">
        <f t="shared" ca="1" si="48"/>
        <v>0</v>
      </c>
      <c r="CP28" s="758">
        <f t="shared" ca="1" si="49"/>
        <v>0</v>
      </c>
      <c r="CQ28" s="758">
        <f t="shared" ca="1" si="50"/>
        <v>0</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P.1 (4)</v>
      </c>
      <c r="CT28" s="758">
        <f t="shared" ca="1" si="51"/>
        <v>0</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P.1 (4)</v>
      </c>
      <c r="CW28" s="757">
        <f t="shared" ca="1" si="30"/>
        <v>0</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P.1 (4)</v>
      </c>
      <c r="CZ28" s="757">
        <f t="shared" ca="1" si="31"/>
        <v>0</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P.1 (4)</v>
      </c>
      <c r="DC28" s="756">
        <f ca="1">IF(DB28="-","-",COUNTIFS(T_Equipos[Rank],"&lt;"&amp;INDEX(T_Equipos[Rank],MATCH(BD28,T_Equipos[NombreEquipo],0)),$BC$6:$BC$53,INDEX(T_Equipos[Grupo],MATCH(BD28,T_Equipos[NombreEquipo],0)))+1)</f>
        <v>3</v>
      </c>
      <c r="DD28" s="756">
        <f ca="1">DA28+COUNTIFS($DB$6:$DB$53,DB28,$DC$6:DC$53,"&lt;"&amp;DC28,$BC$6:$BC$53,INDEX(T_Equipos[Grupo],MATCH(BD28,T_Equipos[NombreEquipo],0)))</f>
        <v>3</v>
      </c>
      <c r="DE28" s="756"/>
      <c r="DF28" s="756">
        <f t="shared" ca="1" si="52"/>
        <v>3</v>
      </c>
      <c r="DG28" s="756">
        <f ca="1">IF(DB28="-","-",COUNTIFS(DF$6:DF$53,"&lt;"&amp;DF28,$BC$6:$BC$53,INDEX(T_Equipos[Grupo],MATCH(BD28,T_Equipos[NombreEquipo],0))))</f>
        <v>2</v>
      </c>
      <c r="DH28" s="756">
        <f ca="1">DA28+COUNTIFS(DB$6:DB$53,DB28,DG$6:DG$53,"&lt;"&amp;DG28,$BC$6:$BC$53,INDEX(T_Equipos[Grupo],MATCH(BD28,T_Equipos[NombreEquipo],0)))</f>
        <v>3</v>
      </c>
      <c r="DI28" s="744"/>
      <c r="DJ28" s="744">
        <f t="shared" ca="1" si="53"/>
        <v>1</v>
      </c>
      <c r="DK28" s="744">
        <f t="shared" ca="1" si="24"/>
        <v>0</v>
      </c>
      <c r="DL28" s="744">
        <f t="shared" ca="1" si="33"/>
        <v>1</v>
      </c>
      <c r="DM28" s="738" t="str">
        <f t="shared" ca="1" si="34"/>
        <v>1.1</v>
      </c>
      <c r="DN28" s="744" cm="1">
        <f t="array" aca="1" ref="DN28" ca="1">OFFSET(Horarios!$P$3,DJ28-1,0,DL28,1)</f>
        <v>1</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Pendiente</v>
      </c>
      <c r="E29" s="744" t="str">
        <f t="shared" si="95"/>
        <v>-</v>
      </c>
      <c r="F29" s="744" t="str">
        <f t="shared" si="96"/>
        <v>-</v>
      </c>
      <c r="G29" s="744"/>
      <c r="H29" s="744" t="str">
        <f t="shared" si="97"/>
        <v>-</v>
      </c>
      <c r="I29" s="744" t="str">
        <f t="shared" si="98"/>
        <v>-</v>
      </c>
      <c r="J29" s="744"/>
      <c r="K29" s="744" t="str">
        <f t="shared" si="99"/>
        <v>-</v>
      </c>
      <c r="L29" s="744" t="str">
        <f t="shared" si="100"/>
        <v>-</v>
      </c>
      <c r="M29" s="744"/>
      <c r="N29" s="744" t="str">
        <f t="shared" si="101"/>
        <v>-</v>
      </c>
      <c r="O29" s="744" t="str">
        <f t="shared" si="102"/>
        <v>-</v>
      </c>
      <c r="P29" s="744"/>
      <c r="Q29" s="744" t="str">
        <f t="shared" si="103"/>
        <v>-</v>
      </c>
      <c r="R29" s="744" t="str">
        <f t="shared" si="104"/>
        <v>-</v>
      </c>
      <c r="S29" s="744"/>
      <c r="T29" s="744" t="str">
        <f t="shared" si="105"/>
        <v>-</v>
      </c>
      <c r="U29" s="744" t="str">
        <f t="shared" si="106"/>
        <v>-</v>
      </c>
      <c r="V29" s="172"/>
      <c r="W29" s="849"/>
      <c r="X29" s="189">
        <f ca="1">Horarios!C29</f>
        <v>46187.25</v>
      </c>
      <c r="Y29" s="190">
        <f ca="1">Horarios!C29</f>
        <v>46187.25</v>
      </c>
      <c r="Z29" s="191" t="str">
        <f>$Z$4</f>
        <v>J1</v>
      </c>
      <c r="AA29" s="192" t="str">
        <f ca="1">A31</f>
        <v>Australia</v>
      </c>
      <c r="AB29" s="478" t="e" cm="1" vm="15">
        <f t="array" aca="1" ref="AB29" ca="1">Ver_flag_local</f>
        <v>#VALUE!</v>
      </c>
      <c r="AC29" s="193"/>
      <c r="AD29" s="194"/>
      <c r="AE29" s="483" t="e" cm="1" vm="16">
        <f t="array" aca="1" ref="AE29" ca="1">Ver_flag_visit</f>
        <v>#VALUE!</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0</v>
      </c>
      <c r="BG29" s="748">
        <f t="shared" ca="1" si="17"/>
        <v>0</v>
      </c>
      <c r="BH29" s="748">
        <f t="shared" ca="1" si="18"/>
        <v>0</v>
      </c>
      <c r="BI29" s="748">
        <f t="shared" ca="1" si="19"/>
        <v>0</v>
      </c>
      <c r="BJ29" s="748">
        <f t="shared" ca="1" si="20"/>
        <v>0</v>
      </c>
      <c r="BK29" s="748">
        <f t="shared" ca="1" si="21"/>
        <v>0</v>
      </c>
      <c r="BL29" s="748">
        <f t="shared" ca="1" si="27"/>
        <v>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1</v>
      </c>
      <c r="BT29" s="757" t="str">
        <f ca="1">IF(COUNTIFS($BS$6:$BS$53,BS29,$BC$6:$BC$53,INDEX(T_Equipos[Grupo],MATCH(BD29,T_Equipos[NombreEquipo],0)))=1,"-","P."&amp;BS29&amp;" ("&amp;COUNTIFS($BS$6:$BS$53,BS29,$BC$6:$BC$53,INDEX(T_Equipos[Grupo],MATCH(BD29,T_Equipos[NombreEquipo],0)))&amp;")")</f>
        <v>P.1 (4)</v>
      </c>
      <c r="BU29" s="758">
        <f t="shared" ca="1" si="36"/>
        <v>0</v>
      </c>
      <c r="BV29" s="758">
        <f t="shared" ca="1" si="37"/>
        <v>0</v>
      </c>
      <c r="BW29" s="758">
        <f t="shared" ca="1" si="38"/>
        <v>0</v>
      </c>
      <c r="BX29" s="758">
        <f t="shared" ca="1" si="39"/>
        <v>0</v>
      </c>
      <c r="BY29" s="758">
        <f ca="1">BS29+COUNTIFS($BT$6:$BT$53,BT29,$BX$6:BX$53,"&gt;"&amp;BX29,$BC$6:$BC$53,INDEX(T_Equipos[Grupo],MATCH(BD29,T_Equipos[NombreEquipo],0)))</f>
        <v>1</v>
      </c>
      <c r="BZ29" s="757" t="str">
        <f ca="1">IF(COUNTIFS($BY$6:$BY$53,BY29,$BC$6:$BC$53,INDEX(T_Equipos[Grupo],MATCH(BD29,T_Equipos[NombreEquipo],0)))=1,"-","P."&amp;BY29&amp;" ("&amp;COUNTIFS($BY$6:$BY$53,BY29,$BC$6:$BC$53,INDEX(T_Equipos[Grupo],MATCH(BD29,T_Equipos[NombreEquipo],0)))&amp;")")</f>
        <v>P.1 (4)</v>
      </c>
      <c r="CA29" s="758">
        <f t="shared" ca="1" si="40"/>
        <v>0</v>
      </c>
      <c r="CB29" s="758">
        <f t="shared" ca="1" si="41"/>
        <v>0</v>
      </c>
      <c r="CC29" s="758">
        <f t="shared" ca="1" si="42"/>
        <v>0</v>
      </c>
      <c r="CD29" s="758">
        <f ca="1">BY29+COUNTIFS($BZ$6:$BZ$53,BZ29,$CC$6:CC$53,"&gt;"&amp;CC29,$BC$6:$BC$53,INDEX(T_Equipos[Grupo],MATCH(BD29,T_Equipos[NombreEquipo],0)))</f>
        <v>1</v>
      </c>
      <c r="CE29" s="757" t="str">
        <f ca="1">IF(COUNTIFS($CD$6:$CD$53,CD29,$BC$6:$BC$53,INDEX(T_Equipos[Grupo],MATCH(BD29,T_Equipos[NombreEquipo],0)))=1,"-","P."&amp;CD29&amp;" ("&amp;COUNTIFS($CD$6:$CD$53,CD29,$BC$6:$BC$53,INDEX(T_Equipos[Grupo],MATCH(BD29,T_Equipos[NombreEquipo],0)))&amp;")")</f>
        <v>P.1 (4)</v>
      </c>
      <c r="CF29" s="758">
        <f t="shared" ca="1" si="43"/>
        <v>0</v>
      </c>
      <c r="CG29" s="758">
        <f ca="1">CD29+COUNTIFS($CE$6:$CE$53,CE29,$CF$6:CF$53,"&gt;"&amp;CF29,$BC$6:$BC$53,INDEX(T_Equipos[Grupo],MATCH(BD29,T_Equipos[NombreEquipo],0)))</f>
        <v>1</v>
      </c>
      <c r="CH29" s="757" t="str">
        <f ca="1">IF(COUNTIFS($CG$6:$CG$53,CG29,$BC$6:$BC$53,INDEX(T_Equipos[Grupo],MATCH(BD29,T_Equipos[NombreEquipo],0)))=1,"-","P."&amp;CG29&amp;" ("&amp;COUNTIFS($CG$6:$CG$53,CG29,$BC$6:$BC$53,INDEX(T_Equipos[Grupo],MATCH(BD29,T_Equipos[NombreEquipo],0)))&amp;")")</f>
        <v>P.1 (4)</v>
      </c>
      <c r="CI29" s="758">
        <f t="shared" ca="1" si="44"/>
        <v>0</v>
      </c>
      <c r="CJ29" s="758">
        <f t="shared" ca="1" si="45"/>
        <v>0</v>
      </c>
      <c r="CK29" s="758">
        <f t="shared" ca="1" si="46"/>
        <v>0</v>
      </c>
      <c r="CL29" s="758">
        <f t="shared" ca="1" si="47"/>
        <v>0</v>
      </c>
      <c r="CM29" s="758">
        <f ca="1">CG29+COUNTIFS($CH$6:$CH$53,CH29,$CL$6:CL$53,"&gt;"&amp;CL29,$BC$6:$BC$53,INDEX(T_Equipos[Grupo],MATCH(BD29,T_Equipos[NombreEquipo],0)))</f>
        <v>1</v>
      </c>
      <c r="CN29" s="757" t="str">
        <f ca="1">IF(COUNTIFS($CM$6:$CM$53,CM29,$BC$6:$BC$53,INDEX(T_Equipos[Grupo],MATCH(BD29,T_Equipos[NombreEquipo],0)))=1,"-","P."&amp;CM29&amp;" ("&amp;COUNTIFS($CM$6:$CM$53,CM29,$BC$6:$BC$53,INDEX(T_Equipos[Grupo],MATCH(BD29,T_Equipos[NombreEquipo],0)))&amp;")")</f>
        <v>P.1 (4)</v>
      </c>
      <c r="CO29" s="758">
        <f t="shared" ca="1" si="48"/>
        <v>0</v>
      </c>
      <c r="CP29" s="758">
        <f t="shared" ca="1" si="49"/>
        <v>0</v>
      </c>
      <c r="CQ29" s="758">
        <f t="shared" ca="1" si="50"/>
        <v>0</v>
      </c>
      <c r="CR29" s="758">
        <f ca="1">CM29+COUNTIFS($CN$6:$CN$53,CN29,$CQ$6:CQ$53,"&gt;"&amp;CQ29,$BC$6:$BC$53,INDEX(T_Equipos[Grupo],MATCH(BD29,T_Equipos[NombreEquipo],0)))</f>
        <v>1</v>
      </c>
      <c r="CS29" s="757" t="str">
        <f ca="1">IF(COUNTIFS($CR$6:$CR$53,CR29,$BC$6:$BC$53,INDEX(T_Equipos[Grupo],MATCH(BD29,T_Equipos[NombreEquipo],0)))=1,"-","P."&amp;CR29&amp;" ("&amp;COUNTIFS($CR$6:$CR$53,CR29,$BC$6:$BC$53,INDEX(T_Equipos[Grupo],MATCH(BD29,T_Equipos[NombreEquipo],0)))&amp;")")</f>
        <v>P.1 (4)</v>
      </c>
      <c r="CT29" s="758">
        <f t="shared" ca="1" si="51"/>
        <v>0</v>
      </c>
      <c r="CU29" s="758">
        <f ca="1">CR29+COUNTIFS($CS$6:$CS$53,CS29,$CT$6:CT$53,"&gt;"&amp;CT29,$BC$6:$BC$53,INDEX(T_Equipos[Grupo],MATCH(BD29,T_Equipos[NombreEquipo],0)))</f>
        <v>1</v>
      </c>
      <c r="CV29" s="757" t="str">
        <f ca="1">IF(COUNTIFS($CU$6:$CU$53,CU29,$BC$6:$BC$53,INDEX(T_Equipos[Grupo],MATCH(BD29,T_Equipos[NombreEquipo],0)))=1,"-","P."&amp;CU29&amp;" ("&amp;COUNTIFS($CU$6:$CU$53,CU29,$BC$6:$BC$53,INDEX(T_Equipos[Grupo],MATCH(BD29,T_Equipos[NombreEquipo],0)))&amp;")")</f>
        <v>P.1 (4)</v>
      </c>
      <c r="CW29" s="757">
        <f t="shared" ca="1" si="30"/>
        <v>0</v>
      </c>
      <c r="CX29" s="757">
        <f ca="1">CU29+COUNTIFS($CV$6:$CV$53,CV29,$CW$6:CW$53,"&gt;"&amp;CW29,$BC$6:$BC$53,INDEX(T_Equipos[Grupo],MATCH(BD29,T_Equipos[NombreEquipo],0)))</f>
        <v>1</v>
      </c>
      <c r="CY29" s="757" t="str">
        <f ca="1">IF(COUNTIFS($CX$6:$CX$53,CX29,$BC$6:$BC$53,INDEX(T_Equipos[Grupo],MATCH(BD29,T_Equipos[NombreEquipo],0)))=1,"-","P."&amp;CX29&amp;" ("&amp;COUNTIFS($CX$6:$CX$53,CX29,$BC$6:$BC$53,INDEX(T_Equipos[Grupo],MATCH(BD29,T_Equipos[NombreEquipo],0)))&amp;")")</f>
        <v>P.1 (4)</v>
      </c>
      <c r="CZ29" s="757">
        <f t="shared" ca="1" si="31"/>
        <v>0</v>
      </c>
      <c r="DA29" s="758">
        <f ca="1">CX29+COUNTIFS($CY$6:$CY$53,CY29,$CZ$6:CZ$53,"&gt;"&amp;CZ29,$BC$6:$BC$53,INDEX(T_Equipos[Grupo],MATCH(BD29,T_Equipos[NombreEquipo],0)))</f>
        <v>1</v>
      </c>
      <c r="DB29" s="757" t="str">
        <f ca="1">IF(COUNTIFS($DA$6:$DA$53,DA29,$BC$6:$BC$53,INDEX(T_Equipos[Grupo],MATCH(BD29,T_Equipos[NombreEquipo],0)))=1,"-","P."&amp;DA29&amp;" ("&amp;COUNTIFS($DA$6:$DA$53,DA29,$BC$6:$BC$53,INDEX(T_Equipos[Grupo],MATCH(BD29,T_Equipos[NombreEquipo],0)))&amp;")")</f>
        <v>P.1 (4)</v>
      </c>
      <c r="DC29" s="756">
        <f ca="1">IF(DB29="-","-",COUNTIFS(T_Equipos[Rank],"&lt;"&amp;INDEX(T_Equipos[Rank],MATCH(BD29,T_Equipos[NombreEquipo],0)),$BC$6:$BC$53,INDEX(T_Equipos[Grupo],MATCH(BD29,T_Equipos[NombreEquipo],0)))+1)</f>
        <v>4</v>
      </c>
      <c r="DD29" s="756">
        <f ca="1">DA29+COUNTIFS($DB$6:$DB$53,DB29,$DC$6:DC$53,"&lt;"&amp;DC29,$BC$6:$BC$53,INDEX(T_Equipos[Grupo],MATCH(BD29,T_Equipos[NombreEquipo],0)))</f>
        <v>4</v>
      </c>
      <c r="DE29" s="756"/>
      <c r="DF29" s="756">
        <f t="shared" ca="1" si="52"/>
        <v>4</v>
      </c>
      <c r="DG29" s="756">
        <f ca="1">IF(DB29="-","-",COUNTIFS(DF$6:DF$53,"&lt;"&amp;DF29,$BC$6:$BC$53,INDEX(T_Equipos[Grupo],MATCH(BD29,T_Equipos[NombreEquipo],0))))</f>
        <v>3</v>
      </c>
      <c r="DH29" s="756">
        <f ca="1">DA29+COUNTIFS(DB$6:DB$53,DB29,DG$6:DG$53,"&lt;"&amp;DG29,$BC$6:$BC$53,INDEX(T_Equipos[Grupo],MATCH(BD29,T_Equipos[NombreEquipo],0)))</f>
        <v>4</v>
      </c>
      <c r="DI29" s="744"/>
      <c r="DJ29" s="744">
        <f t="shared" ca="1" si="53"/>
        <v>1</v>
      </c>
      <c r="DK29" s="744">
        <f t="shared" ca="1" si="24"/>
        <v>0</v>
      </c>
      <c r="DL29" s="744">
        <f t="shared" ca="1" si="33"/>
        <v>1</v>
      </c>
      <c r="DM29" s="738" t="str">
        <f t="shared" ca="1" si="34"/>
        <v>1.1</v>
      </c>
      <c r="DN29" s="744" cm="1">
        <f t="array" aca="1" ref="DN29" ca="1">OFFSET(Horarios!$P$3,DJ29-1,0,DL29,1)</f>
        <v>1</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49"/>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0</v>
      </c>
      <c r="BF30" s="748">
        <f t="shared" ca="1" si="26"/>
        <v>0</v>
      </c>
      <c r="BG30" s="748">
        <f t="shared" ca="1" si="17"/>
        <v>0</v>
      </c>
      <c r="BH30" s="748">
        <f t="shared" ca="1" si="18"/>
        <v>0</v>
      </c>
      <c r="BI30" s="748">
        <f t="shared" ca="1" si="19"/>
        <v>0</v>
      </c>
      <c r="BJ30" s="748">
        <f t="shared" ca="1" si="20"/>
        <v>0</v>
      </c>
      <c r="BK30" s="748">
        <f t="shared" ca="1" si="21"/>
        <v>0</v>
      </c>
      <c r="BL30" s="748">
        <f t="shared" ca="1" si="27"/>
        <v>0</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0</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0</v>
      </c>
      <c r="BW30" s="758">
        <f t="shared" ca="1" si="38"/>
        <v>0</v>
      </c>
      <c r="BX30" s="758">
        <f t="shared" ca="1" si="39"/>
        <v>0</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0</v>
      </c>
      <c r="CB30" s="758">
        <f t="shared" ca="1" si="41"/>
        <v>0</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0</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(4)</v>
      </c>
      <c r="CI30" s="758">
        <f t="shared" ca="1" si="44"/>
        <v>0</v>
      </c>
      <c r="CJ30" s="758">
        <f t="shared" ca="1" si="45"/>
        <v>0</v>
      </c>
      <c r="CK30" s="758">
        <f t="shared" ca="1" si="46"/>
        <v>0</v>
      </c>
      <c r="CL30" s="758">
        <f t="shared" ca="1" si="47"/>
        <v>0</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(4)</v>
      </c>
      <c r="CO30" s="758">
        <f t="shared" ca="1" si="48"/>
        <v>0</v>
      </c>
      <c r="CP30" s="758">
        <f t="shared" ca="1" si="49"/>
        <v>0</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(4)</v>
      </c>
      <c r="CT30" s="758">
        <f t="shared" ca="1" si="51"/>
        <v>0</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(4)</v>
      </c>
      <c r="CW30" s="757">
        <f t="shared" ca="1" si="30"/>
        <v>0</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P.1 (4)</v>
      </c>
      <c r="CZ30" s="757">
        <f t="shared" ca="1" si="31"/>
        <v>0</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P.1 (4)</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1</v>
      </c>
      <c r="DE30" s="756"/>
      <c r="DF30" s="756">
        <f t="shared" ca="1" si="52"/>
        <v>1</v>
      </c>
      <c r="DG30" s="756">
        <f ca="1">IF(DB30="-","-",COUNTIFS(DF$6:DF$53,"&lt;"&amp;DF30,$BC$6:$BC$53,INDEX(T_Equipos[Grupo],MATCH(BD30,T_Equipos[NombreEquipo],0))))</f>
        <v>0</v>
      </c>
      <c r="DH30" s="756">
        <f ca="1">DA30+COUNTIFS(DB$6:DB$53,DB30,DG$6:DG$53,"&lt;"&amp;DG30,$BC$6:$BC$53,INDEX(T_Equipos[Grupo],MATCH(BD30,T_Equipos[NombreEquipo],0)))</f>
        <v>1</v>
      </c>
      <c r="DI30" s="744"/>
      <c r="DJ30" s="744">
        <f t="shared" ca="1" si="53"/>
        <v>1</v>
      </c>
      <c r="DK30" s="744">
        <f t="shared" ca="1" si="24"/>
        <v>0</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49"/>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4">
        <f t="array" aca="1" ref="AK31" ca="1">Ver_flag_visit</f>
        <v>#VALUE!</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4"/>
      <c r="BC31" s="756" t="str">
        <f ca="1">+INDEX(T_Equipos[Grupo],MATCH(WORLDCUP!BD31,T_Equipos[NombreEquipo],0))</f>
        <v>G</v>
      </c>
      <c r="BD31" s="744" t="str">
        <f ca="1">+Equipos!B27</f>
        <v>Egipto</v>
      </c>
      <c r="BE31" s="748">
        <f t="shared" ca="1" si="25"/>
        <v>0</v>
      </c>
      <c r="BF31" s="748">
        <f t="shared" ca="1" si="26"/>
        <v>0</v>
      </c>
      <c r="BG31" s="748">
        <f t="shared" ca="1" si="17"/>
        <v>0</v>
      </c>
      <c r="BH31" s="748">
        <f t="shared" ca="1" si="18"/>
        <v>0</v>
      </c>
      <c r="BI31" s="748">
        <f t="shared" ca="1" si="19"/>
        <v>0</v>
      </c>
      <c r="BJ31" s="748">
        <f t="shared" ca="1" si="20"/>
        <v>0</v>
      </c>
      <c r="BK31" s="748">
        <f t="shared" ca="1" si="21"/>
        <v>0</v>
      </c>
      <c r="BL31" s="748">
        <f t="shared" ca="1" si="27"/>
        <v>0</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0</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0</v>
      </c>
      <c r="BW31" s="758">
        <f t="shared" ca="1" si="38"/>
        <v>0</v>
      </c>
      <c r="BX31" s="758">
        <f t="shared" ca="1" si="39"/>
        <v>0</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0</v>
      </c>
      <c r="CB31" s="758">
        <f t="shared" ca="1" si="41"/>
        <v>0</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0</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(4)</v>
      </c>
      <c r="CI31" s="758">
        <f t="shared" ca="1" si="44"/>
        <v>0</v>
      </c>
      <c r="CJ31" s="758">
        <f t="shared" ca="1" si="45"/>
        <v>0</v>
      </c>
      <c r="CK31" s="758">
        <f t="shared" ca="1" si="46"/>
        <v>0</v>
      </c>
      <c r="CL31" s="758">
        <f t="shared" ca="1" si="47"/>
        <v>0</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(4)</v>
      </c>
      <c r="CO31" s="758">
        <f t="shared" ca="1" si="48"/>
        <v>0</v>
      </c>
      <c r="CP31" s="758">
        <f t="shared" ca="1" si="49"/>
        <v>0</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(4)</v>
      </c>
      <c r="CT31" s="758">
        <f t="shared" ca="1" si="51"/>
        <v>0</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(4)</v>
      </c>
      <c r="CW31" s="757">
        <f t="shared" ca="1" si="30"/>
        <v>0</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P.1 (4)</v>
      </c>
      <c r="CZ31" s="757">
        <f t="shared" ca="1" si="31"/>
        <v>0</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P.1 (4)</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2</v>
      </c>
      <c r="DE31" s="756"/>
      <c r="DF31" s="756">
        <f t="shared" ca="1" si="52"/>
        <v>2</v>
      </c>
      <c r="DG31" s="756">
        <f ca="1">IF(DB31="-","-",COUNTIFS(DF$6:DF$53,"&lt;"&amp;DF31,$BC$6:$BC$53,INDEX(T_Equipos[Grupo],MATCH(BD31,T_Equipos[NombreEquipo],0))))</f>
        <v>1</v>
      </c>
      <c r="DH31" s="756">
        <f ca="1">DA31+COUNTIFS(DB$6:DB$53,DB31,DG$6:DG$53,"&lt;"&amp;DG31,$BC$6:$BC$53,INDEX(T_Equipos[Grupo],MATCH(BD31,T_Equipos[NombreEquipo],0)))</f>
        <v>2</v>
      </c>
      <c r="DI31" s="744"/>
      <c r="DJ31" s="744">
        <f t="shared" ca="1" si="53"/>
        <v>1</v>
      </c>
      <c r="DK31" s="744">
        <f t="shared" ca="1" si="24"/>
        <v>0</v>
      </c>
      <c r="DL31" s="744">
        <f t="shared" ca="1" si="33"/>
        <v>1</v>
      </c>
      <c r="DM31" s="738" t="str">
        <f t="shared" ca="1" si="34"/>
        <v>1.1</v>
      </c>
      <c r="DN31" s="744" cm="1">
        <f t="array" aca="1" ref="DN31" ca="1">OFFSET(Horarios!$P$3,DJ31-1,0,DL31,1)</f>
        <v>1</v>
      </c>
      <c r="DO31" s="744"/>
      <c r="DP31" s="744" t="s">
        <v>668</v>
      </c>
      <c r="DQ31" s="744" t="str">
        <f t="shared" ca="1" si="35"/>
        <v>Egipto</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4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5">
        <f t="array" aca="1" ref="AK32" ca="1">Ver_flag_visit</f>
        <v>#VALUE!</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4"/>
      <c r="BC32" s="756" t="str">
        <f ca="1">+INDEX(T_Equipos[Grupo],MATCH(WORLDCUP!BD32,T_Equipos[NombreEquipo],0))</f>
        <v>G</v>
      </c>
      <c r="BD32" s="744" t="str">
        <f ca="1">+Equipos!B28</f>
        <v>Irán</v>
      </c>
      <c r="BE32" s="748">
        <f t="shared" ca="1" si="25"/>
        <v>0</v>
      </c>
      <c r="BF32" s="748">
        <f t="shared" ca="1" si="26"/>
        <v>0</v>
      </c>
      <c r="BG32" s="748">
        <f t="shared" ca="1" si="17"/>
        <v>0</v>
      </c>
      <c r="BH32" s="748">
        <f t="shared" ca="1" si="18"/>
        <v>0</v>
      </c>
      <c r="BI32" s="748">
        <f t="shared" ca="1" si="19"/>
        <v>0</v>
      </c>
      <c r="BJ32" s="748">
        <f t="shared" ca="1" si="20"/>
        <v>0</v>
      </c>
      <c r="BK32" s="748">
        <f t="shared" ca="1" si="21"/>
        <v>0</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0</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0</v>
      </c>
      <c r="BW32" s="758">
        <f t="shared" ca="1" si="38"/>
        <v>0</v>
      </c>
      <c r="BX32" s="758">
        <f t="shared" ca="1" si="39"/>
        <v>0</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0</v>
      </c>
      <c r="CB32" s="758">
        <f t="shared" ca="1" si="41"/>
        <v>0</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0</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(4)</v>
      </c>
      <c r="CI32" s="758">
        <f t="shared" ca="1" si="44"/>
        <v>0</v>
      </c>
      <c r="CJ32" s="758">
        <f t="shared" ca="1" si="45"/>
        <v>0</v>
      </c>
      <c r="CK32" s="758">
        <f t="shared" ca="1" si="46"/>
        <v>0</v>
      </c>
      <c r="CL32" s="758">
        <f t="shared" ca="1" si="47"/>
        <v>0</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(4)</v>
      </c>
      <c r="CO32" s="758">
        <f t="shared" ca="1" si="48"/>
        <v>0</v>
      </c>
      <c r="CP32" s="758">
        <f t="shared" ca="1" si="49"/>
        <v>0</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(4)</v>
      </c>
      <c r="CT32" s="758">
        <f t="shared" ca="1" si="51"/>
        <v>0</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(4)</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(4)</v>
      </c>
      <c r="CZ32" s="757">
        <f t="shared" ca="1" si="31"/>
        <v>0</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(4)</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3</v>
      </c>
      <c r="DE32" s="756"/>
      <c r="DF32" s="756">
        <f t="shared" ca="1" si="52"/>
        <v>3</v>
      </c>
      <c r="DG32" s="756">
        <f ca="1">IF(DB32="-","-",COUNTIFS(DF$6:DF$53,"&lt;"&amp;DF32,$BC$6:$BC$53,INDEX(T_Equipos[Grupo],MATCH(BD32,T_Equipos[NombreEquipo],0))))</f>
        <v>2</v>
      </c>
      <c r="DH32" s="756">
        <f ca="1">DA32+COUNTIFS(DB$6:DB$53,DB32,DG$6:DG$53,"&lt;"&amp;DG32,$BC$6:$BC$53,INDEX(T_Equipos[Grupo],MATCH(BD32,T_Equipos[NombreEquipo],0)))</f>
        <v>3</v>
      </c>
      <c r="DI32" s="744"/>
      <c r="DJ32" s="744">
        <f t="shared" ca="1" si="53"/>
        <v>1</v>
      </c>
      <c r="DK32" s="744">
        <f t="shared" ca="1" si="24"/>
        <v>0</v>
      </c>
      <c r="DL32" s="744">
        <f t="shared" ca="1" si="33"/>
        <v>1</v>
      </c>
      <c r="DM32" s="738" t="str">
        <f t="shared" ca="1" si="34"/>
        <v>1.1</v>
      </c>
      <c r="DN32" s="744" cm="1">
        <f t="array" aca="1" ref="DN32" ca="1">OFFSET(Horarios!$P$3,DJ32-1,0,DL32,1)</f>
        <v>1</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5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0</v>
      </c>
      <c r="BF33" s="748">
        <f t="shared" ca="1" si="26"/>
        <v>0</v>
      </c>
      <c r="BG33" s="748">
        <f t="shared" ca="1" si="17"/>
        <v>0</v>
      </c>
      <c r="BH33" s="748">
        <f t="shared" ca="1" si="18"/>
        <v>0</v>
      </c>
      <c r="BI33" s="748">
        <f t="shared" ca="1" si="19"/>
        <v>0</v>
      </c>
      <c r="BJ33" s="748">
        <f t="shared" ca="1" si="20"/>
        <v>0</v>
      </c>
      <c r="BK33" s="748">
        <f t="shared" ca="1" si="21"/>
        <v>0</v>
      </c>
      <c r="BL33" s="748">
        <f t="shared" ca="1" si="27"/>
        <v>0</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0</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0</v>
      </c>
      <c r="BW33" s="758">
        <f t="shared" ca="1" si="38"/>
        <v>0</v>
      </c>
      <c r="BX33" s="758">
        <f t="shared" ca="1" si="39"/>
        <v>0</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0</v>
      </c>
      <c r="CB33" s="758">
        <f t="shared" ca="1" si="41"/>
        <v>0</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0</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(4)</v>
      </c>
      <c r="CI33" s="758">
        <f t="shared" ca="1" si="44"/>
        <v>0</v>
      </c>
      <c r="CJ33" s="758">
        <f t="shared" ca="1" si="45"/>
        <v>0</v>
      </c>
      <c r="CK33" s="758">
        <f t="shared" ca="1" si="46"/>
        <v>0</v>
      </c>
      <c r="CL33" s="758">
        <f t="shared" ca="1" si="47"/>
        <v>0</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(4)</v>
      </c>
      <c r="CO33" s="758">
        <f t="shared" ca="1" si="48"/>
        <v>0</v>
      </c>
      <c r="CP33" s="758">
        <f t="shared" ca="1" si="49"/>
        <v>0</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(4)</v>
      </c>
      <c r="CT33" s="758">
        <f t="shared" ca="1" si="51"/>
        <v>0</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(4)</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(4)</v>
      </c>
      <c r="CZ33" s="757">
        <f t="shared" ca="1" si="31"/>
        <v>0</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(4)</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4</v>
      </c>
      <c r="DE33" s="756"/>
      <c r="DF33" s="756">
        <f t="shared" ca="1" si="52"/>
        <v>4</v>
      </c>
      <c r="DG33" s="756">
        <f ca="1">IF(DB33="-","-",COUNTIFS(DF$6:DF$53,"&lt;"&amp;DF33,$BC$6:$BC$53,INDEX(T_Equipos[Grupo],MATCH(BD33,T_Equipos[NombreEquipo],0))))</f>
        <v>3</v>
      </c>
      <c r="DH33" s="756">
        <f ca="1">DA33+COUNTIFS(DB$6:DB$53,DB33,DG$6:DG$53,"&lt;"&amp;DG33,$BC$6:$BC$53,INDEX(T_Equipos[Grupo],MATCH(BD33,T_Equipos[NombreEquipo],0)))</f>
        <v>4</v>
      </c>
      <c r="DI33" s="744"/>
      <c r="DJ33" s="744">
        <f t="shared" ca="1" si="53"/>
        <v>1</v>
      </c>
      <c r="DK33" s="744">
        <f t="shared" ca="1" si="24"/>
        <v>0</v>
      </c>
      <c r="DL33" s="744">
        <f t="shared" ca="1" si="33"/>
        <v>1</v>
      </c>
      <c r="DM33" s="738" t="str">
        <f t="shared" ca="1" si="34"/>
        <v>1.1</v>
      </c>
      <c r="DN33" s="744" cm="1">
        <f t="array" aca="1" ref="DN33" ca="1">OFFSET(Horarios!$P$3,DJ33-1,0,DL33,1)</f>
        <v>1</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0</v>
      </c>
      <c r="BF34" s="748">
        <f t="shared" ca="1" si="26"/>
        <v>0</v>
      </c>
      <c r="BG34" s="748">
        <f t="shared" ca="1" si="17"/>
        <v>0</v>
      </c>
      <c r="BH34" s="748">
        <f t="shared" ca="1" si="18"/>
        <v>0</v>
      </c>
      <c r="BI34" s="748">
        <f t="shared" ca="1" si="19"/>
        <v>0</v>
      </c>
      <c r="BJ34" s="748">
        <f t="shared" ca="1" si="20"/>
        <v>0</v>
      </c>
      <c r="BK34" s="748">
        <f t="shared" ca="1" si="21"/>
        <v>0</v>
      </c>
      <c r="BL34" s="748">
        <f t="shared" ca="1" si="27"/>
        <v>0</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0</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0</v>
      </c>
      <c r="BW34" s="758">
        <f t="shared" ca="1" si="38"/>
        <v>0</v>
      </c>
      <c r="BX34" s="758">
        <f t="shared" ca="1" si="39"/>
        <v>0</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P.1 (4)</v>
      </c>
      <c r="CI34" s="758">
        <f t="shared" ca="1" si="44"/>
        <v>0</v>
      </c>
      <c r="CJ34" s="758">
        <f t="shared" ca="1" si="45"/>
        <v>0</v>
      </c>
      <c r="CK34" s="758">
        <f t="shared" ca="1" si="46"/>
        <v>0</v>
      </c>
      <c r="CL34" s="758">
        <f t="shared" ca="1" si="47"/>
        <v>0</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P.1 (4)</v>
      </c>
      <c r="CO34" s="758">
        <f t="shared" ca="1" si="48"/>
        <v>0</v>
      </c>
      <c r="CP34" s="758">
        <f t="shared" ca="1" si="49"/>
        <v>0</v>
      </c>
      <c r="CQ34" s="758">
        <f t="shared" ca="1" si="50"/>
        <v>0</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P.1 (4)</v>
      </c>
      <c r="CT34" s="758">
        <f t="shared" ca="1" si="51"/>
        <v>0</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P.1 (4)</v>
      </c>
      <c r="CW34" s="757">
        <f t="shared" ca="1" si="30"/>
        <v>0</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P.1 (4)</v>
      </c>
      <c r="CZ34" s="757">
        <f t="shared" ca="1" si="31"/>
        <v>0</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P.1 (4)</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1</v>
      </c>
      <c r="DE34" s="756"/>
      <c r="DF34" s="756">
        <f t="shared" ca="1" si="52"/>
        <v>1</v>
      </c>
      <c r="DG34" s="756">
        <f ca="1">IF(DB34="-","-",COUNTIFS(DF$6:DF$53,"&lt;"&amp;DF34,$BC$6:$BC$53,INDEX(T_Equipos[Grupo],MATCH(BD34,T_Equipos[NombreEquipo],0))))</f>
        <v>0</v>
      </c>
      <c r="DH34" s="756">
        <f ca="1">DA34+COUNTIFS(DB$6:DB$53,DB34,DG$6:DG$53,"&lt;"&amp;DG34,$BC$6:$BC$53,INDEX(T_Equipos[Grupo],MATCH(BD34,T_Equipos[NombreEquipo],0)))</f>
        <v>1</v>
      </c>
      <c r="DI34" s="744"/>
      <c r="DJ34" s="744">
        <f t="shared" ca="1" si="53"/>
        <v>1</v>
      </c>
      <c r="DK34" s="744">
        <f t="shared" ca="1" si="24"/>
        <v>0</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0</v>
      </c>
      <c r="BF35" s="748">
        <f t="shared" ca="1" si="26"/>
        <v>0</v>
      </c>
      <c r="BG35" s="748">
        <f t="shared" ca="1" si="17"/>
        <v>0</v>
      </c>
      <c r="BH35" s="748">
        <f t="shared" ca="1" si="18"/>
        <v>0</v>
      </c>
      <c r="BI35" s="748">
        <f t="shared" ca="1" si="19"/>
        <v>0</v>
      </c>
      <c r="BJ35" s="748">
        <f t="shared" ca="1" si="20"/>
        <v>0</v>
      </c>
      <c r="BK35" s="748">
        <f t="shared" ca="1" si="21"/>
        <v>0</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0</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0</v>
      </c>
      <c r="BW35" s="758">
        <f t="shared" ca="1" si="38"/>
        <v>0</v>
      </c>
      <c r="BX35" s="758">
        <f t="shared" ca="1" si="39"/>
        <v>0</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1</v>
      </c>
      <c r="CH35" s="757" t="str">
        <f ca="1">IF(COUNTIFS($CG$6:$CG$53,CG35,$BC$6:$BC$53,INDEX(T_Equipos[Grupo],MATCH(BD35,T_Equipos[NombreEquipo],0)))=1,"-","P."&amp;CG35&amp;" ("&amp;COUNTIFS($CG$6:$CG$53,CG35,$BC$6:$BC$53,INDEX(T_Equipos[Grupo],MATCH(BD35,T_Equipos[NombreEquipo],0)))&amp;")")</f>
        <v>P.1 (4)</v>
      </c>
      <c r="CI35" s="758">
        <f t="shared" ca="1" si="44"/>
        <v>0</v>
      </c>
      <c r="CJ35" s="758">
        <f t="shared" ca="1" si="45"/>
        <v>0</v>
      </c>
      <c r="CK35" s="758">
        <f t="shared" ca="1" si="46"/>
        <v>0</v>
      </c>
      <c r="CL35" s="758">
        <f t="shared" ca="1" si="47"/>
        <v>0</v>
      </c>
      <c r="CM35" s="758">
        <f ca="1">CG35+COUNTIFS($CH$6:$CH$53,CH35,$CL$6:CL$53,"&gt;"&amp;CL35,$BC$6:$BC$53,INDEX(T_Equipos[Grupo],MATCH(BD35,T_Equipos[NombreEquipo],0)))</f>
        <v>1</v>
      </c>
      <c r="CN35" s="757" t="str">
        <f ca="1">IF(COUNTIFS($CM$6:$CM$53,CM35,$BC$6:$BC$53,INDEX(T_Equipos[Grupo],MATCH(BD35,T_Equipos[NombreEquipo],0)))=1,"-","P."&amp;CM35&amp;" ("&amp;COUNTIFS($CM$6:$CM$53,CM35,$BC$6:$BC$53,INDEX(T_Equipos[Grupo],MATCH(BD35,T_Equipos[NombreEquipo],0)))&amp;")")</f>
        <v>P.1 (4)</v>
      </c>
      <c r="CO35" s="758">
        <f t="shared" ca="1" si="48"/>
        <v>0</v>
      </c>
      <c r="CP35" s="758">
        <f t="shared" ca="1" si="49"/>
        <v>0</v>
      </c>
      <c r="CQ35" s="758">
        <f t="shared" ca="1" si="50"/>
        <v>0</v>
      </c>
      <c r="CR35" s="758">
        <f ca="1">CM35+COUNTIFS($CN$6:$CN$53,CN35,$CQ$6:CQ$53,"&gt;"&amp;CQ35,$BC$6:$BC$53,INDEX(T_Equipos[Grupo],MATCH(BD35,T_Equipos[NombreEquipo],0)))</f>
        <v>1</v>
      </c>
      <c r="CS35" s="757" t="str">
        <f ca="1">IF(COUNTIFS($CR$6:$CR$53,CR35,$BC$6:$BC$53,INDEX(T_Equipos[Grupo],MATCH(BD35,T_Equipos[NombreEquipo],0)))=1,"-","P."&amp;CR35&amp;" ("&amp;COUNTIFS($CR$6:$CR$53,CR35,$BC$6:$BC$53,INDEX(T_Equipos[Grupo],MATCH(BD35,T_Equipos[NombreEquipo],0)))&amp;")")</f>
        <v>P.1 (4)</v>
      </c>
      <c r="CT35" s="758">
        <f t="shared" ca="1" si="51"/>
        <v>0</v>
      </c>
      <c r="CU35" s="758">
        <f ca="1">CR35+COUNTIFS($CS$6:$CS$53,CS35,$CT$6:CT$53,"&gt;"&amp;CT35,$BC$6:$BC$53,INDEX(T_Equipos[Grupo],MATCH(BD35,T_Equipos[NombreEquipo],0)))</f>
        <v>1</v>
      </c>
      <c r="CV35" s="757" t="str">
        <f ca="1">IF(COUNTIFS($CU$6:$CU$53,CU35,$BC$6:$BC$53,INDEX(T_Equipos[Grupo],MATCH(BD35,T_Equipos[NombreEquipo],0)))=1,"-","P."&amp;CU35&amp;" ("&amp;COUNTIFS($CU$6:$CU$53,CU35,$BC$6:$BC$53,INDEX(T_Equipos[Grupo],MATCH(BD35,T_Equipos[NombreEquipo],0)))&amp;")")</f>
        <v>P.1 (4)</v>
      </c>
      <c r="CW35" s="757">
        <f t="shared" ca="1" si="30"/>
        <v>0</v>
      </c>
      <c r="CX35" s="757">
        <f ca="1">CU35+COUNTIFS($CV$6:$CV$53,CV35,$CW$6:CW$53,"&gt;"&amp;CW35,$BC$6:$BC$53,INDEX(T_Equipos[Grupo],MATCH(BD35,T_Equipos[NombreEquipo],0)))</f>
        <v>1</v>
      </c>
      <c r="CY35" s="757" t="str">
        <f ca="1">IF(COUNTIFS($CX$6:$CX$53,CX35,$BC$6:$BC$53,INDEX(T_Equipos[Grupo],MATCH(BD35,T_Equipos[NombreEquipo],0)))=1,"-","P."&amp;CX35&amp;" ("&amp;COUNTIFS($CX$6:$CX$53,CX35,$BC$6:$BC$53,INDEX(T_Equipos[Grupo],MATCH(BD35,T_Equipos[NombreEquipo],0)))&amp;")")</f>
        <v>P.1 (4)</v>
      </c>
      <c r="CZ35" s="757">
        <f t="shared" ca="1" si="31"/>
        <v>0</v>
      </c>
      <c r="DA35" s="758">
        <f ca="1">CX35+COUNTIFS($CY$6:$CY$53,CY35,$CZ$6:CZ$53,"&gt;"&amp;CZ35,$BC$6:$BC$53,INDEX(T_Equipos[Grupo],MATCH(BD35,T_Equipos[NombreEquipo],0)))</f>
        <v>1</v>
      </c>
      <c r="DB35" s="757" t="str">
        <f ca="1">IF(COUNTIFS($DA$6:$DA$53,DA35,$BC$6:$BC$53,INDEX(T_Equipos[Grupo],MATCH(BD35,T_Equipos[NombreEquipo],0)))=1,"-","P."&amp;DA35&amp;" ("&amp;COUNTIFS($DA$6:$DA$53,DA35,$BC$6:$BC$53,INDEX(T_Equipos[Grupo],MATCH(BD35,T_Equipos[NombreEquipo],0)))&amp;")")</f>
        <v>P.1 (4)</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2</v>
      </c>
      <c r="DE35" s="756"/>
      <c r="DF35" s="756">
        <f t="shared" ca="1" si="52"/>
        <v>2</v>
      </c>
      <c r="DG35" s="756">
        <f ca="1">IF(DB35="-","-",COUNTIFS(DF$6:DF$53,"&lt;"&amp;DF35,$BC$6:$BC$53,INDEX(T_Equipos[Grupo],MATCH(BD35,T_Equipos[NombreEquipo],0))))</f>
        <v>1</v>
      </c>
      <c r="DH35" s="756">
        <f ca="1">DA35+COUNTIFS(DB$6:DB$53,DB35,DG$6:DG$53,"&lt;"&amp;DG35,$BC$6:$BC$53,INDEX(T_Equipos[Grupo],MATCH(BD35,T_Equipos[NombreEquipo],0)))</f>
        <v>2</v>
      </c>
      <c r="DI35" s="744"/>
      <c r="DJ35" s="744">
        <f t="shared" ca="1" si="53"/>
        <v>1</v>
      </c>
      <c r="DK35" s="744">
        <f t="shared" ca="1" si="24"/>
        <v>0</v>
      </c>
      <c r="DL35" s="744">
        <f t="shared" ca="1" si="33"/>
        <v>1</v>
      </c>
      <c r="DM35" s="738" t="str">
        <f t="shared" ca="1" si="34"/>
        <v>1.1</v>
      </c>
      <c r="DN35" s="744" cm="1">
        <f t="array" aca="1" ref="DN35" ca="1">OFFSET(Horarios!$P$3,DJ35-1,0,DL35,1)</f>
        <v>1</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Pendiente</v>
      </c>
      <c r="E36" s="744" t="str">
        <f t="shared" ref="E36:E41" si="116">IF(D36="Pendiente","-",INDEX($BT$6:$BT$53,MATCH($AA36,$BD$6:$BD$53,0)))</f>
        <v>-</v>
      </c>
      <c r="F36" s="744" t="str">
        <f t="shared" ref="F36:F41" si="117">IF(D36="Pendiente","-",INDEX($BT$6:$BT$53,MATCH($AF36,$BD$6:$BD$53,0)))</f>
        <v>-</v>
      </c>
      <c r="G36" s="744"/>
      <c r="H36" s="744" t="str">
        <f t="shared" ref="H36:H41" si="118">IF(D36="Pendiente","-",INDEX($BZ$6:$BZ$53,MATCH($AA36,$BD$6:$BD$53,0)))</f>
        <v>-</v>
      </c>
      <c r="I36" s="744" t="str">
        <f t="shared" ref="I36:I41" si="119">IF(D36="Pendiente","-",INDEX($BZ$6:$BZ$53,MATCH($AF36,$BD$6:$BD$53,0)))</f>
        <v>-</v>
      </c>
      <c r="J36" s="744"/>
      <c r="K36" s="744" t="str">
        <f t="shared" ref="K36:K41" si="120">IF(D36="Pendiente","-",INDEX($CE$6:$CE$53,MATCH($AA36,$BD$6:$BD$53,0)))</f>
        <v>-</v>
      </c>
      <c r="L36" s="744" t="str">
        <f t="shared" ref="L36:L41" si="121">IF(D36="Pendiente","-",INDEX($CE$6:$CE$53,MATCH($AF36,$BD$6:$BD$53,0)))</f>
        <v>-</v>
      </c>
      <c r="M36" s="744"/>
      <c r="N36" s="744" t="str">
        <f t="shared" ref="N36:N41" si="122">IF(D36="Pendiente","-",INDEX($CH$6:$CH$53,MATCH($AA36,$BD$6:$BD$53,0)))</f>
        <v>-</v>
      </c>
      <c r="O36" s="744" t="str">
        <f t="shared" ref="O36:O41" si="123">IF(D36="Pendiente","-",INDEX($CH$6:$CH$53,MATCH($AF36,$BD$6:$BD$53,0)))</f>
        <v>-</v>
      </c>
      <c r="P36" s="744"/>
      <c r="Q36" s="744" t="str">
        <f t="shared" ref="Q36:Q41" si="124">IF(D36="Pendiente","-",INDEX($CN$6:$CN$53,MATCH($AA36,$BD$6:$BD$53,0)))</f>
        <v>-</v>
      </c>
      <c r="R36" s="744" t="str">
        <f t="shared" ref="R36:R41" si="125">IF(D36="Pendiente","-",INDEX($CN$6:$CN$53,MATCH($AF36,$BD$6:$BD$53,0)))</f>
        <v>-</v>
      </c>
      <c r="S36" s="744"/>
      <c r="T36" s="744" t="str">
        <f t="shared" ref="T36:T41" si="126">IF(D36="Pendiente","-",INDEX($CS$6:$CS$53,MATCH($AA36,$BD$6:$BD$53,0)))</f>
        <v>-</v>
      </c>
      <c r="U36" s="744" t="str">
        <f t="shared" ref="U36:U41" si="127">IF(D36="Pendiente","-",INDEX($CS$6:$CS$53,MATCH($AF36,$BD$6:$BD$53,0)))</f>
        <v>-</v>
      </c>
      <c r="V36" s="172"/>
      <c r="W36" s="851" t="s">
        <v>3</v>
      </c>
      <c r="X36" s="189">
        <f ca="1">Horarios!C36</f>
        <v>46187.791666666664</v>
      </c>
      <c r="Y36" s="190">
        <f ca="1">Horarios!C36</f>
        <v>46187.791666666664</v>
      </c>
      <c r="Z36" s="191" t="str">
        <f>$Z$4</f>
        <v>J1</v>
      </c>
      <c r="AA36" s="192" t="str">
        <f ca="1">A37</f>
        <v>Alemania</v>
      </c>
      <c r="AB36" s="478" t="e" cm="1" vm="17">
        <f t="array" aca="1" ref="AB36" ca="1">Ver_flag_local</f>
        <v>#VALUE!</v>
      </c>
      <c r="AC36" s="193"/>
      <c r="AD36" s="194"/>
      <c r="AE36" s="483" t="e" cm="1" vm="18">
        <f t="array" aca="1" ref="AE36" ca="1">Ver_flag_visit</f>
        <v>#VALUE!</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0</v>
      </c>
      <c r="BF36" s="748">
        <f t="shared" ca="1" si="26"/>
        <v>0</v>
      </c>
      <c r="BG36" s="748">
        <f t="shared" ca="1" si="17"/>
        <v>0</v>
      </c>
      <c r="BH36" s="748">
        <f t="shared" ca="1" si="18"/>
        <v>0</v>
      </c>
      <c r="BI36" s="748">
        <f t="shared" ca="1" si="19"/>
        <v>0</v>
      </c>
      <c r="BJ36" s="748">
        <f t="shared" ca="1" si="20"/>
        <v>0</v>
      </c>
      <c r="BK36" s="748">
        <f t="shared" ca="1" si="21"/>
        <v>0</v>
      </c>
      <c r="BL36" s="748">
        <f t="shared" ca="1" si="27"/>
        <v>0</v>
      </c>
      <c r="BM36" s="748" t="str">
        <f t="shared" ca="1" si="22"/>
        <v>3H</v>
      </c>
      <c r="BN36" s="748" t="str">
        <f t="shared" ca="1" si="23"/>
        <v>3H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0</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0</v>
      </c>
      <c r="BW36" s="758">
        <f t="shared" ca="1" si="38"/>
        <v>0</v>
      </c>
      <c r="BX36" s="758">
        <f t="shared" ca="1" si="39"/>
        <v>0</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0</v>
      </c>
      <c r="CB36" s="758">
        <f t="shared" ca="1" si="41"/>
        <v>0</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0</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(4)</v>
      </c>
      <c r="CI36" s="758">
        <f t="shared" ca="1" si="44"/>
        <v>0</v>
      </c>
      <c r="CJ36" s="758">
        <f t="shared" ca="1" si="45"/>
        <v>0</v>
      </c>
      <c r="CK36" s="758">
        <f t="shared" ca="1" si="46"/>
        <v>0</v>
      </c>
      <c r="CL36" s="758">
        <f t="shared" ca="1" si="47"/>
        <v>0</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(4)</v>
      </c>
      <c r="CO36" s="758">
        <f t="shared" ca="1" si="48"/>
        <v>0</v>
      </c>
      <c r="CP36" s="758">
        <f t="shared" ca="1" si="49"/>
        <v>0</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(4)</v>
      </c>
      <c r="CT36" s="758">
        <f t="shared" ca="1" si="51"/>
        <v>0</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(4)</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(4)</v>
      </c>
      <c r="CZ36" s="757">
        <f t="shared" ca="1" si="31"/>
        <v>0</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(4)</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3</v>
      </c>
      <c r="DE36" s="756"/>
      <c r="DF36" s="756">
        <f t="shared" ca="1" si="52"/>
        <v>3</v>
      </c>
      <c r="DG36" s="756">
        <f ca="1">IF(DB36="-","-",COUNTIFS(DF$6:DF$53,"&lt;"&amp;DF36,$BC$6:$BC$53,INDEX(T_Equipos[Grupo],MATCH(BD36,T_Equipos[NombreEquipo],0))))</f>
        <v>2</v>
      </c>
      <c r="DH36" s="756">
        <f ca="1">DA36+COUNTIFS(DB$6:DB$53,DB36,DG$6:DG$53,"&lt;"&amp;DG36,$BC$6:$BC$53,INDEX(T_Equipos[Grupo],MATCH(BD36,T_Equipos[NombreEquipo],0)))</f>
        <v>3</v>
      </c>
      <c r="DI36" s="744"/>
      <c r="DJ36" s="744">
        <f t="shared" ca="1" si="53"/>
        <v>1</v>
      </c>
      <c r="DK36" s="744">
        <f t="shared" ca="1" si="24"/>
        <v>0</v>
      </c>
      <c r="DL36" s="744">
        <f t="shared" ca="1" si="33"/>
        <v>1</v>
      </c>
      <c r="DM36" s="738" t="str">
        <f t="shared" ca="1" si="34"/>
        <v>1.1</v>
      </c>
      <c r="DN36" s="744" cm="1">
        <f t="array" aca="1" ref="DN36" ca="1">OFFSET(Horarios!$P$3,DJ36-1,0,DL36,1)</f>
        <v>1</v>
      </c>
      <c r="DO36" s="744"/>
      <c r="DP36" s="744" t="s">
        <v>436</v>
      </c>
      <c r="DQ36" s="744" t="str">
        <f t="shared" ca="1" si="35"/>
        <v>Arabia Saudita</v>
      </c>
      <c r="DR36" s="744"/>
      <c r="DS36" s="744"/>
      <c r="DT36" s="744" t="str">
        <f t="shared" ca="1" si="15"/>
        <v>Alemania-Curazao</v>
      </c>
      <c r="DU36" s="744"/>
      <c r="DV36" s="744"/>
      <c r="DW36" s="8"/>
    </row>
    <row r="37" spans="1:127" ht="16.05" customHeight="1">
      <c r="A37" s="745" t="str">
        <f ca="1">+Equipos!B18</f>
        <v>Alemania</v>
      </c>
      <c r="B37" s="742"/>
      <c r="C37" s="742"/>
      <c r="D37" s="744" t="str">
        <f t="shared" si="115"/>
        <v>Pendiente</v>
      </c>
      <c r="E37" s="744" t="str">
        <f t="shared" si="116"/>
        <v>-</v>
      </c>
      <c r="F37" s="744" t="str">
        <f t="shared" si="117"/>
        <v>-</v>
      </c>
      <c r="G37" s="744"/>
      <c r="H37" s="744" t="str">
        <f t="shared" si="118"/>
        <v>-</v>
      </c>
      <c r="I37" s="744" t="str">
        <f t="shared" si="119"/>
        <v>-</v>
      </c>
      <c r="J37" s="744"/>
      <c r="K37" s="744" t="str">
        <f t="shared" si="120"/>
        <v>-</v>
      </c>
      <c r="L37" s="744" t="str">
        <f t="shared" si="121"/>
        <v>-</v>
      </c>
      <c r="M37" s="744"/>
      <c r="N37" s="744" t="str">
        <f t="shared" si="122"/>
        <v>-</v>
      </c>
      <c r="O37" s="744" t="str">
        <f t="shared" si="123"/>
        <v>-</v>
      </c>
      <c r="P37" s="744"/>
      <c r="Q37" s="744" t="str">
        <f t="shared" si="124"/>
        <v>-</v>
      </c>
      <c r="R37" s="744" t="str">
        <f t="shared" si="125"/>
        <v>-</v>
      </c>
      <c r="S37" s="744"/>
      <c r="T37" s="744" t="str">
        <f t="shared" si="126"/>
        <v>-</v>
      </c>
      <c r="U37" s="744" t="str">
        <f t="shared" si="127"/>
        <v>-</v>
      </c>
      <c r="V37" s="172"/>
      <c r="W37" s="851"/>
      <c r="X37" s="189">
        <f ca="1">Horarios!C37</f>
        <v>46188.041666666664</v>
      </c>
      <c r="Y37" s="190">
        <f ca="1">Horarios!C37</f>
        <v>46188.041666666664</v>
      </c>
      <c r="Z37" s="191" t="str">
        <f>$Z$4</f>
        <v>J1</v>
      </c>
      <c r="AA37" s="192" t="str">
        <f ca="1">A39</f>
        <v>Costa de Marfil</v>
      </c>
      <c r="AB37" s="478" t="e" cm="1" vm="19">
        <f t="array" aca="1" ref="AB37" ca="1">Ver_flag_local</f>
        <v>#VALUE!</v>
      </c>
      <c r="AC37" s="193"/>
      <c r="AD37" s="194"/>
      <c r="AE37" s="483" t="e" cm="1" vm="20">
        <f t="array" aca="1" ref="AE37" ca="1">Ver_flag_visit</f>
        <v>#VALUE!</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0</v>
      </c>
      <c r="BF37" s="748">
        <f t="shared" ca="1" si="26"/>
        <v>0</v>
      </c>
      <c r="BG37" s="748">
        <f t="shared" ca="1" si="17"/>
        <v>0</v>
      </c>
      <c r="BH37" s="748">
        <f t="shared" ca="1" si="18"/>
        <v>0</v>
      </c>
      <c r="BI37" s="748">
        <f t="shared" ca="1" si="19"/>
        <v>0</v>
      </c>
      <c r="BJ37" s="748">
        <f t="shared" ca="1" si="20"/>
        <v>0</v>
      </c>
      <c r="BK37" s="748">
        <f t="shared" ca="1" si="21"/>
        <v>0</v>
      </c>
      <c r="BL37" s="748">
        <f t="shared" ca="1" si="27"/>
        <v>0</v>
      </c>
      <c r="BM37" s="748" t="str">
        <f t="shared" ca="1" si="22"/>
        <v>4H</v>
      </c>
      <c r="BN37" s="748" t="str">
        <f t="shared" ca="1" si="23"/>
        <v>4H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0</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0</v>
      </c>
      <c r="BW37" s="758">
        <f t="shared" ca="1" si="38"/>
        <v>0</v>
      </c>
      <c r="BX37" s="758">
        <f t="shared" ca="1" si="39"/>
        <v>0</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0</v>
      </c>
      <c r="CB37" s="758">
        <f t="shared" ca="1" si="41"/>
        <v>0</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0</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(4)</v>
      </c>
      <c r="CI37" s="758">
        <f t="shared" ca="1" si="44"/>
        <v>0</v>
      </c>
      <c r="CJ37" s="758">
        <f t="shared" ca="1" si="45"/>
        <v>0</v>
      </c>
      <c r="CK37" s="758">
        <f t="shared" ca="1" si="46"/>
        <v>0</v>
      </c>
      <c r="CL37" s="758">
        <f t="shared" ca="1" si="47"/>
        <v>0</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(4)</v>
      </c>
      <c r="CO37" s="758">
        <f t="shared" ca="1" si="48"/>
        <v>0</v>
      </c>
      <c r="CP37" s="758">
        <f t="shared" ca="1" si="49"/>
        <v>0</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(4)</v>
      </c>
      <c r="CT37" s="758">
        <f t="shared" ca="1" si="51"/>
        <v>0</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(4)</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(4)</v>
      </c>
      <c r="CZ37" s="757">
        <f t="shared" ca="1" si="31"/>
        <v>0</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(4)</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4</v>
      </c>
      <c r="DE37" s="756"/>
      <c r="DF37" s="756">
        <f t="shared" ca="1" si="52"/>
        <v>4</v>
      </c>
      <c r="DG37" s="756">
        <f ca="1">IF(DB37="-","-",COUNTIFS(DF$6:DF$53,"&lt;"&amp;DF37,$BC$6:$BC$53,INDEX(T_Equipos[Grupo],MATCH(BD37,T_Equipos[NombreEquipo],0))))</f>
        <v>3</v>
      </c>
      <c r="DH37" s="756">
        <f ca="1">DA37+COUNTIFS(DB$6:DB$53,DB37,DG$6:DG$53,"&lt;"&amp;DG37,$BC$6:$BC$53,INDEX(T_Equipos[Grupo],MATCH(BD37,T_Equipos[NombreEquipo],0)))</f>
        <v>4</v>
      </c>
      <c r="DI37" s="744"/>
      <c r="DJ37" s="744">
        <f t="shared" ca="1" si="53"/>
        <v>1</v>
      </c>
      <c r="DK37" s="744">
        <f t="shared" ca="1" si="24"/>
        <v>0</v>
      </c>
      <c r="DL37" s="744">
        <f t="shared" ca="1" si="33"/>
        <v>1</v>
      </c>
      <c r="DM37" s="738" t="str">
        <f t="shared" ca="1" si="34"/>
        <v>1.1</v>
      </c>
      <c r="DN37" s="744" cm="1">
        <f t="array" aca="1" ref="DN37" ca="1">OFFSET(Horarios!$P$3,DJ37-1,0,DL37,1)</f>
        <v>1</v>
      </c>
      <c r="DO37" s="744"/>
      <c r="DP37" s="744" t="s">
        <v>672</v>
      </c>
      <c r="DQ37" s="744" t="str">
        <f t="shared" ca="1" si="35"/>
        <v>Uruguay</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51"/>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51"/>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8">
        <f t="array" aca="1" ref="AK39" ca="1">Ver_flag_visit</f>
        <v>#VALUE!</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5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19">
        <f t="array" aca="1" ref="AK40" ca="1">Ver_flag_visit</f>
        <v>#VALUE!</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5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20">
        <f t="array" aca="1" ref="AK41" ca="1">Ver_flag_visit</f>
        <v>#VALUE!</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Pendiente</v>
      </c>
      <c r="E44" s="744" t="str">
        <f t="shared" ref="E44:E49" si="137">IF(D44="Pendiente","-",INDEX($BT$6:$BT$53,MATCH($AA44,$BD$6:$BD$53,0)))</f>
        <v>-</v>
      </c>
      <c r="F44" s="744" t="str">
        <f t="shared" ref="F44:F49" si="138">IF(D44="Pendiente","-",INDEX($BT$6:$BT$53,MATCH($AF44,$BD$6:$BD$53,0)))</f>
        <v>-</v>
      </c>
      <c r="G44" s="744"/>
      <c r="H44" s="744" t="str">
        <f t="shared" ref="H44:H49" si="139">IF(D44="Pendiente","-",INDEX($BZ$6:$BZ$53,MATCH($AA44,$BD$6:$BD$53,0)))</f>
        <v>-</v>
      </c>
      <c r="I44" s="744" t="str">
        <f t="shared" ref="I44:I49" si="140">IF(D44="Pendiente","-",INDEX($BZ$6:$BZ$53,MATCH($AF44,$BD$6:$BD$53,0)))</f>
        <v>-</v>
      </c>
      <c r="J44" s="744"/>
      <c r="K44" s="744" t="str">
        <f t="shared" ref="K44:K49" si="141">IF(D44="Pendiente","-",INDEX($CE$6:$CE$53,MATCH($AA44,$BD$6:$BD$53,0)))</f>
        <v>-</v>
      </c>
      <c r="L44" s="744" t="str">
        <f t="shared" ref="L44:L49" si="142">IF(D44="Pendiente","-",INDEX($CE$6:$CE$53,MATCH($AF44,$BD$6:$BD$53,0)))</f>
        <v>-</v>
      </c>
      <c r="M44" s="744"/>
      <c r="N44" s="744" t="str">
        <f t="shared" ref="N44:N49" si="143">IF(D44="Pendiente","-",INDEX($CH$6:$CH$53,MATCH($AA44,$BD$6:$BD$53,0)))</f>
        <v>-</v>
      </c>
      <c r="O44" s="744" t="str">
        <f t="shared" ref="O44:O49" si="144">IF(D44="Pendiente","-",INDEX($CH$6:$CH$53,MATCH($AF44,$BD$6:$BD$53,0)))</f>
        <v>-</v>
      </c>
      <c r="P44" s="744"/>
      <c r="Q44" s="744" t="str">
        <f t="shared" ref="Q44:Q49" si="145">IF(D44="Pendiente","-",INDEX($CN$6:$CN$53,MATCH($AA44,$BD$6:$BD$53,0)))</f>
        <v>-</v>
      </c>
      <c r="R44" s="744" t="str">
        <f t="shared" ref="R44:R49" si="146">IF(D44="Pendiente","-",INDEX($CN$6:$CN$53,MATCH($AF44,$BD$6:$BD$53,0)))</f>
        <v>-</v>
      </c>
      <c r="S44" s="744"/>
      <c r="T44" s="744" t="str">
        <f t="shared" ref="T44:T49" si="147">IF(D44="Pendiente","-",INDEX($CS$6:$CS$53,MATCH($AA44,$BD$6:$BD$53,0)))</f>
        <v>-</v>
      </c>
      <c r="U44" s="744" t="str">
        <f t="shared" ref="U44:U49" si="148">IF(D44="Pendiente","-",INDEX($CS$6:$CS$53,MATCH($AF44,$BD$6:$BD$53,0)))</f>
        <v>-</v>
      </c>
      <c r="V44" s="172"/>
      <c r="W44" s="814" t="s">
        <v>4</v>
      </c>
      <c r="X44" s="189">
        <f ca="1">Horarios!C44</f>
        <v>46187.916666666664</v>
      </c>
      <c r="Y44" s="190">
        <f ca="1">Horarios!C44</f>
        <v>46187.916666666664</v>
      </c>
      <c r="Z44" s="191" t="str">
        <f>$Z$4</f>
        <v>J1</v>
      </c>
      <c r="AA44" s="192" t="str">
        <f ca="1">A45</f>
        <v>Países Bajos</v>
      </c>
      <c r="AB44" s="478" t="e" cm="1" vm="21">
        <f t="array" aca="1" ref="AB44" ca="1">Ver_flag_local</f>
        <v>#VALUE!</v>
      </c>
      <c r="AC44" s="193"/>
      <c r="AD44" s="194"/>
      <c r="AE44" s="483" t="e" cm="1" vm="22">
        <f t="array" aca="1" ref="AE44" ca="1">Ver_flag_visit</f>
        <v>#VALUE!</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Pendiente</v>
      </c>
      <c r="E45" s="744" t="str">
        <f t="shared" si="137"/>
        <v>-</v>
      </c>
      <c r="F45" s="744" t="str">
        <f t="shared" si="138"/>
        <v>-</v>
      </c>
      <c r="G45" s="744"/>
      <c r="H45" s="744" t="str">
        <f t="shared" si="139"/>
        <v>-</v>
      </c>
      <c r="I45" s="744" t="str">
        <f t="shared" si="140"/>
        <v>-</v>
      </c>
      <c r="J45" s="744"/>
      <c r="K45" s="744" t="str">
        <f t="shared" si="141"/>
        <v>-</v>
      </c>
      <c r="L45" s="744" t="str">
        <f t="shared" si="142"/>
        <v>-</v>
      </c>
      <c r="M45" s="744"/>
      <c r="N45" s="744" t="str">
        <f t="shared" si="143"/>
        <v>-</v>
      </c>
      <c r="O45" s="744" t="str">
        <f t="shared" si="144"/>
        <v>-</v>
      </c>
      <c r="P45" s="744"/>
      <c r="Q45" s="744" t="str">
        <f t="shared" si="145"/>
        <v>-</v>
      </c>
      <c r="R45" s="744" t="str">
        <f t="shared" si="146"/>
        <v>-</v>
      </c>
      <c r="S45" s="744"/>
      <c r="T45" s="744" t="str">
        <f t="shared" si="147"/>
        <v>-</v>
      </c>
      <c r="U45" s="744" t="str">
        <f t="shared" si="148"/>
        <v>-</v>
      </c>
      <c r="V45" s="172"/>
      <c r="W45" s="814"/>
      <c r="X45" s="189">
        <f ca="1">Horarios!C45</f>
        <v>46188.166666666664</v>
      </c>
      <c r="Y45" s="190">
        <f ca="1">Horarios!C45</f>
        <v>46188.166666666664</v>
      </c>
      <c r="Z45" s="191" t="str">
        <f>$Z$4</f>
        <v>J1</v>
      </c>
      <c r="AA45" s="192" t="str">
        <f ca="1">A47</f>
        <v>Suecia</v>
      </c>
      <c r="AB45" s="478" t="e" cm="1" vm="23">
        <f t="array" aca="1" ref="AB45" ca="1">Ver_flag_local</f>
        <v>#VALUE!</v>
      </c>
      <c r="AC45" s="193"/>
      <c r="AD45" s="194"/>
      <c r="AE45" s="483" t="e" cm="1" vm="24">
        <f t="array" aca="1" ref="AE45" ca="1">Ver_flag_visit</f>
        <v>#VALUE!</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14"/>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14"/>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14"/>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15"/>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Pendiente</v>
      </c>
      <c r="E52" s="744" t="str">
        <f t="shared" ref="E52:E57" si="156">IF(D52="Pendiente","-",INDEX($BT$6:$BT$53,MATCH($AA52,$BD$6:$BD$53,0)))</f>
        <v>-</v>
      </c>
      <c r="F52" s="744" t="str">
        <f t="shared" ref="F52:F57" si="157">IF(D52="Pendiente","-",INDEX($BT$6:$BT$53,MATCH($AF52,$BD$6:$BD$53,0)))</f>
        <v>-</v>
      </c>
      <c r="G52" s="744"/>
      <c r="H52" s="744" t="str">
        <f t="shared" ref="H52:H57" si="158">IF(D52="Pendiente","-",INDEX($BZ$6:$BZ$53,MATCH($AA52,$BD$6:$BD$53,0)))</f>
        <v>-</v>
      </c>
      <c r="I52" s="744" t="str">
        <f t="shared" ref="I52:I57" si="159">IF(D52="Pendiente","-",INDEX($BZ$6:$BZ$53,MATCH($AF52,$BD$6:$BD$53,0)))</f>
        <v>-</v>
      </c>
      <c r="J52" s="744"/>
      <c r="K52" s="744" t="str">
        <f t="shared" ref="K52:K57" si="160">IF(D52="Pendiente","-",INDEX($CE$6:$CE$53,MATCH($AA52,$BD$6:$BD$53,0)))</f>
        <v>-</v>
      </c>
      <c r="L52" s="744" t="str">
        <f t="shared" ref="L52:L57" si="161">IF(D52="Pendiente","-",INDEX($CE$6:$CE$53,MATCH($AF52,$BD$6:$BD$53,0)))</f>
        <v>-</v>
      </c>
      <c r="M52" s="744"/>
      <c r="N52" s="744" t="str">
        <f t="shared" ref="N52:N57" si="162">IF(D52="Pendiente","-",INDEX($CH$6:$CH$53,MATCH($AA52,$BD$6:$BD$53,0)))</f>
        <v>-</v>
      </c>
      <c r="O52" s="744" t="str">
        <f t="shared" ref="O52:O57" si="163">IF(D52="Pendiente","-",INDEX($CH$6:$CH$53,MATCH($AF52,$BD$6:$BD$53,0)))</f>
        <v>-</v>
      </c>
      <c r="P52" s="744"/>
      <c r="Q52" s="744" t="str">
        <f t="shared" ref="Q52:Q57" si="164">IF(D52="Pendiente","-",INDEX($CN$6:$CN$53,MATCH($AA52,$BD$6:$BD$53,0)))</f>
        <v>-</v>
      </c>
      <c r="R52" s="744" t="str">
        <f t="shared" ref="R52:R57" si="165">IF(D52="Pendiente","-",INDEX($CN$6:$CN$53,MATCH($AF52,$BD$6:$BD$53,0)))</f>
        <v>-</v>
      </c>
      <c r="S52" s="744"/>
      <c r="T52" s="744" t="str">
        <f t="shared" ref="T52:T57" si="166">IF(D52="Pendiente","-",INDEX($CS$6:$CS$53,MATCH($AA52,$BD$6:$BD$53,0)))</f>
        <v>-</v>
      </c>
      <c r="U52" s="744" t="str">
        <f t="shared" ref="U52:U57" si="167">IF(D52="Pendiente","-",INDEX($CS$6:$CS$53,MATCH($AF52,$BD$6:$BD$53,0)))</f>
        <v>-</v>
      </c>
      <c r="V52" s="172"/>
      <c r="W52" s="834" t="s">
        <v>6</v>
      </c>
      <c r="X52" s="189">
        <f ca="1">Horarios!C52</f>
        <v>46188.875</v>
      </c>
      <c r="Y52" s="190">
        <f ca="1">Horarios!C52</f>
        <v>46188.875</v>
      </c>
      <c r="Z52" s="191" t="str">
        <f>$Z$4</f>
        <v>J1</v>
      </c>
      <c r="AA52" s="192" t="str">
        <f ca="1">A53</f>
        <v>Bélgica</v>
      </c>
      <c r="AB52" s="478" t="e" cm="1" vm="25">
        <f t="array" aca="1" ref="AB52" ca="1">Ver_flag_local</f>
        <v>#VALUE!</v>
      </c>
      <c r="AC52" s="193"/>
      <c r="AD52" s="194"/>
      <c r="AE52" s="483" t="e" cm="1" vm="26">
        <f t="array" aca="1" ref="AE52" ca="1">Ver_flag_visit</f>
        <v>#VALUE!</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Pendiente</v>
      </c>
      <c r="E53" s="744" t="str">
        <f t="shared" si="156"/>
        <v>-</v>
      </c>
      <c r="F53" s="744" t="str">
        <f t="shared" si="157"/>
        <v>-</v>
      </c>
      <c r="G53" s="744"/>
      <c r="H53" s="744" t="str">
        <f t="shared" si="158"/>
        <v>-</v>
      </c>
      <c r="I53" s="744" t="str">
        <f t="shared" si="159"/>
        <v>-</v>
      </c>
      <c r="J53" s="744"/>
      <c r="K53" s="744" t="str">
        <f t="shared" si="160"/>
        <v>-</v>
      </c>
      <c r="L53" s="744" t="str">
        <f t="shared" si="161"/>
        <v>-</v>
      </c>
      <c r="M53" s="744"/>
      <c r="N53" s="744" t="str">
        <f t="shared" si="162"/>
        <v>-</v>
      </c>
      <c r="O53" s="744" t="str">
        <f t="shared" si="163"/>
        <v>-</v>
      </c>
      <c r="P53" s="744"/>
      <c r="Q53" s="744" t="str">
        <f t="shared" si="164"/>
        <v>-</v>
      </c>
      <c r="R53" s="744" t="str">
        <f t="shared" si="165"/>
        <v>-</v>
      </c>
      <c r="S53" s="744"/>
      <c r="T53" s="744" t="str">
        <f t="shared" si="166"/>
        <v>-</v>
      </c>
      <c r="U53" s="744" t="str">
        <f t="shared" si="167"/>
        <v>-</v>
      </c>
      <c r="V53" s="172"/>
      <c r="W53" s="834"/>
      <c r="X53" s="189">
        <f ca="1">Horarios!C53</f>
        <v>46189.125</v>
      </c>
      <c r="Y53" s="190">
        <f ca="1">Horarios!C53</f>
        <v>46189.125</v>
      </c>
      <c r="Z53" s="191" t="str">
        <f>$Z$4</f>
        <v>J1</v>
      </c>
      <c r="AA53" s="192" t="str">
        <f ca="1">A55</f>
        <v>Irán</v>
      </c>
      <c r="AB53" s="478" t="e" cm="1" vm="27">
        <f t="array" aca="1" ref="AB53" ca="1">Ver_flag_local</f>
        <v>#VALUE!</v>
      </c>
      <c r="AC53" s="193"/>
      <c r="AD53" s="194"/>
      <c r="AE53" s="483" t="e" cm="1" vm="28">
        <f t="array" aca="1" ref="AE53" ca="1">Ver_flag_visit</f>
        <v>#VALUE!</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34"/>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34"/>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34"/>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7">
        <f t="array" aca="1" ref="AK56" ca="1">Ver_flag_visit</f>
        <v>#VALUE!</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35"/>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0</v>
      </c>
      <c r="BF58" s="748">
        <f ca="1">+BG58+BH58+BI58</f>
        <v>0</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0</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8">
        <f ca="1">BJ58-BK58</f>
        <v>0</v>
      </c>
      <c r="BM58" s="748">
        <f ca="1">CB58</f>
        <v>5</v>
      </c>
      <c r="BN58" s="748">
        <f ca="1">CF58</f>
        <v>5</v>
      </c>
      <c r="BO58" s="738" t="str">
        <f>"4"&amp;BC58</f>
        <v>4A</v>
      </c>
      <c r="BP58" s="738"/>
      <c r="BQ58" s="738"/>
      <c r="BR58" s="748">
        <f t="shared" ref="BR58:BR69" ca="1" si="179">+BE58</f>
        <v>0</v>
      </c>
      <c r="BS58" s="748">
        <f ca="1">COUNTIFS(BR$58:BR$69,"&gt;"&amp;BR58)+1</f>
        <v>1</v>
      </c>
      <c r="BT58" s="748" t="str">
        <f ca="1">IF(COUNTIF(BS$58:BS$69,BS58)=1,"-","Pos. "&amp;BS58&amp;" ("&amp;COUNTIF(BS$58:BS$69,BS58)&amp;")")</f>
        <v>Pos. 1 (12)</v>
      </c>
      <c r="BU58" s="748">
        <f t="shared" ref="BU58:BU69" ca="1" si="180">IF(BT58="-","-",BL58)</f>
        <v>0</v>
      </c>
      <c r="BV58" s="748">
        <f t="shared" ref="BV58:BV69" ca="1" si="181">BS58+COUNTIFS(BT$58:BT$69,BT58,BU$58:BU$69,"&gt;"&amp;BU58)</f>
        <v>1</v>
      </c>
      <c r="BW58" s="748" t="str">
        <f t="shared" ref="BW58:BW69" ca="1" si="182">IF(COUNTIF(BV$58:BV$69,BV58)=1,"-","Pos. "&amp;BV58&amp;" ("&amp;COUNTIF(BV$58:BV$69,BV58)&amp;")")</f>
        <v>Pos. 1 (12)</v>
      </c>
      <c r="BX58" s="748">
        <f t="shared" ref="BX58:BX69" ca="1" si="183">IF(BW58="-","-",BJ58)</f>
        <v>0</v>
      </c>
      <c r="BY58" s="748">
        <f t="shared" ref="BY58:BY69" ca="1" si="184">BV58+COUNTIFS(BW$58:BW$69,BW58,BX$58:BX$69,"&gt;"&amp;BX58)</f>
        <v>1</v>
      </c>
      <c r="BZ58" s="748" t="str">
        <f t="shared" ref="BZ58:BZ69" ca="1" si="185">IF(COUNTIF(BY$58:BY$69,BY58)=1,"-","Pos. "&amp;BY58&amp;" ("&amp;COUNTIF(BY$58:BY$69,BY58)&amp;")")</f>
        <v>Pos. 1 (12)</v>
      </c>
      <c r="CA58" s="748">
        <f ca="1">IF(BZ58="-","-",COUNTIF($BD$58:$BD$69,"&gt;"&amp;BD58))</f>
        <v>7</v>
      </c>
      <c r="CB58" s="748">
        <f ca="1">BY58+COUNTIFS(BZ$58:BZ$69,BZ58,CA$58:CA$69,"&gt;"&amp;CA58)</f>
        <v>5</v>
      </c>
      <c r="CC58" s="748"/>
      <c r="CD58" s="748">
        <f ca="1">IF(OR(INDEX($AW$102:$AW$113,MATCH($BD58,$AV$102:$AV$113,0))="",BZ58="-"),CB58,INDEX($AW$102:$AW$113,MATCH($BD58,$AV$102:$AV$113,0))+CB58/1000)</f>
        <v>5</v>
      </c>
      <c r="CE58" s="748">
        <f ca="1">IF(BZ58="-","-",COUNTIF(CD$58:CD$69,"&lt;"&amp;CD58))</f>
        <v>4</v>
      </c>
      <c r="CF58" s="748">
        <f ca="1">BY58+COUNTIFS(BZ$58:BZ$69,BZ58,CE$58:CE$69,"&lt;"&amp;CE58)</f>
        <v>5</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Arabia Saudita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0</v>
      </c>
      <c r="BF59" s="748">
        <f t="shared" ref="BF59:BF69" ca="1" si="190">+BG59+BH59+BI59</f>
        <v>0</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0</v>
      </c>
      <c r="BI59" s="748">
        <f t="shared" ca="1" si="176"/>
        <v>0</v>
      </c>
      <c r="BJ59" s="748">
        <f t="shared" ca="1" si="177"/>
        <v>0</v>
      </c>
      <c r="BK59" s="748">
        <f t="shared" ca="1" si="178"/>
        <v>0</v>
      </c>
      <c r="BL59" s="748">
        <f t="shared" ref="BL59:BL69" ca="1" si="193">BJ59-BK59</f>
        <v>0</v>
      </c>
      <c r="BM59" s="748">
        <f t="shared" ref="BM59:BM69" ca="1" si="194">CB59</f>
        <v>4</v>
      </c>
      <c r="BN59" s="748">
        <f t="shared" ref="BN59:BN69" ca="1" si="195">CF59</f>
        <v>4</v>
      </c>
      <c r="BO59" s="738" t="str">
        <f t="shared" ref="BO59:BO69" si="196">"4"&amp;BC59</f>
        <v>4B</v>
      </c>
      <c r="BP59" s="738"/>
      <c r="BQ59" s="738"/>
      <c r="BR59" s="748">
        <f t="shared" ca="1" si="179"/>
        <v>0</v>
      </c>
      <c r="BS59" s="748">
        <f t="shared" ref="BS59:BS69" ca="1" si="197">COUNTIFS(BR$58:BR$69,"&gt;"&amp;BR59)+1</f>
        <v>1</v>
      </c>
      <c r="BT59" s="748" t="str">
        <f t="shared" ref="BT59:BT69" ca="1" si="198">IF(COUNTIF(BS$58:BS$69,BS59)=1,"-","Pos. "&amp;BS59&amp;" ("&amp;COUNTIF(BS$58:BS$69,BS59)&amp;")")</f>
        <v>Pos. 1 (12)</v>
      </c>
      <c r="BU59" s="748">
        <f t="shared" ca="1" si="180"/>
        <v>0</v>
      </c>
      <c r="BV59" s="748">
        <f t="shared" ca="1" si="181"/>
        <v>1</v>
      </c>
      <c r="BW59" s="748" t="str">
        <f t="shared" ca="1" si="182"/>
        <v>Pos. 1 (12)</v>
      </c>
      <c r="BX59" s="748">
        <f t="shared" ca="1" si="183"/>
        <v>0</v>
      </c>
      <c r="BY59" s="748">
        <f t="shared" ca="1" si="184"/>
        <v>1</v>
      </c>
      <c r="BZ59" s="748" t="str">
        <f t="shared" ca="1" si="185"/>
        <v>Pos. 1 (12)</v>
      </c>
      <c r="CA59" s="748">
        <f t="shared" ref="CA59:CA69" ca="1" si="199">IF(BZ59="-","-",COUNTIF($BD$58:$BD$69,"&gt;"&amp;BD59))</f>
        <v>8</v>
      </c>
      <c r="CB59" s="748">
        <f t="shared" ref="CB59:CB68" ca="1" si="200">BY59+COUNTIFS(BZ$58:BZ$69,BZ59,CA$58:CA$69,"&gt;"&amp;CA59)</f>
        <v>4</v>
      </c>
      <c r="CC59" s="748"/>
      <c r="CD59" s="748">
        <f t="shared" ref="CD59:CD69" ca="1" si="201">IF(OR(INDEX($AW$102:$AW$113,MATCH($BD59,$AV$102:$AV$113,0))="",BZ59="-"),CB59,INDEX($AW$102:$AW$113,MATCH($BD59,$AV$102:$AV$113,0))+CB59/1000)</f>
        <v>4</v>
      </c>
      <c r="CE59" s="748">
        <f t="shared" ref="CE59:CE69" ca="1" si="202">IF(BZ59="-","-",COUNTIF(CD$58:CD$69,"&lt;"&amp;CD59))</f>
        <v>3</v>
      </c>
      <c r="CF59" s="748">
        <f t="shared" ref="CF59:CF69" ca="1" si="203">BY59+COUNTIFS(BZ$58:BZ$69,BZ59,CE$58:CE$69,"&lt;"&amp;CE59)</f>
        <v>4</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1</v>
      </c>
      <c r="DK59" s="744"/>
      <c r="DL59" s="744">
        <f t="shared" ref="DL59:DL69" ca="1" si="204">IF(OR($H$113=144,$AJ$99=144),COUNTIF($DJ$58:$DJ$69,DJ59),1)</f>
        <v>1</v>
      </c>
      <c r="DM59" s="738" t="str">
        <f t="shared" ca="1" si="187"/>
        <v>1.1</v>
      </c>
      <c r="DN59" s="744" cm="1">
        <f t="array" aca="1" ref="DN59" ca="1">OFFSET(Horarios!$P$3,DJ59-1,0,DL59,1)</f>
        <v>1</v>
      </c>
      <c r="DO59" s="744"/>
      <c r="DP59" s="744">
        <v>2</v>
      </c>
      <c r="DQ59" s="744" t="str">
        <f t="shared" ref="DQ59:DQ69" ca="1" si="205">INDEX($BD$58:$BD$69,MATCH(DP59,$BM$58:$BM$69,0))</f>
        <v>Australia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Pendiente</v>
      </c>
      <c r="E60" s="744" t="str">
        <f t="shared" ref="E60:E65" si="207">IF(D60="Pendiente","-",INDEX($BT$6:$BT$53,MATCH($AA60,$BD$6:$BD$53,0)))</f>
        <v>-</v>
      </c>
      <c r="F60" s="744" t="str">
        <f t="shared" ref="F60:F65" si="208">IF(D60="Pendiente","-",INDEX($BT$6:$BT$53,MATCH($AF60,$BD$6:$BD$53,0)))</f>
        <v>-</v>
      </c>
      <c r="G60" s="744"/>
      <c r="H60" s="744" t="str">
        <f t="shared" ref="H60:H65" si="209">IF(D60="Pendiente","-",INDEX($BZ$6:$BZ$53,MATCH($AA60,$BD$6:$BD$53,0)))</f>
        <v>-</v>
      </c>
      <c r="I60" s="744" t="str">
        <f t="shared" ref="I60:I65" si="210">IF(D60="Pendiente","-",INDEX($BZ$6:$BZ$53,MATCH($AF60,$BD$6:$BD$53,0)))</f>
        <v>-</v>
      </c>
      <c r="J60" s="744"/>
      <c r="K60" s="744" t="str">
        <f t="shared" ref="K60:K65" si="211">IF(D60="Pendiente","-",INDEX($CE$6:$CE$53,MATCH($AA60,$BD$6:$BD$53,0)))</f>
        <v>-</v>
      </c>
      <c r="L60" s="744" t="str">
        <f t="shared" ref="L60:L65" si="212">IF(D60="Pendiente","-",INDEX($CE$6:$CE$53,MATCH($AF60,$BD$6:$BD$53,0)))</f>
        <v>-</v>
      </c>
      <c r="M60" s="744"/>
      <c r="N60" s="744" t="str">
        <f t="shared" ref="N60:N65" si="213">IF(D60="Pendiente","-",INDEX($CH$6:$CH$53,MATCH($AA60,$BD$6:$BD$53,0)))</f>
        <v>-</v>
      </c>
      <c r="O60" s="744" t="str">
        <f t="shared" ref="O60:O65" si="214">IF(D60="Pendiente","-",INDEX($CH$6:$CH$53,MATCH($AF60,$BD$6:$BD$53,0)))</f>
        <v>-</v>
      </c>
      <c r="P60" s="744"/>
      <c r="Q60" s="744" t="str">
        <f t="shared" ref="Q60:Q65" si="215">IF(D60="Pendiente","-",INDEX($CN$6:$CN$53,MATCH($AA60,$BD$6:$BD$53,0)))</f>
        <v>-</v>
      </c>
      <c r="R60" s="744" t="str">
        <f t="shared" ref="R60:R65" si="216">IF(D60="Pendiente","-",INDEX($CN$6:$CN$53,MATCH($AF60,$BD$6:$BD$53,0)))</f>
        <v>-</v>
      </c>
      <c r="S60" s="744"/>
      <c r="T60" s="744" t="str">
        <f t="shared" ref="T60:T65" si="217">IF(D60="Pendiente","-",INDEX($CS$6:$CS$53,MATCH($AA60,$BD$6:$BD$53,0)))</f>
        <v>-</v>
      </c>
      <c r="U60" s="744" t="str">
        <f t="shared" ref="U60:U65" si="218">IF(D60="Pendiente","-",INDEX($CS$6:$CS$53,MATCH($AF60,$BD$6:$BD$53,0)))</f>
        <v>-</v>
      </c>
      <c r="V60" s="172"/>
      <c r="W60" s="816" t="s">
        <v>437</v>
      </c>
      <c r="X60" s="189">
        <f ca="1">Horarios!C60</f>
        <v>46188.75</v>
      </c>
      <c r="Y60" s="190">
        <f ca="1">Horarios!C60</f>
        <v>46188.75</v>
      </c>
      <c r="Z60" s="191" t="str">
        <f>$Z$4</f>
        <v>J1</v>
      </c>
      <c r="AA60" s="192" t="str">
        <f ca="1">A61</f>
        <v>España</v>
      </c>
      <c r="AB60" s="478" t="e" cm="1" vm="29">
        <f t="array" aca="1" ref="AB60" ca="1">Ver_flag_local</f>
        <v>#VALUE!</v>
      </c>
      <c r="AC60" s="193"/>
      <c r="AD60" s="194"/>
      <c r="AE60" s="483" t="e" cm="1" vm="30">
        <f t="array" aca="1" ref="AE60" ca="1">Ver_flag_visit</f>
        <v>#VALUE!</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Haití</v>
      </c>
      <c r="BE60" s="748">
        <f t="shared" ca="1" si="189"/>
        <v>0</v>
      </c>
      <c r="BF60" s="748">
        <f t="shared" ca="1" si="190"/>
        <v>0</v>
      </c>
      <c r="BG60" s="748">
        <f t="shared" ca="1" si="191"/>
        <v>0</v>
      </c>
      <c r="BH60" s="748">
        <f t="shared" ca="1" si="192"/>
        <v>0</v>
      </c>
      <c r="BI60" s="748">
        <f t="shared" ca="1" si="176"/>
        <v>0</v>
      </c>
      <c r="BJ60" s="748">
        <f t="shared" ca="1" si="177"/>
        <v>0</v>
      </c>
      <c r="BK60" s="748">
        <f t="shared" ca="1" si="178"/>
        <v>0</v>
      </c>
      <c r="BL60" s="748">
        <f t="shared" ca="1" si="193"/>
        <v>0</v>
      </c>
      <c r="BM60" s="748">
        <f t="shared" ca="1" si="194"/>
        <v>8</v>
      </c>
      <c r="BN60" s="748">
        <f t="shared" ca="1" si="195"/>
        <v>8</v>
      </c>
      <c r="BO60" s="738" t="str">
        <f t="shared" si="196"/>
        <v>4C</v>
      </c>
      <c r="BP60" s="738"/>
      <c r="BQ60" s="738"/>
      <c r="BR60" s="748">
        <f t="shared" ca="1" si="179"/>
        <v>0</v>
      </c>
      <c r="BS60" s="748">
        <f t="shared" ca="1" si="197"/>
        <v>1</v>
      </c>
      <c r="BT60" s="748" t="str">
        <f t="shared" ca="1" si="198"/>
        <v>Pos. 1 (12)</v>
      </c>
      <c r="BU60" s="748">
        <f t="shared" ca="1" si="180"/>
        <v>0</v>
      </c>
      <c r="BV60" s="748">
        <f t="shared" ca="1" si="181"/>
        <v>1</v>
      </c>
      <c r="BW60" s="748" t="str">
        <f t="shared" ca="1" si="182"/>
        <v>Pos. 1 (12)</v>
      </c>
      <c r="BX60" s="748">
        <f t="shared" ca="1" si="183"/>
        <v>0</v>
      </c>
      <c r="BY60" s="748">
        <f t="shared" ca="1" si="184"/>
        <v>1</v>
      </c>
      <c r="BZ60" s="748" t="str">
        <f t="shared" ca="1" si="185"/>
        <v>Pos. 1 (12)</v>
      </c>
      <c r="CA60" s="748">
        <f t="shared" ca="1" si="199"/>
        <v>4</v>
      </c>
      <c r="CB60" s="748">
        <f t="shared" ca="1" si="200"/>
        <v>8</v>
      </c>
      <c r="CC60" s="748"/>
      <c r="CD60" s="748">
        <f t="shared" ca="1" si="201"/>
        <v>8</v>
      </c>
      <c r="CE60" s="748">
        <f t="shared" ca="1" si="202"/>
        <v>7</v>
      </c>
      <c r="CF60" s="748">
        <f t="shared" ca="1" si="203"/>
        <v>8</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1</v>
      </c>
      <c r="DK60" s="744"/>
      <c r="DL60" s="744">
        <f t="shared" ca="1" si="204"/>
        <v>1</v>
      </c>
      <c r="DM60" s="738" t="str">
        <f t="shared" ca="1" si="187"/>
        <v>1.1</v>
      </c>
      <c r="DN60" s="744" cm="1">
        <f t="array" aca="1" ref="DN60" ca="1">OFFSET(Horarios!$P$3,DJ60-1,0,DL60,1)</f>
        <v>1</v>
      </c>
      <c r="DO60" s="744"/>
      <c r="DP60" s="744">
        <v>3</v>
      </c>
      <c r="DQ60" s="744" t="str">
        <f t="shared" ca="1" si="205"/>
        <v>Austria</v>
      </c>
      <c r="DR60" s="744"/>
      <c r="DS60" s="744"/>
      <c r="DT60" s="744" t="str">
        <f t="shared" ca="1" si="15"/>
        <v>España-Cabo Verde</v>
      </c>
      <c r="DU60" s="744"/>
      <c r="DV60" s="744"/>
      <c r="DW60" s="8"/>
    </row>
    <row r="61" spans="1:127">
      <c r="A61" s="745" t="str">
        <f ca="1">+Equipos!B30</f>
        <v>España</v>
      </c>
      <c r="B61" s="742"/>
      <c r="C61" s="742"/>
      <c r="D61" s="744" t="str">
        <f t="shared" si="206"/>
        <v>Pendiente</v>
      </c>
      <c r="E61" s="744" t="str">
        <f t="shared" si="207"/>
        <v>-</v>
      </c>
      <c r="F61" s="744" t="str">
        <f t="shared" si="208"/>
        <v>-</v>
      </c>
      <c r="G61" s="744"/>
      <c r="H61" s="744" t="str">
        <f t="shared" si="209"/>
        <v>-</v>
      </c>
      <c r="I61" s="744" t="str">
        <f t="shared" si="210"/>
        <v>-</v>
      </c>
      <c r="J61" s="744"/>
      <c r="K61" s="744" t="str">
        <f t="shared" si="211"/>
        <v>-</v>
      </c>
      <c r="L61" s="744" t="str">
        <f t="shared" si="212"/>
        <v>-</v>
      </c>
      <c r="M61" s="744"/>
      <c r="N61" s="744" t="str">
        <f t="shared" si="213"/>
        <v>-</v>
      </c>
      <c r="O61" s="744" t="str">
        <f t="shared" si="214"/>
        <v>-</v>
      </c>
      <c r="P61" s="744"/>
      <c r="Q61" s="744" t="str">
        <f t="shared" si="215"/>
        <v>-</v>
      </c>
      <c r="R61" s="744" t="str">
        <f t="shared" si="216"/>
        <v>-</v>
      </c>
      <c r="S61" s="744"/>
      <c r="T61" s="744" t="str">
        <f t="shared" si="217"/>
        <v>-</v>
      </c>
      <c r="U61" s="744" t="str">
        <f t="shared" si="218"/>
        <v>-</v>
      </c>
      <c r="V61" s="172"/>
      <c r="W61" s="816"/>
      <c r="X61" s="189">
        <f ca="1">Horarios!C61</f>
        <v>46189</v>
      </c>
      <c r="Y61" s="190">
        <f ca="1">Horarios!C61</f>
        <v>46189</v>
      </c>
      <c r="Z61" s="191" t="str">
        <f>$Z$4</f>
        <v>J1</v>
      </c>
      <c r="AA61" s="192" t="str">
        <f ca="1">A63</f>
        <v>Arabia Saudita</v>
      </c>
      <c r="AB61" s="478" t="e" cm="1" vm="31">
        <f t="array" aca="1" ref="AB61" ca="1">Ver_flag_local</f>
        <v>#VALUE!</v>
      </c>
      <c r="AC61" s="193"/>
      <c r="AD61" s="194"/>
      <c r="AE61" s="483" t="e" cm="1" vm="32">
        <f t="array" aca="1" ref="AE61" ca="1">Ver_flag_visit</f>
        <v>#VALUE!</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Australia</v>
      </c>
      <c r="BE61" s="748">
        <f t="shared" ca="1" si="189"/>
        <v>0</v>
      </c>
      <c r="BF61" s="748">
        <f t="shared" ca="1" si="190"/>
        <v>0</v>
      </c>
      <c r="BG61" s="748">
        <f t="shared" ca="1" si="191"/>
        <v>0</v>
      </c>
      <c r="BH61" s="748">
        <f t="shared" ca="1" si="192"/>
        <v>0</v>
      </c>
      <c r="BI61" s="748">
        <f t="shared" ca="1" si="176"/>
        <v>0</v>
      </c>
      <c r="BJ61" s="748">
        <f t="shared" ca="1" si="177"/>
        <v>0</v>
      </c>
      <c r="BK61" s="748">
        <f t="shared" ca="1" si="178"/>
        <v>0</v>
      </c>
      <c r="BL61" s="748">
        <f t="shared" ca="1" si="193"/>
        <v>0</v>
      </c>
      <c r="BM61" s="748">
        <f t="shared" ca="1" si="194"/>
        <v>2</v>
      </c>
      <c r="BN61" s="748">
        <f t="shared" ca="1" si="195"/>
        <v>2</v>
      </c>
      <c r="BO61" s="738" t="str">
        <f t="shared" si="196"/>
        <v>4D</v>
      </c>
      <c r="BP61" s="738"/>
      <c r="BQ61" s="738"/>
      <c r="BR61" s="748">
        <f t="shared" ca="1" si="179"/>
        <v>0</v>
      </c>
      <c r="BS61" s="748">
        <f t="shared" ca="1" si="197"/>
        <v>1</v>
      </c>
      <c r="BT61" s="748" t="str">
        <f t="shared" ca="1" si="198"/>
        <v>Pos. 1 (12)</v>
      </c>
      <c r="BU61" s="748">
        <f t="shared" ca="1" si="180"/>
        <v>0</v>
      </c>
      <c r="BV61" s="748">
        <f t="shared" ca="1" si="181"/>
        <v>1</v>
      </c>
      <c r="BW61" s="748" t="str">
        <f t="shared" ca="1" si="182"/>
        <v>Pos. 1 (12)</v>
      </c>
      <c r="BX61" s="748">
        <f t="shared" ca="1" si="183"/>
        <v>0</v>
      </c>
      <c r="BY61" s="748">
        <f t="shared" ca="1" si="184"/>
        <v>1</v>
      </c>
      <c r="BZ61" s="748" t="str">
        <f t="shared" ca="1" si="185"/>
        <v>Pos. 1 (12)</v>
      </c>
      <c r="CA61" s="748">
        <f t="shared" ca="1" si="199"/>
        <v>10</v>
      </c>
      <c r="CB61" s="748">
        <f t="shared" ca="1" si="200"/>
        <v>2</v>
      </c>
      <c r="CC61" s="748"/>
      <c r="CD61" s="748">
        <f t="shared" ca="1" si="201"/>
        <v>2</v>
      </c>
      <c r="CE61" s="748">
        <f t="shared" ca="1" si="202"/>
        <v>1</v>
      </c>
      <c r="CF61" s="748">
        <f t="shared" ca="1" si="203"/>
        <v>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1</v>
      </c>
      <c r="DK61" s="744"/>
      <c r="DL61" s="744">
        <f t="shared" ca="1" si="204"/>
        <v>1</v>
      </c>
      <c r="DM61" s="738" t="str">
        <f t="shared" ca="1" si="187"/>
        <v>1.1</v>
      </c>
      <c r="DN61" s="744" cm="1">
        <f t="array" aca="1" ref="DN61" ca="1">OFFSET(Horarios!$P$3,DJ61-1,0,DL61,1)</f>
        <v>1</v>
      </c>
      <c r="DO61" s="744"/>
      <c r="DP61" s="744">
        <v>4</v>
      </c>
      <c r="DQ61" s="744" t="str">
        <f t="shared" ca="1" si="205"/>
        <v>Catar</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16"/>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Costa de Marfil</v>
      </c>
      <c r="BE62" s="748">
        <f t="shared" ca="1" si="189"/>
        <v>0</v>
      </c>
      <c r="BF62" s="748">
        <f t="shared" ca="1" si="190"/>
        <v>0</v>
      </c>
      <c r="BG62" s="748">
        <f t="shared" ca="1" si="191"/>
        <v>0</v>
      </c>
      <c r="BH62" s="748">
        <f t="shared" ca="1" si="192"/>
        <v>0</v>
      </c>
      <c r="BI62" s="748">
        <f t="shared" ca="1" si="176"/>
        <v>0</v>
      </c>
      <c r="BJ62" s="748">
        <f t="shared" ca="1" si="177"/>
        <v>0</v>
      </c>
      <c r="BK62" s="748">
        <f t="shared" ca="1" si="178"/>
        <v>0</v>
      </c>
      <c r="BL62" s="748">
        <f t="shared" ca="1" si="193"/>
        <v>0</v>
      </c>
      <c r="BM62" s="748">
        <f t="shared" ca="1" si="194"/>
        <v>6</v>
      </c>
      <c r="BN62" s="748">
        <f t="shared" ca="1" si="195"/>
        <v>6</v>
      </c>
      <c r="BO62" s="738" t="str">
        <f t="shared" si="196"/>
        <v>4E</v>
      </c>
      <c r="BP62" s="738"/>
      <c r="BQ62" s="738"/>
      <c r="BR62" s="748">
        <f t="shared" ca="1" si="179"/>
        <v>0</v>
      </c>
      <c r="BS62" s="748">
        <f t="shared" ca="1" si="197"/>
        <v>1</v>
      </c>
      <c r="BT62" s="748" t="str">
        <f t="shared" ca="1" si="198"/>
        <v>Pos. 1 (12)</v>
      </c>
      <c r="BU62" s="748">
        <f t="shared" ca="1" si="180"/>
        <v>0</v>
      </c>
      <c r="BV62" s="748">
        <f t="shared" ca="1" si="181"/>
        <v>1</v>
      </c>
      <c r="BW62" s="748" t="str">
        <f t="shared" ca="1" si="182"/>
        <v>Pos. 1 (12)</v>
      </c>
      <c r="BX62" s="748">
        <f t="shared" ca="1" si="183"/>
        <v>0</v>
      </c>
      <c r="BY62" s="748">
        <f t="shared" ca="1" si="184"/>
        <v>1</v>
      </c>
      <c r="BZ62" s="748" t="str">
        <f t="shared" ca="1" si="185"/>
        <v>Pos. 1 (12)</v>
      </c>
      <c r="CA62" s="748">
        <f t="shared" ca="1" si="199"/>
        <v>6</v>
      </c>
      <c r="CB62" s="748">
        <f t="shared" ca="1" si="200"/>
        <v>6</v>
      </c>
      <c r="CC62" s="748"/>
      <c r="CD62" s="748">
        <f t="shared" ca="1" si="201"/>
        <v>6</v>
      </c>
      <c r="CE62" s="748">
        <f t="shared" ca="1" si="202"/>
        <v>5</v>
      </c>
      <c r="CF62" s="748">
        <f t="shared" ca="1" si="203"/>
        <v>6</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1</v>
      </c>
      <c r="DK62" s="744"/>
      <c r="DL62" s="744">
        <f t="shared" ca="1" si="204"/>
        <v>1</v>
      </c>
      <c r="DM62" s="738" t="str">
        <f t="shared" ca="1" si="187"/>
        <v>1.1</v>
      </c>
      <c r="DN62" s="744" cm="1">
        <f t="array" aca="1" ref="DN62" ca="1">OFFSET(Horarios!$P$3,DJ62-1,0,DL62,1)</f>
        <v>1</v>
      </c>
      <c r="DO62" s="744"/>
      <c r="DP62" s="744">
        <v>5</v>
      </c>
      <c r="DQ62" s="744" t="str">
        <f t="shared" ca="1" si="205"/>
        <v>Corea del Sur</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16"/>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0</v>
      </c>
      <c r="BF63" s="748">
        <f t="shared" ca="1" si="190"/>
        <v>0</v>
      </c>
      <c r="BG63" s="748">
        <f t="shared" ca="1" si="191"/>
        <v>0</v>
      </c>
      <c r="BH63" s="748">
        <f t="shared" ca="1" si="192"/>
        <v>0</v>
      </c>
      <c r="BI63" s="748">
        <f t="shared" ca="1" si="176"/>
        <v>0</v>
      </c>
      <c r="BJ63" s="748">
        <f t="shared" ca="1" si="177"/>
        <v>0</v>
      </c>
      <c r="BK63" s="748">
        <f t="shared" ca="1" si="178"/>
        <v>0</v>
      </c>
      <c r="BL63" s="748">
        <f t="shared" ca="1" si="193"/>
        <v>0</v>
      </c>
      <c r="BM63" s="748">
        <f t="shared" ca="1" si="194"/>
        <v>11</v>
      </c>
      <c r="BN63" s="748">
        <f t="shared" ca="1" si="195"/>
        <v>11</v>
      </c>
      <c r="BO63" s="738" t="str">
        <f t="shared" si="196"/>
        <v>4F</v>
      </c>
      <c r="BP63" s="738"/>
      <c r="BQ63" s="738"/>
      <c r="BR63" s="748">
        <f t="shared" ca="1" si="179"/>
        <v>0</v>
      </c>
      <c r="BS63" s="748">
        <f t="shared" ca="1" si="197"/>
        <v>1</v>
      </c>
      <c r="BT63" s="748" t="str">
        <f t="shared" ca="1" si="198"/>
        <v>Pos. 1 (12)</v>
      </c>
      <c r="BU63" s="748">
        <f t="shared" ca="1" si="180"/>
        <v>0</v>
      </c>
      <c r="BV63" s="748">
        <f t="shared" ca="1" si="181"/>
        <v>1</v>
      </c>
      <c r="BW63" s="748" t="str">
        <f t="shared" ca="1" si="182"/>
        <v>Pos. 1 (12)</v>
      </c>
      <c r="BX63" s="748">
        <f t="shared" ca="1" si="183"/>
        <v>0</v>
      </c>
      <c r="BY63" s="748">
        <f t="shared" ca="1" si="184"/>
        <v>1</v>
      </c>
      <c r="BZ63" s="748" t="str">
        <f t="shared" ca="1" si="185"/>
        <v>Pos. 1 (12)</v>
      </c>
      <c r="CA63" s="748">
        <f t="shared" ca="1" si="199"/>
        <v>1</v>
      </c>
      <c r="CB63" s="748">
        <f t="shared" ca="1" si="200"/>
        <v>11</v>
      </c>
      <c r="CC63" s="748"/>
      <c r="CD63" s="748">
        <f t="shared" ca="1" si="201"/>
        <v>11</v>
      </c>
      <c r="CE63" s="748">
        <f t="shared" ca="1" si="202"/>
        <v>10</v>
      </c>
      <c r="CF63" s="748">
        <f t="shared" ca="1" si="203"/>
        <v>11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1</v>
      </c>
      <c r="DK63" s="744"/>
      <c r="DL63" s="744">
        <f t="shared" ca="1" si="204"/>
        <v>1</v>
      </c>
      <c r="DM63" s="738" t="str">
        <f t="shared" ca="1" si="187"/>
        <v>1.1</v>
      </c>
      <c r="DN63" s="744" cm="1">
        <f t="array" aca="1" ref="DN63" ca="1">OFFSET(Horarios!$P$3,DJ63-1,0,DL63,1)</f>
        <v>1</v>
      </c>
      <c r="DO63" s="744"/>
      <c r="DP63" s="744">
        <v>6</v>
      </c>
      <c r="DQ63" s="744" t="str">
        <f t="shared" ca="1" si="205"/>
        <v>Costa de Marfil</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16"/>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1">
        <f t="array" aca="1" ref="AK64" ca="1">Ver_flag_visit</f>
        <v>#VALUE!</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9" t="str">
        <f t="shared" si="188"/>
        <v>3G</v>
      </c>
      <c r="BC64" s="756" t="s">
        <v>6</v>
      </c>
      <c r="BD64" s="744" t="str">
        <f t="shared" ca="1" si="175"/>
        <v>Irán</v>
      </c>
      <c r="BE64" s="748">
        <f t="shared" ca="1" si="189"/>
        <v>0</v>
      </c>
      <c r="BF64" s="748">
        <f t="shared" ca="1" si="190"/>
        <v>0</v>
      </c>
      <c r="BG64" s="748">
        <f t="shared" ca="1" si="191"/>
        <v>0</v>
      </c>
      <c r="BH64" s="748">
        <f t="shared" ca="1" si="192"/>
        <v>0</v>
      </c>
      <c r="BI64" s="748">
        <f t="shared" ca="1" si="176"/>
        <v>0</v>
      </c>
      <c r="BJ64" s="748">
        <f t="shared" ca="1" si="177"/>
        <v>0</v>
      </c>
      <c r="BK64" s="748">
        <f t="shared" ca="1" si="178"/>
        <v>0</v>
      </c>
      <c r="BL64" s="748">
        <f t="shared" ca="1" si="193"/>
        <v>0</v>
      </c>
      <c r="BM64" s="748">
        <f t="shared" ca="1" si="194"/>
        <v>10</v>
      </c>
      <c r="BN64" s="748">
        <f t="shared" ca="1" si="195"/>
        <v>10</v>
      </c>
      <c r="BO64" s="738" t="str">
        <f t="shared" si="196"/>
        <v>4G</v>
      </c>
      <c r="BP64" s="738"/>
      <c r="BQ64" s="738"/>
      <c r="BR64" s="748">
        <f t="shared" ca="1" si="179"/>
        <v>0</v>
      </c>
      <c r="BS64" s="748">
        <f t="shared" ca="1" si="197"/>
        <v>1</v>
      </c>
      <c r="BT64" s="748" t="str">
        <f t="shared" ca="1" si="198"/>
        <v>Pos. 1 (12)</v>
      </c>
      <c r="BU64" s="748">
        <f t="shared" ca="1" si="180"/>
        <v>0</v>
      </c>
      <c r="BV64" s="748">
        <f t="shared" ca="1" si="181"/>
        <v>1</v>
      </c>
      <c r="BW64" s="748" t="str">
        <f t="shared" ca="1" si="182"/>
        <v>Pos. 1 (12)</v>
      </c>
      <c r="BX64" s="748">
        <f t="shared" ca="1" si="183"/>
        <v>0</v>
      </c>
      <c r="BY64" s="748">
        <f t="shared" ca="1" si="184"/>
        <v>1</v>
      </c>
      <c r="BZ64" s="748" t="str">
        <f t="shared" ca="1" si="185"/>
        <v>Pos. 1 (12)</v>
      </c>
      <c r="CA64" s="748">
        <f t="shared" ca="1" si="199"/>
        <v>2</v>
      </c>
      <c r="CB64" s="748">
        <f t="shared" ca="1" si="200"/>
        <v>10</v>
      </c>
      <c r="CC64" s="748"/>
      <c r="CD64" s="748">
        <f t="shared" ca="1" si="201"/>
        <v>10</v>
      </c>
      <c r="CE64" s="748">
        <f t="shared" ca="1" si="202"/>
        <v>9</v>
      </c>
      <c r="CF64" s="748">
        <f t="shared" ca="1" si="203"/>
        <v>10</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1</v>
      </c>
      <c r="DK64" s="744"/>
      <c r="DL64" s="744">
        <f t="shared" ca="1" si="204"/>
        <v>1</v>
      </c>
      <c r="DM64" s="738" t="str">
        <f t="shared" ca="1" si="187"/>
        <v>1.1</v>
      </c>
      <c r="DN64" s="744" cm="1">
        <f t="array" aca="1" ref="DN64" ca="1">OFFSET(Horarios!$P$3,DJ64-1,0,DL64,1)</f>
        <v>1</v>
      </c>
      <c r="DO64" s="744"/>
      <c r="DP64" s="744">
        <v>7</v>
      </c>
      <c r="DQ64" s="744" t="str">
        <f t="shared" ca="1" si="205"/>
        <v>Ghana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17"/>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2">
        <f t="array" aca="1" ref="AK65" ca="1">Ver_flag_visit</f>
        <v>#VALUE!</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9" t="str">
        <f t="shared" si="188"/>
        <v>3H</v>
      </c>
      <c r="BC65" s="756" t="s">
        <v>437</v>
      </c>
      <c r="BD65" s="744" t="str">
        <f t="shared" ca="1" si="175"/>
        <v>Arabia Saudita</v>
      </c>
      <c r="BE65" s="748">
        <f t="shared" ca="1" si="189"/>
        <v>0</v>
      </c>
      <c r="BF65" s="748">
        <f t="shared" ca="1" si="190"/>
        <v>0</v>
      </c>
      <c r="BG65" s="748">
        <f t="shared" ca="1" si="191"/>
        <v>0</v>
      </c>
      <c r="BH65" s="748">
        <f t="shared" ca="1" si="192"/>
        <v>0</v>
      </c>
      <c r="BI65" s="748">
        <f t="shared" ca="1" si="176"/>
        <v>0</v>
      </c>
      <c r="BJ65" s="748">
        <f t="shared" ca="1" si="177"/>
        <v>0</v>
      </c>
      <c r="BK65" s="748">
        <f t="shared" ca="1" si="178"/>
        <v>0</v>
      </c>
      <c r="BL65" s="748">
        <f t="shared" ca="1" si="193"/>
        <v>0</v>
      </c>
      <c r="BM65" s="748">
        <f t="shared" ca="1" si="194"/>
        <v>1</v>
      </c>
      <c r="BN65" s="748">
        <f t="shared" ca="1" si="195"/>
        <v>1</v>
      </c>
      <c r="BO65" s="738" t="str">
        <f t="shared" si="196"/>
        <v>4H</v>
      </c>
      <c r="BP65" s="738"/>
      <c r="BQ65" s="738"/>
      <c r="BR65" s="748">
        <f t="shared" ca="1" si="179"/>
        <v>0</v>
      </c>
      <c r="BS65" s="748">
        <f t="shared" ca="1" si="197"/>
        <v>1</v>
      </c>
      <c r="BT65" s="748" t="str">
        <f t="shared" ca="1" si="198"/>
        <v>Pos. 1 (12)</v>
      </c>
      <c r="BU65" s="748">
        <f t="shared" ca="1" si="180"/>
        <v>0</v>
      </c>
      <c r="BV65" s="748">
        <f t="shared" ca="1" si="181"/>
        <v>1</v>
      </c>
      <c r="BW65" s="748" t="str">
        <f t="shared" ca="1" si="182"/>
        <v>Pos. 1 (12)</v>
      </c>
      <c r="BX65" s="748">
        <f t="shared" ca="1" si="183"/>
        <v>0</v>
      </c>
      <c r="BY65" s="748">
        <f t="shared" ca="1" si="184"/>
        <v>1</v>
      </c>
      <c r="BZ65" s="748" t="str">
        <f t="shared" ca="1" si="185"/>
        <v>Pos. 1 (12)</v>
      </c>
      <c r="CA65" s="748">
        <f t="shared" ca="1" si="199"/>
        <v>11</v>
      </c>
      <c r="CB65" s="748">
        <f t="shared" ca="1" si="200"/>
        <v>1</v>
      </c>
      <c r="CC65" s="748"/>
      <c r="CD65" s="748">
        <f t="shared" ca="1" si="201"/>
        <v>1</v>
      </c>
      <c r="CE65" s="748">
        <f t="shared" ca="1" si="202"/>
        <v>0</v>
      </c>
      <c r="CF65" s="748">
        <f t="shared" ca="1" si="203"/>
        <v>1</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1</v>
      </c>
      <c r="DK65" s="744"/>
      <c r="DL65" s="744">
        <f t="shared" ca="1" si="204"/>
        <v>1</v>
      </c>
      <c r="DM65" s="738" t="str">
        <f t="shared" ca="1" si="187"/>
        <v>1.1</v>
      </c>
      <c r="DN65" s="744" cm="1">
        <f t="array" aca="1" ref="DN65" ca="1">OFFSET(Horarios!$P$3,DJ65-1,0,DL65,1)</f>
        <v>1</v>
      </c>
      <c r="DO65" s="744"/>
      <c r="DP65" s="744">
        <v>8</v>
      </c>
      <c r="DQ65" s="744" t="str">
        <f t="shared" ca="1" si="205"/>
        <v>Haití</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9</v>
      </c>
      <c r="BN66" s="748">
        <f t="shared" ca="1" si="195"/>
        <v>9</v>
      </c>
      <c r="BO66" s="738" t="str">
        <f t="shared" si="196"/>
        <v>4I</v>
      </c>
      <c r="BP66" s="738"/>
      <c r="BQ66" s="738"/>
      <c r="BR66" s="748">
        <f t="shared" ca="1" si="179"/>
        <v>0</v>
      </c>
      <c r="BS66" s="748">
        <f t="shared" ca="1" si="197"/>
        <v>1</v>
      </c>
      <c r="BT66" s="748" t="str">
        <f t="shared" ca="1" si="198"/>
        <v>Pos. 1 (12)</v>
      </c>
      <c r="BU66" s="748">
        <f t="shared" ca="1" si="180"/>
        <v>0</v>
      </c>
      <c r="BV66" s="748">
        <f t="shared" ca="1" si="181"/>
        <v>1</v>
      </c>
      <c r="BW66" s="748" t="str">
        <f t="shared" ca="1" si="182"/>
        <v>Pos. 1 (12)</v>
      </c>
      <c r="BX66" s="748">
        <f t="shared" ca="1" si="183"/>
        <v>0</v>
      </c>
      <c r="BY66" s="748">
        <f t="shared" ca="1" si="184"/>
        <v>1</v>
      </c>
      <c r="BZ66" s="748" t="str">
        <f t="shared" ca="1" si="185"/>
        <v>Pos. 1 (12)</v>
      </c>
      <c r="CA66" s="748">
        <f t="shared" ca="1" si="199"/>
        <v>3</v>
      </c>
      <c r="CB66" s="748">
        <f t="shared" ca="1" si="200"/>
        <v>9</v>
      </c>
      <c r="CC66" s="748"/>
      <c r="CD66" s="748">
        <f t="shared" ca="1" si="201"/>
        <v>9</v>
      </c>
      <c r="CE66" s="748">
        <f t="shared" ca="1" si="202"/>
        <v>8</v>
      </c>
      <c r="CF66" s="748">
        <f t="shared" ca="1" si="203"/>
        <v>9</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1</v>
      </c>
      <c r="DK66" s="744"/>
      <c r="DL66" s="744">
        <f t="shared" ca="1" si="204"/>
        <v>1</v>
      </c>
      <c r="DM66" s="738" t="str">
        <f t="shared" ca="1" si="187"/>
        <v>1.1</v>
      </c>
      <c r="DN66" s="744" cm="1">
        <f t="array" aca="1" ref="DN66" ca="1">OFFSET(Horarios!$P$3,DJ66-1,0,DL66,1)</f>
        <v>1</v>
      </c>
      <c r="DO66" s="744"/>
      <c r="DP66" s="744">
        <v>9</v>
      </c>
      <c r="DQ66" s="744" t="str">
        <f t="shared" ca="1" si="205"/>
        <v>Irak</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3</v>
      </c>
      <c r="BN67" s="748">
        <f t="shared" ca="1" si="195"/>
        <v>3</v>
      </c>
      <c r="BO67" s="738" t="str">
        <f t="shared" si="196"/>
        <v>4J</v>
      </c>
      <c r="BP67" s="738"/>
      <c r="BQ67" s="738"/>
      <c r="BR67" s="748">
        <f t="shared" ca="1" si="179"/>
        <v>0</v>
      </c>
      <c r="BS67" s="748">
        <f t="shared" ca="1" si="197"/>
        <v>1</v>
      </c>
      <c r="BT67" s="748" t="str">
        <f t="shared" ca="1" si="198"/>
        <v>Pos. 1 (12)</v>
      </c>
      <c r="BU67" s="748">
        <f t="shared" ca="1" si="180"/>
        <v>0</v>
      </c>
      <c r="BV67" s="748">
        <f t="shared" ca="1" si="181"/>
        <v>1</v>
      </c>
      <c r="BW67" s="748" t="str">
        <f t="shared" ca="1" si="182"/>
        <v>Pos. 1 (12)</v>
      </c>
      <c r="BX67" s="748">
        <f t="shared" ca="1" si="183"/>
        <v>0</v>
      </c>
      <c r="BY67" s="748">
        <f t="shared" ca="1" si="184"/>
        <v>1</v>
      </c>
      <c r="BZ67" s="748" t="str">
        <f t="shared" ca="1" si="185"/>
        <v>Pos. 1 (12)</v>
      </c>
      <c r="CA67" s="748">
        <f t="shared" ca="1" si="199"/>
        <v>9</v>
      </c>
      <c r="CB67" s="748">
        <f t="shared" ca="1" si="200"/>
        <v>3</v>
      </c>
      <c r="CC67" s="748"/>
      <c r="CD67" s="748">
        <f t="shared" ca="1" si="201"/>
        <v>3</v>
      </c>
      <c r="CE67" s="748">
        <f t="shared" ca="1" si="202"/>
        <v>2</v>
      </c>
      <c r="CF67" s="748">
        <f t="shared" ca="1" si="203"/>
        <v>3</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v>
      </c>
      <c r="DK67" s="744"/>
      <c r="DL67" s="744">
        <f t="shared" ca="1" si="204"/>
        <v>1</v>
      </c>
      <c r="DM67" s="738" t="str">
        <f t="shared" ca="1" si="187"/>
        <v>1.1</v>
      </c>
      <c r="DN67" s="744" cm="1">
        <f t="array" aca="1" ref="DN67" ca="1">OFFSET(Horarios!$P$3,DJ67-1,0,DL67,1)</f>
        <v>1</v>
      </c>
      <c r="DO67" s="744"/>
      <c r="DP67" s="744">
        <v>10</v>
      </c>
      <c r="DQ67" s="744" t="str">
        <f t="shared" ca="1" si="205"/>
        <v>Irán</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Pendiente</v>
      </c>
      <c r="E68" s="744" t="str">
        <f t="shared" ref="E68:E73" si="226">IF(D68="Pendiente","-",INDEX($BT$6:$BT$53,MATCH($AA68,$BD$6:$BD$53,0)))</f>
        <v>-</v>
      </c>
      <c r="F68" s="744" t="str">
        <f t="shared" ref="F68:F73" si="227">IF(D68="Pendiente","-",INDEX($BT$6:$BT$53,MATCH($AF68,$BD$6:$BD$53,0)))</f>
        <v>-</v>
      </c>
      <c r="G68" s="744"/>
      <c r="H68" s="744" t="str">
        <f t="shared" ref="H68:H73" si="228">IF(D68="Pendiente","-",INDEX($BZ$6:$BZ$53,MATCH($AA68,$BD$6:$BD$53,0)))</f>
        <v>-</v>
      </c>
      <c r="I68" s="744" t="str">
        <f t="shared" ref="I68:I73" si="229">IF(D68="Pendiente","-",INDEX($BZ$6:$BZ$53,MATCH($AF68,$BD$6:$BD$53,0)))</f>
        <v>-</v>
      </c>
      <c r="J68" s="744"/>
      <c r="K68" s="744" t="str">
        <f t="shared" ref="K68:K73" si="230">IF(D68="Pendiente","-",INDEX($CE$6:$CE$53,MATCH($AA68,$BD$6:$BD$53,0)))</f>
        <v>-</v>
      </c>
      <c r="L68" s="744" t="str">
        <f t="shared" ref="L68:L73" si="231">IF(D68="Pendiente","-",INDEX($CE$6:$CE$53,MATCH($AF68,$BD$6:$BD$53,0)))</f>
        <v>-</v>
      </c>
      <c r="M68" s="744"/>
      <c r="N68" s="744" t="str">
        <f t="shared" ref="N68:N73" si="232">IF(D68="Pendiente","-",INDEX($CH$6:$CH$53,MATCH($AA68,$BD$6:$BD$53,0)))</f>
        <v>-</v>
      </c>
      <c r="O68" s="744" t="str">
        <f t="shared" ref="O68:O73" si="233">IF(D68="Pendiente","-",INDEX($CH$6:$CH$53,MATCH($AF68,$BD$6:$BD$53,0)))</f>
        <v>-</v>
      </c>
      <c r="P68" s="744"/>
      <c r="Q68" s="744" t="str">
        <f t="shared" ref="Q68:Q73" si="234">IF(D68="Pendiente","-",INDEX($CN$6:$CN$53,MATCH($AA68,$BD$6:$BD$53,0)))</f>
        <v>-</v>
      </c>
      <c r="R68" s="744" t="str">
        <f t="shared" ref="R68:R73" si="235">IF(D68="Pendiente","-",INDEX($CN$6:$CN$53,MATCH($AF68,$BD$6:$BD$53,0)))</f>
        <v>-</v>
      </c>
      <c r="S68" s="744"/>
      <c r="T68" s="744" t="str">
        <f t="shared" ref="T68:T73" si="236">IF(D68="Pendiente","-",INDEX($CS$6:$CS$53,MATCH($AA68,$BD$6:$BD$53,0)))</f>
        <v>-</v>
      </c>
      <c r="U68" s="744" t="str">
        <f t="shared" ref="U68:U73" si="237">IF(D68="Pendiente","-",INDEX($CS$6:$CS$53,MATCH($AF68,$BD$6:$BD$53,0)))</f>
        <v>-</v>
      </c>
      <c r="V68" s="172"/>
      <c r="W68" s="822"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12</v>
      </c>
      <c r="BN68" s="748">
        <f t="shared" ca="1" si="195"/>
        <v>12</v>
      </c>
      <c r="BO68" s="738" t="str">
        <f t="shared" si="196"/>
        <v>4K</v>
      </c>
      <c r="BP68" s="738"/>
      <c r="BQ68" s="738"/>
      <c r="BR68" s="748">
        <f t="shared" ca="1" si="179"/>
        <v>0</v>
      </c>
      <c r="BS68" s="748">
        <f t="shared" ca="1" si="197"/>
        <v>1</v>
      </c>
      <c r="BT68" s="748" t="str">
        <f t="shared" ca="1" si="198"/>
        <v>Pos. 1 (12)</v>
      </c>
      <c r="BU68" s="748">
        <f t="shared" ca="1" si="180"/>
        <v>0</v>
      </c>
      <c r="BV68" s="748">
        <f t="shared" ca="1" si="181"/>
        <v>1</v>
      </c>
      <c r="BW68" s="748" t="str">
        <f t="shared" ca="1" si="182"/>
        <v>Pos. 1 (12)</v>
      </c>
      <c r="BX68" s="748">
        <f t="shared" ca="1" si="183"/>
        <v>0</v>
      </c>
      <c r="BY68" s="748">
        <f t="shared" ca="1" si="184"/>
        <v>1</v>
      </c>
      <c r="BZ68" s="748" t="str">
        <f t="shared" ca="1" si="185"/>
        <v>Pos. 1 (12)</v>
      </c>
      <c r="CA68" s="748">
        <f t="shared" ca="1" si="199"/>
        <v>0</v>
      </c>
      <c r="CB68" s="748">
        <f t="shared" ca="1" si="200"/>
        <v>12</v>
      </c>
      <c r="CC68" s="748"/>
      <c r="CD68" s="748">
        <f t="shared" ca="1" si="201"/>
        <v>12</v>
      </c>
      <c r="CE68" s="748">
        <f t="shared" ca="1" si="202"/>
        <v>11</v>
      </c>
      <c r="CF68" s="748">
        <f t="shared" ca="1" si="203"/>
        <v>12</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v>
      </c>
      <c r="DK68" s="744"/>
      <c r="DL68" s="744">
        <f t="shared" ca="1" si="204"/>
        <v>1</v>
      </c>
      <c r="DM68" s="738" t="str">
        <f t="shared" ca="1" si="187"/>
        <v>1.1</v>
      </c>
      <c r="DN68" s="744" cm="1">
        <f t="array" aca="1" ref="DN68" ca="1">OFFSET(Horarios!$P$3,DJ68-1,0,DL68,1)</f>
        <v>1</v>
      </c>
      <c r="DO68" s="744"/>
      <c r="DP68" s="744">
        <v>11</v>
      </c>
      <c r="DQ68" s="744" t="str">
        <f t="shared" ca="1" si="205"/>
        <v>Suecia</v>
      </c>
      <c r="DR68" s="744"/>
      <c r="DS68" s="744"/>
      <c r="DT68" s="744" t="str">
        <f t="shared" ca="1" si="15"/>
        <v>Francia-Senegal</v>
      </c>
      <c r="DU68" s="744"/>
      <c r="DV68" s="744"/>
      <c r="DW68" s="8"/>
    </row>
    <row r="69" spans="1:127" ht="16.05" customHeight="1">
      <c r="A69" s="745" t="str">
        <f ca="1">+Equipos!B34</f>
        <v>Francia</v>
      </c>
      <c r="B69" s="742"/>
      <c r="C69" s="742"/>
      <c r="D69" s="744" t="str">
        <f t="shared" si="225"/>
        <v>Pendiente</v>
      </c>
      <c r="E69" s="744" t="str">
        <f t="shared" si="226"/>
        <v>-</v>
      </c>
      <c r="F69" s="744" t="str">
        <f t="shared" si="227"/>
        <v>-</v>
      </c>
      <c r="G69" s="744"/>
      <c r="H69" s="744" t="str">
        <f t="shared" si="228"/>
        <v>-</v>
      </c>
      <c r="I69" s="744" t="str">
        <f t="shared" si="229"/>
        <v>-</v>
      </c>
      <c r="J69" s="744"/>
      <c r="K69" s="744" t="str">
        <f t="shared" si="230"/>
        <v>-</v>
      </c>
      <c r="L69" s="744" t="str">
        <f t="shared" si="231"/>
        <v>-</v>
      </c>
      <c r="M69" s="744"/>
      <c r="N69" s="744" t="str">
        <f t="shared" si="232"/>
        <v>-</v>
      </c>
      <c r="O69" s="744" t="str">
        <f t="shared" si="233"/>
        <v>-</v>
      </c>
      <c r="P69" s="744"/>
      <c r="Q69" s="744" t="str">
        <f t="shared" si="234"/>
        <v>-</v>
      </c>
      <c r="R69" s="744" t="str">
        <f t="shared" si="235"/>
        <v>-</v>
      </c>
      <c r="S69" s="744"/>
      <c r="T69" s="744" t="str">
        <f t="shared" si="236"/>
        <v>-</v>
      </c>
      <c r="U69" s="744" t="str">
        <f t="shared" si="237"/>
        <v>-</v>
      </c>
      <c r="V69" s="172"/>
      <c r="W69" s="822"/>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7</v>
      </c>
      <c r="BN69" s="748">
        <f t="shared" ca="1" si="195"/>
        <v>7</v>
      </c>
      <c r="BO69" s="738" t="str">
        <f t="shared" si="196"/>
        <v>4L</v>
      </c>
      <c r="BP69" s="738"/>
      <c r="BQ69" s="738"/>
      <c r="BR69" s="748">
        <f t="shared" ca="1" si="179"/>
        <v>0</v>
      </c>
      <c r="BS69" s="748">
        <f t="shared" ca="1" si="197"/>
        <v>1</v>
      </c>
      <c r="BT69" s="748" t="str">
        <f t="shared" ca="1" si="198"/>
        <v>Pos. 1 (12)</v>
      </c>
      <c r="BU69" s="748">
        <f t="shared" ca="1" si="180"/>
        <v>0</v>
      </c>
      <c r="BV69" s="748">
        <f t="shared" ca="1" si="181"/>
        <v>1</v>
      </c>
      <c r="BW69" s="748" t="str">
        <f t="shared" ca="1" si="182"/>
        <v>Pos. 1 (12)</v>
      </c>
      <c r="BX69" s="748">
        <f t="shared" ca="1" si="183"/>
        <v>0</v>
      </c>
      <c r="BY69" s="748">
        <f t="shared" ca="1" si="184"/>
        <v>1</v>
      </c>
      <c r="BZ69" s="748" t="str">
        <f t="shared" ca="1" si="185"/>
        <v>Pos. 1 (12)</v>
      </c>
      <c r="CA69" s="748">
        <f t="shared" ca="1" si="199"/>
        <v>5</v>
      </c>
      <c r="CB69" s="748">
        <f ca="1">BY69+COUNTIFS(BZ$58:BZ$69,BZ69,CA$58:CA$69,"&gt;"&amp;CA69)</f>
        <v>7</v>
      </c>
      <c r="CC69" s="748"/>
      <c r="CD69" s="748">
        <f t="shared" ca="1" si="201"/>
        <v>7</v>
      </c>
      <c r="CE69" s="748">
        <f t="shared" ca="1" si="202"/>
        <v>6</v>
      </c>
      <c r="CF69" s="748">
        <f t="shared" ca="1" si="203"/>
        <v>7</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v>
      </c>
      <c r="DK69" s="744"/>
      <c r="DL69" s="744">
        <f t="shared" ca="1" si="204"/>
        <v>1</v>
      </c>
      <c r="DM69" s="738" t="str">
        <f t="shared" ca="1" si="187"/>
        <v>1.1</v>
      </c>
      <c r="DN69" s="744" cm="1">
        <f t="array" aca="1" ref="DN69" ca="1">OFFSET(Horarios!$P$3,DJ69-1,0,DL69,1)</f>
        <v>1</v>
      </c>
      <c r="DO69" s="744"/>
      <c r="DP69" s="744">
        <v>12</v>
      </c>
      <c r="DQ69" s="744" t="str">
        <f t="shared" ca="1" si="205"/>
        <v>Uzbekistán</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22"/>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22"/>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22"/>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23"/>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Pendiente</v>
      </c>
      <c r="E76" s="744" t="str">
        <f t="shared" ref="E76:E81" si="246">IF(D76="Pendiente","-",INDEX($BT$6:$BT$53,MATCH($AA76,$BD$6:$BD$53,0)))</f>
        <v>-</v>
      </c>
      <c r="F76" s="744" t="str">
        <f t="shared" ref="F76:F81" si="247">IF(D76="Pendiente","-",INDEX($BT$6:$BT$53,MATCH($AF76,$BD$6:$BD$53,0)))</f>
        <v>-</v>
      </c>
      <c r="G76" s="744"/>
      <c r="H76" s="744" t="str">
        <f t="shared" ref="H76:H81" si="248">IF(D76="Pendiente","-",INDEX($BZ$6:$BZ$53,MATCH($AA76,$BD$6:$BD$53,0)))</f>
        <v>-</v>
      </c>
      <c r="I76" s="744" t="str">
        <f t="shared" ref="I76:I81" si="249">IF(D76="Pendiente","-",INDEX($BZ$6:$BZ$53,MATCH($AF76,$BD$6:$BD$53,0)))</f>
        <v>-</v>
      </c>
      <c r="J76" s="744"/>
      <c r="K76" s="744" t="str">
        <f t="shared" ref="K76:K81" si="250">IF(D76="Pendiente","-",INDEX($CE$6:$CE$53,MATCH($AA76,$BD$6:$BD$53,0)))</f>
        <v>-</v>
      </c>
      <c r="L76" s="744" t="str">
        <f t="shared" ref="L76:L81" si="251">IF(D76="Pendiente","-",INDEX($CE$6:$CE$53,MATCH($AF76,$BD$6:$BD$53,0)))</f>
        <v>-</v>
      </c>
      <c r="M76" s="744"/>
      <c r="N76" s="744" t="str">
        <f t="shared" ref="N76:N81" si="252">IF(D76="Pendiente","-",INDEX($CH$6:$CH$53,MATCH($AA76,$BD$6:$BD$53,0)))</f>
        <v>-</v>
      </c>
      <c r="O76" s="744" t="str">
        <f t="shared" ref="O76:O81" si="253">IF(D76="Pendiente","-",INDEX($CH$6:$CH$53,MATCH($AF76,$BD$6:$BD$53,0)))</f>
        <v>-</v>
      </c>
      <c r="P76" s="744"/>
      <c r="Q76" s="744" t="str">
        <f t="shared" ref="Q76:Q81" si="254">IF(D76="Pendiente","-",INDEX($CN$6:$CN$53,MATCH($AA76,$BD$6:$BD$53,0)))</f>
        <v>-</v>
      </c>
      <c r="R76" s="744" t="str">
        <f t="shared" ref="R76:R81" si="255">IF(D76="Pendiente","-",INDEX($CN$6:$CN$53,MATCH($AF76,$BD$6:$BD$53,0)))</f>
        <v>-</v>
      </c>
      <c r="S76" s="744"/>
      <c r="T76" s="744" t="str">
        <f t="shared" ref="T76:T81" si="256">IF(D76="Pendiente","-",INDEX($CS$6:$CS$53,MATCH($AA76,$BD$6:$BD$53,0)))</f>
        <v>-</v>
      </c>
      <c r="U76" s="744" t="str">
        <f t="shared" ref="U76:U81" si="257">IF(D76="Pendiente","-",INDEX($CS$6:$CS$53,MATCH($AF76,$BD$6:$BD$53,0)))</f>
        <v>-</v>
      </c>
      <c r="V76" s="172"/>
      <c r="W76" s="818"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Pendiente</v>
      </c>
      <c r="E77" s="744" t="str">
        <f t="shared" si="246"/>
        <v>-</v>
      </c>
      <c r="F77" s="744" t="str">
        <f t="shared" si="247"/>
        <v>-</v>
      </c>
      <c r="G77" s="744"/>
      <c r="H77" s="744" t="str">
        <f t="shared" si="248"/>
        <v>-</v>
      </c>
      <c r="I77" s="744" t="str">
        <f t="shared" si="249"/>
        <v>-</v>
      </c>
      <c r="J77" s="744"/>
      <c r="K77" s="744" t="str">
        <f t="shared" si="250"/>
        <v>-</v>
      </c>
      <c r="L77" s="744" t="str">
        <f t="shared" si="251"/>
        <v>-</v>
      </c>
      <c r="M77" s="744"/>
      <c r="N77" s="744" t="str">
        <f t="shared" si="252"/>
        <v>-</v>
      </c>
      <c r="O77" s="744" t="str">
        <f t="shared" si="253"/>
        <v>-</v>
      </c>
      <c r="P77" s="744"/>
      <c r="Q77" s="744" t="str">
        <f t="shared" si="254"/>
        <v>-</v>
      </c>
      <c r="R77" s="744" t="str">
        <f t="shared" si="255"/>
        <v>-</v>
      </c>
      <c r="S77" s="744"/>
      <c r="T77" s="744" t="str">
        <f t="shared" si="256"/>
        <v>-</v>
      </c>
      <c r="U77" s="744" t="str">
        <f t="shared" si="257"/>
        <v>-</v>
      </c>
      <c r="V77" s="172"/>
      <c r="W77" s="818"/>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18"/>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18"/>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18"/>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19"/>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24"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24"/>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24"/>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24"/>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24"/>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25"/>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20"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20"/>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20"/>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20"/>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20"/>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21"/>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0</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26"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0</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26"/>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0</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26"/>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0</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26"/>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0</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26"/>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0</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26"/>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0</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26"/>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0</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26"/>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26"/>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26"/>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26"/>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26"/>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0</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26"/>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26"/>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26"/>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27"/>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28"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28"/>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28"/>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28"/>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28"/>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28"/>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28"/>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29"/>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30"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30"/>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30"/>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31"/>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2"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33"/>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41" t="str">
        <f>IF(SUM(COUNTIF(AG4:AG97,0),COUNTIF(AG101:AG160,0)&gt;0),AL148,AL149)</f>
        <v>MUNDIAL EN CURSO</v>
      </c>
      <c r="AK151" s="842"/>
      <c r="AL151" s="842"/>
      <c r="AM151" s="842"/>
      <c r="AN151" s="842"/>
      <c r="AO151" s="842"/>
      <c r="AP151" s="842"/>
      <c r="AQ151" s="842"/>
      <c r="AR151" s="842"/>
      <c r="AS151" s="842"/>
      <c r="AT151" s="842"/>
      <c r="AU151" s="84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44"/>
      <c r="AK152" s="845"/>
      <c r="AL152" s="845"/>
      <c r="AM152" s="845"/>
      <c r="AN152" s="845"/>
      <c r="AO152" s="845"/>
      <c r="AP152" s="845"/>
      <c r="AQ152" s="845"/>
      <c r="AR152" s="845"/>
      <c r="AS152" s="845"/>
      <c r="AT152" s="845"/>
      <c r="AU152" s="84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44"/>
      <c r="AK153" s="845"/>
      <c r="AL153" s="845"/>
      <c r="AM153" s="845"/>
      <c r="AN153" s="845"/>
      <c r="AO153" s="845"/>
      <c r="AP153" s="845"/>
      <c r="AQ153" s="845"/>
      <c r="AR153" s="845"/>
      <c r="AS153" s="845"/>
      <c r="AT153" s="845"/>
      <c r="AU153" s="84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44"/>
      <c r="AK154" s="845"/>
      <c r="AL154" s="845"/>
      <c r="AM154" s="845"/>
      <c r="AN154" s="845"/>
      <c r="AO154" s="845"/>
      <c r="AP154" s="845"/>
      <c r="AQ154" s="845"/>
      <c r="AR154" s="845"/>
      <c r="AS154" s="845"/>
      <c r="AT154" s="845"/>
      <c r="AU154" s="84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08" t="str">
        <f>IF(SUM(COUNTIF(AG4:AG97,0),COUNTIF(AG101:AG160,0)&gt;0),AM148,AM149)</f>
        <v>Todavía hay emoción</v>
      </c>
      <c r="AK155" s="809"/>
      <c r="AL155" s="809"/>
      <c r="AM155" s="809"/>
      <c r="AN155" s="809"/>
      <c r="AO155" s="809"/>
      <c r="AP155" s="809"/>
      <c r="AQ155" s="809"/>
      <c r="AR155" s="809"/>
      <c r="AS155" s="809"/>
      <c r="AT155" s="809"/>
      <c r="AU155" s="810"/>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08"/>
      <c r="AK156" s="809"/>
      <c r="AL156" s="809"/>
      <c r="AM156" s="809"/>
      <c r="AN156" s="809"/>
      <c r="AO156" s="809"/>
      <c r="AP156" s="809"/>
      <c r="AQ156" s="809"/>
      <c r="AR156" s="809"/>
      <c r="AS156" s="809"/>
      <c r="AT156" s="809"/>
      <c r="AU156" s="810"/>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11"/>
      <c r="AK157" s="812"/>
      <c r="AL157" s="812"/>
      <c r="AM157" s="812"/>
      <c r="AN157" s="812"/>
      <c r="AO157" s="812"/>
      <c r="AP157" s="812"/>
      <c r="AQ157" s="812"/>
      <c r="AR157" s="812"/>
      <c r="AS157" s="812"/>
      <c r="AT157" s="812"/>
      <c r="AU157" s="813"/>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S1" zoomScaleNormal="100" workbookViewId="0">
      <selection activeCell="DW5" sqref="DW5:DW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87">
        <f ca="1">+IFERROR(RANK(CP2,OFFSET($S$2,0,0,1,$D$5*3),0),"-")</f>
        <v>26</v>
      </c>
      <c r="CQ1" s="87"/>
      <c r="CR1" s="65"/>
      <c r="CS1" s="87">
        <f ca="1">+IFERROR(RANK(CS2,OFFSET($S$2,0,0,1,$D$5*3),0),"-")</f>
        <v>27</v>
      </c>
      <c r="CT1" s="87"/>
      <c r="CU1" s="65"/>
      <c r="CV1" s="87">
        <f ca="1">+IFERROR(RANK(CV2,OFFSET($S$2,0,0,1,$D$5*3),0),"-")</f>
        <v>28</v>
      </c>
      <c r="CW1" s="87"/>
      <c r="CX1" s="65"/>
      <c r="CY1" s="87">
        <f ca="1">+IFERROR(RANK(CY2,OFFSET($S$2,0,0,1,$D$5*3),0),"-")</f>
        <v>29</v>
      </c>
      <c r="CZ1" s="87"/>
      <c r="DA1" s="65"/>
      <c r="DB1" s="87">
        <f ca="1">+IFERROR(RANK(DB2,OFFSET($S$2,0,0,1,$D$5*3),0),"-")</f>
        <v>30</v>
      </c>
      <c r="DC1" s="87"/>
      <c r="DD1" s="65"/>
      <c r="DE1" s="87">
        <f ca="1">+IFERROR(RANK(DE2,OFFSET($S$2,0,0,1,$D$5*3),0),"-")</f>
        <v>31</v>
      </c>
      <c r="DF1" s="87"/>
      <c r="DG1" s="65"/>
      <c r="DH1" s="87">
        <f ca="1">+IFERROR(RANK(DH2,OFFSET($S$2,0,0,1,$D$5*3),0),"-")</f>
        <v>32</v>
      </c>
      <c r="DI1" s="87"/>
      <c r="DJ1" s="65"/>
      <c r="DK1" s="87">
        <f ca="1">+IFERROR(RANK(DK2,OFFSET($S$2,0,0,1,$D$5*3),0),"-")</f>
        <v>33</v>
      </c>
      <c r="DL1" s="87"/>
      <c r="DM1" s="65"/>
      <c r="DN1" s="87">
        <f ca="1">+IFERROR(RANK(DN2,OFFSET($S$2,0,0,1,$D$5*3),0),"-")</f>
        <v>34</v>
      </c>
      <c r="DO1" s="87"/>
      <c r="DP1" s="65"/>
      <c r="DQ1" s="87">
        <f ca="1">+IFERROR(RANK(DQ2,OFFSET($S$2,0,0,1,$D$5*3),0),"-")</f>
        <v>35</v>
      </c>
      <c r="DR1" s="87"/>
      <c r="DS1" s="65"/>
      <c r="DT1" s="87">
        <f ca="1">+IFERROR(RANK(DT2,OFFSET($S$2,0,0,1,$D$5*3),0),"-")</f>
        <v>36</v>
      </c>
      <c r="DU1" s="87"/>
      <c r="DV1" s="65"/>
      <c r="DW1" s="87">
        <f ca="1">+IFERROR(RANK(DW2,OFFSET($S$2,0,0,1,$D$5*3),0),"-")</f>
        <v>37</v>
      </c>
      <c r="DX1" s="87"/>
      <c r="DY1" s="65"/>
      <c r="DZ1" s="87">
        <f ca="1">+IFERROR(RANK(DZ2,OFFSET($S$2,0,0,1,$D$5*3),0),"-")</f>
        <v>38</v>
      </c>
      <c r="EA1" s="87"/>
      <c r="EB1" s="65"/>
      <c r="EC1" s="87">
        <f ca="1">+IFERROR(RANK(EC2,OFFSET($S$2,0,0,1,$D$5*3),0),"-")</f>
        <v>39</v>
      </c>
      <c r="ED1" s="87"/>
      <c r="EE1" s="65"/>
      <c r="EF1" s="87">
        <f ca="1">+IFERROR(RANK(EF2,OFFSET($S$2,0,0,1,$D$5*3),0),"-")</f>
        <v>40</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87">
        <f t="shared" ref="CP2" ca="1" si="24">CP4-(COLUMN()/10000)</f>
        <v>-9.4000000000000004E-3</v>
      </c>
      <c r="CQ2" s="87"/>
      <c r="CR2" s="65"/>
      <c r="CS2" s="87">
        <f t="shared" ref="CS2" ca="1" si="25">CS4-(COLUMN()/10000)</f>
        <v>-9.7000000000000003E-3</v>
      </c>
      <c r="CT2" s="87"/>
      <c r="CU2" s="65"/>
      <c r="CV2" s="87">
        <f t="shared" ref="CV2" ca="1" si="26">CV4-(COLUMN()/10000)</f>
        <v>-0.01</v>
      </c>
      <c r="CW2" s="87"/>
      <c r="CX2" s="65"/>
      <c r="CY2" s="87">
        <f t="shared" ref="CY2" ca="1" si="27">CY4-(COLUMN()/10000)</f>
        <v>-1.03E-2</v>
      </c>
      <c r="CZ2" s="87"/>
      <c r="DA2" s="65"/>
      <c r="DB2" s="87">
        <f t="shared" ref="DB2" ca="1" si="28">DB4-(COLUMN()/10000)</f>
        <v>-1.06E-2</v>
      </c>
      <c r="DC2" s="87"/>
      <c r="DD2" s="65"/>
      <c r="DE2" s="87">
        <f t="shared" ref="DE2" ca="1" si="29">DE4-(COLUMN()/10000)</f>
        <v>-1.09E-2</v>
      </c>
      <c r="DF2" s="87"/>
      <c r="DG2" s="65"/>
      <c r="DH2" s="87">
        <f t="shared" ref="DH2" ca="1" si="30">DH4-(COLUMN()/10000)</f>
        <v>-1.12E-2</v>
      </c>
      <c r="DI2" s="87"/>
      <c r="DJ2" s="65"/>
      <c r="DK2" s="87">
        <f t="shared" ref="DK2" ca="1" si="31">DK4-(COLUMN()/10000)</f>
        <v>-1.15E-2</v>
      </c>
      <c r="DL2" s="87"/>
      <c r="DM2" s="65"/>
      <c r="DN2" s="87">
        <f t="shared" ref="DN2" ca="1" si="32">DN4-(COLUMN()/10000)</f>
        <v>-1.18E-2</v>
      </c>
      <c r="DO2" s="87"/>
      <c r="DP2" s="65"/>
      <c r="DQ2" s="87">
        <f t="shared" ref="DQ2" ca="1" si="33">DQ4-(COLUMN()/10000)</f>
        <v>-1.21E-2</v>
      </c>
      <c r="DR2" s="87"/>
      <c r="DS2" s="65"/>
      <c r="DT2" s="87">
        <f t="shared" ref="DT2" ca="1" si="34">DT4-(COLUMN()/10000)</f>
        <v>-1.24E-2</v>
      </c>
      <c r="DU2" s="87"/>
      <c r="DV2" s="65"/>
      <c r="DW2" s="87">
        <f t="shared" ref="DW2" ca="1" si="35">DW4-(COLUMN()/10000)</f>
        <v>-1.2699999999999999E-2</v>
      </c>
      <c r="DX2" s="87"/>
      <c r="DY2" s="65"/>
      <c r="DZ2" s="87">
        <f t="shared" ref="DZ2" ca="1" si="36">DZ4-(COLUMN()/10000)</f>
        <v>-1.2999999999999999E-2</v>
      </c>
      <c r="EA2" s="87"/>
      <c r="EB2" s="65"/>
      <c r="EC2" s="87">
        <f t="shared" ref="EC2" ca="1" si="37">EC4-(COLUMN()/10000)</f>
        <v>-1.3299999999999999E-2</v>
      </c>
      <c r="ED2" s="87"/>
      <c r="EE2" s="65"/>
      <c r="EF2" s="87">
        <f t="shared" ref="EF2" ca="1" si="38">EF4-(COLUMN()/10000)</f>
        <v>-1.3599999999999999E-2</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87">
        <f ca="1">RANK(CP4,OFFSET($S$4,0,0,1,$D$5*3),0)</f>
        <v>1</v>
      </c>
      <c r="CQ3" s="87"/>
      <c r="CR3" s="65"/>
      <c r="CS3" s="87">
        <f ca="1">RANK(CS4,OFFSET($S$4,0,0,1,$D$5*3),0)</f>
        <v>1</v>
      </c>
      <c r="CT3" s="87"/>
      <c r="CU3" s="65"/>
      <c r="CV3" s="87">
        <f ca="1">RANK(CV4,OFFSET($S$4,0,0,1,$D$5*3),0)</f>
        <v>1</v>
      </c>
      <c r="CW3" s="87"/>
      <c r="CX3" s="65"/>
      <c r="CY3" s="87">
        <f ca="1">RANK(CY4,OFFSET($S$4,0,0,1,$D$5*3),0)</f>
        <v>1</v>
      </c>
      <c r="CZ3" s="87"/>
      <c r="DA3" s="65"/>
      <c r="DB3" s="87">
        <f ca="1">RANK(DB4,OFFSET($S$4,0,0,1,$D$5*3),0)</f>
        <v>1</v>
      </c>
      <c r="DC3" s="87"/>
      <c r="DD3" s="65"/>
      <c r="DE3" s="87">
        <f ca="1">RANK(DE4,OFFSET($S$4,0,0,1,$D$5*3),0)</f>
        <v>1</v>
      </c>
      <c r="DF3" s="87"/>
      <c r="DG3" s="65"/>
      <c r="DH3" s="87">
        <f ca="1">RANK(DH4,OFFSET($S$4,0,0,1,$D$5*3),0)</f>
        <v>1</v>
      </c>
      <c r="DI3" s="87"/>
      <c r="DJ3" s="65"/>
      <c r="DK3" s="87">
        <f ca="1">RANK(DK4,OFFSET($S$4,0,0,1,$D$5*3),0)</f>
        <v>1</v>
      </c>
      <c r="DL3" s="87"/>
      <c r="DM3" s="65"/>
      <c r="DN3" s="87">
        <f ca="1">RANK(DN4,OFFSET($S$4,0,0,1,$D$5*3),0)</f>
        <v>1</v>
      </c>
      <c r="DO3" s="87"/>
      <c r="DP3" s="65"/>
      <c r="DQ3" s="87">
        <f ca="1">RANK(DQ4,OFFSET($S$4,0,0,1,$D$5*3),0)</f>
        <v>1</v>
      </c>
      <c r="DR3" s="87"/>
      <c r="DS3" s="65"/>
      <c r="DT3" s="87">
        <f ca="1">RANK(DT4,OFFSET($S$4,0,0,1,$D$5*3),0)</f>
        <v>1</v>
      </c>
      <c r="DU3" s="87"/>
      <c r="DV3" s="65"/>
      <c r="DW3" s="87">
        <f ca="1">RANK(DW4,OFFSET($S$4,0,0,1,$D$5*3),0)</f>
        <v>1</v>
      </c>
      <c r="DX3" s="87"/>
      <c r="DY3" s="65"/>
      <c r="DZ3" s="87">
        <f ca="1">RANK(DZ4,OFFSET($S$4,0,0,1,$D$5*3),0)</f>
        <v>1</v>
      </c>
      <c r="EA3" s="87"/>
      <c r="EB3" s="65"/>
      <c r="EC3" s="87">
        <f ca="1">RANK(EC4,OFFSET($S$4,0,0,1,$D$5*3),0)</f>
        <v>1</v>
      </c>
      <c r="ED3" s="87"/>
      <c r="EE3" s="65"/>
      <c r="EF3" s="87">
        <f ca="1">RANK(EF4,OFFSET($S$4,0,0,1,$D$5*3),0)</f>
        <v>1</v>
      </c>
      <c r="EG3" s="87"/>
      <c r="EH3" s="65"/>
      <c r="EI3" s="87">
        <f ca="1">RANK(EI4,OFFSET($S$4,0,0,1,$D$5*3),0)</f>
        <v>1</v>
      </c>
      <c r="EJ3" s="87"/>
      <c r="EK3" s="65"/>
      <c r="EL3" s="87">
        <f ca="1">RANK(EL4,OFFSET($S$4,0,0,1,$D$5*3),0)</f>
        <v>1</v>
      </c>
      <c r="EM3" s="87"/>
      <c r="EN3" s="65"/>
      <c r="EO3" s="87">
        <f ca="1">RANK(EO4,OFFSET($S$4,0,0,1,$D$5*3),0)</f>
        <v>1</v>
      </c>
      <c r="EP3" s="87"/>
      <c r="EQ3" s="65"/>
      <c r="ER3" s="87">
        <f ca="1">RANK(ER4,OFFSET($S$4,0,0,1,$D$5*3),0)</f>
        <v>1</v>
      </c>
      <c r="ES3" s="87"/>
      <c r="ET3" s="65"/>
      <c r="EU3" s="87">
        <f ca="1">RANK(EU4,OFFSET($S$4,0,0,1,$D$5*3),0)</f>
        <v>1</v>
      </c>
      <c r="EV3" s="87"/>
      <c r="EW3" s="65"/>
      <c r="EX3" s="87">
        <f ca="1">RANK(EX4,OFFSET($S$4,0,0,1,$D$5*3),0)</f>
        <v>1</v>
      </c>
      <c r="EY3" s="87"/>
      <c r="EZ3" s="65"/>
      <c r="FA3" s="87">
        <f ca="1">RANK(FA4,OFFSET($S$4,0,0,1,$D$5*3),0)</f>
        <v>1</v>
      </c>
      <c r="FB3" s="87"/>
      <c r="FC3" s="65"/>
      <c r="FD3" s="87">
        <f ca="1">RANK(FD4,OFFSET($S$4,0,0,1,$D$5*3),0)</f>
        <v>1</v>
      </c>
      <c r="FE3" s="87"/>
      <c r="FF3" s="65"/>
      <c r="FG3" s="87">
        <f ca="1">RANK(FG4,OFFSET($S$4,0,0,1,$D$5*3),0)</f>
        <v>1</v>
      </c>
      <c r="FH3" s="87"/>
      <c r="FI3" s="65"/>
      <c r="FJ3" s="87">
        <f ca="1">RANK(FJ4,OFFSET($S$4,0,0,1,$D$5*3),0)</f>
        <v>1</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7">
        <f ca="1">SUM(CQ6:CQ259)/2</f>
        <v>0</v>
      </c>
      <c r="CQ4" s="68"/>
      <c r="CR4" s="65"/>
      <c r="CS4" s="67">
        <f ca="1">SUM(CT6:CT259)/2</f>
        <v>0</v>
      </c>
      <c r="CT4" s="68"/>
      <c r="CU4" s="65"/>
      <c r="CV4" s="67">
        <f ca="1">SUM(CW6:CW259)/2</f>
        <v>0</v>
      </c>
      <c r="CW4" s="68"/>
      <c r="CX4" s="65"/>
      <c r="CY4" s="67">
        <f ca="1">SUM(CZ6:CZ259)/2</f>
        <v>0</v>
      </c>
      <c r="CZ4" s="68"/>
      <c r="DA4" s="65"/>
      <c r="DB4" s="67">
        <f ca="1">SUM(DC6:DC259)/2</f>
        <v>0</v>
      </c>
      <c r="DC4" s="68"/>
      <c r="DD4" s="65"/>
      <c r="DE4" s="67">
        <f ca="1">SUM(DF6:DF259)/2</f>
        <v>0</v>
      </c>
      <c r="DF4" s="68"/>
      <c r="DG4" s="65"/>
      <c r="DH4" s="67">
        <f ca="1">SUM(DI6:DI259)/2</f>
        <v>0</v>
      </c>
      <c r="DI4" s="68"/>
      <c r="DJ4" s="65"/>
      <c r="DK4" s="67">
        <f ca="1">SUM(DL6:DL259)/2</f>
        <v>0</v>
      </c>
      <c r="DL4" s="68"/>
      <c r="DM4" s="65"/>
      <c r="DN4" s="67">
        <f ca="1">SUM(DO6:DO259)/2</f>
        <v>0</v>
      </c>
      <c r="DO4" s="68"/>
      <c r="DP4" s="65"/>
      <c r="DQ4" s="67">
        <f ca="1">SUM(DR6:DR259)/2</f>
        <v>0</v>
      </c>
      <c r="DR4" s="68"/>
      <c r="DS4" s="65"/>
      <c r="DT4" s="67">
        <f ca="1">SUM(DU6:DU259)/2</f>
        <v>0</v>
      </c>
      <c r="DU4" s="68"/>
      <c r="DV4" s="65"/>
      <c r="DW4" s="67">
        <f ca="1">SUM(DX6:DX259)/2</f>
        <v>0</v>
      </c>
      <c r="DX4" s="68"/>
      <c r="DY4" s="65"/>
      <c r="DZ4" s="67">
        <f ca="1">SUM(EA6:EA259)/2</f>
        <v>0</v>
      </c>
      <c r="EA4" s="68"/>
      <c r="EB4" s="65"/>
      <c r="EC4" s="67">
        <f ca="1">SUM(ED6:ED259)/2</f>
        <v>0</v>
      </c>
      <c r="ED4" s="68"/>
      <c r="EE4" s="65"/>
      <c r="EF4" s="67">
        <f ca="1">SUM(EG6:EG259)/2</f>
        <v>0</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871" t="s">
        <v>2680</v>
      </c>
      <c r="DR5" s="70"/>
      <c r="DS5" s="65">
        <v>35</v>
      </c>
      <c r="DT5" s="69" t="s">
        <v>2710</v>
      </c>
      <c r="DU5" s="70"/>
      <c r="DV5" s="65">
        <v>36</v>
      </c>
      <c r="DW5" s="69" t="s">
        <v>2734</v>
      </c>
      <c r="DX5" s="70"/>
      <c r="DY5" s="65">
        <v>37</v>
      </c>
      <c r="DZ5" s="69" t="str">
        <f>Idiomas!$G$363&amp;ADMIN!EB5</f>
        <v>Pegar Valores Nombre J38</v>
      </c>
      <c r="EA5" s="70"/>
      <c r="EB5" s="65">
        <v>38</v>
      </c>
      <c r="EC5" s="69" t="str">
        <f>Idiomas!$G$363&amp;ADMIN!EE5</f>
        <v>Pegar Valores Nombre J39</v>
      </c>
      <c r="ED5" s="70"/>
      <c r="EE5" s="65">
        <v>39</v>
      </c>
      <c r="EF5" s="69" t="str">
        <f>Idiomas!$G$363&amp;ADMIN!EH5</f>
        <v>Pegar Valores Nombre J40</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
        <v>1948</v>
      </c>
      <c r="W6" s="73">
        <f>IFERROR(IF($M6=V6,($D$8+$D$9+$D$10)*$I6,IF($N6=LEFT(V6,1),($D$8+MAX(0,IF($D$50=1,$D$9*(1-(ABS($Q6-ABS(VALUE(MID(V6,FIND("|",V6)+1,FIND("-",V6)-FIND("|",V6)-1))-VALUE(MID(V6,FIND("-",V6)+1,10)))))*$D$50),$D$9*(1-(IF($N6="X",ABS($O6-VALUE(MID(V6,FIND("|",V6)+1,FIND("-",V6)-FIND("|",V6)-1))),ABS($Q6-ABS(VALUE(MID(V6,FIND("|",V6)+1,FIND("-",V6)-FIND("|",V6)-1))-VALUE(MID(V6,FIND("-",V6)+1,10)))))*$D$50)))))*$I6,0)),0)</f>
        <v>0</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0</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0</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0</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0</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0</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0</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0</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0</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0</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0</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0</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0</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0</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0</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0</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0</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0</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0</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0</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0</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0</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0</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0</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0</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0</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0</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0</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0</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0</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0</v>
      </c>
      <c r="DP6" s="111"/>
      <c r="DQ6" s="872"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0</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0</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0</v>
      </c>
      <c r="DY6" s="111"/>
      <c r="DZ6" s="72" t="str">
        <f>Idiomas!$D$364</f>
        <v>Pegar Valores (J1)</v>
      </c>
      <c r="EA6" s="73">
        <f t="shared" ref="EA6" si="84">IFERROR(IF($M6=DZ6,($D$8+$D$9+$D$10)*$I6,IF($N6=LEFT(DZ6,1),($D$8+MAX(0,IF($D$50=1,$D$9*(1-(ABS($Q6-ABS(VALUE(MID(DZ6,FIND("|",DZ6)+1,FIND("-",DZ6)-FIND("|",DZ6)-1))-VALUE(MID(DZ6,FIND("-",DZ6)+1,10)))))*$D$50),$D$9*(1-(IF($N6="X",ABS($O6-VALUE(MID(DZ6,FIND("|",DZ6)+1,FIND("-",DZ6)-FIND("|",DZ6)-1))),ABS($Q6-ABS(VALUE(MID(DZ6,FIND("|",DZ6)+1,FIND("-",DZ6)-FIND("|",DZ6)-1))-VALUE(MID(DZ6,FIND("-",DZ6)+1,10)))))*$D$50)))))*$I6,0)),0)</f>
        <v>0</v>
      </c>
      <c r="EB6" s="111"/>
      <c r="EC6" s="72" t="str">
        <f>Idiomas!$D$364</f>
        <v>Pegar Valores (J1)</v>
      </c>
      <c r="ED6" s="73">
        <f t="shared" ref="ED6" si="85">IFERROR(IF($M6=EC6,($D$8+$D$9+$D$10)*$I6,IF($N6=LEFT(EC6,1),($D$8+MAX(0,IF($D$50=1,$D$9*(1-(ABS($Q6-ABS(VALUE(MID(EC6,FIND("|",EC6)+1,FIND("-",EC6)-FIND("|",EC6)-1))-VALUE(MID(EC6,FIND("-",EC6)+1,10)))))*$D$50),$D$9*(1-(IF($N6="X",ABS($O6-VALUE(MID(EC6,FIND("|",EC6)+1,FIND("-",EC6)-FIND("|",EC6)-1))),ABS($Q6-ABS(VALUE(MID(EC6,FIND("|",EC6)+1,FIND("-",EC6)-FIND("|",EC6)-1))-VALUE(MID(EC6,FIND("-",EC6)+1,10)))))*$D$50)))))*$I6,0)),0)</f>
        <v>0</v>
      </c>
      <c r="EE6" s="111"/>
      <c r="EF6" s="72" t="str">
        <f>Idiomas!$D$364</f>
        <v>Pegar Valores (J1)</v>
      </c>
      <c r="EG6" s="73">
        <f t="shared" ref="EG6" si="86">IFERROR(IF($M6=EF6,($D$8+$D$9+$D$10)*$I6,IF($N6=LEFT(EF6,1),($D$8+MAX(0,IF($D$50=1,$D$9*(1-(ABS($Q6-ABS(VALUE(MID(EF6,FIND("|",EF6)+1,FIND("-",EF6)-FIND("|",EF6)-1))-VALUE(MID(EF6,FIND("-",EF6)+1,10)))))*$D$50),$D$9*(1-(IF($N6="X",ABS($O6-VALUE(MID(EF6,FIND("|",EF6)+1,FIND("-",EF6)-FIND("|",EF6)-1))),ABS($Q6-ABS(VALUE(MID(EF6,FIND("|",EF6)+1,FIND("-",EF6)-FIND("|",EF6)-1))-VALUE(MID(EF6,FIND("-",EF6)+1,10)))))*$D$50)))))*$I6,0)),0)</f>
        <v>0</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0</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0</v>
      </c>
      <c r="AD7" s="111"/>
      <c r="AE7" s="72" t="s">
        <v>1946</v>
      </c>
      <c r="AF7" s="73">
        <f t="shared" si="100"/>
        <v>0</v>
      </c>
      <c r="AG7" s="111"/>
      <c r="AH7" s="72" t="s">
        <v>1942</v>
      </c>
      <c r="AI7" s="73">
        <f t="shared" si="100"/>
        <v>0</v>
      </c>
      <c r="AJ7" s="111"/>
      <c r="AK7" s="72" t="s">
        <v>1952</v>
      </c>
      <c r="AL7" s="73">
        <f t="shared" si="100"/>
        <v>0</v>
      </c>
      <c r="AM7" s="111"/>
      <c r="AN7" s="72" t="s">
        <v>1946</v>
      </c>
      <c r="AO7" s="73">
        <f t="shared" si="100"/>
        <v>0</v>
      </c>
      <c r="AP7" s="111"/>
      <c r="AQ7" s="72" t="s">
        <v>1943</v>
      </c>
      <c r="AR7" s="73">
        <f t="shared" si="100"/>
        <v>0</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0</v>
      </c>
      <c r="CC7" s="111"/>
      <c r="CD7" s="72" t="s">
        <v>1946</v>
      </c>
      <c r="CE7" s="73">
        <f t="shared" si="100"/>
        <v>0</v>
      </c>
      <c r="CF7" s="111"/>
      <c r="CG7" s="72" t="s">
        <v>1942</v>
      </c>
      <c r="CH7" s="73">
        <f t="shared" si="100"/>
        <v>0</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0</v>
      </c>
      <c r="CX7" s="111"/>
      <c r="CY7" s="72" t="s">
        <v>1946</v>
      </c>
      <c r="CZ7" s="73">
        <f t="shared" si="70"/>
        <v>0</v>
      </c>
      <c r="DA7" s="111"/>
      <c r="DB7" s="72" t="s">
        <v>1946</v>
      </c>
      <c r="DC7" s="73">
        <f t="shared" si="70"/>
        <v>0</v>
      </c>
      <c r="DD7" s="111"/>
      <c r="DE7" s="72" t="s">
        <v>1952</v>
      </c>
      <c r="DF7" s="73">
        <f t="shared" si="70"/>
        <v>0</v>
      </c>
      <c r="DG7" s="111"/>
      <c r="DH7" s="72" t="s">
        <v>1954</v>
      </c>
      <c r="DI7" s="73">
        <f t="shared" si="70"/>
        <v>0</v>
      </c>
      <c r="DJ7" s="111"/>
      <c r="DK7" s="72" t="s">
        <v>1946</v>
      </c>
      <c r="DL7" s="73">
        <f t="shared" si="70"/>
        <v>0</v>
      </c>
      <c r="DM7" s="111"/>
      <c r="DN7" s="794" t="s">
        <v>1946</v>
      </c>
      <c r="DO7" s="73">
        <f t="shared" si="70"/>
        <v>0</v>
      </c>
      <c r="DP7" s="111"/>
      <c r="DQ7" s="873" t="s">
        <v>1944</v>
      </c>
      <c r="DR7" s="73">
        <f t="shared" si="70"/>
        <v>0</v>
      </c>
      <c r="DS7" s="111"/>
      <c r="DT7" s="72" t="s">
        <v>1952</v>
      </c>
      <c r="DU7" s="73">
        <f t="shared" si="70"/>
        <v>0</v>
      </c>
      <c r="DV7" s="111"/>
      <c r="DW7" s="72" t="s">
        <v>1942</v>
      </c>
      <c r="DX7" s="73">
        <f t="shared" si="70"/>
        <v>0</v>
      </c>
      <c r="DY7" s="111"/>
      <c r="DZ7" s="72"/>
      <c r="EA7" s="73">
        <f t="shared" si="70"/>
        <v>0</v>
      </c>
      <c r="EB7" s="111"/>
      <c r="EC7" s="72"/>
      <c r="ED7" s="73">
        <f t="shared" si="70"/>
        <v>0</v>
      </c>
      <c r="EE7" s="111"/>
      <c r="EF7" s="72"/>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101">ABS(O8-P8)</f>
        <v>0</v>
      </c>
      <c r="R8" s="49"/>
      <c r="S8" s="74" t="s">
        <v>1944</v>
      </c>
      <c r="T8" s="73">
        <f t="shared" si="98"/>
        <v>0</v>
      </c>
      <c r="U8" s="65"/>
      <c r="V8" s="74" t="s">
        <v>1949</v>
      </c>
      <c r="W8" s="73">
        <f t="shared" si="99"/>
        <v>0</v>
      </c>
      <c r="X8" s="65"/>
      <c r="Y8" s="74" t="s">
        <v>1952</v>
      </c>
      <c r="Z8" s="73">
        <f t="shared" si="100"/>
        <v>0</v>
      </c>
      <c r="AA8" s="65"/>
      <c r="AB8" s="74" t="s">
        <v>1944</v>
      </c>
      <c r="AC8" s="73">
        <f t="shared" si="100"/>
        <v>0</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0</v>
      </c>
      <c r="AS8" s="65"/>
      <c r="AT8" s="74" t="s">
        <v>1944</v>
      </c>
      <c r="AU8" s="73">
        <f t="shared" si="100"/>
        <v>0</v>
      </c>
      <c r="AV8" s="65"/>
      <c r="AW8" s="74" t="s">
        <v>1952</v>
      </c>
      <c r="AX8" s="73">
        <f t="shared" si="100"/>
        <v>0</v>
      </c>
      <c r="AY8" s="65"/>
      <c r="AZ8" s="74" t="s">
        <v>1944</v>
      </c>
      <c r="BA8" s="73">
        <f t="shared" si="100"/>
        <v>0</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0</v>
      </c>
      <c r="BT8" s="65"/>
      <c r="BU8" s="74" t="s">
        <v>1960</v>
      </c>
      <c r="BV8" s="73">
        <f t="shared" si="100"/>
        <v>0</v>
      </c>
      <c r="BW8" s="65"/>
      <c r="BX8" s="74" t="s">
        <v>1942</v>
      </c>
      <c r="BY8" s="73">
        <f t="shared" si="100"/>
        <v>0</v>
      </c>
      <c r="BZ8" s="65"/>
      <c r="CA8" s="74" t="s">
        <v>1942</v>
      </c>
      <c r="CB8" s="73">
        <f t="shared" si="100"/>
        <v>0</v>
      </c>
      <c r="CC8" s="65"/>
      <c r="CD8" s="74" t="s">
        <v>1946</v>
      </c>
      <c r="CE8" s="73">
        <f t="shared" si="100"/>
        <v>0</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0</v>
      </c>
      <c r="CU8" s="65"/>
      <c r="CV8" s="74" t="s">
        <v>1944</v>
      </c>
      <c r="CW8" s="73">
        <f t="shared" si="70"/>
        <v>0</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873" t="s">
        <v>1948</v>
      </c>
      <c r="DR8" s="73">
        <f t="shared" si="70"/>
        <v>0</v>
      </c>
      <c r="DS8" s="65"/>
      <c r="DT8" s="74" t="s">
        <v>1948</v>
      </c>
      <c r="DU8" s="73">
        <f t="shared" si="70"/>
        <v>0</v>
      </c>
      <c r="DV8" s="65"/>
      <c r="DW8" s="74" t="s">
        <v>1957</v>
      </c>
      <c r="DX8" s="73">
        <f t="shared" si="70"/>
        <v>0</v>
      </c>
      <c r="DY8" s="65"/>
      <c r="DZ8" s="74"/>
      <c r="EA8" s="73">
        <f t="shared" si="70"/>
        <v>0</v>
      </c>
      <c r="EB8" s="65"/>
      <c r="EC8" s="74"/>
      <c r="ED8" s="73">
        <f t="shared" si="70"/>
        <v>0</v>
      </c>
      <c r="EE8" s="65"/>
      <c r="EF8" s="74"/>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874" t="s">
        <v>1949</v>
      </c>
      <c r="DR9" s="73">
        <f t="shared" si="70"/>
        <v>0</v>
      </c>
      <c r="DS9" s="65"/>
      <c r="DT9" s="75" t="s">
        <v>1945</v>
      </c>
      <c r="DU9" s="73">
        <f t="shared" si="70"/>
        <v>0</v>
      </c>
      <c r="DV9" s="65"/>
      <c r="DW9" s="75" t="s">
        <v>1949</v>
      </c>
      <c r="DX9" s="73">
        <f t="shared" si="70"/>
        <v>0</v>
      </c>
      <c r="DY9" s="65"/>
      <c r="DZ9" s="75"/>
      <c r="EA9" s="73">
        <f t="shared" si="70"/>
        <v>0</v>
      </c>
      <c r="EB9" s="65"/>
      <c r="EC9" s="75"/>
      <c r="ED9" s="73">
        <f t="shared" si="70"/>
        <v>0</v>
      </c>
      <c r="EE9" s="65"/>
      <c r="EF9" s="75"/>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101"/>
        <v>0</v>
      </c>
      <c r="R10" s="49"/>
      <c r="S10" s="74" t="s">
        <v>1946</v>
      </c>
      <c r="T10" s="73">
        <f t="shared" si="98"/>
        <v>0</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0</v>
      </c>
      <c r="AJ10" s="65"/>
      <c r="AK10" s="74" t="s">
        <v>1948</v>
      </c>
      <c r="AL10" s="73">
        <f t="shared" si="100"/>
        <v>0</v>
      </c>
      <c r="AM10" s="65"/>
      <c r="AN10" s="74" t="s">
        <v>1946</v>
      </c>
      <c r="AO10" s="73">
        <f t="shared" si="100"/>
        <v>0</v>
      </c>
      <c r="AP10" s="65"/>
      <c r="AQ10" s="74" t="s">
        <v>1948</v>
      </c>
      <c r="AR10" s="73">
        <f t="shared" si="100"/>
        <v>0</v>
      </c>
      <c r="AS10" s="65"/>
      <c r="AT10" s="74" t="s">
        <v>1948</v>
      </c>
      <c r="AU10" s="73">
        <f t="shared" si="100"/>
        <v>0</v>
      </c>
      <c r="AV10" s="65"/>
      <c r="AW10" s="74" t="s">
        <v>1944</v>
      </c>
      <c r="AX10" s="73">
        <f t="shared" si="100"/>
        <v>0</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0</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0</v>
      </c>
      <c r="CF10" s="65"/>
      <c r="CG10" s="74" t="s">
        <v>1948</v>
      </c>
      <c r="CH10" s="73">
        <f t="shared" si="100"/>
        <v>0</v>
      </c>
      <c r="CI10" s="65"/>
      <c r="CJ10" s="74" t="s">
        <v>1956</v>
      </c>
      <c r="CK10" s="73">
        <f t="shared" si="70"/>
        <v>0</v>
      </c>
      <c r="CL10" s="65"/>
      <c r="CM10" s="74" t="s">
        <v>1944</v>
      </c>
      <c r="CN10" s="73">
        <f t="shared" si="70"/>
        <v>0</v>
      </c>
      <c r="CO10" s="65"/>
      <c r="CP10" s="74" t="s">
        <v>1948</v>
      </c>
      <c r="CQ10" s="73">
        <f t="shared" si="70"/>
        <v>0</v>
      </c>
      <c r="CR10" s="65"/>
      <c r="CS10" s="74" t="s">
        <v>1948</v>
      </c>
      <c r="CT10" s="73">
        <f t="shared" si="70"/>
        <v>0</v>
      </c>
      <c r="CU10" s="65"/>
      <c r="CV10" s="74" t="s">
        <v>1946</v>
      </c>
      <c r="CW10" s="73">
        <f t="shared" si="70"/>
        <v>0</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874" t="s">
        <v>1952</v>
      </c>
      <c r="DR10" s="73">
        <f t="shared" si="70"/>
        <v>0</v>
      </c>
      <c r="DS10" s="65"/>
      <c r="DT10" s="74" t="s">
        <v>1952</v>
      </c>
      <c r="DU10" s="73">
        <f t="shared" si="70"/>
        <v>0</v>
      </c>
      <c r="DV10" s="65"/>
      <c r="DW10" s="74" t="s">
        <v>1944</v>
      </c>
      <c r="DX10" s="73">
        <f t="shared" si="70"/>
        <v>0</v>
      </c>
      <c r="DY10" s="65"/>
      <c r="DZ10" s="74"/>
      <c r="EA10" s="73">
        <f t="shared" si="70"/>
        <v>0</v>
      </c>
      <c r="EB10" s="65"/>
      <c r="EC10" s="74"/>
      <c r="ED10" s="73">
        <f t="shared" si="70"/>
        <v>0</v>
      </c>
      <c r="EE10" s="65"/>
      <c r="EF10" s="74"/>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101"/>
        <v>0</v>
      </c>
      <c r="R11" s="49"/>
      <c r="S11" s="74" t="s">
        <v>1947</v>
      </c>
      <c r="T11" s="73">
        <f t="shared" si="98"/>
        <v>0</v>
      </c>
      <c r="U11" s="65"/>
      <c r="V11" s="74" t="s">
        <v>1955</v>
      </c>
      <c r="W11" s="73">
        <f t="shared" si="99"/>
        <v>0</v>
      </c>
      <c r="X11" s="65"/>
      <c r="Y11" s="74" t="s">
        <v>1961</v>
      </c>
      <c r="Z11" s="73">
        <f t="shared" si="100"/>
        <v>0</v>
      </c>
      <c r="AA11" s="65"/>
      <c r="AB11" s="74" t="s">
        <v>1960</v>
      </c>
      <c r="AC11" s="73">
        <f t="shared" si="100"/>
        <v>0</v>
      </c>
      <c r="AD11" s="65"/>
      <c r="AE11" s="74" t="s">
        <v>1952</v>
      </c>
      <c r="AF11" s="73">
        <f t="shared" si="100"/>
        <v>0</v>
      </c>
      <c r="AG11" s="65"/>
      <c r="AH11" s="74" t="s">
        <v>1960</v>
      </c>
      <c r="AI11" s="73">
        <f t="shared" si="100"/>
        <v>0</v>
      </c>
      <c r="AJ11" s="65"/>
      <c r="AK11" s="74" t="s">
        <v>1947</v>
      </c>
      <c r="AL11" s="73">
        <f t="shared" si="100"/>
        <v>0</v>
      </c>
      <c r="AM11" s="65"/>
      <c r="AN11" s="74" t="s">
        <v>1945</v>
      </c>
      <c r="AO11" s="73">
        <f t="shared" si="100"/>
        <v>0</v>
      </c>
      <c r="AP11" s="65"/>
      <c r="AQ11" s="74" t="s">
        <v>1947</v>
      </c>
      <c r="AR11" s="73">
        <f t="shared" si="100"/>
        <v>0</v>
      </c>
      <c r="AS11" s="65"/>
      <c r="AT11" s="74" t="s">
        <v>1949</v>
      </c>
      <c r="AU11" s="73">
        <f t="shared" si="100"/>
        <v>0</v>
      </c>
      <c r="AV11" s="65"/>
      <c r="AW11" s="74" t="s">
        <v>1949</v>
      </c>
      <c r="AX11" s="73">
        <f t="shared" si="100"/>
        <v>0</v>
      </c>
      <c r="AY11" s="65"/>
      <c r="AZ11" s="74" t="s">
        <v>1960</v>
      </c>
      <c r="BA11" s="73">
        <f t="shared" si="100"/>
        <v>0</v>
      </c>
      <c r="BB11" s="65"/>
      <c r="BC11" s="74" t="s">
        <v>1960</v>
      </c>
      <c r="BD11" s="73">
        <f t="shared" si="100"/>
        <v>0</v>
      </c>
      <c r="BE11" s="65"/>
      <c r="BF11" s="74" t="s">
        <v>1960</v>
      </c>
      <c r="BG11" s="73">
        <f t="shared" si="100"/>
        <v>0</v>
      </c>
      <c r="BH11" s="65"/>
      <c r="BI11" s="74" t="s">
        <v>1961</v>
      </c>
      <c r="BJ11" s="73">
        <f t="shared" si="100"/>
        <v>0</v>
      </c>
      <c r="BK11" s="65"/>
      <c r="BL11" s="74" t="s">
        <v>1949</v>
      </c>
      <c r="BM11" s="73">
        <f t="shared" si="100"/>
        <v>0</v>
      </c>
      <c r="BN11" s="65"/>
      <c r="BO11" s="74" t="s">
        <v>1952</v>
      </c>
      <c r="BP11" s="73">
        <f t="shared" si="100"/>
        <v>0</v>
      </c>
      <c r="BQ11" s="65"/>
      <c r="BR11" s="74" t="s">
        <v>1960</v>
      </c>
      <c r="BS11" s="73">
        <f t="shared" si="100"/>
        <v>0</v>
      </c>
      <c r="BT11" s="65"/>
      <c r="BU11" s="74" t="s">
        <v>1949</v>
      </c>
      <c r="BV11" s="73">
        <f t="shared" si="100"/>
        <v>0</v>
      </c>
      <c r="BW11" s="65"/>
      <c r="BX11" s="74" t="s">
        <v>1952</v>
      </c>
      <c r="BY11" s="73">
        <f t="shared" si="100"/>
        <v>0</v>
      </c>
      <c r="BZ11" s="65"/>
      <c r="CA11" s="74" t="s">
        <v>1947</v>
      </c>
      <c r="CB11" s="73">
        <f t="shared" si="100"/>
        <v>0</v>
      </c>
      <c r="CC11" s="65"/>
      <c r="CD11" s="74" t="s">
        <v>1960</v>
      </c>
      <c r="CE11" s="73">
        <f t="shared" si="100"/>
        <v>0</v>
      </c>
      <c r="CF11" s="65"/>
      <c r="CG11" s="74" t="s">
        <v>1946</v>
      </c>
      <c r="CH11" s="73">
        <f t="shared" si="100"/>
        <v>0</v>
      </c>
      <c r="CI11" s="65"/>
      <c r="CJ11" s="74" t="s">
        <v>1949</v>
      </c>
      <c r="CK11" s="73">
        <f t="shared" si="70"/>
        <v>0</v>
      </c>
      <c r="CL11" s="65"/>
      <c r="CM11" s="74" t="s">
        <v>1947</v>
      </c>
      <c r="CN11" s="73">
        <f t="shared" si="70"/>
        <v>0</v>
      </c>
      <c r="CO11" s="65"/>
      <c r="CP11" s="74" t="s">
        <v>1955</v>
      </c>
      <c r="CQ11" s="73">
        <f t="shared" si="70"/>
        <v>0</v>
      </c>
      <c r="CR11" s="65"/>
      <c r="CS11" s="74" t="s">
        <v>1949</v>
      </c>
      <c r="CT11" s="73">
        <f t="shared" si="70"/>
        <v>0</v>
      </c>
      <c r="CU11" s="65"/>
      <c r="CV11" s="74" t="s">
        <v>1947</v>
      </c>
      <c r="CW11" s="73">
        <f t="shared" si="70"/>
        <v>0</v>
      </c>
      <c r="CX11" s="65"/>
      <c r="CY11" s="74" t="s">
        <v>1949</v>
      </c>
      <c r="CZ11" s="73">
        <f t="shared" si="70"/>
        <v>0</v>
      </c>
      <c r="DA11" s="65"/>
      <c r="DB11" s="74" t="s">
        <v>1949</v>
      </c>
      <c r="DC11" s="73">
        <f t="shared" si="70"/>
        <v>0</v>
      </c>
      <c r="DD11" s="65"/>
      <c r="DE11" s="74" t="s">
        <v>1947</v>
      </c>
      <c r="DF11" s="73">
        <f t="shared" si="70"/>
        <v>0</v>
      </c>
      <c r="DG11" s="65"/>
      <c r="DH11" s="74" t="s">
        <v>1949</v>
      </c>
      <c r="DI11" s="73">
        <f t="shared" si="70"/>
        <v>0</v>
      </c>
      <c r="DJ11" s="65"/>
      <c r="DK11" s="74" t="s">
        <v>1947</v>
      </c>
      <c r="DL11" s="73">
        <f t="shared" si="70"/>
        <v>0</v>
      </c>
      <c r="DM11" s="65"/>
      <c r="DN11" s="795" t="s">
        <v>1947</v>
      </c>
      <c r="DO11" s="73">
        <f t="shared" si="70"/>
        <v>0</v>
      </c>
      <c r="DP11" s="65"/>
      <c r="DQ11" s="874" t="s">
        <v>1946</v>
      </c>
      <c r="DR11" s="73">
        <f t="shared" si="70"/>
        <v>0</v>
      </c>
      <c r="DS11" s="65"/>
      <c r="DT11" s="74" t="s">
        <v>1955</v>
      </c>
      <c r="DU11" s="73">
        <f t="shared" si="70"/>
        <v>0</v>
      </c>
      <c r="DV11" s="65"/>
      <c r="DW11" s="74" t="s">
        <v>1949</v>
      </c>
      <c r="DX11" s="73">
        <f t="shared" si="70"/>
        <v>0</v>
      </c>
      <c r="DY11" s="65"/>
      <c r="DZ11" s="74"/>
      <c r="EA11" s="73">
        <f t="shared" si="70"/>
        <v>0</v>
      </c>
      <c r="EB11" s="65"/>
      <c r="EC11" s="74"/>
      <c r="ED11" s="73">
        <f t="shared" si="70"/>
        <v>0</v>
      </c>
      <c r="EE11" s="65"/>
      <c r="EF11" s="74"/>
      <c r="EG11" s="73">
        <f t="shared" si="70"/>
        <v>0</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101"/>
        <v>0</v>
      </c>
      <c r="R12" s="49"/>
      <c r="S12" s="74" t="s">
        <v>1948</v>
      </c>
      <c r="T12" s="73">
        <f t="shared" si="98"/>
        <v>0</v>
      </c>
      <c r="U12" s="65"/>
      <c r="V12" s="74" t="s">
        <v>1954</v>
      </c>
      <c r="W12" s="73">
        <f t="shared" si="99"/>
        <v>0</v>
      </c>
      <c r="X12" s="65"/>
      <c r="Y12" s="74" t="s">
        <v>1946</v>
      </c>
      <c r="Z12" s="73">
        <f t="shared" si="100"/>
        <v>0</v>
      </c>
      <c r="AA12" s="65"/>
      <c r="AB12" s="74" t="s">
        <v>1946</v>
      </c>
      <c r="AC12" s="73">
        <f t="shared" si="100"/>
        <v>0</v>
      </c>
      <c r="AD12" s="65"/>
      <c r="AE12" s="74" t="s">
        <v>1954</v>
      </c>
      <c r="AF12" s="73">
        <f t="shared" si="100"/>
        <v>0</v>
      </c>
      <c r="AG12" s="65"/>
      <c r="AH12" s="74" t="s">
        <v>1948</v>
      </c>
      <c r="AI12" s="73">
        <f t="shared" si="100"/>
        <v>0</v>
      </c>
      <c r="AJ12" s="65"/>
      <c r="AK12" s="74" t="s">
        <v>1946</v>
      </c>
      <c r="AL12" s="73">
        <f t="shared" si="100"/>
        <v>0</v>
      </c>
      <c r="AM12" s="65"/>
      <c r="AN12" s="74" t="s">
        <v>1948</v>
      </c>
      <c r="AO12" s="73">
        <f t="shared" si="100"/>
        <v>0</v>
      </c>
      <c r="AP12" s="65"/>
      <c r="AQ12" s="74" t="s">
        <v>1948</v>
      </c>
      <c r="AR12" s="73">
        <f t="shared" si="100"/>
        <v>0</v>
      </c>
      <c r="AS12" s="65"/>
      <c r="AT12" s="74" t="s">
        <v>1948</v>
      </c>
      <c r="AU12" s="73">
        <f t="shared" si="100"/>
        <v>0</v>
      </c>
      <c r="AV12" s="65"/>
      <c r="AW12" s="74" t="s">
        <v>1946</v>
      </c>
      <c r="AX12" s="73">
        <f t="shared" si="100"/>
        <v>0</v>
      </c>
      <c r="AY12" s="65"/>
      <c r="AZ12" s="74" t="s">
        <v>1946</v>
      </c>
      <c r="BA12" s="73">
        <f t="shared" si="100"/>
        <v>0</v>
      </c>
      <c r="BB12" s="65"/>
      <c r="BC12" s="74" t="s">
        <v>1954</v>
      </c>
      <c r="BD12" s="73">
        <f t="shared" si="100"/>
        <v>0</v>
      </c>
      <c r="BE12" s="65"/>
      <c r="BF12" s="74" t="s">
        <v>1954</v>
      </c>
      <c r="BG12" s="73">
        <f t="shared" si="100"/>
        <v>0</v>
      </c>
      <c r="BH12" s="65"/>
      <c r="BI12" s="74" t="s">
        <v>1946</v>
      </c>
      <c r="BJ12" s="73">
        <f t="shared" si="100"/>
        <v>0</v>
      </c>
      <c r="BK12" s="65"/>
      <c r="BL12" s="74" t="s">
        <v>1948</v>
      </c>
      <c r="BM12" s="73">
        <f t="shared" si="100"/>
        <v>0</v>
      </c>
      <c r="BN12" s="65"/>
      <c r="BO12" s="74" t="s">
        <v>1948</v>
      </c>
      <c r="BP12" s="73">
        <f t="shared" si="100"/>
        <v>0</v>
      </c>
      <c r="BQ12" s="65"/>
      <c r="BR12" s="74" t="s">
        <v>1952</v>
      </c>
      <c r="BS12" s="73">
        <f t="shared" si="100"/>
        <v>0</v>
      </c>
      <c r="BT12" s="65"/>
      <c r="BU12" s="74" t="s">
        <v>1948</v>
      </c>
      <c r="BV12" s="73">
        <f t="shared" si="100"/>
        <v>0</v>
      </c>
      <c r="BW12" s="65"/>
      <c r="BX12" s="74" t="s">
        <v>1946</v>
      </c>
      <c r="BY12" s="73">
        <f t="shared" si="100"/>
        <v>0</v>
      </c>
      <c r="BZ12" s="65"/>
      <c r="CA12" s="74" t="s">
        <v>1942</v>
      </c>
      <c r="CB12" s="73">
        <f t="shared" si="100"/>
        <v>0</v>
      </c>
      <c r="CC12" s="65"/>
      <c r="CD12" s="74" t="s">
        <v>1943</v>
      </c>
      <c r="CE12" s="73">
        <f t="shared" si="100"/>
        <v>0</v>
      </c>
      <c r="CF12" s="65"/>
      <c r="CG12" s="74" t="s">
        <v>1948</v>
      </c>
      <c r="CH12" s="73">
        <f t="shared" si="100"/>
        <v>0</v>
      </c>
      <c r="CI12" s="65"/>
      <c r="CJ12" s="74" t="s">
        <v>1942</v>
      </c>
      <c r="CK12" s="73">
        <f t="shared" si="70"/>
        <v>0</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0</v>
      </c>
      <c r="DA12" s="65"/>
      <c r="DB12" s="74" t="s">
        <v>1946</v>
      </c>
      <c r="DC12" s="73">
        <f t="shared" si="70"/>
        <v>0</v>
      </c>
      <c r="DD12" s="65"/>
      <c r="DE12" s="74" t="s">
        <v>1946</v>
      </c>
      <c r="DF12" s="73">
        <f t="shared" si="70"/>
        <v>0</v>
      </c>
      <c r="DG12" s="65"/>
      <c r="DH12" s="74" t="s">
        <v>1948</v>
      </c>
      <c r="DI12" s="73">
        <f t="shared" si="70"/>
        <v>0</v>
      </c>
      <c r="DJ12" s="65"/>
      <c r="DK12" s="74" t="s">
        <v>1946</v>
      </c>
      <c r="DL12" s="73">
        <f t="shared" si="70"/>
        <v>0</v>
      </c>
      <c r="DM12" s="65"/>
      <c r="DN12" s="795" t="s">
        <v>1946</v>
      </c>
      <c r="DO12" s="73">
        <f t="shared" si="70"/>
        <v>0</v>
      </c>
      <c r="DP12" s="65"/>
      <c r="DQ12" s="874" t="s">
        <v>1946</v>
      </c>
      <c r="DR12" s="73">
        <f t="shared" si="70"/>
        <v>0</v>
      </c>
      <c r="DS12" s="65"/>
      <c r="DT12" s="74" t="s">
        <v>1943</v>
      </c>
      <c r="DU12" s="73">
        <f t="shared" si="70"/>
        <v>0</v>
      </c>
      <c r="DV12" s="65"/>
      <c r="DW12" s="74" t="s">
        <v>1942</v>
      </c>
      <c r="DX12" s="73">
        <f t="shared" si="70"/>
        <v>0</v>
      </c>
      <c r="DY12" s="65"/>
      <c r="DZ12" s="74"/>
      <c r="EA12" s="73">
        <f t="shared" si="70"/>
        <v>0</v>
      </c>
      <c r="EB12" s="65"/>
      <c r="EC12" s="74"/>
      <c r="ED12" s="73">
        <f t="shared" si="70"/>
        <v>0</v>
      </c>
      <c r="EE12" s="65"/>
      <c r="EF12" s="74"/>
      <c r="EG12" s="73">
        <f t="shared" si="70"/>
        <v>0</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101"/>
        <v>0</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874" t="s">
        <v>1944</v>
      </c>
      <c r="DR13" s="73">
        <f t="shared" si="70"/>
        <v>0</v>
      </c>
      <c r="DS13" s="65"/>
      <c r="DT13" s="74" t="s">
        <v>1944</v>
      </c>
      <c r="DU13" s="73">
        <f t="shared" si="70"/>
        <v>0</v>
      </c>
      <c r="DV13" s="65"/>
      <c r="DW13" s="74" t="s">
        <v>1949</v>
      </c>
      <c r="DX13" s="73">
        <f t="shared" si="70"/>
        <v>0</v>
      </c>
      <c r="DY13" s="65"/>
      <c r="DZ13" s="74"/>
      <c r="EA13" s="73">
        <f t="shared" si="70"/>
        <v>0</v>
      </c>
      <c r="EB13" s="65"/>
      <c r="EC13" s="74"/>
      <c r="ED13" s="73">
        <f t="shared" si="70"/>
        <v>0</v>
      </c>
      <c r="EE13" s="65"/>
      <c r="EF13" s="74"/>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101"/>
        <v>0</v>
      </c>
      <c r="R14" s="49"/>
      <c r="S14" s="74" t="s">
        <v>1950</v>
      </c>
      <c r="T14" s="73">
        <f t="shared" si="98"/>
        <v>0</v>
      </c>
      <c r="U14" s="65"/>
      <c r="V14" s="74" t="s">
        <v>2001</v>
      </c>
      <c r="W14" s="73">
        <f t="shared" si="99"/>
        <v>0</v>
      </c>
      <c r="X14" s="65"/>
      <c r="Y14" s="74" t="s">
        <v>2001</v>
      </c>
      <c r="Z14" s="73">
        <f t="shared" si="100"/>
        <v>0</v>
      </c>
      <c r="AA14" s="65"/>
      <c r="AB14" s="74" t="s">
        <v>1943</v>
      </c>
      <c r="AC14" s="73">
        <f t="shared" si="100"/>
        <v>0</v>
      </c>
      <c r="AD14" s="65"/>
      <c r="AE14" s="74" t="s">
        <v>1951</v>
      </c>
      <c r="AF14" s="73">
        <f t="shared" si="100"/>
        <v>0</v>
      </c>
      <c r="AG14" s="65"/>
      <c r="AH14" s="74" t="s">
        <v>2001</v>
      </c>
      <c r="AI14" s="73">
        <f t="shared" si="100"/>
        <v>0</v>
      </c>
      <c r="AJ14" s="65"/>
      <c r="AK14" s="74" t="s">
        <v>1951</v>
      </c>
      <c r="AL14" s="73">
        <f t="shared" si="100"/>
        <v>0</v>
      </c>
      <c r="AM14" s="65"/>
      <c r="AN14" s="74" t="s">
        <v>2001</v>
      </c>
      <c r="AO14" s="73">
        <f t="shared" si="100"/>
        <v>0</v>
      </c>
      <c r="AP14" s="65"/>
      <c r="AQ14" s="74" t="s">
        <v>1950</v>
      </c>
      <c r="AR14" s="73">
        <f t="shared" si="100"/>
        <v>0</v>
      </c>
      <c r="AS14" s="65"/>
      <c r="AT14" s="74" t="s">
        <v>1954</v>
      </c>
      <c r="AU14" s="73">
        <f t="shared" si="100"/>
        <v>0</v>
      </c>
      <c r="AV14" s="65"/>
      <c r="AW14" s="74" t="s">
        <v>1951</v>
      </c>
      <c r="AX14" s="73">
        <f t="shared" si="100"/>
        <v>0</v>
      </c>
      <c r="AY14" s="65"/>
      <c r="AZ14" s="74" t="s">
        <v>1950</v>
      </c>
      <c r="BA14" s="73">
        <f t="shared" si="100"/>
        <v>0</v>
      </c>
      <c r="BB14" s="65"/>
      <c r="BC14" s="74" t="s">
        <v>1958</v>
      </c>
      <c r="BD14" s="73">
        <f t="shared" si="100"/>
        <v>0</v>
      </c>
      <c r="BE14" s="65"/>
      <c r="BF14" s="74" t="s">
        <v>1958</v>
      </c>
      <c r="BG14" s="73">
        <f t="shared" si="100"/>
        <v>0</v>
      </c>
      <c r="BH14" s="65"/>
      <c r="BI14" s="74" t="s">
        <v>2001</v>
      </c>
      <c r="BJ14" s="73">
        <f t="shared" si="100"/>
        <v>0</v>
      </c>
      <c r="BK14" s="65"/>
      <c r="BL14" s="74" t="s">
        <v>2001</v>
      </c>
      <c r="BM14" s="73">
        <f t="shared" si="100"/>
        <v>0</v>
      </c>
      <c r="BN14" s="65"/>
      <c r="BO14" s="74" t="s">
        <v>2001</v>
      </c>
      <c r="BP14" s="73">
        <f t="shared" si="100"/>
        <v>0</v>
      </c>
      <c r="BQ14" s="65"/>
      <c r="BR14" s="74" t="s">
        <v>1958</v>
      </c>
      <c r="BS14" s="73">
        <f t="shared" si="100"/>
        <v>0</v>
      </c>
      <c r="BT14" s="65"/>
      <c r="BU14" s="74" t="s">
        <v>2001</v>
      </c>
      <c r="BV14" s="73">
        <f t="shared" si="100"/>
        <v>0</v>
      </c>
      <c r="BW14" s="65"/>
      <c r="BX14" s="74" t="s">
        <v>1958</v>
      </c>
      <c r="BY14" s="73">
        <f t="shared" si="100"/>
        <v>0</v>
      </c>
      <c r="BZ14" s="65"/>
      <c r="CA14" s="74" t="s">
        <v>2001</v>
      </c>
      <c r="CB14" s="73">
        <f t="shared" si="100"/>
        <v>0</v>
      </c>
      <c r="CC14" s="65"/>
      <c r="CD14" s="74" t="s">
        <v>1954</v>
      </c>
      <c r="CE14" s="73">
        <f t="shared" si="100"/>
        <v>0</v>
      </c>
      <c r="CF14" s="65"/>
      <c r="CG14" s="74" t="s">
        <v>1958</v>
      </c>
      <c r="CH14" s="73">
        <f t="shared" si="100"/>
        <v>0</v>
      </c>
      <c r="CI14" s="65"/>
      <c r="CJ14" s="74" t="s">
        <v>2001</v>
      </c>
      <c r="CK14" s="73">
        <f t="shared" si="70"/>
        <v>0</v>
      </c>
      <c r="CL14" s="65"/>
      <c r="CM14" s="74" t="s">
        <v>1951</v>
      </c>
      <c r="CN14" s="73">
        <f t="shared" si="70"/>
        <v>0</v>
      </c>
      <c r="CO14" s="65"/>
      <c r="CP14" s="74" t="s">
        <v>1951</v>
      </c>
      <c r="CQ14" s="73">
        <f t="shared" si="70"/>
        <v>0</v>
      </c>
      <c r="CR14" s="65"/>
      <c r="CS14" s="74" t="s">
        <v>1958</v>
      </c>
      <c r="CT14" s="73">
        <f t="shared" si="70"/>
        <v>0</v>
      </c>
      <c r="CU14" s="65"/>
      <c r="CV14" s="74" t="s">
        <v>2001</v>
      </c>
      <c r="CW14" s="73">
        <f t="shared" si="70"/>
        <v>0</v>
      </c>
      <c r="CX14" s="65"/>
      <c r="CY14" s="74" t="s">
        <v>1950</v>
      </c>
      <c r="CZ14" s="73">
        <f t="shared" si="70"/>
        <v>0</v>
      </c>
      <c r="DA14" s="65"/>
      <c r="DB14" s="74" t="s">
        <v>1958</v>
      </c>
      <c r="DC14" s="73">
        <f t="shared" si="70"/>
        <v>0</v>
      </c>
      <c r="DD14" s="65"/>
      <c r="DE14" s="74" t="s">
        <v>2001</v>
      </c>
      <c r="DF14" s="73">
        <f t="shared" si="70"/>
        <v>0</v>
      </c>
      <c r="DG14" s="65"/>
      <c r="DH14" s="74" t="s">
        <v>1958</v>
      </c>
      <c r="DI14" s="73">
        <f t="shared" si="70"/>
        <v>0</v>
      </c>
      <c r="DJ14" s="65"/>
      <c r="DK14" s="74" t="s">
        <v>1951</v>
      </c>
      <c r="DL14" s="73">
        <f t="shared" si="70"/>
        <v>0</v>
      </c>
      <c r="DM14" s="65"/>
      <c r="DN14" s="795" t="s">
        <v>1951</v>
      </c>
      <c r="DO14" s="73">
        <f t="shared" si="70"/>
        <v>0</v>
      </c>
      <c r="DP14" s="65"/>
      <c r="DQ14" s="874" t="s">
        <v>1951</v>
      </c>
      <c r="DR14" s="73">
        <f t="shared" si="70"/>
        <v>0</v>
      </c>
      <c r="DS14" s="65"/>
      <c r="DT14" s="74" t="s">
        <v>2002</v>
      </c>
      <c r="DU14" s="73">
        <f t="shared" si="70"/>
        <v>0</v>
      </c>
      <c r="DV14" s="65"/>
      <c r="DW14" s="74" t="s">
        <v>1950</v>
      </c>
      <c r="DX14" s="73">
        <f t="shared" si="70"/>
        <v>0</v>
      </c>
      <c r="DY14" s="65"/>
      <c r="DZ14" s="74"/>
      <c r="EA14" s="73">
        <f t="shared" si="70"/>
        <v>0</v>
      </c>
      <c r="EB14" s="65"/>
      <c r="EC14" s="74"/>
      <c r="ED14" s="73">
        <f t="shared" si="70"/>
        <v>0</v>
      </c>
      <c r="EE14" s="65"/>
      <c r="EF14" s="74"/>
      <c r="EG14" s="73">
        <f t="shared" si="70"/>
        <v>0</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101"/>
        <v>0</v>
      </c>
      <c r="R15" s="49"/>
      <c r="S15" s="74" t="s">
        <v>1948</v>
      </c>
      <c r="T15" s="73">
        <f t="shared" si="98"/>
        <v>0</v>
      </c>
      <c r="U15" s="65"/>
      <c r="V15" s="74" t="s">
        <v>1944</v>
      </c>
      <c r="W15" s="73">
        <f t="shared" si="99"/>
        <v>0</v>
      </c>
      <c r="X15" s="65"/>
      <c r="Y15" s="74" t="s">
        <v>1948</v>
      </c>
      <c r="Z15" s="73">
        <f t="shared" si="100"/>
        <v>0</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0</v>
      </c>
      <c r="BK15" s="65"/>
      <c r="BL15" s="74" t="s">
        <v>1946</v>
      </c>
      <c r="BM15" s="73">
        <f t="shared" si="100"/>
        <v>0</v>
      </c>
      <c r="BN15" s="65"/>
      <c r="BO15" s="74" t="s">
        <v>1948</v>
      </c>
      <c r="BP15" s="73">
        <f t="shared" si="100"/>
        <v>0</v>
      </c>
      <c r="BQ15" s="65"/>
      <c r="BR15" s="74" t="s">
        <v>1952</v>
      </c>
      <c r="BS15" s="73">
        <f t="shared" si="100"/>
        <v>0</v>
      </c>
      <c r="BT15" s="65"/>
      <c r="BU15" s="74" t="s">
        <v>1958</v>
      </c>
      <c r="BV15" s="73">
        <f t="shared" si="100"/>
        <v>0</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874" t="s">
        <v>1944</v>
      </c>
      <c r="DR15" s="73">
        <f t="shared" si="70"/>
        <v>0</v>
      </c>
      <c r="DS15" s="65"/>
      <c r="DT15" s="74" t="s">
        <v>1957</v>
      </c>
      <c r="DU15" s="73">
        <f t="shared" si="70"/>
        <v>0</v>
      </c>
      <c r="DV15" s="65"/>
      <c r="DW15" s="74" t="s">
        <v>1946</v>
      </c>
      <c r="DX15" s="73">
        <f t="shared" si="70"/>
        <v>0</v>
      </c>
      <c r="DY15" s="65"/>
      <c r="DZ15" s="74"/>
      <c r="EA15" s="73">
        <f t="shared" si="70"/>
        <v>0</v>
      </c>
      <c r="EB15" s="65"/>
      <c r="EC15" s="74"/>
      <c r="ED15" s="73">
        <f t="shared" si="70"/>
        <v>0</v>
      </c>
      <c r="EE15" s="65"/>
      <c r="EF15" s="74"/>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0</v>
      </c>
      <c r="BB16" s="65"/>
      <c r="BC16" s="74" t="s">
        <v>1943</v>
      </c>
      <c r="BD16" s="73">
        <f t="shared" si="100"/>
        <v>0</v>
      </c>
      <c r="BE16" s="65"/>
      <c r="BF16" s="74" t="s">
        <v>1948</v>
      </c>
      <c r="BG16" s="73">
        <f t="shared" si="100"/>
        <v>0</v>
      </c>
      <c r="BH16" s="65"/>
      <c r="BI16" s="74" t="s">
        <v>1948</v>
      </c>
      <c r="BJ16" s="73">
        <f t="shared" si="100"/>
        <v>0</v>
      </c>
      <c r="BK16" s="65"/>
      <c r="BL16" s="74" t="s">
        <v>1946</v>
      </c>
      <c r="BM16" s="73">
        <f t="shared" si="100"/>
        <v>0</v>
      </c>
      <c r="BN16" s="65"/>
      <c r="BO16" s="74" t="s">
        <v>1948</v>
      </c>
      <c r="BP16" s="73">
        <f t="shared" si="100"/>
        <v>0</v>
      </c>
      <c r="BQ16" s="65"/>
      <c r="BR16" s="74" t="s">
        <v>1946</v>
      </c>
      <c r="BS16" s="73">
        <f t="shared" si="100"/>
        <v>0</v>
      </c>
      <c r="BT16" s="65"/>
      <c r="BU16" s="74" t="s">
        <v>1952</v>
      </c>
      <c r="BV16" s="73">
        <f t="shared" si="100"/>
        <v>0</v>
      </c>
      <c r="BW16" s="65"/>
      <c r="BX16" s="74" t="s">
        <v>1948</v>
      </c>
      <c r="BY16" s="73">
        <f t="shared" si="100"/>
        <v>0</v>
      </c>
      <c r="BZ16" s="65"/>
      <c r="CA16" s="74" t="s">
        <v>1946</v>
      </c>
      <c r="CB16" s="73">
        <f t="shared" si="100"/>
        <v>0</v>
      </c>
      <c r="CC16" s="65"/>
      <c r="CD16" s="74" t="s">
        <v>1960</v>
      </c>
      <c r="CE16" s="73">
        <f t="shared" si="100"/>
        <v>0</v>
      </c>
      <c r="CF16" s="65"/>
      <c r="CG16" s="74" t="s">
        <v>1946</v>
      </c>
      <c r="CH16" s="73">
        <f t="shared" si="100"/>
        <v>0</v>
      </c>
      <c r="CI16" s="65"/>
      <c r="CJ16" s="74" t="s">
        <v>1946</v>
      </c>
      <c r="CK16" s="73">
        <f t="shared" si="70"/>
        <v>0</v>
      </c>
      <c r="CL16" s="65"/>
      <c r="CM16" s="74" t="s">
        <v>1945</v>
      </c>
      <c r="CN16" s="73">
        <f t="shared" si="70"/>
        <v>0</v>
      </c>
      <c r="CO16" s="65"/>
      <c r="CP16" s="74" t="s">
        <v>1946</v>
      </c>
      <c r="CQ16" s="73">
        <f t="shared" si="70"/>
        <v>0</v>
      </c>
      <c r="CR16" s="65"/>
      <c r="CS16" s="74" t="s">
        <v>1942</v>
      </c>
      <c r="CT16" s="73">
        <f t="shared" si="70"/>
        <v>0</v>
      </c>
      <c r="CU16" s="65"/>
      <c r="CV16" s="74" t="s">
        <v>1942</v>
      </c>
      <c r="CW16" s="73">
        <f t="shared" si="70"/>
        <v>0</v>
      </c>
      <c r="CX16" s="65"/>
      <c r="CY16" s="74" t="s">
        <v>1946</v>
      </c>
      <c r="CZ16" s="73">
        <f t="shared" si="70"/>
        <v>0</v>
      </c>
      <c r="DA16" s="65"/>
      <c r="DB16" s="74" t="s">
        <v>1948</v>
      </c>
      <c r="DC16" s="73">
        <f t="shared" si="70"/>
        <v>0</v>
      </c>
      <c r="DD16" s="65"/>
      <c r="DE16" s="74" t="s">
        <v>1948</v>
      </c>
      <c r="DF16" s="73">
        <f t="shared" si="70"/>
        <v>0</v>
      </c>
      <c r="DG16" s="65"/>
      <c r="DH16" s="74" t="s">
        <v>1944</v>
      </c>
      <c r="DI16" s="73">
        <f t="shared" si="70"/>
        <v>0</v>
      </c>
      <c r="DJ16" s="65"/>
      <c r="DK16" s="74" t="s">
        <v>1948</v>
      </c>
      <c r="DL16" s="73">
        <f t="shared" si="70"/>
        <v>0</v>
      </c>
      <c r="DM16" s="65"/>
      <c r="DN16" s="795" t="s">
        <v>1948</v>
      </c>
      <c r="DO16" s="73">
        <f t="shared" si="70"/>
        <v>0</v>
      </c>
      <c r="DP16" s="65"/>
      <c r="DQ16" s="874" t="s">
        <v>1962</v>
      </c>
      <c r="DR16" s="73">
        <f t="shared" si="70"/>
        <v>0</v>
      </c>
      <c r="DS16" s="65"/>
      <c r="DT16" s="74" t="s">
        <v>1944</v>
      </c>
      <c r="DU16" s="73">
        <f t="shared" si="70"/>
        <v>0</v>
      </c>
      <c r="DV16" s="65"/>
      <c r="DW16" s="74" t="s">
        <v>1944</v>
      </c>
      <c r="DX16" s="73">
        <f t="shared" si="70"/>
        <v>0</v>
      </c>
      <c r="DY16" s="65"/>
      <c r="DZ16" s="74"/>
      <c r="EA16" s="73">
        <f t="shared" si="70"/>
        <v>0</v>
      </c>
      <c r="EB16" s="65"/>
      <c r="EC16" s="74"/>
      <c r="ED16" s="73">
        <f t="shared" si="70"/>
        <v>0</v>
      </c>
      <c r="EE16" s="65"/>
      <c r="EF16" s="74"/>
      <c r="EG16" s="73">
        <f t="shared" si="70"/>
        <v>0</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101"/>
        <v>0</v>
      </c>
      <c r="R17" s="49"/>
      <c r="S17" s="74" t="s">
        <v>1945</v>
      </c>
      <c r="T17" s="73">
        <f t="shared" si="98"/>
        <v>0</v>
      </c>
      <c r="U17" s="65"/>
      <c r="V17" s="74" t="s">
        <v>1942</v>
      </c>
      <c r="W17" s="73">
        <f t="shared" si="99"/>
        <v>0</v>
      </c>
      <c r="X17" s="65"/>
      <c r="Y17" s="74" t="s">
        <v>1942</v>
      </c>
      <c r="Z17" s="73">
        <f t="shared" si="100"/>
        <v>0</v>
      </c>
      <c r="AA17" s="65"/>
      <c r="AB17" s="74" t="s">
        <v>1942</v>
      </c>
      <c r="AC17" s="73">
        <f t="shared" si="100"/>
        <v>0</v>
      </c>
      <c r="AD17" s="65"/>
      <c r="AE17" s="74" t="s">
        <v>1948</v>
      </c>
      <c r="AF17" s="73">
        <f t="shared" si="100"/>
        <v>0</v>
      </c>
      <c r="AG17" s="65"/>
      <c r="AH17" s="74" t="s">
        <v>1942</v>
      </c>
      <c r="AI17" s="73">
        <f t="shared" si="100"/>
        <v>0</v>
      </c>
      <c r="AJ17" s="65"/>
      <c r="AK17" s="74" t="s">
        <v>1942</v>
      </c>
      <c r="AL17" s="73">
        <f t="shared" si="100"/>
        <v>0</v>
      </c>
      <c r="AM17" s="65"/>
      <c r="AN17" s="74" t="s">
        <v>1946</v>
      </c>
      <c r="AO17" s="73">
        <f t="shared" si="100"/>
        <v>0</v>
      </c>
      <c r="AP17" s="65"/>
      <c r="AQ17" s="74" t="s">
        <v>1954</v>
      </c>
      <c r="AR17" s="73">
        <f t="shared" si="100"/>
        <v>0</v>
      </c>
      <c r="AS17" s="65"/>
      <c r="AT17" s="74" t="s">
        <v>1946</v>
      </c>
      <c r="AU17" s="73">
        <f t="shared" si="100"/>
        <v>0</v>
      </c>
      <c r="AV17" s="65"/>
      <c r="AW17" s="74" t="s">
        <v>1946</v>
      </c>
      <c r="AX17" s="73">
        <f t="shared" si="100"/>
        <v>0</v>
      </c>
      <c r="AY17" s="65"/>
      <c r="AZ17" s="74" t="s">
        <v>1948</v>
      </c>
      <c r="BA17" s="73">
        <f t="shared" si="100"/>
        <v>0</v>
      </c>
      <c r="BB17" s="65"/>
      <c r="BC17" s="74" t="s">
        <v>1942</v>
      </c>
      <c r="BD17" s="73">
        <f t="shared" si="100"/>
        <v>0</v>
      </c>
      <c r="BE17" s="65"/>
      <c r="BF17" s="74" t="s">
        <v>1946</v>
      </c>
      <c r="BG17" s="73">
        <f t="shared" si="100"/>
        <v>0</v>
      </c>
      <c r="BH17" s="65"/>
      <c r="BI17" s="74" t="s">
        <v>1942</v>
      </c>
      <c r="BJ17" s="73">
        <f t="shared" si="100"/>
        <v>0</v>
      </c>
      <c r="BK17" s="65"/>
      <c r="BL17" s="74" t="s">
        <v>1942</v>
      </c>
      <c r="BM17" s="73">
        <f t="shared" si="100"/>
        <v>0</v>
      </c>
      <c r="BN17" s="65"/>
      <c r="BO17" s="74" t="s">
        <v>1948</v>
      </c>
      <c r="BP17" s="73">
        <f t="shared" si="100"/>
        <v>0</v>
      </c>
      <c r="BQ17" s="65"/>
      <c r="BR17" s="74" t="s">
        <v>1942</v>
      </c>
      <c r="BS17" s="73">
        <f t="shared" si="100"/>
        <v>0</v>
      </c>
      <c r="BT17" s="65"/>
      <c r="BU17" s="74" t="s">
        <v>1948</v>
      </c>
      <c r="BV17" s="73">
        <f t="shared" si="100"/>
        <v>0</v>
      </c>
      <c r="BW17" s="65"/>
      <c r="BX17" s="74" t="s">
        <v>1946</v>
      </c>
      <c r="BY17" s="73">
        <f t="shared" si="100"/>
        <v>0</v>
      </c>
      <c r="BZ17" s="65"/>
      <c r="CA17" s="74" t="s">
        <v>1954</v>
      </c>
      <c r="CB17" s="73">
        <f t="shared" si="100"/>
        <v>0</v>
      </c>
      <c r="CC17" s="65"/>
      <c r="CD17" s="74" t="s">
        <v>1957</v>
      </c>
      <c r="CE17" s="73">
        <f t="shared" si="100"/>
        <v>0</v>
      </c>
      <c r="CF17" s="65"/>
      <c r="CG17" s="74" t="s">
        <v>1942</v>
      </c>
      <c r="CH17" s="73">
        <f t="shared" si="100"/>
        <v>0</v>
      </c>
      <c r="CI17" s="65"/>
      <c r="CJ17" s="74" t="s">
        <v>1957</v>
      </c>
      <c r="CK17" s="73">
        <f t="shared" si="70"/>
        <v>0</v>
      </c>
      <c r="CL17" s="65"/>
      <c r="CM17" s="74" t="s">
        <v>1957</v>
      </c>
      <c r="CN17" s="73">
        <f t="shared" si="70"/>
        <v>0</v>
      </c>
      <c r="CO17" s="65"/>
      <c r="CP17" s="74" t="s">
        <v>1942</v>
      </c>
      <c r="CQ17" s="73">
        <f t="shared" si="70"/>
        <v>0</v>
      </c>
      <c r="CR17" s="65"/>
      <c r="CS17" s="74" t="s">
        <v>1946</v>
      </c>
      <c r="CT17" s="73">
        <f t="shared" si="70"/>
        <v>0</v>
      </c>
      <c r="CU17" s="65"/>
      <c r="CV17" s="74" t="s">
        <v>1954</v>
      </c>
      <c r="CW17" s="73">
        <f t="shared" si="70"/>
        <v>0</v>
      </c>
      <c r="CX17" s="65"/>
      <c r="CY17" s="74" t="s">
        <v>1954</v>
      </c>
      <c r="CZ17" s="73">
        <f t="shared" si="70"/>
        <v>0</v>
      </c>
      <c r="DA17" s="65"/>
      <c r="DB17" s="74" t="s">
        <v>1942</v>
      </c>
      <c r="DC17" s="73">
        <f t="shared" si="70"/>
        <v>0</v>
      </c>
      <c r="DD17" s="65"/>
      <c r="DE17" s="74" t="s">
        <v>1948</v>
      </c>
      <c r="DF17" s="73">
        <f t="shared" si="70"/>
        <v>0</v>
      </c>
      <c r="DG17" s="65"/>
      <c r="DH17" s="74" t="s">
        <v>1942</v>
      </c>
      <c r="DI17" s="73">
        <f t="shared" si="70"/>
        <v>0</v>
      </c>
      <c r="DJ17" s="65"/>
      <c r="DK17" s="74" t="s">
        <v>1954</v>
      </c>
      <c r="DL17" s="73">
        <f t="shared" si="70"/>
        <v>0</v>
      </c>
      <c r="DM17" s="65"/>
      <c r="DN17" s="795" t="s">
        <v>1944</v>
      </c>
      <c r="DO17" s="73">
        <f t="shared" si="70"/>
        <v>0</v>
      </c>
      <c r="DP17" s="65"/>
      <c r="DQ17" s="874" t="s">
        <v>1946</v>
      </c>
      <c r="DR17" s="73">
        <f t="shared" si="70"/>
        <v>0</v>
      </c>
      <c r="DS17" s="65"/>
      <c r="DT17" s="74" t="s">
        <v>1956</v>
      </c>
      <c r="DU17" s="73">
        <f t="shared" si="70"/>
        <v>0</v>
      </c>
      <c r="DV17" s="65"/>
      <c r="DW17" s="74" t="s">
        <v>1948</v>
      </c>
      <c r="DX17" s="73">
        <f t="shared" si="70"/>
        <v>0</v>
      </c>
      <c r="DY17" s="65"/>
      <c r="DZ17" s="74"/>
      <c r="EA17" s="73">
        <f t="shared" si="70"/>
        <v>0</v>
      </c>
      <c r="EB17" s="65"/>
      <c r="EC17" s="74"/>
      <c r="ED17" s="73">
        <f t="shared" si="70"/>
        <v>0</v>
      </c>
      <c r="EE17" s="65"/>
      <c r="EF17" s="74"/>
      <c r="EG17" s="73">
        <f t="shared" si="70"/>
        <v>0</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101"/>
        <v>0</v>
      </c>
      <c r="R18" s="49"/>
      <c r="S18" s="74" t="s">
        <v>1943</v>
      </c>
      <c r="T18" s="73">
        <f t="shared" si="98"/>
        <v>0</v>
      </c>
      <c r="U18" s="65"/>
      <c r="V18" s="74" t="s">
        <v>1948</v>
      </c>
      <c r="W18" s="73">
        <f t="shared" si="99"/>
        <v>0</v>
      </c>
      <c r="X18" s="65"/>
      <c r="Y18" s="74" t="s">
        <v>1946</v>
      </c>
      <c r="Z18" s="73">
        <f t="shared" si="100"/>
        <v>0</v>
      </c>
      <c r="AA18" s="65"/>
      <c r="AB18" s="74" t="s">
        <v>1946</v>
      </c>
      <c r="AC18" s="73">
        <f t="shared" si="100"/>
        <v>0</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0</v>
      </c>
      <c r="AS18" s="65"/>
      <c r="AT18" s="74" t="s">
        <v>1946</v>
      </c>
      <c r="AU18" s="73">
        <f t="shared" si="100"/>
        <v>0</v>
      </c>
      <c r="AV18" s="65"/>
      <c r="AW18" s="74" t="s">
        <v>1943</v>
      </c>
      <c r="AX18" s="73">
        <f t="shared" si="100"/>
        <v>0</v>
      </c>
      <c r="AY18" s="65"/>
      <c r="AZ18" s="74" t="s">
        <v>1943</v>
      </c>
      <c r="BA18" s="73">
        <f t="shared" si="100"/>
        <v>0</v>
      </c>
      <c r="BB18" s="65"/>
      <c r="BC18" s="74" t="s">
        <v>1944</v>
      </c>
      <c r="BD18" s="73">
        <f t="shared" si="100"/>
        <v>0</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0</v>
      </c>
      <c r="BK18" s="65"/>
      <c r="BL18" s="74" t="s">
        <v>1954</v>
      </c>
      <c r="BM18" s="73">
        <f t="shared" si="102"/>
        <v>0</v>
      </c>
      <c r="BN18" s="65"/>
      <c r="BO18" s="74" t="s">
        <v>1943</v>
      </c>
      <c r="BP18" s="73">
        <f t="shared" si="102"/>
        <v>0</v>
      </c>
      <c r="BQ18" s="65"/>
      <c r="BR18" s="74" t="s">
        <v>1954</v>
      </c>
      <c r="BS18" s="73">
        <f t="shared" si="102"/>
        <v>0</v>
      </c>
      <c r="BT18" s="65"/>
      <c r="BU18" s="74" t="s">
        <v>1944</v>
      </c>
      <c r="BV18" s="73">
        <f t="shared" si="102"/>
        <v>0</v>
      </c>
      <c r="BW18" s="65"/>
      <c r="BX18" s="74" t="s">
        <v>1960</v>
      </c>
      <c r="BY18" s="73">
        <f t="shared" si="102"/>
        <v>0</v>
      </c>
      <c r="BZ18" s="65"/>
      <c r="CA18" s="74" t="s">
        <v>1946</v>
      </c>
      <c r="CB18" s="73">
        <f t="shared" si="102"/>
        <v>0</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0</v>
      </c>
      <c r="CX18" s="65"/>
      <c r="CY18" s="74" t="s">
        <v>1946</v>
      </c>
      <c r="CZ18" s="73">
        <f t="shared" si="102"/>
        <v>0</v>
      </c>
      <c r="DA18" s="65"/>
      <c r="DB18" s="74" t="s">
        <v>1948</v>
      </c>
      <c r="DC18" s="73">
        <f t="shared" si="102"/>
        <v>0</v>
      </c>
      <c r="DD18" s="65"/>
      <c r="DE18" s="74" t="s">
        <v>1946</v>
      </c>
      <c r="DF18" s="73">
        <f t="shared" si="102"/>
        <v>0</v>
      </c>
      <c r="DG18" s="65"/>
      <c r="DH18" s="74" t="s">
        <v>1954</v>
      </c>
      <c r="DI18" s="73">
        <f t="shared" si="102"/>
        <v>0</v>
      </c>
      <c r="DJ18" s="65"/>
      <c r="DK18" s="74" t="s">
        <v>1948</v>
      </c>
      <c r="DL18" s="73">
        <f t="shared" si="102"/>
        <v>0</v>
      </c>
      <c r="DM18" s="65"/>
      <c r="DN18" s="795" t="s">
        <v>1948</v>
      </c>
      <c r="DO18" s="73">
        <f t="shared" si="102"/>
        <v>0</v>
      </c>
      <c r="DP18" s="65"/>
      <c r="DQ18" s="874" t="s">
        <v>1949</v>
      </c>
      <c r="DR18" s="73">
        <f t="shared" si="102"/>
        <v>0</v>
      </c>
      <c r="DS18" s="65"/>
      <c r="DT18" s="74" t="s">
        <v>1943</v>
      </c>
      <c r="DU18" s="73">
        <f t="shared" si="70"/>
        <v>0</v>
      </c>
      <c r="DV18" s="65"/>
      <c r="DW18" s="74" t="s">
        <v>1954</v>
      </c>
      <c r="DX18" s="73">
        <f t="shared" si="70"/>
        <v>0</v>
      </c>
      <c r="DY18" s="65"/>
      <c r="DZ18" s="74"/>
      <c r="EA18" s="73">
        <f t="shared" si="70"/>
        <v>0</v>
      </c>
      <c r="EB18" s="65"/>
      <c r="EC18" s="74"/>
      <c r="ED18" s="73">
        <f t="shared" si="70"/>
        <v>0</v>
      </c>
      <c r="EE18" s="65"/>
      <c r="EF18" s="74"/>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101"/>
        <v>0</v>
      </c>
      <c r="R19" s="49"/>
      <c r="S19" s="74" t="s">
        <v>1946</v>
      </c>
      <c r="T19" s="73">
        <f t="shared" si="98"/>
        <v>0</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0</v>
      </c>
      <c r="AG19" s="65"/>
      <c r="AH19" s="74" t="s">
        <v>1944</v>
      </c>
      <c r="AI19" s="73">
        <f t="shared" si="103"/>
        <v>0</v>
      </c>
      <c r="AJ19" s="65"/>
      <c r="AK19" s="74" t="s">
        <v>1946</v>
      </c>
      <c r="AL19" s="73">
        <f t="shared" si="103"/>
        <v>0</v>
      </c>
      <c r="AM19" s="65"/>
      <c r="AN19" s="74" t="s">
        <v>1942</v>
      </c>
      <c r="AO19" s="73">
        <f t="shared" si="103"/>
        <v>0</v>
      </c>
      <c r="AP19" s="65"/>
      <c r="AQ19" s="74" t="s">
        <v>1942</v>
      </c>
      <c r="AR19" s="73">
        <f t="shared" si="103"/>
        <v>0</v>
      </c>
      <c r="AS19" s="65"/>
      <c r="AT19" s="74" t="s">
        <v>1957</v>
      </c>
      <c r="AU19" s="73">
        <f t="shared" si="103"/>
        <v>0</v>
      </c>
      <c r="AV19" s="65"/>
      <c r="AW19" s="74" t="s">
        <v>1948</v>
      </c>
      <c r="AX19" s="73">
        <f t="shared" si="103"/>
        <v>0</v>
      </c>
      <c r="AY19" s="65"/>
      <c r="AZ19" s="74" t="s">
        <v>1949</v>
      </c>
      <c r="BA19" s="73">
        <f t="shared" si="103"/>
        <v>0</v>
      </c>
      <c r="BB19" s="65"/>
      <c r="BC19" s="74" t="s">
        <v>1946</v>
      </c>
      <c r="BD19" s="73">
        <f t="shared" si="103"/>
        <v>0</v>
      </c>
      <c r="BE19" s="65"/>
      <c r="BF19" s="74" t="s">
        <v>1946</v>
      </c>
      <c r="BG19" s="73">
        <f t="shared" si="103"/>
        <v>0</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0</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0</v>
      </c>
      <c r="CO19" s="65"/>
      <c r="CP19" s="74" t="s">
        <v>1957</v>
      </c>
      <c r="CQ19" s="73">
        <f t="shared" si="102"/>
        <v>0</v>
      </c>
      <c r="CR19" s="65"/>
      <c r="CS19" s="74" t="s">
        <v>1954</v>
      </c>
      <c r="CT19" s="73">
        <f t="shared" si="102"/>
        <v>0</v>
      </c>
      <c r="CU19" s="65"/>
      <c r="CV19" s="74" t="s">
        <v>1957</v>
      </c>
      <c r="CW19" s="73">
        <f t="shared" si="102"/>
        <v>0</v>
      </c>
      <c r="CX19" s="65"/>
      <c r="CY19" s="74" t="s">
        <v>1942</v>
      </c>
      <c r="CZ19" s="73">
        <f t="shared" si="102"/>
        <v>0</v>
      </c>
      <c r="DA19" s="65"/>
      <c r="DB19" s="74" t="s">
        <v>1954</v>
      </c>
      <c r="DC19" s="73">
        <f t="shared" si="102"/>
        <v>0</v>
      </c>
      <c r="DD19" s="65"/>
      <c r="DE19" s="74" t="s">
        <v>1942</v>
      </c>
      <c r="DF19" s="73">
        <f t="shared" si="102"/>
        <v>0</v>
      </c>
      <c r="DG19" s="65"/>
      <c r="DH19" s="74" t="s">
        <v>1946</v>
      </c>
      <c r="DI19" s="73">
        <f t="shared" si="102"/>
        <v>0</v>
      </c>
      <c r="DJ19" s="65"/>
      <c r="DK19" s="74" t="s">
        <v>1943</v>
      </c>
      <c r="DL19" s="73">
        <f t="shared" si="102"/>
        <v>0</v>
      </c>
      <c r="DM19" s="65"/>
      <c r="DN19" s="795" t="s">
        <v>1942</v>
      </c>
      <c r="DO19" s="73">
        <f t="shared" si="102"/>
        <v>0</v>
      </c>
      <c r="DP19" s="65"/>
      <c r="DQ19" s="874" t="s">
        <v>1946</v>
      </c>
      <c r="DR19" s="73">
        <f t="shared" si="102"/>
        <v>0</v>
      </c>
      <c r="DS19" s="65"/>
      <c r="DT19" s="74" t="s">
        <v>1957</v>
      </c>
      <c r="DU19" s="73">
        <f t="shared" si="70"/>
        <v>0</v>
      </c>
      <c r="DV19" s="65"/>
      <c r="DW19" s="74" t="s">
        <v>1948</v>
      </c>
      <c r="DX19" s="73">
        <f t="shared" si="70"/>
        <v>0</v>
      </c>
      <c r="DY19" s="65"/>
      <c r="DZ19" s="74"/>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c r="ED19" s="73">
        <f t="shared" si="104"/>
        <v>0</v>
      </c>
      <c r="EE19" s="65"/>
      <c r="EF19" s="74"/>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874"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c r="EA20" s="73">
        <f t="shared" si="105"/>
        <v>0</v>
      </c>
      <c r="EB20" s="65"/>
      <c r="EC20" s="74"/>
      <c r="ED20" s="73">
        <f t="shared" si="105"/>
        <v>0</v>
      </c>
      <c r="EE20" s="65"/>
      <c r="EF20" s="74"/>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0</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0</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0</v>
      </c>
      <c r="BT21" s="65"/>
      <c r="BU21" s="74" t="s">
        <v>1949</v>
      </c>
      <c r="BV21" s="73">
        <f t="shared" si="103"/>
        <v>0</v>
      </c>
      <c r="BW21" s="65"/>
      <c r="BX21" s="74" t="s">
        <v>1949</v>
      </c>
      <c r="BY21" s="73">
        <f t="shared" si="103"/>
        <v>0</v>
      </c>
      <c r="BZ21" s="65"/>
      <c r="CA21" s="74" t="s">
        <v>1949</v>
      </c>
      <c r="CB21" s="73">
        <f t="shared" si="103"/>
        <v>0</v>
      </c>
      <c r="CC21" s="65"/>
      <c r="CD21" s="74" t="s">
        <v>1946</v>
      </c>
      <c r="CE21" s="73">
        <f t="shared" si="103"/>
        <v>0</v>
      </c>
      <c r="CF21" s="65"/>
      <c r="CG21" s="74" t="s">
        <v>1946</v>
      </c>
      <c r="CH21" s="73">
        <f t="shared" si="103"/>
        <v>0</v>
      </c>
      <c r="CI21" s="65"/>
      <c r="CJ21" s="74" t="s">
        <v>1952</v>
      </c>
      <c r="CK21" s="73">
        <f t="shared" si="102"/>
        <v>0</v>
      </c>
      <c r="CL21" s="65"/>
      <c r="CM21" s="74" t="s">
        <v>1946</v>
      </c>
      <c r="CN21" s="73">
        <f t="shared" si="102"/>
        <v>0</v>
      </c>
      <c r="CO21" s="65"/>
      <c r="CP21" s="74" t="s">
        <v>1952</v>
      </c>
      <c r="CQ21" s="73">
        <f t="shared" si="102"/>
        <v>0</v>
      </c>
      <c r="CR21" s="65"/>
      <c r="CS21" s="74" t="s">
        <v>1960</v>
      </c>
      <c r="CT21" s="73">
        <f t="shared" si="102"/>
        <v>0</v>
      </c>
      <c r="CU21" s="65"/>
      <c r="CV21" s="74" t="s">
        <v>1960</v>
      </c>
      <c r="CW21" s="73">
        <f t="shared" si="102"/>
        <v>0</v>
      </c>
      <c r="CX21" s="65"/>
      <c r="CY21" s="74" t="s">
        <v>1946</v>
      </c>
      <c r="CZ21" s="73">
        <f t="shared" si="102"/>
        <v>0</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0</v>
      </c>
      <c r="DP21" s="65"/>
      <c r="DQ21" s="874" t="s">
        <v>1956</v>
      </c>
      <c r="DR21" s="73">
        <f t="shared" si="102"/>
        <v>0</v>
      </c>
      <c r="DS21" s="65"/>
      <c r="DT21" s="74" t="s">
        <v>1952</v>
      </c>
      <c r="DU21" s="73">
        <f t="shared" si="105"/>
        <v>0</v>
      </c>
      <c r="DV21" s="65"/>
      <c r="DW21" s="74" t="s">
        <v>1946</v>
      </c>
      <c r="DX21" s="73">
        <f t="shared" si="105"/>
        <v>0</v>
      </c>
      <c r="DY21" s="65"/>
      <c r="DZ21" s="74"/>
      <c r="EA21" s="73">
        <f t="shared" si="105"/>
        <v>0</v>
      </c>
      <c r="EB21" s="65"/>
      <c r="EC21" s="74"/>
      <c r="ED21" s="73">
        <f t="shared" si="105"/>
        <v>0</v>
      </c>
      <c r="EE21" s="65"/>
      <c r="EF21" s="74"/>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874" t="s">
        <v>2001</v>
      </c>
      <c r="DR22" s="73">
        <f t="shared" si="102"/>
        <v>0</v>
      </c>
      <c r="DS22" s="65"/>
      <c r="DT22" s="74" t="s">
        <v>1954</v>
      </c>
      <c r="DU22" s="73">
        <f t="shared" si="105"/>
        <v>0</v>
      </c>
      <c r="DV22" s="65"/>
      <c r="DW22" s="74" t="s">
        <v>1948</v>
      </c>
      <c r="DX22" s="73">
        <f t="shared" si="105"/>
        <v>0</v>
      </c>
      <c r="DY22" s="65"/>
      <c r="DZ22" s="74"/>
      <c r="EA22" s="73">
        <f t="shared" si="105"/>
        <v>0</v>
      </c>
      <c r="EB22" s="65"/>
      <c r="EC22" s="74"/>
      <c r="ED22" s="73">
        <f t="shared" si="105"/>
        <v>0</v>
      </c>
      <c r="EE22" s="65"/>
      <c r="EF22" s="74"/>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874" t="s">
        <v>1948</v>
      </c>
      <c r="DR23" s="73">
        <f t="shared" si="102"/>
        <v>0</v>
      </c>
      <c r="DS23" s="65"/>
      <c r="DT23" s="74" t="s">
        <v>1952</v>
      </c>
      <c r="DU23" s="73">
        <f t="shared" si="105"/>
        <v>0</v>
      </c>
      <c r="DV23" s="65"/>
      <c r="DW23" s="74" t="s">
        <v>1945</v>
      </c>
      <c r="DX23" s="73">
        <f t="shared" si="105"/>
        <v>0</v>
      </c>
      <c r="DY23" s="65"/>
      <c r="DZ23" s="74"/>
      <c r="EA23" s="73">
        <f t="shared" si="105"/>
        <v>0</v>
      </c>
      <c r="EB23" s="65"/>
      <c r="EC23" s="74"/>
      <c r="ED23" s="73">
        <f t="shared" si="105"/>
        <v>0</v>
      </c>
      <c r="EE23" s="65"/>
      <c r="EF23" s="74"/>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874" t="s">
        <v>1948</v>
      </c>
      <c r="DR24" s="77">
        <f t="shared" si="102"/>
        <v>0</v>
      </c>
      <c r="DS24" s="65"/>
      <c r="DT24" s="76" t="s">
        <v>1946</v>
      </c>
      <c r="DU24" s="77">
        <f t="shared" si="105"/>
        <v>0</v>
      </c>
      <c r="DV24" s="65"/>
      <c r="DW24" s="76" t="s">
        <v>1954</v>
      </c>
      <c r="DX24" s="77">
        <f t="shared" si="105"/>
        <v>0</v>
      </c>
      <c r="DY24" s="65"/>
      <c r="DZ24" s="76"/>
      <c r="EA24" s="77">
        <f t="shared" si="105"/>
        <v>0</v>
      </c>
      <c r="EB24" s="65"/>
      <c r="EC24" s="76"/>
      <c r="ED24" s="77">
        <f t="shared" si="105"/>
        <v>0</v>
      </c>
      <c r="EE24" s="65"/>
      <c r="EF24" s="76"/>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874" t="s">
        <v>1948</v>
      </c>
      <c r="DR25" s="73">
        <f t="shared" si="102"/>
        <v>0</v>
      </c>
      <c r="DS25" s="65"/>
      <c r="DT25" s="74" t="s">
        <v>1942</v>
      </c>
      <c r="DU25" s="73">
        <f t="shared" si="105"/>
        <v>0</v>
      </c>
      <c r="DV25" s="65"/>
      <c r="DW25" s="74" t="s">
        <v>1943</v>
      </c>
      <c r="DX25" s="73">
        <f t="shared" si="105"/>
        <v>0</v>
      </c>
      <c r="DY25" s="65"/>
      <c r="DZ25" s="74"/>
      <c r="EA25" s="73">
        <f t="shared" si="105"/>
        <v>0</v>
      </c>
      <c r="EB25" s="65"/>
      <c r="EC25" s="74"/>
      <c r="ED25" s="73">
        <f t="shared" si="105"/>
        <v>0</v>
      </c>
      <c r="EE25" s="65"/>
      <c r="EF25" s="74"/>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874" t="s">
        <v>1943</v>
      </c>
      <c r="DR26" s="73">
        <f t="shared" si="102"/>
        <v>0</v>
      </c>
      <c r="DS26" s="65"/>
      <c r="DT26" s="74" t="s">
        <v>1958</v>
      </c>
      <c r="DU26" s="73">
        <f t="shared" si="105"/>
        <v>0</v>
      </c>
      <c r="DV26" s="65"/>
      <c r="DW26" s="74" t="s">
        <v>1958</v>
      </c>
      <c r="DX26" s="73">
        <f t="shared" si="105"/>
        <v>0</v>
      </c>
      <c r="DY26" s="65"/>
      <c r="DZ26" s="74"/>
      <c r="EA26" s="73">
        <f t="shared" si="105"/>
        <v>0</v>
      </c>
      <c r="EB26" s="65"/>
      <c r="EC26" s="74"/>
      <c r="ED26" s="73">
        <f t="shared" si="105"/>
        <v>0</v>
      </c>
      <c r="EE26" s="65"/>
      <c r="EF26" s="74"/>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874" t="s">
        <v>1949</v>
      </c>
      <c r="DR27" s="73">
        <f t="shared" si="102"/>
        <v>0</v>
      </c>
      <c r="DS27" s="65"/>
      <c r="DT27" s="74" t="s">
        <v>1949</v>
      </c>
      <c r="DU27" s="73">
        <f t="shared" si="105"/>
        <v>0</v>
      </c>
      <c r="DV27" s="65"/>
      <c r="DW27" s="74" t="s">
        <v>1945</v>
      </c>
      <c r="DX27" s="73">
        <f t="shared" si="105"/>
        <v>0</v>
      </c>
      <c r="DY27" s="65"/>
      <c r="DZ27" s="74"/>
      <c r="EA27" s="73">
        <f t="shared" si="105"/>
        <v>0</v>
      </c>
      <c r="EB27" s="65"/>
      <c r="EC27" s="74"/>
      <c r="ED27" s="73">
        <f t="shared" si="105"/>
        <v>0</v>
      </c>
      <c r="EE27" s="65"/>
      <c r="EF27" s="74"/>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874" t="s">
        <v>1952</v>
      </c>
      <c r="DR28" s="73">
        <f t="shared" si="102"/>
        <v>0</v>
      </c>
      <c r="DS28" s="65"/>
      <c r="DT28" s="74" t="s">
        <v>1952</v>
      </c>
      <c r="DU28" s="73">
        <f t="shared" si="105"/>
        <v>0</v>
      </c>
      <c r="DV28" s="65"/>
      <c r="DW28" s="74" t="s">
        <v>1943</v>
      </c>
      <c r="DX28" s="73">
        <f t="shared" si="105"/>
        <v>0</v>
      </c>
      <c r="DY28" s="65"/>
      <c r="DZ28" s="74"/>
      <c r="EA28" s="73">
        <f t="shared" si="105"/>
        <v>0</v>
      </c>
      <c r="EB28" s="65"/>
      <c r="EC28" s="74"/>
      <c r="ED28" s="73">
        <f t="shared" si="105"/>
        <v>0</v>
      </c>
      <c r="EE28" s="65"/>
      <c r="EF28" s="74"/>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874" t="s">
        <v>1946</v>
      </c>
      <c r="DR29" s="79">
        <f t="shared" si="102"/>
        <v>0</v>
      </c>
      <c r="DS29" s="65"/>
      <c r="DT29" s="78" t="s">
        <v>1948</v>
      </c>
      <c r="DU29" s="79">
        <f t="shared" si="105"/>
        <v>0</v>
      </c>
      <c r="DV29" s="65"/>
      <c r="DW29" s="78" t="s">
        <v>1954</v>
      </c>
      <c r="DX29" s="79">
        <f t="shared" si="105"/>
        <v>0</v>
      </c>
      <c r="DY29" s="65"/>
      <c r="DZ29" s="78"/>
      <c r="EA29" s="79">
        <f t="shared" si="105"/>
        <v>0</v>
      </c>
      <c r="EB29" s="65"/>
      <c r="EC29" s="78"/>
      <c r="ED29" s="79">
        <f t="shared" si="105"/>
        <v>0</v>
      </c>
      <c r="EE29" s="65"/>
      <c r="EF29" s="78"/>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874" t="s">
        <v>1946</v>
      </c>
      <c r="DR30" s="77">
        <f t="shared" si="107"/>
        <v>0</v>
      </c>
      <c r="DS30" s="65"/>
      <c r="DT30" s="76" t="s">
        <v>1944</v>
      </c>
      <c r="DU30" s="77">
        <f t="shared" si="107"/>
        <v>0</v>
      </c>
      <c r="DV30" s="65"/>
      <c r="DW30" s="76" t="s">
        <v>1948</v>
      </c>
      <c r="DX30" s="77">
        <f t="shared" si="105"/>
        <v>0</v>
      </c>
      <c r="DY30" s="65"/>
      <c r="DZ30" s="76" t="str">
        <f>Idiomas!$D$365</f>
        <v>Pegar Valores (J2)</v>
      </c>
      <c r="EA30" s="77">
        <f t="shared" si="105"/>
        <v>0</v>
      </c>
      <c r="EB30" s="65"/>
      <c r="EC30" s="76" t="str">
        <f>Idiomas!$D$365</f>
        <v>Pegar Valores (J2)</v>
      </c>
      <c r="ED30" s="77">
        <f t="shared" si="105"/>
        <v>0</v>
      </c>
      <c r="EE30" s="65"/>
      <c r="EF30" s="76" t="str">
        <f>Idiomas!$D$365</f>
        <v>Pegar Valores (J2)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874" t="s">
        <v>1958</v>
      </c>
      <c r="DR31" s="73">
        <f t="shared" si="107"/>
        <v>0</v>
      </c>
      <c r="DS31" s="65"/>
      <c r="DT31" s="74" t="s">
        <v>1956</v>
      </c>
      <c r="DU31" s="73">
        <f t="shared" si="107"/>
        <v>0</v>
      </c>
      <c r="DV31" s="65"/>
      <c r="DW31" s="74" t="s">
        <v>1956</v>
      </c>
      <c r="DX31" s="73">
        <f t="shared" si="105"/>
        <v>0</v>
      </c>
      <c r="DY31" s="65"/>
      <c r="DZ31" s="74"/>
      <c r="EA31" s="73">
        <f t="shared" si="105"/>
        <v>0</v>
      </c>
      <c r="EB31" s="65"/>
      <c r="EC31" s="74"/>
      <c r="ED31" s="73">
        <f t="shared" si="105"/>
        <v>0</v>
      </c>
      <c r="EE31" s="65"/>
      <c r="EF31" s="74"/>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874" t="s">
        <v>1946</v>
      </c>
      <c r="DR32" s="73">
        <f t="shared" si="107"/>
        <v>0</v>
      </c>
      <c r="DS32" s="65"/>
      <c r="DT32" s="74" t="s">
        <v>1959</v>
      </c>
      <c r="DU32" s="73">
        <f t="shared" si="107"/>
        <v>0</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c r="EA32" s="73">
        <f t="shared" si="109"/>
        <v>0</v>
      </c>
      <c r="EB32" s="65"/>
      <c r="EC32" s="74"/>
      <c r="ED32" s="73">
        <f t="shared" si="109"/>
        <v>0</v>
      </c>
      <c r="EE32" s="65"/>
      <c r="EF32" s="74"/>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874" t="s">
        <v>1960</v>
      </c>
      <c r="DR33" s="73">
        <f t="shared" si="107"/>
        <v>0</v>
      </c>
      <c r="DS33" s="65"/>
      <c r="DT33" s="74" t="s">
        <v>1948</v>
      </c>
      <c r="DU33" s="73">
        <f t="shared" si="107"/>
        <v>0</v>
      </c>
      <c r="DV33" s="65"/>
      <c r="DW33" s="74" t="s">
        <v>1948</v>
      </c>
      <c r="DX33" s="73">
        <f t="shared" si="109"/>
        <v>0</v>
      </c>
      <c r="DY33" s="65"/>
      <c r="DZ33" s="74"/>
      <c r="EA33" s="73">
        <f t="shared" si="109"/>
        <v>0</v>
      </c>
      <c r="EB33" s="65"/>
      <c r="EC33" s="74"/>
      <c r="ED33" s="73">
        <f t="shared" si="109"/>
        <v>0</v>
      </c>
      <c r="EE33" s="65"/>
      <c r="EF33" s="74"/>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874" t="s">
        <v>1946</v>
      </c>
      <c r="DR34" s="73">
        <f t="shared" si="107"/>
        <v>0</v>
      </c>
      <c r="DS34" s="65"/>
      <c r="DT34" s="74" t="s">
        <v>1944</v>
      </c>
      <c r="DU34" s="73">
        <f t="shared" si="107"/>
        <v>0</v>
      </c>
      <c r="DV34" s="65"/>
      <c r="DW34" s="74" t="s">
        <v>1946</v>
      </c>
      <c r="DX34" s="73">
        <f t="shared" si="109"/>
        <v>0</v>
      </c>
      <c r="DY34" s="65"/>
      <c r="DZ34" s="74"/>
      <c r="EA34" s="73">
        <f t="shared" si="109"/>
        <v>0</v>
      </c>
      <c r="EB34" s="65"/>
      <c r="EC34" s="74"/>
      <c r="ED34" s="73">
        <f t="shared" si="109"/>
        <v>0</v>
      </c>
      <c r="EE34" s="65"/>
      <c r="EF34" s="74"/>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874" t="s">
        <v>1958</v>
      </c>
      <c r="DR35" s="73">
        <f t="shared" si="107"/>
        <v>0</v>
      </c>
      <c r="DS35" s="65"/>
      <c r="DT35" s="74" t="s">
        <v>1958</v>
      </c>
      <c r="DU35" s="73">
        <f t="shared" si="107"/>
        <v>0</v>
      </c>
      <c r="DV35" s="65"/>
      <c r="DW35" s="74" t="s">
        <v>2001</v>
      </c>
      <c r="DX35" s="73">
        <f t="shared" si="109"/>
        <v>0</v>
      </c>
      <c r="DY35" s="65"/>
      <c r="DZ35" s="74"/>
      <c r="EA35" s="73">
        <f t="shared" si="109"/>
        <v>0</v>
      </c>
      <c r="EB35" s="65"/>
      <c r="EC35" s="74"/>
      <c r="ED35" s="73">
        <f t="shared" si="109"/>
        <v>0</v>
      </c>
      <c r="EE35" s="65"/>
      <c r="EF35" s="74"/>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874" t="s">
        <v>1942</v>
      </c>
      <c r="DR36" s="73">
        <f t="shared" si="107"/>
        <v>0</v>
      </c>
      <c r="DS36" s="65"/>
      <c r="DT36" s="74" t="s">
        <v>1946</v>
      </c>
      <c r="DU36" s="73">
        <f t="shared" si="107"/>
        <v>0</v>
      </c>
      <c r="DV36" s="65"/>
      <c r="DW36" s="74" t="s">
        <v>1948</v>
      </c>
      <c r="DX36" s="73">
        <f t="shared" si="109"/>
        <v>0</v>
      </c>
      <c r="DY36" s="65"/>
      <c r="DZ36" s="74"/>
      <c r="EA36" s="73">
        <f t="shared" si="109"/>
        <v>0</v>
      </c>
      <c r="EB36" s="65"/>
      <c r="EC36" s="74"/>
      <c r="ED36" s="73">
        <f t="shared" si="109"/>
        <v>0</v>
      </c>
      <c r="EE36" s="65"/>
      <c r="EF36" s="74"/>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874" t="s">
        <v>2311</v>
      </c>
      <c r="DR37" s="73">
        <f t="shared" si="107"/>
        <v>0</v>
      </c>
      <c r="DS37" s="65"/>
      <c r="DT37" s="74" t="s">
        <v>1954</v>
      </c>
      <c r="DU37" s="73">
        <f t="shared" si="107"/>
        <v>0</v>
      </c>
      <c r="DV37" s="65"/>
      <c r="DW37" s="74" t="s">
        <v>1957</v>
      </c>
      <c r="DX37" s="73">
        <f t="shared" si="109"/>
        <v>0</v>
      </c>
      <c r="DY37" s="65"/>
      <c r="DZ37" s="74"/>
      <c r="EA37" s="73">
        <f t="shared" si="109"/>
        <v>0</v>
      </c>
      <c r="EB37" s="65"/>
      <c r="EC37" s="74"/>
      <c r="ED37" s="73">
        <f t="shared" si="109"/>
        <v>0</v>
      </c>
      <c r="EE37" s="65"/>
      <c r="EF37" s="74"/>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874" t="s">
        <v>1956</v>
      </c>
      <c r="DR38" s="73">
        <f t="shared" si="107"/>
        <v>0</v>
      </c>
      <c r="DS38" s="65"/>
      <c r="DT38" s="74" t="s">
        <v>1948</v>
      </c>
      <c r="DU38" s="73">
        <f t="shared" si="107"/>
        <v>0</v>
      </c>
      <c r="DV38" s="65"/>
      <c r="DW38" s="74" t="s">
        <v>1948</v>
      </c>
      <c r="DX38" s="73">
        <f t="shared" si="109"/>
        <v>0</v>
      </c>
      <c r="DY38" s="65"/>
      <c r="DZ38" s="74"/>
      <c r="EA38" s="73">
        <f t="shared" si="109"/>
        <v>0</v>
      </c>
      <c r="EB38" s="65"/>
      <c r="EC38" s="74"/>
      <c r="ED38" s="73">
        <f t="shared" si="109"/>
        <v>0</v>
      </c>
      <c r="EE38" s="65"/>
      <c r="EF38" s="74"/>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874" t="s">
        <v>1942</v>
      </c>
      <c r="DR39" s="73">
        <f t="shared" si="107"/>
        <v>0</v>
      </c>
      <c r="DS39" s="65"/>
      <c r="DT39" s="74" t="s">
        <v>1958</v>
      </c>
      <c r="DU39" s="73">
        <f t="shared" si="107"/>
        <v>0</v>
      </c>
      <c r="DV39" s="65"/>
      <c r="DW39" s="74" t="s">
        <v>1958</v>
      </c>
      <c r="DX39" s="73">
        <f t="shared" si="109"/>
        <v>0</v>
      </c>
      <c r="DY39" s="65"/>
      <c r="DZ39" s="74"/>
      <c r="EA39" s="73">
        <f t="shared" si="109"/>
        <v>0</v>
      </c>
      <c r="EB39" s="65"/>
      <c r="EC39" s="74"/>
      <c r="ED39" s="73">
        <f t="shared" si="109"/>
        <v>0</v>
      </c>
      <c r="EE39" s="65"/>
      <c r="EF39" s="74"/>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874" t="s">
        <v>1946</v>
      </c>
      <c r="DR40" s="73">
        <f t="shared" si="107"/>
        <v>0</v>
      </c>
      <c r="DS40" s="65"/>
      <c r="DT40" s="74" t="s">
        <v>1946</v>
      </c>
      <c r="DU40" s="73">
        <f t="shared" si="107"/>
        <v>0</v>
      </c>
      <c r="DV40" s="65"/>
      <c r="DW40" s="74" t="s">
        <v>1948</v>
      </c>
      <c r="DX40" s="73">
        <f t="shared" si="109"/>
        <v>0</v>
      </c>
      <c r="DY40" s="65"/>
      <c r="DZ40" s="74"/>
      <c r="EA40" s="73">
        <f t="shared" si="109"/>
        <v>0</v>
      </c>
      <c r="EB40" s="65"/>
      <c r="EC40" s="74"/>
      <c r="ED40" s="73">
        <f t="shared" si="109"/>
        <v>0</v>
      </c>
      <c r="EE40" s="65"/>
      <c r="EF40" s="74"/>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874" t="s">
        <v>1949</v>
      </c>
      <c r="DR41" s="73">
        <f t="shared" si="107"/>
        <v>0</v>
      </c>
      <c r="DS41" s="65"/>
      <c r="DT41" s="74" t="s">
        <v>1949</v>
      </c>
      <c r="DU41" s="73">
        <f t="shared" si="107"/>
        <v>0</v>
      </c>
      <c r="DV41" s="65"/>
      <c r="DW41" s="74" t="s">
        <v>1945</v>
      </c>
      <c r="DX41" s="73">
        <f t="shared" si="109"/>
        <v>0</v>
      </c>
      <c r="DY41" s="65"/>
      <c r="DZ41" s="74"/>
      <c r="EA41" s="73">
        <f t="shared" si="109"/>
        <v>0</v>
      </c>
      <c r="EB41" s="65"/>
      <c r="EC41" s="74"/>
      <c r="ED41" s="73">
        <f t="shared" si="109"/>
        <v>0</v>
      </c>
      <c r="EE41" s="65"/>
      <c r="EF41" s="74"/>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874" t="s">
        <v>1948</v>
      </c>
      <c r="DR42" s="77">
        <f t="shared" si="110"/>
        <v>0</v>
      </c>
      <c r="DS42" s="65"/>
      <c r="DT42" s="76" t="s">
        <v>1958</v>
      </c>
      <c r="DU42" s="77">
        <f t="shared" si="110"/>
        <v>0</v>
      </c>
      <c r="DV42" s="65"/>
      <c r="DW42" s="76" t="s">
        <v>1948</v>
      </c>
      <c r="DX42" s="77">
        <f t="shared" si="109"/>
        <v>0</v>
      </c>
      <c r="DY42" s="65"/>
      <c r="DZ42" s="76"/>
      <c r="EA42" s="77">
        <f t="shared" si="109"/>
        <v>0</v>
      </c>
      <c r="EB42" s="65"/>
      <c r="EC42" s="76"/>
      <c r="ED42" s="77">
        <f t="shared" si="109"/>
        <v>0</v>
      </c>
      <c r="EE42" s="65"/>
      <c r="EF42" s="76"/>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874" t="s">
        <v>1946</v>
      </c>
      <c r="DR43" s="73">
        <f t="shared" si="110"/>
        <v>0</v>
      </c>
      <c r="DS43" s="65"/>
      <c r="DT43" s="74" t="s">
        <v>1946</v>
      </c>
      <c r="DU43" s="73">
        <f t="shared" si="110"/>
        <v>0</v>
      </c>
      <c r="DV43" s="65"/>
      <c r="DW43" s="74" t="s">
        <v>1945</v>
      </c>
      <c r="DX43" s="73">
        <f t="shared" si="109"/>
        <v>0</v>
      </c>
      <c r="DY43" s="65"/>
      <c r="DZ43" s="74"/>
      <c r="EA43" s="73">
        <f t="shared" si="109"/>
        <v>0</v>
      </c>
      <c r="EB43" s="65"/>
      <c r="EC43" s="74"/>
      <c r="ED43" s="73">
        <f t="shared" si="109"/>
        <v>0</v>
      </c>
      <c r="EE43" s="65"/>
      <c r="EF43" s="74"/>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874" t="s">
        <v>1944</v>
      </c>
      <c r="DR44" s="73">
        <f t="shared" si="110"/>
        <v>0</v>
      </c>
      <c r="DS44" s="65"/>
      <c r="DT44" s="74" t="s">
        <v>1959</v>
      </c>
      <c r="DU44" s="73">
        <f t="shared" si="110"/>
        <v>0</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c r="EA44" s="73">
        <f t="shared" si="114"/>
        <v>0</v>
      </c>
      <c r="EB44" s="65"/>
      <c r="EC44" s="74"/>
      <c r="ED44" s="73">
        <f t="shared" si="114"/>
        <v>0</v>
      </c>
      <c r="EE44" s="65"/>
      <c r="EF44" s="74"/>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874" t="s">
        <v>1942</v>
      </c>
      <c r="DR45" s="73">
        <f t="shared" si="110"/>
        <v>0</v>
      </c>
      <c r="DS45" s="65"/>
      <c r="DT45" s="74" t="s">
        <v>1958</v>
      </c>
      <c r="DU45" s="73">
        <f t="shared" si="110"/>
        <v>0</v>
      </c>
      <c r="DV45" s="65"/>
      <c r="DW45" s="74" t="s">
        <v>1943</v>
      </c>
      <c r="DX45" s="73">
        <f t="shared" si="114"/>
        <v>0</v>
      </c>
      <c r="DY45" s="65"/>
      <c r="DZ45" s="74"/>
      <c r="EA45" s="73">
        <f t="shared" si="114"/>
        <v>0</v>
      </c>
      <c r="EB45" s="65"/>
      <c r="EC45" s="74"/>
      <c r="ED45" s="73">
        <f t="shared" si="114"/>
        <v>0</v>
      </c>
      <c r="EE45" s="65"/>
      <c r="EF45" s="74"/>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874" t="s">
        <v>1943</v>
      </c>
      <c r="DR46" s="73">
        <f t="shared" si="110"/>
        <v>0</v>
      </c>
      <c r="DS46" s="65"/>
      <c r="DT46" s="74" t="s">
        <v>1948</v>
      </c>
      <c r="DU46" s="73">
        <f t="shared" si="110"/>
        <v>0</v>
      </c>
      <c r="DV46" s="65"/>
      <c r="DW46" s="74" t="s">
        <v>1954</v>
      </c>
      <c r="DX46" s="73">
        <f t="shared" si="114"/>
        <v>0</v>
      </c>
      <c r="DY46" s="65"/>
      <c r="DZ46" s="74"/>
      <c r="EA46" s="73">
        <f t="shared" si="114"/>
        <v>0</v>
      </c>
      <c r="EB46" s="65"/>
      <c r="EC46" s="74"/>
      <c r="ED46" s="73">
        <f t="shared" si="114"/>
        <v>0</v>
      </c>
      <c r="EE46" s="65"/>
      <c r="EF46" s="74"/>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874" t="s">
        <v>1954</v>
      </c>
      <c r="DR47" s="73">
        <f t="shared" si="110"/>
        <v>0</v>
      </c>
      <c r="DS47" s="65"/>
      <c r="DT47" s="74" t="s">
        <v>1956</v>
      </c>
      <c r="DU47" s="73">
        <f t="shared" si="110"/>
        <v>0</v>
      </c>
      <c r="DV47" s="65"/>
      <c r="DW47" s="74" t="s">
        <v>1946</v>
      </c>
      <c r="DX47" s="73">
        <f t="shared" si="114"/>
        <v>0</v>
      </c>
      <c r="DY47" s="65"/>
      <c r="DZ47" s="74"/>
      <c r="EA47" s="73">
        <f t="shared" si="114"/>
        <v>0</v>
      </c>
      <c r="EB47" s="65"/>
      <c r="EC47" s="74"/>
      <c r="ED47" s="73">
        <f t="shared" si="114"/>
        <v>0</v>
      </c>
      <c r="EE47" s="65"/>
      <c r="EF47" s="74"/>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874" t="s">
        <v>1946</v>
      </c>
      <c r="DR48" s="73">
        <f t="shared" si="110"/>
        <v>0</v>
      </c>
      <c r="DS48" s="65"/>
      <c r="DT48" s="74" t="s">
        <v>1948</v>
      </c>
      <c r="DU48" s="73">
        <f t="shared" si="110"/>
        <v>0</v>
      </c>
      <c r="DV48" s="65"/>
      <c r="DW48" s="74" t="s">
        <v>1948</v>
      </c>
      <c r="DX48" s="73">
        <f t="shared" si="114"/>
        <v>0</v>
      </c>
      <c r="DY48" s="65"/>
      <c r="DZ48" s="74"/>
      <c r="EA48" s="73">
        <f t="shared" si="114"/>
        <v>0</v>
      </c>
      <c r="EB48" s="65"/>
      <c r="EC48" s="74"/>
      <c r="ED48" s="73">
        <f t="shared" si="114"/>
        <v>0</v>
      </c>
      <c r="EE48" s="65"/>
      <c r="EF48" s="74"/>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874" t="s">
        <v>1945</v>
      </c>
      <c r="DR49" s="73">
        <f t="shared" si="110"/>
        <v>0</v>
      </c>
      <c r="DS49" s="65"/>
      <c r="DT49" s="74" t="s">
        <v>1960</v>
      </c>
      <c r="DU49" s="73">
        <f t="shared" si="110"/>
        <v>0</v>
      </c>
      <c r="DV49" s="65"/>
      <c r="DW49" s="74" t="s">
        <v>1949</v>
      </c>
      <c r="DX49" s="73">
        <f t="shared" si="114"/>
        <v>0</v>
      </c>
      <c r="DY49" s="65"/>
      <c r="DZ49" s="74"/>
      <c r="EA49" s="73">
        <f t="shared" si="114"/>
        <v>0</v>
      </c>
      <c r="EB49" s="65"/>
      <c r="EC49" s="74"/>
      <c r="ED49" s="73">
        <f t="shared" si="114"/>
        <v>0</v>
      </c>
      <c r="EE49" s="65"/>
      <c r="EF49" s="74"/>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874" t="s">
        <v>1942</v>
      </c>
      <c r="DR50" s="73">
        <f t="shared" si="110"/>
        <v>0</v>
      </c>
      <c r="DS50" s="65"/>
      <c r="DT50" s="74" t="s">
        <v>1943</v>
      </c>
      <c r="DU50" s="73">
        <f t="shared" si="110"/>
        <v>0</v>
      </c>
      <c r="DV50" s="65"/>
      <c r="DW50" s="74" t="s">
        <v>2001</v>
      </c>
      <c r="DX50" s="73">
        <f t="shared" si="114"/>
        <v>0</v>
      </c>
      <c r="DY50" s="65"/>
      <c r="DZ50" s="74"/>
      <c r="EA50" s="73">
        <f t="shared" si="114"/>
        <v>0</v>
      </c>
      <c r="EB50" s="65"/>
      <c r="EC50" s="74"/>
      <c r="ED50" s="73">
        <f t="shared" si="114"/>
        <v>0</v>
      </c>
      <c r="EE50" s="65"/>
      <c r="EF50" s="74"/>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874" t="s">
        <v>1944</v>
      </c>
      <c r="DR51" s="73">
        <f t="shared" si="110"/>
        <v>0</v>
      </c>
      <c r="DS51" s="65"/>
      <c r="DT51" s="74" t="s">
        <v>1943</v>
      </c>
      <c r="DU51" s="73">
        <f t="shared" si="110"/>
        <v>0</v>
      </c>
      <c r="DV51" s="65"/>
      <c r="DW51" s="74" t="s">
        <v>1943</v>
      </c>
      <c r="DX51" s="73">
        <f t="shared" si="114"/>
        <v>0</v>
      </c>
      <c r="DY51" s="65"/>
      <c r="DZ51" s="74"/>
      <c r="EA51" s="73">
        <f t="shared" si="114"/>
        <v>0</v>
      </c>
      <c r="EB51" s="65"/>
      <c r="EC51" s="74"/>
      <c r="ED51" s="73">
        <f t="shared" si="114"/>
        <v>0</v>
      </c>
      <c r="EE51" s="65"/>
      <c r="EF51" s="74"/>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874" t="s">
        <v>1944</v>
      </c>
      <c r="DR52" s="73">
        <f t="shared" si="110"/>
        <v>0</v>
      </c>
      <c r="DS52" s="65"/>
      <c r="DT52" s="74" t="s">
        <v>1944</v>
      </c>
      <c r="DU52" s="73">
        <f t="shared" si="110"/>
        <v>0</v>
      </c>
      <c r="DV52" s="65"/>
      <c r="DW52" s="74" t="s">
        <v>1948</v>
      </c>
      <c r="DX52" s="73">
        <f t="shared" si="114"/>
        <v>0</v>
      </c>
      <c r="DY52" s="65"/>
      <c r="DZ52" s="74"/>
      <c r="EA52" s="73">
        <f t="shared" si="114"/>
        <v>0</v>
      </c>
      <c r="EB52" s="65"/>
      <c r="EC52" s="74"/>
      <c r="ED52" s="73">
        <f t="shared" si="114"/>
        <v>0</v>
      </c>
      <c r="EE52" s="65"/>
      <c r="EF52" s="74"/>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874" t="s">
        <v>1956</v>
      </c>
      <c r="DR53" s="79">
        <f t="shared" si="110"/>
        <v>0</v>
      </c>
      <c r="DS53" s="65"/>
      <c r="DT53" s="78" t="s">
        <v>1949</v>
      </c>
      <c r="DU53" s="79">
        <f t="shared" si="110"/>
        <v>0</v>
      </c>
      <c r="DV53" s="65"/>
      <c r="DW53" s="78" t="s">
        <v>1949</v>
      </c>
      <c r="DX53" s="79">
        <f t="shared" si="114"/>
        <v>0</v>
      </c>
      <c r="DY53" s="65"/>
      <c r="DZ53" s="78"/>
      <c r="EA53" s="79">
        <f t="shared" si="114"/>
        <v>0</v>
      </c>
      <c r="EB53" s="65"/>
      <c r="EC53" s="78"/>
      <c r="ED53" s="79">
        <f t="shared" si="114"/>
        <v>0</v>
      </c>
      <c r="EE53" s="65"/>
      <c r="EF53" s="78"/>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874" t="s">
        <v>1946</v>
      </c>
      <c r="DR54" s="77">
        <f t="shared" si="115"/>
        <v>0</v>
      </c>
      <c r="DS54" s="65"/>
      <c r="DT54" s="76" t="s">
        <v>1944</v>
      </c>
      <c r="DU54" s="77">
        <f t="shared" si="115"/>
        <v>0</v>
      </c>
      <c r="DV54" s="65"/>
      <c r="DW54" s="76" t="s">
        <v>1946</v>
      </c>
      <c r="DX54" s="77">
        <f t="shared" si="114"/>
        <v>0</v>
      </c>
      <c r="DY54" s="65"/>
      <c r="DZ54" s="76" t="str">
        <f>Idiomas!$D$366</f>
        <v>Pegar Valores (J3)</v>
      </c>
      <c r="EA54" s="77">
        <f t="shared" si="114"/>
        <v>0</v>
      </c>
      <c r="EB54" s="65"/>
      <c r="EC54" s="76" t="str">
        <f>Idiomas!$D$366</f>
        <v>Pegar Valores (J3)</v>
      </c>
      <c r="ED54" s="77">
        <f t="shared" si="114"/>
        <v>0</v>
      </c>
      <c r="EE54" s="65"/>
      <c r="EF54" s="76" t="str">
        <f>Idiomas!$D$366</f>
        <v>Pegar Valores (J3)</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874" t="s">
        <v>1944</v>
      </c>
      <c r="DR55" s="73">
        <f t="shared" si="115"/>
        <v>0</v>
      </c>
      <c r="DS55" s="65"/>
      <c r="DT55" s="74" t="s">
        <v>1946</v>
      </c>
      <c r="DU55" s="73">
        <f t="shared" si="115"/>
        <v>0</v>
      </c>
      <c r="DV55" s="65"/>
      <c r="DW55" s="74" t="s">
        <v>1949</v>
      </c>
      <c r="DX55" s="73">
        <f t="shared" si="114"/>
        <v>0</v>
      </c>
      <c r="DY55" s="65"/>
      <c r="DZ55" s="74"/>
      <c r="EA55" s="73">
        <f t="shared" si="114"/>
        <v>0</v>
      </c>
      <c r="EB55" s="65"/>
      <c r="EC55" s="74"/>
      <c r="ED55" s="73">
        <f t="shared" si="114"/>
        <v>0</v>
      </c>
      <c r="EE55" s="65"/>
      <c r="EF55" s="74"/>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874"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c r="EA56" s="73">
        <f t="shared" si="118"/>
        <v>0</v>
      </c>
      <c r="EB56" s="65"/>
      <c r="EC56" s="74"/>
      <c r="ED56" s="73">
        <f t="shared" si="118"/>
        <v>0</v>
      </c>
      <c r="EE56" s="65"/>
      <c r="EF56" s="74"/>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874" t="s">
        <v>1942</v>
      </c>
      <c r="DR57" s="73">
        <f t="shared" si="115"/>
        <v>0</v>
      </c>
      <c r="DS57" s="65"/>
      <c r="DT57" s="74" t="s">
        <v>1942</v>
      </c>
      <c r="DU57" s="73">
        <f t="shared" si="115"/>
        <v>0</v>
      </c>
      <c r="DV57" s="65"/>
      <c r="DW57" s="74" t="s">
        <v>1942</v>
      </c>
      <c r="DX57" s="73">
        <f t="shared" si="118"/>
        <v>0</v>
      </c>
      <c r="DY57" s="65"/>
      <c r="DZ57" s="74"/>
      <c r="EA57" s="73">
        <f t="shared" si="118"/>
        <v>0</v>
      </c>
      <c r="EB57" s="65"/>
      <c r="EC57" s="74"/>
      <c r="ED57" s="73">
        <f t="shared" si="118"/>
        <v>0</v>
      </c>
      <c r="EE57" s="65"/>
      <c r="EF57" s="74"/>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874" t="s">
        <v>1952</v>
      </c>
      <c r="DR58" s="73">
        <f t="shared" si="115"/>
        <v>0</v>
      </c>
      <c r="DS58" s="65"/>
      <c r="DT58" s="74" t="s">
        <v>1944</v>
      </c>
      <c r="DU58" s="73">
        <f t="shared" si="115"/>
        <v>0</v>
      </c>
      <c r="DV58" s="65"/>
      <c r="DW58" s="74" t="s">
        <v>1945</v>
      </c>
      <c r="DX58" s="73">
        <f t="shared" si="118"/>
        <v>0</v>
      </c>
      <c r="DY58" s="65"/>
      <c r="DZ58" s="74"/>
      <c r="EA58" s="73">
        <f t="shared" si="118"/>
        <v>0</v>
      </c>
      <c r="EB58" s="65"/>
      <c r="EC58" s="74"/>
      <c r="ED58" s="73">
        <f t="shared" si="118"/>
        <v>0</v>
      </c>
      <c r="EE58" s="65"/>
      <c r="EF58" s="74"/>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874" t="s">
        <v>1954</v>
      </c>
      <c r="DR59" s="73">
        <f t="shared" si="115"/>
        <v>0</v>
      </c>
      <c r="DS59" s="65"/>
      <c r="DT59" s="74" t="s">
        <v>1959</v>
      </c>
      <c r="DU59" s="73">
        <f t="shared" si="115"/>
        <v>0</v>
      </c>
      <c r="DV59" s="65"/>
      <c r="DW59" s="74" t="s">
        <v>1958</v>
      </c>
      <c r="DX59" s="73">
        <f t="shared" si="118"/>
        <v>0</v>
      </c>
      <c r="DY59" s="65"/>
      <c r="DZ59" s="74"/>
      <c r="EA59" s="73">
        <f t="shared" si="118"/>
        <v>0</v>
      </c>
      <c r="EB59" s="65"/>
      <c r="EC59" s="74"/>
      <c r="ED59" s="73">
        <f t="shared" si="118"/>
        <v>0</v>
      </c>
      <c r="EE59" s="65"/>
      <c r="EF59" s="74"/>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874" t="s">
        <v>1960</v>
      </c>
      <c r="DR60" s="77">
        <f t="shared" si="115"/>
        <v>0</v>
      </c>
      <c r="DS60" s="65"/>
      <c r="DT60" s="76" t="s">
        <v>2264</v>
      </c>
      <c r="DU60" s="77">
        <f t="shared" si="115"/>
        <v>0</v>
      </c>
      <c r="DV60" s="65"/>
      <c r="DW60" s="76" t="s">
        <v>1948</v>
      </c>
      <c r="DX60" s="77">
        <f t="shared" si="118"/>
        <v>0</v>
      </c>
      <c r="DY60" s="65"/>
      <c r="DZ60" s="76"/>
      <c r="EA60" s="77">
        <f t="shared" si="118"/>
        <v>0</v>
      </c>
      <c r="EB60" s="65"/>
      <c r="EC60" s="76"/>
      <c r="ED60" s="77">
        <f t="shared" si="118"/>
        <v>0</v>
      </c>
      <c r="EE60" s="65"/>
      <c r="EF60" s="76"/>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874" t="s">
        <v>1944</v>
      </c>
      <c r="DR61" s="73">
        <f t="shared" si="115"/>
        <v>0</v>
      </c>
      <c r="DS61" s="65"/>
      <c r="DT61" s="74" t="s">
        <v>1942</v>
      </c>
      <c r="DU61" s="73">
        <f t="shared" si="115"/>
        <v>0</v>
      </c>
      <c r="DV61" s="65"/>
      <c r="DW61" s="74" t="s">
        <v>1954</v>
      </c>
      <c r="DX61" s="73">
        <f t="shared" si="118"/>
        <v>0</v>
      </c>
      <c r="DY61" s="65"/>
      <c r="DZ61" s="74"/>
      <c r="EA61" s="73">
        <f t="shared" si="118"/>
        <v>0</v>
      </c>
      <c r="EB61" s="65"/>
      <c r="EC61" s="74"/>
      <c r="ED61" s="73">
        <f t="shared" si="118"/>
        <v>0</v>
      </c>
      <c r="EE61" s="65"/>
      <c r="EF61" s="74"/>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874" t="s">
        <v>1949</v>
      </c>
      <c r="DR62" s="73">
        <f t="shared" si="115"/>
        <v>0</v>
      </c>
      <c r="DS62" s="65"/>
      <c r="DT62" s="74" t="s">
        <v>1946</v>
      </c>
      <c r="DU62" s="73">
        <f t="shared" si="115"/>
        <v>0</v>
      </c>
      <c r="DV62" s="65"/>
      <c r="DW62" s="74" t="s">
        <v>1961</v>
      </c>
      <c r="DX62" s="73">
        <f t="shared" si="118"/>
        <v>0</v>
      </c>
      <c r="DY62" s="65"/>
      <c r="DZ62" s="74"/>
      <c r="EA62" s="73">
        <f t="shared" si="118"/>
        <v>0</v>
      </c>
      <c r="EB62" s="65"/>
      <c r="EC62" s="74"/>
      <c r="ED62" s="73">
        <f t="shared" si="118"/>
        <v>0</v>
      </c>
      <c r="EE62" s="65"/>
      <c r="EF62" s="74"/>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874" t="s">
        <v>1944</v>
      </c>
      <c r="DR63" s="73">
        <f t="shared" si="115"/>
        <v>0</v>
      </c>
      <c r="DS63" s="65"/>
      <c r="DT63" s="74" t="s">
        <v>1962</v>
      </c>
      <c r="DU63" s="73">
        <f t="shared" si="115"/>
        <v>0</v>
      </c>
      <c r="DV63" s="65"/>
      <c r="DW63" s="74" t="s">
        <v>1957</v>
      </c>
      <c r="DX63" s="73">
        <f t="shared" si="118"/>
        <v>0</v>
      </c>
      <c r="DY63" s="65"/>
      <c r="DZ63" s="74"/>
      <c r="EA63" s="73">
        <f t="shared" si="118"/>
        <v>0</v>
      </c>
      <c r="EB63" s="65"/>
      <c r="EC63" s="74"/>
      <c r="ED63" s="73">
        <f t="shared" si="118"/>
        <v>0</v>
      </c>
      <c r="EE63" s="65"/>
      <c r="EF63" s="74"/>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874" t="s">
        <v>2264</v>
      </c>
      <c r="DR64" s="73">
        <f t="shared" si="115"/>
        <v>0</v>
      </c>
      <c r="DS64" s="65"/>
      <c r="DT64" s="74" t="s">
        <v>1945</v>
      </c>
      <c r="DU64" s="73">
        <f t="shared" si="115"/>
        <v>0</v>
      </c>
      <c r="DV64" s="65"/>
      <c r="DW64" s="74" t="s">
        <v>1946</v>
      </c>
      <c r="DX64" s="73">
        <f t="shared" si="118"/>
        <v>0</v>
      </c>
      <c r="DY64" s="65"/>
      <c r="DZ64" s="74"/>
      <c r="EA64" s="73">
        <f t="shared" si="118"/>
        <v>0</v>
      </c>
      <c r="EB64" s="65"/>
      <c r="EC64" s="74"/>
      <c r="ED64" s="73">
        <f t="shared" si="118"/>
        <v>0</v>
      </c>
      <c r="EE64" s="65"/>
      <c r="EF64" s="74"/>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874" t="s">
        <v>1949</v>
      </c>
      <c r="DR65" s="73">
        <f t="shared" si="115"/>
        <v>0</v>
      </c>
      <c r="DS65" s="65"/>
      <c r="DT65" s="74" t="s">
        <v>1960</v>
      </c>
      <c r="DU65" s="73">
        <f t="shared" si="115"/>
        <v>0</v>
      </c>
      <c r="DV65" s="65"/>
      <c r="DW65" s="74" t="s">
        <v>1949</v>
      </c>
      <c r="DX65" s="73">
        <f t="shared" si="118"/>
        <v>0</v>
      </c>
      <c r="DY65" s="65"/>
      <c r="DZ65" s="74"/>
      <c r="EA65" s="73">
        <f t="shared" si="118"/>
        <v>0</v>
      </c>
      <c r="EB65" s="65"/>
      <c r="EC65" s="74"/>
      <c r="ED65" s="73">
        <f t="shared" si="118"/>
        <v>0</v>
      </c>
      <c r="EE65" s="65"/>
      <c r="EF65" s="74"/>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874" t="s">
        <v>1954</v>
      </c>
      <c r="DR66" s="73">
        <f t="shared" si="119"/>
        <v>0</v>
      </c>
      <c r="DS66" s="65"/>
      <c r="DT66" s="74" t="s">
        <v>1948</v>
      </c>
      <c r="DU66" s="73">
        <f t="shared" si="119"/>
        <v>0</v>
      </c>
      <c r="DV66" s="65"/>
      <c r="DW66" s="74" t="s">
        <v>1946</v>
      </c>
      <c r="DX66" s="73">
        <f t="shared" si="118"/>
        <v>0</v>
      </c>
      <c r="DY66" s="65"/>
      <c r="DZ66" s="74"/>
      <c r="EA66" s="73">
        <f t="shared" si="118"/>
        <v>0</v>
      </c>
      <c r="EB66" s="65"/>
      <c r="EC66" s="74"/>
      <c r="ED66" s="73">
        <f t="shared" si="118"/>
        <v>0</v>
      </c>
      <c r="EE66" s="65"/>
      <c r="EF66" s="74"/>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874" t="s">
        <v>1945</v>
      </c>
      <c r="DR67" s="73">
        <f t="shared" si="119"/>
        <v>0</v>
      </c>
      <c r="DS67" s="65"/>
      <c r="DT67" s="74" t="s">
        <v>1945</v>
      </c>
      <c r="DU67" s="73">
        <f t="shared" si="119"/>
        <v>0</v>
      </c>
      <c r="DV67" s="65"/>
      <c r="DW67" s="74" t="s">
        <v>1949</v>
      </c>
      <c r="DX67" s="73">
        <f t="shared" si="118"/>
        <v>0</v>
      </c>
      <c r="DY67" s="65"/>
      <c r="DZ67" s="74"/>
      <c r="EA67" s="73">
        <f t="shared" si="118"/>
        <v>0</v>
      </c>
      <c r="EB67" s="65"/>
      <c r="EC67" s="74"/>
      <c r="ED67" s="73">
        <f t="shared" si="118"/>
        <v>0</v>
      </c>
      <c r="EE67" s="65"/>
      <c r="EF67" s="74"/>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874"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c r="EA68" s="73">
        <f t="shared" si="122"/>
        <v>0</v>
      </c>
      <c r="EB68" s="65"/>
      <c r="EC68" s="74"/>
      <c r="ED68" s="73">
        <f t="shared" si="122"/>
        <v>0</v>
      </c>
      <c r="EE68" s="65"/>
      <c r="EF68" s="74"/>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874" t="s">
        <v>1963</v>
      </c>
      <c r="DR69" s="73">
        <f t="shared" si="119"/>
        <v>0</v>
      </c>
      <c r="DS69" s="65"/>
      <c r="DT69" s="74" t="s">
        <v>1952</v>
      </c>
      <c r="DU69" s="73">
        <f t="shared" si="119"/>
        <v>0</v>
      </c>
      <c r="DV69" s="65"/>
      <c r="DW69" s="74" t="s">
        <v>1960</v>
      </c>
      <c r="DX69" s="73">
        <f t="shared" si="122"/>
        <v>0</v>
      </c>
      <c r="DY69" s="65"/>
      <c r="DZ69" s="74"/>
      <c r="EA69" s="73">
        <f t="shared" si="122"/>
        <v>0</v>
      </c>
      <c r="EB69" s="65"/>
      <c r="EC69" s="74"/>
      <c r="ED69" s="73">
        <f t="shared" si="122"/>
        <v>0</v>
      </c>
      <c r="EE69" s="65"/>
      <c r="EF69" s="74"/>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874" t="s">
        <v>1949</v>
      </c>
      <c r="DR70" s="73">
        <f t="shared" si="119"/>
        <v>0</v>
      </c>
      <c r="DS70" s="65"/>
      <c r="DT70" s="74" t="s">
        <v>1963</v>
      </c>
      <c r="DU70" s="73">
        <f t="shared" si="119"/>
        <v>0</v>
      </c>
      <c r="DV70" s="65"/>
      <c r="DW70" s="74" t="s">
        <v>1944</v>
      </c>
      <c r="DX70" s="73">
        <f t="shared" si="122"/>
        <v>0</v>
      </c>
      <c r="DY70" s="65"/>
      <c r="DZ70" s="74"/>
      <c r="EA70" s="73">
        <f t="shared" si="122"/>
        <v>0</v>
      </c>
      <c r="EB70" s="65"/>
      <c r="EC70" s="74"/>
      <c r="ED70" s="73">
        <f t="shared" si="122"/>
        <v>0</v>
      </c>
      <c r="EE70" s="65"/>
      <c r="EF70" s="74"/>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874" t="s">
        <v>1957</v>
      </c>
      <c r="DR71" s="73">
        <f t="shared" si="119"/>
        <v>0</v>
      </c>
      <c r="DS71" s="65"/>
      <c r="DT71" s="74" t="s">
        <v>1944</v>
      </c>
      <c r="DU71" s="73">
        <f t="shared" si="119"/>
        <v>0</v>
      </c>
      <c r="DV71" s="65"/>
      <c r="DW71" s="74" t="s">
        <v>1948</v>
      </c>
      <c r="DX71" s="73">
        <f t="shared" si="122"/>
        <v>0</v>
      </c>
      <c r="DY71" s="65"/>
      <c r="DZ71" s="74"/>
      <c r="EA71" s="73">
        <f t="shared" si="122"/>
        <v>0</v>
      </c>
      <c r="EB71" s="65"/>
      <c r="EC71" s="74"/>
      <c r="ED71" s="73">
        <f t="shared" si="122"/>
        <v>0</v>
      </c>
      <c r="EE71" s="65"/>
      <c r="EF71" s="74"/>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874" t="s">
        <v>1944</v>
      </c>
      <c r="DR72" s="73">
        <f t="shared" si="119"/>
        <v>0</v>
      </c>
      <c r="DS72" s="65"/>
      <c r="DT72" s="74" t="s">
        <v>1946</v>
      </c>
      <c r="DU72" s="73">
        <f t="shared" si="119"/>
        <v>0</v>
      </c>
      <c r="DV72" s="65"/>
      <c r="DW72" s="74" t="s">
        <v>1946</v>
      </c>
      <c r="DX72" s="73">
        <f t="shared" si="122"/>
        <v>0</v>
      </c>
      <c r="DY72" s="65"/>
      <c r="DZ72" s="74"/>
      <c r="EA72" s="73">
        <f t="shared" si="122"/>
        <v>0</v>
      </c>
      <c r="EB72" s="65"/>
      <c r="EC72" s="74"/>
      <c r="ED72" s="73">
        <f t="shared" si="122"/>
        <v>0</v>
      </c>
      <c r="EE72" s="65"/>
      <c r="EF72" s="74"/>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874" t="s">
        <v>1952</v>
      </c>
      <c r="DR73" s="73">
        <f t="shared" si="119"/>
        <v>0</v>
      </c>
      <c r="DS73" s="65"/>
      <c r="DT73" s="74" t="s">
        <v>1961</v>
      </c>
      <c r="DU73" s="73">
        <f t="shared" si="119"/>
        <v>0</v>
      </c>
      <c r="DV73" s="65"/>
      <c r="DW73" s="74" t="s">
        <v>1947</v>
      </c>
      <c r="DX73" s="73">
        <f t="shared" si="122"/>
        <v>0</v>
      </c>
      <c r="DY73" s="65"/>
      <c r="DZ73" s="74"/>
      <c r="EA73" s="73">
        <f t="shared" si="122"/>
        <v>0</v>
      </c>
      <c r="EB73" s="65"/>
      <c r="EC73" s="74"/>
      <c r="ED73" s="73">
        <f t="shared" si="122"/>
        <v>0</v>
      </c>
      <c r="EE73" s="65"/>
      <c r="EF73" s="74"/>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874" t="s">
        <v>1961</v>
      </c>
      <c r="DR74" s="73">
        <f t="shared" si="119"/>
        <v>0</v>
      </c>
      <c r="DS74" s="65"/>
      <c r="DT74" s="74" t="s">
        <v>1954</v>
      </c>
      <c r="DU74" s="73">
        <f t="shared" si="119"/>
        <v>0</v>
      </c>
      <c r="DV74" s="65"/>
      <c r="DW74" s="74" t="s">
        <v>1960</v>
      </c>
      <c r="DX74" s="73">
        <f t="shared" si="122"/>
        <v>0</v>
      </c>
      <c r="DY74" s="65"/>
      <c r="DZ74" s="74"/>
      <c r="EA74" s="73">
        <f t="shared" si="122"/>
        <v>0</v>
      </c>
      <c r="EB74" s="65"/>
      <c r="EC74" s="74"/>
      <c r="ED74" s="73">
        <f t="shared" si="122"/>
        <v>0</v>
      </c>
      <c r="EE74" s="65"/>
      <c r="EF74" s="74"/>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874" t="s">
        <v>1960</v>
      </c>
      <c r="DR75" s="73">
        <f t="shared" si="119"/>
        <v>0</v>
      </c>
      <c r="DS75" s="65"/>
      <c r="DT75" s="74" t="s">
        <v>2264</v>
      </c>
      <c r="DU75" s="73">
        <f t="shared" si="119"/>
        <v>0</v>
      </c>
      <c r="DV75" s="65"/>
      <c r="DW75" s="74" t="s">
        <v>1946</v>
      </c>
      <c r="DX75" s="73">
        <f t="shared" si="122"/>
        <v>0</v>
      </c>
      <c r="DY75" s="65"/>
      <c r="DZ75" s="74"/>
      <c r="EA75" s="73">
        <f t="shared" si="122"/>
        <v>0</v>
      </c>
      <c r="EB75" s="65"/>
      <c r="EC75" s="74"/>
      <c r="ED75" s="73">
        <f t="shared" si="122"/>
        <v>0</v>
      </c>
      <c r="EE75" s="65"/>
      <c r="EF75" s="74"/>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874" t="s">
        <v>1945</v>
      </c>
      <c r="DR76" s="73">
        <f t="shared" si="119"/>
        <v>0</v>
      </c>
      <c r="DS76" s="65"/>
      <c r="DT76" s="74" t="s">
        <v>1945</v>
      </c>
      <c r="DU76" s="73">
        <f t="shared" si="119"/>
        <v>0</v>
      </c>
      <c r="DV76" s="65"/>
      <c r="DW76" s="74" t="s">
        <v>1955</v>
      </c>
      <c r="DX76" s="73">
        <f t="shared" si="122"/>
        <v>0</v>
      </c>
      <c r="DY76" s="65"/>
      <c r="DZ76" s="74"/>
      <c r="EA76" s="73">
        <f t="shared" si="122"/>
        <v>0</v>
      </c>
      <c r="EB76" s="65"/>
      <c r="EC76" s="74"/>
      <c r="ED76" s="73">
        <f t="shared" si="122"/>
        <v>0</v>
      </c>
      <c r="EE76" s="65"/>
      <c r="EF76" s="74"/>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874" t="s">
        <v>1948</v>
      </c>
      <c r="DR77" s="81">
        <f t="shared" si="119"/>
        <v>0</v>
      </c>
      <c r="DS77" s="65"/>
      <c r="DT77" s="80" t="s">
        <v>1956</v>
      </c>
      <c r="DU77" s="81">
        <f t="shared" si="119"/>
        <v>0</v>
      </c>
      <c r="DV77" s="65"/>
      <c r="DW77" s="80" t="s">
        <v>1946</v>
      </c>
      <c r="DX77" s="81">
        <f t="shared" si="122"/>
        <v>0</v>
      </c>
      <c r="DY77" s="65"/>
      <c r="DZ77" s="80"/>
      <c r="EA77" s="81">
        <f t="shared" si="122"/>
        <v>0</v>
      </c>
      <c r="EB77" s="65"/>
      <c r="EC77" s="80"/>
      <c r="ED77" s="81">
        <f t="shared" si="122"/>
        <v>0</v>
      </c>
      <c r="EE77" s="65"/>
      <c r="EF77" s="80"/>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0</v>
      </c>
      <c r="U78" s="64"/>
      <c r="V78" s="82"/>
      <c r="W78" s="83">
        <f>SUM(W6:W77)</f>
        <v>0</v>
      </c>
      <c r="X78" s="64"/>
      <c r="Y78" s="82"/>
      <c r="Z78" s="83">
        <f t="shared" ref="Z78" si="127">SUM(Z6:Z77)</f>
        <v>0</v>
      </c>
      <c r="AA78" s="64"/>
      <c r="AB78" s="82"/>
      <c r="AC78" s="83">
        <f t="shared" ref="AC78" si="128">SUM(AC6:AC77)</f>
        <v>0</v>
      </c>
      <c r="AD78" s="64"/>
      <c r="AE78" s="82"/>
      <c r="AF78" s="83">
        <f t="shared" ref="AF78" si="129">SUM(AF6:AF77)</f>
        <v>0</v>
      </c>
      <c r="AG78" s="64"/>
      <c r="AH78" s="82"/>
      <c r="AI78" s="83">
        <f t="shared" ref="AI78" si="130">SUM(AI6:AI77)</f>
        <v>0</v>
      </c>
      <c r="AJ78" s="64"/>
      <c r="AK78" s="82"/>
      <c r="AL78" s="83">
        <f t="shared" ref="AL78" si="131">SUM(AL6:AL77)</f>
        <v>0</v>
      </c>
      <c r="AM78" s="64"/>
      <c r="AN78" s="82"/>
      <c r="AO78" s="83">
        <f t="shared" ref="AO78" si="132">SUM(AO6:AO77)</f>
        <v>0</v>
      </c>
      <c r="AP78" s="64"/>
      <c r="AQ78" s="82"/>
      <c r="AR78" s="83">
        <f t="shared" ref="AR78" si="133">SUM(AR6:AR77)</f>
        <v>0</v>
      </c>
      <c r="AS78" s="64"/>
      <c r="AT78" s="82"/>
      <c r="AU78" s="83">
        <f t="shared" ref="AU78" si="134">SUM(AU6:AU77)</f>
        <v>0</v>
      </c>
      <c r="AV78" s="64"/>
      <c r="AW78" s="82"/>
      <c r="AX78" s="83">
        <f t="shared" ref="AX78" si="135">SUM(AX6:AX77)</f>
        <v>0</v>
      </c>
      <c r="AY78" s="64"/>
      <c r="AZ78" s="82"/>
      <c r="BA78" s="83">
        <f t="shared" ref="BA78" si="136">SUM(BA6:BA77)</f>
        <v>0</v>
      </c>
      <c r="BB78" s="64"/>
      <c r="BC78" s="82"/>
      <c r="BD78" s="83">
        <f t="shared" ref="BD78" si="137">SUM(BD6:BD77)</f>
        <v>0</v>
      </c>
      <c r="BE78" s="64"/>
      <c r="BF78" s="82"/>
      <c r="BG78" s="83">
        <f t="shared" ref="BG78" si="138">SUM(BG6:BG77)</f>
        <v>0</v>
      </c>
      <c r="BH78" s="64"/>
      <c r="BI78" s="82"/>
      <c r="BJ78" s="83">
        <f t="shared" ref="BJ78" si="139">SUM(BJ6:BJ77)</f>
        <v>0</v>
      </c>
      <c r="BK78" s="64"/>
      <c r="BL78" s="82"/>
      <c r="BM78" s="83">
        <f t="shared" ref="BM78" si="140">SUM(BM6:BM77)</f>
        <v>0</v>
      </c>
      <c r="BN78" s="64"/>
      <c r="BO78" s="82"/>
      <c r="BP78" s="83">
        <f t="shared" ref="BP78" si="141">SUM(BP6:BP77)</f>
        <v>0</v>
      </c>
      <c r="BQ78" s="64"/>
      <c r="BR78" s="82"/>
      <c r="BS78" s="83">
        <f t="shared" ref="BS78" si="142">SUM(BS6:BS77)</f>
        <v>0</v>
      </c>
      <c r="BT78" s="64"/>
      <c r="BU78" s="82"/>
      <c r="BV78" s="83">
        <f t="shared" ref="BV78" si="143">SUM(BV6:BV77)</f>
        <v>0</v>
      </c>
      <c r="BW78" s="64"/>
      <c r="BX78" s="82"/>
      <c r="BY78" s="83">
        <f t="shared" ref="BY78" si="144">SUM(BY6:BY77)</f>
        <v>0</v>
      </c>
      <c r="BZ78" s="64"/>
      <c r="CA78" s="82"/>
      <c r="CB78" s="83">
        <f t="shared" ref="CB78" si="145">SUM(CB6:CB77)</f>
        <v>0</v>
      </c>
      <c r="CC78" s="64"/>
      <c r="CD78" s="82"/>
      <c r="CE78" s="83">
        <f t="shared" ref="CE78" si="146">SUM(CE6:CE77)</f>
        <v>0</v>
      </c>
      <c r="CF78" s="64"/>
      <c r="CG78" s="82"/>
      <c r="CH78" s="83">
        <f t="shared" ref="CH78" si="147">SUM(CH6:CH77)</f>
        <v>0</v>
      </c>
      <c r="CI78" s="64"/>
      <c r="CJ78" s="82"/>
      <c r="CK78" s="83">
        <f t="shared" ref="CK78" si="148">SUM(CK6:CK77)</f>
        <v>0</v>
      </c>
      <c r="CL78" s="64"/>
      <c r="CM78" s="82"/>
      <c r="CN78" s="83">
        <f t="shared" ref="CN78" si="149">SUM(CN6:CN77)</f>
        <v>0</v>
      </c>
      <c r="CO78" s="64"/>
      <c r="CP78" s="82"/>
      <c r="CQ78" s="83">
        <f t="shared" ref="CQ78" si="150">SUM(CQ6:CQ77)</f>
        <v>0</v>
      </c>
      <c r="CR78" s="64"/>
      <c r="CS78" s="82"/>
      <c r="CT78" s="83">
        <f t="shared" ref="CT78" si="151">SUM(CT6:CT77)</f>
        <v>0</v>
      </c>
      <c r="CU78" s="64"/>
      <c r="CV78" s="82"/>
      <c r="CW78" s="83">
        <f t="shared" ref="CW78" si="152">SUM(CW6:CW77)</f>
        <v>0</v>
      </c>
      <c r="CX78" s="64"/>
      <c r="CY78" s="82"/>
      <c r="CZ78" s="83">
        <f t="shared" ref="CZ78" si="153">SUM(CZ6:CZ77)</f>
        <v>0</v>
      </c>
      <c r="DA78" s="64"/>
      <c r="DB78" s="82"/>
      <c r="DC78" s="83">
        <f t="shared" ref="DC78" si="154">SUM(DC6:DC77)</f>
        <v>0</v>
      </c>
      <c r="DD78" s="64"/>
      <c r="DE78" s="82"/>
      <c r="DF78" s="83">
        <f t="shared" ref="DF78" si="155">SUM(DF6:DF77)</f>
        <v>0</v>
      </c>
      <c r="DG78" s="64"/>
      <c r="DH78" s="82"/>
      <c r="DI78" s="83">
        <f t="shared" ref="DI78" si="156">SUM(DI6:DI77)</f>
        <v>0</v>
      </c>
      <c r="DJ78" s="64"/>
      <c r="DK78" s="82"/>
      <c r="DL78" s="83">
        <f t="shared" ref="DL78" si="157">SUM(DL6:DL77)</f>
        <v>0</v>
      </c>
      <c r="DM78" s="64"/>
      <c r="DN78" s="796"/>
      <c r="DO78" s="83">
        <f t="shared" ref="DO78" si="158">SUM(DO6:DO77)</f>
        <v>0</v>
      </c>
      <c r="DP78" s="64"/>
      <c r="DQ78" s="875"/>
      <c r="DR78" s="83">
        <f t="shared" ref="DR78" si="159">SUM(DR6:DR77)</f>
        <v>0</v>
      </c>
      <c r="DS78" s="64"/>
      <c r="DT78" s="82"/>
      <c r="DU78" s="83">
        <f t="shared" ref="DU78" si="160">SUM(DU6:DU77)</f>
        <v>0</v>
      </c>
      <c r="DV78" s="64"/>
      <c r="DW78" s="82"/>
      <c r="DX78" s="83">
        <f t="shared" ref="DX78" si="161">SUM(DX6:DX77)</f>
        <v>0</v>
      </c>
      <c r="DY78" s="64"/>
      <c r="DZ78" s="82"/>
      <c r="EA78" s="83">
        <f t="shared" ref="EA78" si="162">SUM(EA6:EA77)</f>
        <v>0</v>
      </c>
      <c r="EB78" s="64"/>
      <c r="EC78" s="82"/>
      <c r="ED78" s="83">
        <f t="shared" ref="ED78" si="163">SUM(ED6:ED77)</f>
        <v>0</v>
      </c>
      <c r="EE78" s="64"/>
      <c r="EF78" s="82"/>
      <c r="EG78" s="83">
        <f t="shared" ref="EG78" si="164">SUM(EG6:EG77)</f>
        <v>0</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875"/>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799"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874"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c r="EA80" s="77">
        <f t="shared" ref="EA80" ca="1" si="211">($M80=DZ80)*$D$11</f>
        <v>0</v>
      </c>
      <c r="EB80" s="64"/>
      <c r="EC80" s="76"/>
      <c r="ED80" s="77">
        <f t="shared" ref="ED80" ca="1" si="212">($M80=EC80)*$D$11</f>
        <v>0</v>
      </c>
      <c r="EE80" s="64"/>
      <c r="EF80" s="76"/>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799"/>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874"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c r="EA81" s="73">
        <f t="shared" ref="EA81" ca="1" si="260">($M81=DZ81)*$D$12</f>
        <v>0</v>
      </c>
      <c r="EB81" s="64"/>
      <c r="EC81" s="74"/>
      <c r="ED81" s="73">
        <f t="shared" ref="ED81" ca="1" si="261">($M81=EC81)*$D$12</f>
        <v>0</v>
      </c>
      <c r="EE81" s="64"/>
      <c r="EF81" s="74"/>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799"/>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874"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c r="EA82" s="73">
        <f t="shared" ref="EA82" ca="1" si="309">($M82=DZ82)*$D$13</f>
        <v>0</v>
      </c>
      <c r="EB82" s="64"/>
      <c r="EC82" s="74"/>
      <c r="ED82" s="73">
        <f t="shared" ref="ED82" ca="1" si="310">($M82=EC82)*$D$13</f>
        <v>0</v>
      </c>
      <c r="EE82" s="64"/>
      <c r="EF82" s="74"/>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799"/>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874"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c r="EA83" s="73">
        <f t="shared" ref="EA83" ca="1" si="358">($M83=DZ83)*$D$14</f>
        <v>0</v>
      </c>
      <c r="EB83" s="64"/>
      <c r="EC83" s="74"/>
      <c r="ED83" s="73">
        <f t="shared" ref="ED83" ca="1" si="359">($M83=EC83)*$D$14</f>
        <v>0</v>
      </c>
      <c r="EE83" s="64"/>
      <c r="EF83" s="74"/>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798"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874" t="s">
        <v>75</v>
      </c>
      <c r="DR84" s="73">
        <f t="shared" ca="1" si="374"/>
        <v>0</v>
      </c>
      <c r="DS84" s="64"/>
      <c r="DT84" s="74" t="s">
        <v>75</v>
      </c>
      <c r="DU84" s="73">
        <f t="shared" ca="1" si="374"/>
        <v>0</v>
      </c>
      <c r="DV84" s="64"/>
      <c r="DW84" s="74" t="s">
        <v>75</v>
      </c>
      <c r="DX84" s="73">
        <f t="shared" ca="1" si="374"/>
        <v>0</v>
      </c>
      <c r="DY84" s="64"/>
      <c r="DZ84" s="74"/>
      <c r="EA84" s="73">
        <f t="shared" ca="1" si="374"/>
        <v>0</v>
      </c>
      <c r="EB84" s="64"/>
      <c r="EC84" s="74"/>
      <c r="ED84" s="73">
        <f t="shared" ca="1" si="374"/>
        <v>0</v>
      </c>
      <c r="EE84" s="64"/>
      <c r="EF84" s="74"/>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798"/>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874" t="s">
        <v>1841</v>
      </c>
      <c r="DR85" s="73">
        <f t="shared" ca="1" si="379"/>
        <v>0</v>
      </c>
      <c r="DS85" s="64"/>
      <c r="DT85" s="74" t="s">
        <v>1259</v>
      </c>
      <c r="DU85" s="73">
        <f t="shared" ca="1" si="379"/>
        <v>0</v>
      </c>
      <c r="DV85" s="64"/>
      <c r="DW85" s="74" t="s">
        <v>1259</v>
      </c>
      <c r="DX85" s="73">
        <f t="shared" ca="1" si="379"/>
        <v>0</v>
      </c>
      <c r="DY85" s="64"/>
      <c r="DZ85" s="74"/>
      <c r="EA85" s="73">
        <f t="shared" ca="1" si="379"/>
        <v>0</v>
      </c>
      <c r="EB85" s="64"/>
      <c r="EC85" s="74"/>
      <c r="ED85" s="73">
        <f t="shared" ca="1" si="379"/>
        <v>0</v>
      </c>
      <c r="EE85" s="64"/>
      <c r="EF85" s="74"/>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798"/>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874" t="s">
        <v>1631</v>
      </c>
      <c r="DR86" s="73">
        <f t="shared" ca="1" si="384"/>
        <v>0</v>
      </c>
      <c r="DS86" s="64"/>
      <c r="DT86" s="74" t="s">
        <v>1841</v>
      </c>
      <c r="DU86" s="73">
        <f t="shared" ca="1" si="384"/>
        <v>0</v>
      </c>
      <c r="DV86" s="64"/>
      <c r="DW86" s="74" t="s">
        <v>1841</v>
      </c>
      <c r="DX86" s="73">
        <f t="shared" ca="1" si="384"/>
        <v>0</v>
      </c>
      <c r="DY86" s="64"/>
      <c r="DZ86" s="74"/>
      <c r="EA86" s="73">
        <f t="shared" ca="1" si="384"/>
        <v>0</v>
      </c>
      <c r="EB86" s="64"/>
      <c r="EC86" s="74"/>
      <c r="ED86" s="73">
        <f t="shared" ca="1" si="384"/>
        <v>0</v>
      </c>
      <c r="EE86" s="64"/>
      <c r="EF86" s="74"/>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798"/>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874" t="s">
        <v>1259</v>
      </c>
      <c r="DR87" s="73">
        <f t="shared" ca="1" si="389"/>
        <v>0</v>
      </c>
      <c r="DS87" s="64"/>
      <c r="DT87" s="74" t="s">
        <v>1631</v>
      </c>
      <c r="DU87" s="73">
        <f t="shared" ca="1" si="389"/>
        <v>0</v>
      </c>
      <c r="DV87" s="64"/>
      <c r="DW87" s="74" t="s">
        <v>1631</v>
      </c>
      <c r="DX87" s="73">
        <f t="shared" ca="1" si="389"/>
        <v>0</v>
      </c>
      <c r="DY87" s="64"/>
      <c r="DZ87" s="74"/>
      <c r="EA87" s="73">
        <f t="shared" ca="1" si="389"/>
        <v>0</v>
      </c>
      <c r="EB87" s="64"/>
      <c r="EC87" s="74"/>
      <c r="ED87" s="73">
        <f t="shared" ca="1" si="389"/>
        <v>0</v>
      </c>
      <c r="EE87" s="64"/>
      <c r="EF87" s="74"/>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799"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874" t="s">
        <v>1321</v>
      </c>
      <c r="DR88" s="73">
        <f t="shared" ca="1" si="394"/>
        <v>0</v>
      </c>
      <c r="DS88" s="64"/>
      <c r="DT88" s="74" t="s">
        <v>1321</v>
      </c>
      <c r="DU88" s="73">
        <f t="shared" ca="1" si="394"/>
        <v>0</v>
      </c>
      <c r="DV88" s="64"/>
      <c r="DW88" s="74" t="s">
        <v>1258</v>
      </c>
      <c r="DX88" s="73">
        <f t="shared" ca="1" si="394"/>
        <v>0</v>
      </c>
      <c r="DY88" s="64"/>
      <c r="DZ88" s="74"/>
      <c r="EA88" s="73">
        <f t="shared" ca="1" si="394"/>
        <v>0</v>
      </c>
      <c r="EB88" s="64"/>
      <c r="EC88" s="74"/>
      <c r="ED88" s="73">
        <f t="shared" ca="1" si="394"/>
        <v>0</v>
      </c>
      <c r="EE88" s="64"/>
      <c r="EF88" s="74"/>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799"/>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874" t="s">
        <v>1258</v>
      </c>
      <c r="DR89" s="73">
        <f t="shared" ca="1" si="399"/>
        <v>0</v>
      </c>
      <c r="DS89" s="64"/>
      <c r="DT89" s="74" t="s">
        <v>134</v>
      </c>
      <c r="DU89" s="73">
        <f t="shared" ca="1" si="399"/>
        <v>0</v>
      </c>
      <c r="DV89" s="64"/>
      <c r="DW89" s="74" t="s">
        <v>1321</v>
      </c>
      <c r="DX89" s="73">
        <f t="shared" ca="1" si="399"/>
        <v>0</v>
      </c>
      <c r="DY89" s="64"/>
      <c r="DZ89" s="74"/>
      <c r="EA89" s="73">
        <f t="shared" ca="1" si="399"/>
        <v>0</v>
      </c>
      <c r="EB89" s="64"/>
      <c r="EC89" s="74"/>
      <c r="ED89" s="73">
        <f t="shared" ca="1" si="399"/>
        <v>0</v>
      </c>
      <c r="EE89" s="64"/>
      <c r="EF89" s="74"/>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799"/>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874" t="s">
        <v>134</v>
      </c>
      <c r="DR90" s="73">
        <f t="shared" ca="1" si="404"/>
        <v>0</v>
      </c>
      <c r="DS90" s="64"/>
      <c r="DT90" s="74" t="s">
        <v>1258</v>
      </c>
      <c r="DU90" s="73">
        <f t="shared" ca="1" si="404"/>
        <v>0</v>
      </c>
      <c r="DV90" s="64"/>
      <c r="DW90" s="74" t="s">
        <v>134</v>
      </c>
      <c r="DX90" s="73">
        <f t="shared" ca="1" si="404"/>
        <v>0</v>
      </c>
      <c r="DY90" s="64"/>
      <c r="DZ90" s="74"/>
      <c r="EA90" s="73">
        <f t="shared" ca="1" si="404"/>
        <v>0</v>
      </c>
      <c r="EB90" s="64"/>
      <c r="EC90" s="74"/>
      <c r="ED90" s="73">
        <f t="shared" ca="1" si="404"/>
        <v>0</v>
      </c>
      <c r="EE90" s="64"/>
      <c r="EF90" s="74"/>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799"/>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874" t="s">
        <v>1728</v>
      </c>
      <c r="DR91" s="73">
        <f t="shared" ca="1" si="409"/>
        <v>0</v>
      </c>
      <c r="DS91" s="64"/>
      <c r="DT91" s="74" t="s">
        <v>1728</v>
      </c>
      <c r="DU91" s="73">
        <f t="shared" ca="1" si="409"/>
        <v>0</v>
      </c>
      <c r="DV91" s="64"/>
      <c r="DW91" s="74" t="s">
        <v>1728</v>
      </c>
      <c r="DX91" s="73">
        <f t="shared" ca="1" si="409"/>
        <v>0</v>
      </c>
      <c r="DY91" s="64"/>
      <c r="DZ91" s="74"/>
      <c r="EA91" s="73">
        <f t="shared" ca="1" si="409"/>
        <v>0</v>
      </c>
      <c r="EB91" s="64"/>
      <c r="EC91" s="74"/>
      <c r="ED91" s="73">
        <f t="shared" ca="1" si="409"/>
        <v>0</v>
      </c>
      <c r="EE91" s="64"/>
      <c r="EF91" s="74"/>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798"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874" t="s">
        <v>497</v>
      </c>
      <c r="DR92" s="73">
        <f t="shared" ca="1" si="414"/>
        <v>0</v>
      </c>
      <c r="DS92" s="64"/>
      <c r="DT92" s="74" t="s">
        <v>497</v>
      </c>
      <c r="DU92" s="73">
        <f t="shared" ca="1" si="414"/>
        <v>0</v>
      </c>
      <c r="DV92" s="64"/>
      <c r="DW92" s="74" t="s">
        <v>1835</v>
      </c>
      <c r="DX92" s="73">
        <f t="shared" ca="1" si="414"/>
        <v>0</v>
      </c>
      <c r="DY92" s="64"/>
      <c r="DZ92" s="74"/>
      <c r="EA92" s="73">
        <f t="shared" ca="1" si="414"/>
        <v>0</v>
      </c>
      <c r="EB92" s="64"/>
      <c r="EC92" s="74"/>
      <c r="ED92" s="73">
        <f t="shared" ca="1" si="414"/>
        <v>0</v>
      </c>
      <c r="EE92" s="64"/>
      <c r="EF92" s="74"/>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798"/>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874" t="s">
        <v>1835</v>
      </c>
      <c r="DR93" s="73">
        <f t="shared" ca="1" si="419"/>
        <v>0</v>
      </c>
      <c r="DS93" s="64"/>
      <c r="DT93" s="74" t="s">
        <v>1835</v>
      </c>
      <c r="DU93" s="73">
        <f t="shared" ca="1" si="419"/>
        <v>0</v>
      </c>
      <c r="DV93" s="64"/>
      <c r="DW93" s="74" t="s">
        <v>497</v>
      </c>
      <c r="DX93" s="73">
        <f t="shared" ca="1" si="419"/>
        <v>0</v>
      </c>
      <c r="DY93" s="64"/>
      <c r="DZ93" s="74"/>
      <c r="EA93" s="73">
        <f t="shared" ca="1" si="419"/>
        <v>0</v>
      </c>
      <c r="EB93" s="64"/>
      <c r="EC93" s="74"/>
      <c r="ED93" s="73">
        <f t="shared" ca="1" si="419"/>
        <v>0</v>
      </c>
      <c r="EE93" s="64"/>
      <c r="EF93" s="74"/>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798"/>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874" t="s">
        <v>1257</v>
      </c>
      <c r="DR94" s="73">
        <f t="shared" ca="1" si="424"/>
        <v>0</v>
      </c>
      <c r="DS94" s="64"/>
      <c r="DT94" s="74" t="s">
        <v>1319</v>
      </c>
      <c r="DU94" s="73">
        <f t="shared" ca="1" si="424"/>
        <v>0</v>
      </c>
      <c r="DV94" s="64"/>
      <c r="DW94" s="74" t="s">
        <v>1319</v>
      </c>
      <c r="DX94" s="73">
        <f t="shared" ca="1" si="424"/>
        <v>0</v>
      </c>
      <c r="DY94" s="64"/>
      <c r="DZ94" s="74"/>
      <c r="EA94" s="73">
        <f t="shared" ca="1" si="424"/>
        <v>0</v>
      </c>
      <c r="EB94" s="64"/>
      <c r="EC94" s="74"/>
      <c r="ED94" s="73">
        <f t="shared" ca="1" si="424"/>
        <v>0</v>
      </c>
      <c r="EE94" s="64"/>
      <c r="EF94" s="74"/>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798"/>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874" t="s">
        <v>1319</v>
      </c>
      <c r="DR95" s="73">
        <f t="shared" ca="1" si="429"/>
        <v>0</v>
      </c>
      <c r="DS95" s="64"/>
      <c r="DT95" s="74" t="s">
        <v>1257</v>
      </c>
      <c r="DU95" s="73">
        <f t="shared" ca="1" si="429"/>
        <v>0</v>
      </c>
      <c r="DV95" s="64"/>
      <c r="DW95" s="74" t="s">
        <v>1257</v>
      </c>
      <c r="DX95" s="73">
        <f t="shared" ca="1" si="429"/>
        <v>0</v>
      </c>
      <c r="DY95" s="64"/>
      <c r="DZ95" s="74"/>
      <c r="EA95" s="73">
        <f t="shared" ca="1" si="429"/>
        <v>0</v>
      </c>
      <c r="EB95" s="64"/>
      <c r="EC95" s="74"/>
      <c r="ED95" s="73">
        <f t="shared" ca="1" si="429"/>
        <v>0</v>
      </c>
      <c r="EE95" s="64"/>
      <c r="EF95" s="74"/>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799"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874" t="s">
        <v>77</v>
      </c>
      <c r="DR96" s="73">
        <f t="shared" ca="1" si="434"/>
        <v>0</v>
      </c>
      <c r="DS96" s="64"/>
      <c r="DT96" s="74" t="s">
        <v>77</v>
      </c>
      <c r="DU96" s="73">
        <f t="shared" ca="1" si="434"/>
        <v>0</v>
      </c>
      <c r="DV96" s="64"/>
      <c r="DW96" s="74" t="s">
        <v>77</v>
      </c>
      <c r="DX96" s="73">
        <f t="shared" ca="1" si="434"/>
        <v>0</v>
      </c>
      <c r="DY96" s="64"/>
      <c r="DZ96" s="74"/>
      <c r="EA96" s="73">
        <f t="shared" ca="1" si="434"/>
        <v>0</v>
      </c>
      <c r="EB96" s="64"/>
      <c r="EC96" s="74"/>
      <c r="ED96" s="73">
        <f t="shared" ca="1" si="434"/>
        <v>0</v>
      </c>
      <c r="EE96" s="64"/>
      <c r="EF96" s="74"/>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799"/>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874" t="s">
        <v>1261</v>
      </c>
      <c r="DR97" s="73">
        <f t="shared" ca="1" si="439"/>
        <v>0</v>
      </c>
      <c r="DS97" s="64"/>
      <c r="DT97" s="74" t="s">
        <v>1261</v>
      </c>
      <c r="DU97" s="73">
        <f t="shared" ca="1" si="439"/>
        <v>0</v>
      </c>
      <c r="DV97" s="64"/>
      <c r="DW97" s="74" t="s">
        <v>1261</v>
      </c>
      <c r="DX97" s="73">
        <f t="shared" ca="1" si="439"/>
        <v>0</v>
      </c>
      <c r="DY97" s="64"/>
      <c r="DZ97" s="74"/>
      <c r="EA97" s="73">
        <f t="shared" ca="1" si="439"/>
        <v>0</v>
      </c>
      <c r="EB97" s="64"/>
      <c r="EC97" s="74"/>
      <c r="ED97" s="73">
        <f t="shared" ca="1" si="439"/>
        <v>0</v>
      </c>
      <c r="EE97" s="64"/>
      <c r="EF97" s="74"/>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799"/>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874" t="s">
        <v>1633</v>
      </c>
      <c r="DR98" s="73">
        <f t="shared" ca="1" si="444"/>
        <v>0</v>
      </c>
      <c r="DS98" s="64"/>
      <c r="DT98" s="74" t="s">
        <v>1633</v>
      </c>
      <c r="DU98" s="73">
        <f t="shared" ca="1" si="444"/>
        <v>0</v>
      </c>
      <c r="DV98" s="64"/>
      <c r="DW98" s="74" t="s">
        <v>1633</v>
      </c>
      <c r="DX98" s="73">
        <f t="shared" ca="1" si="444"/>
        <v>0</v>
      </c>
      <c r="DY98" s="64"/>
      <c r="DZ98" s="74"/>
      <c r="EA98" s="73">
        <f t="shared" ca="1" si="444"/>
        <v>0</v>
      </c>
      <c r="EB98" s="64"/>
      <c r="EC98" s="74"/>
      <c r="ED98" s="73">
        <f t="shared" ca="1" si="444"/>
        <v>0</v>
      </c>
      <c r="EE98" s="64"/>
      <c r="EF98" s="74"/>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799"/>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874" t="s">
        <v>1726</v>
      </c>
      <c r="DR99" s="73">
        <f t="shared" ca="1" si="449"/>
        <v>0</v>
      </c>
      <c r="DS99" s="64"/>
      <c r="DT99" s="74" t="s">
        <v>1726</v>
      </c>
      <c r="DU99" s="73">
        <f t="shared" ca="1" si="449"/>
        <v>0</v>
      </c>
      <c r="DV99" s="64"/>
      <c r="DW99" s="74" t="s">
        <v>1726</v>
      </c>
      <c r="DX99" s="73">
        <f t="shared" ca="1" si="449"/>
        <v>0</v>
      </c>
      <c r="DY99" s="64"/>
      <c r="DZ99" s="74"/>
      <c r="EA99" s="73">
        <f t="shared" ca="1" si="449"/>
        <v>0</v>
      </c>
      <c r="EB99" s="64"/>
      <c r="EC99" s="74"/>
      <c r="ED99" s="73">
        <f t="shared" ca="1" si="449"/>
        <v>0</v>
      </c>
      <c r="EE99" s="64"/>
      <c r="EF99" s="74"/>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798"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874" t="s">
        <v>1263</v>
      </c>
      <c r="DR100" s="73">
        <f t="shared" ca="1" si="454"/>
        <v>0</v>
      </c>
      <c r="DS100" s="64"/>
      <c r="DT100" s="74" t="s">
        <v>1833</v>
      </c>
      <c r="DU100" s="73">
        <f t="shared" ca="1" si="454"/>
        <v>0</v>
      </c>
      <c r="DV100" s="64"/>
      <c r="DW100" s="74" t="s">
        <v>111</v>
      </c>
      <c r="DX100" s="73">
        <f t="shared" ca="1" si="454"/>
        <v>0</v>
      </c>
      <c r="DY100" s="64"/>
      <c r="DZ100" s="74"/>
      <c r="EA100" s="73">
        <f t="shared" ca="1" si="454"/>
        <v>0</v>
      </c>
      <c r="EB100" s="64"/>
      <c r="EC100" s="74"/>
      <c r="ED100" s="73">
        <f t="shared" ca="1" si="454"/>
        <v>0</v>
      </c>
      <c r="EE100" s="64"/>
      <c r="EF100" s="74"/>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798"/>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874" t="s">
        <v>111</v>
      </c>
      <c r="DR101" s="73">
        <f t="shared" ca="1" si="459"/>
        <v>0</v>
      </c>
      <c r="DS101" s="64"/>
      <c r="DT101" s="74" t="s">
        <v>111</v>
      </c>
      <c r="DU101" s="73">
        <f t="shared" ca="1" si="459"/>
        <v>0</v>
      </c>
      <c r="DV101" s="64"/>
      <c r="DW101" s="74" t="s">
        <v>1263</v>
      </c>
      <c r="DX101" s="73">
        <f t="shared" ca="1" si="459"/>
        <v>0</v>
      </c>
      <c r="DY101" s="64"/>
      <c r="DZ101" s="74"/>
      <c r="EA101" s="73">
        <f t="shared" ca="1" si="459"/>
        <v>0</v>
      </c>
      <c r="EB101" s="64"/>
      <c r="EC101" s="74"/>
      <c r="ED101" s="73">
        <f t="shared" ca="1" si="459"/>
        <v>0</v>
      </c>
      <c r="EE101" s="64"/>
      <c r="EF101" s="74"/>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798"/>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874" t="s">
        <v>1833</v>
      </c>
      <c r="DR102" s="73">
        <f t="shared" ca="1" si="464"/>
        <v>0</v>
      </c>
      <c r="DS102" s="64"/>
      <c r="DT102" s="74" t="s">
        <v>1263</v>
      </c>
      <c r="DU102" s="73">
        <f t="shared" ca="1" si="464"/>
        <v>0</v>
      </c>
      <c r="DV102" s="64"/>
      <c r="DW102" s="74" t="s">
        <v>1833</v>
      </c>
      <c r="DX102" s="73">
        <f t="shared" ca="1" si="464"/>
        <v>0</v>
      </c>
      <c r="DY102" s="64"/>
      <c r="DZ102" s="74"/>
      <c r="EA102" s="73">
        <f t="shared" ca="1" si="464"/>
        <v>0</v>
      </c>
      <c r="EB102" s="64"/>
      <c r="EC102" s="74"/>
      <c r="ED102" s="73">
        <f t="shared" ca="1" si="464"/>
        <v>0</v>
      </c>
      <c r="EE102" s="64"/>
      <c r="EF102" s="74"/>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798"/>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874" t="s">
        <v>1322</v>
      </c>
      <c r="DR103" s="73">
        <f t="shared" ca="1" si="469"/>
        <v>0</v>
      </c>
      <c r="DS103" s="64"/>
      <c r="DT103" s="74" t="s">
        <v>1322</v>
      </c>
      <c r="DU103" s="73">
        <f t="shared" ca="1" si="469"/>
        <v>0</v>
      </c>
      <c r="DV103" s="64"/>
      <c r="DW103" s="74" t="s">
        <v>1322</v>
      </c>
      <c r="DX103" s="73">
        <f t="shared" ca="1" si="469"/>
        <v>0</v>
      </c>
      <c r="DY103" s="64"/>
      <c r="DZ103" s="74"/>
      <c r="EA103" s="73">
        <f t="shared" ca="1" si="469"/>
        <v>0</v>
      </c>
      <c r="EB103" s="64"/>
      <c r="EC103" s="74"/>
      <c r="ED103" s="73">
        <f t="shared" ca="1" si="469"/>
        <v>0</v>
      </c>
      <c r="EE103" s="64"/>
      <c r="EF103" s="74"/>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799"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874" t="s">
        <v>1550</v>
      </c>
      <c r="DR104" s="73">
        <f t="shared" ca="1" si="474"/>
        <v>0</v>
      </c>
      <c r="DS104" s="64"/>
      <c r="DT104" s="74" t="s">
        <v>110</v>
      </c>
      <c r="DU104" s="73">
        <f t="shared" ca="1" si="474"/>
        <v>0</v>
      </c>
      <c r="DV104" s="64"/>
      <c r="DW104" s="74" t="s">
        <v>110</v>
      </c>
      <c r="DX104" s="73">
        <f t="shared" ca="1" si="474"/>
        <v>0</v>
      </c>
      <c r="DY104" s="64"/>
      <c r="DZ104" s="74"/>
      <c r="EA104" s="73">
        <f t="shared" ca="1" si="474"/>
        <v>0</v>
      </c>
      <c r="EB104" s="64"/>
      <c r="EC104" s="74"/>
      <c r="ED104" s="73">
        <f t="shared" ca="1" si="474"/>
        <v>0</v>
      </c>
      <c r="EE104" s="64"/>
      <c r="EF104" s="74"/>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799"/>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874" t="s">
        <v>110</v>
      </c>
      <c r="DR105" s="73">
        <f t="shared" ca="1" si="479"/>
        <v>0</v>
      </c>
      <c r="DS105" s="64"/>
      <c r="DT105" s="74" t="s">
        <v>1550</v>
      </c>
      <c r="DU105" s="73">
        <f t="shared" ca="1" si="479"/>
        <v>0</v>
      </c>
      <c r="DV105" s="64"/>
      <c r="DW105" s="74" t="s">
        <v>1550</v>
      </c>
      <c r="DX105" s="73">
        <f t="shared" ca="1" si="479"/>
        <v>0</v>
      </c>
      <c r="DY105" s="64"/>
      <c r="DZ105" s="74"/>
      <c r="EA105" s="73">
        <f t="shared" ca="1" si="479"/>
        <v>0</v>
      </c>
      <c r="EB105" s="64"/>
      <c r="EC105" s="74"/>
      <c r="ED105" s="73">
        <f t="shared" ca="1" si="479"/>
        <v>0</v>
      </c>
      <c r="EE105" s="64"/>
      <c r="EF105" s="74"/>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799"/>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874" t="s">
        <v>1266</v>
      </c>
      <c r="DR106" s="73">
        <f t="shared" ca="1" si="484"/>
        <v>0</v>
      </c>
      <c r="DS106" s="64"/>
      <c r="DT106" s="74" t="s">
        <v>1266</v>
      </c>
      <c r="DU106" s="73">
        <f t="shared" ca="1" si="484"/>
        <v>0</v>
      </c>
      <c r="DV106" s="64"/>
      <c r="DW106" s="74" t="s">
        <v>1262</v>
      </c>
      <c r="DX106" s="73">
        <f t="shared" ca="1" si="484"/>
        <v>0</v>
      </c>
      <c r="DY106" s="64"/>
      <c r="DZ106" s="74"/>
      <c r="EA106" s="73">
        <f t="shared" ca="1" si="484"/>
        <v>0</v>
      </c>
      <c r="EB106" s="64"/>
      <c r="EC106" s="74"/>
      <c r="ED106" s="73">
        <f t="shared" ca="1" si="484"/>
        <v>0</v>
      </c>
      <c r="EE106" s="64"/>
      <c r="EF106" s="74"/>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799"/>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874" t="s">
        <v>1262</v>
      </c>
      <c r="DR107" s="73">
        <f t="shared" ca="1" si="489"/>
        <v>0</v>
      </c>
      <c r="DS107" s="64"/>
      <c r="DT107" s="74" t="s">
        <v>1262</v>
      </c>
      <c r="DU107" s="73">
        <f t="shared" ca="1" si="489"/>
        <v>0</v>
      </c>
      <c r="DV107" s="64"/>
      <c r="DW107" s="74" t="s">
        <v>1266</v>
      </c>
      <c r="DX107" s="73">
        <f t="shared" ca="1" si="489"/>
        <v>0</v>
      </c>
      <c r="DY107" s="64"/>
      <c r="DZ107" s="74"/>
      <c r="EA107" s="73">
        <f t="shared" ca="1" si="489"/>
        <v>0</v>
      </c>
      <c r="EB107" s="64"/>
      <c r="EC107" s="74"/>
      <c r="ED107" s="73">
        <f t="shared" ca="1" si="489"/>
        <v>0</v>
      </c>
      <c r="EE107" s="64"/>
      <c r="EF107" s="74"/>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798"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874" t="s">
        <v>38</v>
      </c>
      <c r="DR108" s="73">
        <f t="shared" ca="1" si="494"/>
        <v>0</v>
      </c>
      <c r="DS108" s="64"/>
      <c r="DT108" s="74" t="s">
        <v>38</v>
      </c>
      <c r="DU108" s="73">
        <f t="shared" ca="1" si="494"/>
        <v>0</v>
      </c>
      <c r="DV108" s="64"/>
      <c r="DW108" s="74" t="s">
        <v>38</v>
      </c>
      <c r="DX108" s="73">
        <f t="shared" ca="1" si="494"/>
        <v>0</v>
      </c>
      <c r="DY108" s="64"/>
      <c r="DZ108" s="74"/>
      <c r="EA108" s="73">
        <f t="shared" ca="1" si="494"/>
        <v>0</v>
      </c>
      <c r="EB108" s="64"/>
      <c r="EC108" s="74"/>
      <c r="ED108" s="73">
        <f t="shared" ca="1" si="494"/>
        <v>0</v>
      </c>
      <c r="EE108" s="64"/>
      <c r="EF108" s="74"/>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798"/>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874" t="s">
        <v>1632</v>
      </c>
      <c r="DR109" s="73">
        <f t="shared" ca="1" si="499"/>
        <v>0</v>
      </c>
      <c r="DS109" s="64"/>
      <c r="DT109" s="74" t="s">
        <v>1318</v>
      </c>
      <c r="DU109" s="73">
        <f t="shared" ca="1" si="499"/>
        <v>0</v>
      </c>
      <c r="DV109" s="64"/>
      <c r="DW109" s="74" t="s">
        <v>1318</v>
      </c>
      <c r="DX109" s="73">
        <f t="shared" ca="1" si="499"/>
        <v>0</v>
      </c>
      <c r="DY109" s="64"/>
      <c r="DZ109" s="74"/>
      <c r="EA109" s="73">
        <f t="shared" ca="1" si="499"/>
        <v>0</v>
      </c>
      <c r="EB109" s="64"/>
      <c r="EC109" s="74"/>
      <c r="ED109" s="73">
        <f t="shared" ca="1" si="499"/>
        <v>0</v>
      </c>
      <c r="EE109" s="64"/>
      <c r="EF109" s="74"/>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798"/>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874" t="s">
        <v>1318</v>
      </c>
      <c r="DR110" s="73">
        <f t="shared" ca="1" si="504"/>
        <v>0</v>
      </c>
      <c r="DS110" s="64"/>
      <c r="DT110" s="74" t="s">
        <v>1632</v>
      </c>
      <c r="DU110" s="73">
        <f t="shared" ca="1" si="504"/>
        <v>0</v>
      </c>
      <c r="DV110" s="64"/>
      <c r="DW110" s="74" t="s">
        <v>1632</v>
      </c>
      <c r="DX110" s="73">
        <f t="shared" ca="1" si="504"/>
        <v>0</v>
      </c>
      <c r="DY110" s="64"/>
      <c r="DZ110" s="74"/>
      <c r="EA110" s="73">
        <f t="shared" ca="1" si="504"/>
        <v>0</v>
      </c>
      <c r="EB110" s="64"/>
      <c r="EC110" s="74"/>
      <c r="ED110" s="73">
        <f t="shared" ca="1" si="504"/>
        <v>0</v>
      </c>
      <c r="EE110" s="64"/>
      <c r="EF110" s="74"/>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798"/>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874" t="s">
        <v>1552</v>
      </c>
      <c r="DR111" s="73">
        <f t="shared" ca="1" si="509"/>
        <v>0</v>
      </c>
      <c r="DS111" s="64"/>
      <c r="DT111" s="74" t="s">
        <v>1552</v>
      </c>
      <c r="DU111" s="73">
        <f t="shared" ca="1" si="509"/>
        <v>0</v>
      </c>
      <c r="DV111" s="64"/>
      <c r="DW111" s="74" t="s">
        <v>1552</v>
      </c>
      <c r="DX111" s="73">
        <f t="shared" ca="1" si="509"/>
        <v>0</v>
      </c>
      <c r="DY111" s="64"/>
      <c r="DZ111" s="74"/>
      <c r="EA111" s="73">
        <f t="shared" ca="1" si="509"/>
        <v>0</v>
      </c>
      <c r="EB111" s="64"/>
      <c r="EC111" s="74"/>
      <c r="ED111" s="73">
        <f t="shared" ca="1" si="509"/>
        <v>0</v>
      </c>
      <c r="EE111" s="64"/>
      <c r="EF111" s="74"/>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799"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874" t="s">
        <v>74</v>
      </c>
      <c r="DR112" s="73">
        <f t="shared" ca="1" si="514"/>
        <v>0</v>
      </c>
      <c r="DS112" s="64"/>
      <c r="DT112" s="74" t="s">
        <v>74</v>
      </c>
      <c r="DU112" s="73">
        <f t="shared" ca="1" si="514"/>
        <v>0</v>
      </c>
      <c r="DV112" s="64"/>
      <c r="DW112" s="74" t="s">
        <v>74</v>
      </c>
      <c r="DX112" s="73">
        <f t="shared" ca="1" si="514"/>
        <v>0</v>
      </c>
      <c r="DY112" s="64"/>
      <c r="DZ112" s="74"/>
      <c r="EA112" s="73">
        <f t="shared" ca="1" si="514"/>
        <v>0</v>
      </c>
      <c r="EB112" s="64"/>
      <c r="EC112" s="74"/>
      <c r="ED112" s="73">
        <f t="shared" ca="1" si="514"/>
        <v>0</v>
      </c>
      <c r="EE112" s="64"/>
      <c r="EF112" s="74"/>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799"/>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874" t="s">
        <v>1757</v>
      </c>
      <c r="DR113" s="73">
        <f t="shared" ca="1" si="519"/>
        <v>0</v>
      </c>
      <c r="DS113" s="64"/>
      <c r="DT113" s="74" t="s">
        <v>135</v>
      </c>
      <c r="DU113" s="73">
        <f t="shared" ca="1" si="519"/>
        <v>0</v>
      </c>
      <c r="DV113" s="64"/>
      <c r="DW113" s="74" t="s">
        <v>135</v>
      </c>
      <c r="DX113" s="73">
        <f t="shared" ca="1" si="519"/>
        <v>0</v>
      </c>
      <c r="DY113" s="64"/>
      <c r="DZ113" s="74"/>
      <c r="EA113" s="73">
        <f t="shared" ca="1" si="519"/>
        <v>0</v>
      </c>
      <c r="EB113" s="64"/>
      <c r="EC113" s="74"/>
      <c r="ED113" s="73">
        <f t="shared" ca="1" si="519"/>
        <v>0</v>
      </c>
      <c r="EE113" s="64"/>
      <c r="EF113" s="74"/>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799"/>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874" t="s">
        <v>135</v>
      </c>
      <c r="DR114" s="73">
        <f t="shared" ca="1" si="524"/>
        <v>0</v>
      </c>
      <c r="DS114" s="64"/>
      <c r="DT114" s="74" t="s">
        <v>1757</v>
      </c>
      <c r="DU114" s="73">
        <f t="shared" ca="1" si="524"/>
        <v>0</v>
      </c>
      <c r="DV114" s="64"/>
      <c r="DW114" s="74" t="s">
        <v>1634</v>
      </c>
      <c r="DX114" s="73">
        <f t="shared" ca="1" si="524"/>
        <v>0</v>
      </c>
      <c r="DY114" s="64"/>
      <c r="DZ114" s="74"/>
      <c r="EA114" s="73">
        <f t="shared" ca="1" si="524"/>
        <v>0</v>
      </c>
      <c r="EB114" s="64"/>
      <c r="EC114" s="74"/>
      <c r="ED114" s="73">
        <f t="shared" ca="1" si="524"/>
        <v>0</v>
      </c>
      <c r="EE114" s="64"/>
      <c r="EF114" s="74"/>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799"/>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874" t="s">
        <v>1634</v>
      </c>
      <c r="DR115" s="73">
        <f t="shared" ca="1" si="529"/>
        <v>0</v>
      </c>
      <c r="DS115" s="64"/>
      <c r="DT115" s="74" t="s">
        <v>1634</v>
      </c>
      <c r="DU115" s="73">
        <f t="shared" ca="1" si="529"/>
        <v>0</v>
      </c>
      <c r="DV115" s="64"/>
      <c r="DW115" s="74" t="s">
        <v>1757</v>
      </c>
      <c r="DX115" s="73">
        <f t="shared" ca="1" si="529"/>
        <v>0</v>
      </c>
      <c r="DY115" s="64"/>
      <c r="DZ115" s="74"/>
      <c r="EA115" s="73">
        <f t="shared" ca="1" si="529"/>
        <v>0</v>
      </c>
      <c r="EB115" s="64"/>
      <c r="EC115" s="74"/>
      <c r="ED115" s="73">
        <f t="shared" ca="1" si="529"/>
        <v>0</v>
      </c>
      <c r="EE115" s="64"/>
      <c r="EF115" s="74"/>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798"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874" t="s">
        <v>1256</v>
      </c>
      <c r="DR116" s="73">
        <f t="shared" ca="1" si="534"/>
        <v>0</v>
      </c>
      <c r="DS116" s="64"/>
      <c r="DT116" s="74" t="s">
        <v>1256</v>
      </c>
      <c r="DU116" s="73">
        <f t="shared" ca="1" si="534"/>
        <v>0</v>
      </c>
      <c r="DV116" s="64"/>
      <c r="DW116" s="74" t="s">
        <v>1256</v>
      </c>
      <c r="DX116" s="73">
        <f t="shared" ca="1" si="534"/>
        <v>0</v>
      </c>
      <c r="DY116" s="64"/>
      <c r="DZ116" s="74"/>
      <c r="EA116" s="73">
        <f t="shared" ca="1" si="534"/>
        <v>0</v>
      </c>
      <c r="EB116" s="64"/>
      <c r="EC116" s="74"/>
      <c r="ED116" s="73">
        <f t="shared" ca="1" si="534"/>
        <v>0</v>
      </c>
      <c r="EE116" s="64"/>
      <c r="EF116" s="74"/>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798"/>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874" t="s">
        <v>80</v>
      </c>
      <c r="DR117" s="73">
        <f t="shared" ca="1" si="539"/>
        <v>0</v>
      </c>
      <c r="DS117" s="64"/>
      <c r="DT117" s="74" t="s">
        <v>1558</v>
      </c>
      <c r="DU117" s="73">
        <f t="shared" ca="1" si="539"/>
        <v>0</v>
      </c>
      <c r="DV117" s="64"/>
      <c r="DW117" s="74" t="s">
        <v>80</v>
      </c>
      <c r="DX117" s="73">
        <f t="shared" ca="1" si="539"/>
        <v>0</v>
      </c>
      <c r="DY117" s="64"/>
      <c r="DZ117" s="74"/>
      <c r="EA117" s="73">
        <f t="shared" ca="1" si="539"/>
        <v>0</v>
      </c>
      <c r="EB117" s="64"/>
      <c r="EC117" s="74"/>
      <c r="ED117" s="73">
        <f t="shared" ca="1" si="539"/>
        <v>0</v>
      </c>
      <c r="EE117" s="64"/>
      <c r="EF117" s="74"/>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798"/>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874" t="s">
        <v>1558</v>
      </c>
      <c r="DR118" s="73">
        <f t="shared" ca="1" si="544"/>
        <v>0</v>
      </c>
      <c r="DS118" s="64"/>
      <c r="DT118" s="74" t="s">
        <v>80</v>
      </c>
      <c r="DU118" s="73">
        <f t="shared" ca="1" si="544"/>
        <v>0</v>
      </c>
      <c r="DV118" s="64"/>
      <c r="DW118" s="74" t="s">
        <v>1558</v>
      </c>
      <c r="DX118" s="73">
        <f t="shared" ca="1" si="544"/>
        <v>0</v>
      </c>
      <c r="DY118" s="64"/>
      <c r="DZ118" s="74"/>
      <c r="EA118" s="73">
        <f t="shared" ca="1" si="544"/>
        <v>0</v>
      </c>
      <c r="EB118" s="64"/>
      <c r="EC118" s="74"/>
      <c r="ED118" s="73">
        <f t="shared" ca="1" si="544"/>
        <v>0</v>
      </c>
      <c r="EE118" s="64"/>
      <c r="EF118" s="74"/>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798"/>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874" t="s">
        <v>1264</v>
      </c>
      <c r="DR119" s="73">
        <f t="shared" ca="1" si="549"/>
        <v>0</v>
      </c>
      <c r="DS119" s="64"/>
      <c r="DT119" s="74" t="s">
        <v>1264</v>
      </c>
      <c r="DU119" s="73">
        <f t="shared" ca="1" si="549"/>
        <v>0</v>
      </c>
      <c r="DV119" s="64"/>
      <c r="DW119" s="74" t="s">
        <v>1264</v>
      </c>
      <c r="DX119" s="73">
        <f t="shared" ca="1" si="549"/>
        <v>0</v>
      </c>
      <c r="DY119" s="64"/>
      <c r="DZ119" s="74"/>
      <c r="EA119" s="73">
        <f t="shared" ca="1" si="549"/>
        <v>0</v>
      </c>
      <c r="EB119" s="64"/>
      <c r="EC119" s="74"/>
      <c r="ED119" s="73">
        <f t="shared" ca="1" si="549"/>
        <v>0</v>
      </c>
      <c r="EE119" s="64"/>
      <c r="EF119" s="74"/>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799"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874" t="s">
        <v>79</v>
      </c>
      <c r="DR120" s="73">
        <f t="shared" ca="1" si="554"/>
        <v>0</v>
      </c>
      <c r="DS120" s="64"/>
      <c r="DT120" s="74" t="s">
        <v>1320</v>
      </c>
      <c r="DU120" s="73">
        <f t="shared" ca="1" si="554"/>
        <v>0</v>
      </c>
      <c r="DV120" s="64"/>
      <c r="DW120" s="74" t="s">
        <v>79</v>
      </c>
      <c r="DX120" s="73">
        <f t="shared" ca="1" si="554"/>
        <v>0</v>
      </c>
      <c r="DY120" s="64"/>
      <c r="DZ120" s="74"/>
      <c r="EA120" s="73">
        <f t="shared" ca="1" si="554"/>
        <v>0</v>
      </c>
      <c r="EB120" s="64"/>
      <c r="EC120" s="74"/>
      <c r="ED120" s="73">
        <f t="shared" ca="1" si="554"/>
        <v>0</v>
      </c>
      <c r="EE120" s="64"/>
      <c r="EF120" s="74"/>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799"/>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874" t="s">
        <v>1320</v>
      </c>
      <c r="DR121" s="73">
        <f t="shared" ca="1" si="559"/>
        <v>0</v>
      </c>
      <c r="DS121" s="64"/>
      <c r="DT121" s="74" t="s">
        <v>79</v>
      </c>
      <c r="DU121" s="73">
        <f t="shared" ca="1" si="559"/>
        <v>0</v>
      </c>
      <c r="DV121" s="64"/>
      <c r="DW121" s="74" t="s">
        <v>1320</v>
      </c>
      <c r="DX121" s="73">
        <f t="shared" ca="1" si="559"/>
        <v>0</v>
      </c>
      <c r="DY121" s="64"/>
      <c r="DZ121" s="74"/>
      <c r="EA121" s="73">
        <f t="shared" ca="1" si="559"/>
        <v>0</v>
      </c>
      <c r="EB121" s="64"/>
      <c r="EC121" s="74"/>
      <c r="ED121" s="73">
        <f t="shared" ca="1" si="559"/>
        <v>0</v>
      </c>
      <c r="EE121" s="64"/>
      <c r="EF121" s="74"/>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799"/>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874" t="s">
        <v>1267</v>
      </c>
      <c r="DR122" s="73">
        <f t="shared" ca="1" si="564"/>
        <v>0</v>
      </c>
      <c r="DS122" s="64"/>
      <c r="DT122" s="74" t="s">
        <v>1267</v>
      </c>
      <c r="DU122" s="73">
        <f t="shared" ca="1" si="564"/>
        <v>0</v>
      </c>
      <c r="DV122" s="64"/>
      <c r="DW122" s="74" t="s">
        <v>1839</v>
      </c>
      <c r="DX122" s="73">
        <f t="shared" ca="1" si="564"/>
        <v>0</v>
      </c>
      <c r="DY122" s="64"/>
      <c r="DZ122" s="74"/>
      <c r="EA122" s="73">
        <f t="shared" ca="1" si="564"/>
        <v>0</v>
      </c>
      <c r="EB122" s="64"/>
      <c r="EC122" s="74"/>
      <c r="ED122" s="73">
        <f t="shared" ca="1" si="564"/>
        <v>0</v>
      </c>
      <c r="EE122" s="64"/>
      <c r="EF122" s="74"/>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799"/>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874" t="s">
        <v>1839</v>
      </c>
      <c r="DR123" s="73">
        <f t="shared" ca="1" si="569"/>
        <v>0</v>
      </c>
      <c r="DS123" s="64"/>
      <c r="DT123" s="74" t="s">
        <v>1839</v>
      </c>
      <c r="DU123" s="73">
        <f t="shared" ca="1" si="569"/>
        <v>0</v>
      </c>
      <c r="DV123" s="64"/>
      <c r="DW123" s="74" t="s">
        <v>1267</v>
      </c>
      <c r="DX123" s="73">
        <f t="shared" ca="1" si="569"/>
        <v>0</v>
      </c>
      <c r="DY123" s="64"/>
      <c r="DZ123" s="74"/>
      <c r="EA123" s="73">
        <f t="shared" ca="1" si="569"/>
        <v>0</v>
      </c>
      <c r="EB123" s="64"/>
      <c r="EC123" s="74"/>
      <c r="ED123" s="73">
        <f t="shared" ca="1" si="569"/>
        <v>0</v>
      </c>
      <c r="EE123" s="64"/>
      <c r="EF123" s="74"/>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798"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874" t="s">
        <v>78</v>
      </c>
      <c r="DR124" s="73">
        <f t="shared" ca="1" si="574"/>
        <v>0</v>
      </c>
      <c r="DS124" s="64"/>
      <c r="DT124" s="74" t="s">
        <v>78</v>
      </c>
      <c r="DU124" s="73">
        <f t="shared" ca="1" si="574"/>
        <v>0</v>
      </c>
      <c r="DV124" s="64"/>
      <c r="DW124" s="74" t="s">
        <v>76</v>
      </c>
      <c r="DX124" s="73">
        <f t="shared" ca="1" si="574"/>
        <v>0</v>
      </c>
      <c r="DY124" s="64"/>
      <c r="DZ124" s="74"/>
      <c r="EA124" s="73">
        <f t="shared" ca="1" si="574"/>
        <v>0</v>
      </c>
      <c r="EB124" s="64"/>
      <c r="EC124" s="74"/>
      <c r="ED124" s="73">
        <f t="shared" ca="1" si="574"/>
        <v>0</v>
      </c>
      <c r="EE124" s="64"/>
      <c r="EF124" s="74"/>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798"/>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874" t="s">
        <v>76</v>
      </c>
      <c r="DR125" s="73">
        <f t="shared" ca="1" si="579"/>
        <v>0</v>
      </c>
      <c r="DS125" s="64"/>
      <c r="DT125" s="74" t="s">
        <v>76</v>
      </c>
      <c r="DU125" s="73">
        <f t="shared" ca="1" si="579"/>
        <v>0</v>
      </c>
      <c r="DV125" s="64"/>
      <c r="DW125" s="74" t="s">
        <v>1551</v>
      </c>
      <c r="DX125" s="73">
        <f t="shared" ca="1" si="579"/>
        <v>0</v>
      </c>
      <c r="DY125" s="64"/>
      <c r="DZ125" s="74"/>
      <c r="EA125" s="73">
        <f t="shared" ca="1" si="579"/>
        <v>0</v>
      </c>
      <c r="EB125" s="64"/>
      <c r="EC125" s="74"/>
      <c r="ED125" s="73">
        <f t="shared" ca="1" si="579"/>
        <v>0</v>
      </c>
      <c r="EE125" s="64"/>
      <c r="EF125" s="74"/>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798"/>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874" t="s">
        <v>1730</v>
      </c>
      <c r="DR126" s="73">
        <f t="shared" ca="1" si="584"/>
        <v>0</v>
      </c>
      <c r="DS126" s="64"/>
      <c r="DT126" s="74" t="s">
        <v>1551</v>
      </c>
      <c r="DU126" s="73">
        <f t="shared" ca="1" si="584"/>
        <v>0</v>
      </c>
      <c r="DV126" s="64"/>
      <c r="DW126" s="74" t="s">
        <v>78</v>
      </c>
      <c r="DX126" s="73">
        <f t="shared" ca="1" si="584"/>
        <v>0</v>
      </c>
      <c r="DY126" s="64"/>
      <c r="DZ126" s="74"/>
      <c r="EA126" s="73">
        <f t="shared" ca="1" si="584"/>
        <v>0</v>
      </c>
      <c r="EB126" s="64"/>
      <c r="EC126" s="74"/>
      <c r="ED126" s="73">
        <f t="shared" ca="1" si="584"/>
        <v>0</v>
      </c>
      <c r="EE126" s="64"/>
      <c r="EF126" s="74"/>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798"/>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874" t="s">
        <v>1551</v>
      </c>
      <c r="DR127" s="81">
        <f t="shared" ca="1" si="589"/>
        <v>0</v>
      </c>
      <c r="DS127" s="64"/>
      <c r="DT127" s="80" t="s">
        <v>1730</v>
      </c>
      <c r="DU127" s="81">
        <f t="shared" ca="1" si="589"/>
        <v>0</v>
      </c>
      <c r="DV127" s="64"/>
      <c r="DW127" s="80" t="s">
        <v>1730</v>
      </c>
      <c r="DX127" s="81">
        <f t="shared" ca="1" si="589"/>
        <v>0</v>
      </c>
      <c r="DY127" s="64"/>
      <c r="DZ127" s="80"/>
      <c r="EA127" s="81">
        <f t="shared" ca="1" si="589"/>
        <v>0</v>
      </c>
      <c r="EB127" s="64"/>
      <c r="EC127" s="80"/>
      <c r="ED127" s="81">
        <f t="shared" ca="1" si="589"/>
        <v>0</v>
      </c>
      <c r="EE127" s="64"/>
      <c r="EF127" s="80"/>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875"/>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875"/>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00"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874"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c r="EA130" s="77">
        <f t="shared" ref="EA130:EA161" ca="1" si="677">COUNTIF($M$130:$M$161,DZ130)*$D$15</f>
        <v>0</v>
      </c>
      <c r="EB130" s="64"/>
      <c r="EC130" s="76"/>
      <c r="ED130" s="77">
        <f t="shared" ref="ED130:ED161" ca="1" si="678">COUNTIF($M$130:$M$161,EC130)*$D$15</f>
        <v>0</v>
      </c>
      <c r="EE130" s="64"/>
      <c r="EF130" s="76"/>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00"/>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874" t="s">
        <v>1321</v>
      </c>
      <c r="DR131" s="73">
        <f t="shared" ca="1" si="674"/>
        <v>0</v>
      </c>
      <c r="DS131" s="64"/>
      <c r="DT131" s="74" t="s">
        <v>1321</v>
      </c>
      <c r="DU131" s="73">
        <f t="shared" ca="1" si="675"/>
        <v>0</v>
      </c>
      <c r="DV131" s="64"/>
      <c r="DW131" s="74" t="s">
        <v>1258</v>
      </c>
      <c r="DX131" s="73">
        <f t="shared" ca="1" si="676"/>
        <v>0</v>
      </c>
      <c r="DY131" s="64"/>
      <c r="DZ131" s="74"/>
      <c r="EA131" s="73">
        <f t="shared" ca="1" si="677"/>
        <v>0</v>
      </c>
      <c r="EB131" s="64"/>
      <c r="EC131" s="74"/>
      <c r="ED131" s="73">
        <f t="shared" ca="1" si="678"/>
        <v>0</v>
      </c>
      <c r="EE131" s="64"/>
      <c r="EF131" s="74"/>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00"/>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874" t="s">
        <v>77</v>
      </c>
      <c r="DR132" s="73">
        <f t="shared" ca="1" si="674"/>
        <v>0</v>
      </c>
      <c r="DS132" s="64"/>
      <c r="DT132" s="74" t="s">
        <v>77</v>
      </c>
      <c r="DU132" s="73">
        <f t="shared" ca="1" si="675"/>
        <v>0</v>
      </c>
      <c r="DV132" s="64"/>
      <c r="DW132" s="74" t="s">
        <v>77</v>
      </c>
      <c r="DX132" s="73">
        <f t="shared" ca="1" si="676"/>
        <v>0</v>
      </c>
      <c r="DY132" s="64"/>
      <c r="DZ132" s="74"/>
      <c r="EA132" s="73">
        <f t="shared" ca="1" si="677"/>
        <v>0</v>
      </c>
      <c r="EB132" s="64"/>
      <c r="EC132" s="74"/>
      <c r="ED132" s="73">
        <f t="shared" ca="1" si="678"/>
        <v>0</v>
      </c>
      <c r="EE132" s="64"/>
      <c r="EF132" s="74"/>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00"/>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874" t="s">
        <v>1263</v>
      </c>
      <c r="DR133" s="73">
        <f t="shared" ca="1" si="674"/>
        <v>0</v>
      </c>
      <c r="DS133" s="64"/>
      <c r="DT133" s="74" t="s">
        <v>1833</v>
      </c>
      <c r="DU133" s="73">
        <f t="shared" ca="1" si="675"/>
        <v>0</v>
      </c>
      <c r="DV133" s="64"/>
      <c r="DW133" s="74" t="s">
        <v>111</v>
      </c>
      <c r="DX133" s="73">
        <f t="shared" ca="1" si="676"/>
        <v>0</v>
      </c>
      <c r="DY133" s="64"/>
      <c r="DZ133" s="74"/>
      <c r="EA133" s="73">
        <f t="shared" ca="1" si="677"/>
        <v>0</v>
      </c>
      <c r="EB133" s="64"/>
      <c r="EC133" s="74"/>
      <c r="ED133" s="73">
        <f t="shared" ca="1" si="678"/>
        <v>0</v>
      </c>
      <c r="EE133" s="64"/>
      <c r="EF133" s="74"/>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00"/>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874" t="s">
        <v>1261</v>
      </c>
      <c r="DR134" s="73">
        <f t="shared" ca="1" si="674"/>
        <v>0</v>
      </c>
      <c r="DS134" s="64"/>
      <c r="DT134" s="74" t="s">
        <v>1261</v>
      </c>
      <c r="DU134" s="73">
        <f t="shared" ca="1" si="675"/>
        <v>0</v>
      </c>
      <c r="DV134" s="64"/>
      <c r="DW134" s="74" t="s">
        <v>1261</v>
      </c>
      <c r="DX134" s="73">
        <f t="shared" ca="1" si="676"/>
        <v>0</v>
      </c>
      <c r="DY134" s="64"/>
      <c r="DZ134" s="74"/>
      <c r="EA134" s="73">
        <f t="shared" ca="1" si="677"/>
        <v>0</v>
      </c>
      <c r="EB134" s="64"/>
      <c r="EC134" s="74"/>
      <c r="ED134" s="73">
        <f t="shared" ca="1" si="678"/>
        <v>0</v>
      </c>
      <c r="EE134" s="64"/>
      <c r="EF134" s="74"/>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00"/>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874" t="s">
        <v>74</v>
      </c>
      <c r="DR135" s="73">
        <f t="shared" ca="1" si="674"/>
        <v>0</v>
      </c>
      <c r="DS135" s="64"/>
      <c r="DT135" s="74" t="s">
        <v>74</v>
      </c>
      <c r="DU135" s="73">
        <f t="shared" ca="1" si="675"/>
        <v>0</v>
      </c>
      <c r="DV135" s="64"/>
      <c r="DW135" s="74" t="s">
        <v>74</v>
      </c>
      <c r="DX135" s="73">
        <f t="shared" ca="1" si="676"/>
        <v>0</v>
      </c>
      <c r="DY135" s="64"/>
      <c r="DZ135" s="74"/>
      <c r="EA135" s="73">
        <f t="shared" ca="1" si="677"/>
        <v>0</v>
      </c>
      <c r="EB135" s="64"/>
      <c r="EC135" s="74"/>
      <c r="ED135" s="73">
        <f t="shared" ca="1" si="678"/>
        <v>0</v>
      </c>
      <c r="EE135" s="64"/>
      <c r="EF135" s="74"/>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00"/>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874" t="s">
        <v>1265</v>
      </c>
      <c r="DR136" s="73">
        <f t="shared" ca="1" si="674"/>
        <v>0</v>
      </c>
      <c r="DS136" s="64"/>
      <c r="DT136" s="74" t="s">
        <v>1265</v>
      </c>
      <c r="DU136" s="73">
        <f t="shared" ca="1" si="675"/>
        <v>0</v>
      </c>
      <c r="DV136" s="64"/>
      <c r="DW136" s="74" t="s">
        <v>1265</v>
      </c>
      <c r="DX136" s="73">
        <f t="shared" ca="1" si="676"/>
        <v>0</v>
      </c>
      <c r="DY136" s="64"/>
      <c r="DZ136" s="74"/>
      <c r="EA136" s="73">
        <f t="shared" ca="1" si="677"/>
        <v>0</v>
      </c>
      <c r="EB136" s="64"/>
      <c r="EC136" s="74"/>
      <c r="ED136" s="73">
        <f t="shared" ca="1" si="678"/>
        <v>0</v>
      </c>
      <c r="EE136" s="64"/>
      <c r="EF136" s="74"/>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00"/>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874" t="s">
        <v>78</v>
      </c>
      <c r="DR137" s="73">
        <f t="shared" ca="1" si="674"/>
        <v>0</v>
      </c>
      <c r="DS137" s="64"/>
      <c r="DT137" s="74" t="s">
        <v>78</v>
      </c>
      <c r="DU137" s="73">
        <f t="shared" ca="1" si="675"/>
        <v>0</v>
      </c>
      <c r="DV137" s="64"/>
      <c r="DW137" s="74" t="s">
        <v>76</v>
      </c>
      <c r="DX137" s="73">
        <f t="shared" ca="1" si="676"/>
        <v>0</v>
      </c>
      <c r="DY137" s="64"/>
      <c r="DZ137" s="74"/>
      <c r="EA137" s="73">
        <f t="shared" ca="1" si="677"/>
        <v>0</v>
      </c>
      <c r="EB137" s="64"/>
      <c r="EC137" s="74"/>
      <c r="ED137" s="73">
        <f t="shared" ca="1" si="678"/>
        <v>0</v>
      </c>
      <c r="EE137" s="64"/>
      <c r="EF137" s="74"/>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00"/>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874" t="s">
        <v>1550</v>
      </c>
      <c r="DR138" s="73">
        <f t="shared" ca="1" si="674"/>
        <v>0</v>
      </c>
      <c r="DS138" s="64"/>
      <c r="DT138" s="74" t="s">
        <v>110</v>
      </c>
      <c r="DU138" s="73">
        <f t="shared" ca="1" si="675"/>
        <v>0</v>
      </c>
      <c r="DV138" s="64"/>
      <c r="DW138" s="74" t="s">
        <v>110</v>
      </c>
      <c r="DX138" s="73">
        <f t="shared" ca="1" si="676"/>
        <v>0</v>
      </c>
      <c r="DY138" s="64"/>
      <c r="DZ138" s="74"/>
      <c r="EA138" s="73">
        <f t="shared" ca="1" si="677"/>
        <v>0</v>
      </c>
      <c r="EB138" s="64"/>
      <c r="EC138" s="74"/>
      <c r="ED138" s="73">
        <f t="shared" ca="1" si="678"/>
        <v>0</v>
      </c>
      <c r="EE138" s="64"/>
      <c r="EF138" s="74"/>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00"/>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874" t="s">
        <v>497</v>
      </c>
      <c r="DR139" s="73">
        <f t="shared" ca="1" si="674"/>
        <v>0</v>
      </c>
      <c r="DS139" s="64"/>
      <c r="DT139" s="74" t="s">
        <v>497</v>
      </c>
      <c r="DU139" s="73">
        <f t="shared" ca="1" si="675"/>
        <v>0</v>
      </c>
      <c r="DV139" s="64"/>
      <c r="DW139" s="74" t="s">
        <v>1835</v>
      </c>
      <c r="DX139" s="73">
        <f t="shared" ca="1" si="676"/>
        <v>0</v>
      </c>
      <c r="DY139" s="64"/>
      <c r="DZ139" s="74"/>
      <c r="EA139" s="73">
        <f t="shared" ca="1" si="677"/>
        <v>0</v>
      </c>
      <c r="EB139" s="64"/>
      <c r="EC139" s="74"/>
      <c r="ED139" s="73">
        <f t="shared" ca="1" si="678"/>
        <v>0</v>
      </c>
      <c r="EE139" s="64"/>
      <c r="EF139" s="74"/>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00"/>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874" t="s">
        <v>38</v>
      </c>
      <c r="DR140" s="73">
        <f t="shared" ca="1" si="674"/>
        <v>0</v>
      </c>
      <c r="DS140" s="64"/>
      <c r="DT140" s="74" t="s">
        <v>38</v>
      </c>
      <c r="DU140" s="73">
        <f t="shared" ca="1" si="675"/>
        <v>0</v>
      </c>
      <c r="DV140" s="64"/>
      <c r="DW140" s="74" t="s">
        <v>38</v>
      </c>
      <c r="DX140" s="73">
        <f t="shared" ca="1" si="676"/>
        <v>0</v>
      </c>
      <c r="DY140" s="64"/>
      <c r="DZ140" s="74"/>
      <c r="EA140" s="73">
        <f t="shared" ca="1" si="677"/>
        <v>0</v>
      </c>
      <c r="EB140" s="64"/>
      <c r="EC140" s="74"/>
      <c r="ED140" s="73">
        <f t="shared" ca="1" si="678"/>
        <v>0</v>
      </c>
      <c r="EE140" s="64"/>
      <c r="EF140" s="74"/>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00"/>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874" t="s">
        <v>1320</v>
      </c>
      <c r="DR141" s="73">
        <f t="shared" ca="1" si="674"/>
        <v>0</v>
      </c>
      <c r="DS141" s="64"/>
      <c r="DT141" s="74" t="s">
        <v>79</v>
      </c>
      <c r="DU141" s="73">
        <f t="shared" ca="1" si="675"/>
        <v>0</v>
      </c>
      <c r="DV141" s="64"/>
      <c r="DW141" s="74" t="s">
        <v>1320</v>
      </c>
      <c r="DX141" s="73">
        <f t="shared" ca="1" si="676"/>
        <v>0</v>
      </c>
      <c r="DY141" s="64"/>
      <c r="DZ141" s="74"/>
      <c r="EA141" s="73">
        <f t="shared" ca="1" si="677"/>
        <v>0</v>
      </c>
      <c r="EB141" s="64"/>
      <c r="EC141" s="74"/>
      <c r="ED141" s="73">
        <f t="shared" ca="1" si="678"/>
        <v>0</v>
      </c>
      <c r="EE141" s="64"/>
      <c r="EF141" s="74"/>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00"/>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874" t="s">
        <v>75</v>
      </c>
      <c r="DR142" s="73">
        <f t="shared" ca="1" si="674"/>
        <v>0</v>
      </c>
      <c r="DS142" s="64"/>
      <c r="DT142" s="74" t="s">
        <v>75</v>
      </c>
      <c r="DU142" s="73">
        <f t="shared" ca="1" si="675"/>
        <v>0</v>
      </c>
      <c r="DV142" s="64"/>
      <c r="DW142" s="74" t="s">
        <v>75</v>
      </c>
      <c r="DX142" s="73">
        <f t="shared" ca="1" si="676"/>
        <v>0</v>
      </c>
      <c r="DY142" s="64"/>
      <c r="DZ142" s="74"/>
      <c r="EA142" s="73">
        <f t="shared" ca="1" si="677"/>
        <v>0</v>
      </c>
      <c r="EB142" s="64"/>
      <c r="EC142" s="74"/>
      <c r="ED142" s="73">
        <f t="shared" ca="1" si="678"/>
        <v>0</v>
      </c>
      <c r="EE142" s="64"/>
      <c r="EF142" s="74"/>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00"/>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874" t="s">
        <v>1835</v>
      </c>
      <c r="DR143" s="73">
        <f t="shared" ca="1" si="674"/>
        <v>0</v>
      </c>
      <c r="DS143" s="64"/>
      <c r="DT143" s="74" t="s">
        <v>1835</v>
      </c>
      <c r="DU143" s="73">
        <f t="shared" ca="1" si="675"/>
        <v>0</v>
      </c>
      <c r="DV143" s="64"/>
      <c r="DW143" s="74" t="s">
        <v>497</v>
      </c>
      <c r="DX143" s="73">
        <f t="shared" ca="1" si="676"/>
        <v>0</v>
      </c>
      <c r="DY143" s="64"/>
      <c r="DZ143" s="74"/>
      <c r="EA143" s="73">
        <f t="shared" ca="1" si="677"/>
        <v>0</v>
      </c>
      <c r="EB143" s="64"/>
      <c r="EC143" s="74"/>
      <c r="ED143" s="73">
        <f t="shared" ca="1" si="678"/>
        <v>0</v>
      </c>
      <c r="EE143" s="64"/>
      <c r="EF143" s="74"/>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00"/>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874" t="s">
        <v>1256</v>
      </c>
      <c r="DR144" s="73">
        <f t="shared" ca="1" si="674"/>
        <v>0</v>
      </c>
      <c r="DS144" s="64"/>
      <c r="DT144" s="74" t="s">
        <v>1256</v>
      </c>
      <c r="DU144" s="73">
        <f t="shared" ca="1" si="675"/>
        <v>0</v>
      </c>
      <c r="DV144" s="64"/>
      <c r="DW144" s="74" t="s">
        <v>1256</v>
      </c>
      <c r="DX144" s="73">
        <f t="shared" ca="1" si="676"/>
        <v>0</v>
      </c>
      <c r="DY144" s="64"/>
      <c r="DZ144" s="74"/>
      <c r="EA144" s="73">
        <f t="shared" ca="1" si="677"/>
        <v>0</v>
      </c>
      <c r="EB144" s="64"/>
      <c r="EC144" s="74"/>
      <c r="ED144" s="73">
        <f t="shared" ca="1" si="678"/>
        <v>0</v>
      </c>
      <c r="EE144" s="64"/>
      <c r="EF144" s="74"/>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00"/>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874" t="s">
        <v>79</v>
      </c>
      <c r="DR145" s="73">
        <f t="shared" ca="1" si="674"/>
        <v>0</v>
      </c>
      <c r="DS145" s="64"/>
      <c r="DT145" s="74" t="s">
        <v>1320</v>
      </c>
      <c r="DU145" s="73">
        <f t="shared" ca="1" si="675"/>
        <v>0</v>
      </c>
      <c r="DV145" s="64"/>
      <c r="DW145" s="74" t="s">
        <v>79</v>
      </c>
      <c r="DX145" s="73">
        <f t="shared" ca="1" si="676"/>
        <v>0</v>
      </c>
      <c r="DY145" s="64"/>
      <c r="DZ145" s="74"/>
      <c r="EA145" s="73">
        <f t="shared" ca="1" si="677"/>
        <v>0</v>
      </c>
      <c r="EB145" s="64"/>
      <c r="EC145" s="74"/>
      <c r="ED145" s="73">
        <f t="shared" ca="1" si="678"/>
        <v>0</v>
      </c>
      <c r="EE145" s="64"/>
      <c r="EF145" s="74"/>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00"/>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874" t="s">
        <v>1841</v>
      </c>
      <c r="DR146" s="73">
        <f t="shared" ca="1" si="674"/>
        <v>0</v>
      </c>
      <c r="DS146" s="64"/>
      <c r="DT146" s="74" t="s">
        <v>1259</v>
      </c>
      <c r="DU146" s="73">
        <f t="shared" ca="1" si="675"/>
        <v>0</v>
      </c>
      <c r="DV146" s="64"/>
      <c r="DW146" s="74" t="s">
        <v>1259</v>
      </c>
      <c r="DX146" s="73">
        <f t="shared" ca="1" si="676"/>
        <v>0</v>
      </c>
      <c r="DY146" s="64"/>
      <c r="DZ146" s="74"/>
      <c r="EA146" s="73">
        <f t="shared" ca="1" si="677"/>
        <v>0</v>
      </c>
      <c r="EB146" s="64"/>
      <c r="EC146" s="74"/>
      <c r="ED146" s="73">
        <f t="shared" ca="1" si="678"/>
        <v>0</v>
      </c>
      <c r="EE146" s="64"/>
      <c r="EF146" s="74"/>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00"/>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874" t="s">
        <v>111</v>
      </c>
      <c r="DR147" s="73">
        <f t="shared" ca="1" si="674"/>
        <v>0</v>
      </c>
      <c r="DS147" s="64"/>
      <c r="DT147" s="74" t="s">
        <v>111</v>
      </c>
      <c r="DU147" s="73">
        <f t="shared" ca="1" si="675"/>
        <v>0</v>
      </c>
      <c r="DV147" s="64"/>
      <c r="DW147" s="74" t="s">
        <v>1263</v>
      </c>
      <c r="DX147" s="73">
        <f t="shared" ca="1" si="676"/>
        <v>0</v>
      </c>
      <c r="DY147" s="64"/>
      <c r="DZ147" s="74"/>
      <c r="EA147" s="73">
        <f t="shared" ca="1" si="677"/>
        <v>0</v>
      </c>
      <c r="EB147" s="64"/>
      <c r="EC147" s="74"/>
      <c r="ED147" s="73">
        <f t="shared" ca="1" si="678"/>
        <v>0</v>
      </c>
      <c r="EE147" s="64"/>
      <c r="EF147" s="74"/>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00"/>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874" t="s">
        <v>1833</v>
      </c>
      <c r="DR148" s="73">
        <f t="shared" ca="1" si="674"/>
        <v>0</v>
      </c>
      <c r="DS148" s="64"/>
      <c r="DT148" s="74" t="s">
        <v>1319</v>
      </c>
      <c r="DU148" s="73">
        <f t="shared" ca="1" si="675"/>
        <v>0</v>
      </c>
      <c r="DV148" s="64"/>
      <c r="DW148" s="74" t="s">
        <v>1319</v>
      </c>
      <c r="DX148" s="73">
        <f t="shared" ca="1" si="676"/>
        <v>0</v>
      </c>
      <c r="DY148" s="64"/>
      <c r="DZ148" s="74"/>
      <c r="EA148" s="73">
        <f t="shared" ca="1" si="677"/>
        <v>0</v>
      </c>
      <c r="EB148" s="64"/>
      <c r="EC148" s="74"/>
      <c r="ED148" s="73">
        <f t="shared" ca="1" si="678"/>
        <v>0</v>
      </c>
      <c r="EE148" s="64"/>
      <c r="EF148" s="74"/>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00"/>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874" t="s">
        <v>1258</v>
      </c>
      <c r="DR149" s="73">
        <f t="shared" ca="1" si="674"/>
        <v>0</v>
      </c>
      <c r="DS149" s="64"/>
      <c r="DT149" s="74" t="s">
        <v>134</v>
      </c>
      <c r="DU149" s="73">
        <f t="shared" ca="1" si="675"/>
        <v>0</v>
      </c>
      <c r="DV149" s="64"/>
      <c r="DW149" s="74" t="s">
        <v>1321</v>
      </c>
      <c r="DX149" s="73">
        <f t="shared" ca="1" si="676"/>
        <v>0</v>
      </c>
      <c r="DY149" s="64"/>
      <c r="DZ149" s="74"/>
      <c r="EA149" s="73">
        <f t="shared" ca="1" si="677"/>
        <v>0</v>
      </c>
      <c r="EB149" s="64"/>
      <c r="EC149" s="74"/>
      <c r="ED149" s="73">
        <f t="shared" ca="1" si="678"/>
        <v>0</v>
      </c>
      <c r="EE149" s="64"/>
      <c r="EF149" s="74"/>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00"/>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874" t="s">
        <v>1757</v>
      </c>
      <c r="DR150" s="73">
        <f t="shared" ca="1" si="674"/>
        <v>0</v>
      </c>
      <c r="DS150" s="64"/>
      <c r="DT150" s="74" t="s">
        <v>135</v>
      </c>
      <c r="DU150" s="73">
        <f t="shared" ca="1" si="675"/>
        <v>0</v>
      </c>
      <c r="DV150" s="64"/>
      <c r="DW150" s="74" t="s">
        <v>135</v>
      </c>
      <c r="DX150" s="73">
        <f t="shared" ca="1" si="676"/>
        <v>0</v>
      </c>
      <c r="DY150" s="64"/>
      <c r="DZ150" s="74"/>
      <c r="EA150" s="73">
        <f t="shared" ca="1" si="677"/>
        <v>0</v>
      </c>
      <c r="EB150" s="64"/>
      <c r="EC150" s="74"/>
      <c r="ED150" s="73">
        <f t="shared" ca="1" si="678"/>
        <v>0</v>
      </c>
      <c r="EE150" s="64"/>
      <c r="EF150" s="74"/>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00"/>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874" t="s">
        <v>1318</v>
      </c>
      <c r="DR151" s="73">
        <f t="shared" ca="1" si="674"/>
        <v>0</v>
      </c>
      <c r="DS151" s="64"/>
      <c r="DT151" s="74" t="s">
        <v>1263</v>
      </c>
      <c r="DU151" s="73">
        <f t="shared" ca="1" si="675"/>
        <v>0</v>
      </c>
      <c r="DV151" s="64"/>
      <c r="DW151" s="74" t="s">
        <v>1833</v>
      </c>
      <c r="DX151" s="73">
        <f t="shared" ca="1" si="676"/>
        <v>0</v>
      </c>
      <c r="DY151" s="64"/>
      <c r="DZ151" s="74"/>
      <c r="EA151" s="73">
        <f t="shared" ca="1" si="677"/>
        <v>0</v>
      </c>
      <c r="EB151" s="64"/>
      <c r="EC151" s="74"/>
      <c r="ED151" s="73">
        <f t="shared" ca="1" si="678"/>
        <v>0</v>
      </c>
      <c r="EE151" s="64"/>
      <c r="EF151" s="74"/>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00"/>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874" t="s">
        <v>1633</v>
      </c>
      <c r="DR152" s="73">
        <f t="shared" ca="1" si="674"/>
        <v>0</v>
      </c>
      <c r="DS152" s="64"/>
      <c r="DT152" s="74" t="s">
        <v>1258</v>
      </c>
      <c r="DU152" s="73">
        <f t="shared" ca="1" si="675"/>
        <v>0</v>
      </c>
      <c r="DV152" s="64"/>
      <c r="DW152" s="74" t="s">
        <v>134</v>
      </c>
      <c r="DX152" s="73">
        <f t="shared" ca="1" si="676"/>
        <v>0</v>
      </c>
      <c r="DY152" s="64"/>
      <c r="DZ152" s="74"/>
      <c r="EA152" s="73">
        <f t="shared" ca="1" si="677"/>
        <v>0</v>
      </c>
      <c r="EB152" s="64"/>
      <c r="EC152" s="74"/>
      <c r="ED152" s="73">
        <f t="shared" ca="1" si="678"/>
        <v>0</v>
      </c>
      <c r="EE152" s="64"/>
      <c r="EF152" s="74"/>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00"/>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874" t="s">
        <v>1267</v>
      </c>
      <c r="DR153" s="73">
        <f t="shared" ca="1" si="674"/>
        <v>0</v>
      </c>
      <c r="DS153" s="64"/>
      <c r="DT153" s="74" t="s">
        <v>1633</v>
      </c>
      <c r="DU153" s="73">
        <f t="shared" ca="1" si="675"/>
        <v>0</v>
      </c>
      <c r="DV153" s="64"/>
      <c r="DW153" s="74" t="s">
        <v>1634</v>
      </c>
      <c r="DX153" s="73">
        <f t="shared" ca="1" si="676"/>
        <v>0</v>
      </c>
      <c r="DY153" s="64"/>
      <c r="DZ153" s="74"/>
      <c r="EA153" s="73">
        <f t="shared" ca="1" si="677"/>
        <v>0</v>
      </c>
      <c r="EB153" s="64"/>
      <c r="EC153" s="74"/>
      <c r="ED153" s="73">
        <f t="shared" ca="1" si="678"/>
        <v>0</v>
      </c>
      <c r="EE153" s="64"/>
      <c r="EF153" s="74"/>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00"/>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874" t="s">
        <v>135</v>
      </c>
      <c r="DR154" s="73">
        <f t="shared" ca="1" si="674"/>
        <v>0</v>
      </c>
      <c r="DS154" s="64"/>
      <c r="DT154" s="74" t="s">
        <v>1630</v>
      </c>
      <c r="DU154" s="73">
        <f t="shared" ca="1" si="675"/>
        <v>0</v>
      </c>
      <c r="DV154" s="64"/>
      <c r="DW154" s="74" t="s">
        <v>1558</v>
      </c>
      <c r="DX154" s="73">
        <f t="shared" ca="1" si="676"/>
        <v>0</v>
      </c>
      <c r="DY154" s="64"/>
      <c r="DZ154" s="74"/>
      <c r="EA154" s="73">
        <f t="shared" ca="1" si="677"/>
        <v>0</v>
      </c>
      <c r="EB154" s="64"/>
      <c r="EC154" s="74"/>
      <c r="ED154" s="73">
        <f t="shared" ca="1" si="678"/>
        <v>0</v>
      </c>
      <c r="EE154" s="64"/>
      <c r="EF154" s="74"/>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00"/>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874" t="s">
        <v>1631</v>
      </c>
      <c r="DR155" s="73">
        <f t="shared" ca="1" si="674"/>
        <v>0</v>
      </c>
      <c r="DS155" s="64"/>
      <c r="DT155" s="74" t="s">
        <v>1841</v>
      </c>
      <c r="DU155" s="73">
        <f t="shared" ca="1" si="675"/>
        <v>0</v>
      </c>
      <c r="DV155" s="64"/>
      <c r="DW155" s="74" t="s">
        <v>1633</v>
      </c>
      <c r="DX155" s="73">
        <f t="shared" ca="1" si="676"/>
        <v>0</v>
      </c>
      <c r="DY155" s="64"/>
      <c r="DZ155" s="74"/>
      <c r="EA155" s="73">
        <f t="shared" ca="1" si="677"/>
        <v>0</v>
      </c>
      <c r="EB155" s="64"/>
      <c r="EC155" s="74"/>
      <c r="ED155" s="73">
        <f t="shared" ca="1" si="678"/>
        <v>0</v>
      </c>
      <c r="EE155" s="64"/>
      <c r="EF155" s="74"/>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00"/>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874" t="s">
        <v>80</v>
      </c>
      <c r="DR156" s="73">
        <f t="shared" ca="1" si="674"/>
        <v>0</v>
      </c>
      <c r="DS156" s="64"/>
      <c r="DT156" s="74" t="s">
        <v>1558</v>
      </c>
      <c r="DU156" s="73">
        <f t="shared" ca="1" si="675"/>
        <v>0</v>
      </c>
      <c r="DV156" s="64"/>
      <c r="DW156" s="74" t="s">
        <v>80</v>
      </c>
      <c r="DX156" s="73">
        <f t="shared" ca="1" si="676"/>
        <v>0</v>
      </c>
      <c r="DY156" s="64"/>
      <c r="DZ156" s="74"/>
      <c r="EA156" s="73">
        <f t="shared" ca="1" si="677"/>
        <v>0</v>
      </c>
      <c r="EB156" s="64"/>
      <c r="EC156" s="74"/>
      <c r="ED156" s="73">
        <f t="shared" ca="1" si="678"/>
        <v>0</v>
      </c>
      <c r="EE156" s="64"/>
      <c r="EF156" s="74"/>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00"/>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874" t="s">
        <v>76</v>
      </c>
      <c r="DR157" s="73">
        <f t="shared" ca="1" si="674"/>
        <v>0</v>
      </c>
      <c r="DS157" s="64"/>
      <c r="DT157" s="74" t="s">
        <v>76</v>
      </c>
      <c r="DU157" s="73">
        <f t="shared" ca="1" si="675"/>
        <v>0</v>
      </c>
      <c r="DV157" s="64"/>
      <c r="DW157" s="74" t="s">
        <v>1551</v>
      </c>
      <c r="DX157" s="73">
        <f t="shared" ca="1" si="676"/>
        <v>0</v>
      </c>
      <c r="DY157" s="64"/>
      <c r="DZ157" s="74"/>
      <c r="EA157" s="73">
        <f t="shared" ca="1" si="677"/>
        <v>0</v>
      </c>
      <c r="EB157" s="64"/>
      <c r="EC157" s="74"/>
      <c r="ED157" s="73">
        <f t="shared" ca="1" si="678"/>
        <v>0</v>
      </c>
      <c r="EE157" s="64"/>
      <c r="EF157" s="74"/>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00"/>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874" t="s">
        <v>1558</v>
      </c>
      <c r="DR158" s="73">
        <f t="shared" ca="1" si="674"/>
        <v>0</v>
      </c>
      <c r="DS158" s="64"/>
      <c r="DT158" s="74" t="s">
        <v>80</v>
      </c>
      <c r="DU158" s="73">
        <f t="shared" ca="1" si="675"/>
        <v>0</v>
      </c>
      <c r="DV158" s="64"/>
      <c r="DW158" s="74" t="s">
        <v>1262</v>
      </c>
      <c r="DX158" s="73">
        <f t="shared" ca="1" si="676"/>
        <v>0</v>
      </c>
      <c r="DY158" s="64"/>
      <c r="DZ158" s="74"/>
      <c r="EA158" s="73">
        <f t="shared" ca="1" si="677"/>
        <v>0</v>
      </c>
      <c r="EB158" s="64"/>
      <c r="EC158" s="74"/>
      <c r="ED158" s="73">
        <f t="shared" ca="1" si="678"/>
        <v>0</v>
      </c>
      <c r="EE158" s="64"/>
      <c r="EF158" s="74"/>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00"/>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874" t="s">
        <v>110</v>
      </c>
      <c r="DR159" s="73">
        <f t="shared" ca="1" si="674"/>
        <v>0</v>
      </c>
      <c r="DS159" s="64"/>
      <c r="DT159" s="74" t="s">
        <v>1550</v>
      </c>
      <c r="DU159" s="73">
        <f t="shared" ca="1" si="675"/>
        <v>0</v>
      </c>
      <c r="DV159" s="64"/>
      <c r="DW159" s="74" t="s">
        <v>1550</v>
      </c>
      <c r="DX159" s="73">
        <f t="shared" ca="1" si="676"/>
        <v>0</v>
      </c>
      <c r="DY159" s="64"/>
      <c r="DZ159" s="74"/>
      <c r="EA159" s="73">
        <f t="shared" ca="1" si="677"/>
        <v>0</v>
      </c>
      <c r="EB159" s="64"/>
      <c r="EC159" s="74"/>
      <c r="ED159" s="73">
        <f t="shared" ca="1" si="678"/>
        <v>0</v>
      </c>
      <c r="EE159" s="64"/>
      <c r="EF159" s="74"/>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00"/>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874" t="s">
        <v>1632</v>
      </c>
      <c r="DR160" s="73">
        <f t="shared" ca="1" si="674"/>
        <v>0</v>
      </c>
      <c r="DS160" s="64"/>
      <c r="DT160" s="74" t="s">
        <v>1318</v>
      </c>
      <c r="DU160" s="73">
        <f t="shared" ca="1" si="675"/>
        <v>0</v>
      </c>
      <c r="DV160" s="64"/>
      <c r="DW160" s="74" t="s">
        <v>1318</v>
      </c>
      <c r="DX160" s="73">
        <f t="shared" ca="1" si="676"/>
        <v>0</v>
      </c>
      <c r="DY160" s="64"/>
      <c r="DZ160" s="74"/>
      <c r="EA160" s="73">
        <f t="shared" ca="1" si="677"/>
        <v>0</v>
      </c>
      <c r="EB160" s="64"/>
      <c r="EC160" s="74"/>
      <c r="ED160" s="73">
        <f t="shared" ca="1" si="678"/>
        <v>0</v>
      </c>
      <c r="EE160" s="64"/>
      <c r="EF160" s="74"/>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00"/>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874" t="s">
        <v>1730</v>
      </c>
      <c r="DR161" s="81">
        <f t="shared" ca="1" si="674"/>
        <v>0</v>
      </c>
      <c r="DS161" s="64"/>
      <c r="DT161" s="80" t="s">
        <v>1551</v>
      </c>
      <c r="DU161" s="81">
        <f t="shared" ca="1" si="675"/>
        <v>0</v>
      </c>
      <c r="DV161" s="64"/>
      <c r="DW161" s="80" t="s">
        <v>78</v>
      </c>
      <c r="DX161" s="81">
        <f t="shared" ca="1" si="676"/>
        <v>0</v>
      </c>
      <c r="DY161" s="64"/>
      <c r="DZ161" s="80"/>
      <c r="EA161" s="81">
        <f t="shared" ca="1" si="677"/>
        <v>0</v>
      </c>
      <c r="EB161" s="64"/>
      <c r="EC161" s="80"/>
      <c r="ED161" s="81">
        <f t="shared" ca="1" si="678"/>
        <v>0</v>
      </c>
      <c r="EE161" s="64"/>
      <c r="EF161" s="80"/>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875"/>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875"/>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00"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874"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tr">
        <f>Idiomas!$D$367</f>
        <v>Pegar Valores Dieciseisavos</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tr">
        <f>Idiomas!$D$367</f>
        <v>Pegar Valores Dieciseisavos</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tr">
        <f>Idiomas!$D$367</f>
        <v>Pegar Valores Dieciseisavos</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00"/>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874" t="s">
        <v>2681</v>
      </c>
      <c r="DR165" s="77">
        <f t="shared" ca="1" si="762"/>
        <v>0</v>
      </c>
      <c r="DS165" s="110"/>
      <c r="DT165" s="74" t="s">
        <v>2711</v>
      </c>
      <c r="DU165" s="77">
        <f t="shared" ca="1" si="762"/>
        <v>0</v>
      </c>
      <c r="DV165" s="110"/>
      <c r="DW165" s="74" t="s">
        <v>2004</v>
      </c>
      <c r="DX165" s="77">
        <f t="shared" ca="1" si="762"/>
        <v>0</v>
      </c>
      <c r="DY165" s="110"/>
      <c r="DZ165" s="74"/>
      <c r="EA165" s="77">
        <f t="shared" ca="1" si="762"/>
        <v>0</v>
      </c>
      <c r="EB165" s="110"/>
      <c r="EC165" s="74"/>
      <c r="ED165" s="77">
        <f t="shared" ca="1" si="762"/>
        <v>0</v>
      </c>
      <c r="EE165" s="110"/>
      <c r="EF165" s="74"/>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00"/>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874" t="s">
        <v>2682</v>
      </c>
      <c r="DR166" s="77">
        <f t="shared" ca="1" si="762"/>
        <v>0</v>
      </c>
      <c r="DS166" s="110"/>
      <c r="DT166" s="74" t="s">
        <v>2314</v>
      </c>
      <c r="DU166" s="77">
        <f t="shared" ca="1" si="762"/>
        <v>0</v>
      </c>
      <c r="DV166" s="110"/>
      <c r="DW166" s="74" t="s">
        <v>2076</v>
      </c>
      <c r="DX166" s="77">
        <f t="shared" ca="1" si="762"/>
        <v>0</v>
      </c>
      <c r="DY166" s="110"/>
      <c r="DZ166" s="74"/>
      <c r="EA166" s="77">
        <f t="shared" ca="1" si="762"/>
        <v>0</v>
      </c>
      <c r="EB166" s="110"/>
      <c r="EC166" s="74"/>
      <c r="ED166" s="77">
        <f t="shared" ca="1" si="762"/>
        <v>0</v>
      </c>
      <c r="EE166" s="110"/>
      <c r="EF166" s="74"/>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00"/>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874" t="s">
        <v>2683</v>
      </c>
      <c r="DR167" s="77">
        <f t="shared" ca="1" si="762"/>
        <v>0</v>
      </c>
      <c r="DS167" s="110"/>
      <c r="DT167" s="74" t="s">
        <v>2712</v>
      </c>
      <c r="DU167" s="77">
        <f t="shared" ca="1" si="762"/>
        <v>0</v>
      </c>
      <c r="DV167" s="110"/>
      <c r="DW167" s="74" t="s">
        <v>2735</v>
      </c>
      <c r="DX167" s="77">
        <f t="shared" ca="1" si="762"/>
        <v>0</v>
      </c>
      <c r="DY167" s="110"/>
      <c r="DZ167" s="74"/>
      <c r="EA167" s="77">
        <f t="shared" ca="1" si="762"/>
        <v>0</v>
      </c>
      <c r="EB167" s="110"/>
      <c r="EC167" s="74"/>
      <c r="ED167" s="77">
        <f t="shared" ca="1" si="762"/>
        <v>0</v>
      </c>
      <c r="EE167" s="110"/>
      <c r="EF167" s="74"/>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00"/>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874" t="s">
        <v>2684</v>
      </c>
      <c r="DR168" s="77">
        <f t="shared" ca="1" si="762"/>
        <v>0</v>
      </c>
      <c r="DS168" s="110"/>
      <c r="DT168" s="74" t="s">
        <v>2713</v>
      </c>
      <c r="DU168" s="77">
        <f t="shared" ca="1" si="762"/>
        <v>0</v>
      </c>
      <c r="DV168" s="110"/>
      <c r="DW168" s="74" t="s">
        <v>2101</v>
      </c>
      <c r="DX168" s="77">
        <f t="shared" ca="1" si="762"/>
        <v>0</v>
      </c>
      <c r="DY168" s="110"/>
      <c r="DZ168" s="74"/>
      <c r="EA168" s="77">
        <f t="shared" ca="1" si="762"/>
        <v>0</v>
      </c>
      <c r="EB168" s="110"/>
      <c r="EC168" s="74"/>
      <c r="ED168" s="77">
        <f t="shared" ca="1" si="762"/>
        <v>0</v>
      </c>
      <c r="EE168" s="110"/>
      <c r="EF168" s="74"/>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00"/>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874" t="s">
        <v>2685</v>
      </c>
      <c r="DR169" s="77">
        <f t="shared" ca="1" si="762"/>
        <v>0</v>
      </c>
      <c r="DS169" s="110"/>
      <c r="DT169" s="74" t="s">
        <v>2220</v>
      </c>
      <c r="DU169" s="77">
        <f t="shared" ca="1" si="762"/>
        <v>0</v>
      </c>
      <c r="DV169" s="110"/>
      <c r="DW169" s="74" t="s">
        <v>2487</v>
      </c>
      <c r="DX169" s="77">
        <f t="shared" ca="1" si="762"/>
        <v>0</v>
      </c>
      <c r="DY169" s="110"/>
      <c r="DZ169" s="74"/>
      <c r="EA169" s="77">
        <f t="shared" ca="1" si="762"/>
        <v>0</v>
      </c>
      <c r="EB169" s="110"/>
      <c r="EC169" s="74"/>
      <c r="ED169" s="77">
        <f t="shared" ca="1" si="762"/>
        <v>0</v>
      </c>
      <c r="EE169" s="110"/>
      <c r="EF169" s="74"/>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00"/>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874" t="s">
        <v>2686</v>
      </c>
      <c r="DR170" s="77">
        <f t="shared" ca="1" si="762"/>
        <v>0</v>
      </c>
      <c r="DS170" s="110"/>
      <c r="DT170" s="74" t="s">
        <v>2714</v>
      </c>
      <c r="DU170" s="77">
        <f t="shared" ca="1" si="762"/>
        <v>0</v>
      </c>
      <c r="DV170" s="110"/>
      <c r="DW170" s="74" t="s">
        <v>2078</v>
      </c>
      <c r="DX170" s="77">
        <f t="shared" ca="1" si="762"/>
        <v>0</v>
      </c>
      <c r="DY170" s="110"/>
      <c r="DZ170" s="74"/>
      <c r="EA170" s="77">
        <f t="shared" ca="1" si="762"/>
        <v>0</v>
      </c>
      <c r="EB170" s="110"/>
      <c r="EC170" s="74"/>
      <c r="ED170" s="77">
        <f t="shared" ca="1" si="762"/>
        <v>0</v>
      </c>
      <c r="EE170" s="110"/>
      <c r="EF170" s="74"/>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00"/>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874" t="s">
        <v>2687</v>
      </c>
      <c r="DR171" s="77">
        <f t="shared" ca="1" si="762"/>
        <v>0</v>
      </c>
      <c r="DS171" s="110"/>
      <c r="DT171" s="74" t="s">
        <v>2715</v>
      </c>
      <c r="DU171" s="77">
        <f t="shared" ca="1" si="762"/>
        <v>0</v>
      </c>
      <c r="DV171" s="110"/>
      <c r="DW171" s="74" t="s">
        <v>2295</v>
      </c>
      <c r="DX171" s="77">
        <f t="shared" ca="1" si="762"/>
        <v>0</v>
      </c>
      <c r="DY171" s="110"/>
      <c r="DZ171" s="74"/>
      <c r="EA171" s="77">
        <f t="shared" ca="1" si="762"/>
        <v>0</v>
      </c>
      <c r="EB171" s="110"/>
      <c r="EC171" s="74"/>
      <c r="ED171" s="77">
        <f t="shared" ca="1" si="762"/>
        <v>0</v>
      </c>
      <c r="EE171" s="110"/>
      <c r="EF171" s="74"/>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00"/>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874" t="s">
        <v>2688</v>
      </c>
      <c r="DR172" s="77">
        <f t="shared" ca="1" si="762"/>
        <v>0</v>
      </c>
      <c r="DS172" s="110"/>
      <c r="DT172" s="74" t="s">
        <v>2716</v>
      </c>
      <c r="DU172" s="77">
        <f t="shared" ca="1" si="762"/>
        <v>0</v>
      </c>
      <c r="DV172" s="110"/>
      <c r="DW172" s="74" t="s">
        <v>2736</v>
      </c>
      <c r="DX172" s="77">
        <f t="shared" ca="1" si="762"/>
        <v>0</v>
      </c>
      <c r="DY172" s="110"/>
      <c r="DZ172" s="74"/>
      <c r="EA172" s="77">
        <f t="shared" ca="1" si="762"/>
        <v>0</v>
      </c>
      <c r="EB172" s="110"/>
      <c r="EC172" s="74"/>
      <c r="ED172" s="77">
        <f t="shared" ca="1" si="762"/>
        <v>0</v>
      </c>
      <c r="EE172" s="110"/>
      <c r="EF172" s="74"/>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00"/>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874" t="s">
        <v>2524</v>
      </c>
      <c r="DR173" s="77">
        <f t="shared" ca="1" si="762"/>
        <v>0</v>
      </c>
      <c r="DS173" s="110"/>
      <c r="DT173" s="74" t="s">
        <v>2717</v>
      </c>
      <c r="DU173" s="77">
        <f t="shared" ca="1" si="762"/>
        <v>0</v>
      </c>
      <c r="DV173" s="110"/>
      <c r="DW173" s="74" t="s">
        <v>2737</v>
      </c>
      <c r="DX173" s="77">
        <f t="shared" ca="1" si="762"/>
        <v>0</v>
      </c>
      <c r="DY173" s="110"/>
      <c r="DZ173" s="74"/>
      <c r="EA173" s="77">
        <f t="shared" ca="1" si="762"/>
        <v>0</v>
      </c>
      <c r="EB173" s="110"/>
      <c r="EC173" s="74"/>
      <c r="ED173" s="77">
        <f t="shared" ca="1" si="762"/>
        <v>0</v>
      </c>
      <c r="EE173" s="110"/>
      <c r="EF173" s="74"/>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00"/>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874" t="s">
        <v>2013</v>
      </c>
      <c r="DR174" s="77">
        <f t="shared" ca="1" si="762"/>
        <v>0</v>
      </c>
      <c r="DS174" s="110"/>
      <c r="DT174" s="74" t="s">
        <v>2556</v>
      </c>
      <c r="DU174" s="77">
        <f t="shared" ca="1" si="762"/>
        <v>0</v>
      </c>
      <c r="DV174" s="110"/>
      <c r="DW174" s="74" t="s">
        <v>2468</v>
      </c>
      <c r="DX174" s="77">
        <f t="shared" ca="1" si="762"/>
        <v>0</v>
      </c>
      <c r="DY174" s="110"/>
      <c r="DZ174" s="74"/>
      <c r="EA174" s="77">
        <f t="shared" ca="1" si="762"/>
        <v>0</v>
      </c>
      <c r="EB174" s="110"/>
      <c r="EC174" s="74"/>
      <c r="ED174" s="77">
        <f t="shared" ca="1" si="762"/>
        <v>0</v>
      </c>
      <c r="EE174" s="110"/>
      <c r="EF174" s="74"/>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00"/>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874" t="s">
        <v>2689</v>
      </c>
      <c r="DR175" s="77">
        <f t="shared" ca="1" si="762"/>
        <v>0</v>
      </c>
      <c r="DS175" s="110"/>
      <c r="DT175" s="74" t="s">
        <v>2718</v>
      </c>
      <c r="DU175" s="77">
        <f t="shared" ca="1" si="762"/>
        <v>0</v>
      </c>
      <c r="DV175" s="110"/>
      <c r="DW175" s="74" t="s">
        <v>2738</v>
      </c>
      <c r="DX175" s="77">
        <f t="shared" ca="1" si="762"/>
        <v>0</v>
      </c>
      <c r="DY175" s="110"/>
      <c r="DZ175" s="74"/>
      <c r="EA175" s="77">
        <f t="shared" ca="1" si="762"/>
        <v>0</v>
      </c>
      <c r="EB175" s="110"/>
      <c r="EC175" s="74"/>
      <c r="ED175" s="77">
        <f t="shared" ca="1" si="762"/>
        <v>0</v>
      </c>
      <c r="EE175" s="110"/>
      <c r="EF175" s="74"/>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00"/>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874" t="s">
        <v>2690</v>
      </c>
      <c r="DR176" s="77">
        <f t="shared" ca="1" si="794"/>
        <v>0</v>
      </c>
      <c r="DS176" s="110"/>
      <c r="DT176" s="74" t="s">
        <v>2450</v>
      </c>
      <c r="DU176" s="77">
        <f t="shared" ca="1" si="762"/>
        <v>0</v>
      </c>
      <c r="DV176" s="110"/>
      <c r="DW176" s="74" t="s">
        <v>2350</v>
      </c>
      <c r="DX176" s="77">
        <f t="shared" ca="1" si="762"/>
        <v>0</v>
      </c>
      <c r="DY176" s="110"/>
      <c r="DZ176" s="74"/>
      <c r="EA176" s="77">
        <f t="shared" ca="1" si="762"/>
        <v>0</v>
      </c>
      <c r="EB176" s="110"/>
      <c r="EC176" s="74"/>
      <c r="ED176" s="77">
        <f t="shared" ca="1" si="762"/>
        <v>0</v>
      </c>
      <c r="EE176" s="110"/>
      <c r="EF176" s="74"/>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00"/>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874" t="s">
        <v>2691</v>
      </c>
      <c r="DR177" s="77">
        <f t="shared" ca="1" si="794"/>
        <v>0</v>
      </c>
      <c r="DS177" s="110"/>
      <c r="DT177" s="74" t="s">
        <v>1977</v>
      </c>
      <c r="DU177" s="77">
        <f t="shared" ca="1" si="762"/>
        <v>0</v>
      </c>
      <c r="DV177" s="110"/>
      <c r="DW177" s="74" t="s">
        <v>2248</v>
      </c>
      <c r="DX177" s="77">
        <f t="shared" ca="1" si="762"/>
        <v>0</v>
      </c>
      <c r="DY177" s="110"/>
      <c r="DZ177" s="74"/>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c r="ED177" s="77">
        <f t="shared" ca="1" si="796"/>
        <v>0</v>
      </c>
      <c r="EE177" s="110"/>
      <c r="EF177" s="74"/>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00"/>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874"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c r="EA178" s="77">
        <f t="shared" ca="1" si="797"/>
        <v>0</v>
      </c>
      <c r="EB178" s="110"/>
      <c r="EC178" s="74"/>
      <c r="ED178" s="77">
        <f t="shared" ca="1" si="797"/>
        <v>0</v>
      </c>
      <c r="EE178" s="110"/>
      <c r="EF178" s="74"/>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00"/>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874" t="s">
        <v>2693</v>
      </c>
      <c r="DR179" s="81">
        <f t="shared" ca="1" si="794"/>
        <v>0</v>
      </c>
      <c r="DS179" s="110"/>
      <c r="DT179" s="80" t="s">
        <v>2720</v>
      </c>
      <c r="DU179" s="81">
        <f t="shared" ca="1" si="797"/>
        <v>0</v>
      </c>
      <c r="DV179" s="110"/>
      <c r="DW179" s="80" t="s">
        <v>2166</v>
      </c>
      <c r="DX179" s="81">
        <f t="shared" ca="1" si="797"/>
        <v>0</v>
      </c>
      <c r="DY179" s="110"/>
      <c r="DZ179" s="80"/>
      <c r="EA179" s="81">
        <f t="shared" ca="1" si="797"/>
        <v>0</v>
      </c>
      <c r="EB179" s="110"/>
      <c r="EC179" s="80"/>
      <c r="ED179" s="81">
        <f t="shared" ca="1" si="797"/>
        <v>0</v>
      </c>
      <c r="EE179" s="110"/>
      <c r="EF179" s="80"/>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875"/>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875"/>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00"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874"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c r="EA182" s="77">
        <f t="shared" ref="EA182:EA197" si="884">COUNTIF($M$182:$M$197,DZ182)*$D$19</f>
        <v>0</v>
      </c>
      <c r="EB182" s="64"/>
      <c r="EC182" s="76"/>
      <c r="ED182" s="77">
        <f t="shared" ref="ED182:ED197" si="885">COUNTIF($M$182:$M$197,EC182)*$D$19</f>
        <v>0</v>
      </c>
      <c r="EE182" s="64"/>
      <c r="EF182" s="76"/>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00"/>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874" t="s">
        <v>77</v>
      </c>
      <c r="DR183" s="73">
        <f t="shared" si="881"/>
        <v>0</v>
      </c>
      <c r="DS183" s="64"/>
      <c r="DT183" s="74" t="s">
        <v>77</v>
      </c>
      <c r="DU183" s="73">
        <f t="shared" si="882"/>
        <v>0</v>
      </c>
      <c r="DV183" s="64"/>
      <c r="DW183" s="74" t="s">
        <v>77</v>
      </c>
      <c r="DX183" s="73">
        <f t="shared" si="883"/>
        <v>0</v>
      </c>
      <c r="DY183" s="64"/>
      <c r="DZ183" s="74"/>
      <c r="EA183" s="73">
        <f t="shared" si="884"/>
        <v>0</v>
      </c>
      <c r="EB183" s="64"/>
      <c r="EC183" s="74"/>
      <c r="ED183" s="73">
        <f t="shared" si="885"/>
        <v>0</v>
      </c>
      <c r="EE183" s="64"/>
      <c r="EF183" s="74"/>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00"/>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874" t="s">
        <v>111</v>
      </c>
      <c r="DR184" s="73">
        <f t="shared" si="881"/>
        <v>0</v>
      </c>
      <c r="DS184" s="64"/>
      <c r="DT184" s="74" t="s">
        <v>1321</v>
      </c>
      <c r="DU184" s="73">
        <f t="shared" si="882"/>
        <v>0</v>
      </c>
      <c r="DV184" s="64"/>
      <c r="DW184" s="74" t="s">
        <v>1258</v>
      </c>
      <c r="DX184" s="73">
        <f t="shared" si="883"/>
        <v>0</v>
      </c>
      <c r="DY184" s="64"/>
      <c r="DZ184" s="74"/>
      <c r="EA184" s="73">
        <f t="shared" si="884"/>
        <v>0</v>
      </c>
      <c r="EB184" s="64"/>
      <c r="EC184" s="74"/>
      <c r="ED184" s="73">
        <f t="shared" si="885"/>
        <v>0</v>
      </c>
      <c r="EE184" s="64"/>
      <c r="EF184" s="74"/>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00"/>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874" t="s">
        <v>1633</v>
      </c>
      <c r="DR185" s="73">
        <f t="shared" si="881"/>
        <v>0</v>
      </c>
      <c r="DS185" s="64"/>
      <c r="DT185" s="74" t="s">
        <v>1258</v>
      </c>
      <c r="DU185" s="73">
        <f t="shared" si="882"/>
        <v>0</v>
      </c>
      <c r="DV185" s="64"/>
      <c r="DW185" s="74" t="s">
        <v>1265</v>
      </c>
      <c r="DX185" s="73">
        <f t="shared" si="883"/>
        <v>0</v>
      </c>
      <c r="DY185" s="64"/>
      <c r="DZ185" s="74"/>
      <c r="EA185" s="73">
        <f t="shared" si="884"/>
        <v>0</v>
      </c>
      <c r="EB185" s="64"/>
      <c r="EC185" s="74"/>
      <c r="ED185" s="73">
        <f t="shared" si="885"/>
        <v>0</v>
      </c>
      <c r="EE185" s="64"/>
      <c r="EF185" s="74"/>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00"/>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874" t="s">
        <v>76</v>
      </c>
      <c r="DR186" s="73">
        <f t="shared" si="881"/>
        <v>0</v>
      </c>
      <c r="DS186" s="64"/>
      <c r="DT186" s="74" t="s">
        <v>79</v>
      </c>
      <c r="DU186" s="73">
        <f t="shared" si="882"/>
        <v>0</v>
      </c>
      <c r="DV186" s="64"/>
      <c r="DW186" s="74" t="s">
        <v>1320</v>
      </c>
      <c r="DX186" s="73">
        <f t="shared" si="883"/>
        <v>0</v>
      </c>
      <c r="DY186" s="64"/>
      <c r="DZ186" s="74"/>
      <c r="EA186" s="73">
        <f t="shared" si="884"/>
        <v>0</v>
      </c>
      <c r="EB186" s="64"/>
      <c r="EC186" s="74"/>
      <c r="ED186" s="73">
        <f t="shared" si="885"/>
        <v>0</v>
      </c>
      <c r="EE186" s="64"/>
      <c r="EF186" s="74"/>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00"/>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874" t="s">
        <v>497</v>
      </c>
      <c r="DR187" s="73">
        <f t="shared" si="881"/>
        <v>0</v>
      </c>
      <c r="DS187" s="64"/>
      <c r="DT187" s="74" t="s">
        <v>497</v>
      </c>
      <c r="DU187" s="73">
        <f t="shared" si="882"/>
        <v>0</v>
      </c>
      <c r="DV187" s="64"/>
      <c r="DW187" s="74" t="s">
        <v>1633</v>
      </c>
      <c r="DX187" s="73">
        <f t="shared" si="883"/>
        <v>0</v>
      </c>
      <c r="DY187" s="64"/>
      <c r="DZ187" s="74"/>
      <c r="EA187" s="73">
        <f t="shared" si="884"/>
        <v>0</v>
      </c>
      <c r="EB187" s="64"/>
      <c r="EC187" s="74"/>
      <c r="ED187" s="73">
        <f t="shared" si="885"/>
        <v>0</v>
      </c>
      <c r="EE187" s="64"/>
      <c r="EF187" s="74"/>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00"/>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874" t="s">
        <v>1256</v>
      </c>
      <c r="DR188" s="73">
        <f t="shared" si="881"/>
        <v>0</v>
      </c>
      <c r="DS188" s="64"/>
      <c r="DT188" s="74" t="s">
        <v>1318</v>
      </c>
      <c r="DU188" s="73">
        <f t="shared" si="882"/>
        <v>0</v>
      </c>
      <c r="DV188" s="64"/>
      <c r="DW188" s="74" t="s">
        <v>1256</v>
      </c>
      <c r="DX188" s="73">
        <f t="shared" si="883"/>
        <v>0</v>
      </c>
      <c r="DY188" s="64"/>
      <c r="DZ188" s="74"/>
      <c r="EA188" s="73">
        <f t="shared" si="884"/>
        <v>0</v>
      </c>
      <c r="EB188" s="64"/>
      <c r="EC188" s="74"/>
      <c r="ED188" s="73">
        <f t="shared" si="885"/>
        <v>0</v>
      </c>
      <c r="EE188" s="64"/>
      <c r="EF188" s="74"/>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00"/>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874" t="s">
        <v>75</v>
      </c>
      <c r="DR189" s="73">
        <f t="shared" si="881"/>
        <v>0</v>
      </c>
      <c r="DS189" s="64"/>
      <c r="DT189" s="74" t="s">
        <v>75</v>
      </c>
      <c r="DU189" s="73">
        <f t="shared" si="882"/>
        <v>0</v>
      </c>
      <c r="DV189" s="64"/>
      <c r="DW189" s="74" t="s">
        <v>75</v>
      </c>
      <c r="DX189" s="73">
        <f t="shared" si="883"/>
        <v>0</v>
      </c>
      <c r="DY189" s="64"/>
      <c r="DZ189" s="74"/>
      <c r="EA189" s="73">
        <f t="shared" si="884"/>
        <v>0</v>
      </c>
      <c r="EB189" s="64"/>
      <c r="EC189" s="74"/>
      <c r="ED189" s="73">
        <f t="shared" si="885"/>
        <v>0</v>
      </c>
      <c r="EE189" s="64"/>
      <c r="EF189" s="74"/>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00"/>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874" t="s">
        <v>1258</v>
      </c>
      <c r="DR190" s="73">
        <f t="shared" si="881"/>
        <v>0</v>
      </c>
      <c r="DS190" s="64"/>
      <c r="DT190" s="74" t="s">
        <v>134</v>
      </c>
      <c r="DU190" s="73">
        <f t="shared" si="882"/>
        <v>0</v>
      </c>
      <c r="DV190" s="64"/>
      <c r="DW190" s="74" t="s">
        <v>111</v>
      </c>
      <c r="DX190" s="73">
        <f t="shared" si="883"/>
        <v>0</v>
      </c>
      <c r="DY190" s="64"/>
      <c r="DZ190" s="74"/>
      <c r="EA190" s="73">
        <f t="shared" si="884"/>
        <v>0</v>
      </c>
      <c r="EB190" s="64"/>
      <c r="EC190" s="74"/>
      <c r="ED190" s="73">
        <f t="shared" si="885"/>
        <v>0</v>
      </c>
      <c r="EE190" s="64"/>
      <c r="EF190" s="74"/>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00"/>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874" t="s">
        <v>1318</v>
      </c>
      <c r="DR191" s="73">
        <f t="shared" si="881"/>
        <v>0</v>
      </c>
      <c r="DS191" s="64"/>
      <c r="DT191" s="74" t="s">
        <v>74</v>
      </c>
      <c r="DU191" s="73">
        <f t="shared" si="882"/>
        <v>0</v>
      </c>
      <c r="DV191" s="64"/>
      <c r="DW191" s="74" t="s">
        <v>74</v>
      </c>
      <c r="DX191" s="73">
        <f t="shared" si="883"/>
        <v>0</v>
      </c>
      <c r="DY191" s="64"/>
      <c r="DZ191" s="74"/>
      <c r="EA191" s="73">
        <f t="shared" si="884"/>
        <v>0</v>
      </c>
      <c r="EB191" s="64"/>
      <c r="EC191" s="74"/>
      <c r="ED191" s="73">
        <f t="shared" si="885"/>
        <v>0</v>
      </c>
      <c r="EE191" s="64"/>
      <c r="EF191" s="74"/>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00"/>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874" t="s">
        <v>1261</v>
      </c>
      <c r="DR192" s="73">
        <f t="shared" si="881"/>
        <v>0</v>
      </c>
      <c r="DS192" s="64"/>
      <c r="DT192" s="74" t="s">
        <v>135</v>
      </c>
      <c r="DU192" s="73">
        <f t="shared" si="882"/>
        <v>0</v>
      </c>
      <c r="DV192" s="64"/>
      <c r="DW192" s="74" t="s">
        <v>135</v>
      </c>
      <c r="DX192" s="73">
        <f t="shared" si="883"/>
        <v>0</v>
      </c>
      <c r="DY192" s="64"/>
      <c r="DZ192" s="74"/>
      <c r="EA192" s="73">
        <f t="shared" si="884"/>
        <v>0</v>
      </c>
      <c r="EB192" s="64"/>
      <c r="EC192" s="74"/>
      <c r="ED192" s="73">
        <f t="shared" si="885"/>
        <v>0</v>
      </c>
      <c r="EE192" s="64"/>
      <c r="EF192" s="74"/>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00"/>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874" t="s">
        <v>78</v>
      </c>
      <c r="DR193" s="73">
        <f t="shared" si="881"/>
        <v>0</v>
      </c>
      <c r="DS193" s="64"/>
      <c r="DT193" s="74" t="s">
        <v>78</v>
      </c>
      <c r="DU193" s="73">
        <f t="shared" si="882"/>
        <v>0</v>
      </c>
      <c r="DV193" s="64"/>
      <c r="DW193" s="74" t="s">
        <v>76</v>
      </c>
      <c r="DX193" s="73">
        <f t="shared" si="883"/>
        <v>0</v>
      </c>
      <c r="DY193" s="64"/>
      <c r="DZ193" s="74"/>
      <c r="EA193" s="73">
        <f t="shared" si="884"/>
        <v>0</v>
      </c>
      <c r="EB193" s="64"/>
      <c r="EC193" s="74"/>
      <c r="ED193" s="73">
        <f t="shared" si="885"/>
        <v>0</v>
      </c>
      <c r="EE193" s="64"/>
      <c r="EF193" s="74"/>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00"/>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874" t="s">
        <v>38</v>
      </c>
      <c r="DR194" s="73">
        <f t="shared" si="881"/>
        <v>0</v>
      </c>
      <c r="DS194" s="64"/>
      <c r="DT194" s="74" t="s">
        <v>38</v>
      </c>
      <c r="DU194" s="73">
        <f t="shared" si="882"/>
        <v>0</v>
      </c>
      <c r="DV194" s="64"/>
      <c r="DW194" s="74" t="s">
        <v>38</v>
      </c>
      <c r="DX194" s="73">
        <f t="shared" si="883"/>
        <v>0</v>
      </c>
      <c r="DY194" s="64"/>
      <c r="DZ194" s="74"/>
      <c r="EA194" s="73">
        <f t="shared" si="884"/>
        <v>0</v>
      </c>
      <c r="EB194" s="64"/>
      <c r="EC194" s="74"/>
      <c r="ED194" s="73">
        <f t="shared" si="885"/>
        <v>0</v>
      </c>
      <c r="EE194" s="64"/>
      <c r="EF194" s="74"/>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00"/>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874" t="s">
        <v>135</v>
      </c>
      <c r="DR195" s="73">
        <f t="shared" si="881"/>
        <v>0</v>
      </c>
      <c r="DS195" s="64"/>
      <c r="DT195" s="74" t="s">
        <v>110</v>
      </c>
      <c r="DU195" s="73">
        <f t="shared" si="882"/>
        <v>0</v>
      </c>
      <c r="DV195" s="64"/>
      <c r="DW195" s="74" t="s">
        <v>1558</v>
      </c>
      <c r="DX195" s="73">
        <f t="shared" si="883"/>
        <v>0</v>
      </c>
      <c r="DY195" s="64"/>
      <c r="DZ195" s="74"/>
      <c r="EA195" s="73">
        <f t="shared" si="884"/>
        <v>0</v>
      </c>
      <c r="EB195" s="64"/>
      <c r="EC195" s="74"/>
      <c r="ED195" s="73">
        <f t="shared" si="885"/>
        <v>0</v>
      </c>
      <c r="EE195" s="64"/>
      <c r="EF195" s="74"/>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00"/>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874" t="s">
        <v>110</v>
      </c>
      <c r="DR196" s="73">
        <f t="shared" si="881"/>
        <v>0</v>
      </c>
      <c r="DS196" s="64"/>
      <c r="DT196" s="74" t="s">
        <v>1835</v>
      </c>
      <c r="DU196" s="73">
        <f t="shared" si="882"/>
        <v>0</v>
      </c>
      <c r="DV196" s="64"/>
      <c r="DW196" s="74" t="s">
        <v>497</v>
      </c>
      <c r="DX196" s="73">
        <f t="shared" si="883"/>
        <v>0</v>
      </c>
      <c r="DY196" s="64"/>
      <c r="DZ196" s="74"/>
      <c r="EA196" s="73">
        <f t="shared" si="884"/>
        <v>0</v>
      </c>
      <c r="EB196" s="64"/>
      <c r="EC196" s="74"/>
      <c r="ED196" s="73">
        <f t="shared" si="885"/>
        <v>0</v>
      </c>
      <c r="EE196" s="64"/>
      <c r="EF196" s="74"/>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00"/>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874" t="s">
        <v>79</v>
      </c>
      <c r="DR197" s="81">
        <f t="shared" si="881"/>
        <v>0</v>
      </c>
      <c r="DS197" s="64"/>
      <c r="DT197" s="80" t="s">
        <v>1320</v>
      </c>
      <c r="DU197" s="81">
        <f t="shared" si="882"/>
        <v>0</v>
      </c>
      <c r="DV197" s="64"/>
      <c r="DW197" s="80" t="s">
        <v>79</v>
      </c>
      <c r="DX197" s="81">
        <f t="shared" si="883"/>
        <v>0</v>
      </c>
      <c r="DY197" s="64"/>
      <c r="DZ197" s="80"/>
      <c r="EA197" s="81">
        <f t="shared" si="884"/>
        <v>0</v>
      </c>
      <c r="EB197" s="64"/>
      <c r="EC197" s="80"/>
      <c r="ED197" s="81">
        <f t="shared" si="885"/>
        <v>0</v>
      </c>
      <c r="EE197" s="64"/>
      <c r="EF197" s="80"/>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875"/>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875"/>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00"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876"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tr">
        <f>Idiomas!$D$368</f>
        <v>Pegar Valores Octavos</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tr">
        <f>Idiomas!$D$368</f>
        <v>Pegar Valores Octavos</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tr">
        <f>Idiomas!$D$368</f>
        <v>Pegar Valores Octavos</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00"/>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876" t="s">
        <v>2695</v>
      </c>
      <c r="DR201" s="73">
        <f t="shared" si="972"/>
        <v>0</v>
      </c>
      <c r="DS201" s="110"/>
      <c r="DT201" s="80" t="s">
        <v>2628</v>
      </c>
      <c r="DU201" s="73">
        <f t="shared" si="972"/>
        <v>0</v>
      </c>
      <c r="DV201" s="110"/>
      <c r="DW201" s="80" t="s">
        <v>2199</v>
      </c>
      <c r="DX201" s="73">
        <f t="shared" si="972"/>
        <v>0</v>
      </c>
      <c r="DY201" s="110"/>
      <c r="DZ201" s="80"/>
      <c r="EA201" s="73">
        <f t="shared" si="972"/>
        <v>0</v>
      </c>
      <c r="EB201" s="110"/>
      <c r="EC201" s="80"/>
      <c r="ED201" s="73">
        <f t="shared" si="972"/>
        <v>0</v>
      </c>
      <c r="EE201" s="110"/>
      <c r="EF201" s="80"/>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00"/>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876" t="s">
        <v>2696</v>
      </c>
      <c r="DR202" s="73">
        <f t="shared" si="972"/>
        <v>0</v>
      </c>
      <c r="DS202" s="110"/>
      <c r="DT202" s="80" t="s">
        <v>2722</v>
      </c>
      <c r="DU202" s="73">
        <f t="shared" si="972"/>
        <v>0</v>
      </c>
      <c r="DV202" s="110"/>
      <c r="DW202" s="80" t="s">
        <v>2740</v>
      </c>
      <c r="DX202" s="73">
        <f t="shared" si="972"/>
        <v>0</v>
      </c>
      <c r="DY202" s="110"/>
      <c r="DZ202" s="80"/>
      <c r="EA202" s="73">
        <f t="shared" si="972"/>
        <v>0</v>
      </c>
      <c r="EB202" s="110"/>
      <c r="EC202" s="80"/>
      <c r="ED202" s="73">
        <f t="shared" si="972"/>
        <v>0</v>
      </c>
      <c r="EE202" s="110"/>
      <c r="EF202" s="80"/>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00"/>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876" t="s">
        <v>2697</v>
      </c>
      <c r="DR203" s="73">
        <f t="shared" si="972"/>
        <v>0</v>
      </c>
      <c r="DS203" s="110"/>
      <c r="DT203" s="80" t="s">
        <v>2723</v>
      </c>
      <c r="DU203" s="73">
        <f t="shared" si="972"/>
        <v>0</v>
      </c>
      <c r="DV203" s="110"/>
      <c r="DW203" s="80" t="s">
        <v>2252</v>
      </c>
      <c r="DX203" s="73">
        <f t="shared" si="972"/>
        <v>0</v>
      </c>
      <c r="DY203" s="110"/>
      <c r="DZ203" s="80"/>
      <c r="EA203" s="73">
        <f t="shared" si="972"/>
        <v>0</v>
      </c>
      <c r="EB203" s="110"/>
      <c r="EC203" s="80"/>
      <c r="ED203" s="73">
        <f t="shared" si="972"/>
        <v>0</v>
      </c>
      <c r="EE203" s="110"/>
      <c r="EF203" s="80"/>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00"/>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876" t="s">
        <v>2698</v>
      </c>
      <c r="DR204" s="73">
        <f t="shared" si="972"/>
        <v>0</v>
      </c>
      <c r="DS204" s="110"/>
      <c r="DT204" s="80" t="s">
        <v>2724</v>
      </c>
      <c r="DU204" s="73">
        <f t="shared" si="972"/>
        <v>0</v>
      </c>
      <c r="DV204" s="110"/>
      <c r="DW204" s="80" t="s">
        <v>2741</v>
      </c>
      <c r="DX204" s="73">
        <f t="shared" si="972"/>
        <v>0</v>
      </c>
      <c r="DY204" s="110"/>
      <c r="DZ204" s="80"/>
      <c r="EA204" s="73">
        <f t="shared" si="972"/>
        <v>0</v>
      </c>
      <c r="EB204" s="110"/>
      <c r="EC204" s="80"/>
      <c r="ED204" s="73">
        <f t="shared" si="972"/>
        <v>0</v>
      </c>
      <c r="EE204" s="110"/>
      <c r="EF204" s="80"/>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00"/>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876" t="s">
        <v>2699</v>
      </c>
      <c r="DR205" s="73">
        <f t="shared" si="972"/>
        <v>0</v>
      </c>
      <c r="DS205" s="110"/>
      <c r="DT205" s="80" t="s">
        <v>2354</v>
      </c>
      <c r="DU205" s="73">
        <f t="shared" si="972"/>
        <v>0</v>
      </c>
      <c r="DV205" s="110"/>
      <c r="DW205" s="80" t="s">
        <v>2742</v>
      </c>
      <c r="DX205" s="73">
        <f t="shared" si="972"/>
        <v>0</v>
      </c>
      <c r="DY205" s="110"/>
      <c r="DZ205" s="80"/>
      <c r="EA205" s="73">
        <f t="shared" si="972"/>
        <v>0</v>
      </c>
      <c r="EB205" s="110"/>
      <c r="EC205" s="80"/>
      <c r="ED205" s="73">
        <f t="shared" si="972"/>
        <v>0</v>
      </c>
      <c r="EE205" s="110"/>
      <c r="EF205" s="80"/>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00"/>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876" t="s">
        <v>2700</v>
      </c>
      <c r="DR206" s="73">
        <f t="shared" si="972"/>
        <v>0</v>
      </c>
      <c r="DS206" s="110"/>
      <c r="DT206" s="80" t="s">
        <v>2725</v>
      </c>
      <c r="DU206" s="73">
        <f t="shared" si="972"/>
        <v>0</v>
      </c>
      <c r="DV206" s="110"/>
      <c r="DW206" s="80" t="s">
        <v>2025</v>
      </c>
      <c r="DX206" s="73">
        <f t="shared" si="972"/>
        <v>0</v>
      </c>
      <c r="DY206" s="110"/>
      <c r="DZ206" s="80"/>
      <c r="EA206" s="73">
        <f t="shared" si="972"/>
        <v>0</v>
      </c>
      <c r="EB206" s="110"/>
      <c r="EC206" s="80"/>
      <c r="ED206" s="73">
        <f t="shared" si="972"/>
        <v>0</v>
      </c>
      <c r="EE206" s="110"/>
      <c r="EF206" s="80"/>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00"/>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876" t="s">
        <v>2172</v>
      </c>
      <c r="DR207" s="85">
        <f t="shared" si="972"/>
        <v>0</v>
      </c>
      <c r="DS207" s="110"/>
      <c r="DT207" s="80" t="s">
        <v>2726</v>
      </c>
      <c r="DU207" s="85">
        <f t="shared" si="972"/>
        <v>0</v>
      </c>
      <c r="DV207" s="110"/>
      <c r="DW207" s="80" t="s">
        <v>2233</v>
      </c>
      <c r="DX207" s="85">
        <f t="shared" si="972"/>
        <v>0</v>
      </c>
      <c r="DY207" s="110"/>
      <c r="DZ207" s="80"/>
      <c r="EA207" s="85">
        <f t="shared" si="972"/>
        <v>0</v>
      </c>
      <c r="EB207" s="110"/>
      <c r="EC207" s="80"/>
      <c r="ED207" s="85">
        <f t="shared" si="972"/>
        <v>0</v>
      </c>
      <c r="EE207" s="110"/>
      <c r="EF207" s="80"/>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875"/>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875"/>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00"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874"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c r="EA210" s="77">
        <f t="shared" ref="EA210:EA217" si="1087">COUNTIF($M$210:$M$217,DZ210)*$D$23</f>
        <v>0</v>
      </c>
      <c r="EB210" s="110"/>
      <c r="EC210" s="76"/>
      <c r="ED210" s="77">
        <f t="shared" ref="ED210:ED217" si="1088">COUNTIF($M$210:$M$217,EC210)*$D$23</f>
        <v>0</v>
      </c>
      <c r="EE210" s="110"/>
      <c r="EF210" s="76"/>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00"/>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874" t="s">
        <v>76</v>
      </c>
      <c r="DR211" s="73">
        <f t="shared" si="1084"/>
        <v>0</v>
      </c>
      <c r="DS211" s="110"/>
      <c r="DT211" s="74" t="s">
        <v>38</v>
      </c>
      <c r="DU211" s="73">
        <f t="shared" si="1085"/>
        <v>0</v>
      </c>
      <c r="DV211" s="110"/>
      <c r="DW211" s="74" t="s">
        <v>38</v>
      </c>
      <c r="DX211" s="73">
        <f t="shared" si="1086"/>
        <v>0</v>
      </c>
      <c r="DY211" s="110"/>
      <c r="DZ211" s="74"/>
      <c r="EA211" s="73">
        <f t="shared" si="1087"/>
        <v>0</v>
      </c>
      <c r="EB211" s="110"/>
      <c r="EC211" s="74"/>
      <c r="ED211" s="73">
        <f t="shared" si="1088"/>
        <v>0</v>
      </c>
      <c r="EE211" s="110"/>
      <c r="EF211" s="74"/>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00"/>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874" t="s">
        <v>111</v>
      </c>
      <c r="DR212" s="73">
        <f t="shared" si="1084"/>
        <v>0</v>
      </c>
      <c r="DS212" s="110"/>
      <c r="DT212" s="74" t="s">
        <v>1321</v>
      </c>
      <c r="DU212" s="73">
        <f t="shared" si="1085"/>
        <v>0</v>
      </c>
      <c r="DV212" s="110"/>
      <c r="DW212" s="74" t="s">
        <v>135</v>
      </c>
      <c r="DX212" s="73">
        <f t="shared" si="1086"/>
        <v>0</v>
      </c>
      <c r="DY212" s="110"/>
      <c r="DZ212" s="74"/>
      <c r="EA212" s="73">
        <f t="shared" si="1087"/>
        <v>0</v>
      </c>
      <c r="EB212" s="110"/>
      <c r="EC212" s="74"/>
      <c r="ED212" s="73">
        <f t="shared" si="1088"/>
        <v>0</v>
      </c>
      <c r="EE212" s="110"/>
      <c r="EF212" s="74"/>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00"/>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874" t="s">
        <v>1256</v>
      </c>
      <c r="DR213" s="73">
        <f t="shared" si="1084"/>
        <v>0</v>
      </c>
      <c r="DS213" s="110"/>
      <c r="DT213" s="74" t="s">
        <v>1835</v>
      </c>
      <c r="DU213" s="73">
        <f t="shared" si="1085"/>
        <v>0</v>
      </c>
      <c r="DV213" s="110"/>
      <c r="DW213" s="74" t="s">
        <v>1256</v>
      </c>
      <c r="DX213" s="73">
        <f t="shared" si="1086"/>
        <v>0</v>
      </c>
      <c r="DY213" s="110"/>
      <c r="DZ213" s="74"/>
      <c r="EA213" s="73">
        <f t="shared" si="1087"/>
        <v>0</v>
      </c>
      <c r="EB213" s="110"/>
      <c r="EC213" s="74"/>
      <c r="ED213" s="73">
        <f t="shared" si="1088"/>
        <v>0</v>
      </c>
      <c r="EE213" s="110"/>
      <c r="EF213" s="74"/>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00"/>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874" t="s">
        <v>1258</v>
      </c>
      <c r="DR214" s="73">
        <f t="shared" si="1084"/>
        <v>0</v>
      </c>
      <c r="DS214" s="110"/>
      <c r="DT214" s="74" t="s">
        <v>134</v>
      </c>
      <c r="DU214" s="73">
        <f t="shared" si="1085"/>
        <v>0</v>
      </c>
      <c r="DV214" s="110"/>
      <c r="DW214" s="74" t="s">
        <v>111</v>
      </c>
      <c r="DX214" s="73">
        <f t="shared" si="1086"/>
        <v>0</v>
      </c>
      <c r="DY214" s="110"/>
      <c r="DZ214" s="74"/>
      <c r="EA214" s="73">
        <f t="shared" si="1087"/>
        <v>0</v>
      </c>
      <c r="EB214" s="110"/>
      <c r="EC214" s="74"/>
      <c r="ED214" s="73">
        <f t="shared" si="1088"/>
        <v>0</v>
      </c>
      <c r="EE214" s="110"/>
      <c r="EF214" s="74"/>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00"/>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874" t="s">
        <v>135</v>
      </c>
      <c r="DR215" s="73">
        <f t="shared" si="1084"/>
        <v>0</v>
      </c>
      <c r="DS215" s="110"/>
      <c r="DT215" s="74" t="s">
        <v>110</v>
      </c>
      <c r="DU215" s="73">
        <f t="shared" si="1085"/>
        <v>0</v>
      </c>
      <c r="DV215" s="110"/>
      <c r="DW215" s="74" t="s">
        <v>1633</v>
      </c>
      <c r="DX215" s="73">
        <f t="shared" si="1086"/>
        <v>0</v>
      </c>
      <c r="DY215" s="110"/>
      <c r="DZ215" s="74"/>
      <c r="EA215" s="73">
        <f t="shared" si="1087"/>
        <v>0</v>
      </c>
      <c r="EB215" s="110"/>
      <c r="EC215" s="74"/>
      <c r="ED215" s="73">
        <f t="shared" si="1088"/>
        <v>0</v>
      </c>
      <c r="EE215" s="110"/>
      <c r="EF215" s="74"/>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00"/>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874" t="s">
        <v>78</v>
      </c>
      <c r="DR216" s="73">
        <f t="shared" si="1084"/>
        <v>0</v>
      </c>
      <c r="DS216" s="110"/>
      <c r="DT216" s="74" t="s">
        <v>1258</v>
      </c>
      <c r="DU216" s="73">
        <f t="shared" si="1085"/>
        <v>0</v>
      </c>
      <c r="DV216" s="110"/>
      <c r="DW216" s="74" t="s">
        <v>76</v>
      </c>
      <c r="DX216" s="73">
        <f t="shared" si="1086"/>
        <v>0</v>
      </c>
      <c r="DY216" s="110"/>
      <c r="DZ216" s="74"/>
      <c r="EA216" s="73">
        <f t="shared" si="1087"/>
        <v>0</v>
      </c>
      <c r="EB216" s="110"/>
      <c r="EC216" s="74"/>
      <c r="ED216" s="73">
        <f t="shared" si="1088"/>
        <v>0</v>
      </c>
      <c r="EE216" s="110"/>
      <c r="EF216" s="74"/>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00"/>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874" t="s">
        <v>79</v>
      </c>
      <c r="DR217" s="81">
        <f t="shared" si="1084"/>
        <v>0</v>
      </c>
      <c r="DS217" s="110"/>
      <c r="DT217" s="80" t="s">
        <v>1320</v>
      </c>
      <c r="DU217" s="81">
        <f t="shared" si="1085"/>
        <v>0</v>
      </c>
      <c r="DV217" s="110"/>
      <c r="DW217" s="80" t="s">
        <v>79</v>
      </c>
      <c r="DX217" s="81">
        <f t="shared" si="1086"/>
        <v>0</v>
      </c>
      <c r="DY217" s="110"/>
      <c r="DZ217" s="80"/>
      <c r="EA217" s="81">
        <f t="shared" si="1087"/>
        <v>0</v>
      </c>
      <c r="EB217" s="110"/>
      <c r="EC217" s="80"/>
      <c r="ED217" s="81">
        <f t="shared" si="1088"/>
        <v>0</v>
      </c>
      <c r="EE217" s="110"/>
      <c r="EF217" s="80"/>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875"/>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875"/>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00"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874"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tr">
        <f>Idiomas!$D$369</f>
        <v>Pegar valores Cuartos</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tr">
        <f>Idiomas!$D$369</f>
        <v>Pegar valores Cuartos</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tr">
        <f>Idiomas!$D$369</f>
        <v>Pegar valores Cuartos</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00"/>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874" t="s">
        <v>2702</v>
      </c>
      <c r="DR221" s="77">
        <f t="shared" si="1174"/>
        <v>0</v>
      </c>
      <c r="DS221" s="110"/>
      <c r="DT221" s="74" t="s">
        <v>2064</v>
      </c>
      <c r="DU221" s="77">
        <f t="shared" si="1174"/>
        <v>0</v>
      </c>
      <c r="DV221" s="110"/>
      <c r="DW221" s="74" t="s">
        <v>2743</v>
      </c>
      <c r="DX221" s="77">
        <f t="shared" si="1174"/>
        <v>0</v>
      </c>
      <c r="DY221" s="110"/>
      <c r="DZ221" s="74"/>
      <c r="EA221" s="77">
        <f t="shared" si="1174"/>
        <v>0</v>
      </c>
      <c r="EB221" s="110"/>
      <c r="EC221" s="74"/>
      <c r="ED221" s="77">
        <f t="shared" si="1174"/>
        <v>0</v>
      </c>
      <c r="EE221" s="110"/>
      <c r="EF221" s="74"/>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00"/>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874" t="s">
        <v>2703</v>
      </c>
      <c r="DR222" s="77">
        <f t="shared" si="1174"/>
        <v>0</v>
      </c>
      <c r="DS222" s="110"/>
      <c r="DT222" s="74" t="s">
        <v>2727</v>
      </c>
      <c r="DU222" s="77">
        <f t="shared" si="1174"/>
        <v>0</v>
      </c>
      <c r="DV222" s="110"/>
      <c r="DW222" s="74" t="s">
        <v>2744</v>
      </c>
      <c r="DX222" s="77">
        <f t="shared" si="1174"/>
        <v>0</v>
      </c>
      <c r="DY222" s="110"/>
      <c r="DZ222" s="74"/>
      <c r="EA222" s="77">
        <f t="shared" si="1174"/>
        <v>0</v>
      </c>
      <c r="EB222" s="110"/>
      <c r="EC222" s="74"/>
      <c r="ED222" s="77">
        <f t="shared" si="1174"/>
        <v>0</v>
      </c>
      <c r="EE222" s="110"/>
      <c r="EF222" s="74"/>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00"/>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874" t="s">
        <v>2439</v>
      </c>
      <c r="DR223" s="81">
        <f t="shared" si="1174"/>
        <v>0</v>
      </c>
      <c r="DS223" s="110"/>
      <c r="DT223" s="80" t="s">
        <v>2728</v>
      </c>
      <c r="DU223" s="81">
        <f t="shared" si="1174"/>
        <v>0</v>
      </c>
      <c r="DV223" s="110"/>
      <c r="DW223" s="80" t="s">
        <v>2745</v>
      </c>
      <c r="DX223" s="81">
        <f t="shared" si="1174"/>
        <v>0</v>
      </c>
      <c r="DY223" s="110"/>
      <c r="DZ223" s="80"/>
      <c r="EA223" s="81">
        <f t="shared" si="1174"/>
        <v>0</v>
      </c>
      <c r="EB223" s="110"/>
      <c r="EC223" s="80"/>
      <c r="ED223" s="81">
        <f t="shared" si="1174"/>
        <v>0</v>
      </c>
      <c r="EE223" s="110"/>
      <c r="EF223" s="80"/>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875"/>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875"/>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00"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874"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c r="EA226" s="77">
        <f t="shared" ref="EA226" si="1288">COUNTIF($M$226:$M$229,DZ226)*$D$27</f>
        <v>0</v>
      </c>
      <c r="EB226" s="64"/>
      <c r="EC226" s="76"/>
      <c r="ED226" s="77">
        <f t="shared" ref="ED226" si="1289">COUNTIF($M$226:$M$229,EC226)*$D$27</f>
        <v>0</v>
      </c>
      <c r="EE226" s="64"/>
      <c r="EF226" s="76"/>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00"/>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874"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c r="EA227" s="73">
        <f t="shared" ref="EA227" si="1338">COUNTIF($M$226:$M$229,DZ227)*$D$27</f>
        <v>0</v>
      </c>
      <c r="EB227" s="64"/>
      <c r="EC227" s="74"/>
      <c r="ED227" s="73">
        <f t="shared" ref="ED227" si="1339">COUNTIF($M$226:$M$229,EC227)*$D$27</f>
        <v>0</v>
      </c>
      <c r="EE227" s="64"/>
      <c r="EF227" s="74"/>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00"/>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874"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c r="EA228" s="73">
        <f t="shared" ref="EA228" si="1387">COUNTIF($M$226:$M$229,DZ228)*$D$27</f>
        <v>0</v>
      </c>
      <c r="EB228" s="64"/>
      <c r="EC228" s="74"/>
      <c r="ED228" s="73">
        <f t="shared" ref="ED228" si="1388">COUNTIF($M$226:$M$229,EC228)*$D$27</f>
        <v>0</v>
      </c>
      <c r="EE228" s="64"/>
      <c r="EF228" s="74"/>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00"/>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874"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c r="EA229" s="81">
        <f t="shared" ref="EA229" si="1436">COUNTIF($M$226:$M$229,DZ229)*$D$27</f>
        <v>0</v>
      </c>
      <c r="EB229" s="64"/>
      <c r="EC229" s="80"/>
      <c r="ED229" s="81">
        <f t="shared" ref="ED229" si="1437">COUNTIF($M$226:$M$229,EC229)*$D$27</f>
        <v>0</v>
      </c>
      <c r="EE229" s="64"/>
      <c r="EF229" s="80"/>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875"/>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875"/>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01"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876"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tr">
        <f>Idiomas!$D$370</f>
        <v>Pegar valores Semifinales</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tr">
        <f>Idiomas!$D$370</f>
        <v>Pegar valores Semifinales</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tr">
        <f>Idiomas!$D$370</f>
        <v>Pegar valores Semifinales</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01"/>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876"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875"/>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875"/>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01"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874"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c r="EA236" s="77">
        <f t="shared" ref="EA236" si="1682">COUNTIF($M$236:$M$237,DZ236)*$D$31</f>
        <v>0</v>
      </c>
      <c r="EB236" s="110"/>
      <c r="EC236" s="76"/>
      <c r="ED236" s="77">
        <f t="shared" ref="ED236" si="1683">COUNTIF($M$236:$M$237,EC236)*$D$31</f>
        <v>0</v>
      </c>
      <c r="EE236" s="110"/>
      <c r="EF236" s="76"/>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01"/>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874"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c r="EA237" s="81">
        <f t="shared" ref="EA237" si="1731">COUNTIF($M$236:$M$237,DZ237)*$D$31</f>
        <v>0</v>
      </c>
      <c r="EB237" s="110"/>
      <c r="EC237" s="80"/>
      <c r="ED237" s="81">
        <f t="shared" ref="ED237" si="1732">COUNTIF($M$236:$M$237,EC237)*$D$31</f>
        <v>0</v>
      </c>
      <c r="EE237" s="110"/>
      <c r="EF237" s="80"/>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875"/>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875"/>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01"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874"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c r="EA240" s="77">
        <f t="shared" ref="EA240" si="1829">COUNTIF($M$240:$M$241,DZ240)*$D$32</f>
        <v>0</v>
      </c>
      <c r="EB240" s="110"/>
      <c r="EC240" s="76"/>
      <c r="ED240" s="77">
        <f t="shared" ref="ED240" si="1830">COUNTIF($M$240:$M$241,EC240)*$D$32</f>
        <v>0</v>
      </c>
      <c r="EE240" s="110"/>
      <c r="EF240" s="76"/>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01"/>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874"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c r="EA241" s="81">
        <f t="shared" ref="EA241" si="1878">COUNTIF($M$240:$M$241,DZ241)*$D$32</f>
        <v>0</v>
      </c>
      <c r="EB241" s="110"/>
      <c r="EC241" s="80"/>
      <c r="ED241" s="81">
        <f t="shared" ref="ED241" si="1879">COUNTIF($M$240:$M$241,EC241)*$D$32</f>
        <v>0</v>
      </c>
      <c r="EE241" s="110"/>
      <c r="EF241" s="80"/>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875"/>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875"/>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874"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tr">
        <f>Idiomas!$D$371</f>
        <v>Pegar valores 3º-4º puesto y Final</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tr">
        <f>Idiomas!$D$371</f>
        <v>Pegar valores 3º-4º puesto y Final</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tr">
        <f>Idiomas!$D$371</f>
        <v>Pegar valores 3º-4º puesto y Final</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875"/>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875"/>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876"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875"/>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875"/>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874"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c r="EA250" s="77">
        <f t="shared" ref="EA250" si="2172">COUNTIF($M$250,DZ250)*$D$39</f>
        <v>0</v>
      </c>
      <c r="EB250" s="64"/>
      <c r="EC250" s="76"/>
      <c r="ED250" s="77">
        <f t="shared" ref="ED250" si="2173">COUNTIF($M$250,EC250)*$D$39</f>
        <v>0</v>
      </c>
      <c r="EE250" s="64"/>
      <c r="EF250" s="76"/>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874"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c r="EA251" s="73">
        <f t="shared" ref="EA251" si="2221">COUNTIF($M$251,DZ251)*$D$40</f>
        <v>0</v>
      </c>
      <c r="EB251" s="64"/>
      <c r="EC251" s="74"/>
      <c r="ED251" s="73">
        <f t="shared" ref="ED251" si="2222">COUNTIF($M$251,EC251)*$D$40</f>
        <v>0</v>
      </c>
      <c r="EE251" s="64"/>
      <c r="EF251" s="74"/>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874"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c r="EA252" s="73">
        <f t="shared" ref="EA252" si="2270">COUNTIF($M$252,DZ252)*$D$41</f>
        <v>0</v>
      </c>
      <c r="EB252" s="64"/>
      <c r="EC252" s="74"/>
      <c r="ED252" s="73">
        <f t="shared" ref="ED252" si="2271">COUNTIF($M$252,EC252)*$D$41</f>
        <v>0</v>
      </c>
      <c r="EE252" s="64"/>
      <c r="EF252" s="74"/>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874"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tr">
        <f>Idiomas!$D$373</f>
        <v>Pegar Valores Cuadro de Honor</v>
      </c>
      <c r="EA253" s="73">
        <f t="shared" ref="EA253" si="2319">COUNTIF($M$253,DZ253)*$D$42</f>
        <v>0</v>
      </c>
      <c r="EB253" s="64"/>
      <c r="EC253" s="74" t="str">
        <f>Idiomas!$D$373</f>
        <v>Pegar Valores Cuadro de Honor</v>
      </c>
      <c r="ED253" s="73">
        <f t="shared" ref="ED253" si="2320">COUNTIF($M$253,EC253)*$D$42</f>
        <v>0</v>
      </c>
      <c r="EE253" s="64"/>
      <c r="EF253" s="74" t="str">
        <f>Idiomas!$D$373</f>
        <v>Pegar Valores Cuadro de Honor</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874"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c r="EA254" s="73">
        <f t="shared" ref="EA254" si="2368">COUNTIF($M$254,DZ254)*$D$43</f>
        <v>0</v>
      </c>
      <c r="EB254" s="64"/>
      <c r="EC254" s="74"/>
      <c r="ED254" s="73">
        <f t="shared" ref="ED254" si="2369">COUNTIF($M$254,EC254)*$D$43</f>
        <v>0</v>
      </c>
      <c r="EE254" s="64"/>
      <c r="EF254" s="74"/>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874"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c r="EA255" s="73">
        <f t="shared" ref="EA255" si="2417">COUNTIF($M$255,DZ255)*$D$44</f>
        <v>0</v>
      </c>
      <c r="EB255" s="64"/>
      <c r="EC255" s="74"/>
      <c r="ED255" s="73">
        <f t="shared" ref="ED255" si="2418">COUNTIF($M$255,EC255)*$D$44</f>
        <v>0</v>
      </c>
      <c r="EE255" s="64"/>
      <c r="EF255" s="74"/>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874"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c r="EA256" s="73">
        <f t="shared" ref="EA256" si="2466">COUNTIF($M$256,DZ256)*$D$45</f>
        <v>0</v>
      </c>
      <c r="EB256" s="64"/>
      <c r="EC256" s="74"/>
      <c r="ED256" s="73">
        <f t="shared" ref="ED256" si="2467">COUNTIF($M$256,EC256)*$D$45</f>
        <v>0</v>
      </c>
      <c r="EE256" s="64"/>
      <c r="EF256" s="74"/>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874"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c r="EA257" s="73">
        <f t="shared" ref="EA257" si="2515">COUNTIF($M$257,DZ257)*$D$46</f>
        <v>0</v>
      </c>
      <c r="EB257" s="64"/>
      <c r="EC257" s="74"/>
      <c r="ED257" s="73">
        <f t="shared" ref="ED257" si="2516">COUNTIF($M$257,EC257)*$D$46</f>
        <v>0</v>
      </c>
      <c r="EE257" s="64"/>
      <c r="EF257" s="74"/>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874"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c r="EA258" s="81">
        <f t="shared" ref="EA258" si="2564">COUNTIF($M$258,DZ258)*$D$47</f>
        <v>0</v>
      </c>
      <c r="EB258" s="64"/>
      <c r="EC258" s="80"/>
      <c r="ED258" s="81">
        <f t="shared" ref="ED258" si="2565">COUNTIF($M$258,EC258)*$D$47</f>
        <v>0</v>
      </c>
      <c r="EE258" s="64"/>
      <c r="EF258" s="80"/>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25">
        <f ca="1">RANK(CP264,OFFSET($S$264,0,0,1,$D$5*3),0)</f>
        <v>26</v>
      </c>
      <c r="CQ263" s="25"/>
      <c r="CR263" s="25"/>
      <c r="CS263" s="25">
        <f ca="1">RANK(CS264,OFFSET($S$264,0,0,1,$D$5*3),0)</f>
        <v>27</v>
      </c>
      <c r="CT263" s="25"/>
      <c r="CU263" s="25"/>
      <c r="CV263" s="25">
        <f ca="1">RANK(CV264,OFFSET($S$264,0,0,1,$D$5*3),0)</f>
        <v>28</v>
      </c>
      <c r="CW263" s="25"/>
      <c r="CX263" s="25"/>
      <c r="CY263" s="25">
        <f ca="1">RANK(CY264,OFFSET($S$264,0,0,1,$D$5*3),0)</f>
        <v>29</v>
      </c>
      <c r="CZ263" s="25"/>
      <c r="DA263" s="25"/>
      <c r="DB263" s="25">
        <f ca="1">RANK(DB264,OFFSET($S$264,0,0,1,$D$5*3),0)</f>
        <v>30</v>
      </c>
      <c r="DC263" s="25"/>
      <c r="DD263" s="25"/>
      <c r="DE263" s="25">
        <f ca="1">RANK(DE264,OFFSET($S$264,0,0,1,$D$5*3),0)</f>
        <v>31</v>
      </c>
      <c r="DF263" s="25"/>
      <c r="DG263" s="25"/>
      <c r="DH263" s="25">
        <f ca="1">RANK(DH264,OFFSET($S$264,0,0,1,$D$5*3),0)</f>
        <v>32</v>
      </c>
      <c r="DI263" s="25"/>
      <c r="DJ263" s="25"/>
      <c r="DK263" s="25">
        <f ca="1">RANK(DK264,OFFSET($S$264,0,0,1,$D$5*3),0)</f>
        <v>33</v>
      </c>
      <c r="DL263" s="25"/>
      <c r="DM263" s="25"/>
      <c r="DN263" s="25">
        <f ca="1">RANK(DN264,OFFSET($S$264,0,0,1,$D$5*3),0)</f>
        <v>34</v>
      </c>
      <c r="DO263" s="25"/>
      <c r="DP263" s="25"/>
      <c r="DQ263" s="25">
        <f ca="1">RANK(DQ264,OFFSET($S$264,0,0,1,$D$5*3),0)</f>
        <v>35</v>
      </c>
      <c r="DR263" s="25"/>
      <c r="DS263" s="25"/>
      <c r="DT263" s="25">
        <f ca="1">RANK(DT264,OFFSET($S$264,0,0,1,$D$5*3),0)</f>
        <v>36</v>
      </c>
      <c r="DU263" s="25"/>
      <c r="DV263" s="25"/>
      <c r="DW263" s="25">
        <f ca="1">RANK(DW264,OFFSET($S$264,0,0,1,$D$5*3),0)</f>
        <v>37</v>
      </c>
      <c r="DX263" s="25"/>
      <c r="DY263" s="25"/>
      <c r="DZ263" s="25">
        <f ca="1">RANK(DZ264,OFFSET($S$264,0,0,1,$D$5*3),0)</f>
        <v>38</v>
      </c>
      <c r="EA263" s="25"/>
      <c r="EB263" s="25"/>
      <c r="EC263" s="25">
        <f ca="1">RANK(EC264,OFFSET($S$264,0,0,1,$D$5*3),0)</f>
        <v>39</v>
      </c>
      <c r="ED263" s="25"/>
      <c r="EE263" s="25"/>
      <c r="EF263" s="25">
        <f ca="1">RANK(EF264,OFFSET($S$264,0,0,1,$D$5*3),0)</f>
        <v>40</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-1.9E-3</v>
      </c>
      <c r="T264" s="25"/>
      <c r="U264" s="25"/>
      <c r="V264" s="25">
        <f t="shared" ref="V264" ca="1" si="2626">V266-(COLUMN()/10000)</f>
        <v>-2.2000000000000001E-3</v>
      </c>
      <c r="W264" s="25"/>
      <c r="X264" s="25"/>
      <c r="Y264" s="25">
        <f t="shared" ref="Y264" ca="1" si="2627">Y266-(COLUMN()/10000)</f>
        <v>-2.5000000000000001E-3</v>
      </c>
      <c r="Z264" s="25"/>
      <c r="AA264" s="25"/>
      <c r="AB264" s="25">
        <f t="shared" ref="AB264" ca="1" si="2628">AB266-(COLUMN()/10000)</f>
        <v>-2.8E-3</v>
      </c>
      <c r="AC264" s="25"/>
      <c r="AD264" s="25"/>
      <c r="AE264" s="25">
        <f t="shared" ref="AE264" ca="1" si="2629">AE266-(COLUMN()/10000)</f>
        <v>-3.0999999999999999E-3</v>
      </c>
      <c r="AF264" s="25"/>
      <c r="AG264" s="25"/>
      <c r="AH264" s="25">
        <f t="shared" ref="AH264" ca="1" si="2630">AH266-(COLUMN()/10000)</f>
        <v>-3.3999999999999998E-3</v>
      </c>
      <c r="AI264" s="25"/>
      <c r="AJ264" s="25"/>
      <c r="AK264" s="25">
        <f t="shared" ref="AK264" ca="1" si="2631">AK266-(COLUMN()/10000)</f>
        <v>-3.7000000000000002E-3</v>
      </c>
      <c r="AL264" s="25"/>
      <c r="AM264" s="25"/>
      <c r="AN264" s="25">
        <f t="shared" ref="AN264" ca="1" si="2632">AN266-(COLUMN()/10000)</f>
        <v>-4.0000000000000001E-3</v>
      </c>
      <c r="AO264" s="25"/>
      <c r="AP264" s="25"/>
      <c r="AQ264" s="25">
        <f t="shared" ref="AQ264" ca="1" si="2633">AQ266-(COLUMN()/10000)</f>
        <v>-4.3E-3</v>
      </c>
      <c r="AR264" s="25"/>
      <c r="AS264" s="25"/>
      <c r="AT264" s="25">
        <f t="shared" ref="AT264" ca="1" si="2634">AT266-(COLUMN()/10000)</f>
        <v>-4.5999999999999999E-3</v>
      </c>
      <c r="AU264" s="25"/>
      <c r="AV264" s="25"/>
      <c r="AW264" s="25">
        <f t="shared" ref="AW264" ca="1" si="2635">AW266-(COLUMN()/10000)</f>
        <v>-4.8999999999999998E-3</v>
      </c>
      <c r="AX264" s="25"/>
      <c r="AY264" s="25"/>
      <c r="AZ264" s="25">
        <f t="shared" ref="AZ264" ca="1" si="2636">AZ266-(COLUMN()/10000)</f>
        <v>-5.1999999999999998E-3</v>
      </c>
      <c r="BA264" s="25"/>
      <c r="BB264" s="25"/>
      <c r="BC264" s="25">
        <f t="shared" ref="BC264" ca="1" si="2637">BC266-(COLUMN()/10000)</f>
        <v>-5.4999999999999997E-3</v>
      </c>
      <c r="BD264" s="25"/>
      <c r="BE264" s="25"/>
      <c r="BF264" s="25">
        <f t="shared" ref="BF264" ca="1" si="2638">BF266-(COLUMN()/10000)</f>
        <v>-5.7999999999999996E-3</v>
      </c>
      <c r="BG264" s="25"/>
      <c r="BH264" s="25"/>
      <c r="BI264" s="25">
        <f t="shared" ref="BI264" ca="1" si="2639">BI266-(COLUMN()/10000)</f>
        <v>-6.1000000000000004E-3</v>
      </c>
      <c r="BJ264" s="25"/>
      <c r="BK264" s="25"/>
      <c r="BL264" s="25">
        <f t="shared" ref="BL264" ca="1" si="2640">BL266-(COLUMN()/10000)</f>
        <v>-6.4000000000000003E-3</v>
      </c>
      <c r="BM264" s="25"/>
      <c r="BN264" s="25"/>
      <c r="BO264" s="25">
        <f t="shared" ref="BO264" ca="1" si="2641">BO266-(COLUMN()/10000)</f>
        <v>-6.7000000000000002E-3</v>
      </c>
      <c r="BP264" s="25"/>
      <c r="BQ264" s="25"/>
      <c r="BR264" s="25">
        <f t="shared" ref="BR264" ca="1" si="2642">BR266-(COLUMN()/10000)</f>
        <v>-7.0000000000000001E-3</v>
      </c>
      <c r="BS264" s="25"/>
      <c r="BT264" s="25"/>
      <c r="BU264" s="25">
        <f t="shared" ref="BU264" ca="1" si="2643">BU266-(COLUMN()/10000)</f>
        <v>-7.3000000000000001E-3</v>
      </c>
      <c r="BV264" s="25"/>
      <c r="BW264" s="25"/>
      <c r="BX264" s="25">
        <f t="shared" ref="BX264" ca="1" si="2644">BX266-(COLUMN()/10000)</f>
        <v>-7.6E-3</v>
      </c>
      <c r="BY264" s="25"/>
      <c r="BZ264" s="25"/>
      <c r="CA264" s="25">
        <f t="shared" ref="CA264" ca="1" si="2645">CA266-(COLUMN()/10000)</f>
        <v>-7.9000000000000008E-3</v>
      </c>
      <c r="CB264" s="25"/>
      <c r="CC264" s="25"/>
      <c r="CD264" s="25">
        <f t="shared" ref="CD264" ca="1" si="2646">CD266-(COLUMN()/10000)</f>
        <v>-8.2000000000000007E-3</v>
      </c>
      <c r="CE264" s="25"/>
      <c r="CF264" s="25"/>
      <c r="CG264" s="25">
        <f t="shared" ref="CG264" ca="1" si="2647">CG266-(COLUMN()/10000)</f>
        <v>-8.5000000000000006E-3</v>
      </c>
      <c r="CH264" s="25"/>
      <c r="CI264" s="25"/>
      <c r="CJ264" s="25">
        <f t="shared" ref="CJ264" ca="1" si="2648">CJ266-(COLUMN()/10000)</f>
        <v>-8.8000000000000005E-3</v>
      </c>
      <c r="CK264" s="25"/>
      <c r="CL264" s="25"/>
      <c r="CM264" s="25">
        <f t="shared" ref="CM264" ca="1" si="2649">CM266-(COLUMN()/10000)</f>
        <v>-9.1000000000000004E-3</v>
      </c>
      <c r="CN264" s="25"/>
      <c r="CO264" s="25"/>
      <c r="CP264" s="25">
        <f t="shared" ref="CP264" ca="1" si="2650">CP266-(COLUMN()/10000)</f>
        <v>-9.4000000000000004E-3</v>
      </c>
      <c r="CQ264" s="25"/>
      <c r="CR264" s="25"/>
      <c r="CS264" s="25">
        <f t="shared" ref="CS264" ca="1" si="2651">CS266-(COLUMN()/10000)</f>
        <v>-9.7000000000000003E-3</v>
      </c>
      <c r="CT264" s="25"/>
      <c r="CU264" s="25"/>
      <c r="CV264" s="25">
        <f t="shared" ref="CV264" ca="1" si="2652">CV266-(COLUMN()/10000)</f>
        <v>-0.01</v>
      </c>
      <c r="CW264" s="25"/>
      <c r="CX264" s="25"/>
      <c r="CY264" s="25">
        <f t="shared" ref="CY264" ca="1" si="2653">CY266-(COLUMN()/10000)</f>
        <v>-1.03E-2</v>
      </c>
      <c r="CZ264" s="25"/>
      <c r="DA264" s="25"/>
      <c r="DB264" s="25">
        <f t="shared" ref="DB264" ca="1" si="2654">DB266-(COLUMN()/10000)</f>
        <v>-1.06E-2</v>
      </c>
      <c r="DC264" s="25"/>
      <c r="DD264" s="25"/>
      <c r="DE264" s="25">
        <f t="shared" ref="DE264" ca="1" si="2655">DE266-(COLUMN()/10000)</f>
        <v>-1.09E-2</v>
      </c>
      <c r="DF264" s="25"/>
      <c r="DG264" s="25"/>
      <c r="DH264" s="25">
        <f t="shared" ref="DH264" ca="1" si="2656">DH266-(COLUMN()/10000)</f>
        <v>-1.12E-2</v>
      </c>
      <c r="DI264" s="25"/>
      <c r="DJ264" s="25"/>
      <c r="DK264" s="25">
        <f t="shared" ref="DK264" ca="1" si="2657">DK266-(COLUMN()/10000)</f>
        <v>-1.15E-2</v>
      </c>
      <c r="DL264" s="25"/>
      <c r="DM264" s="25"/>
      <c r="DN264" s="25">
        <f t="shared" ref="DN264" ca="1" si="2658">DN266-(COLUMN()/10000)</f>
        <v>-1.18E-2</v>
      </c>
      <c r="DO264" s="25"/>
      <c r="DP264" s="25"/>
      <c r="DQ264" s="25">
        <f t="shared" ref="DQ264" ca="1" si="2659">DQ266-(COLUMN()/10000)</f>
        <v>-1.21E-2</v>
      </c>
      <c r="DR264" s="25"/>
      <c r="DS264" s="25"/>
      <c r="DT264" s="25">
        <f t="shared" ref="DT264" ca="1" si="2660">DT266-(COLUMN()/10000)</f>
        <v>-1.24E-2</v>
      </c>
      <c r="DU264" s="25"/>
      <c r="DV264" s="25"/>
      <c r="DW264" s="25">
        <f t="shared" ref="DW264" ca="1" si="2661">DW266-(COLUMN()/10000)</f>
        <v>-1.2699999999999999E-2</v>
      </c>
      <c r="DX264" s="25"/>
      <c r="DY264" s="25"/>
      <c r="DZ264" s="25">
        <f t="shared" ref="DZ264" ca="1" si="2662">DZ266-(COLUMN()/10000)</f>
        <v>-1.2999999999999999E-2</v>
      </c>
      <c r="EA264" s="25"/>
      <c r="EB264" s="25"/>
      <c r="EC264" s="25">
        <f t="shared" ref="EC264" ca="1" si="2663">EC266-(COLUMN()/10000)</f>
        <v>-1.3299999999999999E-2</v>
      </c>
      <c r="ED264" s="25"/>
      <c r="EE264" s="25"/>
      <c r="EF264" s="25">
        <f t="shared" ref="EF264" ca="1" si="2664">EF266-(COLUMN()/10000)</f>
        <v>-1.3599999999999999E-2</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1</v>
      </c>
      <c r="CQ265" s="25"/>
      <c r="CR265" s="25"/>
      <c r="CS265" s="25">
        <f ca="1">RANK(CS266,OFFSET($S$266,0,0,1,$D$5*3),0)</f>
        <v>1</v>
      </c>
      <c r="CT265" s="25"/>
      <c r="CU265" s="25"/>
      <c r="CV265" s="25">
        <f ca="1">RANK(CV266,OFFSET($S$266,0,0,1,$D$5*3),0)</f>
        <v>1</v>
      </c>
      <c r="CW265" s="25"/>
      <c r="CX265" s="25"/>
      <c r="CY265" s="25">
        <f ca="1">RANK(CY266,OFFSET($S$266,0,0,1,$D$5*3),0)</f>
        <v>1</v>
      </c>
      <c r="CZ265" s="25"/>
      <c r="DA265" s="25"/>
      <c r="DB265" s="25">
        <f ca="1">RANK(DB266,OFFSET($S$266,0,0,1,$D$5*3),0)</f>
        <v>1</v>
      </c>
      <c r="DC265" s="25"/>
      <c r="DD265" s="25"/>
      <c r="DE265" s="25">
        <f ca="1">RANK(DE266,OFFSET($S$266,0,0,1,$D$5*3),0)</f>
        <v>1</v>
      </c>
      <c r="DF265" s="25"/>
      <c r="DG265" s="25"/>
      <c r="DH265" s="25">
        <f ca="1">RANK(DH266,OFFSET($S$266,0,0,1,$D$5*3),0)</f>
        <v>1</v>
      </c>
      <c r="DI265" s="25"/>
      <c r="DJ265" s="25"/>
      <c r="DK265" s="25">
        <f ca="1">RANK(DK266,OFFSET($S$266,0,0,1,$D$5*3),0)</f>
        <v>1</v>
      </c>
      <c r="DL265" s="25"/>
      <c r="DM265" s="25"/>
      <c r="DN265" s="25">
        <f ca="1">RANK(DN266,OFFSET($S$266,0,0,1,$D$5*3),0)</f>
        <v>1</v>
      </c>
      <c r="DO265" s="25"/>
      <c r="DP265" s="25"/>
      <c r="DQ265" s="25">
        <f ca="1">RANK(DQ266,OFFSET($S$266,0,0,1,$D$5*3),0)</f>
        <v>1</v>
      </c>
      <c r="DR265" s="25"/>
      <c r="DS265" s="25"/>
      <c r="DT265" s="25">
        <f ca="1">RANK(DT266,OFFSET($S$266,0,0,1,$D$5*3),0)</f>
        <v>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1</v>
      </c>
      <c r="EG265" s="25"/>
      <c r="EH265" s="25"/>
      <c r="EI265" s="25">
        <f ca="1">RANK(EI266,OFFSET($S$266,0,0,1,$D$5*3),0)</f>
        <v>1</v>
      </c>
      <c r="EJ265" s="25"/>
      <c r="EK265" s="25"/>
      <c r="EL265" s="25">
        <f ca="1">RANK(EL266,OFFSET($S$266,0,0,1,$D$5*3),0)</f>
        <v>1</v>
      </c>
      <c r="EM265" s="25"/>
      <c r="EN265" s="25"/>
      <c r="EO265" s="25">
        <f ca="1">RANK(EO266,OFFSET($S$266,0,0,1,$D$5*3),0)</f>
        <v>1</v>
      </c>
      <c r="EP265" s="25"/>
      <c r="EQ265" s="25"/>
      <c r="ER265" s="25">
        <f ca="1">RANK(ER266,OFFSET($S$266,0,0,1,$D$5*3),0)</f>
        <v>1</v>
      </c>
      <c r="ES265" s="25"/>
      <c r="ET265" s="25"/>
      <c r="EU265" s="25">
        <f ca="1">RANK(EU266,OFFSET($S$266,0,0,1,$D$5*3),0)</f>
        <v>1</v>
      </c>
      <c r="EV265" s="25"/>
      <c r="EW265" s="25"/>
      <c r="EX265" s="25">
        <f ca="1">RANK(EX266,OFFSET($S$266,0,0,1,$D$5*3),0)</f>
        <v>1</v>
      </c>
      <c r="EY265" s="25"/>
      <c r="EZ265" s="25"/>
      <c r="FA265" s="25">
        <f ca="1">RANK(FA266,OFFSET($S$266,0,0,1,$D$5*3),0)</f>
        <v>1</v>
      </c>
      <c r="FB265" s="25"/>
      <c r="FC265" s="25"/>
      <c r="FD265" s="25">
        <f ca="1">RANK(FD266,OFFSET($S$266,0,0,1,$D$5*3),0)</f>
        <v>1</v>
      </c>
      <c r="FE265" s="25"/>
      <c r="FF265" s="25"/>
      <c r="FG265" s="25">
        <f ca="1">RANK(FG266,OFFSET($S$266,0,0,1,$D$5*3),0)</f>
        <v>1</v>
      </c>
      <c r="FH265" s="25"/>
      <c r="FI265" s="25"/>
      <c r="FJ265" s="25">
        <f ca="1">RANK(FJ266,OFFSET($S$266,0,0,1,$D$5*3),0)</f>
        <v>1</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25">
        <f ca="1">SUMIFS((CQ6:CQ259),$H$6:$H$259,$M$262)</f>
        <v>0</v>
      </c>
      <c r="CQ266" s="25"/>
      <c r="CR266" s="25"/>
      <c r="CS266" s="25">
        <f ca="1">SUMIFS((CT6:CT259),$H$6:$H$259,$M$262)</f>
        <v>0</v>
      </c>
      <c r="CT266" s="25"/>
      <c r="CU266" s="25"/>
      <c r="CV266" s="25">
        <f ca="1">SUMIFS((CW6:CW259),$H$6:$H$259,$M$262)</f>
        <v>0</v>
      </c>
      <c r="CW266" s="25"/>
      <c r="CX266" s="25"/>
      <c r="CY266" s="25">
        <f ca="1">SUMIFS((CZ6:CZ259),$H$6:$H$259,$M$262)</f>
        <v>0</v>
      </c>
      <c r="CZ266" s="25"/>
      <c r="DA266" s="25"/>
      <c r="DB266" s="25">
        <f ca="1">SUMIFS((DC6:DC259),$H$6:$H$259,$M$262)</f>
        <v>0</v>
      </c>
      <c r="DC266" s="25"/>
      <c r="DD266" s="25"/>
      <c r="DE266" s="25">
        <f ca="1">SUMIFS((DF6:DF259),$H$6:$H$259,$M$262)</f>
        <v>0</v>
      </c>
      <c r="DF266" s="25"/>
      <c r="DG266" s="25"/>
      <c r="DH266" s="25">
        <f ca="1">SUMIFS((DI6:DI259),$H$6:$H$259,$M$262)</f>
        <v>0</v>
      </c>
      <c r="DI266" s="25"/>
      <c r="DJ266" s="25"/>
      <c r="DK266" s="25">
        <f ca="1">SUMIFS((DL6:DL259),$H$6:$H$259,$M$262)</f>
        <v>0</v>
      </c>
      <c r="DL266" s="25"/>
      <c r="DM266" s="25"/>
      <c r="DN266" s="25">
        <f ca="1">SUMIFS((DO6:DO259),$H$6:$H$259,$M$262)</f>
        <v>0</v>
      </c>
      <c r="DO266" s="25"/>
      <c r="DP266" s="25"/>
      <c r="DQ266" s="25">
        <f ca="1">SUMIFS((DR6:DR259),$H$6:$H$259,$M$262)</f>
        <v>0</v>
      </c>
      <c r="DR266" s="25"/>
      <c r="DS266" s="25"/>
      <c r="DT266" s="25">
        <f ca="1">SUMIFS((DU6:DU259),$H$6:$H$259,$M$262)</f>
        <v>0</v>
      </c>
      <c r="DU266" s="25"/>
      <c r="DV266" s="25"/>
      <c r="DW266" s="25">
        <f ca="1">SUMIFS((DX6:DX259),$H$6:$H$259,$M$262)</f>
        <v>0</v>
      </c>
      <c r="DX266" s="25"/>
      <c r="DY266" s="25"/>
      <c r="DZ266" s="25">
        <f ca="1">SUMIFS((EA6:EA259),$H$6:$H$259,$M$262)</f>
        <v>0</v>
      </c>
      <c r="EA266" s="25"/>
      <c r="EB266" s="25"/>
      <c r="EC266" s="25">
        <f ca="1">SUMIFS((ED6:ED259),$H$6:$H$259,$M$262)</f>
        <v>0</v>
      </c>
      <c r="ED266" s="25"/>
      <c r="EE266" s="25"/>
      <c r="EF266" s="25">
        <f ca="1">SUMIFS((EG6:EG259),$H$6:$H$259,$M$262)</f>
        <v>0</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Pegar Valores Nombre J38</v>
      </c>
      <c r="EA267" s="25"/>
      <c r="EB267" s="25"/>
      <c r="EC267" s="25" t="str">
        <f t="shared" ref="EC267" si="2712">EC5</f>
        <v>Pegar Valores Nombre J39</v>
      </c>
      <c r="ED267" s="25"/>
      <c r="EE267" s="25"/>
      <c r="EF267" s="25" t="str">
        <f t="shared" ref="EF267" si="2713">EF5</f>
        <v>Pegar Valores Nombre J40</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abSelected="1" topLeftCell="A4" zoomScale="85" zoomScaleNormal="85" workbookViewId="0">
      <selection activeCell="C41" sqref="C5:C41"/>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Admin</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1</v>
      </c>
      <c r="C6" s="18" t="str">
        <f ca="1">IFERROR(HLOOKUP(A6,Rango_Admin_Clas,5,FALSE),"-")</f>
        <v>Luis B</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Alejandro Lafuente</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Jaime Lafuente</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Pastor</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Jaime García de la Riva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Nacho Novo</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Antonio Zulueta Ramos</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Carlos Murciano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Chente Muñoz</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Fercho Muro Matosex</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Guillermo Murciano</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Ignacio de Lecea</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JCU</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Joserra</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Migay Marcos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Antonio del Ojo</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MURO 204</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Hulk Rexach</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Miguel San Martín</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Pablo C</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bau</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Florentino Netanyahu</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Lucas Oriol</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YTD</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1</v>
      </c>
      <c r="C30" s="18" t="str">
        <f ca="1">IFERROR(HLOOKUP(A30,Rango_Admin_Clas,5,FALSE),"-")</f>
        <v>William Hartley</v>
      </c>
      <c r="D30" s="91">
        <f ca="1">IFERROR(HLOOKUP(A30,Rango_Admin_Clas,4,FALSE),"-")</f>
        <v>0</v>
      </c>
      <c r="E30" s="92" cm="1">
        <f t="array" aca="1" ref="E30" ca="1">IFERROR(INDEX(Rango_Admin_Clas_Total,E$2,MATCH($A30,Rango_Admin_Clas_Primera,0)+1),"-")</f>
        <v>0</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1</v>
      </c>
      <c r="C31" s="18" t="str">
        <f ca="1">IFERROR(HLOOKUP(A31,Rango_Admin_Clas,5,FALSE),"-")</f>
        <v>Kurtischamp</v>
      </c>
      <c r="D31" s="91">
        <f ca="1">IFERROR(HLOOKUP(A31,Rango_Admin_Clas,4,FALSE),"-")</f>
        <v>0</v>
      </c>
      <c r="E31" s="92" cm="1">
        <f t="array" aca="1" ref="E31" ca="1">IFERROR(INDEX(Rango_Admin_Clas_Total,E$2,MATCH($A31,Rango_Admin_Clas_Primera,0)+1),"-")</f>
        <v>0</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1</v>
      </c>
      <c r="C32" s="18" t="str">
        <f ca="1">IFERROR(HLOOKUP(A32,Rango_Admin_Clas,5,FALSE),"-")</f>
        <v>KIRICOCHO</v>
      </c>
      <c r="D32" s="91">
        <f ca="1">IFERROR(HLOOKUP(A32,Rango_Admin_Clas,4,FALSE),"-")</f>
        <v>0</v>
      </c>
      <c r="E32" s="92" cm="1">
        <f t="array" aca="1" ref="E32" ca="1">IFERROR(INDEX(Rango_Admin_Clas_Total,E$2,MATCH($A32,Rango_Admin_Clas_Primera,0)+1),"-")</f>
        <v>0</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1</v>
      </c>
      <c r="C33" s="18" t="str">
        <f ca="1">IFERROR(HLOOKUP(A33,Rango_Admin_Clas,5,FALSE),"-")</f>
        <v>BeliBeltrán</v>
      </c>
      <c r="D33" s="91">
        <f ca="1">IFERROR(HLOOKUP(A33,Rango_Admin_Clas,4,FALSE),"-")</f>
        <v>0</v>
      </c>
      <c r="E33" s="92" cm="1">
        <f t="array" aca="1" ref="E33" ca="1">IFERROR(INDEX(Rango_Admin_Clas_Total,E$2,MATCH($A33,Rango_Admin_Clas_Primera,0)+1),"-")</f>
        <v>0</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1</v>
      </c>
      <c r="C34" s="18" t="str">
        <f ca="1">IFERROR(HLOOKUP(A34,Rango_Admin_Clas,5,FALSE),"-")</f>
        <v>Fernando Carlos García-Ramos Redondo</v>
      </c>
      <c r="D34" s="91">
        <f ca="1">IFERROR(HLOOKUP(A34,Rango_Admin_Clas,4,FALSE),"-")</f>
        <v>0</v>
      </c>
      <c r="E34" s="92" cm="1">
        <f t="array" aca="1" ref="E34" ca="1">IFERROR(INDEX(Rango_Admin_Clas_Total,E$2,MATCH($A34,Rango_Admin_Clas_Primera,0)+1),"-")</f>
        <v>0</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1</v>
      </c>
      <c r="C35" s="18" t="str">
        <f ca="1">IFERROR(HLOOKUP(A35,Rango_Admin_Clas,5,FALSE),"-")</f>
        <v>Vicuinho</v>
      </c>
      <c r="D35" s="91">
        <f ca="1">IFERROR(HLOOKUP(A35,Rango_Admin_Clas,4,FALSE),"-")</f>
        <v>0</v>
      </c>
      <c r="E35" s="92" cm="1">
        <f t="array" aca="1" ref="E35" ca="1">IFERROR(INDEX(Rango_Admin_Clas_Total,E$2,MATCH($A35,Rango_Admin_Clas_Primera,0)+1),"-")</f>
        <v>0</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1</v>
      </c>
      <c r="C36" s="18" t="str">
        <f ca="1">IFERROR(HLOOKUP(A36,Rango_Admin_Clas,5,FALSE),"-")</f>
        <v>Miguel Suárez-Zuloaga</v>
      </c>
      <c r="D36" s="91">
        <f ca="1">IFERROR(HLOOKUP(A36,Rango_Admin_Clas,4,FALSE),"-")</f>
        <v>0</v>
      </c>
      <c r="E36" s="92" cm="1">
        <f t="array" aca="1" ref="E36" ca="1">IFERROR(INDEX(Rango_Admin_Clas_Total,E$2,MATCH($A36,Rango_Admin_Clas_Primera,0)+1),"-")</f>
        <v>0</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1</v>
      </c>
      <c r="C37" s="18" t="str">
        <f ca="1">IFERROR(HLOOKUP(A37,Rango_Admin_Clas,5,FALSE),"-")</f>
        <v>Gratacós</v>
      </c>
      <c r="D37" s="91">
        <f ca="1">IFERROR(HLOOKUP(A37,Rango_Admin_Clas,4,FALSE),"-")</f>
        <v>0</v>
      </c>
      <c r="E37" s="92" cm="1">
        <f t="array" aca="1" ref="E37" ca="1">IFERROR(INDEX(Rango_Admin_Clas_Total,E$2,MATCH($A37,Rango_Admin_Clas_Primera,0)+1),"-")</f>
        <v>0</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1</v>
      </c>
      <c r="C38" s="18" t="str">
        <f ca="1">IFERROR(HLOOKUP(A38,Rango_Admin_Clas,5,FALSE),"-")</f>
        <v>AD Monchus</v>
      </c>
      <c r="D38" s="91">
        <f ca="1">IFERROR(HLOOKUP(A38,Rango_Admin_Clas,4,FALSE),"-")</f>
        <v>0</v>
      </c>
      <c r="E38" s="92" cm="1">
        <f t="array" aca="1" ref="E38" ca="1">IFERROR(INDEX(Rango_Admin_Clas_Total,E$2,MATCH($A38,Rango_Admin_Clas_Primera,0)+1),"-")</f>
        <v>0</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1</v>
      </c>
      <c r="C39" s="18" t="str">
        <f ca="1">IFERROR(HLOOKUP(A39,Rango_Admin_Clas,5,FALSE),"-")</f>
        <v>JUAN SOLAS</v>
      </c>
      <c r="D39" s="91">
        <f ca="1">IFERROR(HLOOKUP(A39,Rango_Admin_Clas,4,FALSE),"-")</f>
        <v>0</v>
      </c>
      <c r="E39" s="92" cm="1">
        <f t="array" aca="1" ref="E39" ca="1">IFERROR(INDEX(Rango_Admin_Clas_Total,E$2,MATCH($A39,Rango_Admin_Clas_Primera,0)+1),"-")</f>
        <v>0</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1</v>
      </c>
      <c r="C40" s="18" t="str">
        <f ca="1">IFERROR(HLOOKUP(A40,Rango_Admin_Clas,5,FALSE),"-")</f>
        <v xml:space="preserve">Martín Matoses </v>
      </c>
      <c r="D40" s="91">
        <f ca="1">IFERROR(HLOOKUP(A40,Rango_Admin_Clas,4,FALSE),"-")</f>
        <v>0</v>
      </c>
      <c r="E40" s="92" cm="1">
        <f t="array" aca="1" ref="E40" ca="1">IFERROR(INDEX(Rango_Admin_Clas_Total,E$2,MATCH($A40,Rango_Admin_Clas_Primera,0)+1),"-")</f>
        <v>0</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1</v>
      </c>
      <c r="C41" s="18" t="str">
        <f ca="1">IFERROR(HLOOKUP(A41,Rango_Admin_Clas,5,FALSE),"-")</f>
        <v>IGNACIO LAFUENTE</v>
      </c>
      <c r="D41" s="91">
        <f ca="1">IFERROR(HLOOKUP(A41,Rango_Admin_Clas,4,FALSE),"-")</f>
        <v>0</v>
      </c>
      <c r="E41" s="92" cm="1">
        <f t="array" aca="1" ref="E41" ca="1">IFERROR(INDEX(Rango_Admin_Clas_Total,E$2,MATCH($A41,Rango_Admin_Clas_Primera,0)+1),"-")</f>
        <v>0</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1</v>
      </c>
      <c r="C42" s="18" t="str">
        <f ca="1">IFERROR(HLOOKUP(A42,Rango_Admin_Clas,5,FALSE),"-")</f>
        <v>Pegar Valores Nombre J38</v>
      </c>
      <c r="D42" s="91">
        <f ca="1">IFERROR(HLOOKUP(A42,Rango_Admin_Clas,4,FALSE),"-")</f>
        <v>0</v>
      </c>
      <c r="E42" s="92" cm="1">
        <f t="array" aca="1" ref="E42" ca="1">IFERROR(INDEX(Rango_Admin_Clas_Total,E$2,MATCH($A42,Rango_Admin_Clas_Primera,0)+1),"-")</f>
        <v>0</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1</v>
      </c>
      <c r="C43" s="18" t="str">
        <f ca="1">IFERROR(HLOOKUP(A43,Rango_Admin_Clas,5,FALSE),"-")</f>
        <v>Pegar Valores Nombre J39</v>
      </c>
      <c r="D43" s="91">
        <f ca="1">IFERROR(HLOOKUP(A43,Rango_Admin_Clas,4,FALSE),"-")</f>
        <v>0</v>
      </c>
      <c r="E43" s="92" cm="1">
        <f t="array" aca="1" ref="E43" ca="1">IFERROR(INDEX(Rango_Admin_Clas_Total,E$2,MATCH($A43,Rango_Admin_Clas_Primera,0)+1),"-")</f>
        <v>0</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1</v>
      </c>
      <c r="C44" s="18" t="str">
        <f ca="1">IFERROR(HLOOKUP(A44,Rango_Admin_Clas,5,FALSE),"-")</f>
        <v>Pegar Valores Nombre J40</v>
      </c>
      <c r="D44" s="91">
        <f ca="1">IFERROR(HLOOKUP(A44,Rango_Admin_Clas,4,FALSE),"-")</f>
        <v>0</v>
      </c>
      <c r="E44" s="92" cm="1">
        <f t="array" aca="1" ref="E44" ca="1">IFERROR(INDEX(Rango_Admin_Clas_Total,E$2,MATCH($A44,Rango_Admin_Clas_Primera,0)+1),"-")</f>
        <v>0</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 xml:space="preserve">México-Sudáfrica
</v>
      </c>
      <c r="C4" s="8" t="str" cm="1">
        <f t="array" aca="1" ref="C4" ca="1">IFERROR(IF(INDEX(ADMIN!$M$6:$M$258,SMALL(IF(ADMIN!$G$6:$G$258=$J$1,ROW(ADMIN!$G$6:$G$258)-ROW(ADMIN!$G$6)+1),ROWS($A$1:A1)))="-",""," ("&amp;INDEX(ADMIN!$M$6:$M$258,SMALL(IF(ADMIN!$G$6:$G$258=$J$1,ROW(ADMIN!$G$6:$G$258)-ROW(ADMIN!$G$6)+1),ROWS($A$1:A1)))&amp;")"),"")</f>
        <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Pegar Valores Nombre J38</v>
      </c>
      <c r="G41" s="429" t="str">
        <f ca="1">IFERROR(VLOOKUP(G$2,Rango_Admin_DailyPred,MATCH($F41,Rango_Admin_DailyPred_Primera,0),0),"-")</f>
        <v>Pegar Valores (J1)</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Pegar Valores Nombre J39</v>
      </c>
      <c r="G42" s="429" t="str">
        <f ca="1">IFERROR(VLOOKUP(G$2,Rango_Admin_DailyPred,MATCH($F42,Rango_Admin_DailyPred_Primera,0),0),"-")</f>
        <v>Pegar Valores (J1)</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Pegar Valores Nombre J40</v>
      </c>
      <c r="G43" s="429" t="str">
        <f ca="1">IFERROR(VLOOKUP(G$2,Rango_Admin_DailyPred,MATCH($F43,Rango_Admin_DailyPred_Primera,0),0),"-")</f>
        <v>Pegar Valores (J1)</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Admin</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Luis B</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Alejandro Lafuente</v>
      </c>
      <c r="G6" s="22">
        <f ca="1">IFERROR(HLOOKUP(C6,Rango_Admin_DailyClas,4,FALSE),"-")</f>
        <v>0</v>
      </c>
      <c r="H6" s="429">
        <f ca="1">IFERROR(VLOOKUP(H$2,Rango_Admin_DailyPred,MATCH($F6,Rango_Admin_DailyPred_Primera,0)+1,0),"-")</f>
        <v>0</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Lafuente</v>
      </c>
      <c r="G7" s="22">
        <f ca="1">IFERROR(HLOOKUP(C7,Rango_Admin_DailyClas,4,FALSE),"-")</f>
        <v>0</v>
      </c>
      <c r="H7" s="429">
        <f ca="1">IFERROR(VLOOKUP(H$2,Rango_Admin_DailyPred,MATCH($F7,Rango_Admin_DailyPred_Primera,0)+1,0),"-")</f>
        <v>0</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Pastor</v>
      </c>
      <c r="G8" s="22">
        <f ca="1">IFERROR(HLOOKUP(C8,Rango_Admin_DailyClas,4,FALSE),"-")</f>
        <v>0</v>
      </c>
      <c r="H8" s="429">
        <f ca="1">IFERROR(VLOOKUP(H$2,Rango_Admin_DailyPred,MATCH($F8,Rango_Admin_DailyPred_Primera,0)+1,0),"-")</f>
        <v>0</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Jaime García de la Riva</v>
      </c>
      <c r="G9" s="22">
        <f ca="1">IFERROR(HLOOKUP(C9,Rango_Admin_DailyClas,4,FALSE),"-")</f>
        <v>0</v>
      </c>
      <c r="H9" s="429">
        <f ca="1">IFERROR(VLOOKUP(H$2,Rango_Admin_DailyPred,MATCH($F9,Rango_Admin_DailyPred_Primera,0)+1,0),"-")</f>
        <v>0</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Nacho Novo</v>
      </c>
      <c r="G10" s="22">
        <f ca="1">IFERROR(HLOOKUP(C10,Rango_Admin_DailyClas,4,FALSE),"-")</f>
        <v>0</v>
      </c>
      <c r="H10" s="429">
        <f ca="1">IFERROR(VLOOKUP(H$2,Rango_Admin_DailyPred,MATCH($F10,Rango_Admin_DailyPred_Primera,0)+1,0),"-")</f>
        <v>0</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Antonio Zulueta Ramos</v>
      </c>
      <c r="G11" s="22">
        <f ca="1">IFERROR(HLOOKUP(C11,Rango_Admin_DailyClas,4,FALSE),"-")</f>
        <v>0</v>
      </c>
      <c r="H11" s="429">
        <f ca="1">IFERROR(VLOOKUP(H$2,Rango_Admin_DailyPred,MATCH($F11,Rango_Admin_DailyPred_Primera,0)+1,0),"-")</f>
        <v>0</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Carlos Murciano</v>
      </c>
      <c r="G12" s="22">
        <f ca="1">IFERROR(HLOOKUP(C12,Rango_Admin_DailyClas,4,FALSE),"-")</f>
        <v>0</v>
      </c>
      <c r="H12" s="429">
        <f ca="1">IFERROR(VLOOKUP(H$2,Rango_Admin_DailyPred,MATCH($F12,Rango_Admin_DailyPred_Primera,0)+1,0),"-")</f>
        <v>0</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Chente Muñoz</v>
      </c>
      <c r="G13" s="22">
        <f ca="1">IFERROR(HLOOKUP(C13,Rango_Admin_DailyClas,4,FALSE),"-")</f>
        <v>0</v>
      </c>
      <c r="H13" s="429">
        <f ca="1">IFERROR(VLOOKUP(H$2,Rango_Admin_DailyPred,MATCH($F13,Rango_Admin_DailyPred_Primera,0)+1,0),"-")</f>
        <v>0</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Fercho Muro Matosex</v>
      </c>
      <c r="G14" s="22">
        <f ca="1">IFERROR(HLOOKUP(C14,Rango_Admin_DailyClas,4,FALSE),"-")</f>
        <v>0</v>
      </c>
      <c r="H14" s="429">
        <f ca="1">IFERROR(VLOOKUP(H$2,Rango_Admin_DailyPred,MATCH($F14,Rango_Admin_DailyPred_Primera,0)+1,0),"-")</f>
        <v>0</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Guillermo Murciano</v>
      </c>
      <c r="G15" s="22">
        <f ca="1">IFERROR(HLOOKUP(C15,Rango_Admin_DailyClas,4,FALSE),"-")</f>
        <v>0</v>
      </c>
      <c r="H15" s="429">
        <f ca="1">IFERROR(VLOOKUP(H$2,Rango_Admin_DailyPred,MATCH($F15,Rango_Admin_DailyPred_Primera,0)+1,0),"-")</f>
        <v>0</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Ignacio de Lecea</v>
      </c>
      <c r="G16" s="22">
        <f ca="1">IFERROR(HLOOKUP(C16,Rango_Admin_DailyClas,4,FALSE),"-")</f>
        <v>0</v>
      </c>
      <c r="H16" s="429">
        <f ca="1">IFERROR(VLOOKUP(H$2,Rango_Admin_DailyPred,MATCH($F16,Rango_Admin_DailyPred_Primera,0)+1,0),"-")</f>
        <v>0</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JCU</v>
      </c>
      <c r="G17" s="22">
        <f ca="1">IFERROR(HLOOKUP(C17,Rango_Admin_DailyClas,4,FALSE),"-")</f>
        <v>0</v>
      </c>
      <c r="H17" s="429">
        <f ca="1">IFERROR(VLOOKUP(H$2,Rango_Admin_DailyPred,MATCH($F17,Rango_Admin_DailyPred_Primera,0)+1,0),"-")</f>
        <v>0</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Joserra</v>
      </c>
      <c r="G18" s="22">
        <f ca="1">IFERROR(HLOOKUP(C18,Rango_Admin_DailyClas,4,FALSE),"-")</f>
        <v>0</v>
      </c>
      <c r="H18" s="429">
        <f ca="1">IFERROR(VLOOKUP(H$2,Rango_Admin_DailyPred,MATCH($F18,Rango_Admin_DailyPred_Primera,0)+1,0),"-")</f>
        <v>0</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Migay Marcos</v>
      </c>
      <c r="G19" s="22">
        <f ca="1">IFERROR(HLOOKUP(C19,Rango_Admin_DailyClas,4,FALSE),"-")</f>
        <v>0</v>
      </c>
      <c r="H19" s="429">
        <f ca="1">IFERROR(VLOOKUP(H$2,Rango_Admin_DailyPred,MATCH($F19,Rango_Admin_DailyPred_Primera,0)+1,0),"-")</f>
        <v>0</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Antonio del Ojo</v>
      </c>
      <c r="G20" s="22">
        <f ca="1">IFERROR(HLOOKUP(C20,Rango_Admin_DailyClas,4,FALSE),"-")</f>
        <v>0</v>
      </c>
      <c r="H20" s="429">
        <f ca="1">IFERROR(VLOOKUP(H$2,Rango_Admin_DailyPred,MATCH($F20,Rango_Admin_DailyPred_Primera,0)+1,0),"-")</f>
        <v>0</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MURO 204</v>
      </c>
      <c r="G21" s="22">
        <f ca="1">IFERROR(HLOOKUP(C21,Rango_Admin_DailyClas,4,FALSE),"-")</f>
        <v>0</v>
      </c>
      <c r="H21" s="429">
        <f ca="1">IFERROR(VLOOKUP(H$2,Rango_Admin_DailyPred,MATCH($F21,Rango_Admin_DailyPred_Primera,0)+1,0),"-")</f>
        <v>0</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Hulk Rexach</v>
      </c>
      <c r="G22" s="22">
        <f ca="1">IFERROR(HLOOKUP(C22,Rango_Admin_DailyClas,4,FALSE),"-")</f>
        <v>0</v>
      </c>
      <c r="H22" s="429">
        <f ca="1">IFERROR(VLOOKUP(H$2,Rango_Admin_DailyPred,MATCH($F22,Rango_Admin_DailyPred_Primera,0)+1,0),"-")</f>
        <v>0</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Miguel San Martín</v>
      </c>
      <c r="G23" s="22">
        <f ca="1">IFERROR(HLOOKUP(C23,Rango_Admin_DailyClas,4,FALSE),"-")</f>
        <v>0</v>
      </c>
      <c r="H23" s="429">
        <f ca="1">IFERROR(VLOOKUP(H$2,Rango_Admin_DailyPred,MATCH($F23,Rango_Admin_DailyPred_Primera,0)+1,0),"-")</f>
        <v>0</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Pablo C</v>
      </c>
      <c r="G24" s="22">
        <f ca="1">IFERROR(HLOOKUP(C24,Rango_Admin_DailyClas,4,FALSE),"-")</f>
        <v>0</v>
      </c>
      <c r="H24" s="429">
        <f ca="1">IFERROR(VLOOKUP(H$2,Rango_Admin_DailyPred,MATCH($F24,Rango_Admin_DailyPred_Primera,0)+1,0),"-")</f>
        <v>0</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bau</v>
      </c>
      <c r="G25" s="22">
        <f ca="1">IFERROR(HLOOKUP(C25,Rango_Admin_DailyClas,4,FALSE),"-")</f>
        <v>0</v>
      </c>
      <c r="H25" s="429">
        <f ca="1">IFERROR(VLOOKUP(H$2,Rango_Admin_DailyPred,MATCH($F25,Rango_Admin_DailyPred_Primera,0)+1,0),"-")</f>
        <v>0</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Florentino Netanyahu</v>
      </c>
      <c r="G26" s="22">
        <f ca="1">IFERROR(HLOOKUP(C26,Rango_Admin_DailyClas,4,FALSE),"-")</f>
        <v>0</v>
      </c>
      <c r="H26" s="429">
        <f ca="1">IFERROR(VLOOKUP(H$2,Rango_Admin_DailyPred,MATCH($F26,Rango_Admin_DailyPred_Primera,0)+1,0),"-")</f>
        <v>0</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Lucas Oriol</v>
      </c>
      <c r="G27" s="22">
        <f ca="1">IFERROR(HLOOKUP(C27,Rango_Admin_DailyClas,4,FALSE),"-")</f>
        <v>0</v>
      </c>
      <c r="H27" s="429">
        <f ca="1">IFERROR(VLOOKUP(H$2,Rango_Admin_DailyPred,MATCH($F27,Rango_Admin_DailyPred_Primera,0)+1,0),"-")</f>
        <v>0</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YTD</v>
      </c>
      <c r="G28" s="22">
        <f ca="1">IFERROR(HLOOKUP(C28,Rango_Admin_DailyClas,4,FALSE),"-")</f>
        <v>0</v>
      </c>
      <c r="H28" s="429">
        <f ca="1">IFERROR(VLOOKUP(H$2,Rango_Admin_DailyPred,MATCH($F28,Rango_Admin_DailyPred_Primera,0)+1,0),"-")</f>
        <v>0</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1</v>
      </c>
      <c r="F29" s="448" t="str">
        <f ca="1">IFERROR(HLOOKUP(C29,Rango_Admin_DailyClas,5,FALSE),"-")</f>
        <v>William Hartley</v>
      </c>
      <c r="G29" s="22">
        <f ca="1">IFERROR(HLOOKUP(C29,Rango_Admin_DailyClas,4,FALSE),"-")</f>
        <v>0</v>
      </c>
      <c r="H29" s="429">
        <f ca="1">IFERROR(VLOOKUP(H$2,Rango_Admin_DailyPred,MATCH($F29,Rango_Admin_DailyPred_Primera,0)+1,0),"-")</f>
        <v>0</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1</v>
      </c>
      <c r="F30" s="448" t="str">
        <f ca="1">IFERROR(HLOOKUP(C30,Rango_Admin_DailyClas,5,FALSE),"-")</f>
        <v>Kurtischamp</v>
      </c>
      <c r="G30" s="22">
        <f ca="1">IFERROR(HLOOKUP(C30,Rango_Admin_DailyClas,4,FALSE),"-")</f>
        <v>0</v>
      </c>
      <c r="H30" s="429">
        <f ca="1">IFERROR(VLOOKUP(H$2,Rango_Admin_DailyPred,MATCH($F30,Rango_Admin_DailyPred_Primera,0)+1,0),"-")</f>
        <v>0</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1</v>
      </c>
      <c r="F31" s="448" t="str">
        <f ca="1">IFERROR(HLOOKUP(C31,Rango_Admin_DailyClas,5,FALSE),"-")</f>
        <v>KIRICOCHO</v>
      </c>
      <c r="G31" s="22">
        <f ca="1">IFERROR(HLOOKUP(C31,Rango_Admin_DailyClas,4,FALSE),"-")</f>
        <v>0</v>
      </c>
      <c r="H31" s="429">
        <f ca="1">IFERROR(VLOOKUP(H$2,Rango_Admin_DailyPred,MATCH($F31,Rango_Admin_DailyPred_Primera,0)+1,0),"-")</f>
        <v>0</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1</v>
      </c>
      <c r="F32" s="448" t="str">
        <f ca="1">IFERROR(HLOOKUP(C32,Rango_Admin_DailyClas,5,FALSE),"-")</f>
        <v>BeliBeltrán</v>
      </c>
      <c r="G32" s="22">
        <f ca="1">IFERROR(HLOOKUP(C32,Rango_Admin_DailyClas,4,FALSE),"-")</f>
        <v>0</v>
      </c>
      <c r="H32" s="429">
        <f ca="1">IFERROR(VLOOKUP(H$2,Rango_Admin_DailyPred,MATCH($F32,Rango_Admin_DailyPred_Primera,0)+1,0),"-")</f>
        <v>0</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1</v>
      </c>
      <c r="F33" s="448" t="str">
        <f ca="1">IFERROR(HLOOKUP(C33,Rango_Admin_DailyClas,5,FALSE),"-")</f>
        <v>Fernando Carlos García-Ramos Redondo</v>
      </c>
      <c r="G33" s="22">
        <f ca="1">IFERROR(HLOOKUP(C33,Rango_Admin_DailyClas,4,FALSE),"-")</f>
        <v>0</v>
      </c>
      <c r="H33" s="429">
        <f ca="1">IFERROR(VLOOKUP(H$2,Rango_Admin_DailyPred,MATCH($F33,Rango_Admin_DailyPred_Primera,0)+1,0),"-")</f>
        <v>0</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1</v>
      </c>
      <c r="F34" s="448" t="str">
        <f ca="1">IFERROR(HLOOKUP(C34,Rango_Admin_DailyClas,5,FALSE),"-")</f>
        <v>Vicuinho</v>
      </c>
      <c r="G34" s="22">
        <f ca="1">IFERROR(HLOOKUP(C34,Rango_Admin_DailyClas,4,FALSE),"-")</f>
        <v>0</v>
      </c>
      <c r="H34" s="429">
        <f ca="1">IFERROR(VLOOKUP(H$2,Rango_Admin_DailyPred,MATCH($F34,Rango_Admin_DailyPred_Primera,0)+1,0),"-")</f>
        <v>0</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1</v>
      </c>
      <c r="F35" s="448" t="str">
        <f ca="1">IFERROR(HLOOKUP(C35,Rango_Admin_DailyClas,5,FALSE),"-")</f>
        <v>Miguel Suárez-Zuloaga</v>
      </c>
      <c r="G35" s="22">
        <f ca="1">IFERROR(HLOOKUP(C35,Rango_Admin_DailyClas,4,FALSE),"-")</f>
        <v>0</v>
      </c>
      <c r="H35" s="429">
        <f ca="1">IFERROR(VLOOKUP(H$2,Rango_Admin_DailyPred,MATCH($F35,Rango_Admin_DailyPred_Primera,0)+1,0),"-")</f>
        <v>0</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1</v>
      </c>
      <c r="F36" s="448" t="str">
        <f ca="1">IFERROR(HLOOKUP(C36,Rango_Admin_DailyClas,5,FALSE),"-")</f>
        <v>Gratacós</v>
      </c>
      <c r="G36" s="22">
        <f ca="1">IFERROR(HLOOKUP(C36,Rango_Admin_DailyClas,4,FALSE),"-")</f>
        <v>0</v>
      </c>
      <c r="H36" s="429">
        <f ca="1">IFERROR(VLOOKUP(H$2,Rango_Admin_DailyPred,MATCH($F36,Rango_Admin_DailyPred_Primera,0)+1,0),"-")</f>
        <v>0</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1</v>
      </c>
      <c r="F37" s="448" t="str">
        <f ca="1">IFERROR(HLOOKUP(C37,Rango_Admin_DailyClas,5,FALSE),"-")</f>
        <v>AD Monchus</v>
      </c>
      <c r="G37" s="22">
        <f ca="1">IFERROR(HLOOKUP(C37,Rango_Admin_DailyClas,4,FALSE),"-")</f>
        <v>0</v>
      </c>
      <c r="H37" s="429">
        <f ca="1">IFERROR(VLOOKUP(H$2,Rango_Admin_DailyPred,MATCH($F37,Rango_Admin_DailyPred_Primera,0)+1,0),"-")</f>
        <v>0</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1</v>
      </c>
      <c r="F38" s="448" t="str">
        <f ca="1">IFERROR(HLOOKUP(C38,Rango_Admin_DailyClas,5,FALSE),"-")</f>
        <v>JUAN SOLAS</v>
      </c>
      <c r="G38" s="22">
        <f ca="1">IFERROR(HLOOKUP(C38,Rango_Admin_DailyClas,4,FALSE),"-")</f>
        <v>0</v>
      </c>
      <c r="H38" s="429">
        <f ca="1">IFERROR(VLOOKUP(H$2,Rango_Admin_DailyPred,MATCH($F38,Rango_Admin_DailyPred_Primera,0)+1,0),"-")</f>
        <v>0</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1</v>
      </c>
      <c r="F39" s="448" t="str">
        <f ca="1">IFERROR(HLOOKUP(C39,Rango_Admin_DailyClas,5,FALSE),"-")</f>
        <v xml:space="preserve">Martín Matoses </v>
      </c>
      <c r="G39" s="22">
        <f ca="1">IFERROR(HLOOKUP(C39,Rango_Admin_DailyClas,4,FALSE),"-")</f>
        <v>0</v>
      </c>
      <c r="H39" s="429">
        <f ca="1">IFERROR(VLOOKUP(H$2,Rango_Admin_DailyPred,MATCH($F39,Rango_Admin_DailyPred_Primera,0)+1,0),"-")</f>
        <v>0</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1</v>
      </c>
      <c r="F40" s="448" t="str">
        <f ca="1">IFERROR(HLOOKUP(C40,Rango_Admin_DailyClas,5,FALSE),"-")</f>
        <v>IGNACIO LAFUENTE</v>
      </c>
      <c r="G40" s="22">
        <f ca="1">IFERROR(HLOOKUP(C40,Rango_Admin_DailyClas,4,FALSE),"-")</f>
        <v>0</v>
      </c>
      <c r="H40" s="429">
        <f ca="1">IFERROR(VLOOKUP(H$2,Rango_Admin_DailyPred,MATCH($F40,Rango_Admin_DailyPred_Primera,0)+1,0),"-")</f>
        <v>0</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1</v>
      </c>
      <c r="F41" s="448" t="str">
        <f ca="1">IFERROR(HLOOKUP(C41,Rango_Admin_DailyClas,5,FALSE),"-")</f>
        <v>Pegar Valores Nombre J38</v>
      </c>
      <c r="G41" s="22">
        <f ca="1">IFERROR(HLOOKUP(C41,Rango_Admin_DailyClas,4,FALSE),"-")</f>
        <v>0</v>
      </c>
      <c r="H41" s="429">
        <f ca="1">IFERROR(VLOOKUP(H$2,Rango_Admin_DailyPred,MATCH($F41,Rango_Admin_DailyPred_Primera,0)+1,0),"-")</f>
        <v>0</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1</v>
      </c>
      <c r="F42" s="448" t="str">
        <f ca="1">IFERROR(HLOOKUP(C42,Rango_Admin_DailyClas,5,FALSE),"-")</f>
        <v>Pegar Valores Nombre J39</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1</v>
      </c>
      <c r="F43" s="448" t="str">
        <f ca="1">IFERROR(HLOOKUP(C43,Rango_Admin_DailyClas,5,FALSE),"-")</f>
        <v>Pegar Valores Nombre J40</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1</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1</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1</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1</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1</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1</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1</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1</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1</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1</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18</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13</v>
      </c>
      <c r="N8" s="469">
        <f ca="1">IFERROR(COUNTIF(ADMIN!$S$130:INDEX(ADMIN!$S$130:$KI$161,32,ADMIN!$D$5*3-1),Stats!$L8)-SUM(O8:T8),0)</f>
        <v>2</v>
      </c>
      <c r="O8" s="469">
        <f ca="1">COUNTIF(ADMIN!$S$182:INDEX(ADMIN!$S$182:$KI$197,16,ADMIN!$D$5*3-1),Stats!$L8)-SUM(P8:T8)</f>
        <v>30</v>
      </c>
      <c r="P8" s="469">
        <f ca="1">COUNTIF(ADMIN!$S$210:INDEX(ADMIN!$S$210:$KI$217,8,ADMIN!$D$5*3-1),Stats!$L8)-SUM(Q8:T8)</f>
        <v>1</v>
      </c>
      <c r="Q8" s="469">
        <f ca="1">COUNTIF(ADMIN!$S$226:INDEX(ADMIN!$S$226:$KI$229,4,ADMIN!$D$5*3-1),Stats!$L8)-SUM(R8:T8)</f>
        <v>1</v>
      </c>
      <c r="R8" s="469">
        <f ca="1">IFERROR(COUNTIF(ADMIN!$S$252:INDEX(ADMIN!$S$252:$KI$252,1,ADMIN!$D$5*3-1),Stats!$L8),0)</f>
        <v>1</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13</v>
      </c>
      <c r="J9" s="706">
        <f ca="1"/>
        <v>0</v>
      </c>
      <c r="K9" s="404">
        <f ca="1"/>
        <v>0</v>
      </c>
      <c r="L9" s="132" t="str">
        <f ca="1">Horarios!Q4</f>
        <v>Arabia Saudita</v>
      </c>
      <c r="M9" s="471">
        <f ca="1">ADMIN!$D$5-SUM(N9:T9)</f>
        <v>31</v>
      </c>
      <c r="N9" s="471">
        <f ca="1">IFERROR(COUNTIF(ADMIN!$S$130:INDEX(ADMIN!$S$130:$KI$161,32,ADMIN!$D$5*3-1),Stats!$L9)-SUM(O9:T9),0)</f>
        <v>19</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9</v>
      </c>
      <c r="J10" s="706">
        <f ca="1"/>
        <v>0</v>
      </c>
      <c r="K10" s="404">
        <f ca="1"/>
        <v>0</v>
      </c>
      <c r="L10" s="133" t="str">
        <f ca="1">Horarios!Q5</f>
        <v>Argelia</v>
      </c>
      <c r="M10" s="469">
        <f ca="1">ADMIN!$D$5-SUM(N10:T10)</f>
        <v>30</v>
      </c>
      <c r="N10" s="469">
        <f ca="1">IFERROR(COUNTIF(ADMIN!$S$130:INDEX(ADMIN!$S$130:$KI$161,32,ADMIN!$D$5*3-1),Stats!$L10)-SUM(O10:T10),0)</f>
        <v>18</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4</v>
      </c>
      <c r="J11" s="706">
        <f ca="1"/>
        <v>0</v>
      </c>
      <c r="K11" s="404">
        <f ca="1"/>
        <v>0</v>
      </c>
      <c r="L11" s="132" t="str">
        <f ca="1">Horarios!Q6</f>
        <v>Argentina</v>
      </c>
      <c r="M11" s="471">
        <f ca="1">ADMIN!$D$5-SUM(N11:T11)</f>
        <v>13</v>
      </c>
      <c r="N11" s="471">
        <f ca="1">IFERROR(COUNTIF(ADMIN!$S$130:INDEX(ADMIN!$S$130:$KI$161,32,ADMIN!$D$5*3-1),Stats!$L11)-SUM(O11:T11),0)</f>
        <v>3</v>
      </c>
      <c r="O11" s="471">
        <f ca="1">COUNTIF(ADMIN!$S$182:INDEX(ADMIN!$S$182:$KI$197,16,ADMIN!$D$5*3-1),Stats!$L11)-SUM(P11:T11)</f>
        <v>1</v>
      </c>
      <c r="P11" s="471">
        <f ca="1">COUNTIF(ADMIN!$S$210:INDEX(ADMIN!$S$210:$KI$217,8,ADMIN!$D$5*3-1),Stats!$L11)-SUM(Q11:T11)</f>
        <v>20</v>
      </c>
      <c r="Q11" s="471">
        <f ca="1">COUNTIF(ADMIN!$S$226:INDEX(ADMIN!$S$226:$KI$229,4,ADMIN!$D$5*3-1),Stats!$L11)-SUM(R11:T11)</f>
        <v>5</v>
      </c>
      <c r="R11" s="471">
        <f ca="1">IFERROR(COUNTIF(ADMIN!$S$252:INDEX(ADMIN!$S$252:$KI$252,1,ADMIN!$D$5*3-1),Stats!$L11),0)</f>
        <v>1</v>
      </c>
      <c r="S11" s="471">
        <f ca="1">IFERROR(COUNTIF(ADMIN!$S$251:INDEX(ADMIN!$S$251:$KI$251,1,ADMIN!$D$5*3-1),Stats!$L11),0)</f>
        <v>7</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49</v>
      </c>
      <c r="N12" s="469">
        <f ca="1">IFERROR(COUNTIF(ADMIN!$S$130:INDEX(ADMIN!$S$130:$KI$161,32,ADMIN!$D$5*3-1),Stats!$L12)-SUM(O12:T12),0)</f>
        <v>1</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0</v>
      </c>
      <c r="F13" s="456">
        <f ca="1">IFERROR(E13/E12,0)</f>
        <v>0</v>
      </c>
      <c r="G13" s="17"/>
      <c r="H13" s="457" t="str">
        <f ca="1"/>
        <v>1|3-0</v>
      </c>
      <c r="I13" s="704">
        <f ca="1"/>
        <v>1</v>
      </c>
      <c r="J13" s="706">
        <f ca="1"/>
        <v>0</v>
      </c>
      <c r="K13" s="404">
        <f ca="1"/>
        <v>0</v>
      </c>
      <c r="L13" s="132" t="str">
        <f ca="1">Horarios!Q8</f>
        <v>Austria</v>
      </c>
      <c r="M13" s="471">
        <f ca="1">ADMIN!$D$5-SUM(N13:T13)</f>
        <v>13</v>
      </c>
      <c r="N13" s="471">
        <f ca="1">IFERROR(COUNTIF(ADMIN!$S$130:INDEX(ADMIN!$S$130:$KI$161,32,ADMIN!$D$5*3-1),Stats!$L13)-SUM(O13:T13),0)</f>
        <v>35</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0</v>
      </c>
      <c r="F14" s="456">
        <f ca="1">IFERROR(E14/ADMIN!$D$5,0)</f>
        <v>0</v>
      </c>
      <c r="G14" s="17"/>
      <c r="H14" s="454" t="str">
        <f ca="1"/>
        <v>X|1-1</v>
      </c>
      <c r="I14" s="704">
        <f ca="1"/>
        <v>1</v>
      </c>
      <c r="J14" s="706">
        <f ca="1"/>
        <v>0</v>
      </c>
      <c r="K14" s="404">
        <f ca="1"/>
        <v>0</v>
      </c>
      <c r="L14" s="133" t="str">
        <f ca="1">Horarios!Q9</f>
        <v>Bélgica</v>
      </c>
      <c r="M14" s="469">
        <f ca="1">ADMIN!$D$5-SUM(N14:T14)</f>
        <v>13</v>
      </c>
      <c r="N14" s="469">
        <f ca="1">IFERROR(COUNTIF(ADMIN!$S$130:INDEX(ADMIN!$S$130:$KI$161,32,ADMIN!$D$5*3-1),Stats!$L14)-SUM(O14:T14),0)</f>
        <v>5</v>
      </c>
      <c r="O14" s="469">
        <f ca="1">COUNTIF(ADMIN!$S$182:INDEX(ADMIN!$S$182:$KI$197,16,ADMIN!$D$5*3-1),Stats!$L14)-SUM(P14:T14)</f>
        <v>15</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0</v>
      </c>
      <c r="F15" s="456">
        <f ca="1">IFERROR(E15/ADMIN!$D$5,0)</f>
        <v>0</v>
      </c>
      <c r="G15" s="17"/>
      <c r="H15" s="457" t="str">
        <f ca="1"/>
        <v>X|2-2</v>
      </c>
      <c r="I15" s="704">
        <f ca="1"/>
        <v>1</v>
      </c>
      <c r="J15" s="706">
        <f ca="1"/>
        <v>0</v>
      </c>
      <c r="K15" s="404">
        <f ca="1"/>
        <v>0</v>
      </c>
      <c r="L15" s="132" t="str">
        <f ca="1">Horarios!Q10</f>
        <v>Bosnia y Herzegovina</v>
      </c>
      <c r="M15" s="471">
        <f ca="1">ADMIN!$D$5-SUM(N15:T15)</f>
        <v>23</v>
      </c>
      <c r="N15" s="471">
        <f ca="1">IFERROR(COUNTIF(ADMIN!$S$130:INDEX(ADMIN!$S$130:$KI$161,32,ADMIN!$D$5*3-1),Stats!$L15)-SUM(O15:T15),0)</f>
        <v>23</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50</v>
      </c>
      <c r="F16" s="456">
        <f ca="1">IFERROR(E16/ADMIN!$D$5,0)</f>
        <v>1</v>
      </c>
      <c r="G16" s="17"/>
      <c r="H16" s="454"/>
      <c r="I16" s="704"/>
      <c r="J16" s="706"/>
      <c r="K16" s="404"/>
      <c r="L16" s="133" t="str">
        <f ca="1">Horarios!Q11</f>
        <v>Brasil</v>
      </c>
      <c r="M16" s="469">
        <f ca="1">ADMIN!$D$5-SUM(N16:T16)</f>
        <v>13</v>
      </c>
      <c r="N16" s="469">
        <f ca="1">IFERROR(COUNTIF(ADMIN!$S$130:INDEX(ADMIN!$S$130:$KI$161,32,ADMIN!$D$5*3-1),Stats!$L16)-SUM(O16:T16),0)</f>
        <v>0</v>
      </c>
      <c r="O16" s="469">
        <f ca="1">COUNTIF(ADMIN!$S$182:INDEX(ADMIN!$S$182:$KI$197,16,ADMIN!$D$5*3-1),Stats!$L16)-SUM(P16:T16)</f>
        <v>5</v>
      </c>
      <c r="P16" s="469">
        <f ca="1">COUNTIF(ADMIN!$S$210:INDEX(ADMIN!$S$210:$KI$217,8,ADMIN!$D$5*3-1),Stats!$L16)-SUM(Q16:T16)</f>
        <v>13</v>
      </c>
      <c r="Q16" s="469">
        <f ca="1">COUNTIF(ADMIN!$S$226:INDEX(ADMIN!$S$226:$KI$229,4,ADMIN!$D$5*3-1),Stats!$L16)-SUM(R16:T16)</f>
        <v>8</v>
      </c>
      <c r="R16" s="469">
        <f ca="1">IFERROR(COUNTIF(ADMIN!$S$252:INDEX(ADMIN!$S$252:$KI$252,1,ADMIN!$D$5*3-1),Stats!$L16),0)</f>
        <v>4</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0</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19</v>
      </c>
      <c r="N18" s="469">
        <f ca="1">IFERROR(COUNTIF(ADMIN!$S$130:INDEX(ADMIN!$S$130:$KI$161,32,ADMIN!$D$5*3-1),Stats!$L18)-SUM(O18:T18),0)</f>
        <v>19</v>
      </c>
      <c r="O18" s="469">
        <f ca="1">COUNTIF(ADMIN!$S$182:INDEX(ADMIN!$S$182:$KI$197,16,ADMIN!$D$5*3-1),Stats!$L18)-SUM(P18:T18)</f>
        <v>12</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13</v>
      </c>
      <c r="N20" s="469">
        <f ca="1">IFERROR(COUNTIF(ADMIN!$S$130:INDEX(ADMIN!$S$130:$KI$161,32,ADMIN!$D$5*3-1),Stats!$L20)-SUM(O20:T20),0)</f>
        <v>14</v>
      </c>
      <c r="O20" s="469">
        <f ca="1">COUNTIF(ADMIN!$S$182:INDEX(ADMIN!$S$182:$KI$197,16,ADMIN!$D$5*3-1),Stats!$L20)-SUM(P20:T20)</f>
        <v>18</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19</v>
      </c>
      <c r="N21" s="471">
        <f ca="1">IFERROR(COUNTIF(ADMIN!$S$130:INDEX(ADMIN!$S$130:$KI$161,32,ADMIN!$D$5*3-1),Stats!$L21)-SUM(O21:T21),0)</f>
        <v>16</v>
      </c>
      <c r="O21" s="471">
        <f ca="1">COUNTIF(ADMIN!$S$182:INDEX(ADMIN!$S$182:$KI$197,16,ADMIN!$D$5*3-1),Stats!$L21)-SUM(P21:T21)</f>
        <v>13</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17</v>
      </c>
      <c r="N22" s="469">
        <f ca="1">IFERROR(COUNTIF(ADMIN!$S$130:INDEX(ADMIN!$S$130:$KI$161,32,ADMIN!$D$5*3-1),Stats!$L22)-SUM(O22:T22),0)</f>
        <v>23</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14</v>
      </c>
      <c r="N23" s="471">
        <f ca="1">IFERROR(COUNTIF(ADMIN!$S$130:INDEX(ADMIN!$S$130:$KI$161,32,ADMIN!$D$5*3-1),Stats!$L23)-SUM(O23:T23),0)</f>
        <v>22</v>
      </c>
      <c r="O23" s="471">
        <f ca="1">COUNTIF(ADMIN!$S$182:INDEX(ADMIN!$S$182:$KI$197,16,ADMIN!$D$5*3-1),Stats!$L23)-SUM(P23:T23)</f>
        <v>10</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14</v>
      </c>
      <c r="N25" s="471">
        <f ca="1">IFERROR(COUNTIF(ADMIN!$S$130:INDEX(ADMIN!$S$130:$KI$161,32,ADMIN!$D$5*3-1),Stats!$L25)-SUM(O25:T25),0)</f>
        <v>24</v>
      </c>
      <c r="O25" s="471">
        <f ca="1">COUNTIF(ADMIN!$S$182:INDEX(ADMIN!$S$182:$KI$197,16,ADMIN!$D$5*3-1),Stats!$L25)-SUM(P25:T25)</f>
        <v>10</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14</v>
      </c>
      <c r="N26" s="469">
        <f ca="1">IFERROR(COUNTIF(ADMIN!$S$130:INDEX(ADMIN!$S$130:$KI$161,32,ADMIN!$D$5*3-1),Stats!$L26)-SUM(O26:T26),0)</f>
        <v>31</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19</v>
      </c>
      <c r="N27" s="471">
        <f ca="1">IFERROR(COUNTIF(ADMIN!$S$130:INDEX(ADMIN!$S$130:$KI$161,32,ADMIN!$D$5*3-1),Stats!$L27)-SUM(O27:T27),0)</f>
        <v>27</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13</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19</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13</v>
      </c>
      <c r="N29" s="471">
        <f ca="1">IFERROR(COUNTIF(ADMIN!$S$130:INDEX(ADMIN!$S$130:$KI$161,32,ADMIN!$D$5*3-1),Stats!$L29)-SUM(O29:T29),0)</f>
        <v>10</v>
      </c>
      <c r="O29" s="471">
        <f ca="1">COUNTIF(ADMIN!$S$182:INDEX(ADMIN!$S$182:$KI$197,16,ADMIN!$D$5*3-1),Stats!$L29)-SUM(P29:T29)</f>
        <v>26</v>
      </c>
      <c r="P29" s="471">
        <f ca="1">COUNTIF(ADMIN!$S$210:INDEX(ADMIN!$S$210:$KI$217,8,ADMIN!$D$5*3-1),Stats!$L29)-SUM(Q29:T29)</f>
        <v>1</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13</v>
      </c>
      <c r="N30" s="469">
        <f ca="1">IFERROR(COUNTIF(ADMIN!$S$130:INDEX(ADMIN!$S$130:$KI$161,32,ADMIN!$D$5*3-1),Stats!$L30)-SUM(O30:T30),0)</f>
        <v>1</v>
      </c>
      <c r="O30" s="469">
        <f ca="1">COUNTIF(ADMIN!$S$182:INDEX(ADMIN!$S$182:$KI$197,16,ADMIN!$D$5*3-1),Stats!$L30)-SUM(P30:T30)</f>
        <v>4</v>
      </c>
      <c r="P30" s="469">
        <f ca="1">COUNTIF(ADMIN!$S$210:INDEX(ADMIN!$S$210:$KI$217,8,ADMIN!$D$5*3-1),Stats!$L30)-SUM(Q30:T30)</f>
        <v>2</v>
      </c>
      <c r="Q30" s="469">
        <f ca="1">COUNTIF(ADMIN!$S$226:INDEX(ADMIN!$S$226:$KI$229,4,ADMIN!$D$5*3-1),Stats!$L30)-SUM(R30:T30)</f>
        <v>6</v>
      </c>
      <c r="R30" s="469">
        <f ca="1">IFERROR(COUNTIF(ADMIN!$S$252:INDEX(ADMIN!$S$252:$KI$252,1,ADMIN!$D$5*3-1),Stats!$L30),0)</f>
        <v>15</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29</v>
      </c>
      <c r="N31" s="471">
        <f ca="1">IFERROR(COUNTIF(ADMIN!$S$130:INDEX(ADMIN!$S$130:$KI$161,32,ADMIN!$D$5*3-1),Stats!$L31)-SUM(O31:T31),0)</f>
        <v>20</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13</v>
      </c>
      <c r="N33" s="471">
        <f ca="1">IFERROR(COUNTIF(ADMIN!$S$130:INDEX(ADMIN!$S$130:$KI$161,32,ADMIN!$D$5*3-1),Stats!$L33)-SUM(O33:T33),0)</f>
        <v>2</v>
      </c>
      <c r="O33" s="471">
        <f ca="1">COUNTIF(ADMIN!$S$182:INDEX(ADMIN!$S$182:$KI$197,16,ADMIN!$D$5*3-1),Stats!$L33)-SUM(P33:T33)</f>
        <v>6</v>
      </c>
      <c r="P33" s="471">
        <f ca="1">COUNTIF(ADMIN!$S$210:INDEX(ADMIN!$S$210:$KI$217,8,ADMIN!$D$5*3-1),Stats!$L33)-SUM(Q33:T33)</f>
        <v>13</v>
      </c>
      <c r="Q33" s="471">
        <f ca="1">COUNTIF(ADMIN!$S$226:INDEX(ADMIN!$S$226:$KI$229,4,ADMIN!$D$5*3-1),Stats!$L33)-SUM(R33:T33)</f>
        <v>9</v>
      </c>
      <c r="R33" s="471">
        <f ca="1">IFERROR(COUNTIF(ADMIN!$S$252:INDEX(ADMIN!$S$252:$KI$252,1,ADMIN!$D$5*3-1),Stats!$L33),0)</f>
        <v>3</v>
      </c>
      <c r="S33" s="471">
        <f ca="1">IFERROR(COUNTIF(ADMIN!$S$251:INDEX(ADMIN!$S$251:$KI$251,1,ADMIN!$D$5*3-1),Stats!$L33),0)</f>
        <v>3</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35</v>
      </c>
      <c r="F35" s="25">
        <f ca="1">IFERROR(E35/SUM($E$35:E37),0)</f>
        <v>0.94594594594594594</v>
      </c>
      <c r="G35" s="17"/>
      <c r="H35" s="17"/>
      <c r="I35" s="17"/>
      <c r="J35" s="25"/>
      <c r="K35" s="25"/>
      <c r="L35" s="132" t="str">
        <f ca="1">Horarios!Q30</f>
        <v>Irán</v>
      </c>
      <c r="M35" s="471">
        <f ca="1">ADMIN!$D$5-SUM(N35:T35)</f>
        <v>32</v>
      </c>
      <c r="N35" s="471">
        <f ca="1">IFERROR(COUNTIF(ADMIN!$S$130:INDEX(ADMIN!$S$130:$KI$161,32,ADMIN!$D$5*3-1),Stats!$L35)-SUM(O35:T35),0)</f>
        <v>18</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4</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4</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18</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5.4054054054054057E-2</v>
      </c>
      <c r="G36" s="17"/>
      <c r="H36" s="17"/>
      <c r="I36" s="17"/>
      <c r="J36" s="25"/>
      <c r="K36" s="25"/>
      <c r="L36" s="133" t="str">
        <f ca="1">Horarios!Q31</f>
        <v>Japón</v>
      </c>
      <c r="M36" s="469">
        <f ca="1">ADMIN!$D$5-SUM(N36:T36)</f>
        <v>15</v>
      </c>
      <c r="N36" s="469">
        <f ca="1">IFERROR(COUNTIF(ADMIN!$S$130:INDEX(ADMIN!$S$130:$KI$161,32,ADMIN!$D$5*3-1),Stats!$L36)-SUM(O36:T36),0)</f>
        <v>33</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18</v>
      </c>
      <c r="X36" s="11" t="str">
        <f ca="1"/>
        <v>1|2-0</v>
      </c>
      <c r="Y36" s="11" t="str">
        <f ca="1"/>
        <v>1|2-0</v>
      </c>
      <c r="Z36" s="11">
        <f ca="1"/>
        <v>18</v>
      </c>
      <c r="AA36" s="11">
        <f ca="1"/>
        <v>0</v>
      </c>
      <c r="AB36" s="11">
        <f ca="1"/>
        <v>0</v>
      </c>
      <c r="AC36" s="11" t="str">
        <f ca="1"/>
        <v>Pegar Valores (J1)</v>
      </c>
      <c r="AD36" s="11">
        <f ca="1"/>
        <v>13</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1|2-1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13</v>
      </c>
      <c r="N38" s="469">
        <f ca="1">IFERROR(COUNTIF(ADMIN!$S$130:INDEX(ADMIN!$S$130:$KI$161,32,ADMIN!$D$5*3-1),Stats!$L38)-SUM(O38:T38),0)</f>
        <v>20</v>
      </c>
      <c r="O38" s="469">
        <f ca="1">COUNTIF(ADMIN!$S$182:INDEX(ADMIN!$S$182:$KI$197,16,ADMIN!$D$5*3-1),Stats!$L38)-SUM(P38:T38)</f>
        <v>4</v>
      </c>
      <c r="P38" s="469">
        <f ca="1">COUNTIF(ADMIN!$S$210:INDEX(ADMIN!$S$210:$KI$217,8,ADMIN!$D$5*3-1),Stats!$L38)-SUM(Q38:T38)</f>
        <v>12</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4</v>
      </c>
      <c r="AE38" s="11">
        <f ca="1"/>
        <v>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13</v>
      </c>
      <c r="N39" s="471">
        <f ca="1">IFERROR(COUNTIF(ADMIN!$S$130:INDEX(ADMIN!$S$130:$KI$161,32,ADMIN!$D$5*3-1),Stats!$L39)-SUM(O39:T39),0)</f>
        <v>9</v>
      </c>
      <c r="O39" s="471">
        <f ca="1">COUNTIF(ADMIN!$S$182:INDEX(ADMIN!$S$182:$KI$197,16,ADMIN!$D$5*3-1),Stats!$L39)-SUM(P39:T39)</f>
        <v>23</v>
      </c>
      <c r="P39" s="471">
        <f ca="1">COUNTIF(ADMIN!$S$210:INDEX(ADMIN!$S$210:$KI$217,8,ADMIN!$D$5*3-1),Stats!$L39)-SUM(Q39:T39)</f>
        <v>5</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13</v>
      </c>
      <c r="N40" s="469">
        <f ca="1">IFERROR(COUNTIF(ADMIN!$S$130:INDEX(ADMIN!$S$130:$KI$161,32,ADMIN!$D$5*3-1),Stats!$L40)-SUM(O40:T40),0)</f>
        <v>12</v>
      </c>
      <c r="O40" s="469">
        <f ca="1">COUNTIF(ADMIN!$S$182:INDEX(ADMIN!$S$182:$KI$197,16,ADMIN!$D$5*3-1),Stats!$L40)-SUM(P40:T40)</f>
        <v>16</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13</v>
      </c>
      <c r="X40" s="11" t="str">
        <f ca="1"/>
        <v>Pegar Valores (J1)</v>
      </c>
      <c r="Y40" s="11" t="str">
        <f ca="1"/>
        <v>Pegar Valores (J1)</v>
      </c>
      <c r="Z40" s="11">
        <f ca="1"/>
        <v>13</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13</v>
      </c>
      <c r="N42" s="469">
        <f ca="1">IFERROR(COUNTIF(ADMIN!$S$130:INDEX(ADMIN!$S$130:$KI$161,32,ADMIN!$D$5*3-1),Stats!$L42)-SUM(O42:T42),0)</f>
        <v>21</v>
      </c>
      <c r="O42" s="469">
        <f ca="1">COUNTIF(ADMIN!$S$182:INDEX(ADMIN!$S$182:$KI$197,16,ADMIN!$D$5*3-1),Stats!$L42)-SUM(P42:T42)</f>
        <v>0</v>
      </c>
      <c r="P42" s="469">
        <f ca="1">COUNTIF(ADMIN!$S$210:INDEX(ADMIN!$S$210:$KI$217,8,ADMIN!$D$5*3-1),Stats!$L42)-SUM(Q42:T42)</f>
        <v>13</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28</v>
      </c>
      <c r="N44" s="469">
        <f ca="1">IFERROR(COUNTIF(ADMIN!$S$130:INDEX(ADMIN!$S$130:$KI$161,32,ADMIN!$D$5*3-1),Stats!$L44)-SUM(O44:T44),0)</f>
        <v>16</v>
      </c>
      <c r="O44" s="469">
        <f ca="1">COUNTIF(ADMIN!$S$182:INDEX(ADMIN!$S$182:$KI$197,16,ADMIN!$D$5*3-1),Stats!$L44)-SUM(P44:T44)</f>
        <v>5</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13</v>
      </c>
      <c r="N45" s="471">
        <f ca="1">IFERROR(COUNTIF(ADMIN!$S$130:INDEX(ADMIN!$S$130:$KI$161,32,ADMIN!$D$5*3-1),Stats!$L45)-SUM(O45:T45),0)</f>
        <v>1</v>
      </c>
      <c r="O45" s="471">
        <f ca="1">COUNTIF(ADMIN!$S$182:INDEX(ADMIN!$S$182:$KI$197,16,ADMIN!$D$5*3-1),Stats!$L45)-SUM(P45:T45)</f>
        <v>4</v>
      </c>
      <c r="P45" s="471">
        <f ca="1">COUNTIF(ADMIN!$S$210:INDEX(ADMIN!$S$210:$KI$217,8,ADMIN!$D$5*3-1),Stats!$L45)-SUM(Q45:T45)</f>
        <v>10</v>
      </c>
      <c r="Q45" s="471">
        <f ca="1">COUNTIF(ADMIN!$S$226:INDEX(ADMIN!$S$226:$KI$229,4,ADMIN!$D$5*3-1),Stats!$L45)-SUM(R45:T45)</f>
        <v>0</v>
      </c>
      <c r="R45" s="471">
        <f ca="1">IFERROR(COUNTIF(ADMIN!$S$252:INDEX(ADMIN!$S$252:$KI$252,1,ADMIN!$D$5*3-1),Stats!$L45),0)</f>
        <v>2</v>
      </c>
      <c r="S45" s="471">
        <f ca="1">IFERROR(COUNTIF(ADMIN!$S$251:INDEX(ADMIN!$S$251:$KI$251,1,ADMIN!$D$5*3-1),Stats!$L45),0)</f>
        <v>11</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40</v>
      </c>
      <c r="N46" s="469">
        <f ca="1">IFERROR(COUNTIF(ADMIN!$S$130:INDEX(ADMIN!$S$130:$KI$161,32,ADMIN!$D$5*3-1),Stats!$L46)-SUM(O46:T46),0)</f>
        <v>10</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20</v>
      </c>
      <c r="N47" s="471">
        <f ca="1">IFERROR(COUNTIF(ADMIN!$S$130:INDEX(ADMIN!$S$130:$KI$161,32,ADMIN!$D$5*3-1),Stats!$L47)-SUM(O47:T47),0)</f>
        <v>22</v>
      </c>
      <c r="O47" s="471">
        <f ca="1">COUNTIF(ADMIN!$S$182:INDEX(ADMIN!$S$182:$KI$197,16,ADMIN!$D$5*3-1),Stats!$L47)-SUM(P47:T47)</f>
        <v>8</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17</v>
      </c>
      <c r="N48" s="469">
        <f ca="1">IFERROR(COUNTIF(ADMIN!$S$130:INDEX(ADMIN!$S$130:$KI$161,32,ADMIN!$D$5*3-1),Stats!$L48)-SUM(O48:T48),0)</f>
        <v>27</v>
      </c>
      <c r="O48" s="469">
        <f ca="1">COUNTIF(ADMIN!$S$182:INDEX(ADMIN!$S$182:$KI$197,16,ADMIN!$D$5*3-1),Stats!$L48)-SUM(P48:T48)</f>
        <v>5</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26</v>
      </c>
      <c r="N50" s="469">
        <f ca="1">IFERROR(COUNTIF(ADMIN!$S$130:INDEX(ADMIN!$S$130:$KI$161,32,ADMIN!$D$5*3-1),Stats!$L50)-SUM(O50:T50),0)</f>
        <v>23</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13</v>
      </c>
      <c r="N51" s="471">
        <f ca="1">IFERROR(COUNTIF(ADMIN!$S$130:INDEX(ADMIN!$S$130:$KI$161,32,ADMIN!$D$5*3-1),Stats!$L51)-SUM(O51:T51),0)</f>
        <v>5</v>
      </c>
      <c r="O51" s="471">
        <f ca="1">COUNTIF(ADMIN!$S$182:INDEX(ADMIN!$S$182:$KI$197,16,ADMIN!$D$5*3-1),Stats!$L51)-SUM(P51:T51)</f>
        <v>31</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49</v>
      </c>
      <c r="N52" s="469">
        <f ca="1">IFERROR(COUNTIF(ADMIN!$S$130:INDEX(ADMIN!$S$130:$KI$161,32,ADMIN!$D$5*3-1),Stats!$L52)-SUM(O52:T52),0)</f>
        <v>1</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13</v>
      </c>
      <c r="N53" s="471">
        <f ca="1">IFERROR(COUNTIF(ADMIN!$S$130:INDEX(ADMIN!$S$130:$KI$161,32,ADMIN!$D$5*3-1),Stats!$L53)-SUM(O53:T53),0)</f>
        <v>4</v>
      </c>
      <c r="O53" s="471">
        <f ca="1">COUNTIF(ADMIN!$S$182:INDEX(ADMIN!$S$182:$KI$197,16,ADMIN!$D$5*3-1),Stats!$L53)-SUM(P53:T53)</f>
        <v>18</v>
      </c>
      <c r="P53" s="471">
        <f ca="1">COUNTIF(ADMIN!$S$210:INDEX(ADMIN!$S$210:$KI$217,8,ADMIN!$D$5*3-1),Stats!$L53)-SUM(Q53:T53)</f>
        <v>14</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13</v>
      </c>
      <c r="N54" s="469">
        <f ca="1">IFERROR(COUNTIF(ADMIN!$S$130:INDEX(ADMIN!$S$130:$KI$161,32,ADMIN!$D$5*3-1),Stats!$L54)-SUM(O54:T54),0)</f>
        <v>33</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0</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2026-06-11T16:34:30Z</dcterms:modified>
  <cp:category/>
</cp:coreProperties>
</file>