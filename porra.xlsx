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C:\Users\gbabr3b\OneDrive - MM\Documentos\Personal GBB\GBB\Porra Mundial 2026\"/>
    </mc:Choice>
  </mc:AlternateContent>
  <xr:revisionPtr revIDLastSave="0" documentId="13_ncr:1_{AF5F34E1-3CEA-4E5C-856E-DF27FFEF07FE}" xr6:coauthVersionLast="47" xr6:coauthVersionMax="47" xr10:uidLastSave="{00000000-0000-0000-0000-000000000000}"/>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5" i="46"/>
  <c r="EI267" i="46" s="1"/>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M33" i="46"/>
  <c r="Q244" i="46"/>
  <c r="Q179" i="46"/>
  <c r="E221" i="46"/>
  <c r="Q45" i="46"/>
  <c r="Q76" i="46"/>
  <c r="Q21" i="46"/>
  <c r="E233" i="46"/>
  <c r="M8" i="46"/>
  <c r="M61" i="46"/>
  <c r="M45" i="46"/>
  <c r="M69" i="46"/>
  <c r="M29" i="46"/>
  <c r="Q201" i="46"/>
  <c r="M221" i="46"/>
  <c r="M49" i="46"/>
  <c r="M13" i="46"/>
  <c r="M77" i="46"/>
  <c r="M57" i="46"/>
  <c r="E223" i="46"/>
  <c r="M26" i="46"/>
  <c r="M36" i="46"/>
  <c r="M50" i="46"/>
  <c r="M47" i="46"/>
  <c r="M62" i="46"/>
  <c r="M11" i="46"/>
  <c r="M44" i="46"/>
  <c r="M53" i="46"/>
  <c r="M14" i="46"/>
  <c r="M17" i="46"/>
  <c r="D107" i="36"/>
  <c r="M84" i="34" s="1"/>
  <c r="S267" i="46"/>
  <c r="M7" i="46" l="1"/>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Q40" i="46"/>
  <c r="Q44" i="46"/>
  <c r="T44" i="46" s="1"/>
  <c r="Q30" i="46"/>
  <c r="P203" i="46"/>
  <c r="Q203" i="46"/>
  <c r="Q207" i="46"/>
  <c r="Q65" i="46"/>
  <c r="Q232" i="46"/>
  <c r="Q33" i="46"/>
  <c r="Q37" i="46"/>
  <c r="Q41" i="46"/>
  <c r="Q49" i="46"/>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I54" i="46"/>
  <c r="EL54" i="46"/>
  <c r="EO54" i="46"/>
  <c r="EX54" i="46"/>
  <c r="FA54" i="46"/>
  <c r="FD54" i="46"/>
  <c r="D367" i="36"/>
  <c r="H244" i="46"/>
  <c r="H201" i="46"/>
  <c r="H214" i="46"/>
  <c r="H155" i="46"/>
  <c r="H140" i="46"/>
  <c r="H138" i="46"/>
  <c r="K193" i="46"/>
  <c r="K183" i="46"/>
  <c r="FD220" i="46"/>
  <c r="EI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36" i="46"/>
  <c r="W52" i="46"/>
  <c r="W44" i="46"/>
  <c r="W26" i="46"/>
  <c r="W75" i="46"/>
  <c r="W33"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AI33" i="46"/>
  <c r="BG33" i="46"/>
  <c r="CE33" i="46"/>
  <c r="AI26" i="46"/>
  <c r="AL33" i="46"/>
  <c r="BJ33" i="46"/>
  <c r="BJ26" i="46"/>
  <c r="AO33" i="46"/>
  <c r="BM33" i="46"/>
  <c r="BV17" i="46"/>
  <c r="CH26" i="46"/>
  <c r="AR33" i="46"/>
  <c r="BP33" i="46"/>
  <c r="AU33" i="46"/>
  <c r="BS33" i="46"/>
  <c r="AC33" i="46"/>
  <c r="AI36" i="46"/>
  <c r="BG36" i="46"/>
  <c r="CE36" i="46"/>
  <c r="AF33" i="46"/>
  <c r="AL36" i="46"/>
  <c r="BJ36" i="46"/>
  <c r="CH36" i="46"/>
  <c r="AX33" i="46"/>
  <c r="AO36" i="46"/>
  <c r="BM36" i="46"/>
  <c r="CK36" i="46"/>
  <c r="BA33" i="46"/>
  <c r="AR36" i="46"/>
  <c r="BP36" i="46"/>
  <c r="CN36" i="46"/>
  <c r="AI37" i="46"/>
  <c r="BG37" i="46"/>
  <c r="CE37" i="46"/>
  <c r="BD33" i="46"/>
  <c r="AU36" i="46"/>
  <c r="BS36" i="46"/>
  <c r="AL37" i="46"/>
  <c r="BJ37" i="46"/>
  <c r="BA36" i="46"/>
  <c r="AC37" i="46"/>
  <c r="BM37" i="46"/>
  <c r="AO41" i="46"/>
  <c r="BM41" i="46"/>
  <c r="CK41" i="46"/>
  <c r="BD36" i="46"/>
  <c r="AF37" i="46"/>
  <c r="BP37" i="46"/>
  <c r="AR41" i="46"/>
  <c r="BP41" i="46"/>
  <c r="CN41" i="46"/>
  <c r="Z44" i="46"/>
  <c r="AX44" i="46"/>
  <c r="BV44" i="46"/>
  <c r="AO45" i="46"/>
  <c r="BM45" i="46"/>
  <c r="CK45" i="46"/>
  <c r="Z33" i="46"/>
  <c r="BV36" i="46"/>
  <c r="AO37" i="46"/>
  <c r="BS37" i="46"/>
  <c r="BV33" i="46"/>
  <c r="BY36" i="46"/>
  <c r="AR37" i="46"/>
  <c r="BV37" i="46"/>
  <c r="CB36" i="46"/>
  <c r="AU37" i="46"/>
  <c r="AX41" i="46"/>
  <c r="CB41" i="46"/>
  <c r="AC44" i="46"/>
  <c r="BD44" i="46"/>
  <c r="CE44" i="46"/>
  <c r="AL45" i="46"/>
  <c r="BP45" i="46"/>
  <c r="CQ45" i="46"/>
  <c r="AI47" i="46"/>
  <c r="BG47" i="46"/>
  <c r="CE47" i="46"/>
  <c r="AO49" i="46"/>
  <c r="BM49" i="46"/>
  <c r="CK49" i="46"/>
  <c r="AX37" i="46"/>
  <c r="BA41" i="46"/>
  <c r="CE41" i="46"/>
  <c r="AF44" i="46"/>
  <c r="BG44" i="46"/>
  <c r="CH44" i="46"/>
  <c r="AR45" i="46"/>
  <c r="BS45" i="46"/>
  <c r="AL47" i="46"/>
  <c r="BJ47" i="46"/>
  <c r="CH47" i="46"/>
  <c r="AR49" i="46"/>
  <c r="BP49" i="46"/>
  <c r="CN49" i="46"/>
  <c r="BA37" i="46"/>
  <c r="Z41" i="46"/>
  <c r="BD41" i="46"/>
  <c r="CH41" i="46"/>
  <c r="AI44" i="46"/>
  <c r="BJ44" i="46"/>
  <c r="AU45" i="46"/>
  <c r="BV45" i="46"/>
  <c r="AO47" i="46"/>
  <c r="BM47" i="46"/>
  <c r="CK47" i="46"/>
  <c r="AU49" i="46"/>
  <c r="BS49" i="46"/>
  <c r="BD37" i="46"/>
  <c r="AC41" i="46"/>
  <c r="BG41" i="46"/>
  <c r="CQ41" i="46"/>
  <c r="AL44" i="46"/>
  <c r="BM44" i="46"/>
  <c r="AX45" i="46"/>
  <c r="BY45" i="46"/>
  <c r="AR47" i="46"/>
  <c r="BP47" i="46"/>
  <c r="CN47" i="46"/>
  <c r="Z49" i="46"/>
  <c r="AX49" i="46"/>
  <c r="BV49" i="46"/>
  <c r="BY33" i="46"/>
  <c r="Z36" i="46"/>
  <c r="BY37" i="46"/>
  <c r="AF41" i="46"/>
  <c r="BJ41" i="46"/>
  <c r="AO44" i="46"/>
  <c r="BP44" i="46"/>
  <c r="Z45" i="46"/>
  <c r="BA45" i="46"/>
  <c r="CB45" i="46"/>
  <c r="AU47" i="46"/>
  <c r="BS47" i="46"/>
  <c r="CQ47" i="46"/>
  <c r="AC49" i="46"/>
  <c r="BA49" i="46"/>
  <c r="BY49" i="46"/>
  <c r="CB33" i="46"/>
  <c r="BS41" i="46"/>
  <c r="BS44"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CB44"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AU44" i="46"/>
  <c r="CN45" i="46"/>
  <c r="AX47" i="46"/>
  <c r="BD52" i="46"/>
  <c r="Z53" i="46"/>
  <c r="Z58" i="46"/>
  <c r="BP58" i="46"/>
  <c r="AU62" i="46"/>
  <c r="BS62" i="46"/>
  <c r="AL63" i="46"/>
  <c r="BJ63" i="46"/>
  <c r="CH63" i="46"/>
  <c r="BA44"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K154" i="46" l="1"/>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EI244" i="46"/>
  <c r="K148" i="46"/>
  <c r="AZ29" i="3"/>
  <c r="K155" i="46"/>
  <c r="FJ232" i="46"/>
  <c r="FD244" i="46"/>
  <c r="FG232" i="46"/>
  <c r="FA244" i="46"/>
  <c r="K134" i="46"/>
  <c r="K159" i="46"/>
  <c r="K161" i="46"/>
  <c r="EI232" i="46"/>
  <c r="K151" i="46"/>
  <c r="K145" i="46"/>
  <c r="K152" i="46"/>
  <c r="EO244" i="46"/>
  <c r="K147" i="46"/>
  <c r="EX232" i="46"/>
  <c r="K133" i="46"/>
  <c r="EU200" i="46"/>
  <c r="FD232" i="46"/>
  <c r="EU244" i="46"/>
  <c r="EX244" i="46"/>
  <c r="AZ93" i="3"/>
  <c r="ER244" i="46"/>
  <c r="K143" i="46"/>
  <c r="E4" i="47"/>
  <c r="J5" i="46"/>
  <c r="K228" i="46"/>
  <c r="AJ53" i="3"/>
  <c r="Z33" i="3"/>
  <c r="EI200" i="46"/>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I6" i="46"/>
  <c r="EJ6" i="46" s="1"/>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I253" i="46"/>
  <c r="EJ253" i="46" s="1"/>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I30" i="46"/>
  <c r="EJ30" i="46" s="1"/>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EI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F18" i="48" a="1"/>
  <c r="F18" i="48" s="1"/>
  <c r="E19" i="48"/>
  <c r="BX39" i="3" l="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CB27" i="3" s="1"/>
  <c r="I81" i="3"/>
  <c r="CB45" i="3" s="1"/>
  <c r="H78" i="3"/>
  <c r="H21" i="3"/>
  <c r="I33" i="3"/>
  <c r="I14" i="3"/>
  <c r="CB13" i="3" s="1"/>
  <c r="I88" i="3"/>
  <c r="H94" i="3"/>
  <c r="I60" i="3"/>
  <c r="H86" i="3"/>
  <c r="H32" i="3"/>
  <c r="I77" i="3"/>
  <c r="H45" i="3"/>
  <c r="I17" i="3"/>
  <c r="H24" i="3"/>
  <c r="I29" i="3"/>
  <c r="H22" i="3"/>
  <c r="H46" i="3"/>
  <c r="H77" i="3"/>
  <c r="H15" i="3"/>
  <c r="I4" i="3"/>
  <c r="CA6" i="3" s="1"/>
  <c r="I15" i="3"/>
  <c r="I95" i="3"/>
  <c r="I92" i="3"/>
  <c r="I62" i="3"/>
  <c r="CA34" i="3" s="1"/>
  <c r="I64" i="3"/>
  <c r="I63" i="3"/>
  <c r="I52" i="3"/>
  <c r="H57" i="3"/>
  <c r="I53" i="3"/>
  <c r="H38" i="3"/>
  <c r="I32" i="3"/>
  <c r="H56" i="3"/>
  <c r="I22" i="3"/>
  <c r="I41" i="3"/>
  <c r="I78" i="3"/>
  <c r="H40" i="3"/>
  <c r="I39" i="3"/>
  <c r="H33" i="3"/>
  <c r="H12" i="3"/>
  <c r="H70" i="3"/>
  <c r="H79" i="3"/>
  <c r="CB43" i="3" s="1"/>
  <c r="I24" i="3"/>
  <c r="H20" i="3"/>
  <c r="I56" i="3"/>
  <c r="CB31" i="3" s="1"/>
  <c r="H28" i="3"/>
  <c r="CA19" i="3" s="1"/>
  <c r="I93" i="3"/>
  <c r="CA52" i="3" s="1"/>
  <c r="H52" i="3"/>
  <c r="I28" i="3"/>
  <c r="H54" i="3"/>
  <c r="I40" i="3"/>
  <c r="CB23" i="3" s="1"/>
  <c r="I71" i="3"/>
  <c r="I76" i="3"/>
  <c r="CB42" i="3" s="1"/>
  <c r="H96" i="3"/>
  <c r="CA50" i="3" s="1"/>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A36" i="3" l="1"/>
  <c r="CC36" i="3" s="1"/>
  <c r="CA27" i="3"/>
  <c r="CC27" i="3" s="1"/>
  <c r="CB37" i="3"/>
  <c r="CA45" i="3"/>
  <c r="CC45" i="3" s="1"/>
  <c r="CA43" i="3"/>
  <c r="CC43" i="3" s="1"/>
  <c r="CB26" i="3"/>
  <c r="CB9" i="3"/>
  <c r="CA42" i="3"/>
  <c r="CC42" i="3" s="1"/>
  <c r="CB44" i="3"/>
  <c r="CA18" i="3"/>
  <c r="CB20" i="3"/>
  <c r="CB18" i="3"/>
  <c r="CA53" i="3"/>
  <c r="CB12" i="3"/>
  <c r="CA44" i="3"/>
  <c r="CA31" i="3"/>
  <c r="CC31" i="3" s="1"/>
  <c r="CA12" i="3"/>
  <c r="CA20" i="3"/>
  <c r="CA11" i="3"/>
  <c r="CB53" i="3"/>
  <c r="CA46" i="3"/>
  <c r="CC46" i="3" s="1"/>
  <c r="CA14" i="3"/>
  <c r="CB14" i="3"/>
  <c r="CA15" i="3"/>
  <c r="CB17" i="3"/>
  <c r="CB15" i="3"/>
  <c r="CA17" i="3"/>
  <c r="CB6" i="3"/>
  <c r="CC6" i="3" s="1"/>
  <c r="CB39" i="3"/>
  <c r="CB50" i="3"/>
  <c r="CC50" i="3" s="1"/>
  <c r="CA48" i="3"/>
  <c r="CC48" i="3" s="1"/>
  <c r="CA49" i="3"/>
  <c r="CC49" i="3" s="1"/>
  <c r="CB35" i="3"/>
  <c r="CA30"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37" i="3" l="1"/>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CF23" i="3" s="1"/>
  <c r="K37" i="3"/>
  <c r="K48" i="3"/>
  <c r="L96" i="3"/>
  <c r="L30" i="3"/>
  <c r="K57" i="3"/>
  <c r="K5" i="3"/>
  <c r="K12" i="3"/>
  <c r="L16" i="3"/>
  <c r="CF13" i="3" s="1"/>
  <c r="K86" i="3"/>
  <c r="L17" i="3"/>
  <c r="L94" i="3"/>
  <c r="K93" i="3"/>
  <c r="K54" i="3"/>
  <c r="L57" i="3"/>
  <c r="K71" i="3"/>
  <c r="K72" i="3"/>
  <c r="L12" i="3"/>
  <c r="L49" i="3"/>
  <c r="K55" i="3"/>
  <c r="K81" i="3"/>
  <c r="K17" i="3"/>
  <c r="K85" i="3"/>
  <c r="L7" i="3"/>
  <c r="L77" i="3"/>
  <c r="L15" i="3"/>
  <c r="K47" i="3"/>
  <c r="L86" i="3"/>
  <c r="K65" i="3"/>
  <c r="K63" i="3"/>
  <c r="L45" i="3"/>
  <c r="K22" i="3"/>
  <c r="L60" i="3"/>
  <c r="K46" i="3"/>
  <c r="L23" i="3"/>
  <c r="CF14" i="3" s="1"/>
  <c r="L25" i="3"/>
  <c r="K24" i="3"/>
  <c r="L46" i="3"/>
  <c r="L48" i="3"/>
  <c r="K38" i="3"/>
  <c r="K69" i="3"/>
  <c r="L41" i="3"/>
  <c r="L70" i="3"/>
  <c r="CF38" i="3" s="1"/>
  <c r="K68" i="3"/>
  <c r="K56" i="3"/>
  <c r="L20" i="3"/>
  <c r="L32" i="3"/>
  <c r="L22" i="3"/>
  <c r="CF17" i="3" s="1"/>
  <c r="K8" i="3"/>
  <c r="K28" i="3"/>
  <c r="L28" i="3"/>
  <c r="L55" i="3"/>
  <c r="K33" i="3"/>
  <c r="K32" i="3"/>
  <c r="L72" i="3"/>
  <c r="K6" i="3"/>
  <c r="CF7" i="3" s="1"/>
  <c r="L13" i="3"/>
  <c r="CF12" i="3" s="1"/>
  <c r="K40" i="3"/>
  <c r="CF24" i="3" s="1"/>
  <c r="L8" i="3"/>
  <c r="K16" i="3"/>
  <c r="K7" i="3"/>
  <c r="CF8" i="3" s="1"/>
  <c r="K64" i="3"/>
  <c r="CF36" i="3" s="1"/>
  <c r="L39" i="3"/>
  <c r="CF25" i="3" s="1"/>
  <c r="L29" i="3"/>
  <c r="L71" i="3"/>
  <c r="K73" i="3"/>
  <c r="CF40" i="3" s="1"/>
  <c r="L6" i="3"/>
  <c r="K53" i="3"/>
  <c r="L4" i="3"/>
  <c r="L64" i="3"/>
  <c r="CF35" i="3" s="1"/>
  <c r="L54" i="3"/>
  <c r="K88" i="3"/>
  <c r="K87" i="3"/>
  <c r="CF47" i="3" s="1"/>
  <c r="K61" i="3"/>
  <c r="CF37" i="3" s="1"/>
  <c r="L47" i="3"/>
  <c r="CF29" i="3" s="1"/>
  <c r="CF49" i="3"/>
  <c r="CF33" i="3"/>
  <c r="CF45" i="3"/>
  <c r="CF16" i="3"/>
  <c r="CF19" i="3"/>
  <c r="E9" i="51"/>
  <c r="CF22" i="3"/>
  <c r="CF27" i="3"/>
  <c r="CF26" i="3"/>
  <c r="B46" i="51"/>
  <c r="B47" i="51" s="1"/>
  <c r="E10" i="51"/>
  <c r="E28" i="48"/>
  <c r="F27" i="48" a="1"/>
  <c r="F27" i="48" s="1"/>
  <c r="E12" i="51"/>
  <c r="E11" i="51"/>
  <c r="CF32" i="3" l="1"/>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E31" i="48"/>
  <c r="F30" i="48" a="1"/>
  <c r="F30" i="48" s="1"/>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J6" i="3"/>
  <c r="CJ24" i="3"/>
  <c r="CJ8" i="3"/>
  <c r="CJ7" i="3"/>
  <c r="CJ39" i="3"/>
  <c r="CJ23" i="3"/>
  <c r="CJ25" i="3"/>
  <c r="CJ36" i="3"/>
  <c r="CJ34" i="3"/>
  <c r="CJ27" i="3"/>
  <c r="CJ26" i="3"/>
  <c r="CJ41" i="3"/>
  <c r="E32" i="48"/>
  <c r="F31" i="48" a="1"/>
  <c r="F31" i="48" s="1"/>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s="1"/>
  <c r="E34" i="48"/>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F34" i="48" a="1"/>
  <c r="F34" i="48" s="1"/>
  <c r="E35" i="48"/>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Q65" i="3"/>
  <c r="R63" i="3"/>
  <c r="Q84" i="3"/>
  <c r="R69" i="3"/>
  <c r="R15" i="3"/>
  <c r="Q52" i="3"/>
  <c r="Q96" i="3"/>
  <c r="R96" i="3"/>
  <c r="Q94" i="3"/>
  <c r="R28" i="3"/>
  <c r="R47" i="3"/>
  <c r="R56" i="3"/>
  <c r="Q20" i="3"/>
  <c r="Q63" i="3"/>
  <c r="R78" i="3"/>
  <c r="Q39" i="3"/>
  <c r="Q41" i="3"/>
  <c r="R65" i="3"/>
  <c r="R92" i="3"/>
  <c r="CP30" i="3" s="1"/>
  <c r="F35" i="48" a="1"/>
  <c r="F35" i="48" s="1"/>
  <c r="E36" i="48"/>
  <c r="CP9" i="3" l="1"/>
  <c r="CO38" i="3"/>
  <c r="CO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P24" i="3"/>
  <c r="CO30" i="3"/>
  <c r="CQ30" i="3" s="1"/>
  <c r="CO31" i="3"/>
  <c r="CO28" i="3"/>
  <c r="CO48" i="3"/>
  <c r="CP28" i="3"/>
  <c r="CP29" i="3"/>
  <c r="CO37" i="3"/>
  <c r="CO47" i="3"/>
  <c r="CP42" i="3"/>
  <c r="CO14" i="3"/>
  <c r="CO33" i="3"/>
  <c r="E37" i="48"/>
  <c r="F36" i="48" a="1"/>
  <c r="F36" i="48" s="1"/>
  <c r="CQ9" i="3" l="1"/>
  <c r="CQ38" i="3"/>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8" i="48"/>
  <c r="F37" i="48" a="1"/>
  <c r="F37" i="48" s="1"/>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F38" i="48" a="1"/>
  <c r="F38" i="48" s="1"/>
  <c r="E39" i="48"/>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0" i="48"/>
  <c r="F39" i="48" a="1"/>
  <c r="F39" i="48" s="1"/>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s="1"/>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s="1"/>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s="1"/>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4" i="48"/>
  <c r="F43" i="48" a="1"/>
  <c r="F43" i="48"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s="1"/>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5" i="48" a="1"/>
  <c r="F45" i="48" s="1"/>
  <c r="E46" i="48"/>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<sst xmlns="http://schemas.openxmlformats.org/spreadsheetml/2006/main" count="16647" uniqueCount="2794">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</sst>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Pegar Valores (J1)</c:v>
                </c:pt>
                <c:pt idx="2">
                  <c:v>1|2-1</c:v>
                </c:pt>
                <c:pt idx="3">
                  <c:v>1|1-0</c:v>
                </c:pt>
                <c:pt idx="4">
                  <c:v>1|3-1</c:v>
                </c:pt>
                <c:pt idx="5">
                  <c:v>1|3-0</c:v>
                </c:pt>
                <c:pt idx="6">
                  <c:v>X|1-1</c:v>
                </c:pt>
                <c:pt idx="7">
                  <c:v>X|2-2</c:v>
                </c:pt>
              </c:strCache>
            </c:strRef>
          </c:cat>
          <c:val>
            <c:numRef>
              <c:f>Stats!$I$8:$I$31</c:f>
              <c:numCache>
                <c:formatCode>General</c:formatCode>
                <c:ptCount val="24"/>
                <c:pt idx="0">
                  <c:v>20</c:v>
                </c:pt>
                <c:pt idx="1">
                  <c:v>10</c:v>
                </c:pt>
                <c:pt idx="2">
                  <c:v>9</c:v>
                </c:pt>
                <c:pt idx="3">
                  <c:v>5</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Stats!$J$8:$J$31</c:f>
              <c:numCache>
                <c:formatCode>General</c:formatCode>
                <c:ptCount val="24"/>
                <c:pt idx="0">
                  <c:v>20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0.95</c:v>
                </c:pt>
                <c:pt idx="1">
                  <c:v>0.05</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6" sqref="AD6"/>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P.1 (2)</v>
      </c>
      <c r="F4" s="744" t="str">
        <f t="shared" ref="F4:F9" ca="1" si="2">IF(D4="Pendiente","-",INDEX($BT$6:$BT$53,MATCH($AF4,$BD$6:$BD$53,0)))</f>
        <v>P.3 (2)</v>
      </c>
      <c r="G4" s="744"/>
      <c r="H4" s="744" t="str">
        <f t="shared" ref="H4:H9" ca="1" si="3">IF(D4="Pendiente","-",INDEX($BZ$6:$BZ$53,MATCH($AA4,$BD$6:$BD$53,0)))</f>
        <v>P.1 (2)</v>
      </c>
      <c r="I4" s="744" t="str">
        <f t="shared" ref="I4:I9" ca="1" si="4">IF(D4="Pendiente","-",INDEX($BZ$6:$BZ$53,MATCH($AF4,$BD$6:$BD$53,0)))</f>
        <v>P.3 (2)</v>
      </c>
      <c r="J4" s="744"/>
      <c r="K4" s="744" t="str">
        <f t="shared" ref="K4:K9" ca="1" si="5">IF(D4="Pendiente","-",INDEX($CE$6:$CE$53,MATCH($AA4,$BD$6:$BD$53,0)))</f>
        <v>P.1 (2)</v>
      </c>
      <c r="L4" s="744" t="str">
        <f t="shared" ref="L4:L9" ca="1" si="6">IF(D4="Pendiente","-",INDEX($CE$6:$CE$53,MATCH($AF4,$BD$6:$BD$53,0)))</f>
        <v>P.3 (2)</v>
      </c>
      <c r="M4" s="744"/>
      <c r="N4" s="744" t="str">
        <f t="shared" ref="N4:N9" ca="1" si="7">IF(D4="Pendiente","-",INDEX($CH$6:$CH$53,MATCH($AA4,$BD$6:$BD$53,0)))</f>
        <v>P.1 (2)</v>
      </c>
      <c r="O4" s="744" t="str">
        <f t="shared" ref="O4:O9" ca="1" si="8">IF(D4="Pendiente","-",INDEX($CH$6:$CH$53,MATCH($AF4,$BD$6:$BD$53,0)))</f>
        <v>P.3 (2)</v>
      </c>
      <c r="P4" s="744"/>
      <c r="Q4" s="744" t="str">
        <f t="shared" ref="Q4:Q9" ca="1" si="9">IF(D4="Pendiente","-",INDEX($CN$6:$CN$53,MATCH($AA4,$BD$6:$BD$53,0)))</f>
        <v>P.1 (2)</v>
      </c>
      <c r="R4" s="744" t="str">
        <f t="shared" ref="R4:R9" ca="1" si="10">IF(D4="Pendiente","-",INDEX($CN$6:$CN$53,MATCH($AF4,$BD$6:$BD$53,0)))</f>
        <v>P.3 (2)</v>
      </c>
      <c r="S4" s="744"/>
      <c r="T4" s="744" t="str">
        <f t="shared" ref="T4:T9" ca="1" si="11">IF(D4="Pendiente","-",INDEX($CS$6:$CS$53,MATCH($AA4,$BD$6:$BD$53,0)))</f>
        <v>P.1 (2)</v>
      </c>
      <c r="U4" s="744" t="str">
        <f t="shared" ref="U4:U9" ca="1" si="12">IF(D4="Pendiente","-",INDEX($CS$6:$CS$53,MATCH($AF4,$BD$6:$BD$53,0)))</f>
        <v>P.3 (2)</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P.1 (2)</v>
      </c>
      <c r="F5" s="744" t="str">
        <f t="shared" ca="1" si="2"/>
        <v>P.3 (2)</v>
      </c>
      <c r="G5" s="744"/>
      <c r="H5" s="744" t="str">
        <f t="shared" ca="1" si="3"/>
        <v>P.1 (2)</v>
      </c>
      <c r="I5" s="744" t="str">
        <f t="shared" ca="1" si="4"/>
        <v>P.3 (2)</v>
      </c>
      <c r="J5" s="744"/>
      <c r="K5" s="744" t="str">
        <f t="shared" ca="1" si="5"/>
        <v>P.1 (2)</v>
      </c>
      <c r="L5" s="744" t="str">
        <f t="shared" ca="1" si="6"/>
        <v>P.3 (2)</v>
      </c>
      <c r="M5" s="744"/>
      <c r="N5" s="744" t="str">
        <f t="shared" ca="1" si="7"/>
        <v>P.1 (2)</v>
      </c>
      <c r="O5" s="744" t="str">
        <f t="shared" ca="1" si="8"/>
        <v>P.3 (2)</v>
      </c>
      <c r="P5" s="744"/>
      <c r="Q5" s="744" t="str">
        <f t="shared" ca="1" si="9"/>
        <v>P.1 (2)</v>
      </c>
      <c r="R5" s="744" t="str">
        <f t="shared" ca="1" si="10"/>
        <v>P.3 (2)</v>
      </c>
      <c r="S5" s="744"/>
      <c r="T5" s="744" t="str">
        <f t="shared" ca="1" si="11"/>
        <v>P.1 (2)</v>
      </c>
      <c r="U5" s="744" t="str">
        <f t="shared" ca="1" si="12"/>
        <v>P.3 (2)</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Pendiente</v>
      </c>
      <c r="E6" s="744" t="str">
        <f t="shared" si="1"/>
        <v>-</v>
      </c>
      <c r="F6" s="744" t="str">
        <f t="shared" si="2"/>
        <v>-</v>
      </c>
      <c r="G6" s="744"/>
      <c r="H6" s="744" t="str">
        <f t="shared" si="3"/>
        <v>-</v>
      </c>
      <c r="I6" s="744" t="str">
        <f t="shared" si="4"/>
        <v>-</v>
      </c>
      <c r="J6" s="744"/>
      <c r="K6" s="744" t="str">
        <f t="shared" si="5"/>
        <v>-</v>
      </c>
      <c r="L6" s="744" t="str">
        <f t="shared" si="6"/>
        <v>-</v>
      </c>
      <c r="M6" s="744"/>
      <c r="N6" s="744" t="str">
        <f t="shared" si="7"/>
        <v>-</v>
      </c>
      <c r="O6" s="744" t="str">
        <f t="shared" si="8"/>
        <v>-</v>
      </c>
      <c r="P6" s="744"/>
      <c r="Q6" s="744" t="str">
        <f t="shared" si="9"/>
        <v>-</v>
      </c>
      <c r="R6" s="744" t="str">
        <f t="shared" si="10"/>
        <v>-</v>
      </c>
      <c r="S6" s="744"/>
      <c r="T6" s="744" t="str">
        <f t="shared" si="11"/>
        <v>-</v>
      </c>
      <c r="U6" s="744" t="str">
        <f t="shared" si="12"/>
        <v>-</v>
      </c>
      <c r="V6" s="172"/>
      <c r="W6" s="826"/>
      <c r="X6" s="189">
        <f ca="1">Horarios!C6</f>
        <v>46191.75</v>
      </c>
      <c r="Y6" s="190">
        <f ca="1">Horarios!C6</f>
        <v>46191.75</v>
      </c>
      <c r="Z6" s="191" t="str">
        <f>Idiomas!D64</f>
        <v>J2</v>
      </c>
      <c r="AA6" s="192" t="str">
        <f ca="1">A8</f>
        <v>República Checa</v>
      </c>
      <c r="AB6" s="480" t="e" cm="1" vm="4">
        <f t="array" aca="1" ref="AB6" ca="1">Ver_flag_local</f>
        <v>#VALUE!</v>
      </c>
      <c r="AC6" s="193"/>
      <c r="AD6" s="194"/>
      <c r="AE6" s="483" t="e" cm="1" vm="2">
        <f t="array" aca="1" ref="AE6" ca="1">Ver_flag_visit</f>
        <v>#VALUE!</v>
      </c>
      <c r="AF6" s="195" t="str">
        <f ca="1">A6</f>
        <v>Sudáfrica</v>
      </c>
      <c r="AG6" s="413">
        <f t="shared" si="13"/>
        <v>0</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3</v>
      </c>
      <c r="BF6" s="748">
        <f ca="1">+BG6+BH6+BI6</f>
        <v>1</v>
      </c>
      <c r="BG6" s="748">
        <f t="shared" ref="BG6:BG53" ca="1" si="17">+COUNTIFS(FGLocal,BD6,Ganador,"Local")+COUNTIFS(FGVisitante,BD6,Ganador,"Visitante")</f>
        <v>1</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2</v>
      </c>
      <c r="BK6" s="748">
        <f t="shared" ref="BK6:BK53" ca="1" si="21">+SUMIFS(FG_GolesLocal,FGVisitante,BD6,Ganador,"&lt;&gt;"&amp;"Pendiente",FG_GolesLocal,"&lt;&gt;"&amp;"",FG_GolesVisitante,"&lt;&gt;"&amp;"")+SUMIFS(FG_GolesVisitante,FGLocal,BD6,Ganador,"&lt;&gt;"&amp;"Pendiente",FG_GolesLocal,"&lt;&gt;"&amp;"",FG_GolesVisitante,"&lt;&gt;"&amp;"")</f>
        <v>0</v>
      </c>
      <c r="BL6" s="748">
        <f ca="1">+BJ6-BK6</f>
        <v>2</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3</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P.1 (2)</v>
      </c>
      <c r="BU6" s="758">
        <f ca="1">IF($BT6="-","-",COUNTIFS(FGLocal,$BD6,Ganador,"Local",Part1Empate1V,$BT6)+COUNTIFS(FGVisitante,$BD6,Ganador,"Visitante",Part1Empate1L,$BT6))</f>
        <v>0</v>
      </c>
      <c r="BV6" s="758">
        <f ca="1">IF($BT6="-","-",COUNTIFS(FGLocal,$BD6,Ganador,"Empate",Part1Empate1V,$BT6)+COUNTIFS(FGVisitante,$BD6,Ganador,"Empate",Part1Empate1L,$BT6))</f>
        <v>0</v>
      </c>
      <c r="BW6" s="758">
        <f ca="1">IF($BT6="-","-",COUNTIFS(FGLocal,$BD6,Ganador,"Visitante",Part1Empate1V,$BT6)+COUNTIFS(FGVisitante,$BD6,Ganador,"Local",Part1Empate1L,$BT6))</f>
        <v>0</v>
      </c>
      <c r="BX6" s="758">
        <f ca="1">IF($BT6="-","-",BU6*3+BV6)</f>
        <v>0</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P.1 (2)</v>
      </c>
      <c r="CA6" s="758">
        <f ca="1">IF($BZ6="-","-",SUMIFS(FG_GolesLocal,FGLocal,$BD6,Part1Empate2V,$BZ6)+SUMIFS(FG_GolesVisitante,FGVisitante,$BD6,Part1Empate2L,$BZ6))</f>
        <v>0</v>
      </c>
      <c r="CB6" s="758">
        <f ca="1">IF($BZ6="-","-",SUMIFS(FG_GolesVisitante,FGLocal,$BD6,Part1Empate2V,$BZ6)+SUMIFS(FG_GolesLocal,FGVisitante,$BD6,Part1Empate2L,$BZ6))</f>
        <v>0</v>
      </c>
      <c r="CC6" s="758">
        <f ca="1">IF($BZ6="-","-",CA6-CB6)</f>
        <v>0</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P.1 (2)</v>
      </c>
      <c r="CF6" s="758">
        <f ca="1">IF($CE6="-","-",SUMIFS(FG_GolesLocal,FGLocal,$BD6,Part1Empate3V,$CE6)+SUMIFS(FG_GolesVisitante,FGVisitante,$BD6,Part1Empate3L,$CE6))</f>
        <v>0</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P.1 (2)</v>
      </c>
      <c r="CI6" s="758">
        <f ca="1">IF($CH6="-","-",COUNTIFS(FGLocal,$BD6,Ganador,"Local",Part2Empate4V,$CH6)+COUNTIFS(FGVisitante,$BD6,Ganador,"Visitante",Part2Empate4L,$CH6))</f>
        <v>0</v>
      </c>
      <c r="CJ6" s="758">
        <f ca="1">IF($CH6="-","-",COUNTIFS(FGLocal,$BD6,Ganador,"Empate",Part2Empate4V,$CH6)+COUNTIFS(FGVisitante,$BD6,Ganador,"Empate",Part2Empate4L,$CH6))</f>
        <v>0</v>
      </c>
      <c r="CK6" s="758">
        <f ca="1">IF($CH6="-","-",COUNTIFS(FGLocal,$BD6,Ganador,"Visitante",Part2Empate4V,$CH6)+COUNTIFS(FGVisitante,$BD6,Ganador,"Local",Part2Empate4L,$CH6))</f>
        <v>0</v>
      </c>
      <c r="CL6" s="758">
        <f ca="1">IF($CH6="-","-",CI6*3+CJ6)</f>
        <v>0</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P.1 (2)</v>
      </c>
      <c r="CO6" s="758">
        <f ca="1">IF($CN6="-","-",SUMIFS(FG_GolesLocal,FGLocal,$BD6,Part2Empate5V,$CN6)+SUMIFS(FG_GolesVisitante,FGVisitante,$BD6,Part2Empate5L,$CN6))</f>
        <v>0</v>
      </c>
      <c r="CP6" s="758">
        <f ca="1">IF($CN6="-","-",SUMIFS(FG_GolesVisitante,FGLocal,$BD6,Part2Empate5V,$CN6)+SUMIFS(FG_GolesLocal,FGVisitante,$BD6,Part2Empate5L,$CN6))</f>
        <v>0</v>
      </c>
      <c r="CQ6" s="758">
        <f ca="1">IF($CN6="-","-",CO6-CP6)</f>
        <v>0</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P.1 (2)</v>
      </c>
      <c r="CT6" s="758">
        <f ca="1">IF($CS6="-","-",SUMIFS(FG_GolesLocal,FGLocal,$BD6,Part2Empate6V,$CS6)+SUMIFS(FG_GolesVisitante,FGVisitante,$BD6,Part2Empate6L,$CS6))</f>
        <v>0</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P.1 (2)</v>
      </c>
      <c r="CW6" s="757">
        <f ca="1">IF(CV6="-","-",BL6)</f>
        <v>2</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4</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Pendiente</v>
      </c>
      <c r="E7" s="744" t="str">
        <f t="shared" si="1"/>
        <v>-</v>
      </c>
      <c r="F7" s="744" t="str">
        <f t="shared" si="2"/>
        <v>-</v>
      </c>
      <c r="G7" s="744"/>
      <c r="H7" s="744" t="str">
        <f t="shared" si="3"/>
        <v>-</v>
      </c>
      <c r="I7" s="744" t="str">
        <f t="shared" si="4"/>
        <v>-</v>
      </c>
      <c r="J7" s="744"/>
      <c r="K7" s="744" t="str">
        <f t="shared" si="5"/>
        <v>-</v>
      </c>
      <c r="L7" s="744" t="str">
        <f t="shared" si="6"/>
        <v>-</v>
      </c>
      <c r="M7" s="744"/>
      <c r="N7" s="744" t="str">
        <f t="shared" si="7"/>
        <v>-</v>
      </c>
      <c r="O7" s="744" t="str">
        <f t="shared" si="8"/>
        <v>-</v>
      </c>
      <c r="P7" s="744"/>
      <c r="Q7" s="744" t="str">
        <f t="shared" si="9"/>
        <v>-</v>
      </c>
      <c r="R7" s="744" t="str">
        <f t="shared" si="10"/>
        <v>-</v>
      </c>
      <c r="S7" s="744"/>
      <c r="T7" s="744" t="str">
        <f t="shared" si="11"/>
        <v>-</v>
      </c>
      <c r="U7" s="744" t="str">
        <f t="shared" si="12"/>
        <v>-</v>
      </c>
      <c r="V7" s="172"/>
      <c r="W7" s="826"/>
      <c r="X7" s="189">
        <f ca="1">Horarios!C7</f>
        <v>46192.125</v>
      </c>
      <c r="Y7" s="190">
        <f ca="1">Horarios!C7</f>
        <v>46192.125</v>
      </c>
      <c r="Z7" s="191" t="str">
        <f>$Z$6</f>
        <v>J2</v>
      </c>
      <c r="AA7" s="192" t="str">
        <f ca="1">A5</f>
        <v>México</v>
      </c>
      <c r="AB7" s="480" t="e" cm="1" vm="1">
        <f t="array" aca="1" ref="AB7" ca="1">Ver_flag_local</f>
        <v>#VALUE!</v>
      </c>
      <c r="AC7" s="193"/>
      <c r="AD7" s="194"/>
      <c r="AE7" s="483" t="e" cm="1" vm="3">
        <f t="array" aca="1" ref="AE7" ca="1">Ver_flag_visit</f>
        <v>#VALUE!</v>
      </c>
      <c r="AF7" s="195" t="str">
        <f ca="1">A7</f>
        <v>Corea del Sur</v>
      </c>
      <c r="AG7" s="413">
        <f t="shared" si="13"/>
        <v>0</v>
      </c>
      <c r="AH7" s="196">
        <v>28</v>
      </c>
      <c r="AI7" s="19" t="str">
        <f>AJ7&amp;$B$4</f>
        <v>2A</v>
      </c>
      <c r="AJ7" s="221">
        <v>2</v>
      </c>
      <c r="AK7" s="491" t="e" cm="1" vm="3">
        <f t="array" aca="1" ref="AK7" ca="1">Ver_flag_visit</f>
        <v>#VALUE!</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0</v>
      </c>
      <c r="BF7" s="748">
        <f t="shared" ref="BF7:BF53" ca="1" si="26">+BG7+BH7+BI7</f>
        <v>1</v>
      </c>
      <c r="BG7" s="748">
        <f t="shared" ca="1" si="17"/>
        <v>0</v>
      </c>
      <c r="BH7" s="748">
        <f t="shared" ca="1" si="18"/>
        <v>0</v>
      </c>
      <c r="BI7" s="748">
        <f t="shared" ca="1" si="19"/>
        <v>1</v>
      </c>
      <c r="BJ7" s="748">
        <f t="shared" ca="1" si="20"/>
        <v>0</v>
      </c>
      <c r="BK7" s="748">
        <f t="shared" ca="1" si="21"/>
        <v>2</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0</v>
      </c>
      <c r="BS7" s="757">
        <f ca="1">BP7+COUNTIFS($BQ$6:$BQ$53,BQ7,$BR$6:BR$53,"&gt;"&amp;BR7,$BC$6:$BC$53,INDEX(T_Equipos[Grupo],MATCH(BD7,T_Equipos[NombreEquipo],0)))</f>
        <v>3</v>
      </c>
      <c r="BT7" s="757" t="str">
        <f ca="1">IF(COUNTIFS($BS$6:$BS$53,BS7,$BC$6:$BC$53,INDEX(T_Equipos[Grupo],MATCH(BD7,T_Equipos[NombreEquipo],0)))=1,"-","P."&amp;BS7&amp;" ("&amp;COUNTIFS($BS$6:$BS$53,BS7,$BC$6:$BC$53,INDEX(T_Equipos[Grupo],MATCH(BD7,T_Equipos[NombreEquipo],0)))&amp;")")</f>
        <v>P.3 (2)</v>
      </c>
      <c r="BU7" s="758">
        <f ca="1">IF($BT7="-","-",COUNTIFS(FGLocal,$BD7,Ganador,"Local",Part1Empate1V,$BT7)+COUNTIFS(FGVisitante,$BD7,Ganador,"Visitante",Part1Empate1L,$BT7))</f>
        <v>0</v>
      </c>
      <c r="BV7" s="758">
        <f ca="1">IF($BT7="-","-",COUNTIFS(FGLocal,$BD7,Ganador,"Empate",Part1Empate1V,$BT7)+COUNTIFS(FGVisitante,$BD7,Ganador,"Empate",Part1Empate1L,$BT7))</f>
        <v>0</v>
      </c>
      <c r="BW7" s="758">
        <f ca="1">IF($BT7="-","-",COUNTIFS(FGLocal,$BD7,Ganador,"Visitante",Part1Empate1V,$BT7)+COUNTIFS(FGVisitante,$BD7,Ganador,"Local",Part1Empate1L,$BT7))</f>
        <v>0</v>
      </c>
      <c r="BX7" s="758">
        <f ca="1">IF($BT7="-","-",BU7*3+BV7)</f>
        <v>0</v>
      </c>
      <c r="BY7" s="758">
        <f ca="1">BS7+COUNTIFS($BT$6:$BT$53,BT7,$BX$6:BX$53,"&gt;"&amp;BX7,$BC$6:$BC$53,INDEX(T_Equipos[Grupo],MATCH(BD7,T_Equipos[NombreEquipo],0)))</f>
        <v>3</v>
      </c>
      <c r="BZ7" s="757" t="str">
        <f ca="1">IF(COUNTIFS($BY$6:$BY$53,BY7,$BC$6:$BC$53,INDEX(T_Equipos[Grupo],MATCH(BD7,T_Equipos[NombreEquipo],0)))=1,"-","P."&amp;BY7&amp;" ("&amp;COUNTIFS($BY$6:$BY$53,BY7,$BC$6:$BC$53,INDEX(T_Equipos[Grupo],MATCH(BD7,T_Equipos[NombreEquipo],0)))&amp;")")</f>
        <v>P.3 (2)</v>
      </c>
      <c r="CA7" s="758">
        <f ca="1">IF($BZ7="-","-",SUMIFS(FG_GolesLocal,FGLocal,$BD7,Part1Empate2V,$BZ7)+SUMIFS(FG_GolesVisitante,FGVisitante,$BD7,Part1Empate2L,$BZ7))</f>
        <v>0</v>
      </c>
      <c r="CB7" s="758">
        <f ca="1">IF($BZ7="-","-",SUMIFS(FG_GolesVisitante,FGLocal,$BD7,Part1Empate2V,$BZ7)+SUMIFS(FG_GolesLocal,FGVisitante,$BD7,Part1Empate2L,$BZ7))</f>
        <v>0</v>
      </c>
      <c r="CC7" s="758">
        <f ca="1">IF($BZ7="-","-",CA7-CB7)</f>
        <v>0</v>
      </c>
      <c r="CD7" s="758">
        <f ca="1">BY7+COUNTIFS($BZ$6:$BZ$53,BZ7,$CC$6:CC$53,"&gt;"&amp;CC7,$BC$6:$BC$53,INDEX(T_Equipos[Grupo],MATCH(BD7,T_Equipos[NombreEquipo],0)))</f>
        <v>3</v>
      </c>
      <c r="CE7" s="757" t="str">
        <f ca="1">IF(COUNTIFS($CD$6:$CD$53,CD7,$BC$6:$BC$53,INDEX(T_Equipos[Grupo],MATCH(BD7,T_Equipos[NombreEquipo],0)))=1,"-","P."&amp;CD7&amp;" ("&amp;COUNTIFS($CD$6:$CD$53,CD7,$BC$6:$BC$53,INDEX(T_Equipos[Grupo],MATCH(BD7,T_Equipos[NombreEquipo],0)))&amp;")")</f>
        <v>P.3 (2)</v>
      </c>
      <c r="CF7" s="758">
        <f ca="1">IF($CE7="-","-",SUMIFS(FG_GolesLocal,FGLocal,$BD7,Part1Empate3V,$CE7)+SUMIFS(FG_GolesVisitante,FGVisitante,$BD7,Part1Empate3L,$CE7))</f>
        <v>0</v>
      </c>
      <c r="CG7" s="758">
        <f ca="1">CD7+COUNTIFS($CE$6:$CE$53,CE7,$CF$6:CF$53,"&gt;"&amp;CF7,$BC$6:$BC$53,INDEX(T_Equipos[Grupo],MATCH(BD7,T_Equipos[NombreEquipo],0)))</f>
        <v>3</v>
      </c>
      <c r="CH7" s="757" t="str">
        <f ca="1">IF(COUNTIFS($CG$6:$CG$53,CG7,$BC$6:$BC$53,INDEX(T_Equipos[Grupo],MATCH(BD7,T_Equipos[NombreEquipo],0)))=1,"-","P."&amp;CG7&amp;" ("&amp;COUNTIFS($CG$6:$CG$53,CG7,$BC$6:$BC$53,INDEX(T_Equipos[Grupo],MATCH(BD7,T_Equipos[NombreEquipo],0)))&amp;")")</f>
        <v>P.3 (2)</v>
      </c>
      <c r="CI7" s="758">
        <f ca="1">IF($CH7="-","-",COUNTIFS(FGLocal,$BD7,Ganador,"Local",Part2Empate4V,$CH7)+COUNTIFS(FGVisitante,$BD7,Ganador,"Visitante",Part2Empate4L,$CH7))</f>
        <v>0</v>
      </c>
      <c r="CJ7" s="758">
        <f ca="1">IF($CH7="-","-",COUNTIFS(FGLocal,$BD7,Ganador,"Empate",Part2Empate4V,$CH7)+COUNTIFS(FGVisitante,$BD7,Ganador,"Empate",Part2Empate4L,$CH7))</f>
        <v>0</v>
      </c>
      <c r="CK7" s="758">
        <f ca="1">IF($CH7="-","-",COUNTIFS(FGLocal,$BD7,Ganador,"Visitante",Part2Empate4V,$CH7)+COUNTIFS(FGVisitante,$BD7,Ganador,"Local",Part2Empate4L,$CH7))</f>
        <v>0</v>
      </c>
      <c r="CL7" s="758">
        <f ca="1">IF($CH7="-","-",CI7*3+CJ7)</f>
        <v>0</v>
      </c>
      <c r="CM7" s="758">
        <f ca="1">CG7+COUNTIFS($CH$6:$CH$53,CH7,$CL$6:CL$53,"&gt;"&amp;CL7,$BC$6:$BC$53,INDEX(T_Equipos[Grupo],MATCH(BD7,T_Equipos[NombreEquipo],0)))</f>
        <v>3</v>
      </c>
      <c r="CN7" s="757" t="str">
        <f ca="1">IF(COUNTIFS($CM$6:$CM$53,CM7,$BC$6:$BC$53,INDEX(T_Equipos[Grupo],MATCH(BD7,T_Equipos[NombreEquipo],0)))=1,"-","P."&amp;CM7&amp;" ("&amp;COUNTIFS($CM$6:$CM$53,CM7,$BC$6:$BC$53,INDEX(T_Equipos[Grupo],MATCH(BD7,T_Equipos[NombreEquipo],0)))&amp;")")</f>
        <v>P.3 (2)</v>
      </c>
      <c r="CO7" s="758">
        <f ca="1">IF($CN7="-","-",SUMIFS(FG_GolesLocal,FGLocal,$BD7,Part2Empate5V,$CN7)+SUMIFS(FG_GolesVisitante,FGVisitante,$BD7,Part2Empate5L,$CN7))</f>
        <v>0</v>
      </c>
      <c r="CP7" s="758">
        <f ca="1">IF($CN7="-","-",SUMIFS(FG_GolesVisitante,FGLocal,$BD7,Part2Empate5V,$CN7)+SUMIFS(FG_GolesLocal,FGVisitante,$BD7,Part2Empate5L,$CN7))</f>
        <v>0</v>
      </c>
      <c r="CQ7" s="758">
        <f ca="1">IF($CN7="-","-",CO7-CP7)</f>
        <v>0</v>
      </c>
      <c r="CR7" s="758">
        <f ca="1">CM7+COUNTIFS($CN$6:$CN$53,CN7,$CQ$6:CQ$53,"&gt;"&amp;CQ7,$BC$6:$BC$53,INDEX(T_Equipos[Grupo],MATCH(BD7,T_Equipos[NombreEquipo],0)))</f>
        <v>3</v>
      </c>
      <c r="CS7" s="757" t="str">
        <f ca="1">IF(COUNTIFS($CR$6:$CR$53,CR7,$BC$6:$BC$53,INDEX(T_Equipos[Grupo],MATCH(BD7,T_Equipos[NombreEquipo],0)))=1,"-","P."&amp;CR7&amp;" ("&amp;COUNTIFS($CR$6:$CR$53,CR7,$BC$6:$BC$53,INDEX(T_Equipos[Grupo],MATCH(BD7,T_Equipos[NombreEquipo],0)))&amp;")")</f>
        <v>P.3 (2)</v>
      </c>
      <c r="CT7" s="758">
        <f ca="1">IF($CS7="-","-",SUMIFS(FG_GolesLocal,FGLocal,$BD7,Part2Empate6V,$CS7)+SUMIFS(FG_GolesVisitante,FGVisitante,$BD7,Part2Empate6L,$CS7))</f>
        <v>0</v>
      </c>
      <c r="CU7" s="758">
        <f ca="1">CR7+COUNTIFS($CS$6:$CS$53,CS7,$CT$6:CT$53,"&gt;"&amp;CT7,$BC$6:$BC$53,INDEX(T_Equipos[Grupo],MATCH(BD7,T_Equipos[NombreEquipo],0)))</f>
        <v>3</v>
      </c>
      <c r="CV7" s="757" t="str">
        <f ca="1">IF(COUNTIFS($CU$6:$CU$53,CU7,$BC$6:$BC$53,INDEX(T_Equipos[Grupo],MATCH(BD7,T_Equipos[NombreEquipo],0)))=1,"-","P."&amp;CU7&amp;" ("&amp;COUNTIFS($CU$6:$CU$53,CU7,$BC$6:$BC$53,INDEX(T_Equipos[Grupo],MATCH(BD7,T_Equipos[NombreEquipo],0)))&amp;")")</f>
        <v>P.3 (2)</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4</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1</v>
      </c>
      <c r="BG8" s="748">
        <f t="shared" ca="1" si="17"/>
        <v>1</v>
      </c>
      <c r="BH8" s="748">
        <f t="shared" ca="1" si="18"/>
        <v>0</v>
      </c>
      <c r="BI8" s="748">
        <f t="shared" ca="1" si="19"/>
        <v>0</v>
      </c>
      <c r="BJ8" s="748">
        <f t="shared" ca="1" si="20"/>
        <v>2</v>
      </c>
      <c r="BK8" s="748">
        <f t="shared" ca="1" si="21"/>
        <v>1</v>
      </c>
      <c r="BL8" s="748">
        <f t="shared" ca="1" si="27"/>
        <v>1</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1</v>
      </c>
      <c r="BT8" s="757" t="str">
        <f ca="1">IF(COUNTIFS($BS$6:$BS$53,BS8,$BC$6:$BC$53,INDEX(T_Equipos[Grupo],MATCH(BD8,T_Equipos[NombreEquipo],0)))=1,"-","P."&amp;BS8&amp;" ("&amp;COUNTIFS($BS$6:$BS$53,BS8,$BC$6:$BC$53,INDEX(T_Equipos[Grupo],MATCH(BD8,T_Equipos[NombreEquipo],0)))&amp;")")</f>
        <v>P.1 (2)</v>
      </c>
      <c r="BU8" s="758">
        <f ca="1">IF($BT8="-","-",COUNTIFS(FGLocal,$BD8,Ganador,"Local",Part1Empate1V,$BT8)+COUNTIFS(FGVisitante,$BD8,Ganador,"Visitante",Part1Empate1L,$BT8))</f>
        <v>0</v>
      </c>
      <c r="BV8" s="758">
        <f ca="1">IF($BT8="-","-",COUNTIFS(FGLocal,$BD8,Ganador,"Empate",Part1Empate1V,$BT8)+COUNTIFS(FGVisitante,$BD8,Ganador,"Empate",Part1Empate1L,$BT8))</f>
        <v>0</v>
      </c>
      <c r="BW8" s="758">
        <f ca="1">IF($BT8="-","-",COUNTIFS(FGLocal,$BD8,Ganador,"Visitante",Part1Empate1V,$BT8)+COUNTIFS(FGVisitante,$BD8,Ganador,"Local",Part1Empate1L,$BT8))</f>
        <v>0</v>
      </c>
      <c r="BX8" s="758">
        <f ca="1">IF($BT8="-","-",BU8*3+BV8)</f>
        <v>0</v>
      </c>
      <c r="BY8" s="758">
        <f ca="1">BS8+COUNTIFS($BT$6:$BT$53,BT8,$BX$6:BX$53,"&gt;"&amp;BX8,$BC$6:$BC$53,INDEX(T_Equipos[Grupo],MATCH(BD8,T_Equipos[NombreEquipo],0)))</f>
        <v>1</v>
      </c>
      <c r="BZ8" s="757" t="str">
        <f ca="1">IF(COUNTIFS($BY$6:$BY$53,BY8,$BC$6:$BC$53,INDEX(T_Equipos[Grupo],MATCH(BD8,T_Equipos[NombreEquipo],0)))=1,"-","P."&amp;BY8&amp;" ("&amp;COUNTIFS($BY$6:$BY$53,BY8,$BC$6:$BC$53,INDEX(T_Equipos[Grupo],MATCH(BD8,T_Equipos[NombreEquipo],0)))&amp;")")</f>
        <v>P.1 (2)</v>
      </c>
      <c r="CA8" s="758">
        <f ca="1">IF($BZ8="-","-",SUMIFS(FG_GolesLocal,FGLocal,$BD8,Part1Empate2V,$BZ8)+SUMIFS(FG_GolesVisitante,FGVisitante,$BD8,Part1Empate2L,$BZ8))</f>
        <v>0</v>
      </c>
      <c r="CB8" s="758">
        <f ca="1">IF($BZ8="-","-",SUMIFS(FG_GolesVisitante,FGLocal,$BD8,Part1Empate2V,$BZ8)+SUMIFS(FG_GolesLocal,FGVisitante,$BD8,Part1Empate2L,$BZ8))</f>
        <v>0</v>
      </c>
      <c r="CC8" s="758">
        <f ca="1">IF($BZ8="-","-",CA8-CB8)</f>
        <v>0</v>
      </c>
      <c r="CD8" s="758">
        <f ca="1">BY8+COUNTIFS($BZ$6:$BZ$53,BZ8,$CC$6:CC$53,"&gt;"&amp;CC8,$BC$6:$BC$53,INDEX(T_Equipos[Grupo],MATCH(BD8,T_Equipos[NombreEquipo],0)))</f>
        <v>1</v>
      </c>
      <c r="CE8" s="757" t="str">
        <f ca="1">IF(COUNTIFS($CD$6:$CD$53,CD8,$BC$6:$BC$53,INDEX(T_Equipos[Grupo],MATCH(BD8,T_Equipos[NombreEquipo],0)))=1,"-","P."&amp;CD8&amp;" ("&amp;COUNTIFS($CD$6:$CD$53,CD8,$BC$6:$BC$53,INDEX(T_Equipos[Grupo],MATCH(BD8,T_Equipos[NombreEquipo],0)))&amp;")")</f>
        <v>P.1 (2)</v>
      </c>
      <c r="CF8" s="758">
        <f ca="1">IF($CE8="-","-",SUMIFS(FG_GolesLocal,FGLocal,$BD8,Part1Empate3V,$CE8)+SUMIFS(FG_GolesVisitante,FGVisitante,$BD8,Part1Empate3L,$CE8))</f>
        <v>0</v>
      </c>
      <c r="CG8" s="758">
        <f ca="1">CD8+COUNTIFS($CE$6:$CE$53,CE8,$CF$6:CF$53,"&gt;"&amp;CF8,$BC$6:$BC$53,INDEX(T_Equipos[Grupo],MATCH(BD8,T_Equipos[NombreEquipo],0)))</f>
        <v>1</v>
      </c>
      <c r="CH8" s="757" t="str">
        <f ca="1">IF(COUNTIFS($CG$6:$CG$53,CG8,$BC$6:$BC$53,INDEX(T_Equipos[Grupo],MATCH(BD8,T_Equipos[NombreEquipo],0)))=1,"-","P."&amp;CG8&amp;" ("&amp;COUNTIFS($CG$6:$CG$53,CG8,$BC$6:$BC$53,INDEX(T_Equipos[Grupo],MATCH(BD8,T_Equipos[NombreEquipo],0)))&amp;")")</f>
        <v>P.1 (2)</v>
      </c>
      <c r="CI8" s="758">
        <f ca="1">IF($CH8="-","-",COUNTIFS(FGLocal,$BD8,Ganador,"Local",Part2Empate4V,$CH8)+COUNTIFS(FGVisitante,$BD8,Ganador,"Visitante",Part2Empate4L,$CH8))</f>
        <v>0</v>
      </c>
      <c r="CJ8" s="758">
        <f ca="1">IF($CH8="-","-",COUNTIFS(FGLocal,$BD8,Ganador,"Empate",Part2Empate4V,$CH8)+COUNTIFS(FGVisitante,$BD8,Ganador,"Empate",Part2Empate4L,$CH8))</f>
        <v>0</v>
      </c>
      <c r="CK8" s="758">
        <f ca="1">IF($CH8="-","-",COUNTIFS(FGLocal,$BD8,Ganador,"Visitante",Part2Empate4V,$CH8)+COUNTIFS(FGVisitante,$BD8,Ganador,"Local",Part2Empate4L,$CH8))</f>
        <v>0</v>
      </c>
      <c r="CL8" s="758">
        <f ca="1">IF($CH8="-","-",CI8*3+CJ8)</f>
        <v>0</v>
      </c>
      <c r="CM8" s="758">
        <f ca="1">CG8+COUNTIFS($CH$6:$CH$53,CH8,$CL$6:CL$53,"&gt;"&amp;CL8,$BC$6:$BC$53,INDEX(T_Equipos[Grupo],MATCH(BD8,T_Equipos[NombreEquipo],0)))</f>
        <v>1</v>
      </c>
      <c r="CN8" s="757" t="str">
        <f ca="1">IF(COUNTIFS($CM$6:$CM$53,CM8,$BC$6:$BC$53,INDEX(T_Equipos[Grupo],MATCH(BD8,T_Equipos[NombreEquipo],0)))=1,"-","P."&amp;CM8&amp;" ("&amp;COUNTIFS($CM$6:$CM$53,CM8,$BC$6:$BC$53,INDEX(T_Equipos[Grupo],MATCH(BD8,T_Equipos[NombreEquipo],0)))&amp;")")</f>
        <v>P.1 (2)</v>
      </c>
      <c r="CO8" s="758">
        <f ca="1">IF($CN8="-","-",SUMIFS(FG_GolesLocal,FGLocal,$BD8,Part2Empate5V,$CN8)+SUMIFS(FG_GolesVisitante,FGVisitante,$BD8,Part2Empate5L,$CN8))</f>
        <v>0</v>
      </c>
      <c r="CP8" s="758">
        <f ca="1">IF($CN8="-","-",SUMIFS(FG_GolesVisitante,FGLocal,$BD8,Part2Empate5V,$CN8)+SUMIFS(FG_GolesLocal,FGVisitante,$BD8,Part2Empate5L,$CN8))</f>
        <v>0</v>
      </c>
      <c r="CQ8" s="758">
        <f ca="1">IF($CN8="-","-",CO8-CP8)</f>
        <v>0</v>
      </c>
      <c r="CR8" s="758">
        <f ca="1">CM8+COUNTIFS($CN$6:$CN$53,CN8,$CQ$6:CQ$53,"&gt;"&amp;CQ8,$BC$6:$BC$53,INDEX(T_Equipos[Grupo],MATCH(BD8,T_Equipos[NombreEquipo],0)))</f>
        <v>1</v>
      </c>
      <c r="CS8" s="757" t="str">
        <f ca="1">IF(COUNTIFS($CR$6:$CR$53,CR8,$BC$6:$BC$53,INDEX(T_Equipos[Grupo],MATCH(BD8,T_Equipos[NombreEquipo],0)))=1,"-","P."&amp;CR8&amp;" ("&amp;COUNTIFS($CR$6:$CR$53,CR8,$BC$6:$BC$53,INDEX(T_Equipos[Grupo],MATCH(BD8,T_Equipos[NombreEquipo],0)))&amp;")")</f>
        <v>P.1 (2)</v>
      </c>
      <c r="CT8" s="758">
        <f ca="1">IF($CS8="-","-",SUMIFS(FG_GolesLocal,FGLocal,$BD8,Part2Empate6V,$CS8)+SUMIFS(FG_GolesVisitante,FGVisitante,$BD8,Part2Empate6L,$CS8))</f>
        <v>0</v>
      </c>
      <c r="CU8" s="758">
        <f ca="1">CR8+COUNTIFS($CS$6:$CS$53,CS8,$CT$6:CT$53,"&gt;"&amp;CT8,$BC$6:$BC$53,INDEX(T_Equipos[Grupo],MATCH(BD8,T_Equipos[NombreEquipo],0)))</f>
        <v>1</v>
      </c>
      <c r="CV8" s="757" t="str">
        <f ca="1">IF(COUNTIFS($CU$6:$CU$53,CU8,$BC$6:$BC$53,INDEX(T_Equipos[Grupo],MATCH(BD8,T_Equipos[NombreEquipo],0)))=1,"-","P."&amp;CU8&amp;" ("&amp;COUNTIFS($CU$6:$CU$53,CU8,$BC$6:$BC$53,INDEX(T_Equipos[Grupo],MATCH(BD8,T_Equipos[NombreEquipo],0)))&amp;")")</f>
        <v>P.1 (2)</v>
      </c>
      <c r="CW8" s="757">
        <f t="shared" ca="1" si="30"/>
        <v>1</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2</v>
      </c>
      <c r="DE8" s="756"/>
      <c r="DF8" s="756">
        <f t="shared" ca="1" si="32"/>
        <v>2</v>
      </c>
      <c r="DG8" s="756" t="str">
        <f ca="1">IF(DB8="-","-",COUNTIFS(DF$6:DF$53,"&lt;"&amp;DF8,$BC$6:$BC$53,INDEX(T_Equipos[Grupo],MATCH(BD8,T_Equipos[NombreEquipo],0))))</f>
        <v>-</v>
      </c>
      <c r="DH8" s="756">
        <f ca="1">DA8+COUNTIFS(DB$6:DB$53,DB8,DG$6:DG$53,"&lt;"&amp;DG8,$BC$6:$BC$53,INDEX(T_Equipos[Grupo],MATCH(BD8,T_Equipos[NombreEquipo],0)))</f>
        <v>2</v>
      </c>
      <c r="DI8" s="744"/>
      <c r="DJ8" s="744">
        <f ca="1">INDEX($DA$6:$DA$53,MATCH($DQ8,$BD$6:$BD$53,0))</f>
        <v>3</v>
      </c>
      <c r="DK8" s="744">
        <f t="shared" ca="1" si="24"/>
        <v>4</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827"/>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0</v>
      </c>
      <c r="BF9" s="748">
        <f t="shared" ca="1" si="26"/>
        <v>1</v>
      </c>
      <c r="BG9" s="748">
        <f t="shared" ca="1" si="17"/>
        <v>0</v>
      </c>
      <c r="BH9" s="748">
        <f t="shared" ca="1" si="18"/>
        <v>0</v>
      </c>
      <c r="BI9" s="748">
        <f t="shared" ca="1" si="19"/>
        <v>1</v>
      </c>
      <c r="BJ9" s="748">
        <f t="shared" ca="1" si="20"/>
        <v>1</v>
      </c>
      <c r="BK9" s="748">
        <f t="shared" ca="1" si="21"/>
        <v>2</v>
      </c>
      <c r="BL9" s="748">
        <f t="shared" ca="1" si="27"/>
        <v>-1</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0</v>
      </c>
      <c r="BS9" s="757">
        <f ca="1">BP9+COUNTIFS($BQ$6:$BQ$53,BQ9,$BR$6:BR$53,"&gt;"&amp;BR9,$BC$6:$BC$53,INDEX(T_Equipos[Grupo],MATCH(BD9,T_Equipos[NombreEquipo],0)))</f>
        <v>3</v>
      </c>
      <c r="BT9" s="757" t="str">
        <f ca="1">IF(COUNTIFS($BS$6:$BS$53,BS9,$BC$6:$BC$53,INDEX(T_Equipos[Grupo],MATCH(BD9,T_Equipos[NombreEquipo],0)))=1,"-","P."&amp;BS9&amp;" ("&amp;COUNTIFS($BS$6:$BS$53,BS9,$BC$6:$BC$53,INDEX(T_Equipos[Grupo],MATCH(BD9,T_Equipos[NombreEquipo],0)))&amp;")")</f>
        <v>P.3 (2)</v>
      </c>
      <c r="BU9" s="758">
        <f ca="1">IF($BT9="-","-",COUNTIFS(FGLocal,$BD9,Ganador,"Local",Part1Empate1V,$BT9)+COUNTIFS(FGVisitante,$BD9,Ganador,"Visitante",Part1Empate1L,$BT9))</f>
        <v>0</v>
      </c>
      <c r="BV9" s="758">
        <f ca="1">IF($BT9="-","-",COUNTIFS(FGLocal,$BD9,Ganador,"Empate",Part1Empate1V,$BT9)+COUNTIFS(FGVisitante,$BD9,Ganador,"Empate",Part1Empate1L,$BT9))</f>
        <v>0</v>
      </c>
      <c r="BW9" s="758">
        <f ca="1">IF($BT9="-","-",COUNTIFS(FGLocal,$BD9,Ganador,"Visitante",Part1Empate1V,$BT9)+COUNTIFS(FGVisitante,$BD9,Ganador,"Local",Part1Empate1L,$BT9))</f>
        <v>0</v>
      </c>
      <c r="BX9" s="758">
        <f ca="1">IF($BT9="-","-",BU9*3+BV9)</f>
        <v>0</v>
      </c>
      <c r="BY9" s="758">
        <f ca="1">BS9+COUNTIFS($BT$6:$BT$53,BT9,$BX$6:BX$53,"&gt;"&amp;BX9,$BC$6:$BC$53,INDEX(T_Equipos[Grupo],MATCH(BD9,T_Equipos[NombreEquipo],0)))</f>
        <v>3</v>
      </c>
      <c r="BZ9" s="757" t="str">
        <f ca="1">IF(COUNTIFS($BY$6:$BY$53,BY9,$BC$6:$BC$53,INDEX(T_Equipos[Grupo],MATCH(BD9,T_Equipos[NombreEquipo],0)))=1,"-","P."&amp;BY9&amp;" ("&amp;COUNTIFS($BY$6:$BY$53,BY9,$BC$6:$BC$53,INDEX(T_Equipos[Grupo],MATCH(BD9,T_Equipos[NombreEquipo],0)))&amp;")")</f>
        <v>P.3 (2)</v>
      </c>
      <c r="CA9" s="758">
        <f ca="1">IF($BZ9="-","-",SUMIFS(FG_GolesLocal,FGLocal,$BD9,Part1Empate2V,$BZ9)+SUMIFS(FG_GolesVisitante,FGVisitante,$BD9,Part1Empate2L,$BZ9))</f>
        <v>0</v>
      </c>
      <c r="CB9" s="758">
        <f ca="1">IF($BZ9="-","-",SUMIFS(FG_GolesVisitante,FGLocal,$BD9,Part1Empate2V,$BZ9)+SUMIFS(FG_GolesLocal,FGVisitante,$BD9,Part1Empate2L,$BZ9))</f>
        <v>0</v>
      </c>
      <c r="CC9" s="758">
        <f ca="1">IF($BZ9="-","-",CA9-CB9)</f>
        <v>0</v>
      </c>
      <c r="CD9" s="758">
        <f ca="1">BY9+COUNTIFS($BZ$6:$BZ$53,BZ9,$CC$6:CC$53,"&gt;"&amp;CC9,$BC$6:$BC$53,INDEX(T_Equipos[Grupo],MATCH(BD9,T_Equipos[NombreEquipo],0)))</f>
        <v>3</v>
      </c>
      <c r="CE9" s="757" t="str">
        <f ca="1">IF(COUNTIFS($CD$6:$CD$53,CD9,$BC$6:$BC$53,INDEX(T_Equipos[Grupo],MATCH(BD9,T_Equipos[NombreEquipo],0)))=1,"-","P."&amp;CD9&amp;" ("&amp;COUNTIFS($CD$6:$CD$53,CD9,$BC$6:$BC$53,INDEX(T_Equipos[Grupo],MATCH(BD9,T_Equipos[NombreEquipo],0)))&amp;")")</f>
        <v>P.3 (2)</v>
      </c>
      <c r="CF9" s="758">
        <f ca="1">IF($CE9="-","-",SUMIFS(FG_GolesLocal,FGLocal,$BD9,Part1Empate3V,$CE9)+SUMIFS(FG_GolesVisitante,FGVisitante,$BD9,Part1Empate3L,$CE9))</f>
        <v>0</v>
      </c>
      <c r="CG9" s="758">
        <f ca="1">CD9+COUNTIFS($CE$6:$CE$53,CE9,$CF$6:CF$53,"&gt;"&amp;CF9,$BC$6:$BC$53,INDEX(T_Equipos[Grupo],MATCH(BD9,T_Equipos[NombreEquipo],0)))</f>
        <v>3</v>
      </c>
      <c r="CH9" s="757" t="str">
        <f ca="1">IF(COUNTIFS($CG$6:$CG$53,CG9,$BC$6:$BC$53,INDEX(T_Equipos[Grupo],MATCH(BD9,T_Equipos[NombreEquipo],0)))=1,"-","P."&amp;CG9&amp;" ("&amp;COUNTIFS($CG$6:$CG$53,CG9,$BC$6:$BC$53,INDEX(T_Equipos[Grupo],MATCH(BD9,T_Equipos[NombreEquipo],0)))&amp;")")</f>
        <v>P.3 (2)</v>
      </c>
      <c r="CI9" s="758">
        <f ca="1">IF($CH9="-","-",COUNTIFS(FGLocal,$BD9,Ganador,"Local",Part2Empate4V,$CH9)+COUNTIFS(FGVisitante,$BD9,Ganador,"Visitante",Part2Empate4L,$CH9))</f>
        <v>0</v>
      </c>
      <c r="CJ9" s="758">
        <f ca="1">IF($CH9="-","-",COUNTIFS(FGLocal,$BD9,Ganador,"Empate",Part2Empate4V,$CH9)+COUNTIFS(FGVisitante,$BD9,Ganador,"Empate",Part2Empate4L,$CH9))</f>
        <v>0</v>
      </c>
      <c r="CK9" s="758">
        <f ca="1">IF($CH9="-","-",COUNTIFS(FGLocal,$BD9,Ganador,"Visitante",Part2Empate4V,$CH9)+COUNTIFS(FGVisitante,$BD9,Ganador,"Local",Part2Empate4L,$CH9))</f>
        <v>0</v>
      </c>
      <c r="CL9" s="758">
        <f ca="1">IF($CH9="-","-",CI9*3+CJ9)</f>
        <v>0</v>
      </c>
      <c r="CM9" s="758">
        <f ca="1">CG9+COUNTIFS($CH$6:$CH$53,CH9,$CL$6:CL$53,"&gt;"&amp;CL9,$BC$6:$BC$53,INDEX(T_Equipos[Grupo],MATCH(BD9,T_Equipos[NombreEquipo],0)))</f>
        <v>3</v>
      </c>
      <c r="CN9" s="757" t="str">
        <f ca="1">IF(COUNTIFS($CM$6:$CM$53,CM9,$BC$6:$BC$53,INDEX(T_Equipos[Grupo],MATCH(BD9,T_Equipos[NombreEquipo],0)))=1,"-","P."&amp;CM9&amp;" ("&amp;COUNTIFS($CM$6:$CM$53,CM9,$BC$6:$BC$53,INDEX(T_Equipos[Grupo],MATCH(BD9,T_Equipos[NombreEquipo],0)))&amp;")")</f>
        <v>P.3 (2)</v>
      </c>
      <c r="CO9" s="758">
        <f ca="1">IF($CN9="-","-",SUMIFS(FG_GolesLocal,FGLocal,$BD9,Part2Empate5V,$CN9)+SUMIFS(FG_GolesVisitante,FGVisitante,$BD9,Part2Empate5L,$CN9))</f>
        <v>0</v>
      </c>
      <c r="CP9" s="758">
        <f ca="1">IF($CN9="-","-",SUMIFS(FG_GolesVisitante,FGLocal,$BD9,Part2Empate5V,$CN9)+SUMIFS(FG_GolesLocal,FGVisitante,$BD9,Part2Empate5L,$CN9))</f>
        <v>0</v>
      </c>
      <c r="CQ9" s="758">
        <f ca="1">IF($CN9="-","-",CO9-CP9)</f>
        <v>0</v>
      </c>
      <c r="CR9" s="758">
        <f ca="1">CM9+COUNTIFS($CN$6:$CN$53,CN9,$CQ$6:CQ$53,"&gt;"&amp;CQ9,$BC$6:$BC$53,INDEX(T_Equipos[Grupo],MATCH(BD9,T_Equipos[NombreEquipo],0)))</f>
        <v>3</v>
      </c>
      <c r="CS9" s="757" t="str">
        <f ca="1">IF(COUNTIFS($CR$6:$CR$53,CR9,$BC$6:$BC$53,INDEX(T_Equipos[Grupo],MATCH(BD9,T_Equipos[NombreEquipo],0)))=1,"-","P."&amp;CR9&amp;" ("&amp;COUNTIFS($CR$6:$CR$53,CR9,$BC$6:$BC$53,INDEX(T_Equipos[Grupo],MATCH(BD9,T_Equipos[NombreEquipo],0)))&amp;")")</f>
        <v>P.3 (2)</v>
      </c>
      <c r="CT9" s="758">
        <f ca="1">IF($CS9="-","-",SUMIFS(FG_GolesLocal,FGLocal,$BD9,Part2Empate6V,$CS9)+SUMIFS(FG_GolesVisitante,FGVisitante,$BD9,Part2Empate6L,$CS9))</f>
        <v>0</v>
      </c>
      <c r="CU9" s="758">
        <f ca="1">CR9+COUNTIFS($CS$6:$CS$53,CS9,$CT$6:CT$53,"&gt;"&amp;CT9,$BC$6:$BC$53,INDEX(T_Equipos[Grupo],MATCH(BD9,T_Equipos[NombreEquipo],0)))</f>
        <v>3</v>
      </c>
      <c r="CV9" s="757" t="str">
        <f ca="1">IF(COUNTIFS($CU$6:$CU$53,CU9,$BC$6:$BC$53,INDEX(T_Equipos[Grupo],MATCH(BD9,T_Equipos[NombreEquipo],0)))=1,"-","P."&amp;CU9&amp;" ("&amp;COUNTIFS($CU$6:$CU$53,CU9,$BC$6:$BC$53,INDEX(T_Equipos[Grupo],MATCH(BD9,T_Equipos[NombreEquipo],0)))&amp;")")</f>
        <v>P.3 (2)</v>
      </c>
      <c r="CW9" s="757">
        <f t="shared" ca="1" si="30"/>
        <v>-1</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4</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0</v>
      </c>
      <c r="BF10" s="748">
        <f t="shared" ca="1" si="26"/>
        <v>0</v>
      </c>
      <c r="BG10" s="748">
        <f t="shared" ca="1" si="17"/>
        <v>0</v>
      </c>
      <c r="BH10" s="748">
        <f t="shared" ca="1" si="18"/>
        <v>0</v>
      </c>
      <c r="BI10" s="748">
        <f t="shared" ca="1" si="19"/>
        <v>0</v>
      </c>
      <c r="BJ10" s="748">
        <f t="shared" ca="1" si="20"/>
        <v>0</v>
      </c>
      <c r="BK10" s="748">
        <f t="shared" ca="1" si="21"/>
        <v>0</v>
      </c>
      <c r="BL10" s="748">
        <f t="shared" ca="1" si="27"/>
        <v>0</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0</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(4)</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0</v>
      </c>
      <c r="BW10" s="758">
        <f t="shared" ref="BW10:BW53" ca="1" si="38">IF($BT10="-","-",COUNTIFS(FGLocal,$BD10,Ganador,"Visitante",Part1Empate1V,$BT10)+COUNTIFS(FGVisitante,$BD10,Ganador,"Local",Part1Empate1L,$BT10))</f>
        <v>0</v>
      </c>
      <c r="BX10" s="758">
        <f t="shared" ref="BX10:BX53" ca="1" si="39">IF($BT10="-","-",BU10*3+BV10)</f>
        <v>0</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(4)</v>
      </c>
      <c r="CA10" s="758">
        <f t="shared" ref="CA10:CA53" ca="1" si="40">IF($BZ10="-","-",SUMIFS(FG_GolesLocal,FGLocal,$BD10,Part1Empate2V,$BZ10)+SUMIFS(FG_GolesVisitante,FGVisitante,$BD10,Part1Empate2L,$BZ10))</f>
        <v>0</v>
      </c>
      <c r="CB10" s="758">
        <f t="shared" ref="CB10:CB53" ca="1" si="41">IF($BZ10="-","-",SUMIFS(FG_GolesVisitante,FGLocal,$BD10,Part1Empate2V,$BZ10)+SUMIFS(FG_GolesLocal,FGVisitante,$BD10,Part1Empate2L,$BZ10))</f>
        <v>0</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(4)</v>
      </c>
      <c r="CF10" s="758">
        <f t="shared" ref="CF10:CF53" ca="1" si="43">IF($CE10="-","-",SUMIFS(FG_GolesLocal,FGLocal,$BD10,Part1Empate3V,$CE10)+SUMIFS(FG_GolesVisitante,FGVisitante,$BD10,Part1Empate3L,$CE10))</f>
        <v>0</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(4)</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0</v>
      </c>
      <c r="CK10" s="758">
        <f t="shared" ref="CK10:CK53" ca="1" si="46">IF($CH10="-","-",COUNTIFS(FGLocal,$BD10,Ganador,"Visitante",Part2Empate4V,$CH10)+COUNTIFS(FGVisitante,$BD10,Ganador,"Local",Part2Empate4L,$CH10))</f>
        <v>0</v>
      </c>
      <c r="CL10" s="758">
        <f t="shared" ref="CL10:CL53" ca="1" si="47">IF($CH10="-","-",CI10*3+CJ10)</f>
        <v>0</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(4)</v>
      </c>
      <c r="CO10" s="758">
        <f t="shared" ref="CO10:CO53" ca="1" si="48">IF($CN10="-","-",SUMIFS(FG_GolesLocal,FGLocal,$BD10,Part2Empate5V,$CN10)+SUMIFS(FG_GolesVisitante,FGVisitante,$BD10,Part2Empate5L,$CN10))</f>
        <v>0</v>
      </c>
      <c r="CP10" s="758">
        <f t="shared" ref="CP10:CP53" ca="1" si="49">IF($CN10="-","-",SUMIFS(FG_GolesVisitante,FGLocal,$BD10,Part2Empate5V,$CN10)+SUMIFS(FG_GolesLocal,FGVisitante,$BD10,Part2Empate5L,$CN10))</f>
        <v>0</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(4)</v>
      </c>
      <c r="CT10" s="758">
        <f t="shared" ref="CT10:CT53" ca="1" si="51">IF($CS10="-","-",SUMIFS(FG_GolesLocal,FGLocal,$BD10,Part2Empate6V,$CS10)+SUMIFS(FG_GolesVisitante,FGVisitante,$BD10,Part2Empate6L,$CS10))</f>
        <v>0</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(4)</v>
      </c>
      <c r="CW10" s="757">
        <f t="shared" ca="1" si="30"/>
        <v>0</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P.1 (4)</v>
      </c>
      <c r="CZ10" s="757">
        <f t="shared" ca="1" si="31"/>
        <v>0</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P.1 (4)</v>
      </c>
      <c r="DC10" s="756">
        <f ca="1">IF(DB10="-","-",COUNTIFS(T_Equipos[Rank],"&lt;"&amp;INDEX(T_Equipos[Rank],MATCH(BD10,T_Equipos[NombreEquipo],0)),$BC$6:$BC$53,INDEX(T_Equipos[Grupo],MATCH(BD10,T_Equipos[NombreEquipo],0)))+1)</f>
        <v>1</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f ca="1">IF(DB10="-","-",COUNTIFS(DF$6:DF$53,"&lt;"&amp;DF10,$BC$6:$BC$53,INDEX(T_Equipos[Grupo],MATCH(BD10,T_Equipos[NombreEquipo],0))))</f>
        <v>0</v>
      </c>
      <c r="DH10" s="756">
        <f ca="1">DA10+COUNTIFS(DB$6:DB$53,DB10,DG$6:DG$53,"&lt;"&amp;DG10,$BC$6:$BC$53,INDEX(T_Equipos[Grupo],MATCH(BD10,T_Equipos[NombreEquipo],0)))</f>
        <v>1</v>
      </c>
      <c r="DI10" s="744"/>
      <c r="DJ10" s="744">
        <f t="shared" ref="DJ10:DJ53" ca="1" si="53">INDEX($DA$6:$DA$53,MATCH($DQ10,$BD$6:$BD$53,0))</f>
        <v>1</v>
      </c>
      <c r="DK10" s="744">
        <f t="shared" ca="1" si="24"/>
        <v>0</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0</v>
      </c>
      <c r="BF11" s="748">
        <f t="shared" ca="1" si="26"/>
        <v>0</v>
      </c>
      <c r="BG11" s="748">
        <f t="shared" ca="1" si="17"/>
        <v>0</v>
      </c>
      <c r="BH11" s="748">
        <f t="shared" ca="1" si="18"/>
        <v>0</v>
      </c>
      <c r="BI11" s="748">
        <f t="shared" ca="1" si="19"/>
        <v>0</v>
      </c>
      <c r="BJ11" s="748">
        <f t="shared" ca="1" si="20"/>
        <v>0</v>
      </c>
      <c r="BK11" s="748">
        <f t="shared" ca="1" si="21"/>
        <v>0</v>
      </c>
      <c r="BL11" s="748">
        <f t="shared" ca="1" si="27"/>
        <v>0</v>
      </c>
      <c r="BM11" s="748" t="str">
        <f t="shared" ca="1" si="22"/>
        <v>2B</v>
      </c>
      <c r="BN11" s="748" t="str">
        <f t="shared" ca="1" si="23"/>
        <v>2B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0</v>
      </c>
      <c r="BS11" s="757">
        <f ca="1">BP11+COUNTIFS($BQ$6:$BQ$53,BQ11,$BR$6:BR$53,"&gt;"&amp;BR11,$BC$6:$BC$53,INDEX(T_Equipos[Grupo],MATCH(BD11,T_Equipos[NombreEquipo],0)))</f>
        <v>1</v>
      </c>
      <c r="BT11" s="757" t="str">
        <f ca="1">IF(COUNTIFS($BS$6:$BS$53,BS11,$BC$6:$BC$53,INDEX(T_Equipos[Grupo],MATCH(BD11,T_Equipos[NombreEquipo],0)))=1,"-","P."&amp;BS11&amp;" ("&amp;COUNTIFS($BS$6:$BS$53,BS11,$BC$6:$BC$53,INDEX(T_Equipos[Grupo],MATCH(BD11,T_Equipos[NombreEquipo],0)))&amp;")")</f>
        <v>P.1 (4)</v>
      </c>
      <c r="BU11" s="758">
        <f t="shared" ca="1" si="36"/>
        <v>0</v>
      </c>
      <c r="BV11" s="758">
        <f t="shared" ca="1" si="37"/>
        <v>0</v>
      </c>
      <c r="BW11" s="758">
        <f t="shared" ca="1" si="38"/>
        <v>0</v>
      </c>
      <c r="BX11" s="758">
        <f t="shared" ca="1" si="39"/>
        <v>0</v>
      </c>
      <c r="BY11" s="758">
        <f ca="1">BS11+COUNTIFS($BT$6:$BT$53,BT11,$BX$6:BX$53,"&gt;"&amp;BX11,$BC$6:$BC$53,INDEX(T_Equipos[Grupo],MATCH(BD11,T_Equipos[NombreEquipo],0)))</f>
        <v>1</v>
      </c>
      <c r="BZ11" s="757" t="str">
        <f ca="1">IF(COUNTIFS($BY$6:$BY$53,BY11,$BC$6:$BC$53,INDEX(T_Equipos[Grupo],MATCH(BD11,T_Equipos[NombreEquipo],0)))=1,"-","P."&amp;BY11&amp;" ("&amp;COUNTIFS($BY$6:$BY$53,BY11,$BC$6:$BC$53,INDEX(T_Equipos[Grupo],MATCH(BD11,T_Equipos[NombreEquipo],0)))&amp;")")</f>
        <v>P.1 (4)</v>
      </c>
      <c r="CA11" s="758">
        <f t="shared" ca="1" si="40"/>
        <v>0</v>
      </c>
      <c r="CB11" s="758">
        <f t="shared" ca="1" si="41"/>
        <v>0</v>
      </c>
      <c r="CC11" s="758">
        <f t="shared" ca="1" si="42"/>
        <v>0</v>
      </c>
      <c r="CD11" s="758">
        <f ca="1">BY11+COUNTIFS($BZ$6:$BZ$53,BZ11,$CC$6:CC$53,"&gt;"&amp;CC11,$BC$6:$BC$53,INDEX(T_Equipos[Grupo],MATCH(BD11,T_Equipos[NombreEquipo],0)))</f>
        <v>1</v>
      </c>
      <c r="CE11" s="757" t="str">
        <f ca="1">IF(COUNTIFS($CD$6:$CD$53,CD11,$BC$6:$BC$53,INDEX(T_Equipos[Grupo],MATCH(BD11,T_Equipos[NombreEquipo],0)))=1,"-","P."&amp;CD11&amp;" ("&amp;COUNTIFS($CD$6:$CD$53,CD11,$BC$6:$BC$53,INDEX(T_Equipos[Grupo],MATCH(BD11,T_Equipos[NombreEquipo],0)))&amp;")")</f>
        <v>P.1 (4)</v>
      </c>
      <c r="CF11" s="758">
        <f t="shared" ca="1" si="43"/>
        <v>0</v>
      </c>
      <c r="CG11" s="758">
        <f ca="1">CD11+COUNTIFS($CE$6:$CE$53,CE11,$CF$6:CF$53,"&gt;"&amp;CF11,$BC$6:$BC$53,INDEX(T_Equipos[Grupo],MATCH(BD11,T_Equipos[NombreEquipo],0)))</f>
        <v>1</v>
      </c>
      <c r="CH11" s="757" t="str">
        <f ca="1">IF(COUNTIFS($CG$6:$CG$53,CG11,$BC$6:$BC$53,INDEX(T_Equipos[Grupo],MATCH(BD11,T_Equipos[NombreEquipo],0)))=1,"-","P."&amp;CG11&amp;" ("&amp;COUNTIFS($CG$6:$CG$53,CG11,$BC$6:$BC$53,INDEX(T_Equipos[Grupo],MATCH(BD11,T_Equipos[NombreEquipo],0)))&amp;")")</f>
        <v>P.1 (4)</v>
      </c>
      <c r="CI11" s="758">
        <f t="shared" ca="1" si="44"/>
        <v>0</v>
      </c>
      <c r="CJ11" s="758">
        <f t="shared" ca="1" si="45"/>
        <v>0</v>
      </c>
      <c r="CK11" s="758">
        <f t="shared" ca="1" si="46"/>
        <v>0</v>
      </c>
      <c r="CL11" s="758">
        <f t="shared" ca="1" si="47"/>
        <v>0</v>
      </c>
      <c r="CM11" s="758">
        <f ca="1">CG11+COUNTIFS($CH$6:$CH$53,CH11,$CL$6:CL$53,"&gt;"&amp;CL11,$BC$6:$BC$53,INDEX(T_Equipos[Grupo],MATCH(BD11,T_Equipos[NombreEquipo],0)))</f>
        <v>1</v>
      </c>
      <c r="CN11" s="757" t="str">
        <f ca="1">IF(COUNTIFS($CM$6:$CM$53,CM11,$BC$6:$BC$53,INDEX(T_Equipos[Grupo],MATCH(BD11,T_Equipos[NombreEquipo],0)))=1,"-","P."&amp;CM11&amp;" ("&amp;COUNTIFS($CM$6:$CM$53,CM11,$BC$6:$BC$53,INDEX(T_Equipos[Grupo],MATCH(BD11,T_Equipos[NombreEquipo],0)))&amp;")")</f>
        <v>P.1 (4)</v>
      </c>
      <c r="CO11" s="758">
        <f t="shared" ca="1" si="48"/>
        <v>0</v>
      </c>
      <c r="CP11" s="758">
        <f t="shared" ca="1" si="49"/>
        <v>0</v>
      </c>
      <c r="CQ11" s="758">
        <f t="shared" ca="1" si="50"/>
        <v>0</v>
      </c>
      <c r="CR11" s="758">
        <f ca="1">CM11+COUNTIFS($CN$6:$CN$53,CN11,$CQ$6:CQ$53,"&gt;"&amp;CQ11,$BC$6:$BC$53,INDEX(T_Equipos[Grupo],MATCH(BD11,T_Equipos[NombreEquipo],0)))</f>
        <v>1</v>
      </c>
      <c r="CS11" s="757" t="str">
        <f ca="1">IF(COUNTIFS($CR$6:$CR$53,CR11,$BC$6:$BC$53,INDEX(T_Equipos[Grupo],MATCH(BD11,T_Equipos[NombreEquipo],0)))=1,"-","P."&amp;CR11&amp;" ("&amp;COUNTIFS($CR$6:$CR$53,CR11,$BC$6:$BC$53,INDEX(T_Equipos[Grupo],MATCH(BD11,T_Equipos[NombreEquipo],0)))&amp;")")</f>
        <v>P.1 (4)</v>
      </c>
      <c r="CT11" s="758">
        <f t="shared" ca="1" si="51"/>
        <v>0</v>
      </c>
      <c r="CU11" s="758">
        <f ca="1">CR11+COUNTIFS($CS$6:$CS$53,CS11,$CT$6:CT$53,"&gt;"&amp;CT11,$BC$6:$BC$53,INDEX(T_Equipos[Grupo],MATCH(BD11,T_Equipos[NombreEquipo],0)))</f>
        <v>1</v>
      </c>
      <c r="CV11" s="757" t="str">
        <f ca="1">IF(COUNTIFS($CU$6:$CU$53,CU11,$BC$6:$BC$53,INDEX(T_Equipos[Grupo],MATCH(BD11,T_Equipos[NombreEquipo],0)))=1,"-","P."&amp;CU11&amp;" ("&amp;COUNTIFS($CU$6:$CU$53,CU11,$BC$6:$BC$53,INDEX(T_Equipos[Grupo],MATCH(BD11,T_Equipos[NombreEquipo],0)))&amp;")")</f>
        <v>P.1 (4)</v>
      </c>
      <c r="CW11" s="757">
        <f t="shared" ca="1" si="30"/>
        <v>0</v>
      </c>
      <c r="CX11" s="757">
        <f ca="1">CU11+COUNTIFS($CV$6:$CV$53,CV11,$CW$6:CW$53,"&gt;"&amp;CW11,$BC$6:$BC$53,INDEX(T_Equipos[Grupo],MATCH(BD11,T_Equipos[NombreEquipo],0)))</f>
        <v>1</v>
      </c>
      <c r="CY11" s="757" t="str">
        <f ca="1">IF(COUNTIFS($CX$6:$CX$53,CX11,$BC$6:$BC$53,INDEX(T_Equipos[Grupo],MATCH(BD11,T_Equipos[NombreEquipo],0)))=1,"-","P."&amp;CX11&amp;" ("&amp;COUNTIFS($CX$6:$CX$53,CX11,$BC$6:$BC$53,INDEX(T_Equipos[Grupo],MATCH(BD11,T_Equipos[NombreEquipo],0)))&amp;")")</f>
        <v>P.1 (4)</v>
      </c>
      <c r="CZ11" s="757">
        <f t="shared" ca="1" si="31"/>
        <v>0</v>
      </c>
      <c r="DA11" s="758">
        <f ca="1">CX11+COUNTIFS($CY$6:$CY$53,CY11,$CZ$6:CZ$53,"&gt;"&amp;CZ11,$BC$6:$BC$53,INDEX(T_Equipos[Grupo],MATCH(BD11,T_Equipos[NombreEquipo],0)))</f>
        <v>1</v>
      </c>
      <c r="DB11" s="757" t="str">
        <f ca="1">IF(COUNTIFS($DA$6:$DA$53,DA11,$BC$6:$BC$53,INDEX(T_Equipos[Grupo],MATCH(BD11,T_Equipos[NombreEquipo],0)))=1,"-","P."&amp;DA11&amp;" ("&amp;COUNTIFS($DA$6:$DA$53,DA11,$BC$6:$BC$53,INDEX(T_Equipos[Grupo],MATCH(BD11,T_Equipos[NombreEquipo],0)))&amp;")")</f>
        <v>P.1 (4)</v>
      </c>
      <c r="DC11" s="756">
        <f ca="1">IF(DB11="-","-",COUNTIFS(T_Equipos[Rank],"&lt;"&amp;INDEX(T_Equipos[Rank],MATCH(BD11,T_Equipos[NombreEquipo],0)),$BC$6:$BC$53,INDEX(T_Equipos[Grupo],MATCH(BD11,T_Equipos[NombreEquipo],0)))+1)</f>
        <v>2</v>
      </c>
      <c r="DD11" s="756">
        <f ca="1">DA11+COUNTIFS($DB$6:$DB$53,DB11,$DC$6:DC$53,"&lt;"&amp;DC11,$BC$6:$BC$53,INDEX(T_Equipos[Grupo],MATCH(BD11,T_Equipos[NombreEquipo],0)))</f>
        <v>2</v>
      </c>
      <c r="DE11" s="756"/>
      <c r="DF11" s="756">
        <f t="shared" ca="1" si="52"/>
        <v>2</v>
      </c>
      <c r="DG11" s="756">
        <f ca="1">IF(DB11="-","-",COUNTIFS(DF$6:DF$53,"&lt;"&amp;DF11,$BC$6:$BC$53,INDEX(T_Equipos[Grupo],MATCH(BD11,T_Equipos[NombreEquipo],0))))</f>
        <v>1</v>
      </c>
      <c r="DH11" s="756">
        <f ca="1">DA11+COUNTIFS(DB$6:DB$53,DB11,DG$6:DG$53,"&lt;"&amp;DG11,$BC$6:$BC$53,INDEX(T_Equipos[Grupo],MATCH(BD11,T_Equipos[NombreEquipo],0)))</f>
        <v>2</v>
      </c>
      <c r="DI11" s="744"/>
      <c r="DJ11" s="744">
        <f t="shared" ca="1" si="53"/>
        <v>1</v>
      </c>
      <c r="DK11" s="744">
        <f t="shared" ca="1" si="24"/>
        <v>0</v>
      </c>
      <c r="DL11" s="744">
        <f t="shared" ca="1" si="33"/>
        <v>1</v>
      </c>
      <c r="DM11" s="738" t="str">
        <f t="shared" ca="1" si="34"/>
        <v>1.1</v>
      </c>
      <c r="DN11" s="744" cm="1">
        <f t="array" aca="1" ref="DN11" ca="1">OFFSET(Horarios!$P$3,DJ11-1,0,DL11,1)</f>
        <v>1</v>
      </c>
      <c r="DO11" s="744"/>
      <c r="DP11" s="744" t="s">
        <v>649</v>
      </c>
      <c r="DQ11" s="744" t="str">
        <f t="shared" ca="1" si="35"/>
        <v>Bosnia y Herzegovina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Pendiente</v>
      </c>
      <c r="E12" s="744" t="str">
        <f t="shared" ref="E12:E17" si="55">IF(D12="Pendiente","-",INDEX($BT$6:$BT$53,MATCH($AA12,$BD$6:$BD$53,0)))</f>
        <v>-</v>
      </c>
      <c r="F12" s="744" t="str">
        <f t="shared" ref="F12:F17" si="56">IF(D12="Pendiente","-",INDEX($BT$6:$BT$53,MATCH($AF12,$BD$6:$BD$53,0)))</f>
        <v>-</v>
      </c>
      <c r="G12" s="744"/>
      <c r="H12" s="744" t="str">
        <f t="shared" ref="H12:H17" si="57">IF(D12="Pendiente","-",INDEX($BZ$6:$BZ$53,MATCH($AA12,$BD$6:$BD$53,0)))</f>
        <v>-</v>
      </c>
      <c r="I12" s="744" t="str">
        <f t="shared" ref="I12:I17" si="58">IF(D12="Pendiente","-",INDEX($BZ$6:$BZ$53,MATCH($AF12,$BD$6:$BD$53,0)))</f>
        <v>-</v>
      </c>
      <c r="J12" s="744"/>
      <c r="K12" s="744" t="str">
        <f t="shared" ref="K12:K17" si="59">IF(D12="Pendiente","-",INDEX($CE$6:$CE$53,MATCH($AA12,$BD$6:$BD$53,0)))</f>
        <v>-</v>
      </c>
      <c r="L12" s="744" t="str">
        <f t="shared" ref="L12:L17" si="60">IF(D12="Pendiente","-",INDEX($CE$6:$CE$53,MATCH($AF12,$BD$6:$BD$53,0)))</f>
        <v>-</v>
      </c>
      <c r="M12" s="744"/>
      <c r="N12" s="744" t="str">
        <f t="shared" ref="N12:N17" si="61">IF(D12="Pendiente","-",INDEX($CH$6:$CH$53,MATCH($AA12,$BD$6:$BD$53,0)))</f>
        <v>-</v>
      </c>
      <c r="O12" s="744" t="str">
        <f t="shared" ref="O12:O17" si="62">IF(D12="Pendiente","-",INDEX($CH$6:$CH$53,MATCH($AF12,$BD$6:$BD$53,0)))</f>
        <v>-</v>
      </c>
      <c r="P12" s="744"/>
      <c r="Q12" s="744" t="str">
        <f t="shared" ref="Q12:Q17" si="63">IF(D12="Pendiente","-",INDEX($CN$6:$CN$53,MATCH($AA12,$BD$6:$BD$53,0)))</f>
        <v>-</v>
      </c>
      <c r="R12" s="744" t="str">
        <f t="shared" ref="R12:R17" si="64">IF(D12="Pendiente","-",INDEX($CN$6:$CN$53,MATCH($AF12,$BD$6:$BD$53,0)))</f>
        <v>-</v>
      </c>
      <c r="S12" s="744"/>
      <c r="T12" s="744" t="str">
        <f t="shared" ref="T12:T17" si="65">IF(D12="Pendiente","-",INDEX($CS$6:$CS$53,MATCH($AA12,$BD$6:$BD$53,0)))</f>
        <v>-</v>
      </c>
      <c r="U12" s="744" t="str">
        <f t="shared" ref="U12:U17" si="66">IF(D12="Pendiente","-",INDEX($CS$6:$CS$53,MATCH($AF12,$BD$6:$BD$53,0)))</f>
        <v>-</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c r="AD12" s="194"/>
      <c r="AE12" s="483" t="e" cm="1" vm="6">
        <f t="array" aca="1" ref="AE12" ca="1">Ver_flag_visit</f>
        <v>#VALUE!</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0</v>
      </c>
      <c r="BF12" s="748">
        <f t="shared" ca="1" si="26"/>
        <v>0</v>
      </c>
      <c r="BG12" s="748">
        <f t="shared" ca="1" si="17"/>
        <v>0</v>
      </c>
      <c r="BH12" s="748">
        <f t="shared" ca="1" si="18"/>
        <v>0</v>
      </c>
      <c r="BI12" s="748">
        <f t="shared" ca="1" si="19"/>
        <v>0</v>
      </c>
      <c r="BJ12" s="748">
        <f t="shared" ca="1" si="20"/>
        <v>0</v>
      </c>
      <c r="BK12" s="748">
        <f t="shared" ca="1" si="21"/>
        <v>0</v>
      </c>
      <c r="BL12" s="748">
        <f t="shared" ca="1" si="27"/>
        <v>0</v>
      </c>
      <c r="BM12" s="748" t="str">
        <f t="shared" ca="1" si="22"/>
        <v>3B</v>
      </c>
      <c r="BN12" s="748" t="str">
        <f t="shared" ca="1" si="23"/>
        <v>3B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0</v>
      </c>
      <c r="BS12" s="757">
        <f ca="1">BP12+COUNTIFS($BQ$6:$BQ$53,BQ12,$BR$6:BR$53,"&gt;"&amp;BR12,$BC$6:$BC$53,INDEX(T_Equipos[Grupo],MATCH(BD12,T_Equipos[NombreEquipo],0)))</f>
        <v>1</v>
      </c>
      <c r="BT12" s="757" t="str">
        <f ca="1">IF(COUNTIFS($BS$6:$BS$53,BS12,$BC$6:$BC$53,INDEX(T_Equipos[Grupo],MATCH(BD12,T_Equipos[NombreEquipo],0)))=1,"-","P."&amp;BS12&amp;" ("&amp;COUNTIFS($BS$6:$BS$53,BS12,$BC$6:$BC$53,INDEX(T_Equipos[Grupo],MATCH(BD12,T_Equipos[NombreEquipo],0)))&amp;")")</f>
        <v>P.1 (4)</v>
      </c>
      <c r="BU12" s="758">
        <f t="shared" ca="1" si="36"/>
        <v>0</v>
      </c>
      <c r="BV12" s="758">
        <f t="shared" ca="1" si="37"/>
        <v>0</v>
      </c>
      <c r="BW12" s="758">
        <f t="shared" ca="1" si="38"/>
        <v>0</v>
      </c>
      <c r="BX12" s="758">
        <f t="shared" ca="1" si="39"/>
        <v>0</v>
      </c>
      <c r="BY12" s="758">
        <f ca="1">BS12+COUNTIFS($BT$6:$BT$53,BT12,$BX$6:BX$53,"&gt;"&amp;BX12,$BC$6:$BC$53,INDEX(T_Equipos[Grupo],MATCH(BD12,T_Equipos[NombreEquipo],0)))</f>
        <v>1</v>
      </c>
      <c r="BZ12" s="757" t="str">
        <f ca="1">IF(COUNTIFS($BY$6:$BY$53,BY12,$BC$6:$BC$53,INDEX(T_Equipos[Grupo],MATCH(BD12,T_Equipos[NombreEquipo],0)))=1,"-","P."&amp;BY12&amp;" ("&amp;COUNTIFS($BY$6:$BY$53,BY12,$BC$6:$BC$53,INDEX(T_Equipos[Grupo],MATCH(BD12,T_Equipos[NombreEquipo],0)))&amp;")")</f>
        <v>P.1 (4)</v>
      </c>
      <c r="CA12" s="758">
        <f t="shared" ca="1" si="40"/>
        <v>0</v>
      </c>
      <c r="CB12" s="758">
        <f t="shared" ca="1" si="41"/>
        <v>0</v>
      </c>
      <c r="CC12" s="758">
        <f t="shared" ca="1" si="42"/>
        <v>0</v>
      </c>
      <c r="CD12" s="758">
        <f ca="1">BY12+COUNTIFS($BZ$6:$BZ$53,BZ12,$CC$6:CC$53,"&gt;"&amp;CC12,$BC$6:$BC$53,INDEX(T_Equipos[Grupo],MATCH(BD12,T_Equipos[NombreEquipo],0)))</f>
        <v>1</v>
      </c>
      <c r="CE12" s="757" t="str">
        <f ca="1">IF(COUNTIFS($CD$6:$CD$53,CD12,$BC$6:$BC$53,INDEX(T_Equipos[Grupo],MATCH(BD12,T_Equipos[NombreEquipo],0)))=1,"-","P."&amp;CD12&amp;" ("&amp;COUNTIFS($CD$6:$CD$53,CD12,$BC$6:$BC$53,INDEX(T_Equipos[Grupo],MATCH(BD12,T_Equipos[NombreEquipo],0)))&amp;")")</f>
        <v>P.1 (4)</v>
      </c>
      <c r="CF12" s="758">
        <f t="shared" ca="1" si="43"/>
        <v>0</v>
      </c>
      <c r="CG12" s="758">
        <f ca="1">CD12+COUNTIFS($CE$6:$CE$53,CE12,$CF$6:CF$53,"&gt;"&amp;CF12,$BC$6:$BC$53,INDEX(T_Equipos[Grupo],MATCH(BD12,T_Equipos[NombreEquipo],0)))</f>
        <v>1</v>
      </c>
      <c r="CH12" s="757" t="str">
        <f ca="1">IF(COUNTIFS($CG$6:$CG$53,CG12,$BC$6:$BC$53,INDEX(T_Equipos[Grupo],MATCH(BD12,T_Equipos[NombreEquipo],0)))=1,"-","P."&amp;CG12&amp;" ("&amp;COUNTIFS($CG$6:$CG$53,CG12,$BC$6:$BC$53,INDEX(T_Equipos[Grupo],MATCH(BD12,T_Equipos[NombreEquipo],0)))&amp;")")</f>
        <v>P.1 (4)</v>
      </c>
      <c r="CI12" s="758">
        <f t="shared" ca="1" si="44"/>
        <v>0</v>
      </c>
      <c r="CJ12" s="758">
        <f t="shared" ca="1" si="45"/>
        <v>0</v>
      </c>
      <c r="CK12" s="758">
        <f t="shared" ca="1" si="46"/>
        <v>0</v>
      </c>
      <c r="CL12" s="758">
        <f t="shared" ca="1" si="47"/>
        <v>0</v>
      </c>
      <c r="CM12" s="758">
        <f ca="1">CG12+COUNTIFS($CH$6:$CH$53,CH12,$CL$6:CL$53,"&gt;"&amp;CL12,$BC$6:$BC$53,INDEX(T_Equipos[Grupo],MATCH(BD12,T_Equipos[NombreEquipo],0)))</f>
        <v>1</v>
      </c>
      <c r="CN12" s="757" t="str">
        <f ca="1">IF(COUNTIFS($CM$6:$CM$53,CM12,$BC$6:$BC$53,INDEX(T_Equipos[Grupo],MATCH(BD12,T_Equipos[NombreEquipo],0)))=1,"-","P."&amp;CM12&amp;" ("&amp;COUNTIFS($CM$6:$CM$53,CM12,$BC$6:$BC$53,INDEX(T_Equipos[Grupo],MATCH(BD12,T_Equipos[NombreEquipo],0)))&amp;")")</f>
        <v>P.1 (4)</v>
      </c>
      <c r="CO12" s="758">
        <f t="shared" ca="1" si="48"/>
        <v>0</v>
      </c>
      <c r="CP12" s="758">
        <f t="shared" ca="1" si="49"/>
        <v>0</v>
      </c>
      <c r="CQ12" s="758">
        <f t="shared" ca="1" si="50"/>
        <v>0</v>
      </c>
      <c r="CR12" s="758">
        <f ca="1">CM12+COUNTIFS($CN$6:$CN$53,CN12,$CQ$6:CQ$53,"&gt;"&amp;CQ12,$BC$6:$BC$53,INDEX(T_Equipos[Grupo],MATCH(BD12,T_Equipos[NombreEquipo],0)))</f>
        <v>1</v>
      </c>
      <c r="CS12" s="757" t="str">
        <f ca="1">IF(COUNTIFS($CR$6:$CR$53,CR12,$BC$6:$BC$53,INDEX(T_Equipos[Grupo],MATCH(BD12,T_Equipos[NombreEquipo],0)))=1,"-","P."&amp;CR12&amp;" ("&amp;COUNTIFS($CR$6:$CR$53,CR12,$BC$6:$BC$53,INDEX(T_Equipos[Grupo],MATCH(BD12,T_Equipos[NombreEquipo],0)))&amp;")")</f>
        <v>P.1 (4)</v>
      </c>
      <c r="CT12" s="758">
        <f t="shared" ca="1" si="51"/>
        <v>0</v>
      </c>
      <c r="CU12" s="758">
        <f ca="1">CR12+COUNTIFS($CS$6:$CS$53,CS12,$CT$6:CT$53,"&gt;"&amp;CT12,$BC$6:$BC$53,INDEX(T_Equipos[Grupo],MATCH(BD12,T_Equipos[NombreEquipo],0)))</f>
        <v>1</v>
      </c>
      <c r="CV12" s="757" t="str">
        <f ca="1">IF(COUNTIFS($CU$6:$CU$53,CU12,$BC$6:$BC$53,INDEX(T_Equipos[Grupo],MATCH(BD12,T_Equipos[NombreEquipo],0)))=1,"-","P."&amp;CU12&amp;" ("&amp;COUNTIFS($CU$6:$CU$53,CU12,$BC$6:$BC$53,INDEX(T_Equipos[Grupo],MATCH(BD12,T_Equipos[NombreEquipo],0)))&amp;")")</f>
        <v>P.1 (4)</v>
      </c>
      <c r="CW12" s="757">
        <f t="shared" ca="1" si="30"/>
        <v>0</v>
      </c>
      <c r="CX12" s="757">
        <f ca="1">CU12+COUNTIFS($CV$6:$CV$53,CV12,$CW$6:CW$53,"&gt;"&amp;CW12,$BC$6:$BC$53,INDEX(T_Equipos[Grupo],MATCH(BD12,T_Equipos[NombreEquipo],0)))</f>
        <v>1</v>
      </c>
      <c r="CY12" s="757" t="str">
        <f ca="1">IF(COUNTIFS($CX$6:$CX$53,CX12,$BC$6:$BC$53,INDEX(T_Equipos[Grupo],MATCH(BD12,T_Equipos[NombreEquipo],0)))=1,"-","P."&amp;CX12&amp;" ("&amp;COUNTIFS($CX$6:$CX$53,CX12,$BC$6:$BC$53,INDEX(T_Equipos[Grupo],MATCH(BD12,T_Equipos[NombreEquipo],0)))&amp;")")</f>
        <v>P.1 (4)</v>
      </c>
      <c r="CZ12" s="757">
        <f t="shared" ca="1" si="31"/>
        <v>0</v>
      </c>
      <c r="DA12" s="758">
        <f ca="1">CX12+COUNTIFS($CY$6:$CY$53,CY12,$CZ$6:CZ$53,"&gt;"&amp;CZ12,$BC$6:$BC$53,INDEX(T_Equipos[Grupo],MATCH(BD12,T_Equipos[NombreEquipo],0)))</f>
        <v>1</v>
      </c>
      <c r="DB12" s="757" t="str">
        <f ca="1">IF(COUNTIFS($DA$6:$DA$53,DA12,$BC$6:$BC$53,INDEX(T_Equipos[Grupo],MATCH(BD12,T_Equipos[NombreEquipo],0)))=1,"-","P."&amp;DA12&amp;" ("&amp;COUNTIFS($DA$6:$DA$53,DA12,$BC$6:$BC$53,INDEX(T_Equipos[Grupo],MATCH(BD12,T_Equipos[NombreEquipo],0)))&amp;")")</f>
        <v>P.1 (4)</v>
      </c>
      <c r="DC12" s="756">
        <f ca="1">IF(DB12="-","-",COUNTIFS(T_Equipos[Rank],"&lt;"&amp;INDEX(T_Equipos[Rank],MATCH(BD12,T_Equipos[NombreEquipo],0)),$BC$6:$BC$53,INDEX(T_Equipos[Grupo],MATCH(BD12,T_Equipos[NombreEquipo],0)))+1)</f>
        <v>3</v>
      </c>
      <c r="DD12" s="756">
        <f ca="1">DA12+COUNTIFS($DB$6:$DB$53,DB12,$DC$6:DC$53,"&lt;"&amp;DC12,$BC$6:$BC$53,INDEX(T_Equipos[Grupo],MATCH(BD12,T_Equipos[NombreEquipo],0)))</f>
        <v>3</v>
      </c>
      <c r="DE12" s="756"/>
      <c r="DF12" s="756">
        <f t="shared" ca="1" si="52"/>
        <v>3</v>
      </c>
      <c r="DG12" s="756">
        <f ca="1">IF(DB12="-","-",COUNTIFS(DF$6:DF$53,"&lt;"&amp;DF12,$BC$6:$BC$53,INDEX(T_Equipos[Grupo],MATCH(BD12,T_Equipos[NombreEquipo],0))))</f>
        <v>2</v>
      </c>
      <c r="DH12" s="756">
        <f ca="1">DA12+COUNTIFS(DB$6:DB$53,DB12,DG$6:DG$53,"&lt;"&amp;DG12,$BC$6:$BC$53,INDEX(T_Equipos[Grupo],MATCH(BD12,T_Equipos[NombreEquipo],0)))</f>
        <v>3</v>
      </c>
      <c r="DI12" s="744"/>
      <c r="DJ12" s="744">
        <f t="shared" ca="1" si="53"/>
        <v>1</v>
      </c>
      <c r="DK12" s="744">
        <f t="shared" ca="1" si="24"/>
        <v>0</v>
      </c>
      <c r="DL12" s="744">
        <f t="shared" ca="1" si="33"/>
        <v>1</v>
      </c>
      <c r="DM12" s="738" t="str">
        <f t="shared" ca="1" si="34"/>
        <v>1.1</v>
      </c>
      <c r="DN12" s="744" cm="1">
        <f t="array" aca="1" ref="DN12" ca="1">OFFSET(Horarios!$P$3,DJ12-1,0,DL12,1)</f>
        <v>1</v>
      </c>
      <c r="DO12" s="744"/>
      <c r="DP12" s="744" t="s">
        <v>90</v>
      </c>
      <c r="DQ12" s="744" t="str">
        <f t="shared" ca="1" si="35"/>
        <v>Catar</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Pendiente</v>
      </c>
      <c r="E13" s="744" t="str">
        <f t="shared" si="55"/>
        <v>-</v>
      </c>
      <c r="F13" s="744" t="str">
        <f t="shared" si="56"/>
        <v>-</v>
      </c>
      <c r="G13" s="744"/>
      <c r="H13" s="744" t="str">
        <f t="shared" si="57"/>
        <v>-</v>
      </c>
      <c r="I13" s="744" t="str">
        <f t="shared" si="58"/>
        <v>-</v>
      </c>
      <c r="J13" s="744"/>
      <c r="K13" s="744" t="str">
        <f t="shared" si="59"/>
        <v>-</v>
      </c>
      <c r="L13" s="744" t="str">
        <f t="shared" si="60"/>
        <v>-</v>
      </c>
      <c r="M13" s="744"/>
      <c r="N13" s="744" t="str">
        <f t="shared" si="61"/>
        <v>-</v>
      </c>
      <c r="O13" s="744" t="str">
        <f t="shared" si="62"/>
        <v>-</v>
      </c>
      <c r="P13" s="744"/>
      <c r="Q13" s="744" t="str">
        <f t="shared" si="63"/>
        <v>-</v>
      </c>
      <c r="R13" s="744" t="str">
        <f t="shared" si="64"/>
        <v>-</v>
      </c>
      <c r="S13" s="744"/>
      <c r="T13" s="744" t="str">
        <f t="shared" si="65"/>
        <v>-</v>
      </c>
      <c r="U13" s="744" t="str">
        <f t="shared" si="66"/>
        <v>-</v>
      </c>
      <c r="V13" s="172"/>
      <c r="W13" s="828"/>
      <c r="X13" s="189">
        <f ca="1">Horarios!C13</f>
        <v>46186.875</v>
      </c>
      <c r="Y13" s="190">
        <f ca="1">Horarios!C13</f>
        <v>46186.875</v>
      </c>
      <c r="Z13" s="191" t="str">
        <f>$Z$4</f>
        <v>J1</v>
      </c>
      <c r="AA13" s="192" t="str">
        <f ca="1">A15</f>
        <v>Catar</v>
      </c>
      <c r="AB13" s="478" t="e" cm="1" vm="7">
        <f t="array" aca="1" ref="AB13" ca="1">Ver_flag_local</f>
        <v>#VALUE!</v>
      </c>
      <c r="AC13" s="193"/>
      <c r="AD13" s="194"/>
      <c r="AE13" s="483" t="e" cm="1" vm="8">
        <f t="array" aca="1" ref="AE13" ca="1">Ver_flag_visit</f>
        <v>#VALUE!</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0</v>
      </c>
      <c r="BF13" s="748">
        <f t="shared" ca="1" si="26"/>
        <v>0</v>
      </c>
      <c r="BG13" s="748">
        <f t="shared" ca="1" si="17"/>
        <v>0</v>
      </c>
      <c r="BH13" s="748">
        <f t="shared" ca="1" si="18"/>
        <v>0</v>
      </c>
      <c r="BI13" s="748">
        <f t="shared" ca="1" si="19"/>
        <v>0</v>
      </c>
      <c r="BJ13" s="748">
        <f t="shared" ca="1" si="20"/>
        <v>0</v>
      </c>
      <c r="BK13" s="748">
        <f t="shared" ca="1" si="21"/>
        <v>0</v>
      </c>
      <c r="BL13" s="748">
        <f t="shared" ca="1" si="27"/>
        <v>0</v>
      </c>
      <c r="BM13" s="748" t="str">
        <f t="shared" ca="1" si="22"/>
        <v>4B</v>
      </c>
      <c r="BN13" s="748" t="str">
        <f t="shared" ca="1" si="23"/>
        <v>4B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0</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(4)</v>
      </c>
      <c r="BU13" s="758">
        <f t="shared" ca="1" si="36"/>
        <v>0</v>
      </c>
      <c r="BV13" s="758">
        <f t="shared" ca="1" si="37"/>
        <v>0</v>
      </c>
      <c r="BW13" s="758">
        <f t="shared" ca="1" si="38"/>
        <v>0</v>
      </c>
      <c r="BX13" s="758">
        <f t="shared" ca="1" si="39"/>
        <v>0</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(4)</v>
      </c>
      <c r="CA13" s="758">
        <f t="shared" ca="1" si="40"/>
        <v>0</v>
      </c>
      <c r="CB13" s="758">
        <f t="shared" ca="1" si="41"/>
        <v>0</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(4)</v>
      </c>
      <c r="CF13" s="758">
        <f t="shared" ca="1" si="43"/>
        <v>0</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(4)</v>
      </c>
      <c r="CI13" s="758">
        <f t="shared" ca="1" si="44"/>
        <v>0</v>
      </c>
      <c r="CJ13" s="758">
        <f t="shared" ca="1" si="45"/>
        <v>0</v>
      </c>
      <c r="CK13" s="758">
        <f t="shared" ca="1" si="46"/>
        <v>0</v>
      </c>
      <c r="CL13" s="758">
        <f t="shared" ca="1" si="47"/>
        <v>0</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(4)</v>
      </c>
      <c r="CO13" s="758">
        <f t="shared" ca="1" si="48"/>
        <v>0</v>
      </c>
      <c r="CP13" s="758">
        <f t="shared" ca="1" si="49"/>
        <v>0</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(4)</v>
      </c>
      <c r="CT13" s="758">
        <f t="shared" ca="1" si="51"/>
        <v>0</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(4)</v>
      </c>
      <c r="CW13" s="757">
        <f t="shared" ca="1" si="30"/>
        <v>0</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P.1 (4)</v>
      </c>
      <c r="CZ13" s="757">
        <f t="shared" ca="1" si="31"/>
        <v>0</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P.1 (4)</v>
      </c>
      <c r="DC13" s="756">
        <f ca="1">IF(DB13="-","-",COUNTIFS(T_Equipos[Rank],"&lt;"&amp;INDEX(T_Equipos[Rank],MATCH(BD13,T_Equipos[NombreEquipo],0)),$BC$6:$BC$53,INDEX(T_Equipos[Grupo],MATCH(BD13,T_Equipos[NombreEquipo],0)))+1)</f>
        <v>4</v>
      </c>
      <c r="DD13" s="756">
        <f ca="1">DA13+COUNTIFS($DB$6:$DB$53,DB13,$DC$6:DC$53,"&lt;"&amp;DC13,$BC$6:$BC$53,INDEX(T_Equipos[Grupo],MATCH(BD13,T_Equipos[NombreEquipo],0)))</f>
        <v>4</v>
      </c>
      <c r="DE13" s="756"/>
      <c r="DF13" s="756">
        <f t="shared" ca="1" si="52"/>
        <v>4</v>
      </c>
      <c r="DG13" s="756">
        <f ca="1">IF(DB13="-","-",COUNTIFS(DF$6:DF$53,"&lt;"&amp;DF13,$BC$6:$BC$53,INDEX(T_Equipos[Grupo],MATCH(BD13,T_Equipos[NombreEquipo],0))))</f>
        <v>3</v>
      </c>
      <c r="DH13" s="756">
        <f ca="1">DA13+COUNTIFS(DB$6:DB$53,DB13,DG$6:DG$53,"&lt;"&amp;DG13,$BC$6:$BC$53,INDEX(T_Equipos[Grupo],MATCH(BD13,T_Equipos[NombreEquipo],0)))</f>
        <v>4</v>
      </c>
      <c r="DI13" s="744"/>
      <c r="DJ13" s="744">
        <f t="shared" ca="1" si="53"/>
        <v>1</v>
      </c>
      <c r="DK13" s="744">
        <f t="shared" ca="1" si="24"/>
        <v>0</v>
      </c>
      <c r="DL13" s="744">
        <f t="shared" ca="1" si="33"/>
        <v>1</v>
      </c>
      <c r="DM13" s="738" t="str">
        <f t="shared" ca="1" si="34"/>
        <v>1.1</v>
      </c>
      <c r="DN13" s="744" cm="1">
        <f t="array" aca="1" ref="DN13" ca="1">OFFSET(Horarios!$P$3,DJ13-1,0,DL13,1)</f>
        <v>1</v>
      </c>
      <c r="DO13" s="744"/>
      <c r="DP13" s="744" t="s">
        <v>650</v>
      </c>
      <c r="DQ13" s="744" t="str">
        <f t="shared" ca="1" si="35"/>
        <v>Suiza</v>
      </c>
      <c r="DR13" s="744"/>
      <c r="DS13" s="744"/>
      <c r="DT13" s="744" t="str">
        <f t="shared" ca="1" si="15"/>
        <v>Catar-Suiza</v>
      </c>
      <c r="DU13" s="744"/>
      <c r="DV13" s="744"/>
      <c r="DW13" s="8"/>
    </row>
    <row r="14" spans="1:127" ht="16.95" customHeight="1">
      <c r="A14" s="745" t="str">
        <f ca="1">+Equipos!B7</f>
        <v>Bosnia y Herzegovina</v>
      </c>
      <c r="B14" s="742"/>
      <c r="C14" s="746"/>
      <c r="D14" s="744" t="str">
        <f t="shared" si="54"/>
        <v>Pendiente</v>
      </c>
      <c r="E14" s="744" t="str">
        <f t="shared" si="55"/>
        <v>-</v>
      </c>
      <c r="F14" s="744" t="str">
        <f t="shared" si="56"/>
        <v>-</v>
      </c>
      <c r="G14" s="744"/>
      <c r="H14" s="744" t="str">
        <f t="shared" si="57"/>
        <v>-</v>
      </c>
      <c r="I14" s="744" t="str">
        <f t="shared" si="58"/>
        <v>-</v>
      </c>
      <c r="J14" s="744"/>
      <c r="K14" s="744" t="str">
        <f t="shared" si="59"/>
        <v>-</v>
      </c>
      <c r="L14" s="744" t="str">
        <f t="shared" si="60"/>
        <v>-</v>
      </c>
      <c r="M14" s="744"/>
      <c r="N14" s="744" t="str">
        <f t="shared" si="61"/>
        <v>-</v>
      </c>
      <c r="O14" s="744" t="str">
        <f t="shared" si="62"/>
        <v>-</v>
      </c>
      <c r="P14" s="744"/>
      <c r="Q14" s="744" t="str">
        <f t="shared" si="63"/>
        <v>-</v>
      </c>
      <c r="R14" s="744" t="str">
        <f t="shared" si="64"/>
        <v>-</v>
      </c>
      <c r="S14" s="744"/>
      <c r="T14" s="744" t="str">
        <f t="shared" si="65"/>
        <v>-</v>
      </c>
      <c r="U14" s="744" t="str">
        <f t="shared" si="66"/>
        <v>-</v>
      </c>
      <c r="V14" s="172"/>
      <c r="W14" s="828"/>
      <c r="X14" s="189">
        <f ca="1">Horarios!C14</f>
        <v>46191.875</v>
      </c>
      <c r="Y14" s="190">
        <f ca="1">Horarios!C14</f>
        <v>46191.875</v>
      </c>
      <c r="Z14" s="191" t="str">
        <f>$Z$6</f>
        <v>J2</v>
      </c>
      <c r="AA14" s="192" t="str">
        <f ca="1">A16</f>
        <v>Suiza</v>
      </c>
      <c r="AB14" s="478" t="e" cm="1" vm="8">
        <f t="array" aca="1" ref="AB14" ca="1">Ver_flag_local</f>
        <v>#VALUE!</v>
      </c>
      <c r="AC14" s="193"/>
      <c r="AD14" s="194"/>
      <c r="AE14" s="483" t="e" cm="1" vm="6">
        <f t="array" aca="1" ref="AE14" ca="1">Ver_flag_visit</f>
        <v>#VALUE!</v>
      </c>
      <c r="AF14" s="195" t="str">
        <f ca="1">A14</f>
        <v>Bosnia y Herzegovina</v>
      </c>
      <c r="AG14" s="413">
        <f t="shared" si="67"/>
        <v>0</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0</v>
      </c>
      <c r="BF14" s="748">
        <f t="shared" ca="1" si="26"/>
        <v>0</v>
      </c>
      <c r="BG14" s="748">
        <f t="shared" ca="1" si="17"/>
        <v>0</v>
      </c>
      <c r="BH14" s="748">
        <f t="shared" ca="1" si="18"/>
        <v>0</v>
      </c>
      <c r="BI14" s="748">
        <f t="shared" ca="1" si="19"/>
        <v>0</v>
      </c>
      <c r="BJ14" s="748">
        <f t="shared" ca="1" si="20"/>
        <v>0</v>
      </c>
      <c r="BK14" s="748">
        <f t="shared" ca="1" si="21"/>
        <v>0</v>
      </c>
      <c r="BL14" s="748">
        <f t="shared" ca="1" si="27"/>
        <v>0</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0</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(4)</v>
      </c>
      <c r="BU14" s="758">
        <f t="shared" ca="1" si="36"/>
        <v>0</v>
      </c>
      <c r="BV14" s="758">
        <f t="shared" ca="1" si="37"/>
        <v>0</v>
      </c>
      <c r="BW14" s="758">
        <f t="shared" ca="1" si="38"/>
        <v>0</v>
      </c>
      <c r="BX14" s="758">
        <f t="shared" ca="1" si="39"/>
        <v>0</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(4)</v>
      </c>
      <c r="CA14" s="758">
        <f t="shared" ca="1" si="40"/>
        <v>0</v>
      </c>
      <c r="CB14" s="758">
        <f t="shared" ca="1" si="41"/>
        <v>0</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(4)</v>
      </c>
      <c r="CF14" s="758">
        <f t="shared" ca="1" si="43"/>
        <v>0</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(4)</v>
      </c>
      <c r="CI14" s="758">
        <f t="shared" ca="1" si="44"/>
        <v>0</v>
      </c>
      <c r="CJ14" s="758">
        <f t="shared" ca="1" si="45"/>
        <v>0</v>
      </c>
      <c r="CK14" s="758">
        <f t="shared" ca="1" si="46"/>
        <v>0</v>
      </c>
      <c r="CL14" s="758">
        <f t="shared" ca="1" si="47"/>
        <v>0</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(4)</v>
      </c>
      <c r="CO14" s="758">
        <f t="shared" ca="1" si="48"/>
        <v>0</v>
      </c>
      <c r="CP14" s="758">
        <f t="shared" ca="1" si="49"/>
        <v>0</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(4)</v>
      </c>
      <c r="CT14" s="758">
        <f t="shared" ca="1" si="51"/>
        <v>0</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(4)</v>
      </c>
      <c r="CW14" s="757">
        <f t="shared" ca="1" si="30"/>
        <v>0</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P.1 (4)</v>
      </c>
      <c r="CZ14" s="757">
        <f t="shared" ca="1" si="31"/>
        <v>0</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P.1 (4)</v>
      </c>
      <c r="DC14" s="756">
        <f ca="1">IF(DB14="-","-",COUNTIFS(T_Equipos[Rank],"&lt;"&amp;INDEX(T_Equipos[Rank],MATCH(BD14,T_Equipos[NombreEquipo],0)),$BC$6:$BC$53,INDEX(T_Equipos[Grupo],MATCH(BD14,T_Equipos[NombreEquipo],0)))+1)</f>
        <v>1</v>
      </c>
      <c r="DD14" s="756">
        <f ca="1">DA14+COUNTIFS($DB$6:$DB$53,DB14,$DC$6:DC$53,"&lt;"&amp;DC14,$BC$6:$BC$53,INDEX(T_Equipos[Grupo],MATCH(BD14,T_Equipos[NombreEquipo],0)))</f>
        <v>1</v>
      </c>
      <c r="DE14" s="756"/>
      <c r="DF14" s="756">
        <f t="shared" ca="1" si="52"/>
        <v>1</v>
      </c>
      <c r="DG14" s="756">
        <f ca="1">IF(DB14="-","-",COUNTIFS(DF$6:DF$53,"&lt;"&amp;DF14,$BC$6:$BC$53,INDEX(T_Equipos[Grupo],MATCH(BD14,T_Equipos[NombreEquipo],0))))</f>
        <v>0</v>
      </c>
      <c r="DH14" s="756">
        <f ca="1">DA14+COUNTIFS(DB$6:DB$53,DB14,DG$6:DG$53,"&lt;"&amp;DG14,$BC$6:$BC$53,INDEX(T_Equipos[Grupo],MATCH(BD14,T_Equipos[NombreEquipo],0)))</f>
        <v>1</v>
      </c>
      <c r="DI14" s="744"/>
      <c r="DJ14" s="744">
        <f t="shared" ca="1" si="53"/>
        <v>1</v>
      </c>
      <c r="DK14" s="744">
        <f t="shared" ca="1" si="24"/>
        <v>0</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Pendiente</v>
      </c>
      <c r="E15" s="744" t="str">
        <f t="shared" si="55"/>
        <v>-</v>
      </c>
      <c r="F15" s="744" t="str">
        <f t="shared" si="56"/>
        <v>-</v>
      </c>
      <c r="G15" s="744"/>
      <c r="H15" s="744" t="str">
        <f t="shared" si="57"/>
        <v>-</v>
      </c>
      <c r="I15" s="744" t="str">
        <f t="shared" si="58"/>
        <v>-</v>
      </c>
      <c r="J15" s="744"/>
      <c r="K15" s="744" t="str">
        <f t="shared" si="59"/>
        <v>-</v>
      </c>
      <c r="L15" s="744" t="str">
        <f t="shared" si="60"/>
        <v>-</v>
      </c>
      <c r="M15" s="744"/>
      <c r="N15" s="744" t="str">
        <f t="shared" si="61"/>
        <v>-</v>
      </c>
      <c r="O15" s="744" t="str">
        <f t="shared" si="62"/>
        <v>-</v>
      </c>
      <c r="P15" s="744"/>
      <c r="Q15" s="744" t="str">
        <f t="shared" si="63"/>
        <v>-</v>
      </c>
      <c r="R15" s="744" t="str">
        <f t="shared" si="64"/>
        <v>-</v>
      </c>
      <c r="S15" s="744"/>
      <c r="T15" s="744" t="str">
        <f t="shared" si="65"/>
        <v>-</v>
      </c>
      <c r="U15" s="744" t="str">
        <f t="shared" si="66"/>
        <v>-</v>
      </c>
      <c r="V15" s="172"/>
      <c r="W15" s="828"/>
      <c r="X15" s="189">
        <f ca="1">Horarios!C15</f>
        <v>46192</v>
      </c>
      <c r="Y15" s="190">
        <f ca="1">Horarios!C15</f>
        <v>46192</v>
      </c>
      <c r="Z15" s="191" t="str">
        <f>$Z$6</f>
        <v>J2</v>
      </c>
      <c r="AA15" s="192" t="str">
        <f ca="1">A13</f>
        <v>Canadá</v>
      </c>
      <c r="AB15" s="478" t="e" cm="1" vm="5">
        <f t="array" aca="1" ref="AB15" ca="1">Ver_flag_local</f>
        <v>#VALUE!</v>
      </c>
      <c r="AC15" s="193"/>
      <c r="AD15" s="194"/>
      <c r="AE15" s="483" t="e" cm="1" vm="7">
        <f t="array" aca="1" ref="AE15" ca="1">Ver_flag_visit</f>
        <v>#VALUE!</v>
      </c>
      <c r="AF15" s="195" t="str">
        <f ca="1">A15</f>
        <v>Catar</v>
      </c>
      <c r="AG15" s="413">
        <f t="shared" si="67"/>
        <v>0</v>
      </c>
      <c r="AH15" s="196">
        <v>27</v>
      </c>
      <c r="AI15" s="19" t="str">
        <f t="shared" ref="AI15:AI17" si="72">AJ15&amp;$B$12</f>
        <v>2B</v>
      </c>
      <c r="AJ15" s="258">
        <v>2</v>
      </c>
      <c r="AK15" s="486" t="e" cm="1" vm="6">
        <f t="array" aca="1" ref="AK15" ca="1">Ver_flag_visit</f>
        <v>#VALUE!</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0</v>
      </c>
      <c r="BF15" s="748">
        <f t="shared" ca="1" si="26"/>
        <v>0</v>
      </c>
      <c r="BG15" s="748">
        <f t="shared" ca="1" si="17"/>
        <v>0</v>
      </c>
      <c r="BH15" s="748">
        <f t="shared" ca="1" si="18"/>
        <v>0</v>
      </c>
      <c r="BI15" s="748">
        <f t="shared" ca="1" si="19"/>
        <v>0</v>
      </c>
      <c r="BJ15" s="748">
        <f t="shared" ca="1" si="20"/>
        <v>0</v>
      </c>
      <c r="BK15" s="748">
        <f t="shared" ca="1" si="21"/>
        <v>0</v>
      </c>
      <c r="BL15" s="748">
        <f t="shared" ca="1" si="27"/>
        <v>0</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0</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(4)</v>
      </c>
      <c r="BU15" s="758">
        <f t="shared" ca="1" si="36"/>
        <v>0</v>
      </c>
      <c r="BV15" s="758">
        <f t="shared" ca="1" si="37"/>
        <v>0</v>
      </c>
      <c r="BW15" s="758">
        <f t="shared" ca="1" si="38"/>
        <v>0</v>
      </c>
      <c r="BX15" s="758">
        <f t="shared" ca="1" si="39"/>
        <v>0</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(4)</v>
      </c>
      <c r="CA15" s="758">
        <f t="shared" ca="1" si="40"/>
        <v>0</v>
      </c>
      <c r="CB15" s="758">
        <f t="shared" ca="1" si="41"/>
        <v>0</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(4)</v>
      </c>
      <c r="CF15" s="758">
        <f t="shared" ca="1" si="43"/>
        <v>0</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(4)</v>
      </c>
      <c r="CI15" s="758">
        <f t="shared" ca="1" si="44"/>
        <v>0</v>
      </c>
      <c r="CJ15" s="758">
        <f t="shared" ca="1" si="45"/>
        <v>0</v>
      </c>
      <c r="CK15" s="758">
        <f t="shared" ca="1" si="46"/>
        <v>0</v>
      </c>
      <c r="CL15" s="758">
        <f t="shared" ca="1" si="47"/>
        <v>0</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(4)</v>
      </c>
      <c r="CO15" s="758">
        <f t="shared" ca="1" si="48"/>
        <v>0</v>
      </c>
      <c r="CP15" s="758">
        <f t="shared" ca="1" si="49"/>
        <v>0</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(4)</v>
      </c>
      <c r="CT15" s="758">
        <f t="shared" ca="1" si="51"/>
        <v>0</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(4)</v>
      </c>
      <c r="CW15" s="757">
        <f t="shared" ca="1" si="30"/>
        <v>0</v>
      </c>
      <c r="CX15" s="757">
        <f ca="1">CU15+COUNTIFS($CV$6:$CV$53,CV15,$CW$6:CW$53,"&gt;"&amp;CW15,$BC$6:$BC$53,INDEX(T_Equipos[Grupo],MATCH(BD15,T_Equipos[NombreEquipo],0)))</f>
        <v>1</v>
      </c>
      <c r="CY15" s="757" t="str">
        <f ca="1">IF(COUNTIFS($CX$6:$CX$53,CX15,$BC$6:$BC$53,INDEX(T_Equipos[Grupo],MATCH(BD15,T_Equipos[NombreEquipo],0)))=1,"-","P."&amp;CX15&amp;" ("&amp;COUNTIFS($CX$6:$CX$53,CX15,$BC$6:$BC$53,INDEX(T_Equipos[Grupo],MATCH(BD15,T_Equipos[NombreEquipo],0)))&amp;")")</f>
        <v>P.1 (4)</v>
      </c>
      <c r="CZ15" s="757">
        <f t="shared" ca="1" si="31"/>
        <v>0</v>
      </c>
      <c r="DA15" s="758">
        <f ca="1">CX15+COUNTIFS($CY$6:$CY$53,CY15,$CZ$6:CZ$53,"&gt;"&amp;CZ15,$BC$6:$BC$53,INDEX(T_Equipos[Grupo],MATCH(BD15,T_Equipos[NombreEquipo],0)))</f>
        <v>1</v>
      </c>
      <c r="DB15" s="757" t="str">
        <f ca="1">IF(COUNTIFS($DA$6:$DA$53,DA15,$BC$6:$BC$53,INDEX(T_Equipos[Grupo],MATCH(BD15,T_Equipos[NombreEquipo],0)))=1,"-","P."&amp;DA15&amp;" ("&amp;COUNTIFS($DA$6:$DA$53,DA15,$BC$6:$BC$53,INDEX(T_Equipos[Grupo],MATCH(BD15,T_Equipos[NombreEquipo],0)))&amp;")")</f>
        <v>P.1 (4)</v>
      </c>
      <c r="DC15" s="756">
        <f ca="1">IF(DB15="-","-",COUNTIFS(T_Equipos[Rank],"&lt;"&amp;INDEX(T_Equipos[Rank],MATCH(BD15,T_Equipos[NombreEquipo],0)),$BC$6:$BC$53,INDEX(T_Equipos[Grupo],MATCH(BD15,T_Equipos[NombreEquipo],0)))+1)</f>
        <v>2</v>
      </c>
      <c r="DD15" s="756">
        <f ca="1">DA15+COUNTIFS($DB$6:$DB$53,DB15,$DC$6:DC$53,"&lt;"&amp;DC15,$BC$6:$BC$53,INDEX(T_Equipos[Grupo],MATCH(BD15,T_Equipos[NombreEquipo],0)))</f>
        <v>2</v>
      </c>
      <c r="DE15" s="756"/>
      <c r="DF15" s="756">
        <f t="shared" ca="1" si="52"/>
        <v>2</v>
      </c>
      <c r="DG15" s="756">
        <f ca="1">IF(DB15="-","-",COUNTIFS(DF$6:DF$53,"&lt;"&amp;DF15,$BC$6:$BC$53,INDEX(T_Equipos[Grupo],MATCH(BD15,T_Equipos[NombreEquipo],0))))</f>
        <v>1</v>
      </c>
      <c r="DH15" s="756">
        <f ca="1">DA15+COUNTIFS(DB$6:DB$53,DB15,DG$6:DG$53,"&lt;"&amp;DG15,$BC$6:$BC$53,INDEX(T_Equipos[Grupo],MATCH(BD15,T_Equipos[NombreEquipo],0)))</f>
        <v>2</v>
      </c>
      <c r="DI15" s="744"/>
      <c r="DJ15" s="744">
        <f t="shared" ca="1" si="53"/>
        <v>1</v>
      </c>
      <c r="DK15" s="744">
        <f t="shared" ca="1" si="24"/>
        <v>0</v>
      </c>
      <c r="DL15" s="744">
        <f t="shared" ca="1" si="33"/>
        <v>1</v>
      </c>
      <c r="DM15" s="738" t="str">
        <f t="shared" ca="1" si="34"/>
        <v>1.1</v>
      </c>
      <c r="DN15" s="744" cm="1">
        <f t="array" aca="1" ref="DN15" ca="1">OFFSET(Horarios!$P$3,DJ15-1,0,DL15,1)</f>
        <v>1</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28"/>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7">
        <f t="array" aca="1" ref="AK16" ca="1">Ver_flag_visit</f>
        <v>#VALUE!</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0</v>
      </c>
      <c r="BG16" s="748">
        <f t="shared" ca="1" si="17"/>
        <v>0</v>
      </c>
      <c r="BH16" s="748">
        <f t="shared" ca="1" si="18"/>
        <v>0</v>
      </c>
      <c r="BI16" s="748">
        <f t="shared" ca="1" si="19"/>
        <v>0</v>
      </c>
      <c r="BJ16" s="748">
        <f t="shared" ca="1" si="20"/>
        <v>0</v>
      </c>
      <c r="BK16" s="748">
        <f t="shared" ca="1" si="21"/>
        <v>0</v>
      </c>
      <c r="BL16" s="748">
        <f t="shared" ca="1" si="27"/>
        <v>0</v>
      </c>
      <c r="BM16" s="748" t="str">
        <f t="shared" ca="1" si="22"/>
        <v>3C</v>
      </c>
      <c r="BN16" s="748" t="str">
        <f t="shared" ca="1" si="23"/>
        <v>3C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1</v>
      </c>
      <c r="BT16" s="757" t="str">
        <f ca="1">IF(COUNTIFS($BS$6:$BS$53,BS16,$BC$6:$BC$53,INDEX(T_Equipos[Grupo],MATCH(BD16,T_Equipos[NombreEquipo],0)))=1,"-","P."&amp;BS16&amp;" ("&amp;COUNTIFS($BS$6:$BS$53,BS16,$BC$6:$BC$53,INDEX(T_Equipos[Grupo],MATCH(BD16,T_Equipos[NombreEquipo],0)))&amp;")")</f>
        <v>P.1 (4)</v>
      </c>
      <c r="BU16" s="758">
        <f t="shared" ca="1" si="36"/>
        <v>0</v>
      </c>
      <c r="BV16" s="758">
        <f t="shared" ca="1" si="37"/>
        <v>0</v>
      </c>
      <c r="BW16" s="758">
        <f t="shared" ca="1" si="38"/>
        <v>0</v>
      </c>
      <c r="BX16" s="758">
        <f t="shared" ca="1" si="39"/>
        <v>0</v>
      </c>
      <c r="BY16" s="758">
        <f ca="1">BS16+COUNTIFS($BT$6:$BT$53,BT16,$BX$6:BX$53,"&gt;"&amp;BX16,$BC$6:$BC$53,INDEX(T_Equipos[Grupo],MATCH(BD16,T_Equipos[NombreEquipo],0)))</f>
        <v>1</v>
      </c>
      <c r="BZ16" s="757" t="str">
        <f ca="1">IF(COUNTIFS($BY$6:$BY$53,BY16,$BC$6:$BC$53,INDEX(T_Equipos[Grupo],MATCH(BD16,T_Equipos[NombreEquipo],0)))=1,"-","P."&amp;BY16&amp;" ("&amp;COUNTIFS($BY$6:$BY$53,BY16,$BC$6:$BC$53,INDEX(T_Equipos[Grupo],MATCH(BD16,T_Equipos[NombreEquipo],0)))&amp;")")</f>
        <v>P.1 (4)</v>
      </c>
      <c r="CA16" s="758">
        <f t="shared" ca="1" si="40"/>
        <v>0</v>
      </c>
      <c r="CB16" s="758">
        <f t="shared" ca="1" si="41"/>
        <v>0</v>
      </c>
      <c r="CC16" s="758">
        <f t="shared" ca="1" si="42"/>
        <v>0</v>
      </c>
      <c r="CD16" s="758">
        <f ca="1">BY16+COUNTIFS($BZ$6:$BZ$53,BZ16,$CC$6:CC$53,"&gt;"&amp;CC16,$BC$6:$BC$53,INDEX(T_Equipos[Grupo],MATCH(BD16,T_Equipos[NombreEquipo],0)))</f>
        <v>1</v>
      </c>
      <c r="CE16" s="757" t="str">
        <f ca="1">IF(COUNTIFS($CD$6:$CD$53,CD16,$BC$6:$BC$53,INDEX(T_Equipos[Grupo],MATCH(BD16,T_Equipos[NombreEquipo],0)))=1,"-","P."&amp;CD16&amp;" ("&amp;COUNTIFS($CD$6:$CD$53,CD16,$BC$6:$BC$53,INDEX(T_Equipos[Grupo],MATCH(BD16,T_Equipos[NombreEquipo],0)))&amp;")")</f>
        <v>P.1 (4)</v>
      </c>
      <c r="CF16" s="758">
        <f t="shared" ca="1" si="43"/>
        <v>0</v>
      </c>
      <c r="CG16" s="758">
        <f ca="1">CD16+COUNTIFS($CE$6:$CE$53,CE16,$CF$6:CF$53,"&gt;"&amp;CF16,$BC$6:$BC$53,INDEX(T_Equipos[Grupo],MATCH(BD16,T_Equipos[NombreEquipo],0)))</f>
        <v>1</v>
      </c>
      <c r="CH16" s="757" t="str">
        <f ca="1">IF(COUNTIFS($CG$6:$CG$53,CG16,$BC$6:$BC$53,INDEX(T_Equipos[Grupo],MATCH(BD16,T_Equipos[NombreEquipo],0)))=1,"-","P."&amp;CG16&amp;" ("&amp;COUNTIFS($CG$6:$CG$53,CG16,$BC$6:$BC$53,INDEX(T_Equipos[Grupo],MATCH(BD16,T_Equipos[NombreEquipo],0)))&amp;")")</f>
        <v>P.1 (4)</v>
      </c>
      <c r="CI16" s="758">
        <f t="shared" ca="1" si="44"/>
        <v>0</v>
      </c>
      <c r="CJ16" s="758">
        <f t="shared" ca="1" si="45"/>
        <v>0</v>
      </c>
      <c r="CK16" s="758">
        <f t="shared" ca="1" si="46"/>
        <v>0</v>
      </c>
      <c r="CL16" s="758">
        <f t="shared" ca="1" si="47"/>
        <v>0</v>
      </c>
      <c r="CM16" s="758">
        <f ca="1">CG16+COUNTIFS($CH$6:$CH$53,CH16,$CL$6:CL$53,"&gt;"&amp;CL16,$BC$6:$BC$53,INDEX(T_Equipos[Grupo],MATCH(BD16,T_Equipos[NombreEquipo],0)))</f>
        <v>1</v>
      </c>
      <c r="CN16" s="757" t="str">
        <f ca="1">IF(COUNTIFS($CM$6:$CM$53,CM16,$BC$6:$BC$53,INDEX(T_Equipos[Grupo],MATCH(BD16,T_Equipos[NombreEquipo],0)))=1,"-","P."&amp;CM16&amp;" ("&amp;COUNTIFS($CM$6:$CM$53,CM16,$BC$6:$BC$53,INDEX(T_Equipos[Grupo],MATCH(BD16,T_Equipos[NombreEquipo],0)))&amp;")")</f>
        <v>P.1 (4)</v>
      </c>
      <c r="CO16" s="758">
        <f t="shared" ca="1" si="48"/>
        <v>0</v>
      </c>
      <c r="CP16" s="758">
        <f t="shared" ca="1" si="49"/>
        <v>0</v>
      </c>
      <c r="CQ16" s="758">
        <f t="shared" ca="1" si="50"/>
        <v>0</v>
      </c>
      <c r="CR16" s="758">
        <f ca="1">CM16+COUNTIFS($CN$6:$CN$53,CN16,$CQ$6:CQ$53,"&gt;"&amp;CQ16,$BC$6:$BC$53,INDEX(T_Equipos[Grupo],MATCH(BD16,T_Equipos[NombreEquipo],0)))</f>
        <v>1</v>
      </c>
      <c r="CS16" s="757" t="str">
        <f ca="1">IF(COUNTIFS($CR$6:$CR$53,CR16,$BC$6:$BC$53,INDEX(T_Equipos[Grupo],MATCH(BD16,T_Equipos[NombreEquipo],0)))=1,"-","P."&amp;CR16&amp;" ("&amp;COUNTIFS($CR$6:$CR$53,CR16,$BC$6:$BC$53,INDEX(T_Equipos[Grupo],MATCH(BD16,T_Equipos[NombreEquipo],0)))&amp;")")</f>
        <v>P.1 (4)</v>
      </c>
      <c r="CT16" s="758">
        <f t="shared" ca="1" si="51"/>
        <v>0</v>
      </c>
      <c r="CU16" s="758">
        <f ca="1">CR16+COUNTIFS($CS$6:$CS$53,CS16,$CT$6:CT$53,"&gt;"&amp;CT16,$BC$6:$BC$53,INDEX(T_Equipos[Grupo],MATCH(BD16,T_Equipos[NombreEquipo],0)))</f>
        <v>1</v>
      </c>
      <c r="CV16" s="757" t="str">
        <f ca="1">IF(COUNTIFS($CU$6:$CU$53,CU16,$BC$6:$BC$53,INDEX(T_Equipos[Grupo],MATCH(BD16,T_Equipos[NombreEquipo],0)))=1,"-","P."&amp;CU16&amp;" ("&amp;COUNTIFS($CU$6:$CU$53,CU16,$BC$6:$BC$53,INDEX(T_Equipos[Grupo],MATCH(BD16,T_Equipos[NombreEquipo],0)))&amp;")")</f>
        <v>P.1 (4)</v>
      </c>
      <c r="CW16" s="757">
        <f t="shared" ca="1" si="30"/>
        <v>0</v>
      </c>
      <c r="CX16" s="757">
        <f ca="1">CU16+COUNTIFS($CV$6:$CV$53,CV16,$CW$6:CW$53,"&gt;"&amp;CW16,$BC$6:$BC$53,INDEX(T_Equipos[Grupo],MATCH(BD16,T_Equipos[NombreEquipo],0)))</f>
        <v>1</v>
      </c>
      <c r="CY16" s="757" t="str">
        <f ca="1">IF(COUNTIFS($CX$6:$CX$53,CX16,$BC$6:$BC$53,INDEX(T_Equipos[Grupo],MATCH(BD16,T_Equipos[NombreEquipo],0)))=1,"-","P."&amp;CX16&amp;" ("&amp;COUNTIFS($CX$6:$CX$53,CX16,$BC$6:$BC$53,INDEX(T_Equipos[Grupo],MATCH(BD16,T_Equipos[NombreEquipo],0)))&amp;")")</f>
        <v>P.1 (4)</v>
      </c>
      <c r="CZ16" s="757">
        <f t="shared" ca="1" si="31"/>
        <v>0</v>
      </c>
      <c r="DA16" s="758">
        <f ca="1">CX16+COUNTIFS($CY$6:$CY$53,CY16,$CZ$6:CZ$53,"&gt;"&amp;CZ16,$BC$6:$BC$53,INDEX(T_Equipos[Grupo],MATCH(BD16,T_Equipos[NombreEquipo],0)))</f>
        <v>1</v>
      </c>
      <c r="DB16" s="757" t="str">
        <f ca="1">IF(COUNTIFS($DA$6:$DA$53,DA16,$BC$6:$BC$53,INDEX(T_Equipos[Grupo],MATCH(BD16,T_Equipos[NombreEquipo],0)))=1,"-","P."&amp;DA16&amp;" ("&amp;COUNTIFS($DA$6:$DA$53,DA16,$BC$6:$BC$53,INDEX(T_Equipos[Grupo],MATCH(BD16,T_Equipos[NombreEquipo],0)))&amp;")")</f>
        <v>P.1 (4)</v>
      </c>
      <c r="DC16" s="756">
        <f ca="1">IF(DB16="-","-",COUNTIFS(T_Equipos[Rank],"&lt;"&amp;INDEX(T_Equipos[Rank],MATCH(BD16,T_Equipos[NombreEquipo],0)),$BC$6:$BC$53,INDEX(T_Equipos[Grupo],MATCH(BD16,T_Equipos[NombreEquipo],0)))+1)</f>
        <v>3</v>
      </c>
      <c r="DD16" s="756">
        <f ca="1">DA16+COUNTIFS($DB$6:$DB$53,DB16,$DC$6:DC$53,"&lt;"&amp;DC16,$BC$6:$BC$53,INDEX(T_Equipos[Grupo],MATCH(BD16,T_Equipos[NombreEquipo],0)))</f>
        <v>3</v>
      </c>
      <c r="DE16" s="756"/>
      <c r="DF16" s="756">
        <f t="shared" ca="1" si="52"/>
        <v>3</v>
      </c>
      <c r="DG16" s="756">
        <f ca="1">IF(DB16="-","-",COUNTIFS(DF$6:DF$53,"&lt;"&amp;DF16,$BC$6:$BC$53,INDEX(T_Equipos[Grupo],MATCH(BD16,T_Equipos[NombreEquipo],0))))</f>
        <v>2</v>
      </c>
      <c r="DH16" s="756">
        <f ca="1">DA16+COUNTIFS(DB$6:DB$53,DB16,DG$6:DG$53,"&lt;"&amp;DG16,$BC$6:$BC$53,INDEX(T_Equipos[Grupo],MATCH(BD16,T_Equipos[NombreEquipo],0)))</f>
        <v>3</v>
      </c>
      <c r="DI16" s="744"/>
      <c r="DJ16" s="744">
        <f t="shared" ca="1" si="53"/>
        <v>1</v>
      </c>
      <c r="DK16" s="744">
        <f t="shared" ca="1" si="24"/>
        <v>0</v>
      </c>
      <c r="DL16" s="744">
        <f t="shared" ca="1" si="33"/>
        <v>1</v>
      </c>
      <c r="DM16" s="738" t="str">
        <f t="shared" ca="1" si="34"/>
        <v>1.1</v>
      </c>
      <c r="DN16" s="744" cm="1">
        <f t="array" aca="1" ref="DN16" ca="1">OFFSET(Horarios!$P$3,DJ16-1,0,DL16,1)</f>
        <v>1</v>
      </c>
      <c r="DO16" s="744"/>
      <c r="DP16" s="744" t="s">
        <v>91</v>
      </c>
      <c r="DQ16" s="744" t="str">
        <f t="shared" ca="1" si="35"/>
        <v>Haití</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8">
        <f t="array" aca="1" ref="AK17" ca="1">Ver_flag_visit</f>
        <v>#VALUE!</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4"/>
      <c r="BC17" s="756" t="str">
        <f ca="1">+INDEX(T_Equipos[Grupo],MATCH(WORLDCUP!BD17,T_Equipos[NombreEquipo],0))</f>
        <v>C</v>
      </c>
      <c r="BD17" s="744" t="str">
        <f ca="1">+Equipos!B13</f>
        <v>Escocia</v>
      </c>
      <c r="BE17" s="748">
        <f t="shared" ca="1" si="25"/>
        <v>0</v>
      </c>
      <c r="BF17" s="748">
        <f t="shared" ca="1" si="26"/>
        <v>0</v>
      </c>
      <c r="BG17" s="748">
        <f t="shared" ca="1" si="17"/>
        <v>0</v>
      </c>
      <c r="BH17" s="748">
        <f t="shared" ca="1" si="18"/>
        <v>0</v>
      </c>
      <c r="BI17" s="748">
        <f t="shared" ca="1" si="19"/>
        <v>0</v>
      </c>
      <c r="BJ17" s="748">
        <f t="shared" ca="1" si="20"/>
        <v>0</v>
      </c>
      <c r="BK17" s="748">
        <f t="shared" ca="1" si="21"/>
        <v>0</v>
      </c>
      <c r="BL17" s="748">
        <f t="shared" ca="1" si="27"/>
        <v>0</v>
      </c>
      <c r="BM17" s="748" t="str">
        <f t="shared" ca="1" si="22"/>
        <v>4C</v>
      </c>
      <c r="BN17" s="748" t="str">
        <f t="shared" ca="1" si="23"/>
        <v>4C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0</v>
      </c>
      <c r="BS17" s="757">
        <f ca="1">BP17+COUNTIFS($BQ$6:$BQ$53,BQ17,$BR$6:BR$53,"&gt;"&amp;BR17,$BC$6:$BC$53,INDEX(T_Equipos[Grupo],MATCH(BD17,T_Equipos[NombreEquipo],0)))</f>
        <v>1</v>
      </c>
      <c r="BT17" s="757" t="str">
        <f ca="1">IF(COUNTIFS($BS$6:$BS$53,BS17,$BC$6:$BC$53,INDEX(T_Equipos[Grupo],MATCH(BD17,T_Equipos[NombreEquipo],0)))=1,"-","P."&amp;BS17&amp;" ("&amp;COUNTIFS($BS$6:$BS$53,BS17,$BC$6:$BC$53,INDEX(T_Equipos[Grupo],MATCH(BD17,T_Equipos[NombreEquipo],0)))&amp;")")</f>
        <v>P.1 (4)</v>
      </c>
      <c r="BU17" s="758">
        <f t="shared" ca="1" si="36"/>
        <v>0</v>
      </c>
      <c r="BV17" s="758">
        <f t="shared" ca="1" si="37"/>
        <v>0</v>
      </c>
      <c r="BW17" s="758">
        <f t="shared" ca="1" si="38"/>
        <v>0</v>
      </c>
      <c r="BX17" s="758">
        <f t="shared" ca="1" si="39"/>
        <v>0</v>
      </c>
      <c r="BY17" s="758">
        <f ca="1">BS17+COUNTIFS($BT$6:$BT$53,BT17,$BX$6:BX$53,"&gt;"&amp;BX17,$BC$6:$BC$53,INDEX(T_Equipos[Grupo],MATCH(BD17,T_Equipos[NombreEquipo],0)))</f>
        <v>1</v>
      </c>
      <c r="BZ17" s="757" t="str">
        <f ca="1">IF(COUNTIFS($BY$6:$BY$53,BY17,$BC$6:$BC$53,INDEX(T_Equipos[Grupo],MATCH(BD17,T_Equipos[NombreEquipo],0)))=1,"-","P."&amp;BY17&amp;" ("&amp;COUNTIFS($BY$6:$BY$53,BY17,$BC$6:$BC$53,INDEX(T_Equipos[Grupo],MATCH(BD17,T_Equipos[NombreEquipo],0)))&amp;")")</f>
        <v>P.1 (4)</v>
      </c>
      <c r="CA17" s="758">
        <f t="shared" ca="1" si="40"/>
        <v>0</v>
      </c>
      <c r="CB17" s="758">
        <f t="shared" ca="1" si="41"/>
        <v>0</v>
      </c>
      <c r="CC17" s="758">
        <f t="shared" ca="1" si="42"/>
        <v>0</v>
      </c>
      <c r="CD17" s="758">
        <f ca="1">BY17+COUNTIFS($BZ$6:$BZ$53,BZ17,$CC$6:CC$53,"&gt;"&amp;CC17,$BC$6:$BC$53,INDEX(T_Equipos[Grupo],MATCH(BD17,T_Equipos[NombreEquipo],0)))</f>
        <v>1</v>
      </c>
      <c r="CE17" s="757" t="str">
        <f ca="1">IF(COUNTIFS($CD$6:$CD$53,CD17,$BC$6:$BC$53,INDEX(T_Equipos[Grupo],MATCH(BD17,T_Equipos[NombreEquipo],0)))=1,"-","P."&amp;CD17&amp;" ("&amp;COUNTIFS($CD$6:$CD$53,CD17,$BC$6:$BC$53,INDEX(T_Equipos[Grupo],MATCH(BD17,T_Equipos[NombreEquipo],0)))&amp;")")</f>
        <v>P.1 (4)</v>
      </c>
      <c r="CF17" s="758">
        <f t="shared" ca="1" si="43"/>
        <v>0</v>
      </c>
      <c r="CG17" s="758">
        <f ca="1">CD17+COUNTIFS($CE$6:$CE$53,CE17,$CF$6:CF$53,"&gt;"&amp;CF17,$BC$6:$BC$53,INDEX(T_Equipos[Grupo],MATCH(BD17,T_Equipos[NombreEquipo],0)))</f>
        <v>1</v>
      </c>
      <c r="CH17" s="757" t="str">
        <f ca="1">IF(COUNTIFS($CG$6:$CG$53,CG17,$BC$6:$BC$53,INDEX(T_Equipos[Grupo],MATCH(BD17,T_Equipos[NombreEquipo],0)))=1,"-","P."&amp;CG17&amp;" ("&amp;COUNTIFS($CG$6:$CG$53,CG17,$BC$6:$BC$53,INDEX(T_Equipos[Grupo],MATCH(BD17,T_Equipos[NombreEquipo],0)))&amp;")")</f>
        <v>P.1 (4)</v>
      </c>
      <c r="CI17" s="758">
        <f t="shared" ca="1" si="44"/>
        <v>0</v>
      </c>
      <c r="CJ17" s="758">
        <f t="shared" ca="1" si="45"/>
        <v>0</v>
      </c>
      <c r="CK17" s="758">
        <f t="shared" ca="1" si="46"/>
        <v>0</v>
      </c>
      <c r="CL17" s="758">
        <f t="shared" ca="1" si="47"/>
        <v>0</v>
      </c>
      <c r="CM17" s="758">
        <f ca="1">CG17+COUNTIFS($CH$6:$CH$53,CH17,$CL$6:CL$53,"&gt;"&amp;CL17,$BC$6:$BC$53,INDEX(T_Equipos[Grupo],MATCH(BD17,T_Equipos[NombreEquipo],0)))</f>
        <v>1</v>
      </c>
      <c r="CN17" s="757" t="str">
        <f ca="1">IF(COUNTIFS($CM$6:$CM$53,CM17,$BC$6:$BC$53,INDEX(T_Equipos[Grupo],MATCH(BD17,T_Equipos[NombreEquipo],0)))=1,"-","P."&amp;CM17&amp;" ("&amp;COUNTIFS($CM$6:$CM$53,CM17,$BC$6:$BC$53,INDEX(T_Equipos[Grupo],MATCH(BD17,T_Equipos[NombreEquipo],0)))&amp;")")</f>
        <v>P.1 (4)</v>
      </c>
      <c r="CO17" s="758">
        <f t="shared" ca="1" si="48"/>
        <v>0</v>
      </c>
      <c r="CP17" s="758">
        <f t="shared" ca="1" si="49"/>
        <v>0</v>
      </c>
      <c r="CQ17" s="758">
        <f t="shared" ca="1" si="50"/>
        <v>0</v>
      </c>
      <c r="CR17" s="758">
        <f ca="1">CM17+COUNTIFS($CN$6:$CN$53,CN17,$CQ$6:CQ$53,"&gt;"&amp;CQ17,$BC$6:$BC$53,INDEX(T_Equipos[Grupo],MATCH(BD17,T_Equipos[NombreEquipo],0)))</f>
        <v>1</v>
      </c>
      <c r="CS17" s="757" t="str">
        <f ca="1">IF(COUNTIFS($CR$6:$CR$53,CR17,$BC$6:$BC$53,INDEX(T_Equipos[Grupo],MATCH(BD17,T_Equipos[NombreEquipo],0)))=1,"-","P."&amp;CR17&amp;" ("&amp;COUNTIFS($CR$6:$CR$53,CR17,$BC$6:$BC$53,INDEX(T_Equipos[Grupo],MATCH(BD17,T_Equipos[NombreEquipo],0)))&amp;")")</f>
        <v>P.1 (4)</v>
      </c>
      <c r="CT17" s="758">
        <f t="shared" ca="1" si="51"/>
        <v>0</v>
      </c>
      <c r="CU17" s="758">
        <f ca="1">CR17+COUNTIFS($CS$6:$CS$53,CS17,$CT$6:CT$53,"&gt;"&amp;CT17,$BC$6:$BC$53,INDEX(T_Equipos[Grupo],MATCH(BD17,T_Equipos[NombreEquipo],0)))</f>
        <v>1</v>
      </c>
      <c r="CV17" s="757" t="str">
        <f ca="1">IF(COUNTIFS($CU$6:$CU$53,CU17,$BC$6:$BC$53,INDEX(T_Equipos[Grupo],MATCH(BD17,T_Equipos[NombreEquipo],0)))=1,"-","P."&amp;CU17&amp;" ("&amp;COUNTIFS($CU$6:$CU$53,CU17,$BC$6:$BC$53,INDEX(T_Equipos[Grupo],MATCH(BD17,T_Equipos[NombreEquipo],0)))&amp;")")</f>
        <v>P.1 (4)</v>
      </c>
      <c r="CW17" s="757">
        <f t="shared" ca="1" si="30"/>
        <v>0</v>
      </c>
      <c r="CX17" s="757">
        <f ca="1">CU17+COUNTIFS($CV$6:$CV$53,CV17,$CW$6:CW$53,"&gt;"&amp;CW17,$BC$6:$BC$53,INDEX(T_Equipos[Grupo],MATCH(BD17,T_Equipos[NombreEquipo],0)))</f>
        <v>1</v>
      </c>
      <c r="CY17" s="757" t="str">
        <f ca="1">IF(COUNTIFS($CX$6:$CX$53,CX17,$BC$6:$BC$53,INDEX(T_Equipos[Grupo],MATCH(BD17,T_Equipos[NombreEquipo],0)))=1,"-","P."&amp;CX17&amp;" ("&amp;COUNTIFS($CX$6:$CX$53,CX17,$BC$6:$BC$53,INDEX(T_Equipos[Grupo],MATCH(BD17,T_Equipos[NombreEquipo],0)))&amp;")")</f>
        <v>P.1 (4)</v>
      </c>
      <c r="CZ17" s="757">
        <f t="shared" ca="1" si="31"/>
        <v>0</v>
      </c>
      <c r="DA17" s="758">
        <f ca="1">CX17+COUNTIFS($CY$6:$CY$53,CY17,$CZ$6:CZ$53,"&gt;"&amp;CZ17,$BC$6:$BC$53,INDEX(T_Equipos[Grupo],MATCH(BD17,T_Equipos[NombreEquipo],0)))</f>
        <v>1</v>
      </c>
      <c r="DB17" s="757" t="str">
        <f ca="1">IF(COUNTIFS($DA$6:$DA$53,DA17,$BC$6:$BC$53,INDEX(T_Equipos[Grupo],MATCH(BD17,T_Equipos[NombreEquipo],0)))=1,"-","P."&amp;DA17&amp;" ("&amp;COUNTIFS($DA$6:$DA$53,DA17,$BC$6:$BC$53,INDEX(T_Equipos[Grupo],MATCH(BD17,T_Equipos[NombreEquipo],0)))&amp;")")</f>
        <v>P.1 (4)</v>
      </c>
      <c r="DC17" s="756">
        <f ca="1">IF(DB17="-","-",COUNTIFS(T_Equipos[Rank],"&lt;"&amp;INDEX(T_Equipos[Rank],MATCH(BD17,T_Equipos[NombreEquipo],0)),$BC$6:$BC$53,INDEX(T_Equipos[Grupo],MATCH(BD17,T_Equipos[NombreEquipo],0)))+1)</f>
        <v>4</v>
      </c>
      <c r="DD17" s="756">
        <f ca="1">DA17+COUNTIFS($DB$6:$DB$53,DB17,$DC$6:DC$53,"&lt;"&amp;DC17,$BC$6:$BC$53,INDEX(T_Equipos[Grupo],MATCH(BD17,T_Equipos[NombreEquipo],0)))</f>
        <v>4</v>
      </c>
      <c r="DE17" s="756"/>
      <c r="DF17" s="756">
        <f t="shared" ca="1" si="52"/>
        <v>4</v>
      </c>
      <c r="DG17" s="756">
        <f ca="1">IF(DB17="-","-",COUNTIFS(DF$6:DF$53,"&lt;"&amp;DF17,$BC$6:$BC$53,INDEX(T_Equipos[Grupo],MATCH(BD17,T_Equipos[NombreEquipo],0))))</f>
        <v>3</v>
      </c>
      <c r="DH17" s="756">
        <f ca="1">DA17+COUNTIFS(DB$6:DB$53,DB17,DG$6:DG$53,"&lt;"&amp;DG17,$BC$6:$BC$53,INDEX(T_Equipos[Grupo],MATCH(BD17,T_Equipos[NombreEquipo],0)))</f>
        <v>4</v>
      </c>
      <c r="DI17" s="744"/>
      <c r="DJ17" s="744">
        <f t="shared" ca="1" si="53"/>
        <v>1</v>
      </c>
      <c r="DK17" s="744">
        <f t="shared" ca="1" si="24"/>
        <v>0</v>
      </c>
      <c r="DL17" s="744">
        <f t="shared" ca="1" si="33"/>
        <v>1</v>
      </c>
      <c r="DM17" s="738" t="str">
        <f t="shared" ca="1" si="34"/>
        <v>1.1</v>
      </c>
      <c r="DN17" s="744" cm="1">
        <f t="array" aca="1" ref="DN17" ca="1">OFFSET(Horarios!$P$3,DJ17-1,0,DL17,1)</f>
        <v>1</v>
      </c>
      <c r="DO17" s="744"/>
      <c r="DP17" s="744" t="s">
        <v>657</v>
      </c>
      <c r="DQ17" s="744" t="str">
        <f t="shared" ca="1" si="35"/>
        <v>Escocia</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0</v>
      </c>
      <c r="BF18" s="748">
        <f t="shared" ca="1" si="26"/>
        <v>0</v>
      </c>
      <c r="BG18" s="748">
        <f t="shared" ca="1" si="17"/>
        <v>0</v>
      </c>
      <c r="BH18" s="748">
        <f t="shared" ca="1" si="18"/>
        <v>0</v>
      </c>
      <c r="BI18" s="748">
        <f t="shared" ca="1" si="19"/>
        <v>0</v>
      </c>
      <c r="BJ18" s="748">
        <f t="shared" ca="1" si="20"/>
        <v>0</v>
      </c>
      <c r="BK18" s="748">
        <f t="shared" ca="1" si="21"/>
        <v>0</v>
      </c>
      <c r="BL18" s="748">
        <f t="shared" ca="1" si="27"/>
        <v>0</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0</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P.1 (4)</v>
      </c>
      <c r="BU18" s="758">
        <f t="shared" ca="1" si="36"/>
        <v>0</v>
      </c>
      <c r="BV18" s="758">
        <f t="shared" ca="1" si="37"/>
        <v>0</v>
      </c>
      <c r="BW18" s="758">
        <f t="shared" ca="1" si="38"/>
        <v>0</v>
      </c>
      <c r="BX18" s="758">
        <f t="shared" ca="1" si="39"/>
        <v>0</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P.1 (4)</v>
      </c>
      <c r="CA18" s="758">
        <f t="shared" ca="1" si="40"/>
        <v>0</v>
      </c>
      <c r="CB18" s="758">
        <f t="shared" ca="1" si="41"/>
        <v>0</v>
      </c>
      <c r="CC18" s="758">
        <f t="shared" ca="1" si="42"/>
        <v>0</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P.1 (4)</v>
      </c>
      <c r="CF18" s="758">
        <f t="shared" ca="1" si="43"/>
        <v>0</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P.1 (4)</v>
      </c>
      <c r="CI18" s="758">
        <f t="shared" ca="1" si="44"/>
        <v>0</v>
      </c>
      <c r="CJ18" s="758">
        <f t="shared" ca="1" si="45"/>
        <v>0</v>
      </c>
      <c r="CK18" s="758">
        <f t="shared" ca="1" si="46"/>
        <v>0</v>
      </c>
      <c r="CL18" s="758">
        <f t="shared" ca="1" si="47"/>
        <v>0</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P.1 (4)</v>
      </c>
      <c r="CO18" s="758">
        <f t="shared" ca="1" si="48"/>
        <v>0</v>
      </c>
      <c r="CP18" s="758">
        <f t="shared" ca="1" si="49"/>
        <v>0</v>
      </c>
      <c r="CQ18" s="758">
        <f t="shared" ca="1" si="50"/>
        <v>0</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P.1 (4)</v>
      </c>
      <c r="CT18" s="758">
        <f t="shared" ca="1" si="51"/>
        <v>0</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P.1 (4)</v>
      </c>
      <c r="CW18" s="757">
        <f t="shared" ca="1" si="30"/>
        <v>0</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P.1 (4)</v>
      </c>
      <c r="CZ18" s="757">
        <f t="shared" ca="1" si="31"/>
        <v>0</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P.1 (4)</v>
      </c>
      <c r="DC18" s="756">
        <f ca="1">IF(DB18="-","-",COUNTIFS(T_Equipos[Rank],"&lt;"&amp;INDEX(T_Equipos[Rank],MATCH(BD18,T_Equipos[NombreEquipo],0)),$BC$6:$BC$53,INDEX(T_Equipos[Grupo],MATCH(BD18,T_Equipos[NombreEquipo],0)))+1)</f>
        <v>1</v>
      </c>
      <c r="DD18" s="756">
        <f ca="1">DA18+COUNTIFS($DB$6:$DB$53,DB18,$DC$6:DC$53,"&lt;"&amp;DC18,$BC$6:$BC$53,INDEX(T_Equipos[Grupo],MATCH(BD18,T_Equipos[NombreEquipo],0)))</f>
        <v>1</v>
      </c>
      <c r="DE18" s="756"/>
      <c r="DF18" s="756">
        <f t="shared" ca="1" si="52"/>
        <v>1</v>
      </c>
      <c r="DG18" s="756">
        <f ca="1">IF(DB18="-","-",COUNTIFS(DF$6:DF$53,"&lt;"&amp;DF18,$BC$6:$BC$53,INDEX(T_Equipos[Grupo],MATCH(BD18,T_Equipos[NombreEquipo],0))))</f>
        <v>0</v>
      </c>
      <c r="DH18" s="756">
        <f ca="1">DA18+COUNTIFS(DB$6:DB$53,DB18,DG$6:DG$53,"&lt;"&amp;DG18,$BC$6:$BC$53,INDEX(T_Equipos[Grupo],MATCH(BD18,T_Equipos[NombreEquipo],0)))</f>
        <v>1</v>
      </c>
      <c r="DI18" s="744"/>
      <c r="DJ18" s="744">
        <f t="shared" ca="1" si="53"/>
        <v>1</v>
      </c>
      <c r="DK18" s="744">
        <f t="shared" ca="1" si="24"/>
        <v>0</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0</v>
      </c>
      <c r="BF19" s="748">
        <f t="shared" ca="1" si="26"/>
        <v>0</v>
      </c>
      <c r="BG19" s="748">
        <f t="shared" ca="1" si="17"/>
        <v>0</v>
      </c>
      <c r="BH19" s="748">
        <f t="shared" ca="1" si="18"/>
        <v>0</v>
      </c>
      <c r="BI19" s="748">
        <f t="shared" ca="1" si="19"/>
        <v>0</v>
      </c>
      <c r="BJ19" s="748">
        <f t="shared" ca="1" si="20"/>
        <v>0</v>
      </c>
      <c r="BK19" s="748">
        <f t="shared" ca="1" si="21"/>
        <v>0</v>
      </c>
      <c r="BL19" s="748">
        <f t="shared" ca="1" si="27"/>
        <v>0</v>
      </c>
      <c r="BM19" s="748" t="str">
        <f t="shared" ca="1" si="22"/>
        <v>2D</v>
      </c>
      <c r="BN19" s="748" t="str">
        <f t="shared" ca="1" si="23"/>
        <v>2D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0</v>
      </c>
      <c r="BS19" s="757">
        <f ca="1">BP19+COUNTIFS($BQ$6:$BQ$53,BQ19,$BR$6:BR$53,"&gt;"&amp;BR19,$BC$6:$BC$53,INDEX(T_Equipos[Grupo],MATCH(BD19,T_Equipos[NombreEquipo],0)))</f>
        <v>1</v>
      </c>
      <c r="BT19" s="757" t="str">
        <f ca="1">IF(COUNTIFS($BS$6:$BS$53,BS19,$BC$6:$BC$53,INDEX(T_Equipos[Grupo],MATCH(BD19,T_Equipos[NombreEquipo],0)))=1,"-","P."&amp;BS19&amp;" ("&amp;COUNTIFS($BS$6:$BS$53,BS19,$BC$6:$BC$53,INDEX(T_Equipos[Grupo],MATCH(BD19,T_Equipos[NombreEquipo],0)))&amp;")")</f>
        <v>P.1 (4)</v>
      </c>
      <c r="BU19" s="758">
        <f t="shared" ca="1" si="36"/>
        <v>0</v>
      </c>
      <c r="BV19" s="758">
        <f t="shared" ca="1" si="37"/>
        <v>0</v>
      </c>
      <c r="BW19" s="758">
        <f t="shared" ca="1" si="38"/>
        <v>0</v>
      </c>
      <c r="BX19" s="758">
        <f t="shared" ca="1" si="39"/>
        <v>0</v>
      </c>
      <c r="BY19" s="758">
        <f ca="1">BS19+COUNTIFS($BT$6:$BT$53,BT19,$BX$6:BX$53,"&gt;"&amp;BX19,$BC$6:$BC$53,INDEX(T_Equipos[Grupo],MATCH(BD19,T_Equipos[NombreEquipo],0)))</f>
        <v>1</v>
      </c>
      <c r="BZ19" s="757" t="str">
        <f ca="1">IF(COUNTIFS($BY$6:$BY$53,BY19,$BC$6:$BC$53,INDEX(T_Equipos[Grupo],MATCH(BD19,T_Equipos[NombreEquipo],0)))=1,"-","P."&amp;BY19&amp;" ("&amp;COUNTIFS($BY$6:$BY$53,BY19,$BC$6:$BC$53,INDEX(T_Equipos[Grupo],MATCH(BD19,T_Equipos[NombreEquipo],0)))&amp;")")</f>
        <v>P.1 (4)</v>
      </c>
      <c r="CA19" s="758">
        <f t="shared" ca="1" si="40"/>
        <v>0</v>
      </c>
      <c r="CB19" s="758">
        <f t="shared" ca="1" si="41"/>
        <v>0</v>
      </c>
      <c r="CC19" s="758">
        <f t="shared" ca="1" si="42"/>
        <v>0</v>
      </c>
      <c r="CD19" s="758">
        <f ca="1">BY19+COUNTIFS($BZ$6:$BZ$53,BZ19,$CC$6:CC$53,"&gt;"&amp;CC19,$BC$6:$BC$53,INDEX(T_Equipos[Grupo],MATCH(BD19,T_Equipos[NombreEquipo],0)))</f>
        <v>1</v>
      </c>
      <c r="CE19" s="757" t="str">
        <f ca="1">IF(COUNTIFS($CD$6:$CD$53,CD19,$BC$6:$BC$53,INDEX(T_Equipos[Grupo],MATCH(BD19,T_Equipos[NombreEquipo],0)))=1,"-","P."&amp;CD19&amp;" ("&amp;COUNTIFS($CD$6:$CD$53,CD19,$BC$6:$BC$53,INDEX(T_Equipos[Grupo],MATCH(BD19,T_Equipos[NombreEquipo],0)))&amp;")")</f>
        <v>P.1 (4)</v>
      </c>
      <c r="CF19" s="758">
        <f t="shared" ca="1" si="43"/>
        <v>0</v>
      </c>
      <c r="CG19" s="758">
        <f ca="1">CD19+COUNTIFS($CE$6:$CE$53,CE19,$CF$6:CF$53,"&gt;"&amp;CF19,$BC$6:$BC$53,INDEX(T_Equipos[Grupo],MATCH(BD19,T_Equipos[NombreEquipo],0)))</f>
        <v>1</v>
      </c>
      <c r="CH19" s="757" t="str">
        <f ca="1">IF(COUNTIFS($CG$6:$CG$53,CG19,$BC$6:$BC$53,INDEX(T_Equipos[Grupo],MATCH(BD19,T_Equipos[NombreEquipo],0)))=1,"-","P."&amp;CG19&amp;" ("&amp;COUNTIFS($CG$6:$CG$53,CG19,$BC$6:$BC$53,INDEX(T_Equipos[Grupo],MATCH(BD19,T_Equipos[NombreEquipo],0)))&amp;")")</f>
        <v>P.1 (4)</v>
      </c>
      <c r="CI19" s="758">
        <f t="shared" ca="1" si="44"/>
        <v>0</v>
      </c>
      <c r="CJ19" s="758">
        <f t="shared" ca="1" si="45"/>
        <v>0</v>
      </c>
      <c r="CK19" s="758">
        <f t="shared" ca="1" si="46"/>
        <v>0</v>
      </c>
      <c r="CL19" s="758">
        <f t="shared" ca="1" si="47"/>
        <v>0</v>
      </c>
      <c r="CM19" s="758">
        <f ca="1">CG19+COUNTIFS($CH$6:$CH$53,CH19,$CL$6:CL$53,"&gt;"&amp;CL19,$BC$6:$BC$53,INDEX(T_Equipos[Grupo],MATCH(BD19,T_Equipos[NombreEquipo],0)))</f>
        <v>1</v>
      </c>
      <c r="CN19" s="757" t="str">
        <f ca="1">IF(COUNTIFS($CM$6:$CM$53,CM19,$BC$6:$BC$53,INDEX(T_Equipos[Grupo],MATCH(BD19,T_Equipos[NombreEquipo],0)))=1,"-","P."&amp;CM19&amp;" ("&amp;COUNTIFS($CM$6:$CM$53,CM19,$BC$6:$BC$53,INDEX(T_Equipos[Grupo],MATCH(BD19,T_Equipos[NombreEquipo],0)))&amp;")")</f>
        <v>P.1 (4)</v>
      </c>
      <c r="CO19" s="758">
        <f t="shared" ca="1" si="48"/>
        <v>0</v>
      </c>
      <c r="CP19" s="758">
        <f t="shared" ca="1" si="49"/>
        <v>0</v>
      </c>
      <c r="CQ19" s="758">
        <f t="shared" ca="1" si="50"/>
        <v>0</v>
      </c>
      <c r="CR19" s="758">
        <f ca="1">CM19+COUNTIFS($CN$6:$CN$53,CN19,$CQ$6:CQ$53,"&gt;"&amp;CQ19,$BC$6:$BC$53,INDEX(T_Equipos[Grupo],MATCH(BD19,T_Equipos[NombreEquipo],0)))</f>
        <v>1</v>
      </c>
      <c r="CS19" s="757" t="str">
        <f ca="1">IF(COUNTIFS($CR$6:$CR$53,CR19,$BC$6:$BC$53,INDEX(T_Equipos[Grupo],MATCH(BD19,T_Equipos[NombreEquipo],0)))=1,"-","P."&amp;CR19&amp;" ("&amp;COUNTIFS($CR$6:$CR$53,CR19,$BC$6:$BC$53,INDEX(T_Equipos[Grupo],MATCH(BD19,T_Equipos[NombreEquipo],0)))&amp;")")</f>
        <v>P.1 (4)</v>
      </c>
      <c r="CT19" s="758">
        <f t="shared" ca="1" si="51"/>
        <v>0</v>
      </c>
      <c r="CU19" s="758">
        <f ca="1">CR19+COUNTIFS($CS$6:$CS$53,CS19,$CT$6:CT$53,"&gt;"&amp;CT19,$BC$6:$BC$53,INDEX(T_Equipos[Grupo],MATCH(BD19,T_Equipos[NombreEquipo],0)))</f>
        <v>1</v>
      </c>
      <c r="CV19" s="757" t="str">
        <f ca="1">IF(COUNTIFS($CU$6:$CU$53,CU19,$BC$6:$BC$53,INDEX(T_Equipos[Grupo],MATCH(BD19,T_Equipos[NombreEquipo],0)))=1,"-","P."&amp;CU19&amp;" ("&amp;COUNTIFS($CU$6:$CU$53,CU19,$BC$6:$BC$53,INDEX(T_Equipos[Grupo],MATCH(BD19,T_Equipos[NombreEquipo],0)))&amp;")")</f>
        <v>P.1 (4)</v>
      </c>
      <c r="CW19" s="757">
        <f t="shared" ca="1" si="30"/>
        <v>0</v>
      </c>
      <c r="CX19" s="757">
        <f ca="1">CU19+COUNTIFS($CV$6:$CV$53,CV19,$CW$6:CW$53,"&gt;"&amp;CW19,$BC$6:$BC$53,INDEX(T_Equipos[Grupo],MATCH(BD19,T_Equipos[NombreEquipo],0)))</f>
        <v>1</v>
      </c>
      <c r="CY19" s="757" t="str">
        <f ca="1">IF(COUNTIFS($CX$6:$CX$53,CX19,$BC$6:$BC$53,INDEX(T_Equipos[Grupo],MATCH(BD19,T_Equipos[NombreEquipo],0)))=1,"-","P."&amp;CX19&amp;" ("&amp;COUNTIFS($CX$6:$CX$53,CX19,$BC$6:$BC$53,INDEX(T_Equipos[Grupo],MATCH(BD19,T_Equipos[NombreEquipo],0)))&amp;")")</f>
        <v>P.1 (4)</v>
      </c>
      <c r="CZ19" s="757">
        <f t="shared" ca="1" si="31"/>
        <v>0</v>
      </c>
      <c r="DA19" s="758">
        <f ca="1">CX19+COUNTIFS($CY$6:$CY$53,CY19,$CZ$6:CZ$53,"&gt;"&amp;CZ19,$BC$6:$BC$53,INDEX(T_Equipos[Grupo],MATCH(BD19,T_Equipos[NombreEquipo],0)))</f>
        <v>1</v>
      </c>
      <c r="DB19" s="757" t="str">
        <f ca="1">IF(COUNTIFS($DA$6:$DA$53,DA19,$BC$6:$BC$53,INDEX(T_Equipos[Grupo],MATCH(BD19,T_Equipos[NombreEquipo],0)))=1,"-","P."&amp;DA19&amp;" ("&amp;COUNTIFS($DA$6:$DA$53,DA19,$BC$6:$BC$53,INDEX(T_Equipos[Grupo],MATCH(BD19,T_Equipos[NombreEquipo],0)))&amp;")")</f>
        <v>P.1 (4)</v>
      </c>
      <c r="DC19" s="756">
        <f ca="1">IF(DB19="-","-",COUNTIFS(T_Equipos[Rank],"&lt;"&amp;INDEX(T_Equipos[Rank],MATCH(BD19,T_Equipos[NombreEquipo],0)),$BC$6:$BC$53,INDEX(T_Equipos[Grupo],MATCH(BD19,T_Equipos[NombreEquipo],0)))+1)</f>
        <v>2</v>
      </c>
      <c r="DD19" s="756">
        <f ca="1">DA19+COUNTIFS($DB$6:$DB$53,DB19,$DC$6:DC$53,"&lt;"&amp;DC19,$BC$6:$BC$53,INDEX(T_Equipos[Grupo],MATCH(BD19,T_Equipos[NombreEquipo],0)))</f>
        <v>2</v>
      </c>
      <c r="DE19" s="756"/>
      <c r="DF19" s="756">
        <f t="shared" ca="1" si="52"/>
        <v>2</v>
      </c>
      <c r="DG19" s="756">
        <f ca="1">IF(DB19="-","-",COUNTIFS(DF$6:DF$53,"&lt;"&amp;DF19,$BC$6:$BC$53,INDEX(T_Equipos[Grupo],MATCH(BD19,T_Equipos[NombreEquipo],0))))</f>
        <v>1</v>
      </c>
      <c r="DH19" s="756">
        <f ca="1">DA19+COUNTIFS(DB$6:DB$53,DB19,DG$6:DG$53,"&lt;"&amp;DG19,$BC$6:$BC$53,INDEX(T_Equipos[Grupo],MATCH(BD19,T_Equipos[NombreEquipo],0)))</f>
        <v>2</v>
      </c>
      <c r="DI19" s="744"/>
      <c r="DJ19" s="744">
        <f t="shared" ca="1" si="53"/>
        <v>1</v>
      </c>
      <c r="DK19" s="744">
        <f t="shared" ca="1" si="24"/>
        <v>0</v>
      </c>
      <c r="DL19" s="744">
        <f t="shared" ca="1" si="33"/>
        <v>1</v>
      </c>
      <c r="DM19" s="738" t="str">
        <f t="shared" ca="1" si="34"/>
        <v>1.1</v>
      </c>
      <c r="DN19" s="744" cm="1">
        <f t="array" aca="1" ref="DN19" ca="1">OFFSET(Horarios!$P$3,DJ19-1,0,DL19,1)</f>
        <v>1</v>
      </c>
      <c r="DO19" s="744"/>
      <c r="DP19" s="744" t="s">
        <v>659</v>
      </c>
      <c r="DQ19" s="744" t="str">
        <f t="shared" ca="1" si="35"/>
        <v>Paraguay</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Pendiente</v>
      </c>
      <c r="E20" s="744" t="str">
        <f t="shared" ref="E20:E25" si="74">IF(D20="Pendiente","-",INDEX($BT$6:$BT$53,MATCH($AA20,$BD$6:$BD$53,0)))</f>
        <v>-</v>
      </c>
      <c r="F20" s="744" t="str">
        <f t="shared" ref="F20:F25" si="75">IF(D20="Pendiente","-",INDEX($BT$6:$BT$53,MATCH($AF20,$BD$6:$BD$53,0)))</f>
        <v>-</v>
      </c>
      <c r="G20" s="744"/>
      <c r="H20" s="744" t="str">
        <f t="shared" ref="H20:H25" si="76">IF(D20="Pendiente","-",INDEX($BZ$6:$BZ$53,MATCH($AA20,$BD$6:$BD$53,0)))</f>
        <v>-</v>
      </c>
      <c r="I20" s="744" t="str">
        <f t="shared" ref="I20:I25" si="77">IF(D20="Pendiente","-",INDEX($BZ$6:$BZ$53,MATCH($AF20,$BD$6:$BD$53,0)))</f>
        <v>-</v>
      </c>
      <c r="J20" s="744"/>
      <c r="K20" s="744" t="str">
        <f t="shared" ref="K20:K25" si="78">IF(D20="Pendiente","-",INDEX($CE$6:$CE$53,MATCH($AA20,$BD$6:$BD$53,0)))</f>
        <v>-</v>
      </c>
      <c r="L20" s="744" t="str">
        <f t="shared" ref="L20:L25" si="79">IF(D20="Pendiente","-",INDEX($CE$6:$CE$53,MATCH($AF20,$BD$6:$BD$53,0)))</f>
        <v>-</v>
      </c>
      <c r="M20" s="744"/>
      <c r="N20" s="744" t="str">
        <f t="shared" ref="N20:N25" si="80">IF(D20="Pendiente","-",INDEX($CH$6:$CH$53,MATCH($AA20,$BD$6:$BD$53,0)))</f>
        <v>-</v>
      </c>
      <c r="O20" s="744" t="str">
        <f t="shared" ref="O20:O25" si="81">IF(D20="Pendiente","-",INDEX($CH$6:$CH$53,MATCH($AF20,$BD$6:$BD$53,0)))</f>
        <v>-</v>
      </c>
      <c r="P20" s="744"/>
      <c r="Q20" s="744" t="str">
        <f t="shared" ref="Q20:Q25" si="82">IF(D20="Pendiente","-",INDEX($CN$6:$CN$53,MATCH($AA20,$BD$6:$BD$53,0)))</f>
        <v>-</v>
      </c>
      <c r="R20" s="744" t="str">
        <f t="shared" ref="R20:R25" si="83">IF(D20="Pendiente","-",INDEX($CN$6:$CN$53,MATCH($AF20,$BD$6:$BD$53,0)))</f>
        <v>-</v>
      </c>
      <c r="S20" s="744"/>
      <c r="T20" s="744" t="str">
        <f t="shared" ref="T20:T25" si="84">IF(D20="Pendiente","-",INDEX($CS$6:$CS$53,MATCH($AA20,$BD$6:$BD$53,0)))</f>
        <v>-</v>
      </c>
      <c r="U20" s="744" t="str">
        <f t="shared" ref="U20:U25" si="85">IF(D20="Pendiente","-",INDEX($CS$6:$CS$53,MATCH($AF20,$BD$6:$BD$53,0)))</f>
        <v>-</v>
      </c>
      <c r="V20" s="172"/>
      <c r="W20" s="837" t="s">
        <v>2</v>
      </c>
      <c r="X20" s="189">
        <f ca="1">Horarios!C20</f>
        <v>46187</v>
      </c>
      <c r="Y20" s="190">
        <f ca="1">Horarios!C20</f>
        <v>46187</v>
      </c>
      <c r="Z20" s="191" t="str">
        <f>$Z$4</f>
        <v>J1</v>
      </c>
      <c r="AA20" s="192" t="str">
        <f ca="1">A21</f>
        <v>Brasil</v>
      </c>
      <c r="AB20" s="478" t="e" cm="1" vm="9">
        <f t="array" aca="1" ref="AB20" ca="1">Ver_flag_local</f>
        <v>#VALUE!</v>
      </c>
      <c r="AC20" s="193"/>
      <c r="AD20" s="194"/>
      <c r="AE20" s="483" t="e" cm="1" vm="10">
        <f t="array" aca="1" ref="AE20" ca="1">Ver_flag_visit</f>
        <v>#VALUE!</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0</v>
      </c>
      <c r="BF20" s="748">
        <f t="shared" ca="1" si="26"/>
        <v>0</v>
      </c>
      <c r="BG20" s="748">
        <f t="shared" ca="1" si="17"/>
        <v>0</v>
      </c>
      <c r="BH20" s="748">
        <f t="shared" ca="1" si="18"/>
        <v>0</v>
      </c>
      <c r="BI20" s="748">
        <f t="shared" ca="1" si="19"/>
        <v>0</v>
      </c>
      <c r="BJ20" s="748">
        <f t="shared" ca="1" si="20"/>
        <v>0</v>
      </c>
      <c r="BK20" s="748">
        <f t="shared" ca="1" si="21"/>
        <v>0</v>
      </c>
      <c r="BL20" s="748">
        <f t="shared" ca="1" si="27"/>
        <v>0</v>
      </c>
      <c r="BM20" s="748" t="str">
        <f t="shared" ca="1" si="22"/>
        <v>3D</v>
      </c>
      <c r="BN20" s="748" t="str">
        <f t="shared" ca="1" si="23"/>
        <v>3D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0</v>
      </c>
      <c r="BS20" s="757">
        <f ca="1">BP20+COUNTIFS($BQ$6:$BQ$53,BQ20,$BR$6:BR$53,"&gt;"&amp;BR20,$BC$6:$BC$53,INDEX(T_Equipos[Grupo],MATCH(BD20,T_Equipos[NombreEquipo],0)))</f>
        <v>1</v>
      </c>
      <c r="BT20" s="757" t="str">
        <f ca="1">IF(COUNTIFS($BS$6:$BS$53,BS20,$BC$6:$BC$53,INDEX(T_Equipos[Grupo],MATCH(BD20,T_Equipos[NombreEquipo],0)))=1,"-","P."&amp;BS20&amp;" ("&amp;COUNTIFS($BS$6:$BS$53,BS20,$BC$6:$BC$53,INDEX(T_Equipos[Grupo],MATCH(BD20,T_Equipos[NombreEquipo],0)))&amp;")")</f>
        <v>P.1 (4)</v>
      </c>
      <c r="BU20" s="758">
        <f t="shared" ca="1" si="36"/>
        <v>0</v>
      </c>
      <c r="BV20" s="758">
        <f t="shared" ca="1" si="37"/>
        <v>0</v>
      </c>
      <c r="BW20" s="758">
        <f t="shared" ca="1" si="38"/>
        <v>0</v>
      </c>
      <c r="BX20" s="758">
        <f t="shared" ca="1" si="39"/>
        <v>0</v>
      </c>
      <c r="BY20" s="758">
        <f ca="1">BS20+COUNTIFS($BT$6:$BT$53,BT20,$BX$6:BX$53,"&gt;"&amp;BX20,$BC$6:$BC$53,INDEX(T_Equipos[Grupo],MATCH(BD20,T_Equipos[NombreEquipo],0)))</f>
        <v>1</v>
      </c>
      <c r="BZ20" s="757" t="str">
        <f ca="1">IF(COUNTIFS($BY$6:$BY$53,BY20,$BC$6:$BC$53,INDEX(T_Equipos[Grupo],MATCH(BD20,T_Equipos[NombreEquipo],0)))=1,"-","P."&amp;BY20&amp;" ("&amp;COUNTIFS($BY$6:$BY$53,BY20,$BC$6:$BC$53,INDEX(T_Equipos[Grupo],MATCH(BD20,T_Equipos[NombreEquipo],0)))&amp;")")</f>
        <v>P.1 (4)</v>
      </c>
      <c r="CA20" s="758">
        <f t="shared" ca="1" si="40"/>
        <v>0</v>
      </c>
      <c r="CB20" s="758">
        <f t="shared" ca="1" si="41"/>
        <v>0</v>
      </c>
      <c r="CC20" s="758">
        <f t="shared" ca="1" si="42"/>
        <v>0</v>
      </c>
      <c r="CD20" s="758">
        <f ca="1">BY20+COUNTIFS($BZ$6:$BZ$53,BZ20,$CC$6:CC$53,"&gt;"&amp;CC20,$BC$6:$BC$53,INDEX(T_Equipos[Grupo],MATCH(BD20,T_Equipos[NombreEquipo],0)))</f>
        <v>1</v>
      </c>
      <c r="CE20" s="757" t="str">
        <f ca="1">IF(COUNTIFS($CD$6:$CD$53,CD20,$BC$6:$BC$53,INDEX(T_Equipos[Grupo],MATCH(BD20,T_Equipos[NombreEquipo],0)))=1,"-","P."&amp;CD20&amp;" ("&amp;COUNTIFS($CD$6:$CD$53,CD20,$BC$6:$BC$53,INDEX(T_Equipos[Grupo],MATCH(BD20,T_Equipos[NombreEquipo],0)))&amp;")")</f>
        <v>P.1 (4)</v>
      </c>
      <c r="CF20" s="758">
        <f t="shared" ca="1" si="43"/>
        <v>0</v>
      </c>
      <c r="CG20" s="758">
        <f ca="1">CD20+COUNTIFS($CE$6:$CE$53,CE20,$CF$6:CF$53,"&gt;"&amp;CF20,$BC$6:$BC$53,INDEX(T_Equipos[Grupo],MATCH(BD20,T_Equipos[NombreEquipo],0)))</f>
        <v>1</v>
      </c>
      <c r="CH20" s="757" t="str">
        <f ca="1">IF(COUNTIFS($CG$6:$CG$53,CG20,$BC$6:$BC$53,INDEX(T_Equipos[Grupo],MATCH(BD20,T_Equipos[NombreEquipo],0)))=1,"-","P."&amp;CG20&amp;" ("&amp;COUNTIFS($CG$6:$CG$53,CG20,$BC$6:$BC$53,INDEX(T_Equipos[Grupo],MATCH(BD20,T_Equipos[NombreEquipo],0)))&amp;")")</f>
        <v>P.1 (4)</v>
      </c>
      <c r="CI20" s="758">
        <f t="shared" ca="1" si="44"/>
        <v>0</v>
      </c>
      <c r="CJ20" s="758">
        <f t="shared" ca="1" si="45"/>
        <v>0</v>
      </c>
      <c r="CK20" s="758">
        <f t="shared" ca="1" si="46"/>
        <v>0</v>
      </c>
      <c r="CL20" s="758">
        <f t="shared" ca="1" si="47"/>
        <v>0</v>
      </c>
      <c r="CM20" s="758">
        <f ca="1">CG20+COUNTIFS($CH$6:$CH$53,CH20,$CL$6:CL$53,"&gt;"&amp;CL20,$BC$6:$BC$53,INDEX(T_Equipos[Grupo],MATCH(BD20,T_Equipos[NombreEquipo],0)))</f>
        <v>1</v>
      </c>
      <c r="CN20" s="757" t="str">
        <f ca="1">IF(COUNTIFS($CM$6:$CM$53,CM20,$BC$6:$BC$53,INDEX(T_Equipos[Grupo],MATCH(BD20,T_Equipos[NombreEquipo],0)))=1,"-","P."&amp;CM20&amp;" ("&amp;COUNTIFS($CM$6:$CM$53,CM20,$BC$6:$BC$53,INDEX(T_Equipos[Grupo],MATCH(BD20,T_Equipos[NombreEquipo],0)))&amp;")")</f>
        <v>P.1 (4)</v>
      </c>
      <c r="CO20" s="758">
        <f t="shared" ca="1" si="48"/>
        <v>0</v>
      </c>
      <c r="CP20" s="758">
        <f t="shared" ca="1" si="49"/>
        <v>0</v>
      </c>
      <c r="CQ20" s="758">
        <f t="shared" ca="1" si="50"/>
        <v>0</v>
      </c>
      <c r="CR20" s="758">
        <f ca="1">CM20+COUNTIFS($CN$6:$CN$53,CN20,$CQ$6:CQ$53,"&gt;"&amp;CQ20,$BC$6:$BC$53,INDEX(T_Equipos[Grupo],MATCH(BD20,T_Equipos[NombreEquipo],0)))</f>
        <v>1</v>
      </c>
      <c r="CS20" s="757" t="str">
        <f ca="1">IF(COUNTIFS($CR$6:$CR$53,CR20,$BC$6:$BC$53,INDEX(T_Equipos[Grupo],MATCH(BD20,T_Equipos[NombreEquipo],0)))=1,"-","P."&amp;CR20&amp;" ("&amp;COUNTIFS($CR$6:$CR$53,CR20,$BC$6:$BC$53,INDEX(T_Equipos[Grupo],MATCH(BD20,T_Equipos[NombreEquipo],0)))&amp;")")</f>
        <v>P.1 (4)</v>
      </c>
      <c r="CT20" s="758">
        <f t="shared" ca="1" si="51"/>
        <v>0</v>
      </c>
      <c r="CU20" s="758">
        <f ca="1">CR20+COUNTIFS($CS$6:$CS$53,CS20,$CT$6:CT$53,"&gt;"&amp;CT20,$BC$6:$BC$53,INDEX(T_Equipos[Grupo],MATCH(BD20,T_Equipos[NombreEquipo],0)))</f>
        <v>1</v>
      </c>
      <c r="CV20" s="757" t="str">
        <f ca="1">IF(COUNTIFS($CU$6:$CU$53,CU20,$BC$6:$BC$53,INDEX(T_Equipos[Grupo],MATCH(BD20,T_Equipos[NombreEquipo],0)))=1,"-","P."&amp;CU20&amp;" ("&amp;COUNTIFS($CU$6:$CU$53,CU20,$BC$6:$BC$53,INDEX(T_Equipos[Grupo],MATCH(BD20,T_Equipos[NombreEquipo],0)))&amp;")")</f>
        <v>P.1 (4)</v>
      </c>
      <c r="CW20" s="757">
        <f t="shared" ca="1" si="30"/>
        <v>0</v>
      </c>
      <c r="CX20" s="757">
        <f ca="1">CU20+COUNTIFS($CV$6:$CV$53,CV20,$CW$6:CW$53,"&gt;"&amp;CW20,$BC$6:$BC$53,INDEX(T_Equipos[Grupo],MATCH(BD20,T_Equipos[NombreEquipo],0)))</f>
        <v>1</v>
      </c>
      <c r="CY20" s="757" t="str">
        <f ca="1">IF(COUNTIFS($CX$6:$CX$53,CX20,$BC$6:$BC$53,INDEX(T_Equipos[Grupo],MATCH(BD20,T_Equipos[NombreEquipo],0)))=1,"-","P."&amp;CX20&amp;" ("&amp;COUNTIFS($CX$6:$CX$53,CX20,$BC$6:$BC$53,INDEX(T_Equipos[Grupo],MATCH(BD20,T_Equipos[NombreEquipo],0)))&amp;")")</f>
        <v>P.1 (4)</v>
      </c>
      <c r="CZ20" s="757">
        <f t="shared" ca="1" si="31"/>
        <v>0</v>
      </c>
      <c r="DA20" s="758">
        <f ca="1">CX20+COUNTIFS($CY$6:$CY$53,CY20,$CZ$6:CZ$53,"&gt;"&amp;CZ20,$BC$6:$BC$53,INDEX(T_Equipos[Grupo],MATCH(BD20,T_Equipos[NombreEquipo],0)))</f>
        <v>1</v>
      </c>
      <c r="DB20" s="757" t="str">
        <f ca="1">IF(COUNTIFS($DA$6:$DA$53,DA20,$BC$6:$BC$53,INDEX(T_Equipos[Grupo],MATCH(BD20,T_Equipos[NombreEquipo],0)))=1,"-","P."&amp;DA20&amp;" ("&amp;COUNTIFS($DA$6:$DA$53,DA20,$BC$6:$BC$53,INDEX(T_Equipos[Grupo],MATCH(BD20,T_Equipos[NombreEquipo],0)))&amp;")")</f>
        <v>P.1 (4)</v>
      </c>
      <c r="DC20" s="756">
        <f ca="1">IF(DB20="-","-",COUNTIFS(T_Equipos[Rank],"&lt;"&amp;INDEX(T_Equipos[Rank],MATCH(BD20,T_Equipos[NombreEquipo],0)),$BC$6:$BC$53,INDEX(T_Equipos[Grupo],MATCH(BD20,T_Equipos[NombreEquipo],0)))+1)</f>
        <v>3</v>
      </c>
      <c r="DD20" s="756">
        <f ca="1">DA20+COUNTIFS($DB$6:$DB$53,DB20,$DC$6:DC$53,"&lt;"&amp;DC20,$BC$6:$BC$53,INDEX(T_Equipos[Grupo],MATCH(BD20,T_Equipos[NombreEquipo],0)))</f>
        <v>3</v>
      </c>
      <c r="DE20" s="756"/>
      <c r="DF20" s="756">
        <f t="shared" ca="1" si="52"/>
        <v>3</v>
      </c>
      <c r="DG20" s="756">
        <f ca="1">IF(DB20="-","-",COUNTIFS(DF$6:DF$53,"&lt;"&amp;DF20,$BC$6:$BC$53,INDEX(T_Equipos[Grupo],MATCH(BD20,T_Equipos[NombreEquipo],0))))</f>
        <v>2</v>
      </c>
      <c r="DH20" s="756">
        <f ca="1">DA20+COUNTIFS(DB$6:DB$53,DB20,DG$6:DG$53,"&lt;"&amp;DG20,$BC$6:$BC$53,INDEX(T_Equipos[Grupo],MATCH(BD20,T_Equipos[NombreEquipo],0)))</f>
        <v>3</v>
      </c>
      <c r="DI20" s="744"/>
      <c r="DJ20" s="744">
        <f t="shared" ca="1" si="53"/>
        <v>1</v>
      </c>
      <c r="DK20" s="744">
        <f t="shared" ca="1" si="24"/>
        <v>0</v>
      </c>
      <c r="DL20" s="744">
        <f t="shared" ca="1" si="33"/>
        <v>1</v>
      </c>
      <c r="DM20" s="738" t="str">
        <f t="shared" ca="1" si="34"/>
        <v>1.1</v>
      </c>
      <c r="DN20" s="744" cm="1">
        <f t="array" aca="1" ref="DN20" ca="1">OFFSET(Horarios!$P$3,DJ20-1,0,DL20,1)</f>
        <v>1</v>
      </c>
      <c r="DO20" s="744"/>
      <c r="DP20" s="744" t="s">
        <v>92</v>
      </c>
      <c r="DQ20" s="744" t="str">
        <f t="shared" ca="1" si="35"/>
        <v>Australia</v>
      </c>
      <c r="DR20" s="744"/>
      <c r="DS20" s="744"/>
      <c r="DT20" s="744" t="str">
        <f t="shared" ca="1" si="15"/>
        <v>Brasil-Marruecos</v>
      </c>
      <c r="DU20" s="744"/>
      <c r="DV20" s="744"/>
      <c r="DW20" s="8"/>
    </row>
    <row r="21" spans="1:127" ht="16.05" customHeight="1">
      <c r="A21" s="745" t="str">
        <f ca="1">+Equipos!B10</f>
        <v>Brasil</v>
      </c>
      <c r="B21" s="742"/>
      <c r="C21" s="742"/>
      <c r="D21" s="744" t="str">
        <f t="shared" si="73"/>
        <v>Pendiente</v>
      </c>
      <c r="E21" s="744" t="str">
        <f t="shared" si="74"/>
        <v>-</v>
      </c>
      <c r="F21" s="744" t="str">
        <f t="shared" si="75"/>
        <v>-</v>
      </c>
      <c r="G21" s="744"/>
      <c r="H21" s="744" t="str">
        <f t="shared" si="76"/>
        <v>-</v>
      </c>
      <c r="I21" s="744" t="str">
        <f t="shared" si="77"/>
        <v>-</v>
      </c>
      <c r="J21" s="744"/>
      <c r="K21" s="744" t="str">
        <f t="shared" si="78"/>
        <v>-</v>
      </c>
      <c r="L21" s="744" t="str">
        <f t="shared" si="79"/>
        <v>-</v>
      </c>
      <c r="M21" s="744"/>
      <c r="N21" s="744" t="str">
        <f t="shared" si="80"/>
        <v>-</v>
      </c>
      <c r="O21" s="744" t="str">
        <f t="shared" si="81"/>
        <v>-</v>
      </c>
      <c r="P21" s="744"/>
      <c r="Q21" s="744" t="str">
        <f t="shared" si="82"/>
        <v>-</v>
      </c>
      <c r="R21" s="744" t="str">
        <f t="shared" si="83"/>
        <v>-</v>
      </c>
      <c r="S21" s="744"/>
      <c r="T21" s="744" t="str">
        <f t="shared" si="84"/>
        <v>-</v>
      </c>
      <c r="U21" s="744" t="str">
        <f t="shared" si="85"/>
        <v>-</v>
      </c>
      <c r="V21" s="172"/>
      <c r="W21" s="837"/>
      <c r="X21" s="189">
        <f ca="1">Horarios!C21</f>
        <v>46187.125</v>
      </c>
      <c r="Y21" s="190">
        <f ca="1">Horarios!C21</f>
        <v>46187.125</v>
      </c>
      <c r="Z21" s="191" t="str">
        <f>$Z$4</f>
        <v>J1</v>
      </c>
      <c r="AA21" s="192" t="str">
        <f ca="1">A23</f>
        <v>Haití</v>
      </c>
      <c r="AB21" s="478" t="e" cm="1" vm="11">
        <f t="array" aca="1" ref="AB21" ca="1">Ver_flag_local</f>
        <v>#VALUE!</v>
      </c>
      <c r="AC21" s="193"/>
      <c r="AD21" s="194"/>
      <c r="AE21" s="483" t="e" cm="1" vm="12">
        <f t="array" aca="1" ref="AE21" ca="1">Ver_flag_visit</f>
        <v>#VALUE!</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0</v>
      </c>
      <c r="BG21" s="748">
        <f t="shared" ca="1" si="17"/>
        <v>0</v>
      </c>
      <c r="BH21" s="748">
        <f t="shared" ca="1" si="18"/>
        <v>0</v>
      </c>
      <c r="BI21" s="748">
        <f t="shared" ca="1" si="19"/>
        <v>0</v>
      </c>
      <c r="BJ21" s="748">
        <f t="shared" ca="1" si="20"/>
        <v>0</v>
      </c>
      <c r="BK21" s="748">
        <f t="shared" ca="1" si="21"/>
        <v>0</v>
      </c>
      <c r="BL21" s="748">
        <f t="shared" ca="1" si="27"/>
        <v>0</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1</v>
      </c>
      <c r="BT21" s="757" t="str">
        <f ca="1">IF(COUNTIFS($BS$6:$BS$53,BS21,$BC$6:$BC$53,INDEX(T_Equipos[Grupo],MATCH(BD21,T_Equipos[NombreEquipo],0)))=1,"-","P."&amp;BS21&amp;" ("&amp;COUNTIFS($BS$6:$BS$53,BS21,$BC$6:$BC$53,INDEX(T_Equipos[Grupo],MATCH(BD21,T_Equipos[NombreEquipo],0)))&amp;")")</f>
        <v>P.1 (4)</v>
      </c>
      <c r="BU21" s="758">
        <f t="shared" ca="1" si="36"/>
        <v>0</v>
      </c>
      <c r="BV21" s="758">
        <f t="shared" ca="1" si="37"/>
        <v>0</v>
      </c>
      <c r="BW21" s="758">
        <f t="shared" ca="1" si="38"/>
        <v>0</v>
      </c>
      <c r="BX21" s="758">
        <f t="shared" ca="1" si="39"/>
        <v>0</v>
      </c>
      <c r="BY21" s="758">
        <f ca="1">BS21+COUNTIFS($BT$6:$BT$53,BT21,$BX$6:BX$53,"&gt;"&amp;BX21,$BC$6:$BC$53,INDEX(T_Equipos[Grupo],MATCH(BD21,T_Equipos[NombreEquipo],0)))</f>
        <v>1</v>
      </c>
      <c r="BZ21" s="757" t="str">
        <f ca="1">IF(COUNTIFS($BY$6:$BY$53,BY21,$BC$6:$BC$53,INDEX(T_Equipos[Grupo],MATCH(BD21,T_Equipos[NombreEquipo],0)))=1,"-","P."&amp;BY21&amp;" ("&amp;COUNTIFS($BY$6:$BY$53,BY21,$BC$6:$BC$53,INDEX(T_Equipos[Grupo],MATCH(BD21,T_Equipos[NombreEquipo],0)))&amp;")")</f>
        <v>P.1 (4)</v>
      </c>
      <c r="CA21" s="758">
        <f t="shared" ca="1" si="40"/>
        <v>0</v>
      </c>
      <c r="CB21" s="758">
        <f t="shared" ca="1" si="41"/>
        <v>0</v>
      </c>
      <c r="CC21" s="758">
        <f t="shared" ca="1" si="42"/>
        <v>0</v>
      </c>
      <c r="CD21" s="758">
        <f ca="1">BY21+COUNTIFS($BZ$6:$BZ$53,BZ21,$CC$6:CC$53,"&gt;"&amp;CC21,$BC$6:$BC$53,INDEX(T_Equipos[Grupo],MATCH(BD21,T_Equipos[NombreEquipo],0)))</f>
        <v>1</v>
      </c>
      <c r="CE21" s="757" t="str">
        <f ca="1">IF(COUNTIFS($CD$6:$CD$53,CD21,$BC$6:$BC$53,INDEX(T_Equipos[Grupo],MATCH(BD21,T_Equipos[NombreEquipo],0)))=1,"-","P."&amp;CD21&amp;" ("&amp;COUNTIFS($CD$6:$CD$53,CD21,$BC$6:$BC$53,INDEX(T_Equipos[Grupo],MATCH(BD21,T_Equipos[NombreEquipo],0)))&amp;")")</f>
        <v>P.1 (4)</v>
      </c>
      <c r="CF21" s="758">
        <f t="shared" ca="1" si="43"/>
        <v>0</v>
      </c>
      <c r="CG21" s="758">
        <f ca="1">CD21+COUNTIFS($CE$6:$CE$53,CE21,$CF$6:CF$53,"&gt;"&amp;CF21,$BC$6:$BC$53,INDEX(T_Equipos[Grupo],MATCH(BD21,T_Equipos[NombreEquipo],0)))</f>
        <v>1</v>
      </c>
      <c r="CH21" s="757" t="str">
        <f ca="1">IF(COUNTIFS($CG$6:$CG$53,CG21,$BC$6:$BC$53,INDEX(T_Equipos[Grupo],MATCH(BD21,T_Equipos[NombreEquipo],0)))=1,"-","P."&amp;CG21&amp;" ("&amp;COUNTIFS($CG$6:$CG$53,CG21,$BC$6:$BC$53,INDEX(T_Equipos[Grupo],MATCH(BD21,T_Equipos[NombreEquipo],0)))&amp;")")</f>
        <v>P.1 (4)</v>
      </c>
      <c r="CI21" s="758">
        <f t="shared" ca="1" si="44"/>
        <v>0</v>
      </c>
      <c r="CJ21" s="758">
        <f t="shared" ca="1" si="45"/>
        <v>0</v>
      </c>
      <c r="CK21" s="758">
        <f t="shared" ca="1" si="46"/>
        <v>0</v>
      </c>
      <c r="CL21" s="758">
        <f t="shared" ca="1" si="47"/>
        <v>0</v>
      </c>
      <c r="CM21" s="758">
        <f ca="1">CG21+COUNTIFS($CH$6:$CH$53,CH21,$CL$6:CL$53,"&gt;"&amp;CL21,$BC$6:$BC$53,INDEX(T_Equipos[Grupo],MATCH(BD21,T_Equipos[NombreEquipo],0)))</f>
        <v>1</v>
      </c>
      <c r="CN21" s="757" t="str">
        <f ca="1">IF(COUNTIFS($CM$6:$CM$53,CM21,$BC$6:$BC$53,INDEX(T_Equipos[Grupo],MATCH(BD21,T_Equipos[NombreEquipo],0)))=1,"-","P."&amp;CM21&amp;" ("&amp;COUNTIFS($CM$6:$CM$53,CM21,$BC$6:$BC$53,INDEX(T_Equipos[Grupo],MATCH(BD21,T_Equipos[NombreEquipo],0)))&amp;")")</f>
        <v>P.1 (4)</v>
      </c>
      <c r="CO21" s="758">
        <f t="shared" ca="1" si="48"/>
        <v>0</v>
      </c>
      <c r="CP21" s="758">
        <f t="shared" ca="1" si="49"/>
        <v>0</v>
      </c>
      <c r="CQ21" s="758">
        <f t="shared" ca="1" si="50"/>
        <v>0</v>
      </c>
      <c r="CR21" s="758">
        <f ca="1">CM21+COUNTIFS($CN$6:$CN$53,CN21,$CQ$6:CQ$53,"&gt;"&amp;CQ21,$BC$6:$BC$53,INDEX(T_Equipos[Grupo],MATCH(BD21,T_Equipos[NombreEquipo],0)))</f>
        <v>1</v>
      </c>
      <c r="CS21" s="757" t="str">
        <f ca="1">IF(COUNTIFS($CR$6:$CR$53,CR21,$BC$6:$BC$53,INDEX(T_Equipos[Grupo],MATCH(BD21,T_Equipos[NombreEquipo],0)))=1,"-","P."&amp;CR21&amp;" ("&amp;COUNTIFS($CR$6:$CR$53,CR21,$BC$6:$BC$53,INDEX(T_Equipos[Grupo],MATCH(BD21,T_Equipos[NombreEquipo],0)))&amp;")")</f>
        <v>P.1 (4)</v>
      </c>
      <c r="CT21" s="758">
        <f t="shared" ca="1" si="51"/>
        <v>0</v>
      </c>
      <c r="CU21" s="758">
        <f ca="1">CR21+COUNTIFS($CS$6:$CS$53,CS21,$CT$6:CT$53,"&gt;"&amp;CT21,$BC$6:$BC$53,INDEX(T_Equipos[Grupo],MATCH(BD21,T_Equipos[NombreEquipo],0)))</f>
        <v>1</v>
      </c>
      <c r="CV21" s="757" t="str">
        <f ca="1">IF(COUNTIFS($CU$6:$CU$53,CU21,$BC$6:$BC$53,INDEX(T_Equipos[Grupo],MATCH(BD21,T_Equipos[NombreEquipo],0)))=1,"-","P."&amp;CU21&amp;" ("&amp;COUNTIFS($CU$6:$CU$53,CU21,$BC$6:$BC$53,INDEX(T_Equipos[Grupo],MATCH(BD21,T_Equipos[NombreEquipo],0)))&amp;")")</f>
        <v>P.1 (4)</v>
      </c>
      <c r="CW21" s="757">
        <f t="shared" ca="1" si="30"/>
        <v>0</v>
      </c>
      <c r="CX21" s="757">
        <f ca="1">CU21+COUNTIFS($CV$6:$CV$53,CV21,$CW$6:CW$53,"&gt;"&amp;CW21,$BC$6:$BC$53,INDEX(T_Equipos[Grupo],MATCH(BD21,T_Equipos[NombreEquipo],0)))</f>
        <v>1</v>
      </c>
      <c r="CY21" s="757" t="str">
        <f ca="1">IF(COUNTIFS($CX$6:$CX$53,CX21,$BC$6:$BC$53,INDEX(T_Equipos[Grupo],MATCH(BD21,T_Equipos[NombreEquipo],0)))=1,"-","P."&amp;CX21&amp;" ("&amp;COUNTIFS($CX$6:$CX$53,CX21,$BC$6:$BC$53,INDEX(T_Equipos[Grupo],MATCH(BD21,T_Equipos[NombreEquipo],0)))&amp;")")</f>
        <v>P.1 (4)</v>
      </c>
      <c r="CZ21" s="757">
        <f t="shared" ca="1" si="31"/>
        <v>0</v>
      </c>
      <c r="DA21" s="758">
        <f ca="1">CX21+COUNTIFS($CY$6:$CY$53,CY21,$CZ$6:CZ$53,"&gt;"&amp;CZ21,$BC$6:$BC$53,INDEX(T_Equipos[Grupo],MATCH(BD21,T_Equipos[NombreEquipo],0)))</f>
        <v>1</v>
      </c>
      <c r="DB21" s="757" t="str">
        <f ca="1">IF(COUNTIFS($DA$6:$DA$53,DA21,$BC$6:$BC$53,INDEX(T_Equipos[Grupo],MATCH(BD21,T_Equipos[NombreEquipo],0)))=1,"-","P."&amp;DA21&amp;" ("&amp;COUNTIFS($DA$6:$DA$53,DA21,$BC$6:$BC$53,INDEX(T_Equipos[Grupo],MATCH(BD21,T_Equipos[NombreEquipo],0)))&amp;")")</f>
        <v>P.1 (4)</v>
      </c>
      <c r="DC21" s="756">
        <f ca="1">IF(DB21="-","-",COUNTIFS(T_Equipos[Rank],"&lt;"&amp;INDEX(T_Equipos[Rank],MATCH(BD21,T_Equipos[NombreEquipo],0)),$BC$6:$BC$53,INDEX(T_Equipos[Grupo],MATCH(BD21,T_Equipos[NombreEquipo],0)))+1)</f>
        <v>4</v>
      </c>
      <c r="DD21" s="756">
        <f ca="1">DA21+COUNTIFS($DB$6:$DB$53,DB21,$DC$6:DC$53,"&lt;"&amp;DC21,$BC$6:$BC$53,INDEX(T_Equipos[Grupo],MATCH(BD21,T_Equipos[NombreEquipo],0)))</f>
        <v>4</v>
      </c>
      <c r="DE21" s="756"/>
      <c r="DF21" s="756">
        <f t="shared" ca="1" si="52"/>
        <v>4</v>
      </c>
      <c r="DG21" s="756">
        <f ca="1">IF(DB21="-","-",COUNTIFS(DF$6:DF$53,"&lt;"&amp;DF21,$BC$6:$BC$53,INDEX(T_Equipos[Grupo],MATCH(BD21,T_Equipos[NombreEquipo],0))))</f>
        <v>3</v>
      </c>
      <c r="DH21" s="756">
        <f ca="1">DA21+COUNTIFS(DB$6:DB$53,DB21,DG$6:DG$53,"&lt;"&amp;DG21,$BC$6:$BC$53,INDEX(T_Equipos[Grupo],MATCH(BD21,T_Equipos[NombreEquipo],0)))</f>
        <v>4</v>
      </c>
      <c r="DI21" s="744"/>
      <c r="DJ21" s="744">
        <f t="shared" ca="1" si="53"/>
        <v>1</v>
      </c>
      <c r="DK21" s="744">
        <f t="shared" ca="1" si="24"/>
        <v>0</v>
      </c>
      <c r="DL21" s="744">
        <f t="shared" ca="1" si="33"/>
        <v>1</v>
      </c>
      <c r="DM21" s="738" t="str">
        <f t="shared" ca="1" si="34"/>
        <v>1.1</v>
      </c>
      <c r="DN21" s="744" cm="1">
        <f t="array" aca="1" ref="DN21" ca="1">OFFSET(Horarios!$P$3,DJ21-1,0,DL21,1)</f>
        <v>1</v>
      </c>
      <c r="DO21" s="744"/>
      <c r="DP21" s="744" t="s">
        <v>660</v>
      </c>
      <c r="DQ21" s="744" t="str">
        <f t="shared" ca="1" si="35"/>
        <v>Turquía</v>
      </c>
      <c r="DR21" s="744"/>
      <c r="DS21" s="744"/>
      <c r="DT21" s="744" t="str">
        <f t="shared" ca="1" si="15"/>
        <v>Haití-Escocia</v>
      </c>
      <c r="DU21" s="744"/>
      <c r="DV21" s="744"/>
      <c r="DW21" s="8"/>
    </row>
    <row r="22" spans="1:127" ht="16.05" customHeight="1">
      <c r="A22" s="745" t="str">
        <f ca="1">+Equipos!B11</f>
        <v>Marruecos</v>
      </c>
      <c r="B22" s="742"/>
      <c r="C22" s="746"/>
      <c r="D22" s="744" t="str">
        <f t="shared" si="73"/>
        <v>Pendiente</v>
      </c>
      <c r="E22" s="744" t="str">
        <f t="shared" si="74"/>
        <v>-</v>
      </c>
      <c r="F22" s="744" t="str">
        <f t="shared" si="75"/>
        <v>-</v>
      </c>
      <c r="G22" s="744"/>
      <c r="H22" s="744" t="str">
        <f t="shared" si="76"/>
        <v>-</v>
      </c>
      <c r="I22" s="744" t="str">
        <f t="shared" si="77"/>
        <v>-</v>
      </c>
      <c r="J22" s="744"/>
      <c r="K22" s="744" t="str">
        <f t="shared" si="78"/>
        <v>-</v>
      </c>
      <c r="L22" s="744" t="str">
        <f t="shared" si="79"/>
        <v>-</v>
      </c>
      <c r="M22" s="744"/>
      <c r="N22" s="744" t="str">
        <f t="shared" si="80"/>
        <v>-</v>
      </c>
      <c r="O22" s="744" t="str">
        <f t="shared" si="81"/>
        <v>-</v>
      </c>
      <c r="P22" s="744"/>
      <c r="Q22" s="744" t="str">
        <f t="shared" si="82"/>
        <v>-</v>
      </c>
      <c r="R22" s="744" t="str">
        <f t="shared" si="83"/>
        <v>-</v>
      </c>
      <c r="S22" s="744"/>
      <c r="T22" s="744" t="str">
        <f t="shared" si="84"/>
        <v>-</v>
      </c>
      <c r="U22" s="744" t="str">
        <f t="shared" si="85"/>
        <v>-</v>
      </c>
      <c r="V22" s="172"/>
      <c r="W22" s="837"/>
      <c r="X22" s="189">
        <f ca="1">Horarios!C22</f>
        <v>46193</v>
      </c>
      <c r="Y22" s="190">
        <f ca="1">Horarios!C22</f>
        <v>46193</v>
      </c>
      <c r="Z22" s="191" t="str">
        <f>$Z$6</f>
        <v>J2</v>
      </c>
      <c r="AA22" s="192" t="str">
        <f ca="1">A24</f>
        <v>Escocia</v>
      </c>
      <c r="AB22" s="478" t="e" cm="1" vm="12">
        <f t="array" aca="1" ref="AB22" ca="1">Ver_flag_local</f>
        <v>#VALUE!</v>
      </c>
      <c r="AC22" s="193"/>
      <c r="AD22" s="194"/>
      <c r="AE22" s="483" t="e" cm="1" vm="10">
        <f t="array" aca="1" ref="AE22" ca="1">Ver_flag_visit</f>
        <v>#VALUE!</v>
      </c>
      <c r="AF22" s="195" t="str">
        <f ca="1">A22</f>
        <v>Marruecos</v>
      </c>
      <c r="AG22" s="413">
        <f t="shared" si="86"/>
        <v>0</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0</v>
      </c>
      <c r="BF22" s="748">
        <f t="shared" ca="1" si="26"/>
        <v>0</v>
      </c>
      <c r="BG22" s="748">
        <f t="shared" ca="1" si="17"/>
        <v>0</v>
      </c>
      <c r="BH22" s="748">
        <f t="shared" ca="1" si="18"/>
        <v>0</v>
      </c>
      <c r="BI22" s="748">
        <f t="shared" ca="1" si="19"/>
        <v>0</v>
      </c>
      <c r="BJ22" s="748">
        <f t="shared" ca="1" si="20"/>
        <v>0</v>
      </c>
      <c r="BK22" s="748">
        <f t="shared" ca="1" si="21"/>
        <v>0</v>
      </c>
      <c r="BL22" s="748">
        <f t="shared" ca="1" si="27"/>
        <v>0</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0</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(4)</v>
      </c>
      <c r="BU22" s="758">
        <f t="shared" ca="1" si="36"/>
        <v>0</v>
      </c>
      <c r="BV22" s="758">
        <f t="shared" ca="1" si="37"/>
        <v>0</v>
      </c>
      <c r="BW22" s="758">
        <f t="shared" ca="1" si="38"/>
        <v>0</v>
      </c>
      <c r="BX22" s="758">
        <f t="shared" ca="1" si="39"/>
        <v>0</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P.1 (4)</v>
      </c>
      <c r="CA22" s="758">
        <f t="shared" ca="1" si="40"/>
        <v>0</v>
      </c>
      <c r="CB22" s="758">
        <f t="shared" ca="1" si="41"/>
        <v>0</v>
      </c>
      <c r="CC22" s="758">
        <f t="shared" ca="1" si="42"/>
        <v>0</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P.1 (4)</v>
      </c>
      <c r="CF22" s="758">
        <f t="shared" ca="1" si="43"/>
        <v>0</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P.1 (4)</v>
      </c>
      <c r="CI22" s="758">
        <f t="shared" ca="1" si="44"/>
        <v>0</v>
      </c>
      <c r="CJ22" s="758">
        <f t="shared" ca="1" si="45"/>
        <v>0</v>
      </c>
      <c r="CK22" s="758">
        <f t="shared" ca="1" si="46"/>
        <v>0</v>
      </c>
      <c r="CL22" s="758">
        <f t="shared" ca="1" si="47"/>
        <v>0</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P.1 (4)</v>
      </c>
      <c r="CO22" s="758">
        <f t="shared" ca="1" si="48"/>
        <v>0</v>
      </c>
      <c r="CP22" s="758">
        <f t="shared" ca="1" si="49"/>
        <v>0</v>
      </c>
      <c r="CQ22" s="758">
        <f t="shared" ca="1" si="50"/>
        <v>0</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P.1 (4)</v>
      </c>
      <c r="CT22" s="758">
        <f t="shared" ca="1" si="51"/>
        <v>0</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P.1 (4)</v>
      </c>
      <c r="CW22" s="757">
        <f t="shared" ca="1" si="30"/>
        <v>0</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P.1 (4)</v>
      </c>
      <c r="CZ22" s="757">
        <f t="shared" ca="1" si="31"/>
        <v>0</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P.1 (4)</v>
      </c>
      <c r="DC22" s="756">
        <f ca="1">IF(DB22="-","-",COUNTIFS(T_Equipos[Rank],"&lt;"&amp;INDEX(T_Equipos[Rank],MATCH(BD22,T_Equipos[NombreEquipo],0)),$BC$6:$BC$53,INDEX(T_Equipos[Grupo],MATCH(BD22,T_Equipos[NombreEquipo],0)))+1)</f>
        <v>1</v>
      </c>
      <c r="DD22" s="756">
        <f ca="1">DA22+COUNTIFS($DB$6:$DB$53,DB22,$DC$6:DC$53,"&lt;"&amp;DC22,$BC$6:$BC$53,INDEX(T_Equipos[Grupo],MATCH(BD22,T_Equipos[NombreEquipo],0)))</f>
        <v>1</v>
      </c>
      <c r="DE22" s="756"/>
      <c r="DF22" s="756">
        <f t="shared" ca="1" si="52"/>
        <v>1</v>
      </c>
      <c r="DG22" s="756">
        <f ca="1">IF(DB22="-","-",COUNTIFS(DF$6:DF$53,"&lt;"&amp;DF22,$BC$6:$BC$53,INDEX(T_Equipos[Grupo],MATCH(BD22,T_Equipos[NombreEquipo],0))))</f>
        <v>0</v>
      </c>
      <c r="DH22" s="756">
        <f ca="1">DA22+COUNTIFS(DB$6:DB$53,DB22,DG$6:DG$53,"&lt;"&amp;DG22,$BC$6:$BC$53,INDEX(T_Equipos[Grupo],MATCH(BD22,T_Equipos[NombreEquipo],0)))</f>
        <v>1</v>
      </c>
      <c r="DI22" s="744"/>
      <c r="DJ22" s="744">
        <f t="shared" ca="1" si="53"/>
        <v>1</v>
      </c>
      <c r="DK22" s="744">
        <f t="shared" ca="1" si="24"/>
        <v>0</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Pendiente</v>
      </c>
      <c r="E23" s="744" t="str">
        <f t="shared" si="74"/>
        <v>-</v>
      </c>
      <c r="F23" s="744" t="str">
        <f t="shared" si="75"/>
        <v>-</v>
      </c>
      <c r="G23" s="744"/>
      <c r="H23" s="744" t="str">
        <f t="shared" si="76"/>
        <v>-</v>
      </c>
      <c r="I23" s="744" t="str">
        <f t="shared" si="77"/>
        <v>-</v>
      </c>
      <c r="J23" s="744"/>
      <c r="K23" s="744" t="str">
        <f t="shared" si="78"/>
        <v>-</v>
      </c>
      <c r="L23" s="744" t="str">
        <f t="shared" si="79"/>
        <v>-</v>
      </c>
      <c r="M23" s="744"/>
      <c r="N23" s="744" t="str">
        <f t="shared" si="80"/>
        <v>-</v>
      </c>
      <c r="O23" s="744" t="str">
        <f t="shared" si="81"/>
        <v>-</v>
      </c>
      <c r="P23" s="744"/>
      <c r="Q23" s="744" t="str">
        <f t="shared" si="82"/>
        <v>-</v>
      </c>
      <c r="R23" s="744" t="str">
        <f t="shared" si="83"/>
        <v>-</v>
      </c>
      <c r="S23" s="744"/>
      <c r="T23" s="744" t="str">
        <f t="shared" si="84"/>
        <v>-</v>
      </c>
      <c r="U23" s="744" t="str">
        <f t="shared"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c r="AD23" s="194"/>
      <c r="AE23" s="483" t="e" cm="1" vm="11">
        <f t="array" aca="1" ref="AE23" ca="1">Ver_flag_visit</f>
        <v>#VALUE!</v>
      </c>
      <c r="AF23" s="195" t="str">
        <f ca="1">A23</f>
        <v>Haití</v>
      </c>
      <c r="AG23" s="413">
        <f t="shared" si="86"/>
        <v>0</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0</v>
      </c>
      <c r="BF23" s="748">
        <f t="shared" ca="1" si="26"/>
        <v>0</v>
      </c>
      <c r="BG23" s="748">
        <f t="shared" ca="1" si="17"/>
        <v>0</v>
      </c>
      <c r="BH23" s="748">
        <f t="shared" ca="1" si="18"/>
        <v>0</v>
      </c>
      <c r="BI23" s="748">
        <f t="shared" ca="1" si="19"/>
        <v>0</v>
      </c>
      <c r="BJ23" s="748">
        <f t="shared" ca="1" si="20"/>
        <v>0</v>
      </c>
      <c r="BK23" s="748">
        <f t="shared" ca="1" si="21"/>
        <v>0</v>
      </c>
      <c r="BL23" s="748">
        <f t="shared" ca="1" si="27"/>
        <v>0</v>
      </c>
      <c r="BM23" s="748" t="str">
        <f t="shared" ca="1" si="22"/>
        <v>2E</v>
      </c>
      <c r="BN23" s="748" t="str">
        <f t="shared" ca="1" si="23"/>
        <v>2E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0</v>
      </c>
      <c r="BS23" s="757">
        <f ca="1">BP23+COUNTIFS($BQ$6:$BQ$53,BQ23,$BR$6:BR$53,"&gt;"&amp;BR23,$BC$6:$BC$53,INDEX(T_Equipos[Grupo],MATCH(BD23,T_Equipos[NombreEquipo],0)))</f>
        <v>1</v>
      </c>
      <c r="BT23" s="757" t="str">
        <f ca="1">IF(COUNTIFS($BS$6:$BS$53,BS23,$BC$6:$BC$53,INDEX(T_Equipos[Grupo],MATCH(BD23,T_Equipos[NombreEquipo],0)))=1,"-","P."&amp;BS23&amp;" ("&amp;COUNTIFS($BS$6:$BS$53,BS23,$BC$6:$BC$53,INDEX(T_Equipos[Grupo],MATCH(BD23,T_Equipos[NombreEquipo],0)))&amp;")")</f>
        <v>P.1 (4)</v>
      </c>
      <c r="BU23" s="758">
        <f t="shared" ca="1" si="36"/>
        <v>0</v>
      </c>
      <c r="BV23" s="758">
        <f t="shared" ca="1" si="37"/>
        <v>0</v>
      </c>
      <c r="BW23" s="758">
        <f t="shared" ca="1" si="38"/>
        <v>0</v>
      </c>
      <c r="BX23" s="758">
        <f t="shared" ca="1" si="39"/>
        <v>0</v>
      </c>
      <c r="BY23" s="758">
        <f ca="1">BS23+COUNTIFS($BT$6:$BT$53,BT23,$BX$6:BX$53,"&gt;"&amp;BX23,$BC$6:$BC$53,INDEX(T_Equipos[Grupo],MATCH(BD23,T_Equipos[NombreEquipo],0)))</f>
        <v>1</v>
      </c>
      <c r="BZ23" s="757" t="str">
        <f ca="1">IF(COUNTIFS($BY$6:$BY$53,BY23,$BC$6:$BC$53,INDEX(T_Equipos[Grupo],MATCH(BD23,T_Equipos[NombreEquipo],0)))=1,"-","P."&amp;BY23&amp;" ("&amp;COUNTIFS($BY$6:$BY$53,BY23,$BC$6:$BC$53,INDEX(T_Equipos[Grupo],MATCH(BD23,T_Equipos[NombreEquipo],0)))&amp;")")</f>
        <v>P.1 (4)</v>
      </c>
      <c r="CA23" s="758">
        <f t="shared" ca="1" si="40"/>
        <v>0</v>
      </c>
      <c r="CB23" s="758">
        <f t="shared" ca="1" si="41"/>
        <v>0</v>
      </c>
      <c r="CC23" s="758">
        <f t="shared" ca="1" si="42"/>
        <v>0</v>
      </c>
      <c r="CD23" s="758">
        <f ca="1">BY23+COUNTIFS($BZ$6:$BZ$53,BZ23,$CC$6:CC$53,"&gt;"&amp;CC23,$BC$6:$BC$53,INDEX(T_Equipos[Grupo],MATCH(BD23,T_Equipos[NombreEquipo],0)))</f>
        <v>1</v>
      </c>
      <c r="CE23" s="757" t="str">
        <f ca="1">IF(COUNTIFS($CD$6:$CD$53,CD23,$BC$6:$BC$53,INDEX(T_Equipos[Grupo],MATCH(BD23,T_Equipos[NombreEquipo],0)))=1,"-","P."&amp;CD23&amp;" ("&amp;COUNTIFS($CD$6:$CD$53,CD23,$BC$6:$BC$53,INDEX(T_Equipos[Grupo],MATCH(BD23,T_Equipos[NombreEquipo],0)))&amp;")")</f>
        <v>P.1 (4)</v>
      </c>
      <c r="CF23" s="758">
        <f t="shared" ca="1" si="43"/>
        <v>0</v>
      </c>
      <c r="CG23" s="758">
        <f ca="1">CD23+COUNTIFS($CE$6:$CE$53,CE23,$CF$6:CF$53,"&gt;"&amp;CF23,$BC$6:$BC$53,INDEX(T_Equipos[Grupo],MATCH(BD23,T_Equipos[NombreEquipo],0)))</f>
        <v>1</v>
      </c>
      <c r="CH23" s="757" t="str">
        <f ca="1">IF(COUNTIFS($CG$6:$CG$53,CG23,$BC$6:$BC$53,INDEX(T_Equipos[Grupo],MATCH(BD23,T_Equipos[NombreEquipo],0)))=1,"-","P."&amp;CG23&amp;" ("&amp;COUNTIFS($CG$6:$CG$53,CG23,$BC$6:$BC$53,INDEX(T_Equipos[Grupo],MATCH(BD23,T_Equipos[NombreEquipo],0)))&amp;")")</f>
        <v>P.1 (4)</v>
      </c>
      <c r="CI23" s="758">
        <f t="shared" ca="1" si="44"/>
        <v>0</v>
      </c>
      <c r="CJ23" s="758">
        <f t="shared" ca="1" si="45"/>
        <v>0</v>
      </c>
      <c r="CK23" s="758">
        <f t="shared" ca="1" si="46"/>
        <v>0</v>
      </c>
      <c r="CL23" s="758">
        <f t="shared" ca="1" si="47"/>
        <v>0</v>
      </c>
      <c r="CM23" s="758">
        <f ca="1">CG23+COUNTIFS($CH$6:$CH$53,CH23,$CL$6:CL$53,"&gt;"&amp;CL23,$BC$6:$BC$53,INDEX(T_Equipos[Grupo],MATCH(BD23,T_Equipos[NombreEquipo],0)))</f>
        <v>1</v>
      </c>
      <c r="CN23" s="757" t="str">
        <f ca="1">IF(COUNTIFS($CM$6:$CM$53,CM23,$BC$6:$BC$53,INDEX(T_Equipos[Grupo],MATCH(BD23,T_Equipos[NombreEquipo],0)))=1,"-","P."&amp;CM23&amp;" ("&amp;COUNTIFS($CM$6:$CM$53,CM23,$BC$6:$BC$53,INDEX(T_Equipos[Grupo],MATCH(BD23,T_Equipos[NombreEquipo],0)))&amp;")")</f>
        <v>P.1 (4)</v>
      </c>
      <c r="CO23" s="758">
        <f t="shared" ca="1" si="48"/>
        <v>0</v>
      </c>
      <c r="CP23" s="758">
        <f t="shared" ca="1" si="49"/>
        <v>0</v>
      </c>
      <c r="CQ23" s="758">
        <f t="shared" ca="1" si="50"/>
        <v>0</v>
      </c>
      <c r="CR23" s="758">
        <f ca="1">CM23+COUNTIFS($CN$6:$CN$53,CN23,$CQ$6:CQ$53,"&gt;"&amp;CQ23,$BC$6:$BC$53,INDEX(T_Equipos[Grupo],MATCH(BD23,T_Equipos[NombreEquipo],0)))</f>
        <v>1</v>
      </c>
      <c r="CS23" s="757" t="str">
        <f ca="1">IF(COUNTIFS($CR$6:$CR$53,CR23,$BC$6:$BC$53,INDEX(T_Equipos[Grupo],MATCH(BD23,T_Equipos[NombreEquipo],0)))=1,"-","P."&amp;CR23&amp;" ("&amp;COUNTIFS($CR$6:$CR$53,CR23,$BC$6:$BC$53,INDEX(T_Equipos[Grupo],MATCH(BD23,T_Equipos[NombreEquipo],0)))&amp;")")</f>
        <v>P.1 (4)</v>
      </c>
      <c r="CT23" s="758">
        <f t="shared" ca="1" si="51"/>
        <v>0</v>
      </c>
      <c r="CU23" s="758">
        <f ca="1">CR23+COUNTIFS($CS$6:$CS$53,CS23,$CT$6:CT$53,"&gt;"&amp;CT23,$BC$6:$BC$53,INDEX(T_Equipos[Grupo],MATCH(BD23,T_Equipos[NombreEquipo],0)))</f>
        <v>1</v>
      </c>
      <c r="CV23" s="757" t="str">
        <f ca="1">IF(COUNTIFS($CU$6:$CU$53,CU23,$BC$6:$BC$53,INDEX(T_Equipos[Grupo],MATCH(BD23,T_Equipos[NombreEquipo],0)))=1,"-","P."&amp;CU23&amp;" ("&amp;COUNTIFS($CU$6:$CU$53,CU23,$BC$6:$BC$53,INDEX(T_Equipos[Grupo],MATCH(BD23,T_Equipos[NombreEquipo],0)))&amp;")")</f>
        <v>P.1 (4)</v>
      </c>
      <c r="CW23" s="757">
        <f t="shared" ca="1" si="30"/>
        <v>0</v>
      </c>
      <c r="CX23" s="757">
        <f ca="1">CU23+COUNTIFS($CV$6:$CV$53,CV23,$CW$6:CW$53,"&gt;"&amp;CW23,$BC$6:$BC$53,INDEX(T_Equipos[Grupo],MATCH(BD23,T_Equipos[NombreEquipo],0)))</f>
        <v>1</v>
      </c>
      <c r="CY23" s="757" t="str">
        <f ca="1">IF(COUNTIFS($CX$6:$CX$53,CX23,$BC$6:$BC$53,INDEX(T_Equipos[Grupo],MATCH(BD23,T_Equipos[NombreEquipo],0)))=1,"-","P."&amp;CX23&amp;" ("&amp;COUNTIFS($CX$6:$CX$53,CX23,$BC$6:$BC$53,INDEX(T_Equipos[Grupo],MATCH(BD23,T_Equipos[NombreEquipo],0)))&amp;")")</f>
        <v>P.1 (4)</v>
      </c>
      <c r="CZ23" s="757">
        <f t="shared" ca="1" si="31"/>
        <v>0</v>
      </c>
      <c r="DA23" s="758">
        <f ca="1">CX23+COUNTIFS($CY$6:$CY$53,CY23,$CZ$6:CZ$53,"&gt;"&amp;CZ23,$BC$6:$BC$53,INDEX(T_Equipos[Grupo],MATCH(BD23,T_Equipos[NombreEquipo],0)))</f>
        <v>1</v>
      </c>
      <c r="DB23" s="757" t="str">
        <f ca="1">IF(COUNTIFS($DA$6:$DA$53,DA23,$BC$6:$BC$53,INDEX(T_Equipos[Grupo],MATCH(BD23,T_Equipos[NombreEquipo],0)))=1,"-","P."&amp;DA23&amp;" ("&amp;COUNTIFS($DA$6:$DA$53,DA23,$BC$6:$BC$53,INDEX(T_Equipos[Grupo],MATCH(BD23,T_Equipos[NombreEquipo],0)))&amp;")")</f>
        <v>P.1 (4)</v>
      </c>
      <c r="DC23" s="756">
        <f ca="1">IF(DB23="-","-",COUNTIFS(T_Equipos[Rank],"&lt;"&amp;INDEX(T_Equipos[Rank],MATCH(BD23,T_Equipos[NombreEquipo],0)),$BC$6:$BC$53,INDEX(T_Equipos[Grupo],MATCH(BD23,T_Equipos[NombreEquipo],0)))+1)</f>
        <v>2</v>
      </c>
      <c r="DD23" s="756">
        <f ca="1">DA23+COUNTIFS($DB$6:$DB$53,DB23,$DC$6:DC$53,"&lt;"&amp;DC23,$BC$6:$BC$53,INDEX(T_Equipos[Grupo],MATCH(BD23,T_Equipos[NombreEquipo],0)))</f>
        <v>2</v>
      </c>
      <c r="DE23" s="756"/>
      <c r="DF23" s="756">
        <f t="shared" ca="1" si="52"/>
        <v>2</v>
      </c>
      <c r="DG23" s="756">
        <f ca="1">IF(DB23="-","-",COUNTIFS(DF$6:DF$53,"&lt;"&amp;DF23,$BC$6:$BC$53,INDEX(T_Equipos[Grupo],MATCH(BD23,T_Equipos[NombreEquipo],0))))</f>
        <v>1</v>
      </c>
      <c r="DH23" s="756">
        <f ca="1">DA23+COUNTIFS(DB$6:DB$53,DB23,DG$6:DG$53,"&lt;"&amp;DG23,$BC$6:$BC$53,INDEX(T_Equipos[Grupo],MATCH(BD23,T_Equipos[NombreEquipo],0)))</f>
        <v>2</v>
      </c>
      <c r="DI23" s="744"/>
      <c r="DJ23" s="744">
        <f t="shared" ca="1" si="53"/>
        <v>1</v>
      </c>
      <c r="DK23" s="744">
        <f t="shared" ca="1" si="24"/>
        <v>0</v>
      </c>
      <c r="DL23" s="744">
        <f t="shared" ca="1" si="33"/>
        <v>1</v>
      </c>
      <c r="DM23" s="738" t="str">
        <f t="shared" ca="1" si="34"/>
        <v>1.1</v>
      </c>
      <c r="DN23" s="744" cm="1">
        <f t="array" aca="1" ref="DN23" ca="1">OFFSET(Horarios!$P$3,DJ23-1,0,DL23,1)</f>
        <v>1</v>
      </c>
      <c r="DO23" s="744"/>
      <c r="DP23" s="744" t="s">
        <v>662</v>
      </c>
      <c r="DQ23" s="744" t="str">
        <f t="shared" ca="1" si="35"/>
        <v>Curazao</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37"/>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1">
        <f t="array" aca="1" ref="AK24" ca="1">Ver_flag_visit</f>
        <v>#VALUE!</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0</v>
      </c>
      <c r="BF24" s="748">
        <f t="shared" ca="1" si="26"/>
        <v>0</v>
      </c>
      <c r="BG24" s="748">
        <f t="shared" ca="1" si="17"/>
        <v>0</v>
      </c>
      <c r="BH24" s="748">
        <f t="shared" ca="1" si="18"/>
        <v>0</v>
      </c>
      <c r="BI24" s="748">
        <f t="shared" ca="1" si="19"/>
        <v>0</v>
      </c>
      <c r="BJ24" s="748">
        <f t="shared" ca="1" si="20"/>
        <v>0</v>
      </c>
      <c r="BK24" s="748">
        <f t="shared" ca="1" si="21"/>
        <v>0</v>
      </c>
      <c r="BL24" s="748">
        <f t="shared" ca="1" si="27"/>
        <v>0</v>
      </c>
      <c r="BM24" s="748" t="str">
        <f t="shared" ca="1" si="22"/>
        <v>3E</v>
      </c>
      <c r="BN24" s="748" t="str">
        <f t="shared" ca="1" si="23"/>
        <v>3E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0</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(4)</v>
      </c>
      <c r="BU24" s="758">
        <f t="shared" ca="1" si="36"/>
        <v>0</v>
      </c>
      <c r="BV24" s="758">
        <f t="shared" ca="1" si="37"/>
        <v>0</v>
      </c>
      <c r="BW24" s="758">
        <f t="shared" ca="1" si="38"/>
        <v>0</v>
      </c>
      <c r="BX24" s="758">
        <f t="shared" ca="1" si="39"/>
        <v>0</v>
      </c>
      <c r="BY24" s="758">
        <f ca="1">BS24+COUNTIFS($BT$6:$BT$53,BT24,$BX$6:BX$53,"&gt;"&amp;BX24,$BC$6:$BC$53,INDEX(T_Equipos[Grupo],MATCH(BD24,T_Equipos[NombreEquipo],0)))</f>
        <v>1</v>
      </c>
      <c r="BZ24" s="757" t="str">
        <f ca="1">IF(COUNTIFS($BY$6:$BY$53,BY24,$BC$6:$BC$53,INDEX(T_Equipos[Grupo],MATCH(BD24,T_Equipos[NombreEquipo],0)))=1,"-","P."&amp;BY24&amp;" ("&amp;COUNTIFS($BY$6:$BY$53,BY24,$BC$6:$BC$53,INDEX(T_Equipos[Grupo],MATCH(BD24,T_Equipos[NombreEquipo],0)))&amp;")")</f>
        <v>P.1 (4)</v>
      </c>
      <c r="CA24" s="758">
        <f t="shared" ca="1" si="40"/>
        <v>0</v>
      </c>
      <c r="CB24" s="758">
        <f t="shared" ca="1" si="41"/>
        <v>0</v>
      </c>
      <c r="CC24" s="758">
        <f t="shared" ca="1" si="42"/>
        <v>0</v>
      </c>
      <c r="CD24" s="758">
        <f ca="1">BY24+COUNTIFS($BZ$6:$BZ$53,BZ24,$CC$6:CC$53,"&gt;"&amp;CC24,$BC$6:$BC$53,INDEX(T_Equipos[Grupo],MATCH(BD24,T_Equipos[NombreEquipo],0)))</f>
        <v>1</v>
      </c>
      <c r="CE24" s="757" t="str">
        <f ca="1">IF(COUNTIFS($CD$6:$CD$53,CD24,$BC$6:$BC$53,INDEX(T_Equipos[Grupo],MATCH(BD24,T_Equipos[NombreEquipo],0)))=1,"-","P."&amp;CD24&amp;" ("&amp;COUNTIFS($CD$6:$CD$53,CD24,$BC$6:$BC$53,INDEX(T_Equipos[Grupo],MATCH(BD24,T_Equipos[NombreEquipo],0)))&amp;")")</f>
        <v>P.1 (4)</v>
      </c>
      <c r="CF24" s="758">
        <f t="shared" ca="1" si="43"/>
        <v>0</v>
      </c>
      <c r="CG24" s="758">
        <f ca="1">CD24+COUNTIFS($CE$6:$CE$53,CE24,$CF$6:CF$53,"&gt;"&amp;CF24,$BC$6:$BC$53,INDEX(T_Equipos[Grupo],MATCH(BD24,T_Equipos[NombreEquipo],0)))</f>
        <v>1</v>
      </c>
      <c r="CH24" s="757" t="str">
        <f ca="1">IF(COUNTIFS($CG$6:$CG$53,CG24,$BC$6:$BC$53,INDEX(T_Equipos[Grupo],MATCH(BD24,T_Equipos[NombreEquipo],0)))=1,"-","P."&amp;CG24&amp;" ("&amp;COUNTIFS($CG$6:$CG$53,CG24,$BC$6:$BC$53,INDEX(T_Equipos[Grupo],MATCH(BD24,T_Equipos[NombreEquipo],0)))&amp;")")</f>
        <v>P.1 (4)</v>
      </c>
      <c r="CI24" s="758">
        <f t="shared" ca="1" si="44"/>
        <v>0</v>
      </c>
      <c r="CJ24" s="758">
        <f t="shared" ca="1" si="45"/>
        <v>0</v>
      </c>
      <c r="CK24" s="758">
        <f t="shared" ca="1" si="46"/>
        <v>0</v>
      </c>
      <c r="CL24" s="758">
        <f t="shared" ca="1" si="47"/>
        <v>0</v>
      </c>
      <c r="CM24" s="758">
        <f ca="1">CG24+COUNTIFS($CH$6:$CH$53,CH24,$CL$6:CL$53,"&gt;"&amp;CL24,$BC$6:$BC$53,INDEX(T_Equipos[Grupo],MATCH(BD24,T_Equipos[NombreEquipo],0)))</f>
        <v>1</v>
      </c>
      <c r="CN24" s="757" t="str">
        <f ca="1">IF(COUNTIFS($CM$6:$CM$53,CM24,$BC$6:$BC$53,INDEX(T_Equipos[Grupo],MATCH(BD24,T_Equipos[NombreEquipo],0)))=1,"-","P."&amp;CM24&amp;" ("&amp;COUNTIFS($CM$6:$CM$53,CM24,$BC$6:$BC$53,INDEX(T_Equipos[Grupo],MATCH(BD24,T_Equipos[NombreEquipo],0)))&amp;")")</f>
        <v>P.1 (4)</v>
      </c>
      <c r="CO24" s="758">
        <f t="shared" ca="1" si="48"/>
        <v>0</v>
      </c>
      <c r="CP24" s="758">
        <f t="shared" ca="1" si="49"/>
        <v>0</v>
      </c>
      <c r="CQ24" s="758">
        <f t="shared" ca="1" si="50"/>
        <v>0</v>
      </c>
      <c r="CR24" s="758">
        <f ca="1">CM24+COUNTIFS($CN$6:$CN$53,CN24,$CQ$6:CQ$53,"&gt;"&amp;CQ24,$BC$6:$BC$53,INDEX(T_Equipos[Grupo],MATCH(BD24,T_Equipos[NombreEquipo],0)))</f>
        <v>1</v>
      </c>
      <c r="CS24" s="757" t="str">
        <f ca="1">IF(COUNTIFS($CR$6:$CR$53,CR24,$BC$6:$BC$53,INDEX(T_Equipos[Grupo],MATCH(BD24,T_Equipos[NombreEquipo],0)))=1,"-","P."&amp;CR24&amp;" ("&amp;COUNTIFS($CR$6:$CR$53,CR24,$BC$6:$BC$53,INDEX(T_Equipos[Grupo],MATCH(BD24,T_Equipos[NombreEquipo],0)))&amp;")")</f>
        <v>P.1 (4)</v>
      </c>
      <c r="CT24" s="758">
        <f t="shared" ca="1" si="51"/>
        <v>0</v>
      </c>
      <c r="CU24" s="758">
        <f ca="1">CR24+COUNTIFS($CS$6:$CS$53,CS24,$CT$6:CT$53,"&gt;"&amp;CT24,$BC$6:$BC$53,INDEX(T_Equipos[Grupo],MATCH(BD24,T_Equipos[NombreEquipo],0)))</f>
        <v>1</v>
      </c>
      <c r="CV24" s="757" t="str">
        <f ca="1">IF(COUNTIFS($CU$6:$CU$53,CU24,$BC$6:$BC$53,INDEX(T_Equipos[Grupo],MATCH(BD24,T_Equipos[NombreEquipo],0)))=1,"-","P."&amp;CU24&amp;" ("&amp;COUNTIFS($CU$6:$CU$53,CU24,$BC$6:$BC$53,INDEX(T_Equipos[Grupo],MATCH(BD24,T_Equipos[NombreEquipo],0)))&amp;")")</f>
        <v>P.1 (4)</v>
      </c>
      <c r="CW24" s="757">
        <f t="shared" ca="1" si="30"/>
        <v>0</v>
      </c>
      <c r="CX24" s="757">
        <f ca="1">CU24+COUNTIFS($CV$6:$CV$53,CV24,$CW$6:CW$53,"&gt;"&amp;CW24,$BC$6:$BC$53,INDEX(T_Equipos[Grupo],MATCH(BD24,T_Equipos[NombreEquipo],0)))</f>
        <v>1</v>
      </c>
      <c r="CY24" s="757" t="str">
        <f ca="1">IF(COUNTIFS($CX$6:$CX$53,CX24,$BC$6:$BC$53,INDEX(T_Equipos[Grupo],MATCH(BD24,T_Equipos[NombreEquipo],0)))=1,"-","P."&amp;CX24&amp;" ("&amp;COUNTIFS($CX$6:$CX$53,CX24,$BC$6:$BC$53,INDEX(T_Equipos[Grupo],MATCH(BD24,T_Equipos[NombreEquipo],0)))&amp;")")</f>
        <v>P.1 (4)</v>
      </c>
      <c r="CZ24" s="757">
        <f t="shared" ca="1" si="31"/>
        <v>0</v>
      </c>
      <c r="DA24" s="758">
        <f ca="1">CX24+COUNTIFS($CY$6:$CY$53,CY24,$CZ$6:CZ$53,"&gt;"&amp;CZ24,$BC$6:$BC$53,INDEX(T_Equipos[Grupo],MATCH(BD24,T_Equipos[NombreEquipo],0)))</f>
        <v>1</v>
      </c>
      <c r="DB24" s="757" t="str">
        <f ca="1">IF(COUNTIFS($DA$6:$DA$53,DA24,$BC$6:$BC$53,INDEX(T_Equipos[Grupo],MATCH(BD24,T_Equipos[NombreEquipo],0)))=1,"-","P."&amp;DA24&amp;" ("&amp;COUNTIFS($DA$6:$DA$53,DA24,$BC$6:$BC$53,INDEX(T_Equipos[Grupo],MATCH(BD24,T_Equipos[NombreEquipo],0)))&amp;")")</f>
        <v>P.1 (4)</v>
      </c>
      <c r="DC24" s="756">
        <f ca="1">IF(DB24="-","-",COUNTIFS(T_Equipos[Rank],"&lt;"&amp;INDEX(T_Equipos[Rank],MATCH(BD24,T_Equipos[NombreEquipo],0)),$BC$6:$BC$53,INDEX(T_Equipos[Grupo],MATCH(BD24,T_Equipos[NombreEquipo],0)))+1)</f>
        <v>3</v>
      </c>
      <c r="DD24" s="756">
        <f ca="1">DA24+COUNTIFS($DB$6:$DB$53,DB24,$DC$6:DC$53,"&lt;"&amp;DC24,$BC$6:$BC$53,INDEX(T_Equipos[Grupo],MATCH(BD24,T_Equipos[NombreEquipo],0)))</f>
        <v>3</v>
      </c>
      <c r="DE24" s="756"/>
      <c r="DF24" s="756">
        <f t="shared" ca="1" si="52"/>
        <v>3</v>
      </c>
      <c r="DG24" s="756">
        <f ca="1">IF(DB24="-","-",COUNTIFS(DF$6:DF$53,"&lt;"&amp;DF24,$BC$6:$BC$53,INDEX(T_Equipos[Grupo],MATCH(BD24,T_Equipos[NombreEquipo],0))))</f>
        <v>2</v>
      </c>
      <c r="DH24" s="756">
        <f ca="1">DA24+COUNTIFS(DB$6:DB$53,DB24,DG$6:DG$53,"&lt;"&amp;DG24,$BC$6:$BC$53,INDEX(T_Equipos[Grupo],MATCH(BD24,T_Equipos[NombreEquipo],0)))</f>
        <v>3</v>
      </c>
      <c r="DI24" s="744"/>
      <c r="DJ24" s="744">
        <f t="shared" ca="1" si="53"/>
        <v>1</v>
      </c>
      <c r="DK24" s="744">
        <f t="shared" ca="1" si="24"/>
        <v>0</v>
      </c>
      <c r="DL24" s="744">
        <f t="shared" ca="1" si="33"/>
        <v>1</v>
      </c>
      <c r="DM24" s="738" t="str">
        <f t="shared" ca="1" si="34"/>
        <v>1.1</v>
      </c>
      <c r="DN24" s="744" cm="1">
        <f t="array" aca="1" ref="DN24" ca="1">OFFSET(Horarios!$P$3,DJ24-1,0,DL24,1)</f>
        <v>1</v>
      </c>
      <c r="DO24" s="744"/>
      <c r="DP24" s="744" t="s">
        <v>93</v>
      </c>
      <c r="DQ24" s="744" t="str">
        <f t="shared" ca="1" si="35"/>
        <v>Costa de Marfil</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38"/>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2">
        <f t="array" aca="1" ref="AK25" ca="1">Ver_flag_visit</f>
        <v>#VALUE!</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4"/>
      <c r="BC25" s="756" t="str">
        <f ca="1">+INDEX(T_Equipos[Grupo],MATCH(WORLDCUP!BD25,T_Equipos[NombreEquipo],0))</f>
        <v>E</v>
      </c>
      <c r="BD25" s="744" t="str">
        <f ca="1">+Equipos!B21</f>
        <v>Ecuador</v>
      </c>
      <c r="BE25" s="748">
        <f t="shared" ca="1" si="25"/>
        <v>0</v>
      </c>
      <c r="BF25" s="748">
        <f t="shared" ca="1" si="26"/>
        <v>0</v>
      </c>
      <c r="BG25" s="748">
        <f t="shared" ca="1" si="17"/>
        <v>0</v>
      </c>
      <c r="BH25" s="748">
        <f t="shared" ca="1" si="18"/>
        <v>0</v>
      </c>
      <c r="BI25" s="748">
        <f t="shared" ca="1" si="19"/>
        <v>0</v>
      </c>
      <c r="BJ25" s="748">
        <f t="shared" ca="1" si="20"/>
        <v>0</v>
      </c>
      <c r="BK25" s="748">
        <f t="shared" ca="1" si="21"/>
        <v>0</v>
      </c>
      <c r="BL25" s="748">
        <f t="shared" ca="1" si="27"/>
        <v>0</v>
      </c>
      <c r="BM25" s="748" t="str">
        <f t="shared" ca="1" si="22"/>
        <v>4E</v>
      </c>
      <c r="BN25" s="748" t="str">
        <f t="shared" ca="1" si="23"/>
        <v>4E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0</v>
      </c>
      <c r="BS25" s="757">
        <f ca="1">BP25+COUNTIFS($BQ$6:$BQ$53,BQ25,$BR$6:BR$53,"&gt;"&amp;BR25,$BC$6:$BC$53,INDEX(T_Equipos[Grupo],MATCH(BD25,T_Equipos[NombreEquipo],0)))</f>
        <v>1</v>
      </c>
      <c r="BT25" s="757" t="str">
        <f ca="1">IF(COUNTIFS($BS$6:$BS$53,BS25,$BC$6:$BC$53,INDEX(T_Equipos[Grupo],MATCH(BD25,T_Equipos[NombreEquipo],0)))=1,"-","P."&amp;BS25&amp;" ("&amp;COUNTIFS($BS$6:$BS$53,BS25,$BC$6:$BC$53,INDEX(T_Equipos[Grupo],MATCH(BD25,T_Equipos[NombreEquipo],0)))&amp;")")</f>
        <v>P.1 (4)</v>
      </c>
      <c r="BU25" s="758">
        <f t="shared" ca="1" si="36"/>
        <v>0</v>
      </c>
      <c r="BV25" s="758">
        <f t="shared" ca="1" si="37"/>
        <v>0</v>
      </c>
      <c r="BW25" s="758">
        <f t="shared" ca="1" si="38"/>
        <v>0</v>
      </c>
      <c r="BX25" s="758">
        <f t="shared" ca="1" si="39"/>
        <v>0</v>
      </c>
      <c r="BY25" s="758">
        <f ca="1">BS25+COUNTIFS($BT$6:$BT$53,BT25,$BX$6:BX$53,"&gt;"&amp;BX25,$BC$6:$BC$53,INDEX(T_Equipos[Grupo],MATCH(BD25,T_Equipos[NombreEquipo],0)))</f>
        <v>1</v>
      </c>
      <c r="BZ25" s="757" t="str">
        <f ca="1">IF(COUNTIFS($BY$6:$BY$53,BY25,$BC$6:$BC$53,INDEX(T_Equipos[Grupo],MATCH(BD25,T_Equipos[NombreEquipo],0)))=1,"-","P."&amp;BY25&amp;" ("&amp;COUNTIFS($BY$6:$BY$53,BY25,$BC$6:$BC$53,INDEX(T_Equipos[Grupo],MATCH(BD25,T_Equipos[NombreEquipo],0)))&amp;")")</f>
        <v>P.1 (4)</v>
      </c>
      <c r="CA25" s="758">
        <f t="shared" ca="1" si="40"/>
        <v>0</v>
      </c>
      <c r="CB25" s="758">
        <f t="shared" ca="1" si="41"/>
        <v>0</v>
      </c>
      <c r="CC25" s="758">
        <f t="shared" ca="1" si="42"/>
        <v>0</v>
      </c>
      <c r="CD25" s="758">
        <f ca="1">BY25+COUNTIFS($BZ$6:$BZ$53,BZ25,$CC$6:CC$53,"&gt;"&amp;CC25,$BC$6:$BC$53,INDEX(T_Equipos[Grupo],MATCH(BD25,T_Equipos[NombreEquipo],0)))</f>
        <v>1</v>
      </c>
      <c r="CE25" s="757" t="str">
        <f ca="1">IF(COUNTIFS($CD$6:$CD$53,CD25,$BC$6:$BC$53,INDEX(T_Equipos[Grupo],MATCH(BD25,T_Equipos[NombreEquipo],0)))=1,"-","P."&amp;CD25&amp;" ("&amp;COUNTIFS($CD$6:$CD$53,CD25,$BC$6:$BC$53,INDEX(T_Equipos[Grupo],MATCH(BD25,T_Equipos[NombreEquipo],0)))&amp;")")</f>
        <v>P.1 (4)</v>
      </c>
      <c r="CF25" s="758">
        <f t="shared" ca="1" si="43"/>
        <v>0</v>
      </c>
      <c r="CG25" s="758">
        <f ca="1">CD25+COUNTIFS($CE$6:$CE$53,CE25,$CF$6:CF$53,"&gt;"&amp;CF25,$BC$6:$BC$53,INDEX(T_Equipos[Grupo],MATCH(BD25,T_Equipos[NombreEquipo],0)))</f>
        <v>1</v>
      </c>
      <c r="CH25" s="757" t="str">
        <f ca="1">IF(COUNTIFS($CG$6:$CG$53,CG25,$BC$6:$BC$53,INDEX(T_Equipos[Grupo],MATCH(BD25,T_Equipos[NombreEquipo],0)))=1,"-","P."&amp;CG25&amp;" ("&amp;COUNTIFS($CG$6:$CG$53,CG25,$BC$6:$BC$53,INDEX(T_Equipos[Grupo],MATCH(BD25,T_Equipos[NombreEquipo],0)))&amp;")")</f>
        <v>P.1 (4)</v>
      </c>
      <c r="CI25" s="758">
        <f t="shared" ca="1" si="44"/>
        <v>0</v>
      </c>
      <c r="CJ25" s="758">
        <f t="shared" ca="1" si="45"/>
        <v>0</v>
      </c>
      <c r="CK25" s="758">
        <f t="shared" ca="1" si="46"/>
        <v>0</v>
      </c>
      <c r="CL25" s="758">
        <f t="shared" ca="1" si="47"/>
        <v>0</v>
      </c>
      <c r="CM25" s="758">
        <f ca="1">CG25+COUNTIFS($CH$6:$CH$53,CH25,$CL$6:CL$53,"&gt;"&amp;CL25,$BC$6:$BC$53,INDEX(T_Equipos[Grupo],MATCH(BD25,T_Equipos[NombreEquipo],0)))</f>
        <v>1</v>
      </c>
      <c r="CN25" s="757" t="str">
        <f ca="1">IF(COUNTIFS($CM$6:$CM$53,CM25,$BC$6:$BC$53,INDEX(T_Equipos[Grupo],MATCH(BD25,T_Equipos[NombreEquipo],0)))=1,"-","P."&amp;CM25&amp;" ("&amp;COUNTIFS($CM$6:$CM$53,CM25,$BC$6:$BC$53,INDEX(T_Equipos[Grupo],MATCH(BD25,T_Equipos[NombreEquipo],0)))&amp;")")</f>
        <v>P.1 (4)</v>
      </c>
      <c r="CO25" s="758">
        <f t="shared" ca="1" si="48"/>
        <v>0</v>
      </c>
      <c r="CP25" s="758">
        <f t="shared" ca="1" si="49"/>
        <v>0</v>
      </c>
      <c r="CQ25" s="758">
        <f t="shared" ca="1" si="50"/>
        <v>0</v>
      </c>
      <c r="CR25" s="758">
        <f ca="1">CM25+COUNTIFS($CN$6:$CN$53,CN25,$CQ$6:CQ$53,"&gt;"&amp;CQ25,$BC$6:$BC$53,INDEX(T_Equipos[Grupo],MATCH(BD25,T_Equipos[NombreEquipo],0)))</f>
        <v>1</v>
      </c>
      <c r="CS25" s="757" t="str">
        <f ca="1">IF(COUNTIFS($CR$6:$CR$53,CR25,$BC$6:$BC$53,INDEX(T_Equipos[Grupo],MATCH(BD25,T_Equipos[NombreEquipo],0)))=1,"-","P."&amp;CR25&amp;" ("&amp;COUNTIFS($CR$6:$CR$53,CR25,$BC$6:$BC$53,INDEX(T_Equipos[Grupo],MATCH(BD25,T_Equipos[NombreEquipo],0)))&amp;")")</f>
        <v>P.1 (4)</v>
      </c>
      <c r="CT25" s="758">
        <f t="shared" ca="1" si="51"/>
        <v>0</v>
      </c>
      <c r="CU25" s="758">
        <f ca="1">CR25+COUNTIFS($CS$6:$CS$53,CS25,$CT$6:CT$53,"&gt;"&amp;CT25,$BC$6:$BC$53,INDEX(T_Equipos[Grupo],MATCH(BD25,T_Equipos[NombreEquipo],0)))</f>
        <v>1</v>
      </c>
      <c r="CV25" s="757" t="str">
        <f ca="1">IF(COUNTIFS($CU$6:$CU$53,CU25,$BC$6:$BC$53,INDEX(T_Equipos[Grupo],MATCH(BD25,T_Equipos[NombreEquipo],0)))=1,"-","P."&amp;CU25&amp;" ("&amp;COUNTIFS($CU$6:$CU$53,CU25,$BC$6:$BC$53,INDEX(T_Equipos[Grupo],MATCH(BD25,T_Equipos[NombreEquipo],0)))&amp;")")</f>
        <v>P.1 (4)</v>
      </c>
      <c r="CW25" s="757">
        <f t="shared" ca="1" si="30"/>
        <v>0</v>
      </c>
      <c r="CX25" s="757">
        <f ca="1">CU25+COUNTIFS($CV$6:$CV$53,CV25,$CW$6:CW$53,"&gt;"&amp;CW25,$BC$6:$BC$53,INDEX(T_Equipos[Grupo],MATCH(BD25,T_Equipos[NombreEquipo],0)))</f>
        <v>1</v>
      </c>
      <c r="CY25" s="757" t="str">
        <f ca="1">IF(COUNTIFS($CX$6:$CX$53,CX25,$BC$6:$BC$53,INDEX(T_Equipos[Grupo],MATCH(BD25,T_Equipos[NombreEquipo],0)))=1,"-","P."&amp;CX25&amp;" ("&amp;COUNTIFS($CX$6:$CX$53,CX25,$BC$6:$BC$53,INDEX(T_Equipos[Grupo],MATCH(BD25,T_Equipos[NombreEquipo],0)))&amp;")")</f>
        <v>P.1 (4)</v>
      </c>
      <c r="CZ25" s="757">
        <f t="shared" ca="1" si="31"/>
        <v>0</v>
      </c>
      <c r="DA25" s="758">
        <f ca="1">CX25+COUNTIFS($CY$6:$CY$53,CY25,$CZ$6:CZ$53,"&gt;"&amp;CZ25,$BC$6:$BC$53,INDEX(T_Equipos[Grupo],MATCH(BD25,T_Equipos[NombreEquipo],0)))</f>
        <v>1</v>
      </c>
      <c r="DB25" s="757" t="str">
        <f ca="1">IF(COUNTIFS($DA$6:$DA$53,DA25,$BC$6:$BC$53,INDEX(T_Equipos[Grupo],MATCH(BD25,T_Equipos[NombreEquipo],0)))=1,"-","P."&amp;DA25&amp;" ("&amp;COUNTIFS($DA$6:$DA$53,DA25,$BC$6:$BC$53,INDEX(T_Equipos[Grupo],MATCH(BD25,T_Equipos[NombreEquipo],0)))&amp;")")</f>
        <v>P.1 (4)</v>
      </c>
      <c r="DC25" s="756">
        <f ca="1">IF(DB25="-","-",COUNTIFS(T_Equipos[Rank],"&lt;"&amp;INDEX(T_Equipos[Rank],MATCH(BD25,T_Equipos[NombreEquipo],0)),$BC$6:$BC$53,INDEX(T_Equipos[Grupo],MATCH(BD25,T_Equipos[NombreEquipo],0)))+1)</f>
        <v>4</v>
      </c>
      <c r="DD25" s="756">
        <f ca="1">DA25+COUNTIFS($DB$6:$DB$53,DB25,$DC$6:DC$53,"&lt;"&amp;DC25,$BC$6:$BC$53,INDEX(T_Equipos[Grupo],MATCH(BD25,T_Equipos[NombreEquipo],0)))</f>
        <v>4</v>
      </c>
      <c r="DE25" s="756"/>
      <c r="DF25" s="756">
        <f t="shared" ca="1" si="52"/>
        <v>4</v>
      </c>
      <c r="DG25" s="756">
        <f ca="1">IF(DB25="-","-",COUNTIFS(DF$6:DF$53,"&lt;"&amp;DF25,$BC$6:$BC$53,INDEX(T_Equipos[Grupo],MATCH(BD25,T_Equipos[NombreEquipo],0))))</f>
        <v>3</v>
      </c>
      <c r="DH25" s="756">
        <f ca="1">DA25+COUNTIFS(DB$6:DB$53,DB25,DG$6:DG$53,"&lt;"&amp;DG25,$BC$6:$BC$53,INDEX(T_Equipos[Grupo],MATCH(BD25,T_Equipos[NombreEquipo],0)))</f>
        <v>4</v>
      </c>
      <c r="DI25" s="744"/>
      <c r="DJ25" s="744">
        <f t="shared" ca="1" si="53"/>
        <v>1</v>
      </c>
      <c r="DK25" s="744">
        <f t="shared" ca="1" si="24"/>
        <v>0</v>
      </c>
      <c r="DL25" s="744">
        <f t="shared" ca="1" si="33"/>
        <v>1</v>
      </c>
      <c r="DM25" s="738" t="str">
        <f t="shared" ca="1" si="34"/>
        <v>1.1</v>
      </c>
      <c r="DN25" s="744" cm="1">
        <f t="array" aca="1" ref="DN25" ca="1">OFFSET(Horarios!$P$3,DJ25-1,0,DL25,1)</f>
        <v>1</v>
      </c>
      <c r="DO25" s="744"/>
      <c r="DP25" s="744" t="s">
        <v>663</v>
      </c>
      <c r="DQ25" s="744" t="str">
        <f t="shared" ca="1" si="35"/>
        <v>Ecuador</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0</v>
      </c>
      <c r="BF26" s="748">
        <f t="shared" ca="1" si="26"/>
        <v>0</v>
      </c>
      <c r="BG26" s="748">
        <f t="shared" ca="1" si="17"/>
        <v>0</v>
      </c>
      <c r="BH26" s="748">
        <f t="shared" ca="1" si="18"/>
        <v>0</v>
      </c>
      <c r="BI26" s="748">
        <f t="shared" ca="1" si="19"/>
        <v>0</v>
      </c>
      <c r="BJ26" s="748">
        <f t="shared" ca="1" si="20"/>
        <v>0</v>
      </c>
      <c r="BK26" s="748">
        <f t="shared" ca="1" si="21"/>
        <v>0</v>
      </c>
      <c r="BL26" s="748">
        <f t="shared" ca="1" si="27"/>
        <v>0</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0</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P.1 (4)</v>
      </c>
      <c r="BU26" s="758">
        <f t="shared" ca="1" si="36"/>
        <v>0</v>
      </c>
      <c r="BV26" s="758">
        <f t="shared" ca="1" si="37"/>
        <v>0</v>
      </c>
      <c r="BW26" s="758">
        <f t="shared" ca="1" si="38"/>
        <v>0</v>
      </c>
      <c r="BX26" s="758">
        <f t="shared" ca="1" si="39"/>
        <v>0</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P.1 (4)</v>
      </c>
      <c r="CA26" s="758">
        <f t="shared" ca="1" si="40"/>
        <v>0</v>
      </c>
      <c r="CB26" s="758">
        <f t="shared" ca="1" si="41"/>
        <v>0</v>
      </c>
      <c r="CC26" s="758">
        <f t="shared" ca="1" si="42"/>
        <v>0</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P.1 (4)</v>
      </c>
      <c r="CF26" s="758">
        <f t="shared" ca="1" si="43"/>
        <v>0</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P.1 (4)</v>
      </c>
      <c r="CI26" s="758">
        <f t="shared" ca="1" si="44"/>
        <v>0</v>
      </c>
      <c r="CJ26" s="758">
        <f t="shared" ca="1" si="45"/>
        <v>0</v>
      </c>
      <c r="CK26" s="758">
        <f t="shared" ca="1" si="46"/>
        <v>0</v>
      </c>
      <c r="CL26" s="758">
        <f t="shared" ca="1" si="47"/>
        <v>0</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P.1 (4)</v>
      </c>
      <c r="CO26" s="758">
        <f t="shared" ca="1" si="48"/>
        <v>0</v>
      </c>
      <c r="CP26" s="758">
        <f t="shared" ca="1" si="49"/>
        <v>0</v>
      </c>
      <c r="CQ26" s="758">
        <f t="shared" ca="1" si="50"/>
        <v>0</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P.1 (4)</v>
      </c>
      <c r="CT26" s="758">
        <f t="shared" ca="1" si="51"/>
        <v>0</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P.1 (4)</v>
      </c>
      <c r="CW26" s="757">
        <f t="shared" ca="1" si="30"/>
        <v>0</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P.1 (4)</v>
      </c>
      <c r="CZ26" s="757">
        <f t="shared" ca="1" si="31"/>
        <v>0</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P.1 (4)</v>
      </c>
      <c r="DC26" s="756">
        <f ca="1">IF(DB26="-","-",COUNTIFS(T_Equipos[Rank],"&lt;"&amp;INDEX(T_Equipos[Rank],MATCH(BD26,T_Equipos[NombreEquipo],0)),$BC$6:$BC$53,INDEX(T_Equipos[Grupo],MATCH(BD26,T_Equipos[NombreEquipo],0)))+1)</f>
        <v>1</v>
      </c>
      <c r="DD26" s="756">
        <f ca="1">DA26+COUNTIFS($DB$6:$DB$53,DB26,$DC$6:DC$53,"&lt;"&amp;DC26,$BC$6:$BC$53,INDEX(T_Equipos[Grupo],MATCH(BD26,T_Equipos[NombreEquipo],0)))</f>
        <v>1</v>
      </c>
      <c r="DE26" s="756"/>
      <c r="DF26" s="756">
        <f t="shared" ca="1" si="52"/>
        <v>1</v>
      </c>
      <c r="DG26" s="756">
        <f ca="1">IF(DB26="-","-",COUNTIFS(DF$6:DF$53,"&lt;"&amp;DF26,$BC$6:$BC$53,INDEX(T_Equipos[Grupo],MATCH(BD26,T_Equipos[NombreEquipo],0))))</f>
        <v>0</v>
      </c>
      <c r="DH26" s="756">
        <f ca="1">DA26+COUNTIFS(DB$6:DB$53,DB26,DG$6:DG$53,"&lt;"&amp;DG26,$BC$6:$BC$53,INDEX(T_Equipos[Grupo],MATCH(BD26,T_Equipos[NombreEquipo],0)))</f>
        <v>1</v>
      </c>
      <c r="DI26" s="744"/>
      <c r="DJ26" s="744">
        <f t="shared" ca="1" si="53"/>
        <v>1</v>
      </c>
      <c r="DK26" s="744">
        <f t="shared" ca="1" si="24"/>
        <v>0</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0</v>
      </c>
      <c r="BF27" s="748">
        <f t="shared" ca="1" si="26"/>
        <v>0</v>
      </c>
      <c r="BG27" s="748">
        <f t="shared" ca="1" si="17"/>
        <v>0</v>
      </c>
      <c r="BH27" s="748">
        <f t="shared" ca="1" si="18"/>
        <v>0</v>
      </c>
      <c r="BI27" s="748">
        <f t="shared" ca="1" si="19"/>
        <v>0</v>
      </c>
      <c r="BJ27" s="748">
        <f t="shared" ca="1" si="20"/>
        <v>0</v>
      </c>
      <c r="BK27" s="748">
        <f t="shared" ca="1" si="21"/>
        <v>0</v>
      </c>
      <c r="BL27" s="748">
        <f t="shared" ca="1" si="27"/>
        <v>0</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0</v>
      </c>
      <c r="BS27" s="757">
        <f ca="1">BP27+COUNTIFS($BQ$6:$BQ$53,BQ27,$BR$6:BR$53,"&gt;"&amp;BR27,$BC$6:$BC$53,INDEX(T_Equipos[Grupo],MATCH(BD27,T_Equipos[NombreEquipo],0)))</f>
        <v>1</v>
      </c>
      <c r="BT27" s="757" t="str">
        <f ca="1">IF(COUNTIFS($BS$6:$BS$53,BS27,$BC$6:$BC$53,INDEX(T_Equipos[Grupo],MATCH(BD27,T_Equipos[NombreEquipo],0)))=1,"-","P."&amp;BS27&amp;" ("&amp;COUNTIFS($BS$6:$BS$53,BS27,$BC$6:$BC$53,INDEX(T_Equipos[Grupo],MATCH(BD27,T_Equipos[NombreEquipo],0)))&amp;")")</f>
        <v>P.1 (4)</v>
      </c>
      <c r="BU27" s="758">
        <f t="shared" ca="1" si="36"/>
        <v>0</v>
      </c>
      <c r="BV27" s="758">
        <f t="shared" ca="1" si="37"/>
        <v>0</v>
      </c>
      <c r="BW27" s="758">
        <f t="shared" ca="1" si="38"/>
        <v>0</v>
      </c>
      <c r="BX27" s="758">
        <f t="shared" ca="1" si="39"/>
        <v>0</v>
      </c>
      <c r="BY27" s="758">
        <f ca="1">BS27+COUNTIFS($BT$6:$BT$53,BT27,$BX$6:BX$53,"&gt;"&amp;BX27,$BC$6:$BC$53,INDEX(T_Equipos[Grupo],MATCH(BD27,T_Equipos[NombreEquipo],0)))</f>
        <v>1</v>
      </c>
      <c r="BZ27" s="757" t="str">
        <f ca="1">IF(COUNTIFS($BY$6:$BY$53,BY27,$BC$6:$BC$53,INDEX(T_Equipos[Grupo],MATCH(BD27,T_Equipos[NombreEquipo],0)))=1,"-","P."&amp;BY27&amp;" ("&amp;COUNTIFS($BY$6:$BY$53,BY27,$BC$6:$BC$53,INDEX(T_Equipos[Grupo],MATCH(BD27,T_Equipos[NombreEquipo],0)))&amp;")")</f>
        <v>P.1 (4)</v>
      </c>
      <c r="CA27" s="758">
        <f t="shared" ca="1" si="40"/>
        <v>0</v>
      </c>
      <c r="CB27" s="758">
        <f t="shared" ca="1" si="41"/>
        <v>0</v>
      </c>
      <c r="CC27" s="758">
        <f t="shared" ca="1" si="42"/>
        <v>0</v>
      </c>
      <c r="CD27" s="758">
        <f ca="1">BY27+COUNTIFS($BZ$6:$BZ$53,BZ27,$CC$6:CC$53,"&gt;"&amp;CC27,$BC$6:$BC$53,INDEX(T_Equipos[Grupo],MATCH(BD27,T_Equipos[NombreEquipo],0)))</f>
        <v>1</v>
      </c>
      <c r="CE27" s="757" t="str">
        <f ca="1">IF(COUNTIFS($CD$6:$CD$53,CD27,$BC$6:$BC$53,INDEX(T_Equipos[Grupo],MATCH(BD27,T_Equipos[NombreEquipo],0)))=1,"-","P."&amp;CD27&amp;" ("&amp;COUNTIFS($CD$6:$CD$53,CD27,$BC$6:$BC$53,INDEX(T_Equipos[Grupo],MATCH(BD27,T_Equipos[NombreEquipo],0)))&amp;")")</f>
        <v>P.1 (4)</v>
      </c>
      <c r="CF27" s="758">
        <f t="shared" ca="1" si="43"/>
        <v>0</v>
      </c>
      <c r="CG27" s="758">
        <f ca="1">CD27+COUNTIFS($CE$6:$CE$53,CE27,$CF$6:CF$53,"&gt;"&amp;CF27,$BC$6:$BC$53,INDEX(T_Equipos[Grupo],MATCH(BD27,T_Equipos[NombreEquipo],0)))</f>
        <v>1</v>
      </c>
      <c r="CH27" s="757" t="str">
        <f ca="1">IF(COUNTIFS($CG$6:$CG$53,CG27,$BC$6:$BC$53,INDEX(T_Equipos[Grupo],MATCH(BD27,T_Equipos[NombreEquipo],0)))=1,"-","P."&amp;CG27&amp;" ("&amp;COUNTIFS($CG$6:$CG$53,CG27,$BC$6:$BC$53,INDEX(T_Equipos[Grupo],MATCH(BD27,T_Equipos[NombreEquipo],0)))&amp;")")</f>
        <v>P.1 (4)</v>
      </c>
      <c r="CI27" s="758">
        <f t="shared" ca="1" si="44"/>
        <v>0</v>
      </c>
      <c r="CJ27" s="758">
        <f t="shared" ca="1" si="45"/>
        <v>0</v>
      </c>
      <c r="CK27" s="758">
        <f t="shared" ca="1" si="46"/>
        <v>0</v>
      </c>
      <c r="CL27" s="758">
        <f t="shared" ca="1" si="47"/>
        <v>0</v>
      </c>
      <c r="CM27" s="758">
        <f ca="1">CG27+COUNTIFS($CH$6:$CH$53,CH27,$CL$6:CL$53,"&gt;"&amp;CL27,$BC$6:$BC$53,INDEX(T_Equipos[Grupo],MATCH(BD27,T_Equipos[NombreEquipo],0)))</f>
        <v>1</v>
      </c>
      <c r="CN27" s="757" t="str">
        <f ca="1">IF(COUNTIFS($CM$6:$CM$53,CM27,$BC$6:$BC$53,INDEX(T_Equipos[Grupo],MATCH(BD27,T_Equipos[NombreEquipo],0)))=1,"-","P."&amp;CM27&amp;" ("&amp;COUNTIFS($CM$6:$CM$53,CM27,$BC$6:$BC$53,INDEX(T_Equipos[Grupo],MATCH(BD27,T_Equipos[NombreEquipo],0)))&amp;")")</f>
        <v>P.1 (4)</v>
      </c>
      <c r="CO27" s="758">
        <f t="shared" ca="1" si="48"/>
        <v>0</v>
      </c>
      <c r="CP27" s="758">
        <f t="shared" ca="1" si="49"/>
        <v>0</v>
      </c>
      <c r="CQ27" s="758">
        <f t="shared" ca="1" si="50"/>
        <v>0</v>
      </c>
      <c r="CR27" s="758">
        <f ca="1">CM27+COUNTIFS($CN$6:$CN$53,CN27,$CQ$6:CQ$53,"&gt;"&amp;CQ27,$BC$6:$BC$53,INDEX(T_Equipos[Grupo],MATCH(BD27,T_Equipos[NombreEquipo],0)))</f>
        <v>1</v>
      </c>
      <c r="CS27" s="757" t="str">
        <f ca="1">IF(COUNTIFS($CR$6:$CR$53,CR27,$BC$6:$BC$53,INDEX(T_Equipos[Grupo],MATCH(BD27,T_Equipos[NombreEquipo],0)))=1,"-","P."&amp;CR27&amp;" ("&amp;COUNTIFS($CR$6:$CR$53,CR27,$BC$6:$BC$53,INDEX(T_Equipos[Grupo],MATCH(BD27,T_Equipos[NombreEquipo],0)))&amp;")")</f>
        <v>P.1 (4)</v>
      </c>
      <c r="CT27" s="758">
        <f t="shared" ca="1" si="51"/>
        <v>0</v>
      </c>
      <c r="CU27" s="758">
        <f ca="1">CR27+COUNTIFS($CS$6:$CS$53,CS27,$CT$6:CT$53,"&gt;"&amp;CT27,$BC$6:$BC$53,INDEX(T_Equipos[Grupo],MATCH(BD27,T_Equipos[NombreEquipo],0)))</f>
        <v>1</v>
      </c>
      <c r="CV27" s="757" t="str">
        <f ca="1">IF(COUNTIFS($CU$6:$CU$53,CU27,$BC$6:$BC$53,INDEX(T_Equipos[Grupo],MATCH(BD27,T_Equipos[NombreEquipo],0)))=1,"-","P."&amp;CU27&amp;" ("&amp;COUNTIFS($CU$6:$CU$53,CU27,$BC$6:$BC$53,INDEX(T_Equipos[Grupo],MATCH(BD27,T_Equipos[NombreEquipo],0)))&amp;")")</f>
        <v>P.1 (4)</v>
      </c>
      <c r="CW27" s="757">
        <f t="shared" ca="1" si="30"/>
        <v>0</v>
      </c>
      <c r="CX27" s="757">
        <f ca="1">CU27+COUNTIFS($CV$6:$CV$53,CV27,$CW$6:CW$53,"&gt;"&amp;CW27,$BC$6:$BC$53,INDEX(T_Equipos[Grupo],MATCH(BD27,T_Equipos[NombreEquipo],0)))</f>
        <v>1</v>
      </c>
      <c r="CY27" s="757" t="str">
        <f ca="1">IF(COUNTIFS($CX$6:$CX$53,CX27,$BC$6:$BC$53,INDEX(T_Equipos[Grupo],MATCH(BD27,T_Equipos[NombreEquipo],0)))=1,"-","P."&amp;CX27&amp;" ("&amp;COUNTIFS($CX$6:$CX$53,CX27,$BC$6:$BC$53,INDEX(T_Equipos[Grupo],MATCH(BD27,T_Equipos[NombreEquipo],0)))&amp;")")</f>
        <v>P.1 (4)</v>
      </c>
      <c r="CZ27" s="757">
        <f t="shared" ca="1" si="31"/>
        <v>0</v>
      </c>
      <c r="DA27" s="758">
        <f ca="1">CX27+COUNTIFS($CY$6:$CY$53,CY27,$CZ$6:CZ$53,"&gt;"&amp;CZ27,$BC$6:$BC$53,INDEX(T_Equipos[Grupo],MATCH(BD27,T_Equipos[NombreEquipo],0)))</f>
        <v>1</v>
      </c>
      <c r="DB27" s="757" t="str">
        <f ca="1">IF(COUNTIFS($DA$6:$DA$53,DA27,$BC$6:$BC$53,INDEX(T_Equipos[Grupo],MATCH(BD27,T_Equipos[NombreEquipo],0)))=1,"-","P."&amp;DA27&amp;" ("&amp;COUNTIFS($DA$6:$DA$53,DA27,$BC$6:$BC$53,INDEX(T_Equipos[Grupo],MATCH(BD27,T_Equipos[NombreEquipo],0)))&amp;")")</f>
        <v>P.1 (4)</v>
      </c>
      <c r="DC27" s="756">
        <f ca="1">IF(DB27="-","-",COUNTIFS(T_Equipos[Rank],"&lt;"&amp;INDEX(T_Equipos[Rank],MATCH(BD27,T_Equipos[NombreEquipo],0)),$BC$6:$BC$53,INDEX(T_Equipos[Grupo],MATCH(BD27,T_Equipos[NombreEquipo],0)))+1)</f>
        <v>2</v>
      </c>
      <c r="DD27" s="756">
        <f ca="1">DA27+COUNTIFS($DB$6:$DB$53,DB27,$DC$6:DC$53,"&lt;"&amp;DC27,$BC$6:$BC$53,INDEX(T_Equipos[Grupo],MATCH(BD27,T_Equipos[NombreEquipo],0)))</f>
        <v>2</v>
      </c>
      <c r="DE27" s="756"/>
      <c r="DF27" s="756">
        <f t="shared" ca="1" si="52"/>
        <v>2</v>
      </c>
      <c r="DG27" s="756">
        <f ca="1">IF(DB27="-","-",COUNTIFS(DF$6:DF$53,"&lt;"&amp;DF27,$BC$6:$BC$53,INDEX(T_Equipos[Grupo],MATCH(BD27,T_Equipos[NombreEquipo],0))))</f>
        <v>1</v>
      </c>
      <c r="DH27" s="756">
        <f ca="1">DA27+COUNTIFS(DB$6:DB$53,DB27,DG$6:DG$53,"&lt;"&amp;DG27,$BC$6:$BC$53,INDEX(T_Equipos[Grupo],MATCH(BD27,T_Equipos[NombreEquipo],0)))</f>
        <v>2</v>
      </c>
      <c r="DI27" s="744"/>
      <c r="DJ27" s="744">
        <f t="shared" ca="1" si="53"/>
        <v>1</v>
      </c>
      <c r="DK27" s="744">
        <f t="shared" ca="1" si="24"/>
        <v>0</v>
      </c>
      <c r="DL27" s="744">
        <f t="shared" ca="1" si="33"/>
        <v>1</v>
      </c>
      <c r="DM27" s="738" t="str">
        <f t="shared" ca="1" si="34"/>
        <v>1.1</v>
      </c>
      <c r="DN27" s="744" cm="1">
        <f t="array" aca="1" ref="DN27" ca="1">OFFSET(Horarios!$P$3,DJ27-1,0,DL27,1)</f>
        <v>1</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Pendiente</v>
      </c>
      <c r="E28" s="744" t="str">
        <f t="shared" ref="E28:E33" si="95">IF(D28="Pendiente","-",INDEX($BT$6:$BT$53,MATCH($AA28,$BD$6:$BD$53,0)))</f>
        <v>-</v>
      </c>
      <c r="F28" s="744" t="str">
        <f t="shared" ref="F28:F33" si="96">IF(D28="Pendiente","-",INDEX($BT$6:$BT$53,MATCH($AF28,$BD$6:$BD$53,0)))</f>
        <v>-</v>
      </c>
      <c r="G28" s="744"/>
      <c r="H28" s="744" t="str">
        <f t="shared" ref="H28:H33" si="97">IF(D28="Pendiente","-",INDEX($BZ$6:$BZ$53,MATCH($AA28,$BD$6:$BD$53,0)))</f>
        <v>-</v>
      </c>
      <c r="I28" s="744" t="str">
        <f t="shared" ref="I28:I33" si="98">IF(D28="Pendiente","-",INDEX($BZ$6:$BZ$53,MATCH($AF28,$BD$6:$BD$53,0)))</f>
        <v>-</v>
      </c>
      <c r="J28" s="744"/>
      <c r="K28" s="744" t="str">
        <f t="shared" ref="K28:K33" si="99">IF(D28="Pendiente","-",INDEX($CE$6:$CE$53,MATCH($AA28,$BD$6:$BD$53,0)))</f>
        <v>-</v>
      </c>
      <c r="L28" s="744" t="str">
        <f t="shared" ref="L28:L33" si="100">IF(D28="Pendiente","-",INDEX($CE$6:$CE$53,MATCH($AF28,$BD$6:$BD$53,0)))</f>
        <v>-</v>
      </c>
      <c r="M28" s="744"/>
      <c r="N28" s="744" t="str">
        <f t="shared" ref="N28:N33" si="101">IF(D28="Pendiente","-",INDEX($CH$6:$CH$53,MATCH($AA28,$BD$6:$BD$53,0)))</f>
        <v>-</v>
      </c>
      <c r="O28" s="744" t="str">
        <f t="shared" ref="O28:O33" si="102">IF(D28="Pendiente","-",INDEX($CH$6:$CH$53,MATCH($AF28,$BD$6:$BD$53,0)))</f>
        <v>-</v>
      </c>
      <c r="P28" s="744"/>
      <c r="Q28" s="744" t="str">
        <f t="shared" ref="Q28:Q33" si="103">IF(D28="Pendiente","-",INDEX($CN$6:$CN$53,MATCH($AA28,$BD$6:$BD$53,0)))</f>
        <v>-</v>
      </c>
      <c r="R28" s="744" t="str">
        <f t="shared" ref="R28:R33" si="104">IF(D28="Pendiente","-",INDEX($CN$6:$CN$53,MATCH($AF28,$BD$6:$BD$53,0)))</f>
        <v>-</v>
      </c>
      <c r="S28" s="744"/>
      <c r="T28" s="744" t="str">
        <f t="shared" ref="T28:T33" si="105">IF(D28="Pendiente","-",INDEX($CS$6:$CS$53,MATCH($AA28,$BD$6:$BD$53,0)))</f>
        <v>-</v>
      </c>
      <c r="U28" s="744" t="str">
        <f t="shared" ref="U28:U33" si="106">IF(D28="Pendiente","-",INDEX($CS$6:$CS$53,MATCH($AF28,$BD$6:$BD$53,0)))</f>
        <v>-</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c r="AD28" s="194"/>
      <c r="AE28" s="483" t="e" cm="1" vm="14">
        <f t="array" aca="1" ref="AE28" ca="1">Ver_flag_visit</f>
        <v>#VALUE!</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0</v>
      </c>
      <c r="BF28" s="748">
        <f t="shared" ca="1" si="26"/>
        <v>0</v>
      </c>
      <c r="BG28" s="748">
        <f t="shared" ca="1" si="17"/>
        <v>0</v>
      </c>
      <c r="BH28" s="748">
        <f t="shared" ca="1" si="18"/>
        <v>0</v>
      </c>
      <c r="BI28" s="748">
        <f t="shared" ca="1" si="19"/>
        <v>0</v>
      </c>
      <c r="BJ28" s="748">
        <f t="shared" ca="1" si="20"/>
        <v>0</v>
      </c>
      <c r="BK28" s="748">
        <f t="shared" ca="1" si="21"/>
        <v>0</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0</v>
      </c>
      <c r="BS28" s="757">
        <f ca="1">BP28+COUNTIFS($BQ$6:$BQ$53,BQ28,$BR$6:BR$53,"&gt;"&amp;BR28,$BC$6:$BC$53,INDEX(T_Equipos[Grupo],MATCH(BD28,T_Equipos[NombreEquipo],0)))</f>
        <v>1</v>
      </c>
      <c r="BT28" s="757" t="str">
        <f ca="1">IF(COUNTIFS($BS$6:$BS$53,BS28,$BC$6:$BC$53,INDEX(T_Equipos[Grupo],MATCH(BD28,T_Equipos[NombreEquipo],0)))=1,"-","P."&amp;BS28&amp;" ("&amp;COUNTIFS($BS$6:$BS$53,BS28,$BC$6:$BC$53,INDEX(T_Equipos[Grupo],MATCH(BD28,T_Equipos[NombreEquipo],0)))&amp;")")</f>
        <v>P.1 (4)</v>
      </c>
      <c r="BU28" s="758">
        <f t="shared" ca="1" si="36"/>
        <v>0</v>
      </c>
      <c r="BV28" s="758">
        <f t="shared" ca="1" si="37"/>
        <v>0</v>
      </c>
      <c r="BW28" s="758">
        <f t="shared" ca="1" si="38"/>
        <v>0</v>
      </c>
      <c r="BX28" s="758">
        <f t="shared" ca="1" si="39"/>
        <v>0</v>
      </c>
      <c r="BY28" s="758">
        <f ca="1">BS28+COUNTIFS($BT$6:$BT$53,BT28,$BX$6:BX$53,"&gt;"&amp;BX28,$BC$6:$BC$53,INDEX(T_Equipos[Grupo],MATCH(BD28,T_Equipos[NombreEquipo],0)))</f>
        <v>1</v>
      </c>
      <c r="BZ28" s="757" t="str">
        <f ca="1">IF(COUNTIFS($BY$6:$BY$53,BY28,$BC$6:$BC$53,INDEX(T_Equipos[Grupo],MATCH(BD28,T_Equipos[NombreEquipo],0)))=1,"-","P."&amp;BY28&amp;" ("&amp;COUNTIFS($BY$6:$BY$53,BY28,$BC$6:$BC$53,INDEX(T_Equipos[Grupo],MATCH(BD28,T_Equipos[NombreEquipo],0)))&amp;")")</f>
        <v>P.1 (4)</v>
      </c>
      <c r="CA28" s="758">
        <f t="shared" ca="1" si="40"/>
        <v>0</v>
      </c>
      <c r="CB28" s="758">
        <f t="shared" ca="1" si="41"/>
        <v>0</v>
      </c>
      <c r="CC28" s="758">
        <f t="shared" ca="1" si="42"/>
        <v>0</v>
      </c>
      <c r="CD28" s="758">
        <f ca="1">BY28+COUNTIFS($BZ$6:$BZ$53,BZ28,$CC$6:CC$53,"&gt;"&amp;CC28,$BC$6:$BC$53,INDEX(T_Equipos[Grupo],MATCH(BD28,T_Equipos[NombreEquipo],0)))</f>
        <v>1</v>
      </c>
      <c r="CE28" s="757" t="str">
        <f ca="1">IF(COUNTIFS($CD$6:$CD$53,CD28,$BC$6:$BC$53,INDEX(T_Equipos[Grupo],MATCH(BD28,T_Equipos[NombreEquipo],0)))=1,"-","P."&amp;CD28&amp;" ("&amp;COUNTIFS($CD$6:$CD$53,CD28,$BC$6:$BC$53,INDEX(T_Equipos[Grupo],MATCH(BD28,T_Equipos[NombreEquipo],0)))&amp;")")</f>
        <v>P.1 (4)</v>
      </c>
      <c r="CF28" s="758">
        <f t="shared" ca="1" si="43"/>
        <v>0</v>
      </c>
      <c r="CG28" s="758">
        <f ca="1">CD28+COUNTIFS($CE$6:$CE$53,CE28,$CF$6:CF$53,"&gt;"&amp;CF28,$BC$6:$BC$53,INDEX(T_Equipos[Grupo],MATCH(BD28,T_Equipos[NombreEquipo],0)))</f>
        <v>1</v>
      </c>
      <c r="CH28" s="757" t="str">
        <f ca="1">IF(COUNTIFS($CG$6:$CG$53,CG28,$BC$6:$BC$53,INDEX(T_Equipos[Grupo],MATCH(BD28,T_Equipos[NombreEquipo],0)))=1,"-","P."&amp;CG28&amp;" ("&amp;COUNTIFS($CG$6:$CG$53,CG28,$BC$6:$BC$53,INDEX(T_Equipos[Grupo],MATCH(BD28,T_Equipos[NombreEquipo],0)))&amp;")")</f>
        <v>P.1 (4)</v>
      </c>
      <c r="CI28" s="758">
        <f t="shared" ca="1" si="44"/>
        <v>0</v>
      </c>
      <c r="CJ28" s="758">
        <f t="shared" ca="1" si="45"/>
        <v>0</v>
      </c>
      <c r="CK28" s="758">
        <f t="shared" ca="1" si="46"/>
        <v>0</v>
      </c>
      <c r="CL28" s="758">
        <f t="shared" ca="1" si="47"/>
        <v>0</v>
      </c>
      <c r="CM28" s="758">
        <f ca="1">CG28+COUNTIFS($CH$6:$CH$53,CH28,$CL$6:CL$53,"&gt;"&amp;CL28,$BC$6:$BC$53,INDEX(T_Equipos[Grupo],MATCH(BD28,T_Equipos[NombreEquipo],0)))</f>
        <v>1</v>
      </c>
      <c r="CN28" s="757" t="str">
        <f ca="1">IF(COUNTIFS($CM$6:$CM$53,CM28,$BC$6:$BC$53,INDEX(T_Equipos[Grupo],MATCH(BD28,T_Equipos[NombreEquipo],0)))=1,"-","P."&amp;CM28&amp;" ("&amp;COUNTIFS($CM$6:$CM$53,CM28,$BC$6:$BC$53,INDEX(T_Equipos[Grupo],MATCH(BD28,T_Equipos[NombreEquipo],0)))&amp;")")</f>
        <v>P.1 (4)</v>
      </c>
      <c r="CO28" s="758">
        <f t="shared" ca="1" si="48"/>
        <v>0</v>
      </c>
      <c r="CP28" s="758">
        <f t="shared" ca="1" si="49"/>
        <v>0</v>
      </c>
      <c r="CQ28" s="758">
        <f t="shared" ca="1" si="50"/>
        <v>0</v>
      </c>
      <c r="CR28" s="758">
        <f ca="1">CM28+COUNTIFS($CN$6:$CN$53,CN28,$CQ$6:CQ$53,"&gt;"&amp;CQ28,$BC$6:$BC$53,INDEX(T_Equipos[Grupo],MATCH(BD28,T_Equipos[NombreEquipo],0)))</f>
        <v>1</v>
      </c>
      <c r="CS28" s="757" t="str">
        <f ca="1">IF(COUNTIFS($CR$6:$CR$53,CR28,$BC$6:$BC$53,INDEX(T_Equipos[Grupo],MATCH(BD28,T_Equipos[NombreEquipo],0)))=1,"-","P."&amp;CR28&amp;" ("&amp;COUNTIFS($CR$6:$CR$53,CR28,$BC$6:$BC$53,INDEX(T_Equipos[Grupo],MATCH(BD28,T_Equipos[NombreEquipo],0)))&amp;")")</f>
        <v>P.1 (4)</v>
      </c>
      <c r="CT28" s="758">
        <f t="shared" ca="1" si="51"/>
        <v>0</v>
      </c>
      <c r="CU28" s="758">
        <f ca="1">CR28+COUNTIFS($CS$6:$CS$53,CS28,$CT$6:CT$53,"&gt;"&amp;CT28,$BC$6:$BC$53,INDEX(T_Equipos[Grupo],MATCH(BD28,T_Equipos[NombreEquipo],0)))</f>
        <v>1</v>
      </c>
      <c r="CV28" s="757" t="str">
        <f ca="1">IF(COUNTIFS($CU$6:$CU$53,CU28,$BC$6:$BC$53,INDEX(T_Equipos[Grupo],MATCH(BD28,T_Equipos[NombreEquipo],0)))=1,"-","P."&amp;CU28&amp;" ("&amp;COUNTIFS($CU$6:$CU$53,CU28,$BC$6:$BC$53,INDEX(T_Equipos[Grupo],MATCH(BD28,T_Equipos[NombreEquipo],0)))&amp;")")</f>
        <v>P.1 (4)</v>
      </c>
      <c r="CW28" s="757">
        <f t="shared" ca="1" si="30"/>
        <v>0</v>
      </c>
      <c r="CX28" s="757">
        <f ca="1">CU28+COUNTIFS($CV$6:$CV$53,CV28,$CW$6:CW$53,"&gt;"&amp;CW28,$BC$6:$BC$53,INDEX(T_Equipos[Grupo],MATCH(BD28,T_Equipos[NombreEquipo],0)))</f>
        <v>1</v>
      </c>
      <c r="CY28" s="757" t="str">
        <f ca="1">IF(COUNTIFS($CX$6:$CX$53,CX28,$BC$6:$BC$53,INDEX(T_Equipos[Grupo],MATCH(BD28,T_Equipos[NombreEquipo],0)))=1,"-","P."&amp;CX28&amp;" ("&amp;COUNTIFS($CX$6:$CX$53,CX28,$BC$6:$BC$53,INDEX(T_Equipos[Grupo],MATCH(BD28,T_Equipos[NombreEquipo],0)))&amp;")")</f>
        <v>P.1 (4)</v>
      </c>
      <c r="CZ28" s="757">
        <f t="shared" ca="1" si="31"/>
        <v>0</v>
      </c>
      <c r="DA28" s="758">
        <f ca="1">CX28+COUNTIFS($CY$6:$CY$53,CY28,$CZ$6:CZ$53,"&gt;"&amp;CZ28,$BC$6:$BC$53,INDEX(T_Equipos[Grupo],MATCH(BD28,T_Equipos[NombreEquipo],0)))</f>
        <v>1</v>
      </c>
      <c r="DB28" s="757" t="str">
        <f ca="1">IF(COUNTIFS($DA$6:$DA$53,DA28,$BC$6:$BC$53,INDEX(T_Equipos[Grupo],MATCH(BD28,T_Equipos[NombreEquipo],0)))=1,"-","P."&amp;DA28&amp;" ("&amp;COUNTIFS($DA$6:$DA$53,DA28,$BC$6:$BC$53,INDEX(T_Equipos[Grupo],MATCH(BD28,T_Equipos[NombreEquipo],0)))&amp;")")</f>
        <v>P.1 (4)</v>
      </c>
      <c r="DC28" s="756">
        <f ca="1">IF(DB28="-","-",COUNTIFS(T_Equipos[Rank],"&lt;"&amp;INDEX(T_Equipos[Rank],MATCH(BD28,T_Equipos[NombreEquipo],0)),$BC$6:$BC$53,INDEX(T_Equipos[Grupo],MATCH(BD28,T_Equipos[NombreEquipo],0)))+1)</f>
        <v>3</v>
      </c>
      <c r="DD28" s="756">
        <f ca="1">DA28+COUNTIFS($DB$6:$DB$53,DB28,$DC$6:DC$53,"&lt;"&amp;DC28,$BC$6:$BC$53,INDEX(T_Equipos[Grupo],MATCH(BD28,T_Equipos[NombreEquipo],0)))</f>
        <v>3</v>
      </c>
      <c r="DE28" s="756"/>
      <c r="DF28" s="756">
        <f t="shared" ca="1" si="52"/>
        <v>3</v>
      </c>
      <c r="DG28" s="756">
        <f ca="1">IF(DB28="-","-",COUNTIFS(DF$6:DF$53,"&lt;"&amp;DF28,$BC$6:$BC$53,INDEX(T_Equipos[Grupo],MATCH(BD28,T_Equipos[NombreEquipo],0))))</f>
        <v>2</v>
      </c>
      <c r="DH28" s="756">
        <f ca="1">DA28+COUNTIFS(DB$6:DB$53,DB28,DG$6:DG$53,"&lt;"&amp;DG28,$BC$6:$BC$53,INDEX(T_Equipos[Grupo],MATCH(BD28,T_Equipos[NombreEquipo],0)))</f>
        <v>3</v>
      </c>
      <c r="DI28" s="744"/>
      <c r="DJ28" s="744">
        <f t="shared" ca="1" si="53"/>
        <v>1</v>
      </c>
      <c r="DK28" s="744">
        <f t="shared" ca="1" si="24"/>
        <v>0</v>
      </c>
      <c r="DL28" s="744">
        <f t="shared" ca="1" si="33"/>
        <v>1</v>
      </c>
      <c r="DM28" s="738" t="str">
        <f t="shared" ca="1" si="34"/>
        <v>1.1</v>
      </c>
      <c r="DN28" s="744" cm="1">
        <f t="array" aca="1" ref="DN28" ca="1">OFFSET(Horarios!$P$3,DJ28-1,0,DL28,1)</f>
        <v>1</v>
      </c>
      <c r="DO28" s="744"/>
      <c r="DP28" s="744" t="s">
        <v>94</v>
      </c>
      <c r="DQ28" s="744" t="str">
        <f t="shared" ca="1" si="35"/>
        <v>Suecia</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Pendiente</v>
      </c>
      <c r="E29" s="744" t="str">
        <f t="shared" si="95"/>
        <v>-</v>
      </c>
      <c r="F29" s="744" t="str">
        <f t="shared" si="96"/>
        <v>-</v>
      </c>
      <c r="G29" s="744"/>
      <c r="H29" s="744" t="str">
        <f t="shared" si="97"/>
        <v>-</v>
      </c>
      <c r="I29" s="744" t="str">
        <f t="shared" si="98"/>
        <v>-</v>
      </c>
      <c r="J29" s="744"/>
      <c r="K29" s="744" t="str">
        <f t="shared" si="99"/>
        <v>-</v>
      </c>
      <c r="L29" s="744" t="str">
        <f t="shared" si="100"/>
        <v>-</v>
      </c>
      <c r="M29" s="744"/>
      <c r="N29" s="744" t="str">
        <f t="shared" si="101"/>
        <v>-</v>
      </c>
      <c r="O29" s="744" t="str">
        <f t="shared" si="102"/>
        <v>-</v>
      </c>
      <c r="P29" s="744"/>
      <c r="Q29" s="744" t="str">
        <f t="shared" si="103"/>
        <v>-</v>
      </c>
      <c r="R29" s="744" t="str">
        <f t="shared" si="104"/>
        <v>-</v>
      </c>
      <c r="S29" s="744"/>
      <c r="T29" s="744" t="str">
        <f t="shared" si="105"/>
        <v>-</v>
      </c>
      <c r="U29" s="744" t="str">
        <f t="shared" si="106"/>
        <v>-</v>
      </c>
      <c r="V29" s="172"/>
      <c r="W29" s="839"/>
      <c r="X29" s="189">
        <f ca="1">Horarios!C29</f>
        <v>46187.25</v>
      </c>
      <c r="Y29" s="190">
        <f ca="1">Horarios!C29</f>
        <v>46187.25</v>
      </c>
      <c r="Z29" s="191" t="str">
        <f>$Z$4</f>
        <v>J1</v>
      </c>
      <c r="AA29" s="192" t="str">
        <f ca="1">A31</f>
        <v>Australia</v>
      </c>
      <c r="AB29" s="478" t="e" cm="1" vm="15">
        <f t="array" aca="1" ref="AB29" ca="1">Ver_flag_local</f>
        <v>#VALUE!</v>
      </c>
      <c r="AC29" s="193"/>
      <c r="AD29" s="194"/>
      <c r="AE29" s="483" t="e" cm="1" vm="16">
        <f t="array" aca="1" ref="AE29" ca="1">Ver_flag_visit</f>
        <v>#VALUE!</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0</v>
      </c>
      <c r="BG29" s="748">
        <f t="shared" ca="1" si="17"/>
        <v>0</v>
      </c>
      <c r="BH29" s="748">
        <f t="shared" ca="1" si="18"/>
        <v>0</v>
      </c>
      <c r="BI29" s="748">
        <f t="shared" ca="1" si="19"/>
        <v>0</v>
      </c>
      <c r="BJ29" s="748">
        <f t="shared" ca="1" si="20"/>
        <v>0</v>
      </c>
      <c r="BK29" s="748">
        <f t="shared" ca="1" si="21"/>
        <v>0</v>
      </c>
      <c r="BL29" s="748">
        <f t="shared" ca="1" si="27"/>
        <v>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1</v>
      </c>
      <c r="BT29" s="757" t="str">
        <f ca="1">IF(COUNTIFS($BS$6:$BS$53,BS29,$BC$6:$BC$53,INDEX(T_Equipos[Grupo],MATCH(BD29,T_Equipos[NombreEquipo],0)))=1,"-","P."&amp;BS29&amp;" ("&amp;COUNTIFS($BS$6:$BS$53,BS29,$BC$6:$BC$53,INDEX(T_Equipos[Grupo],MATCH(BD29,T_Equipos[NombreEquipo],0)))&amp;")")</f>
        <v>P.1 (4)</v>
      </c>
      <c r="BU29" s="758">
        <f t="shared" ca="1" si="36"/>
        <v>0</v>
      </c>
      <c r="BV29" s="758">
        <f t="shared" ca="1" si="37"/>
        <v>0</v>
      </c>
      <c r="BW29" s="758">
        <f t="shared" ca="1" si="38"/>
        <v>0</v>
      </c>
      <c r="BX29" s="758">
        <f t="shared" ca="1" si="39"/>
        <v>0</v>
      </c>
      <c r="BY29" s="758">
        <f ca="1">BS29+COUNTIFS($BT$6:$BT$53,BT29,$BX$6:BX$53,"&gt;"&amp;BX29,$BC$6:$BC$53,INDEX(T_Equipos[Grupo],MATCH(BD29,T_Equipos[NombreEquipo],0)))</f>
        <v>1</v>
      </c>
      <c r="BZ29" s="757" t="str">
        <f ca="1">IF(COUNTIFS($BY$6:$BY$53,BY29,$BC$6:$BC$53,INDEX(T_Equipos[Grupo],MATCH(BD29,T_Equipos[NombreEquipo],0)))=1,"-","P."&amp;BY29&amp;" ("&amp;COUNTIFS($BY$6:$BY$53,BY29,$BC$6:$BC$53,INDEX(T_Equipos[Grupo],MATCH(BD29,T_Equipos[NombreEquipo],0)))&amp;")")</f>
        <v>P.1 (4)</v>
      </c>
      <c r="CA29" s="758">
        <f t="shared" ca="1" si="40"/>
        <v>0</v>
      </c>
      <c r="CB29" s="758">
        <f t="shared" ca="1" si="41"/>
        <v>0</v>
      </c>
      <c r="CC29" s="758">
        <f t="shared" ca="1" si="42"/>
        <v>0</v>
      </c>
      <c r="CD29" s="758">
        <f ca="1">BY29+COUNTIFS($BZ$6:$BZ$53,BZ29,$CC$6:CC$53,"&gt;"&amp;CC29,$BC$6:$BC$53,INDEX(T_Equipos[Grupo],MATCH(BD29,T_Equipos[NombreEquipo],0)))</f>
        <v>1</v>
      </c>
      <c r="CE29" s="757" t="str">
        <f ca="1">IF(COUNTIFS($CD$6:$CD$53,CD29,$BC$6:$BC$53,INDEX(T_Equipos[Grupo],MATCH(BD29,T_Equipos[NombreEquipo],0)))=1,"-","P."&amp;CD29&amp;" ("&amp;COUNTIFS($CD$6:$CD$53,CD29,$BC$6:$BC$53,INDEX(T_Equipos[Grupo],MATCH(BD29,T_Equipos[NombreEquipo],0)))&amp;")")</f>
        <v>P.1 (4)</v>
      </c>
      <c r="CF29" s="758">
        <f t="shared" ca="1" si="43"/>
        <v>0</v>
      </c>
      <c r="CG29" s="758">
        <f ca="1">CD29+COUNTIFS($CE$6:$CE$53,CE29,$CF$6:CF$53,"&gt;"&amp;CF29,$BC$6:$BC$53,INDEX(T_Equipos[Grupo],MATCH(BD29,T_Equipos[NombreEquipo],0)))</f>
        <v>1</v>
      </c>
      <c r="CH29" s="757" t="str">
        <f ca="1">IF(COUNTIFS($CG$6:$CG$53,CG29,$BC$6:$BC$53,INDEX(T_Equipos[Grupo],MATCH(BD29,T_Equipos[NombreEquipo],0)))=1,"-","P."&amp;CG29&amp;" ("&amp;COUNTIFS($CG$6:$CG$53,CG29,$BC$6:$BC$53,INDEX(T_Equipos[Grupo],MATCH(BD29,T_Equipos[NombreEquipo],0)))&amp;")")</f>
        <v>P.1 (4)</v>
      </c>
      <c r="CI29" s="758">
        <f t="shared" ca="1" si="44"/>
        <v>0</v>
      </c>
      <c r="CJ29" s="758">
        <f t="shared" ca="1" si="45"/>
        <v>0</v>
      </c>
      <c r="CK29" s="758">
        <f t="shared" ca="1" si="46"/>
        <v>0</v>
      </c>
      <c r="CL29" s="758">
        <f t="shared" ca="1" si="47"/>
        <v>0</v>
      </c>
      <c r="CM29" s="758">
        <f ca="1">CG29+COUNTIFS($CH$6:$CH$53,CH29,$CL$6:CL$53,"&gt;"&amp;CL29,$BC$6:$BC$53,INDEX(T_Equipos[Grupo],MATCH(BD29,T_Equipos[NombreEquipo],0)))</f>
        <v>1</v>
      </c>
      <c r="CN29" s="757" t="str">
        <f ca="1">IF(COUNTIFS($CM$6:$CM$53,CM29,$BC$6:$BC$53,INDEX(T_Equipos[Grupo],MATCH(BD29,T_Equipos[NombreEquipo],0)))=1,"-","P."&amp;CM29&amp;" ("&amp;COUNTIFS($CM$6:$CM$53,CM29,$BC$6:$BC$53,INDEX(T_Equipos[Grupo],MATCH(BD29,T_Equipos[NombreEquipo],0)))&amp;")")</f>
        <v>P.1 (4)</v>
      </c>
      <c r="CO29" s="758">
        <f t="shared" ca="1" si="48"/>
        <v>0</v>
      </c>
      <c r="CP29" s="758">
        <f t="shared" ca="1" si="49"/>
        <v>0</v>
      </c>
      <c r="CQ29" s="758">
        <f t="shared" ca="1" si="50"/>
        <v>0</v>
      </c>
      <c r="CR29" s="758">
        <f ca="1">CM29+COUNTIFS($CN$6:$CN$53,CN29,$CQ$6:CQ$53,"&gt;"&amp;CQ29,$BC$6:$BC$53,INDEX(T_Equipos[Grupo],MATCH(BD29,T_Equipos[NombreEquipo],0)))</f>
        <v>1</v>
      </c>
      <c r="CS29" s="757" t="str">
        <f ca="1">IF(COUNTIFS($CR$6:$CR$53,CR29,$BC$6:$BC$53,INDEX(T_Equipos[Grupo],MATCH(BD29,T_Equipos[NombreEquipo],0)))=1,"-","P."&amp;CR29&amp;" ("&amp;COUNTIFS($CR$6:$CR$53,CR29,$BC$6:$BC$53,INDEX(T_Equipos[Grupo],MATCH(BD29,T_Equipos[NombreEquipo],0)))&amp;")")</f>
        <v>P.1 (4)</v>
      </c>
      <c r="CT29" s="758">
        <f t="shared" ca="1" si="51"/>
        <v>0</v>
      </c>
      <c r="CU29" s="758">
        <f ca="1">CR29+COUNTIFS($CS$6:$CS$53,CS29,$CT$6:CT$53,"&gt;"&amp;CT29,$BC$6:$BC$53,INDEX(T_Equipos[Grupo],MATCH(BD29,T_Equipos[NombreEquipo],0)))</f>
        <v>1</v>
      </c>
      <c r="CV29" s="757" t="str">
        <f ca="1">IF(COUNTIFS($CU$6:$CU$53,CU29,$BC$6:$BC$53,INDEX(T_Equipos[Grupo],MATCH(BD29,T_Equipos[NombreEquipo],0)))=1,"-","P."&amp;CU29&amp;" ("&amp;COUNTIFS($CU$6:$CU$53,CU29,$BC$6:$BC$53,INDEX(T_Equipos[Grupo],MATCH(BD29,T_Equipos[NombreEquipo],0)))&amp;")")</f>
        <v>P.1 (4)</v>
      </c>
      <c r="CW29" s="757">
        <f t="shared" ca="1" si="30"/>
        <v>0</v>
      </c>
      <c r="CX29" s="757">
        <f ca="1">CU29+COUNTIFS($CV$6:$CV$53,CV29,$CW$6:CW$53,"&gt;"&amp;CW29,$BC$6:$BC$53,INDEX(T_Equipos[Grupo],MATCH(BD29,T_Equipos[NombreEquipo],0)))</f>
        <v>1</v>
      </c>
      <c r="CY29" s="757" t="str">
        <f ca="1">IF(COUNTIFS($CX$6:$CX$53,CX29,$BC$6:$BC$53,INDEX(T_Equipos[Grupo],MATCH(BD29,T_Equipos[NombreEquipo],0)))=1,"-","P."&amp;CX29&amp;" ("&amp;COUNTIFS($CX$6:$CX$53,CX29,$BC$6:$BC$53,INDEX(T_Equipos[Grupo],MATCH(BD29,T_Equipos[NombreEquipo],0)))&amp;")")</f>
        <v>P.1 (4)</v>
      </c>
      <c r="CZ29" s="757">
        <f t="shared" ca="1" si="31"/>
        <v>0</v>
      </c>
      <c r="DA29" s="758">
        <f ca="1">CX29+COUNTIFS($CY$6:$CY$53,CY29,$CZ$6:CZ$53,"&gt;"&amp;CZ29,$BC$6:$BC$53,INDEX(T_Equipos[Grupo],MATCH(BD29,T_Equipos[NombreEquipo],0)))</f>
        <v>1</v>
      </c>
      <c r="DB29" s="757" t="str">
        <f ca="1">IF(COUNTIFS($DA$6:$DA$53,DA29,$BC$6:$BC$53,INDEX(T_Equipos[Grupo],MATCH(BD29,T_Equipos[NombreEquipo],0)))=1,"-","P."&amp;DA29&amp;" ("&amp;COUNTIFS($DA$6:$DA$53,DA29,$BC$6:$BC$53,INDEX(T_Equipos[Grupo],MATCH(BD29,T_Equipos[NombreEquipo],0)))&amp;")")</f>
        <v>P.1 (4)</v>
      </c>
      <c r="DC29" s="756">
        <f ca="1">IF(DB29="-","-",COUNTIFS(T_Equipos[Rank],"&lt;"&amp;INDEX(T_Equipos[Rank],MATCH(BD29,T_Equipos[NombreEquipo],0)),$BC$6:$BC$53,INDEX(T_Equipos[Grupo],MATCH(BD29,T_Equipos[NombreEquipo],0)))+1)</f>
        <v>4</v>
      </c>
      <c r="DD29" s="756">
        <f ca="1">DA29+COUNTIFS($DB$6:$DB$53,DB29,$DC$6:DC$53,"&lt;"&amp;DC29,$BC$6:$BC$53,INDEX(T_Equipos[Grupo],MATCH(BD29,T_Equipos[NombreEquipo],0)))</f>
        <v>4</v>
      </c>
      <c r="DE29" s="756"/>
      <c r="DF29" s="756">
        <f t="shared" ca="1" si="52"/>
        <v>4</v>
      </c>
      <c r="DG29" s="756">
        <f ca="1">IF(DB29="-","-",COUNTIFS(DF$6:DF$53,"&lt;"&amp;DF29,$BC$6:$BC$53,INDEX(T_Equipos[Grupo],MATCH(BD29,T_Equipos[NombreEquipo],0))))</f>
        <v>3</v>
      </c>
      <c r="DH29" s="756">
        <f ca="1">DA29+COUNTIFS(DB$6:DB$53,DB29,DG$6:DG$53,"&lt;"&amp;DG29,$BC$6:$BC$53,INDEX(T_Equipos[Grupo],MATCH(BD29,T_Equipos[NombreEquipo],0)))</f>
        <v>4</v>
      </c>
      <c r="DI29" s="744"/>
      <c r="DJ29" s="744">
        <f t="shared" ca="1" si="53"/>
        <v>1</v>
      </c>
      <c r="DK29" s="744">
        <f t="shared" ca="1" si="24"/>
        <v>0</v>
      </c>
      <c r="DL29" s="744">
        <f t="shared" ca="1" si="33"/>
        <v>1</v>
      </c>
      <c r="DM29" s="738" t="str">
        <f t="shared" ca="1" si="34"/>
        <v>1.1</v>
      </c>
      <c r="DN29" s="744" cm="1">
        <f t="array" aca="1" ref="DN29" ca="1">OFFSET(Horarios!$P$3,DJ29-1,0,DL29,1)</f>
        <v>1</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Pendiente</v>
      </c>
      <c r="E30" s="744" t="str">
        <f t="shared" si="95"/>
        <v>-</v>
      </c>
      <c r="F30" s="744" t="str">
        <f t="shared" si="96"/>
        <v>-</v>
      </c>
      <c r="G30" s="744"/>
      <c r="H30" s="744" t="str">
        <f t="shared" si="97"/>
        <v>-</v>
      </c>
      <c r="I30" s="744" t="str">
        <f t="shared" si="98"/>
        <v>-</v>
      </c>
      <c r="J30" s="744"/>
      <c r="K30" s="744" t="str">
        <f t="shared" si="99"/>
        <v>-</v>
      </c>
      <c r="L30" s="744" t="str">
        <f t="shared" si="100"/>
        <v>-</v>
      </c>
      <c r="M30" s="744"/>
      <c r="N30" s="744" t="str">
        <f t="shared" si="101"/>
        <v>-</v>
      </c>
      <c r="O30" s="744" t="str">
        <f t="shared" si="102"/>
        <v>-</v>
      </c>
      <c r="P30" s="744"/>
      <c r="Q30" s="744" t="str">
        <f t="shared" si="103"/>
        <v>-</v>
      </c>
      <c r="R30" s="744" t="str">
        <f t="shared" si="104"/>
        <v>-</v>
      </c>
      <c r="S30" s="744"/>
      <c r="T30" s="744" t="str">
        <f t="shared" si="105"/>
        <v>-</v>
      </c>
      <c r="U30" s="744" t="str">
        <f t="shared" si="106"/>
        <v>-</v>
      </c>
      <c r="V30" s="172"/>
      <c r="W30" s="839"/>
      <c r="X30" s="189">
        <f ca="1">Horarios!C30</f>
        <v>46192.875</v>
      </c>
      <c r="Y30" s="190">
        <f ca="1">Horarios!C30</f>
        <v>46192.875</v>
      </c>
      <c r="Z30" s="191" t="str">
        <f>$Z$6</f>
        <v>J2</v>
      </c>
      <c r="AA30" s="192" t="str">
        <f ca="1">A29</f>
        <v>Estados Unidos</v>
      </c>
      <c r="AB30" s="478" t="e" cm="1" vm="13">
        <f t="array" aca="1" ref="AB30" ca="1">Ver_flag_local</f>
        <v>#VALUE!</v>
      </c>
      <c r="AC30" s="193"/>
      <c r="AD30" s="194"/>
      <c r="AE30" s="483" t="e" cm="1" vm="15">
        <f t="array" aca="1" ref="AE30" ca="1">Ver_flag_visit</f>
        <v>#VALUE!</v>
      </c>
      <c r="AF30" s="195" t="str">
        <f ca="1">A31</f>
        <v>Australia</v>
      </c>
      <c r="AG30" s="413">
        <f t="shared" si="107"/>
        <v>0</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0</v>
      </c>
      <c r="BF30" s="748">
        <f t="shared" ca="1" si="26"/>
        <v>0</v>
      </c>
      <c r="BG30" s="748">
        <f t="shared" ca="1" si="17"/>
        <v>0</v>
      </c>
      <c r="BH30" s="748">
        <f t="shared" ca="1" si="18"/>
        <v>0</v>
      </c>
      <c r="BI30" s="748">
        <f t="shared" ca="1" si="19"/>
        <v>0</v>
      </c>
      <c r="BJ30" s="748">
        <f t="shared" ca="1" si="20"/>
        <v>0</v>
      </c>
      <c r="BK30" s="748">
        <f t="shared" ca="1" si="21"/>
        <v>0</v>
      </c>
      <c r="BL30" s="748">
        <f t="shared" ca="1" si="27"/>
        <v>0</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0</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(4)</v>
      </c>
      <c r="BU30" s="758">
        <f t="shared" ca="1" si="36"/>
        <v>0</v>
      </c>
      <c r="BV30" s="758">
        <f t="shared" ca="1" si="37"/>
        <v>0</v>
      </c>
      <c r="BW30" s="758">
        <f t="shared" ca="1" si="38"/>
        <v>0</v>
      </c>
      <c r="BX30" s="758">
        <f t="shared" ca="1" si="39"/>
        <v>0</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(4)</v>
      </c>
      <c r="CA30" s="758">
        <f t="shared" ca="1" si="40"/>
        <v>0</v>
      </c>
      <c r="CB30" s="758">
        <f t="shared" ca="1" si="41"/>
        <v>0</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(4)</v>
      </c>
      <c r="CF30" s="758">
        <f t="shared" ca="1" si="43"/>
        <v>0</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(4)</v>
      </c>
      <c r="CI30" s="758">
        <f t="shared" ca="1" si="44"/>
        <v>0</v>
      </c>
      <c r="CJ30" s="758">
        <f t="shared" ca="1" si="45"/>
        <v>0</v>
      </c>
      <c r="CK30" s="758">
        <f t="shared" ca="1" si="46"/>
        <v>0</v>
      </c>
      <c r="CL30" s="758">
        <f t="shared" ca="1" si="47"/>
        <v>0</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(4)</v>
      </c>
      <c r="CO30" s="758">
        <f t="shared" ca="1" si="48"/>
        <v>0</v>
      </c>
      <c r="CP30" s="758">
        <f t="shared" ca="1" si="49"/>
        <v>0</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(4)</v>
      </c>
      <c r="CT30" s="758">
        <f t="shared" ca="1" si="51"/>
        <v>0</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(4)</v>
      </c>
      <c r="CW30" s="757">
        <f t="shared" ca="1" si="30"/>
        <v>0</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P.1 (4)</v>
      </c>
      <c r="CZ30" s="757">
        <f t="shared" ca="1" si="31"/>
        <v>0</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P.1 (4)</v>
      </c>
      <c r="DC30" s="756">
        <f ca="1">IF(DB30="-","-",COUNTIFS(T_Equipos[Rank],"&lt;"&amp;INDEX(T_Equipos[Rank],MATCH(BD30,T_Equipos[NombreEquipo],0)),$BC$6:$BC$53,INDEX(T_Equipos[Grupo],MATCH(BD30,T_Equipos[NombreEquipo],0)))+1)</f>
        <v>1</v>
      </c>
      <c r="DD30" s="756">
        <f ca="1">DA30+COUNTIFS($DB$6:$DB$53,DB30,$DC$6:DC$53,"&lt;"&amp;DC30,$BC$6:$BC$53,INDEX(T_Equipos[Grupo],MATCH(BD30,T_Equipos[NombreEquipo],0)))</f>
        <v>1</v>
      </c>
      <c r="DE30" s="756"/>
      <c r="DF30" s="756">
        <f t="shared" ca="1" si="52"/>
        <v>1</v>
      </c>
      <c r="DG30" s="756">
        <f ca="1">IF(DB30="-","-",COUNTIFS(DF$6:DF$53,"&lt;"&amp;DF30,$BC$6:$BC$53,INDEX(T_Equipos[Grupo],MATCH(BD30,T_Equipos[NombreEquipo],0))))</f>
        <v>0</v>
      </c>
      <c r="DH30" s="756">
        <f ca="1">DA30+COUNTIFS(DB$6:DB$53,DB30,DG$6:DG$53,"&lt;"&amp;DG30,$BC$6:$BC$53,INDEX(T_Equipos[Grupo],MATCH(BD30,T_Equipos[NombreEquipo],0)))</f>
        <v>1</v>
      </c>
      <c r="DI30" s="744"/>
      <c r="DJ30" s="744">
        <f t="shared" ca="1" si="53"/>
        <v>1</v>
      </c>
      <c r="DK30" s="744">
        <f t="shared" ca="1" si="24"/>
        <v>0</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Pendiente</v>
      </c>
      <c r="E31" s="744" t="str">
        <f t="shared" si="95"/>
        <v>-</v>
      </c>
      <c r="F31" s="744" t="str">
        <f t="shared" si="96"/>
        <v>-</v>
      </c>
      <c r="G31" s="744"/>
      <c r="H31" s="744" t="str">
        <f t="shared" si="97"/>
        <v>-</v>
      </c>
      <c r="I31" s="744" t="str">
        <f t="shared" si="98"/>
        <v>-</v>
      </c>
      <c r="J31" s="744"/>
      <c r="K31" s="744" t="str">
        <f t="shared" si="99"/>
        <v>-</v>
      </c>
      <c r="L31" s="744" t="str">
        <f t="shared" si="100"/>
        <v>-</v>
      </c>
      <c r="M31" s="744"/>
      <c r="N31" s="744" t="str">
        <f t="shared" si="101"/>
        <v>-</v>
      </c>
      <c r="O31" s="744" t="str">
        <f t="shared" si="102"/>
        <v>-</v>
      </c>
      <c r="P31" s="744"/>
      <c r="Q31" s="744" t="str">
        <f t="shared" si="103"/>
        <v>-</v>
      </c>
      <c r="R31" s="744" t="str">
        <f t="shared" si="104"/>
        <v>-</v>
      </c>
      <c r="S31" s="744"/>
      <c r="T31" s="744" t="str">
        <f t="shared" si="105"/>
        <v>-</v>
      </c>
      <c r="U31" s="744" t="str">
        <f t="shared" si="106"/>
        <v>-</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c r="AD31" s="194"/>
      <c r="AE31" s="483" t="e" cm="1" vm="14">
        <f t="array" aca="1" ref="AE31" ca="1">Ver_flag_visit</f>
        <v>#VALUE!</v>
      </c>
      <c r="AF31" s="195" t="str">
        <f ca="1">A30</f>
        <v>Paraguay</v>
      </c>
      <c r="AG31" s="413">
        <f t="shared" si="107"/>
        <v>0</v>
      </c>
      <c r="AH31" s="196">
        <v>31</v>
      </c>
      <c r="AI31" s="19" t="str">
        <f t="shared" ref="AI31:AI33" si="112">AJ31&amp;$B$28</f>
        <v>2D</v>
      </c>
      <c r="AJ31" s="221">
        <v>2</v>
      </c>
      <c r="AK31" s="486" t="e" cm="1" vm="14">
        <f t="array" aca="1" ref="AK31" ca="1">Ver_flag_visit</f>
        <v>#VALUE!</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4"/>
      <c r="BC31" s="756" t="str">
        <f ca="1">+INDEX(T_Equipos[Grupo],MATCH(WORLDCUP!BD31,T_Equipos[NombreEquipo],0))</f>
        <v>G</v>
      </c>
      <c r="BD31" s="744" t="str">
        <f ca="1">+Equipos!B27</f>
        <v>Egipto</v>
      </c>
      <c r="BE31" s="748">
        <f t="shared" ca="1" si="25"/>
        <v>0</v>
      </c>
      <c r="BF31" s="748">
        <f t="shared" ca="1" si="26"/>
        <v>0</v>
      </c>
      <c r="BG31" s="748">
        <f t="shared" ca="1" si="17"/>
        <v>0</v>
      </c>
      <c r="BH31" s="748">
        <f t="shared" ca="1" si="18"/>
        <v>0</v>
      </c>
      <c r="BI31" s="748">
        <f t="shared" ca="1" si="19"/>
        <v>0</v>
      </c>
      <c r="BJ31" s="748">
        <f t="shared" ca="1" si="20"/>
        <v>0</v>
      </c>
      <c r="BK31" s="748">
        <f t="shared" ca="1" si="21"/>
        <v>0</v>
      </c>
      <c r="BL31" s="748">
        <f t="shared" ca="1" si="27"/>
        <v>0</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0</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(4)</v>
      </c>
      <c r="BU31" s="758">
        <f t="shared" ca="1" si="36"/>
        <v>0</v>
      </c>
      <c r="BV31" s="758">
        <f t="shared" ca="1" si="37"/>
        <v>0</v>
      </c>
      <c r="BW31" s="758">
        <f t="shared" ca="1" si="38"/>
        <v>0</v>
      </c>
      <c r="BX31" s="758">
        <f t="shared" ca="1" si="39"/>
        <v>0</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(4)</v>
      </c>
      <c r="CA31" s="758">
        <f t="shared" ca="1" si="40"/>
        <v>0</v>
      </c>
      <c r="CB31" s="758">
        <f t="shared" ca="1" si="41"/>
        <v>0</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(4)</v>
      </c>
      <c r="CF31" s="758">
        <f t="shared" ca="1" si="43"/>
        <v>0</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(4)</v>
      </c>
      <c r="CI31" s="758">
        <f t="shared" ca="1" si="44"/>
        <v>0</v>
      </c>
      <c r="CJ31" s="758">
        <f t="shared" ca="1" si="45"/>
        <v>0</v>
      </c>
      <c r="CK31" s="758">
        <f t="shared" ca="1" si="46"/>
        <v>0</v>
      </c>
      <c r="CL31" s="758">
        <f t="shared" ca="1" si="47"/>
        <v>0</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(4)</v>
      </c>
      <c r="CO31" s="758">
        <f t="shared" ca="1" si="48"/>
        <v>0</v>
      </c>
      <c r="CP31" s="758">
        <f t="shared" ca="1" si="49"/>
        <v>0</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(4)</v>
      </c>
      <c r="CT31" s="758">
        <f t="shared" ca="1" si="51"/>
        <v>0</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(4)</v>
      </c>
      <c r="CW31" s="757">
        <f t="shared" ca="1" si="30"/>
        <v>0</v>
      </c>
      <c r="CX31" s="757">
        <f ca="1">CU31+COUNTIFS($CV$6:$CV$53,CV31,$CW$6:CW$53,"&gt;"&amp;CW31,$BC$6:$BC$53,INDEX(T_Equipos[Grupo],MATCH(BD31,T_Equipos[NombreEquipo],0)))</f>
        <v>1</v>
      </c>
      <c r="CY31" s="757" t="str">
        <f ca="1">IF(COUNTIFS($CX$6:$CX$53,CX31,$BC$6:$BC$53,INDEX(T_Equipos[Grupo],MATCH(BD31,T_Equipos[NombreEquipo],0)))=1,"-","P."&amp;CX31&amp;" ("&amp;COUNTIFS($CX$6:$CX$53,CX31,$BC$6:$BC$53,INDEX(T_Equipos[Grupo],MATCH(BD31,T_Equipos[NombreEquipo],0)))&amp;")")</f>
        <v>P.1 (4)</v>
      </c>
      <c r="CZ31" s="757">
        <f t="shared" ca="1" si="31"/>
        <v>0</v>
      </c>
      <c r="DA31" s="758">
        <f ca="1">CX31+COUNTIFS($CY$6:$CY$53,CY31,$CZ$6:CZ$53,"&gt;"&amp;CZ31,$BC$6:$BC$53,INDEX(T_Equipos[Grupo],MATCH(BD31,T_Equipos[NombreEquipo],0)))</f>
        <v>1</v>
      </c>
      <c r="DB31" s="757" t="str">
        <f ca="1">IF(COUNTIFS($DA$6:$DA$53,DA31,$BC$6:$BC$53,INDEX(T_Equipos[Grupo],MATCH(BD31,T_Equipos[NombreEquipo],0)))=1,"-","P."&amp;DA31&amp;" ("&amp;COUNTIFS($DA$6:$DA$53,DA31,$BC$6:$BC$53,INDEX(T_Equipos[Grupo],MATCH(BD31,T_Equipos[NombreEquipo],0)))&amp;")")</f>
        <v>P.1 (4)</v>
      </c>
      <c r="DC31" s="756">
        <f ca="1">IF(DB31="-","-",COUNTIFS(T_Equipos[Rank],"&lt;"&amp;INDEX(T_Equipos[Rank],MATCH(BD31,T_Equipos[NombreEquipo],0)),$BC$6:$BC$53,INDEX(T_Equipos[Grupo],MATCH(BD31,T_Equipos[NombreEquipo],0)))+1)</f>
        <v>2</v>
      </c>
      <c r="DD31" s="756">
        <f ca="1">DA31+COUNTIFS($DB$6:$DB$53,DB31,$DC$6:DC$53,"&lt;"&amp;DC31,$BC$6:$BC$53,INDEX(T_Equipos[Grupo],MATCH(BD31,T_Equipos[NombreEquipo],0)))</f>
        <v>2</v>
      </c>
      <c r="DE31" s="756"/>
      <c r="DF31" s="756">
        <f t="shared" ca="1" si="52"/>
        <v>2</v>
      </c>
      <c r="DG31" s="756">
        <f ca="1">IF(DB31="-","-",COUNTIFS(DF$6:DF$53,"&lt;"&amp;DF31,$BC$6:$BC$53,INDEX(T_Equipos[Grupo],MATCH(BD31,T_Equipos[NombreEquipo],0))))</f>
        <v>1</v>
      </c>
      <c r="DH31" s="756">
        <f ca="1">DA31+COUNTIFS(DB$6:DB$53,DB31,DG$6:DG$53,"&lt;"&amp;DG31,$BC$6:$BC$53,INDEX(T_Equipos[Grupo],MATCH(BD31,T_Equipos[NombreEquipo],0)))</f>
        <v>2</v>
      </c>
      <c r="DI31" s="744"/>
      <c r="DJ31" s="744">
        <f t="shared" ca="1" si="53"/>
        <v>1</v>
      </c>
      <c r="DK31" s="744">
        <f t="shared" ca="1" si="24"/>
        <v>0</v>
      </c>
      <c r="DL31" s="744">
        <f t="shared" ca="1" si="33"/>
        <v>1</v>
      </c>
      <c r="DM31" s="738" t="str">
        <f t="shared" ca="1" si="34"/>
        <v>1.1</v>
      </c>
      <c r="DN31" s="744" cm="1">
        <f t="array" aca="1" ref="DN31" ca="1">OFFSET(Horarios!$P$3,DJ31-1,0,DL31,1)</f>
        <v>1</v>
      </c>
      <c r="DO31" s="744"/>
      <c r="DP31" s="744" t="s">
        <v>668</v>
      </c>
      <c r="DQ31" s="744" t="str">
        <f t="shared" ca="1" si="35"/>
        <v>Egipto</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5">
        <f t="array" aca="1" ref="AK32" ca="1">Ver_flag_visit</f>
        <v>#VALUE!</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4"/>
      <c r="BC32" s="756" t="str">
        <f ca="1">+INDEX(T_Equipos[Grupo],MATCH(WORLDCUP!BD32,T_Equipos[NombreEquipo],0))</f>
        <v>G</v>
      </c>
      <c r="BD32" s="744" t="str">
        <f ca="1">+Equipos!B28</f>
        <v>Irán</v>
      </c>
      <c r="BE32" s="748">
        <f t="shared" ca="1" si="25"/>
        <v>0</v>
      </c>
      <c r="BF32" s="748">
        <f t="shared" ca="1" si="26"/>
        <v>0</v>
      </c>
      <c r="BG32" s="748">
        <f t="shared" ca="1" si="17"/>
        <v>0</v>
      </c>
      <c r="BH32" s="748">
        <f t="shared" ca="1" si="18"/>
        <v>0</v>
      </c>
      <c r="BI32" s="748">
        <f t="shared" ca="1" si="19"/>
        <v>0</v>
      </c>
      <c r="BJ32" s="748">
        <f t="shared" ca="1" si="20"/>
        <v>0</v>
      </c>
      <c r="BK32" s="748">
        <f t="shared" ca="1" si="21"/>
        <v>0</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0</v>
      </c>
      <c r="BS32" s="757">
        <f ca="1">BP32+COUNTIFS($BQ$6:$BQ$53,BQ32,$BR$6:BR$53,"&gt;"&amp;BR32,$BC$6:$BC$53,INDEX(T_Equipos[Grupo],MATCH(BD32,T_Equipos[NombreEquipo],0)))</f>
        <v>1</v>
      </c>
      <c r="BT32" s="757" t="str">
        <f ca="1">IF(COUNTIFS($BS$6:$BS$53,BS32,$BC$6:$BC$53,INDEX(T_Equipos[Grupo],MATCH(BD32,T_Equipos[NombreEquipo],0)))=1,"-","P."&amp;BS32&amp;" ("&amp;COUNTIFS($BS$6:$BS$53,BS32,$BC$6:$BC$53,INDEX(T_Equipos[Grupo],MATCH(BD32,T_Equipos[NombreEquipo],0)))&amp;")")</f>
        <v>P.1 (4)</v>
      </c>
      <c r="BU32" s="758">
        <f t="shared" ca="1" si="36"/>
        <v>0</v>
      </c>
      <c r="BV32" s="758">
        <f t="shared" ca="1" si="37"/>
        <v>0</v>
      </c>
      <c r="BW32" s="758">
        <f t="shared" ca="1" si="38"/>
        <v>0</v>
      </c>
      <c r="BX32" s="758">
        <f t="shared" ca="1" si="39"/>
        <v>0</v>
      </c>
      <c r="BY32" s="758">
        <f ca="1">BS32+COUNTIFS($BT$6:$BT$53,BT32,$BX$6:BX$53,"&gt;"&amp;BX32,$BC$6:$BC$53,INDEX(T_Equipos[Grupo],MATCH(BD32,T_Equipos[NombreEquipo],0)))</f>
        <v>1</v>
      </c>
      <c r="BZ32" s="757" t="str">
        <f ca="1">IF(COUNTIFS($BY$6:$BY$53,BY32,$BC$6:$BC$53,INDEX(T_Equipos[Grupo],MATCH(BD32,T_Equipos[NombreEquipo],0)))=1,"-","P."&amp;BY32&amp;" ("&amp;COUNTIFS($BY$6:$BY$53,BY32,$BC$6:$BC$53,INDEX(T_Equipos[Grupo],MATCH(BD32,T_Equipos[NombreEquipo],0)))&amp;")")</f>
        <v>P.1 (4)</v>
      </c>
      <c r="CA32" s="758">
        <f t="shared" ca="1" si="40"/>
        <v>0</v>
      </c>
      <c r="CB32" s="758">
        <f t="shared" ca="1" si="41"/>
        <v>0</v>
      </c>
      <c r="CC32" s="758">
        <f t="shared" ca="1" si="42"/>
        <v>0</v>
      </c>
      <c r="CD32" s="758">
        <f ca="1">BY32+COUNTIFS($BZ$6:$BZ$53,BZ32,$CC$6:CC$53,"&gt;"&amp;CC32,$BC$6:$BC$53,INDEX(T_Equipos[Grupo],MATCH(BD32,T_Equipos[NombreEquipo],0)))</f>
        <v>1</v>
      </c>
      <c r="CE32" s="757" t="str">
        <f ca="1">IF(COUNTIFS($CD$6:$CD$53,CD32,$BC$6:$BC$53,INDEX(T_Equipos[Grupo],MATCH(BD32,T_Equipos[NombreEquipo],0)))=1,"-","P."&amp;CD32&amp;" ("&amp;COUNTIFS($CD$6:$CD$53,CD32,$BC$6:$BC$53,INDEX(T_Equipos[Grupo],MATCH(BD32,T_Equipos[NombreEquipo],0)))&amp;")")</f>
        <v>P.1 (4)</v>
      </c>
      <c r="CF32" s="758">
        <f t="shared" ca="1" si="43"/>
        <v>0</v>
      </c>
      <c r="CG32" s="758">
        <f ca="1">CD32+COUNTIFS($CE$6:$CE$53,CE32,$CF$6:CF$53,"&gt;"&amp;CF32,$BC$6:$BC$53,INDEX(T_Equipos[Grupo],MATCH(BD32,T_Equipos[NombreEquipo],0)))</f>
        <v>1</v>
      </c>
      <c r="CH32" s="757" t="str">
        <f ca="1">IF(COUNTIFS($CG$6:$CG$53,CG32,$BC$6:$BC$53,INDEX(T_Equipos[Grupo],MATCH(BD32,T_Equipos[NombreEquipo],0)))=1,"-","P."&amp;CG32&amp;" ("&amp;COUNTIFS($CG$6:$CG$53,CG32,$BC$6:$BC$53,INDEX(T_Equipos[Grupo],MATCH(BD32,T_Equipos[NombreEquipo],0)))&amp;")")</f>
        <v>P.1 (4)</v>
      </c>
      <c r="CI32" s="758">
        <f t="shared" ca="1" si="44"/>
        <v>0</v>
      </c>
      <c r="CJ32" s="758">
        <f t="shared" ca="1" si="45"/>
        <v>0</v>
      </c>
      <c r="CK32" s="758">
        <f t="shared" ca="1" si="46"/>
        <v>0</v>
      </c>
      <c r="CL32" s="758">
        <f t="shared" ca="1" si="47"/>
        <v>0</v>
      </c>
      <c r="CM32" s="758">
        <f ca="1">CG32+COUNTIFS($CH$6:$CH$53,CH32,$CL$6:CL$53,"&gt;"&amp;CL32,$BC$6:$BC$53,INDEX(T_Equipos[Grupo],MATCH(BD32,T_Equipos[NombreEquipo],0)))</f>
        <v>1</v>
      </c>
      <c r="CN32" s="757" t="str">
        <f ca="1">IF(COUNTIFS($CM$6:$CM$53,CM32,$BC$6:$BC$53,INDEX(T_Equipos[Grupo],MATCH(BD32,T_Equipos[NombreEquipo],0)))=1,"-","P."&amp;CM32&amp;" ("&amp;COUNTIFS($CM$6:$CM$53,CM32,$BC$6:$BC$53,INDEX(T_Equipos[Grupo],MATCH(BD32,T_Equipos[NombreEquipo],0)))&amp;")")</f>
        <v>P.1 (4)</v>
      </c>
      <c r="CO32" s="758">
        <f t="shared" ca="1" si="48"/>
        <v>0</v>
      </c>
      <c r="CP32" s="758">
        <f t="shared" ca="1" si="49"/>
        <v>0</v>
      </c>
      <c r="CQ32" s="758">
        <f t="shared" ca="1" si="50"/>
        <v>0</v>
      </c>
      <c r="CR32" s="758">
        <f ca="1">CM32+COUNTIFS($CN$6:$CN$53,CN32,$CQ$6:CQ$53,"&gt;"&amp;CQ32,$BC$6:$BC$53,INDEX(T_Equipos[Grupo],MATCH(BD32,T_Equipos[NombreEquipo],0)))</f>
        <v>1</v>
      </c>
      <c r="CS32" s="757" t="str">
        <f ca="1">IF(COUNTIFS($CR$6:$CR$53,CR32,$BC$6:$BC$53,INDEX(T_Equipos[Grupo],MATCH(BD32,T_Equipos[NombreEquipo],0)))=1,"-","P."&amp;CR32&amp;" ("&amp;COUNTIFS($CR$6:$CR$53,CR32,$BC$6:$BC$53,INDEX(T_Equipos[Grupo],MATCH(BD32,T_Equipos[NombreEquipo],0)))&amp;")")</f>
        <v>P.1 (4)</v>
      </c>
      <c r="CT32" s="758">
        <f t="shared" ca="1" si="51"/>
        <v>0</v>
      </c>
      <c r="CU32" s="758">
        <f ca="1">CR32+COUNTIFS($CS$6:$CS$53,CS32,$CT$6:CT$53,"&gt;"&amp;CT32,$BC$6:$BC$53,INDEX(T_Equipos[Grupo],MATCH(BD32,T_Equipos[NombreEquipo],0)))</f>
        <v>1</v>
      </c>
      <c r="CV32" s="757" t="str">
        <f ca="1">IF(COUNTIFS($CU$6:$CU$53,CU32,$BC$6:$BC$53,INDEX(T_Equipos[Grupo],MATCH(BD32,T_Equipos[NombreEquipo],0)))=1,"-","P."&amp;CU32&amp;" ("&amp;COUNTIFS($CU$6:$CU$53,CU32,$BC$6:$BC$53,INDEX(T_Equipos[Grupo],MATCH(BD32,T_Equipos[NombreEquipo],0)))&amp;")")</f>
        <v>P.1 (4)</v>
      </c>
      <c r="CW32" s="757">
        <f t="shared" ca="1" si="30"/>
        <v>0</v>
      </c>
      <c r="CX32" s="757">
        <f ca="1">CU32+COUNTIFS($CV$6:$CV$53,CV32,$CW$6:CW$53,"&gt;"&amp;CW32,$BC$6:$BC$53,INDEX(T_Equipos[Grupo],MATCH(BD32,T_Equipos[NombreEquipo],0)))</f>
        <v>1</v>
      </c>
      <c r="CY32" s="757" t="str">
        <f ca="1">IF(COUNTIFS($CX$6:$CX$53,CX32,$BC$6:$BC$53,INDEX(T_Equipos[Grupo],MATCH(BD32,T_Equipos[NombreEquipo],0)))=1,"-","P."&amp;CX32&amp;" ("&amp;COUNTIFS($CX$6:$CX$53,CX32,$BC$6:$BC$53,INDEX(T_Equipos[Grupo],MATCH(BD32,T_Equipos[NombreEquipo],0)))&amp;")")</f>
        <v>P.1 (4)</v>
      </c>
      <c r="CZ32" s="757">
        <f t="shared" ca="1" si="31"/>
        <v>0</v>
      </c>
      <c r="DA32" s="758">
        <f ca="1">CX32+COUNTIFS($CY$6:$CY$53,CY32,$CZ$6:CZ$53,"&gt;"&amp;CZ32,$BC$6:$BC$53,INDEX(T_Equipos[Grupo],MATCH(BD32,T_Equipos[NombreEquipo],0)))</f>
        <v>1</v>
      </c>
      <c r="DB32" s="757" t="str">
        <f ca="1">IF(COUNTIFS($DA$6:$DA$53,DA32,$BC$6:$BC$53,INDEX(T_Equipos[Grupo],MATCH(BD32,T_Equipos[NombreEquipo],0)))=1,"-","P."&amp;DA32&amp;" ("&amp;COUNTIFS($DA$6:$DA$53,DA32,$BC$6:$BC$53,INDEX(T_Equipos[Grupo],MATCH(BD32,T_Equipos[NombreEquipo],0)))&amp;")")</f>
        <v>P.1 (4)</v>
      </c>
      <c r="DC32" s="756">
        <f ca="1">IF(DB32="-","-",COUNTIFS(T_Equipos[Rank],"&lt;"&amp;INDEX(T_Equipos[Rank],MATCH(BD32,T_Equipos[NombreEquipo],0)),$BC$6:$BC$53,INDEX(T_Equipos[Grupo],MATCH(BD32,T_Equipos[NombreEquipo],0)))+1)</f>
        <v>3</v>
      </c>
      <c r="DD32" s="756">
        <f ca="1">DA32+COUNTIFS($DB$6:$DB$53,DB32,$DC$6:DC$53,"&lt;"&amp;DC32,$BC$6:$BC$53,INDEX(T_Equipos[Grupo],MATCH(BD32,T_Equipos[NombreEquipo],0)))</f>
        <v>3</v>
      </c>
      <c r="DE32" s="756"/>
      <c r="DF32" s="756">
        <f t="shared" ca="1" si="52"/>
        <v>3</v>
      </c>
      <c r="DG32" s="756">
        <f ca="1">IF(DB32="-","-",COUNTIFS(DF$6:DF$53,"&lt;"&amp;DF32,$BC$6:$BC$53,INDEX(T_Equipos[Grupo],MATCH(BD32,T_Equipos[NombreEquipo],0))))</f>
        <v>2</v>
      </c>
      <c r="DH32" s="756">
        <f ca="1">DA32+COUNTIFS(DB$6:DB$53,DB32,DG$6:DG$53,"&lt;"&amp;DG32,$BC$6:$BC$53,INDEX(T_Equipos[Grupo],MATCH(BD32,T_Equipos[NombreEquipo],0)))</f>
        <v>3</v>
      </c>
      <c r="DI32" s="744"/>
      <c r="DJ32" s="744">
        <f t="shared" ca="1" si="53"/>
        <v>1</v>
      </c>
      <c r="DK32" s="744">
        <f t="shared" ca="1" si="24"/>
        <v>0</v>
      </c>
      <c r="DL32" s="744">
        <f t="shared" ca="1" si="33"/>
        <v>1</v>
      </c>
      <c r="DM32" s="738" t="str">
        <f t="shared" ca="1" si="34"/>
        <v>1.1</v>
      </c>
      <c r="DN32" s="744" cm="1">
        <f t="array" aca="1" ref="DN32" ca="1">OFFSET(Horarios!$P$3,DJ32-1,0,DL32,1)</f>
        <v>1</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6">
        <f t="array" aca="1" ref="AK33" ca="1">Ver_flag_visit</f>
        <v>#VALUE!</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0</v>
      </c>
      <c r="BF33" s="748">
        <f t="shared" ca="1" si="26"/>
        <v>0</v>
      </c>
      <c r="BG33" s="748">
        <f t="shared" ca="1" si="17"/>
        <v>0</v>
      </c>
      <c r="BH33" s="748">
        <f t="shared" ca="1" si="18"/>
        <v>0</v>
      </c>
      <c r="BI33" s="748">
        <f t="shared" ca="1" si="19"/>
        <v>0</v>
      </c>
      <c r="BJ33" s="748">
        <f t="shared" ca="1" si="20"/>
        <v>0</v>
      </c>
      <c r="BK33" s="748">
        <f t="shared" ca="1" si="21"/>
        <v>0</v>
      </c>
      <c r="BL33" s="748">
        <f t="shared" ca="1" si="27"/>
        <v>0</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0</v>
      </c>
      <c r="BS33" s="757">
        <f ca="1">BP33+COUNTIFS($BQ$6:$BQ$53,BQ33,$BR$6:BR$53,"&gt;"&amp;BR33,$BC$6:$BC$53,INDEX(T_Equipos[Grupo],MATCH(BD33,T_Equipos[NombreEquipo],0)))</f>
        <v>1</v>
      </c>
      <c r="BT33" s="757" t="str">
        <f ca="1">IF(COUNTIFS($BS$6:$BS$53,BS33,$BC$6:$BC$53,INDEX(T_Equipos[Grupo],MATCH(BD33,T_Equipos[NombreEquipo],0)))=1,"-","P."&amp;BS33&amp;" ("&amp;COUNTIFS($BS$6:$BS$53,BS33,$BC$6:$BC$53,INDEX(T_Equipos[Grupo],MATCH(BD33,T_Equipos[NombreEquipo],0)))&amp;")")</f>
        <v>P.1 (4)</v>
      </c>
      <c r="BU33" s="758">
        <f t="shared" ca="1" si="36"/>
        <v>0</v>
      </c>
      <c r="BV33" s="758">
        <f t="shared" ca="1" si="37"/>
        <v>0</v>
      </c>
      <c r="BW33" s="758">
        <f t="shared" ca="1" si="38"/>
        <v>0</v>
      </c>
      <c r="BX33" s="758">
        <f t="shared" ca="1" si="39"/>
        <v>0</v>
      </c>
      <c r="BY33" s="758">
        <f ca="1">BS33+COUNTIFS($BT$6:$BT$53,BT33,$BX$6:BX$53,"&gt;"&amp;BX33,$BC$6:$BC$53,INDEX(T_Equipos[Grupo],MATCH(BD33,T_Equipos[NombreEquipo],0)))</f>
        <v>1</v>
      </c>
      <c r="BZ33" s="757" t="str">
        <f ca="1">IF(COUNTIFS($BY$6:$BY$53,BY33,$BC$6:$BC$53,INDEX(T_Equipos[Grupo],MATCH(BD33,T_Equipos[NombreEquipo],0)))=1,"-","P."&amp;BY33&amp;" ("&amp;COUNTIFS($BY$6:$BY$53,BY33,$BC$6:$BC$53,INDEX(T_Equipos[Grupo],MATCH(BD33,T_Equipos[NombreEquipo],0)))&amp;")")</f>
        <v>P.1 (4)</v>
      </c>
      <c r="CA33" s="758">
        <f t="shared" ca="1" si="40"/>
        <v>0</v>
      </c>
      <c r="CB33" s="758">
        <f t="shared" ca="1" si="41"/>
        <v>0</v>
      </c>
      <c r="CC33" s="758">
        <f t="shared" ca="1" si="42"/>
        <v>0</v>
      </c>
      <c r="CD33" s="758">
        <f ca="1">BY33+COUNTIFS($BZ$6:$BZ$53,BZ33,$CC$6:CC$53,"&gt;"&amp;CC33,$BC$6:$BC$53,INDEX(T_Equipos[Grupo],MATCH(BD33,T_Equipos[NombreEquipo],0)))</f>
        <v>1</v>
      </c>
      <c r="CE33" s="757" t="str">
        <f ca="1">IF(COUNTIFS($CD$6:$CD$53,CD33,$BC$6:$BC$53,INDEX(T_Equipos[Grupo],MATCH(BD33,T_Equipos[NombreEquipo],0)))=1,"-","P."&amp;CD33&amp;" ("&amp;COUNTIFS($CD$6:$CD$53,CD33,$BC$6:$BC$53,INDEX(T_Equipos[Grupo],MATCH(BD33,T_Equipos[NombreEquipo],0)))&amp;")")</f>
        <v>P.1 (4)</v>
      </c>
      <c r="CF33" s="758">
        <f t="shared" ca="1" si="43"/>
        <v>0</v>
      </c>
      <c r="CG33" s="758">
        <f ca="1">CD33+COUNTIFS($CE$6:$CE$53,CE33,$CF$6:CF$53,"&gt;"&amp;CF33,$BC$6:$BC$53,INDEX(T_Equipos[Grupo],MATCH(BD33,T_Equipos[NombreEquipo],0)))</f>
        <v>1</v>
      </c>
      <c r="CH33" s="757" t="str">
        <f ca="1">IF(COUNTIFS($CG$6:$CG$53,CG33,$BC$6:$BC$53,INDEX(T_Equipos[Grupo],MATCH(BD33,T_Equipos[NombreEquipo],0)))=1,"-","P."&amp;CG33&amp;" ("&amp;COUNTIFS($CG$6:$CG$53,CG33,$BC$6:$BC$53,INDEX(T_Equipos[Grupo],MATCH(BD33,T_Equipos[NombreEquipo],0)))&amp;")")</f>
        <v>P.1 (4)</v>
      </c>
      <c r="CI33" s="758">
        <f t="shared" ca="1" si="44"/>
        <v>0</v>
      </c>
      <c r="CJ33" s="758">
        <f t="shared" ca="1" si="45"/>
        <v>0</v>
      </c>
      <c r="CK33" s="758">
        <f t="shared" ca="1" si="46"/>
        <v>0</v>
      </c>
      <c r="CL33" s="758">
        <f t="shared" ca="1" si="47"/>
        <v>0</v>
      </c>
      <c r="CM33" s="758">
        <f ca="1">CG33+COUNTIFS($CH$6:$CH$53,CH33,$CL$6:CL$53,"&gt;"&amp;CL33,$BC$6:$BC$53,INDEX(T_Equipos[Grupo],MATCH(BD33,T_Equipos[NombreEquipo],0)))</f>
        <v>1</v>
      </c>
      <c r="CN33" s="757" t="str">
        <f ca="1">IF(COUNTIFS($CM$6:$CM$53,CM33,$BC$6:$BC$53,INDEX(T_Equipos[Grupo],MATCH(BD33,T_Equipos[NombreEquipo],0)))=1,"-","P."&amp;CM33&amp;" ("&amp;COUNTIFS($CM$6:$CM$53,CM33,$BC$6:$BC$53,INDEX(T_Equipos[Grupo],MATCH(BD33,T_Equipos[NombreEquipo],0)))&amp;")")</f>
        <v>P.1 (4)</v>
      </c>
      <c r="CO33" s="758">
        <f t="shared" ca="1" si="48"/>
        <v>0</v>
      </c>
      <c r="CP33" s="758">
        <f t="shared" ca="1" si="49"/>
        <v>0</v>
      </c>
      <c r="CQ33" s="758">
        <f t="shared" ca="1" si="50"/>
        <v>0</v>
      </c>
      <c r="CR33" s="758">
        <f ca="1">CM33+COUNTIFS($CN$6:$CN$53,CN33,$CQ$6:CQ$53,"&gt;"&amp;CQ33,$BC$6:$BC$53,INDEX(T_Equipos[Grupo],MATCH(BD33,T_Equipos[NombreEquipo],0)))</f>
        <v>1</v>
      </c>
      <c r="CS33" s="757" t="str">
        <f ca="1">IF(COUNTIFS($CR$6:$CR$53,CR33,$BC$6:$BC$53,INDEX(T_Equipos[Grupo],MATCH(BD33,T_Equipos[NombreEquipo],0)))=1,"-","P."&amp;CR33&amp;" ("&amp;COUNTIFS($CR$6:$CR$53,CR33,$BC$6:$BC$53,INDEX(T_Equipos[Grupo],MATCH(BD33,T_Equipos[NombreEquipo],0)))&amp;")")</f>
        <v>P.1 (4)</v>
      </c>
      <c r="CT33" s="758">
        <f t="shared" ca="1" si="51"/>
        <v>0</v>
      </c>
      <c r="CU33" s="758">
        <f ca="1">CR33+COUNTIFS($CS$6:$CS$53,CS33,$CT$6:CT$53,"&gt;"&amp;CT33,$BC$6:$BC$53,INDEX(T_Equipos[Grupo],MATCH(BD33,T_Equipos[NombreEquipo],0)))</f>
        <v>1</v>
      </c>
      <c r="CV33" s="757" t="str">
        <f ca="1">IF(COUNTIFS($CU$6:$CU$53,CU33,$BC$6:$BC$53,INDEX(T_Equipos[Grupo],MATCH(BD33,T_Equipos[NombreEquipo],0)))=1,"-","P."&amp;CU33&amp;" ("&amp;COUNTIFS($CU$6:$CU$53,CU33,$BC$6:$BC$53,INDEX(T_Equipos[Grupo],MATCH(BD33,T_Equipos[NombreEquipo],0)))&amp;")")</f>
        <v>P.1 (4)</v>
      </c>
      <c r="CW33" s="757">
        <f t="shared" ca="1" si="30"/>
        <v>0</v>
      </c>
      <c r="CX33" s="757">
        <f ca="1">CU33+COUNTIFS($CV$6:$CV$53,CV33,$CW$6:CW$53,"&gt;"&amp;CW33,$BC$6:$BC$53,INDEX(T_Equipos[Grupo],MATCH(BD33,T_Equipos[NombreEquipo],0)))</f>
        <v>1</v>
      </c>
      <c r="CY33" s="757" t="str">
        <f ca="1">IF(COUNTIFS($CX$6:$CX$53,CX33,$BC$6:$BC$53,INDEX(T_Equipos[Grupo],MATCH(BD33,T_Equipos[NombreEquipo],0)))=1,"-","P."&amp;CX33&amp;" ("&amp;COUNTIFS($CX$6:$CX$53,CX33,$BC$6:$BC$53,INDEX(T_Equipos[Grupo],MATCH(BD33,T_Equipos[NombreEquipo],0)))&amp;")")</f>
        <v>P.1 (4)</v>
      </c>
      <c r="CZ33" s="757">
        <f t="shared" ca="1" si="31"/>
        <v>0</v>
      </c>
      <c r="DA33" s="758">
        <f ca="1">CX33+COUNTIFS($CY$6:$CY$53,CY33,$CZ$6:CZ$53,"&gt;"&amp;CZ33,$BC$6:$BC$53,INDEX(T_Equipos[Grupo],MATCH(BD33,T_Equipos[NombreEquipo],0)))</f>
        <v>1</v>
      </c>
      <c r="DB33" s="757" t="str">
        <f ca="1">IF(COUNTIFS($DA$6:$DA$53,DA33,$BC$6:$BC$53,INDEX(T_Equipos[Grupo],MATCH(BD33,T_Equipos[NombreEquipo],0)))=1,"-","P."&amp;DA33&amp;" ("&amp;COUNTIFS($DA$6:$DA$53,DA33,$BC$6:$BC$53,INDEX(T_Equipos[Grupo],MATCH(BD33,T_Equipos[NombreEquipo],0)))&amp;")")</f>
        <v>P.1 (4)</v>
      </c>
      <c r="DC33" s="756">
        <f ca="1">IF(DB33="-","-",COUNTIFS(T_Equipos[Rank],"&lt;"&amp;INDEX(T_Equipos[Rank],MATCH(BD33,T_Equipos[NombreEquipo],0)),$BC$6:$BC$53,INDEX(T_Equipos[Grupo],MATCH(BD33,T_Equipos[NombreEquipo],0)))+1)</f>
        <v>4</v>
      </c>
      <c r="DD33" s="756">
        <f ca="1">DA33+COUNTIFS($DB$6:$DB$53,DB33,$DC$6:DC$53,"&lt;"&amp;DC33,$BC$6:$BC$53,INDEX(T_Equipos[Grupo],MATCH(BD33,T_Equipos[NombreEquipo],0)))</f>
        <v>4</v>
      </c>
      <c r="DE33" s="756"/>
      <c r="DF33" s="756">
        <f t="shared" ca="1" si="52"/>
        <v>4</v>
      </c>
      <c r="DG33" s="756">
        <f ca="1">IF(DB33="-","-",COUNTIFS(DF$6:DF$53,"&lt;"&amp;DF33,$BC$6:$BC$53,INDEX(T_Equipos[Grupo],MATCH(BD33,T_Equipos[NombreEquipo],0))))</f>
        <v>3</v>
      </c>
      <c r="DH33" s="756">
        <f ca="1">DA33+COUNTIFS(DB$6:DB$53,DB33,DG$6:DG$53,"&lt;"&amp;DG33,$BC$6:$BC$53,INDEX(T_Equipos[Grupo],MATCH(BD33,T_Equipos[NombreEquipo],0)))</f>
        <v>4</v>
      </c>
      <c r="DI33" s="744"/>
      <c r="DJ33" s="744">
        <f t="shared" ca="1" si="53"/>
        <v>1</v>
      </c>
      <c r="DK33" s="744">
        <f t="shared" ca="1" si="24"/>
        <v>0</v>
      </c>
      <c r="DL33" s="744">
        <f t="shared" ca="1" si="33"/>
        <v>1</v>
      </c>
      <c r="DM33" s="738" t="str">
        <f t="shared" ca="1" si="34"/>
        <v>1.1</v>
      </c>
      <c r="DN33" s="744" cm="1">
        <f t="array" aca="1" ref="DN33" ca="1">OFFSET(Horarios!$P$3,DJ33-1,0,DL33,1)</f>
        <v>1</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0</v>
      </c>
      <c r="BF34" s="748">
        <f t="shared" ca="1" si="26"/>
        <v>0</v>
      </c>
      <c r="BG34" s="748">
        <f t="shared" ca="1" si="17"/>
        <v>0</v>
      </c>
      <c r="BH34" s="748">
        <f t="shared" ca="1" si="18"/>
        <v>0</v>
      </c>
      <c r="BI34" s="748">
        <f t="shared" ca="1" si="19"/>
        <v>0</v>
      </c>
      <c r="BJ34" s="748">
        <f t="shared" ca="1" si="20"/>
        <v>0</v>
      </c>
      <c r="BK34" s="748">
        <f t="shared" ca="1" si="21"/>
        <v>0</v>
      </c>
      <c r="BL34" s="748">
        <f t="shared" ca="1" si="27"/>
        <v>0</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0</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P.1 (4)</v>
      </c>
      <c r="BU34" s="758">
        <f t="shared" ca="1" si="36"/>
        <v>0</v>
      </c>
      <c r="BV34" s="758">
        <f t="shared" ca="1" si="37"/>
        <v>0</v>
      </c>
      <c r="BW34" s="758">
        <f t="shared" ca="1" si="38"/>
        <v>0</v>
      </c>
      <c r="BX34" s="758">
        <f t="shared" ca="1" si="39"/>
        <v>0</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P.1 (4)</v>
      </c>
      <c r="CA34" s="758">
        <f t="shared" ca="1" si="40"/>
        <v>0</v>
      </c>
      <c r="CB34" s="758">
        <f t="shared" ca="1" si="41"/>
        <v>0</v>
      </c>
      <c r="CC34" s="758">
        <f t="shared" ca="1" si="42"/>
        <v>0</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P.1 (4)</v>
      </c>
      <c r="CF34" s="758">
        <f t="shared" ca="1" si="43"/>
        <v>0</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P.1 (4)</v>
      </c>
      <c r="CI34" s="758">
        <f t="shared" ca="1" si="44"/>
        <v>0</v>
      </c>
      <c r="CJ34" s="758">
        <f t="shared" ca="1" si="45"/>
        <v>0</v>
      </c>
      <c r="CK34" s="758">
        <f t="shared" ca="1" si="46"/>
        <v>0</v>
      </c>
      <c r="CL34" s="758">
        <f t="shared" ca="1" si="47"/>
        <v>0</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P.1 (4)</v>
      </c>
      <c r="CO34" s="758">
        <f t="shared" ca="1" si="48"/>
        <v>0</v>
      </c>
      <c r="CP34" s="758">
        <f t="shared" ca="1" si="49"/>
        <v>0</v>
      </c>
      <c r="CQ34" s="758">
        <f t="shared" ca="1" si="50"/>
        <v>0</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P.1 (4)</v>
      </c>
      <c r="CT34" s="758">
        <f t="shared" ca="1" si="51"/>
        <v>0</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P.1 (4)</v>
      </c>
      <c r="CW34" s="757">
        <f t="shared" ca="1" si="30"/>
        <v>0</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P.1 (4)</v>
      </c>
      <c r="CZ34" s="757">
        <f t="shared" ca="1" si="31"/>
        <v>0</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P.1 (4)</v>
      </c>
      <c r="DC34" s="756">
        <f ca="1">IF(DB34="-","-",COUNTIFS(T_Equipos[Rank],"&lt;"&amp;INDEX(T_Equipos[Rank],MATCH(BD34,T_Equipos[NombreEquipo],0)),$BC$6:$BC$53,INDEX(T_Equipos[Grupo],MATCH(BD34,T_Equipos[NombreEquipo],0)))+1)</f>
        <v>1</v>
      </c>
      <c r="DD34" s="756">
        <f ca="1">DA34+COUNTIFS($DB$6:$DB$53,DB34,$DC$6:DC$53,"&lt;"&amp;DC34,$BC$6:$BC$53,INDEX(T_Equipos[Grupo],MATCH(BD34,T_Equipos[NombreEquipo],0)))</f>
        <v>1</v>
      </c>
      <c r="DE34" s="756"/>
      <c r="DF34" s="756">
        <f t="shared" ca="1" si="52"/>
        <v>1</v>
      </c>
      <c r="DG34" s="756">
        <f ca="1">IF(DB34="-","-",COUNTIFS(DF$6:DF$53,"&lt;"&amp;DF34,$BC$6:$BC$53,INDEX(T_Equipos[Grupo],MATCH(BD34,T_Equipos[NombreEquipo],0))))</f>
        <v>0</v>
      </c>
      <c r="DH34" s="756">
        <f ca="1">DA34+COUNTIFS(DB$6:DB$53,DB34,DG$6:DG$53,"&lt;"&amp;DG34,$BC$6:$BC$53,INDEX(T_Equipos[Grupo],MATCH(BD34,T_Equipos[NombreEquipo],0)))</f>
        <v>1</v>
      </c>
      <c r="DI34" s="744"/>
      <c r="DJ34" s="744">
        <f t="shared" ca="1" si="53"/>
        <v>1</v>
      </c>
      <c r="DK34" s="744">
        <f t="shared" ca="1" si="24"/>
        <v>0</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0</v>
      </c>
      <c r="BF35" s="748">
        <f t="shared" ca="1" si="26"/>
        <v>0</v>
      </c>
      <c r="BG35" s="748">
        <f t="shared" ca="1" si="17"/>
        <v>0</v>
      </c>
      <c r="BH35" s="748">
        <f t="shared" ca="1" si="18"/>
        <v>0</v>
      </c>
      <c r="BI35" s="748">
        <f t="shared" ca="1" si="19"/>
        <v>0</v>
      </c>
      <c r="BJ35" s="748">
        <f t="shared" ca="1" si="20"/>
        <v>0</v>
      </c>
      <c r="BK35" s="748">
        <f t="shared" ca="1" si="21"/>
        <v>0</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0</v>
      </c>
      <c r="BS35" s="757">
        <f ca="1">BP35+COUNTIFS($BQ$6:$BQ$53,BQ35,$BR$6:BR$53,"&gt;"&amp;BR35,$BC$6:$BC$53,INDEX(T_Equipos[Grupo],MATCH(BD35,T_Equipos[NombreEquipo],0)))</f>
        <v>1</v>
      </c>
      <c r="BT35" s="757" t="str">
        <f ca="1">IF(COUNTIFS($BS$6:$BS$53,BS35,$BC$6:$BC$53,INDEX(T_Equipos[Grupo],MATCH(BD35,T_Equipos[NombreEquipo],0)))=1,"-","P."&amp;BS35&amp;" ("&amp;COUNTIFS($BS$6:$BS$53,BS35,$BC$6:$BC$53,INDEX(T_Equipos[Grupo],MATCH(BD35,T_Equipos[NombreEquipo],0)))&amp;")")</f>
        <v>P.1 (4)</v>
      </c>
      <c r="BU35" s="758">
        <f t="shared" ca="1" si="36"/>
        <v>0</v>
      </c>
      <c r="BV35" s="758">
        <f t="shared" ca="1" si="37"/>
        <v>0</v>
      </c>
      <c r="BW35" s="758">
        <f t="shared" ca="1" si="38"/>
        <v>0</v>
      </c>
      <c r="BX35" s="758">
        <f t="shared" ca="1" si="39"/>
        <v>0</v>
      </c>
      <c r="BY35" s="758">
        <f ca="1">BS35+COUNTIFS($BT$6:$BT$53,BT35,$BX$6:BX$53,"&gt;"&amp;BX35,$BC$6:$BC$53,INDEX(T_Equipos[Grupo],MATCH(BD35,T_Equipos[NombreEquipo],0)))</f>
        <v>1</v>
      </c>
      <c r="BZ35" s="757" t="str">
        <f ca="1">IF(COUNTIFS($BY$6:$BY$53,BY35,$BC$6:$BC$53,INDEX(T_Equipos[Grupo],MATCH(BD35,T_Equipos[NombreEquipo],0)))=1,"-","P."&amp;BY35&amp;" ("&amp;COUNTIFS($BY$6:$BY$53,BY35,$BC$6:$BC$53,INDEX(T_Equipos[Grupo],MATCH(BD35,T_Equipos[NombreEquipo],0)))&amp;")")</f>
        <v>P.1 (4)</v>
      </c>
      <c r="CA35" s="758">
        <f t="shared" ca="1" si="40"/>
        <v>0</v>
      </c>
      <c r="CB35" s="758">
        <f t="shared" ca="1" si="41"/>
        <v>0</v>
      </c>
      <c r="CC35" s="758">
        <f t="shared" ca="1" si="42"/>
        <v>0</v>
      </c>
      <c r="CD35" s="758">
        <f ca="1">BY35+COUNTIFS($BZ$6:$BZ$53,BZ35,$CC$6:CC$53,"&gt;"&amp;CC35,$BC$6:$BC$53,INDEX(T_Equipos[Grupo],MATCH(BD35,T_Equipos[NombreEquipo],0)))</f>
        <v>1</v>
      </c>
      <c r="CE35" s="757" t="str">
        <f ca="1">IF(COUNTIFS($CD$6:$CD$53,CD35,$BC$6:$BC$53,INDEX(T_Equipos[Grupo],MATCH(BD35,T_Equipos[NombreEquipo],0)))=1,"-","P."&amp;CD35&amp;" ("&amp;COUNTIFS($CD$6:$CD$53,CD35,$BC$6:$BC$53,INDEX(T_Equipos[Grupo],MATCH(BD35,T_Equipos[NombreEquipo],0)))&amp;")")</f>
        <v>P.1 (4)</v>
      </c>
      <c r="CF35" s="758">
        <f t="shared" ca="1" si="43"/>
        <v>0</v>
      </c>
      <c r="CG35" s="758">
        <f ca="1">CD35+COUNTIFS($CE$6:$CE$53,CE35,$CF$6:CF$53,"&gt;"&amp;CF35,$BC$6:$BC$53,INDEX(T_Equipos[Grupo],MATCH(BD35,T_Equipos[NombreEquipo],0)))</f>
        <v>1</v>
      </c>
      <c r="CH35" s="757" t="str">
        <f ca="1">IF(COUNTIFS($CG$6:$CG$53,CG35,$BC$6:$BC$53,INDEX(T_Equipos[Grupo],MATCH(BD35,T_Equipos[NombreEquipo],0)))=1,"-","P."&amp;CG35&amp;" ("&amp;COUNTIFS($CG$6:$CG$53,CG35,$BC$6:$BC$53,INDEX(T_Equipos[Grupo],MATCH(BD35,T_Equipos[NombreEquipo],0)))&amp;")")</f>
        <v>P.1 (4)</v>
      </c>
      <c r="CI35" s="758">
        <f t="shared" ca="1" si="44"/>
        <v>0</v>
      </c>
      <c r="CJ35" s="758">
        <f t="shared" ca="1" si="45"/>
        <v>0</v>
      </c>
      <c r="CK35" s="758">
        <f t="shared" ca="1" si="46"/>
        <v>0</v>
      </c>
      <c r="CL35" s="758">
        <f t="shared" ca="1" si="47"/>
        <v>0</v>
      </c>
      <c r="CM35" s="758">
        <f ca="1">CG35+COUNTIFS($CH$6:$CH$53,CH35,$CL$6:CL$53,"&gt;"&amp;CL35,$BC$6:$BC$53,INDEX(T_Equipos[Grupo],MATCH(BD35,T_Equipos[NombreEquipo],0)))</f>
        <v>1</v>
      </c>
      <c r="CN35" s="757" t="str">
        <f ca="1">IF(COUNTIFS($CM$6:$CM$53,CM35,$BC$6:$BC$53,INDEX(T_Equipos[Grupo],MATCH(BD35,T_Equipos[NombreEquipo],0)))=1,"-","P."&amp;CM35&amp;" ("&amp;COUNTIFS($CM$6:$CM$53,CM35,$BC$6:$BC$53,INDEX(T_Equipos[Grupo],MATCH(BD35,T_Equipos[NombreEquipo],0)))&amp;")")</f>
        <v>P.1 (4)</v>
      </c>
      <c r="CO35" s="758">
        <f t="shared" ca="1" si="48"/>
        <v>0</v>
      </c>
      <c r="CP35" s="758">
        <f t="shared" ca="1" si="49"/>
        <v>0</v>
      </c>
      <c r="CQ35" s="758">
        <f t="shared" ca="1" si="50"/>
        <v>0</v>
      </c>
      <c r="CR35" s="758">
        <f ca="1">CM35+COUNTIFS($CN$6:$CN$53,CN35,$CQ$6:CQ$53,"&gt;"&amp;CQ35,$BC$6:$BC$53,INDEX(T_Equipos[Grupo],MATCH(BD35,T_Equipos[NombreEquipo],0)))</f>
        <v>1</v>
      </c>
      <c r="CS35" s="757" t="str">
        <f ca="1">IF(COUNTIFS($CR$6:$CR$53,CR35,$BC$6:$BC$53,INDEX(T_Equipos[Grupo],MATCH(BD35,T_Equipos[NombreEquipo],0)))=1,"-","P."&amp;CR35&amp;" ("&amp;COUNTIFS($CR$6:$CR$53,CR35,$BC$6:$BC$53,INDEX(T_Equipos[Grupo],MATCH(BD35,T_Equipos[NombreEquipo],0)))&amp;")")</f>
        <v>P.1 (4)</v>
      </c>
      <c r="CT35" s="758">
        <f t="shared" ca="1" si="51"/>
        <v>0</v>
      </c>
      <c r="CU35" s="758">
        <f ca="1">CR35+COUNTIFS($CS$6:$CS$53,CS35,$CT$6:CT$53,"&gt;"&amp;CT35,$BC$6:$BC$53,INDEX(T_Equipos[Grupo],MATCH(BD35,T_Equipos[NombreEquipo],0)))</f>
        <v>1</v>
      </c>
      <c r="CV35" s="757" t="str">
        <f ca="1">IF(COUNTIFS($CU$6:$CU$53,CU35,$BC$6:$BC$53,INDEX(T_Equipos[Grupo],MATCH(BD35,T_Equipos[NombreEquipo],0)))=1,"-","P."&amp;CU35&amp;" ("&amp;COUNTIFS($CU$6:$CU$53,CU35,$BC$6:$BC$53,INDEX(T_Equipos[Grupo],MATCH(BD35,T_Equipos[NombreEquipo],0)))&amp;")")</f>
        <v>P.1 (4)</v>
      </c>
      <c r="CW35" s="757">
        <f t="shared" ca="1" si="30"/>
        <v>0</v>
      </c>
      <c r="CX35" s="757">
        <f ca="1">CU35+COUNTIFS($CV$6:$CV$53,CV35,$CW$6:CW$53,"&gt;"&amp;CW35,$BC$6:$BC$53,INDEX(T_Equipos[Grupo],MATCH(BD35,T_Equipos[NombreEquipo],0)))</f>
        <v>1</v>
      </c>
      <c r="CY35" s="757" t="str">
        <f ca="1">IF(COUNTIFS($CX$6:$CX$53,CX35,$BC$6:$BC$53,INDEX(T_Equipos[Grupo],MATCH(BD35,T_Equipos[NombreEquipo],0)))=1,"-","P."&amp;CX35&amp;" ("&amp;COUNTIFS($CX$6:$CX$53,CX35,$BC$6:$BC$53,INDEX(T_Equipos[Grupo],MATCH(BD35,T_Equipos[NombreEquipo],0)))&amp;")")</f>
        <v>P.1 (4)</v>
      </c>
      <c r="CZ35" s="757">
        <f t="shared" ca="1" si="31"/>
        <v>0</v>
      </c>
      <c r="DA35" s="758">
        <f ca="1">CX35+COUNTIFS($CY$6:$CY$53,CY35,$CZ$6:CZ$53,"&gt;"&amp;CZ35,$BC$6:$BC$53,INDEX(T_Equipos[Grupo],MATCH(BD35,T_Equipos[NombreEquipo],0)))</f>
        <v>1</v>
      </c>
      <c r="DB35" s="757" t="str">
        <f ca="1">IF(COUNTIFS($DA$6:$DA$53,DA35,$BC$6:$BC$53,INDEX(T_Equipos[Grupo],MATCH(BD35,T_Equipos[NombreEquipo],0)))=1,"-","P."&amp;DA35&amp;" ("&amp;COUNTIFS($DA$6:$DA$53,DA35,$BC$6:$BC$53,INDEX(T_Equipos[Grupo],MATCH(BD35,T_Equipos[NombreEquipo],0)))&amp;")")</f>
        <v>P.1 (4)</v>
      </c>
      <c r="DC35" s="756">
        <f ca="1">IF(DB35="-","-",COUNTIFS(T_Equipos[Rank],"&lt;"&amp;INDEX(T_Equipos[Rank],MATCH(BD35,T_Equipos[NombreEquipo],0)),$BC$6:$BC$53,INDEX(T_Equipos[Grupo],MATCH(BD35,T_Equipos[NombreEquipo],0)))+1)</f>
        <v>2</v>
      </c>
      <c r="DD35" s="756">
        <f ca="1">DA35+COUNTIFS($DB$6:$DB$53,DB35,$DC$6:DC$53,"&lt;"&amp;DC35,$BC$6:$BC$53,INDEX(T_Equipos[Grupo],MATCH(BD35,T_Equipos[NombreEquipo],0)))</f>
        <v>2</v>
      </c>
      <c r="DE35" s="756"/>
      <c r="DF35" s="756">
        <f t="shared" ca="1" si="52"/>
        <v>2</v>
      </c>
      <c r="DG35" s="756">
        <f ca="1">IF(DB35="-","-",COUNTIFS(DF$6:DF$53,"&lt;"&amp;DF35,$BC$6:$BC$53,INDEX(T_Equipos[Grupo],MATCH(BD35,T_Equipos[NombreEquipo],0))))</f>
        <v>1</v>
      </c>
      <c r="DH35" s="756">
        <f ca="1">DA35+COUNTIFS(DB$6:DB$53,DB35,DG$6:DG$53,"&lt;"&amp;DG35,$BC$6:$BC$53,INDEX(T_Equipos[Grupo],MATCH(BD35,T_Equipos[NombreEquipo],0)))</f>
        <v>2</v>
      </c>
      <c r="DI35" s="744"/>
      <c r="DJ35" s="744">
        <f t="shared" ca="1" si="53"/>
        <v>1</v>
      </c>
      <c r="DK35" s="744">
        <f t="shared" ca="1" si="24"/>
        <v>0</v>
      </c>
      <c r="DL35" s="744">
        <f t="shared" ca="1" si="33"/>
        <v>1</v>
      </c>
      <c r="DM35" s="738" t="str">
        <f t="shared" ca="1" si="34"/>
        <v>1.1</v>
      </c>
      <c r="DN35" s="744" cm="1">
        <f t="array" aca="1" ref="DN35" ca="1">OFFSET(Horarios!$P$3,DJ35-1,0,DL35,1)</f>
        <v>1</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Pendiente</v>
      </c>
      <c r="E36" s="744" t="str">
        <f t="shared" ref="E36:E41" si="116">IF(D36="Pendiente","-",INDEX($BT$6:$BT$53,MATCH($AA36,$BD$6:$BD$53,0)))</f>
        <v>-</v>
      </c>
      <c r="F36" s="744" t="str">
        <f t="shared" ref="F36:F41" si="117">IF(D36="Pendiente","-",INDEX($BT$6:$BT$53,MATCH($AF36,$BD$6:$BD$53,0)))</f>
        <v>-</v>
      </c>
      <c r="G36" s="744"/>
      <c r="H36" s="744" t="str">
        <f t="shared" ref="H36:H41" si="118">IF(D36="Pendiente","-",INDEX($BZ$6:$BZ$53,MATCH($AA36,$BD$6:$BD$53,0)))</f>
        <v>-</v>
      </c>
      <c r="I36" s="744" t="str">
        <f t="shared" ref="I36:I41" si="119">IF(D36="Pendiente","-",INDEX($BZ$6:$BZ$53,MATCH($AF36,$BD$6:$BD$53,0)))</f>
        <v>-</v>
      </c>
      <c r="J36" s="744"/>
      <c r="K36" s="744" t="str">
        <f t="shared" ref="K36:K41" si="120">IF(D36="Pendiente","-",INDEX($CE$6:$CE$53,MATCH($AA36,$BD$6:$BD$53,0)))</f>
        <v>-</v>
      </c>
      <c r="L36" s="744" t="str">
        <f t="shared" ref="L36:L41" si="121">IF(D36="Pendiente","-",INDEX($CE$6:$CE$53,MATCH($AF36,$BD$6:$BD$53,0)))</f>
        <v>-</v>
      </c>
      <c r="M36" s="744"/>
      <c r="N36" s="744" t="str">
        <f t="shared" ref="N36:N41" si="122">IF(D36="Pendiente","-",INDEX($CH$6:$CH$53,MATCH($AA36,$BD$6:$BD$53,0)))</f>
        <v>-</v>
      </c>
      <c r="O36" s="744" t="str">
        <f t="shared" ref="O36:O41" si="123">IF(D36="Pendiente","-",INDEX($CH$6:$CH$53,MATCH($AF36,$BD$6:$BD$53,0)))</f>
        <v>-</v>
      </c>
      <c r="P36" s="744"/>
      <c r="Q36" s="744" t="str">
        <f t="shared" ref="Q36:Q41" si="124">IF(D36="Pendiente","-",INDEX($CN$6:$CN$53,MATCH($AA36,$BD$6:$BD$53,0)))</f>
        <v>-</v>
      </c>
      <c r="R36" s="744" t="str">
        <f t="shared" ref="R36:R41" si="125">IF(D36="Pendiente","-",INDEX($CN$6:$CN$53,MATCH($AF36,$BD$6:$BD$53,0)))</f>
        <v>-</v>
      </c>
      <c r="S36" s="744"/>
      <c r="T36" s="744" t="str">
        <f t="shared" ref="T36:T41" si="126">IF(D36="Pendiente","-",INDEX($CS$6:$CS$53,MATCH($AA36,$BD$6:$BD$53,0)))</f>
        <v>-</v>
      </c>
      <c r="U36" s="744" t="str">
        <f t="shared" ref="U36:U41" si="127">IF(D36="Pendiente","-",INDEX($CS$6:$CS$53,MATCH($AF36,$BD$6:$BD$53,0)))</f>
        <v>-</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c r="AD36" s="194"/>
      <c r="AE36" s="483" t="e" cm="1" vm="18">
        <f t="array" aca="1" ref="AE36" ca="1">Ver_flag_visit</f>
        <v>#VALUE!</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0</v>
      </c>
      <c r="BF36" s="748">
        <f t="shared" ca="1" si="26"/>
        <v>0</v>
      </c>
      <c r="BG36" s="748">
        <f t="shared" ca="1" si="17"/>
        <v>0</v>
      </c>
      <c r="BH36" s="748">
        <f t="shared" ca="1" si="18"/>
        <v>0</v>
      </c>
      <c r="BI36" s="748">
        <f t="shared" ca="1" si="19"/>
        <v>0</v>
      </c>
      <c r="BJ36" s="748">
        <f t="shared" ca="1" si="20"/>
        <v>0</v>
      </c>
      <c r="BK36" s="748">
        <f t="shared" ca="1" si="21"/>
        <v>0</v>
      </c>
      <c r="BL36" s="748">
        <f t="shared" ca="1" si="27"/>
        <v>0</v>
      </c>
      <c r="BM36" s="748" t="str">
        <f t="shared" ca="1" si="22"/>
        <v>3H</v>
      </c>
      <c r="BN36" s="748" t="str">
        <f t="shared" ca="1" si="23"/>
        <v>3H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0</v>
      </c>
      <c r="BS36" s="757">
        <f ca="1">BP36+COUNTIFS($BQ$6:$BQ$53,BQ36,$BR$6:BR$53,"&gt;"&amp;BR36,$BC$6:$BC$53,INDEX(T_Equipos[Grupo],MATCH(BD36,T_Equipos[NombreEquipo],0)))</f>
        <v>1</v>
      </c>
      <c r="BT36" s="757" t="str">
        <f ca="1">IF(COUNTIFS($BS$6:$BS$53,BS36,$BC$6:$BC$53,INDEX(T_Equipos[Grupo],MATCH(BD36,T_Equipos[NombreEquipo],0)))=1,"-","P."&amp;BS36&amp;" ("&amp;COUNTIFS($BS$6:$BS$53,BS36,$BC$6:$BC$53,INDEX(T_Equipos[Grupo],MATCH(BD36,T_Equipos[NombreEquipo],0)))&amp;")")</f>
        <v>P.1 (4)</v>
      </c>
      <c r="BU36" s="758">
        <f t="shared" ca="1" si="36"/>
        <v>0</v>
      </c>
      <c r="BV36" s="758">
        <f t="shared" ca="1" si="37"/>
        <v>0</v>
      </c>
      <c r="BW36" s="758">
        <f t="shared" ca="1" si="38"/>
        <v>0</v>
      </c>
      <c r="BX36" s="758">
        <f t="shared" ca="1" si="39"/>
        <v>0</v>
      </c>
      <c r="BY36" s="758">
        <f ca="1">BS36+COUNTIFS($BT$6:$BT$53,BT36,$BX$6:BX$53,"&gt;"&amp;BX36,$BC$6:$BC$53,INDEX(T_Equipos[Grupo],MATCH(BD36,T_Equipos[NombreEquipo],0)))</f>
        <v>1</v>
      </c>
      <c r="BZ36" s="757" t="str">
        <f ca="1">IF(COUNTIFS($BY$6:$BY$53,BY36,$BC$6:$BC$53,INDEX(T_Equipos[Grupo],MATCH(BD36,T_Equipos[NombreEquipo],0)))=1,"-","P."&amp;BY36&amp;" ("&amp;COUNTIFS($BY$6:$BY$53,BY36,$BC$6:$BC$53,INDEX(T_Equipos[Grupo],MATCH(BD36,T_Equipos[NombreEquipo],0)))&amp;")")</f>
        <v>P.1 (4)</v>
      </c>
      <c r="CA36" s="758">
        <f t="shared" ca="1" si="40"/>
        <v>0</v>
      </c>
      <c r="CB36" s="758">
        <f t="shared" ca="1" si="41"/>
        <v>0</v>
      </c>
      <c r="CC36" s="758">
        <f t="shared" ca="1" si="42"/>
        <v>0</v>
      </c>
      <c r="CD36" s="758">
        <f ca="1">BY36+COUNTIFS($BZ$6:$BZ$53,BZ36,$CC$6:CC$53,"&gt;"&amp;CC36,$BC$6:$BC$53,INDEX(T_Equipos[Grupo],MATCH(BD36,T_Equipos[NombreEquipo],0)))</f>
        <v>1</v>
      </c>
      <c r="CE36" s="757" t="str">
        <f ca="1">IF(COUNTIFS($CD$6:$CD$53,CD36,$BC$6:$BC$53,INDEX(T_Equipos[Grupo],MATCH(BD36,T_Equipos[NombreEquipo],0)))=1,"-","P."&amp;CD36&amp;" ("&amp;COUNTIFS($CD$6:$CD$53,CD36,$BC$6:$BC$53,INDEX(T_Equipos[Grupo],MATCH(BD36,T_Equipos[NombreEquipo],0)))&amp;")")</f>
        <v>P.1 (4)</v>
      </c>
      <c r="CF36" s="758">
        <f t="shared" ca="1" si="43"/>
        <v>0</v>
      </c>
      <c r="CG36" s="758">
        <f ca="1">CD36+COUNTIFS($CE$6:$CE$53,CE36,$CF$6:CF$53,"&gt;"&amp;CF36,$BC$6:$BC$53,INDEX(T_Equipos[Grupo],MATCH(BD36,T_Equipos[NombreEquipo],0)))</f>
        <v>1</v>
      </c>
      <c r="CH36" s="757" t="str">
        <f ca="1">IF(COUNTIFS($CG$6:$CG$53,CG36,$BC$6:$BC$53,INDEX(T_Equipos[Grupo],MATCH(BD36,T_Equipos[NombreEquipo],0)))=1,"-","P."&amp;CG36&amp;" ("&amp;COUNTIFS($CG$6:$CG$53,CG36,$BC$6:$BC$53,INDEX(T_Equipos[Grupo],MATCH(BD36,T_Equipos[NombreEquipo],0)))&amp;")")</f>
        <v>P.1 (4)</v>
      </c>
      <c r="CI36" s="758">
        <f t="shared" ca="1" si="44"/>
        <v>0</v>
      </c>
      <c r="CJ36" s="758">
        <f t="shared" ca="1" si="45"/>
        <v>0</v>
      </c>
      <c r="CK36" s="758">
        <f t="shared" ca="1" si="46"/>
        <v>0</v>
      </c>
      <c r="CL36" s="758">
        <f t="shared" ca="1" si="47"/>
        <v>0</v>
      </c>
      <c r="CM36" s="758">
        <f ca="1">CG36+COUNTIFS($CH$6:$CH$53,CH36,$CL$6:CL$53,"&gt;"&amp;CL36,$BC$6:$BC$53,INDEX(T_Equipos[Grupo],MATCH(BD36,T_Equipos[NombreEquipo],0)))</f>
        <v>1</v>
      </c>
      <c r="CN36" s="757" t="str">
        <f ca="1">IF(COUNTIFS($CM$6:$CM$53,CM36,$BC$6:$BC$53,INDEX(T_Equipos[Grupo],MATCH(BD36,T_Equipos[NombreEquipo],0)))=1,"-","P."&amp;CM36&amp;" ("&amp;COUNTIFS($CM$6:$CM$53,CM36,$BC$6:$BC$53,INDEX(T_Equipos[Grupo],MATCH(BD36,T_Equipos[NombreEquipo],0)))&amp;")")</f>
        <v>P.1 (4)</v>
      </c>
      <c r="CO36" s="758">
        <f t="shared" ca="1" si="48"/>
        <v>0</v>
      </c>
      <c r="CP36" s="758">
        <f t="shared" ca="1" si="49"/>
        <v>0</v>
      </c>
      <c r="CQ36" s="758">
        <f t="shared" ca="1" si="50"/>
        <v>0</v>
      </c>
      <c r="CR36" s="758">
        <f ca="1">CM36+COUNTIFS($CN$6:$CN$53,CN36,$CQ$6:CQ$53,"&gt;"&amp;CQ36,$BC$6:$BC$53,INDEX(T_Equipos[Grupo],MATCH(BD36,T_Equipos[NombreEquipo],0)))</f>
        <v>1</v>
      </c>
      <c r="CS36" s="757" t="str">
        <f ca="1">IF(COUNTIFS($CR$6:$CR$53,CR36,$BC$6:$BC$53,INDEX(T_Equipos[Grupo],MATCH(BD36,T_Equipos[NombreEquipo],0)))=1,"-","P."&amp;CR36&amp;" ("&amp;COUNTIFS($CR$6:$CR$53,CR36,$BC$6:$BC$53,INDEX(T_Equipos[Grupo],MATCH(BD36,T_Equipos[NombreEquipo],0)))&amp;")")</f>
        <v>P.1 (4)</v>
      </c>
      <c r="CT36" s="758">
        <f t="shared" ca="1" si="51"/>
        <v>0</v>
      </c>
      <c r="CU36" s="758">
        <f ca="1">CR36+COUNTIFS($CS$6:$CS$53,CS36,$CT$6:CT$53,"&gt;"&amp;CT36,$BC$6:$BC$53,INDEX(T_Equipos[Grupo],MATCH(BD36,T_Equipos[NombreEquipo],0)))</f>
        <v>1</v>
      </c>
      <c r="CV36" s="757" t="str">
        <f ca="1">IF(COUNTIFS($CU$6:$CU$53,CU36,$BC$6:$BC$53,INDEX(T_Equipos[Grupo],MATCH(BD36,T_Equipos[NombreEquipo],0)))=1,"-","P."&amp;CU36&amp;" ("&amp;COUNTIFS($CU$6:$CU$53,CU36,$BC$6:$BC$53,INDEX(T_Equipos[Grupo],MATCH(BD36,T_Equipos[NombreEquipo],0)))&amp;")")</f>
        <v>P.1 (4)</v>
      </c>
      <c r="CW36" s="757">
        <f t="shared" ca="1" si="30"/>
        <v>0</v>
      </c>
      <c r="CX36" s="757">
        <f ca="1">CU36+COUNTIFS($CV$6:$CV$53,CV36,$CW$6:CW$53,"&gt;"&amp;CW36,$BC$6:$BC$53,INDEX(T_Equipos[Grupo],MATCH(BD36,T_Equipos[NombreEquipo],0)))</f>
        <v>1</v>
      </c>
      <c r="CY36" s="757" t="str">
        <f ca="1">IF(COUNTIFS($CX$6:$CX$53,CX36,$BC$6:$BC$53,INDEX(T_Equipos[Grupo],MATCH(BD36,T_Equipos[NombreEquipo],0)))=1,"-","P."&amp;CX36&amp;" ("&amp;COUNTIFS($CX$6:$CX$53,CX36,$BC$6:$BC$53,INDEX(T_Equipos[Grupo],MATCH(BD36,T_Equipos[NombreEquipo],0)))&amp;")")</f>
        <v>P.1 (4)</v>
      </c>
      <c r="CZ36" s="757">
        <f t="shared" ca="1" si="31"/>
        <v>0</v>
      </c>
      <c r="DA36" s="758">
        <f ca="1">CX36+COUNTIFS($CY$6:$CY$53,CY36,$CZ$6:CZ$53,"&gt;"&amp;CZ36,$BC$6:$BC$53,INDEX(T_Equipos[Grupo],MATCH(BD36,T_Equipos[NombreEquipo],0)))</f>
        <v>1</v>
      </c>
      <c r="DB36" s="757" t="str">
        <f ca="1">IF(COUNTIFS($DA$6:$DA$53,DA36,$BC$6:$BC$53,INDEX(T_Equipos[Grupo],MATCH(BD36,T_Equipos[NombreEquipo],0)))=1,"-","P."&amp;DA36&amp;" ("&amp;COUNTIFS($DA$6:$DA$53,DA36,$BC$6:$BC$53,INDEX(T_Equipos[Grupo],MATCH(BD36,T_Equipos[NombreEquipo],0)))&amp;")")</f>
        <v>P.1 (4)</v>
      </c>
      <c r="DC36" s="756">
        <f ca="1">IF(DB36="-","-",COUNTIFS(T_Equipos[Rank],"&lt;"&amp;INDEX(T_Equipos[Rank],MATCH(BD36,T_Equipos[NombreEquipo],0)),$BC$6:$BC$53,INDEX(T_Equipos[Grupo],MATCH(BD36,T_Equipos[NombreEquipo],0)))+1)</f>
        <v>3</v>
      </c>
      <c r="DD36" s="756">
        <f ca="1">DA36+COUNTIFS($DB$6:$DB$53,DB36,$DC$6:DC$53,"&lt;"&amp;DC36,$BC$6:$BC$53,INDEX(T_Equipos[Grupo],MATCH(BD36,T_Equipos[NombreEquipo],0)))</f>
        <v>3</v>
      </c>
      <c r="DE36" s="756"/>
      <c r="DF36" s="756">
        <f t="shared" ca="1" si="52"/>
        <v>3</v>
      </c>
      <c r="DG36" s="756">
        <f ca="1">IF(DB36="-","-",COUNTIFS(DF$6:DF$53,"&lt;"&amp;DF36,$BC$6:$BC$53,INDEX(T_Equipos[Grupo],MATCH(BD36,T_Equipos[NombreEquipo],0))))</f>
        <v>2</v>
      </c>
      <c r="DH36" s="756">
        <f ca="1">DA36+COUNTIFS(DB$6:DB$53,DB36,DG$6:DG$53,"&lt;"&amp;DG36,$BC$6:$BC$53,INDEX(T_Equipos[Grupo],MATCH(BD36,T_Equipos[NombreEquipo],0)))</f>
        <v>3</v>
      </c>
      <c r="DI36" s="744"/>
      <c r="DJ36" s="744">
        <f t="shared" ca="1" si="53"/>
        <v>1</v>
      </c>
      <c r="DK36" s="744">
        <f t="shared" ca="1" si="24"/>
        <v>0</v>
      </c>
      <c r="DL36" s="744">
        <f t="shared" ca="1" si="33"/>
        <v>1</v>
      </c>
      <c r="DM36" s="738" t="str">
        <f t="shared" ca="1" si="34"/>
        <v>1.1</v>
      </c>
      <c r="DN36" s="744" cm="1">
        <f t="array" aca="1" ref="DN36" ca="1">OFFSET(Horarios!$P$3,DJ36-1,0,DL36,1)</f>
        <v>1</v>
      </c>
      <c r="DO36" s="744"/>
      <c r="DP36" s="744" t="s">
        <v>436</v>
      </c>
      <c r="DQ36" s="744" t="str">
        <f t="shared" ca="1" si="35"/>
        <v>Arabia Saudita</v>
      </c>
      <c r="DR36" s="744"/>
      <c r="DS36" s="744"/>
      <c r="DT36" s="744" t="str">
        <f t="shared" ca="1" si="15"/>
        <v>Alemania-Curazao</v>
      </c>
      <c r="DU36" s="744"/>
      <c r="DV36" s="744"/>
      <c r="DW36" s="8"/>
    </row>
    <row r="37" spans="1:127" ht="16.05" customHeight="1">
      <c r="A37" s="745" t="str">
        <f ca="1">+Equipos!B18</f>
        <v>Alemania</v>
      </c>
      <c r="B37" s="742"/>
      <c r="C37" s="742"/>
      <c r="D37" s="744" t="str">
        <f t="shared" si="115"/>
        <v>Pendiente</v>
      </c>
      <c r="E37" s="744" t="str">
        <f t="shared" si="116"/>
        <v>-</v>
      </c>
      <c r="F37" s="744" t="str">
        <f t="shared" si="117"/>
        <v>-</v>
      </c>
      <c r="G37" s="744"/>
      <c r="H37" s="744" t="str">
        <f t="shared" si="118"/>
        <v>-</v>
      </c>
      <c r="I37" s="744" t="str">
        <f t="shared" si="119"/>
        <v>-</v>
      </c>
      <c r="J37" s="744"/>
      <c r="K37" s="744" t="str">
        <f t="shared" si="120"/>
        <v>-</v>
      </c>
      <c r="L37" s="744" t="str">
        <f t="shared" si="121"/>
        <v>-</v>
      </c>
      <c r="M37" s="744"/>
      <c r="N37" s="744" t="str">
        <f t="shared" si="122"/>
        <v>-</v>
      </c>
      <c r="O37" s="744" t="str">
        <f t="shared" si="123"/>
        <v>-</v>
      </c>
      <c r="P37" s="744"/>
      <c r="Q37" s="744" t="str">
        <f t="shared" si="124"/>
        <v>-</v>
      </c>
      <c r="R37" s="744" t="str">
        <f t="shared" si="125"/>
        <v>-</v>
      </c>
      <c r="S37" s="744"/>
      <c r="T37" s="744" t="str">
        <f t="shared" si="126"/>
        <v>-</v>
      </c>
      <c r="U37" s="744" t="str">
        <f t="shared" si="127"/>
        <v>-</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c r="AD37" s="194"/>
      <c r="AE37" s="483" t="e" cm="1" vm="20">
        <f t="array" aca="1" ref="AE37" ca="1">Ver_flag_visit</f>
        <v>#VALUE!</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0</v>
      </c>
      <c r="BF37" s="748">
        <f t="shared" ca="1" si="26"/>
        <v>0</v>
      </c>
      <c r="BG37" s="748">
        <f t="shared" ca="1" si="17"/>
        <v>0</v>
      </c>
      <c r="BH37" s="748">
        <f t="shared" ca="1" si="18"/>
        <v>0</v>
      </c>
      <c r="BI37" s="748">
        <f t="shared" ca="1" si="19"/>
        <v>0</v>
      </c>
      <c r="BJ37" s="748">
        <f t="shared" ca="1" si="20"/>
        <v>0</v>
      </c>
      <c r="BK37" s="748">
        <f t="shared" ca="1" si="21"/>
        <v>0</v>
      </c>
      <c r="BL37" s="748">
        <f t="shared" ca="1" si="27"/>
        <v>0</v>
      </c>
      <c r="BM37" s="748" t="str">
        <f t="shared" ca="1" si="22"/>
        <v>4H</v>
      </c>
      <c r="BN37" s="748" t="str">
        <f t="shared" ca="1" si="23"/>
        <v>4H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0</v>
      </c>
      <c r="BS37" s="757">
        <f ca="1">BP37+COUNTIFS($BQ$6:$BQ$53,BQ37,$BR$6:BR$53,"&gt;"&amp;BR37,$BC$6:$BC$53,INDEX(T_Equipos[Grupo],MATCH(BD37,T_Equipos[NombreEquipo],0)))</f>
        <v>1</v>
      </c>
      <c r="BT37" s="757" t="str">
        <f ca="1">IF(COUNTIFS($BS$6:$BS$53,BS37,$BC$6:$BC$53,INDEX(T_Equipos[Grupo],MATCH(BD37,T_Equipos[NombreEquipo],0)))=1,"-","P."&amp;BS37&amp;" ("&amp;COUNTIFS($BS$6:$BS$53,BS37,$BC$6:$BC$53,INDEX(T_Equipos[Grupo],MATCH(BD37,T_Equipos[NombreEquipo],0)))&amp;")")</f>
        <v>P.1 (4)</v>
      </c>
      <c r="BU37" s="758">
        <f t="shared" ca="1" si="36"/>
        <v>0</v>
      </c>
      <c r="BV37" s="758">
        <f t="shared" ca="1" si="37"/>
        <v>0</v>
      </c>
      <c r="BW37" s="758">
        <f t="shared" ca="1" si="38"/>
        <v>0</v>
      </c>
      <c r="BX37" s="758">
        <f t="shared" ca="1" si="39"/>
        <v>0</v>
      </c>
      <c r="BY37" s="758">
        <f ca="1">BS37+COUNTIFS($BT$6:$BT$53,BT37,$BX$6:BX$53,"&gt;"&amp;BX37,$BC$6:$BC$53,INDEX(T_Equipos[Grupo],MATCH(BD37,T_Equipos[NombreEquipo],0)))</f>
        <v>1</v>
      </c>
      <c r="BZ37" s="757" t="str">
        <f ca="1">IF(COUNTIFS($BY$6:$BY$53,BY37,$BC$6:$BC$53,INDEX(T_Equipos[Grupo],MATCH(BD37,T_Equipos[NombreEquipo],0)))=1,"-","P."&amp;BY37&amp;" ("&amp;COUNTIFS($BY$6:$BY$53,BY37,$BC$6:$BC$53,INDEX(T_Equipos[Grupo],MATCH(BD37,T_Equipos[NombreEquipo],0)))&amp;")")</f>
        <v>P.1 (4)</v>
      </c>
      <c r="CA37" s="758">
        <f t="shared" ca="1" si="40"/>
        <v>0</v>
      </c>
      <c r="CB37" s="758">
        <f t="shared" ca="1" si="41"/>
        <v>0</v>
      </c>
      <c r="CC37" s="758">
        <f t="shared" ca="1" si="42"/>
        <v>0</v>
      </c>
      <c r="CD37" s="758">
        <f ca="1">BY37+COUNTIFS($BZ$6:$BZ$53,BZ37,$CC$6:CC$53,"&gt;"&amp;CC37,$BC$6:$BC$53,INDEX(T_Equipos[Grupo],MATCH(BD37,T_Equipos[NombreEquipo],0)))</f>
        <v>1</v>
      </c>
      <c r="CE37" s="757" t="str">
        <f ca="1">IF(COUNTIFS($CD$6:$CD$53,CD37,$BC$6:$BC$53,INDEX(T_Equipos[Grupo],MATCH(BD37,T_Equipos[NombreEquipo],0)))=1,"-","P."&amp;CD37&amp;" ("&amp;COUNTIFS($CD$6:$CD$53,CD37,$BC$6:$BC$53,INDEX(T_Equipos[Grupo],MATCH(BD37,T_Equipos[NombreEquipo],0)))&amp;")")</f>
        <v>P.1 (4)</v>
      </c>
      <c r="CF37" s="758">
        <f t="shared" ca="1" si="43"/>
        <v>0</v>
      </c>
      <c r="CG37" s="758">
        <f ca="1">CD37+COUNTIFS($CE$6:$CE$53,CE37,$CF$6:CF$53,"&gt;"&amp;CF37,$BC$6:$BC$53,INDEX(T_Equipos[Grupo],MATCH(BD37,T_Equipos[NombreEquipo],0)))</f>
        <v>1</v>
      </c>
      <c r="CH37" s="757" t="str">
        <f ca="1">IF(COUNTIFS($CG$6:$CG$53,CG37,$BC$6:$BC$53,INDEX(T_Equipos[Grupo],MATCH(BD37,T_Equipos[NombreEquipo],0)))=1,"-","P."&amp;CG37&amp;" ("&amp;COUNTIFS($CG$6:$CG$53,CG37,$BC$6:$BC$53,INDEX(T_Equipos[Grupo],MATCH(BD37,T_Equipos[NombreEquipo],0)))&amp;")")</f>
        <v>P.1 (4)</v>
      </c>
      <c r="CI37" s="758">
        <f t="shared" ca="1" si="44"/>
        <v>0</v>
      </c>
      <c r="CJ37" s="758">
        <f t="shared" ca="1" si="45"/>
        <v>0</v>
      </c>
      <c r="CK37" s="758">
        <f t="shared" ca="1" si="46"/>
        <v>0</v>
      </c>
      <c r="CL37" s="758">
        <f t="shared" ca="1" si="47"/>
        <v>0</v>
      </c>
      <c r="CM37" s="758">
        <f ca="1">CG37+COUNTIFS($CH$6:$CH$53,CH37,$CL$6:CL$53,"&gt;"&amp;CL37,$BC$6:$BC$53,INDEX(T_Equipos[Grupo],MATCH(BD37,T_Equipos[NombreEquipo],0)))</f>
        <v>1</v>
      </c>
      <c r="CN37" s="757" t="str">
        <f ca="1">IF(COUNTIFS($CM$6:$CM$53,CM37,$BC$6:$BC$53,INDEX(T_Equipos[Grupo],MATCH(BD37,T_Equipos[NombreEquipo],0)))=1,"-","P."&amp;CM37&amp;" ("&amp;COUNTIFS($CM$6:$CM$53,CM37,$BC$6:$BC$53,INDEX(T_Equipos[Grupo],MATCH(BD37,T_Equipos[NombreEquipo],0)))&amp;")")</f>
        <v>P.1 (4)</v>
      </c>
      <c r="CO37" s="758">
        <f t="shared" ca="1" si="48"/>
        <v>0</v>
      </c>
      <c r="CP37" s="758">
        <f t="shared" ca="1" si="49"/>
        <v>0</v>
      </c>
      <c r="CQ37" s="758">
        <f t="shared" ca="1" si="50"/>
        <v>0</v>
      </c>
      <c r="CR37" s="758">
        <f ca="1">CM37+COUNTIFS($CN$6:$CN$53,CN37,$CQ$6:CQ$53,"&gt;"&amp;CQ37,$BC$6:$BC$53,INDEX(T_Equipos[Grupo],MATCH(BD37,T_Equipos[NombreEquipo],0)))</f>
        <v>1</v>
      </c>
      <c r="CS37" s="757" t="str">
        <f ca="1">IF(COUNTIFS($CR$6:$CR$53,CR37,$BC$6:$BC$53,INDEX(T_Equipos[Grupo],MATCH(BD37,T_Equipos[NombreEquipo],0)))=1,"-","P."&amp;CR37&amp;" ("&amp;COUNTIFS($CR$6:$CR$53,CR37,$BC$6:$BC$53,INDEX(T_Equipos[Grupo],MATCH(BD37,T_Equipos[NombreEquipo],0)))&amp;")")</f>
        <v>P.1 (4)</v>
      </c>
      <c r="CT37" s="758">
        <f t="shared" ca="1" si="51"/>
        <v>0</v>
      </c>
      <c r="CU37" s="758">
        <f ca="1">CR37+COUNTIFS($CS$6:$CS$53,CS37,$CT$6:CT$53,"&gt;"&amp;CT37,$BC$6:$BC$53,INDEX(T_Equipos[Grupo],MATCH(BD37,T_Equipos[NombreEquipo],0)))</f>
        <v>1</v>
      </c>
      <c r="CV37" s="757" t="str">
        <f ca="1">IF(COUNTIFS($CU$6:$CU$53,CU37,$BC$6:$BC$53,INDEX(T_Equipos[Grupo],MATCH(BD37,T_Equipos[NombreEquipo],0)))=1,"-","P."&amp;CU37&amp;" ("&amp;COUNTIFS($CU$6:$CU$53,CU37,$BC$6:$BC$53,INDEX(T_Equipos[Grupo],MATCH(BD37,T_Equipos[NombreEquipo],0)))&amp;")")</f>
        <v>P.1 (4)</v>
      </c>
      <c r="CW37" s="757">
        <f t="shared" ca="1" si="30"/>
        <v>0</v>
      </c>
      <c r="CX37" s="757">
        <f ca="1">CU37+COUNTIFS($CV$6:$CV$53,CV37,$CW$6:CW$53,"&gt;"&amp;CW37,$BC$6:$BC$53,INDEX(T_Equipos[Grupo],MATCH(BD37,T_Equipos[NombreEquipo],0)))</f>
        <v>1</v>
      </c>
      <c r="CY37" s="757" t="str">
        <f ca="1">IF(COUNTIFS($CX$6:$CX$53,CX37,$BC$6:$BC$53,INDEX(T_Equipos[Grupo],MATCH(BD37,T_Equipos[NombreEquipo],0)))=1,"-","P."&amp;CX37&amp;" ("&amp;COUNTIFS($CX$6:$CX$53,CX37,$BC$6:$BC$53,INDEX(T_Equipos[Grupo],MATCH(BD37,T_Equipos[NombreEquipo],0)))&amp;")")</f>
        <v>P.1 (4)</v>
      </c>
      <c r="CZ37" s="757">
        <f t="shared" ca="1" si="31"/>
        <v>0</v>
      </c>
      <c r="DA37" s="758">
        <f ca="1">CX37+COUNTIFS($CY$6:$CY$53,CY37,$CZ$6:CZ$53,"&gt;"&amp;CZ37,$BC$6:$BC$53,INDEX(T_Equipos[Grupo],MATCH(BD37,T_Equipos[NombreEquipo],0)))</f>
        <v>1</v>
      </c>
      <c r="DB37" s="757" t="str">
        <f ca="1">IF(COUNTIFS($DA$6:$DA$53,DA37,$BC$6:$BC$53,INDEX(T_Equipos[Grupo],MATCH(BD37,T_Equipos[NombreEquipo],0)))=1,"-","P."&amp;DA37&amp;" ("&amp;COUNTIFS($DA$6:$DA$53,DA37,$BC$6:$BC$53,INDEX(T_Equipos[Grupo],MATCH(BD37,T_Equipos[NombreEquipo],0)))&amp;")")</f>
        <v>P.1 (4)</v>
      </c>
      <c r="DC37" s="756">
        <f ca="1">IF(DB37="-","-",COUNTIFS(T_Equipos[Rank],"&lt;"&amp;INDEX(T_Equipos[Rank],MATCH(BD37,T_Equipos[NombreEquipo],0)),$BC$6:$BC$53,INDEX(T_Equipos[Grupo],MATCH(BD37,T_Equipos[NombreEquipo],0)))+1)</f>
        <v>4</v>
      </c>
      <c r="DD37" s="756">
        <f ca="1">DA37+COUNTIFS($DB$6:$DB$53,DB37,$DC$6:DC$53,"&lt;"&amp;DC37,$BC$6:$BC$53,INDEX(T_Equipos[Grupo],MATCH(BD37,T_Equipos[NombreEquipo],0)))</f>
        <v>4</v>
      </c>
      <c r="DE37" s="756"/>
      <c r="DF37" s="756">
        <f t="shared" ca="1" si="52"/>
        <v>4</v>
      </c>
      <c r="DG37" s="756">
        <f ca="1">IF(DB37="-","-",COUNTIFS(DF$6:DF$53,"&lt;"&amp;DF37,$BC$6:$BC$53,INDEX(T_Equipos[Grupo],MATCH(BD37,T_Equipos[NombreEquipo],0))))</f>
        <v>3</v>
      </c>
      <c r="DH37" s="756">
        <f ca="1">DA37+COUNTIFS(DB$6:DB$53,DB37,DG$6:DG$53,"&lt;"&amp;DG37,$BC$6:$BC$53,INDEX(T_Equipos[Grupo],MATCH(BD37,T_Equipos[NombreEquipo],0)))</f>
        <v>4</v>
      </c>
      <c r="DI37" s="744"/>
      <c r="DJ37" s="744">
        <f t="shared" ca="1" si="53"/>
        <v>1</v>
      </c>
      <c r="DK37" s="744">
        <f t="shared" ca="1" si="24"/>
        <v>0</v>
      </c>
      <c r="DL37" s="744">
        <f t="shared" ca="1" si="33"/>
        <v>1</v>
      </c>
      <c r="DM37" s="738" t="str">
        <f t="shared" ca="1" si="34"/>
        <v>1.1</v>
      </c>
      <c r="DN37" s="744" cm="1">
        <f t="array" aca="1" ref="DN37" ca="1">OFFSET(Horarios!$P$3,DJ37-1,0,DL37,1)</f>
        <v>1</v>
      </c>
      <c r="DO37" s="744"/>
      <c r="DP37" s="744" t="s">
        <v>672</v>
      </c>
      <c r="DQ37" s="744" t="str">
        <f t="shared" ca="1" si="35"/>
        <v>Uruguay</v>
      </c>
      <c r="DR37" s="744"/>
      <c r="DS37" s="744"/>
      <c r="DT37" s="744" t="str">
        <f t="shared" ca="1" si="15"/>
        <v>Costa de Marfil-Ecuador</v>
      </c>
      <c r="DU37" s="744"/>
      <c r="DV37" s="744"/>
      <c r="DW37" s="8"/>
    </row>
    <row r="38" spans="1:127" ht="16.05" customHeight="1">
      <c r="A38" s="745" t="str">
        <f ca="1">+Equipos!B19</f>
        <v>Curazao</v>
      </c>
      <c r="B38" s="742"/>
      <c r="C38" s="746"/>
      <c r="D38" s="744" t="str">
        <f t="shared" si="115"/>
        <v>Pendiente</v>
      </c>
      <c r="E38" s="744" t="str">
        <f t="shared" si="116"/>
        <v>-</v>
      </c>
      <c r="F38" s="744" t="str">
        <f t="shared" si="117"/>
        <v>-</v>
      </c>
      <c r="G38" s="744"/>
      <c r="H38" s="744" t="str">
        <f t="shared" si="118"/>
        <v>-</v>
      </c>
      <c r="I38" s="744" t="str">
        <f t="shared" si="119"/>
        <v>-</v>
      </c>
      <c r="J38" s="744"/>
      <c r="K38" s="744" t="str">
        <f t="shared" si="120"/>
        <v>-</v>
      </c>
      <c r="L38" s="744" t="str">
        <f t="shared" si="121"/>
        <v>-</v>
      </c>
      <c r="M38" s="744"/>
      <c r="N38" s="744" t="str">
        <f t="shared" si="122"/>
        <v>-</v>
      </c>
      <c r="O38" s="744" t="str">
        <f t="shared" si="123"/>
        <v>-</v>
      </c>
      <c r="P38" s="744"/>
      <c r="Q38" s="744" t="str">
        <f t="shared" si="124"/>
        <v>-</v>
      </c>
      <c r="R38" s="744" t="str">
        <f t="shared" si="125"/>
        <v>-</v>
      </c>
      <c r="S38" s="744"/>
      <c r="T38" s="744" t="str">
        <f t="shared" si="126"/>
        <v>-</v>
      </c>
      <c r="U38" s="744" t="str">
        <f t="shared"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c r="AD38" s="194"/>
      <c r="AE38" s="483" t="e" cm="1" vm="19">
        <f t="array" aca="1" ref="AE38" ca="1">Ver_flag_visit</f>
        <v>#VALUE!</v>
      </c>
      <c r="AF38" s="195" t="str">
        <f ca="1">A39</f>
        <v>Costa de Marfil</v>
      </c>
      <c r="AG38" s="413">
        <f t="shared" si="128"/>
        <v>0</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0</v>
      </c>
      <c r="BF38" s="748">
        <f t="shared" ca="1" si="26"/>
        <v>0</v>
      </c>
      <c r="BG38" s="748">
        <f t="shared" ca="1" si="17"/>
        <v>0</v>
      </c>
      <c r="BH38" s="748">
        <f t="shared" ca="1" si="18"/>
        <v>0</v>
      </c>
      <c r="BI38" s="748">
        <f t="shared" ca="1" si="19"/>
        <v>0</v>
      </c>
      <c r="BJ38" s="748">
        <f t="shared" ca="1" si="20"/>
        <v>0</v>
      </c>
      <c r="BK38" s="748">
        <f t="shared" ca="1" si="21"/>
        <v>0</v>
      </c>
      <c r="BL38" s="748">
        <f t="shared" ca="1" si="27"/>
        <v>0</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0</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(4)</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(4)</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(4)</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(4)</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(4)</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(4)</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(4)</v>
      </c>
      <c r="CW38" s="757">
        <f t="shared" ca="1" si="30"/>
        <v>0</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P.1 (4)</v>
      </c>
      <c r="CZ38" s="757">
        <f t="shared" ca="1" si="31"/>
        <v>0</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P.1 (4)</v>
      </c>
      <c r="DC38" s="756">
        <f ca="1">IF(DB38="-","-",COUNTIFS(T_Equipos[Rank],"&lt;"&amp;INDEX(T_Equipos[Rank],MATCH(BD38,T_Equipos[NombreEquipo],0)),$BC$6:$BC$53,INDEX(T_Equipos[Grupo],MATCH(BD38,T_Equipos[NombreEquipo],0)))+1)</f>
        <v>1</v>
      </c>
      <c r="DD38" s="756">
        <f ca="1">DA38+COUNTIFS($DB$6:$DB$53,DB38,$DC$6:DC$53,"&lt;"&amp;DC38,$BC$6:$BC$53,INDEX(T_Equipos[Grupo],MATCH(BD38,T_Equipos[NombreEquipo],0)))</f>
        <v>1</v>
      </c>
      <c r="DE38" s="756"/>
      <c r="DF38" s="756">
        <f t="shared" ca="1" si="52"/>
        <v>1</v>
      </c>
      <c r="DG38" s="756">
        <f ca="1">IF(DB38="-","-",COUNTIFS(DF$6:DF$53,"&lt;"&amp;DF38,$BC$6:$BC$53,INDEX(T_Equipos[Grupo],MATCH(BD38,T_Equipos[NombreEquipo],0))))</f>
        <v>0</v>
      </c>
      <c r="DH38" s="756">
        <f ca="1">DA38+COUNTIFS(DB$6:DB$53,DB38,DG$6:DG$53,"&lt;"&amp;DG38,$BC$6:$BC$53,INDEX(T_Equipos[Grupo],MATCH(BD38,T_Equipos[NombreEquipo],0)))</f>
        <v>1</v>
      </c>
      <c r="DI38" s="744"/>
      <c r="DJ38" s="744">
        <f t="shared" ca="1" si="53"/>
        <v>1</v>
      </c>
      <c r="DK38" s="744">
        <f t="shared" ca="1" si="24"/>
        <v>0</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Pendiente</v>
      </c>
      <c r="E39" s="744" t="str">
        <f t="shared" si="116"/>
        <v>-</v>
      </c>
      <c r="F39" s="744" t="str">
        <f t="shared" si="117"/>
        <v>-</v>
      </c>
      <c r="G39" s="744"/>
      <c r="H39" s="744" t="str">
        <f t="shared" si="118"/>
        <v>-</v>
      </c>
      <c r="I39" s="744" t="str">
        <f t="shared" si="119"/>
        <v>-</v>
      </c>
      <c r="J39" s="744"/>
      <c r="K39" s="744" t="str">
        <f t="shared" si="120"/>
        <v>-</v>
      </c>
      <c r="L39" s="744" t="str">
        <f t="shared" si="121"/>
        <v>-</v>
      </c>
      <c r="M39" s="744"/>
      <c r="N39" s="744" t="str">
        <f t="shared" si="122"/>
        <v>-</v>
      </c>
      <c r="O39" s="744" t="str">
        <f t="shared" si="123"/>
        <v>-</v>
      </c>
      <c r="P39" s="744"/>
      <c r="Q39" s="744" t="str">
        <f t="shared" si="124"/>
        <v>-</v>
      </c>
      <c r="R39" s="744" t="str">
        <f t="shared" si="125"/>
        <v>-</v>
      </c>
      <c r="S39" s="744"/>
      <c r="T39" s="744" t="str">
        <f t="shared" si="126"/>
        <v>-</v>
      </c>
      <c r="U39" s="744" t="str">
        <f t="shared" si="127"/>
        <v>-</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c r="AD39" s="194"/>
      <c r="AE39" s="483" t="e" cm="1" vm="18">
        <f t="array" aca="1" ref="AE39" ca="1">Ver_flag_visit</f>
        <v>#VALUE!</v>
      </c>
      <c r="AF39" s="195" t="str">
        <f ca="1">A38</f>
        <v>Curazao</v>
      </c>
      <c r="AG39" s="413">
        <f t="shared" si="128"/>
        <v>0</v>
      </c>
      <c r="AH39" s="196">
        <v>34</v>
      </c>
      <c r="AI39" s="19" t="str">
        <f t="shared" ref="AI39:AI41" si="133">AJ39&amp;$B$36</f>
        <v>2E</v>
      </c>
      <c r="AJ39" s="221">
        <v>2</v>
      </c>
      <c r="AK39" s="486" t="e" cm="1" vm="18">
        <f t="array" aca="1" ref="AK39" ca="1">Ver_flag_visit</f>
        <v>#VALUE!</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0</v>
      </c>
      <c r="BG39" s="748">
        <f t="shared" ca="1" si="17"/>
        <v>0</v>
      </c>
      <c r="BH39" s="748">
        <f t="shared" ca="1" si="18"/>
        <v>0</v>
      </c>
      <c r="BI39" s="748">
        <f t="shared" ca="1" si="19"/>
        <v>0</v>
      </c>
      <c r="BJ39" s="748">
        <f t="shared" ca="1" si="20"/>
        <v>0</v>
      </c>
      <c r="BK39" s="748">
        <f t="shared" ca="1" si="21"/>
        <v>0</v>
      </c>
      <c r="BL39" s="748">
        <f t="shared" ca="1" si="27"/>
        <v>0</v>
      </c>
      <c r="BM39" s="748" t="str">
        <f t="shared" ca="1" si="22"/>
        <v>2I</v>
      </c>
      <c r="BN39" s="748" t="str">
        <f t="shared" ca="1" si="23"/>
        <v>2I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1</v>
      </c>
      <c r="BT39" s="757" t="str">
        <f ca="1">IF(COUNTIFS($BS$6:$BS$53,BS39,$BC$6:$BC$53,INDEX(T_Equipos[Grupo],MATCH(BD39,T_Equipos[NombreEquipo],0)))=1,"-","P."&amp;BS39&amp;" ("&amp;COUNTIFS($BS$6:$BS$53,BS39,$BC$6:$BC$53,INDEX(T_Equipos[Grupo],MATCH(BD39,T_Equipos[NombreEquipo],0)))&amp;")")</f>
        <v>P.1 (4)</v>
      </c>
      <c r="BU39" s="758">
        <f t="shared" ca="1" si="36"/>
        <v>0</v>
      </c>
      <c r="BV39" s="758">
        <f t="shared" ca="1" si="37"/>
        <v>0</v>
      </c>
      <c r="BW39" s="758">
        <f t="shared" ca="1" si="38"/>
        <v>0</v>
      </c>
      <c r="BX39" s="758">
        <f t="shared" ca="1" si="39"/>
        <v>0</v>
      </c>
      <c r="BY39" s="758">
        <f ca="1">BS39+COUNTIFS($BT$6:$BT$53,BT39,$BX$6:BX$53,"&gt;"&amp;BX39,$BC$6:$BC$53,INDEX(T_Equipos[Grupo],MATCH(BD39,T_Equipos[NombreEquipo],0)))</f>
        <v>1</v>
      </c>
      <c r="BZ39" s="757" t="str">
        <f ca="1">IF(COUNTIFS($BY$6:$BY$53,BY39,$BC$6:$BC$53,INDEX(T_Equipos[Grupo],MATCH(BD39,T_Equipos[NombreEquipo],0)))=1,"-","P."&amp;BY39&amp;" ("&amp;COUNTIFS($BY$6:$BY$53,BY39,$BC$6:$BC$53,INDEX(T_Equipos[Grupo],MATCH(BD39,T_Equipos[NombreEquipo],0)))&amp;")")</f>
        <v>P.1 (4)</v>
      </c>
      <c r="CA39" s="758">
        <f t="shared" ca="1" si="40"/>
        <v>0</v>
      </c>
      <c r="CB39" s="758">
        <f t="shared" ca="1" si="41"/>
        <v>0</v>
      </c>
      <c r="CC39" s="758">
        <f t="shared" ca="1" si="42"/>
        <v>0</v>
      </c>
      <c r="CD39" s="758">
        <f ca="1">BY39+COUNTIFS($BZ$6:$BZ$53,BZ39,$CC$6:CC$53,"&gt;"&amp;CC39,$BC$6:$BC$53,INDEX(T_Equipos[Grupo],MATCH(BD39,T_Equipos[NombreEquipo],0)))</f>
        <v>1</v>
      </c>
      <c r="CE39" s="757" t="str">
        <f ca="1">IF(COUNTIFS($CD$6:$CD$53,CD39,$BC$6:$BC$53,INDEX(T_Equipos[Grupo],MATCH(BD39,T_Equipos[NombreEquipo],0)))=1,"-","P."&amp;CD39&amp;" ("&amp;COUNTIFS($CD$6:$CD$53,CD39,$BC$6:$BC$53,INDEX(T_Equipos[Grupo],MATCH(BD39,T_Equipos[NombreEquipo],0)))&amp;")")</f>
        <v>P.1 (4)</v>
      </c>
      <c r="CF39" s="758">
        <f t="shared" ca="1" si="43"/>
        <v>0</v>
      </c>
      <c r="CG39" s="758">
        <f ca="1">CD39+COUNTIFS($CE$6:$CE$53,CE39,$CF$6:CF$53,"&gt;"&amp;CF39,$BC$6:$BC$53,INDEX(T_Equipos[Grupo],MATCH(BD39,T_Equipos[NombreEquipo],0)))</f>
        <v>1</v>
      </c>
      <c r="CH39" s="757" t="str">
        <f ca="1">IF(COUNTIFS($CG$6:$CG$53,CG39,$BC$6:$BC$53,INDEX(T_Equipos[Grupo],MATCH(BD39,T_Equipos[NombreEquipo],0)))=1,"-","P."&amp;CG39&amp;" ("&amp;COUNTIFS($CG$6:$CG$53,CG39,$BC$6:$BC$53,INDEX(T_Equipos[Grupo],MATCH(BD39,T_Equipos[NombreEquipo],0)))&amp;")")</f>
        <v>P.1 (4)</v>
      </c>
      <c r="CI39" s="758">
        <f t="shared" ca="1" si="44"/>
        <v>0</v>
      </c>
      <c r="CJ39" s="758">
        <f t="shared" ca="1" si="45"/>
        <v>0</v>
      </c>
      <c r="CK39" s="758">
        <f t="shared" ca="1" si="46"/>
        <v>0</v>
      </c>
      <c r="CL39" s="758">
        <f t="shared" ca="1" si="47"/>
        <v>0</v>
      </c>
      <c r="CM39" s="758">
        <f ca="1">CG39+COUNTIFS($CH$6:$CH$53,CH39,$CL$6:CL$53,"&gt;"&amp;CL39,$BC$6:$BC$53,INDEX(T_Equipos[Grupo],MATCH(BD39,T_Equipos[NombreEquipo],0)))</f>
        <v>1</v>
      </c>
      <c r="CN39" s="757" t="str">
        <f ca="1">IF(COUNTIFS($CM$6:$CM$53,CM39,$BC$6:$BC$53,INDEX(T_Equipos[Grupo],MATCH(BD39,T_Equipos[NombreEquipo],0)))=1,"-","P."&amp;CM39&amp;" ("&amp;COUNTIFS($CM$6:$CM$53,CM39,$BC$6:$BC$53,INDEX(T_Equipos[Grupo],MATCH(BD39,T_Equipos[NombreEquipo],0)))&amp;")")</f>
        <v>P.1 (4)</v>
      </c>
      <c r="CO39" s="758">
        <f t="shared" ca="1" si="48"/>
        <v>0</v>
      </c>
      <c r="CP39" s="758">
        <f t="shared" ca="1" si="49"/>
        <v>0</v>
      </c>
      <c r="CQ39" s="758">
        <f t="shared" ca="1" si="50"/>
        <v>0</v>
      </c>
      <c r="CR39" s="758">
        <f ca="1">CM39+COUNTIFS($CN$6:$CN$53,CN39,$CQ$6:CQ$53,"&gt;"&amp;CQ39,$BC$6:$BC$53,INDEX(T_Equipos[Grupo],MATCH(BD39,T_Equipos[NombreEquipo],0)))</f>
        <v>1</v>
      </c>
      <c r="CS39" s="757" t="str">
        <f ca="1">IF(COUNTIFS($CR$6:$CR$53,CR39,$BC$6:$BC$53,INDEX(T_Equipos[Grupo],MATCH(BD39,T_Equipos[NombreEquipo],0)))=1,"-","P."&amp;CR39&amp;" ("&amp;COUNTIFS($CR$6:$CR$53,CR39,$BC$6:$BC$53,INDEX(T_Equipos[Grupo],MATCH(BD39,T_Equipos[NombreEquipo],0)))&amp;")")</f>
        <v>P.1 (4)</v>
      </c>
      <c r="CT39" s="758">
        <f t="shared" ca="1" si="51"/>
        <v>0</v>
      </c>
      <c r="CU39" s="758">
        <f ca="1">CR39+COUNTIFS($CS$6:$CS$53,CS39,$CT$6:CT$53,"&gt;"&amp;CT39,$BC$6:$BC$53,INDEX(T_Equipos[Grupo],MATCH(BD39,T_Equipos[NombreEquipo],0)))</f>
        <v>1</v>
      </c>
      <c r="CV39" s="757" t="str">
        <f ca="1">IF(COUNTIFS($CU$6:$CU$53,CU39,$BC$6:$BC$53,INDEX(T_Equipos[Grupo],MATCH(BD39,T_Equipos[NombreEquipo],0)))=1,"-","P."&amp;CU39&amp;" ("&amp;COUNTIFS($CU$6:$CU$53,CU39,$BC$6:$BC$53,INDEX(T_Equipos[Grupo],MATCH(BD39,T_Equipos[NombreEquipo],0)))&amp;")")</f>
        <v>P.1 (4)</v>
      </c>
      <c r="CW39" s="757">
        <f t="shared" ca="1" si="30"/>
        <v>0</v>
      </c>
      <c r="CX39" s="757">
        <f ca="1">CU39+COUNTIFS($CV$6:$CV$53,CV39,$CW$6:CW$53,"&gt;"&amp;CW39,$BC$6:$BC$53,INDEX(T_Equipos[Grupo],MATCH(BD39,T_Equipos[NombreEquipo],0)))</f>
        <v>1</v>
      </c>
      <c r="CY39" s="757" t="str">
        <f ca="1">IF(COUNTIFS($CX$6:$CX$53,CX39,$BC$6:$BC$53,INDEX(T_Equipos[Grupo],MATCH(BD39,T_Equipos[NombreEquipo],0)))=1,"-","P."&amp;CX39&amp;" ("&amp;COUNTIFS($CX$6:$CX$53,CX39,$BC$6:$BC$53,INDEX(T_Equipos[Grupo],MATCH(BD39,T_Equipos[NombreEquipo],0)))&amp;")")</f>
        <v>P.1 (4)</v>
      </c>
      <c r="CZ39" s="757">
        <f t="shared" ca="1" si="31"/>
        <v>0</v>
      </c>
      <c r="DA39" s="758">
        <f ca="1">CX39+COUNTIFS($CY$6:$CY$53,CY39,$CZ$6:CZ$53,"&gt;"&amp;CZ39,$BC$6:$BC$53,INDEX(T_Equipos[Grupo],MATCH(BD39,T_Equipos[NombreEquipo],0)))</f>
        <v>1</v>
      </c>
      <c r="DB39" s="757" t="str">
        <f ca="1">IF(COUNTIFS($DA$6:$DA$53,DA39,$BC$6:$BC$53,INDEX(T_Equipos[Grupo],MATCH(BD39,T_Equipos[NombreEquipo],0)))=1,"-","P."&amp;DA39&amp;" ("&amp;COUNTIFS($DA$6:$DA$53,DA39,$BC$6:$BC$53,INDEX(T_Equipos[Grupo],MATCH(BD39,T_Equipos[NombreEquipo],0)))&amp;")")</f>
        <v>P.1 (4)</v>
      </c>
      <c r="DC39" s="756">
        <f ca="1">IF(DB39="-","-",COUNTIFS(T_Equipos[Rank],"&lt;"&amp;INDEX(T_Equipos[Rank],MATCH(BD39,T_Equipos[NombreEquipo],0)),$BC$6:$BC$53,INDEX(T_Equipos[Grupo],MATCH(BD39,T_Equipos[NombreEquipo],0)))+1)</f>
        <v>2</v>
      </c>
      <c r="DD39" s="756">
        <f ca="1">DA39+COUNTIFS($DB$6:$DB$53,DB39,$DC$6:DC$53,"&lt;"&amp;DC39,$BC$6:$BC$53,INDEX(T_Equipos[Grupo],MATCH(BD39,T_Equipos[NombreEquipo],0)))</f>
        <v>2</v>
      </c>
      <c r="DE39" s="756"/>
      <c r="DF39" s="756">
        <f t="shared" ca="1" si="52"/>
        <v>2</v>
      </c>
      <c r="DG39" s="756">
        <f ca="1">IF(DB39="-","-",COUNTIFS(DF$6:DF$53,"&lt;"&amp;DF39,$BC$6:$BC$53,INDEX(T_Equipos[Grupo],MATCH(BD39,T_Equipos[NombreEquipo],0))))</f>
        <v>1</v>
      </c>
      <c r="DH39" s="756">
        <f ca="1">DA39+COUNTIFS(DB$6:DB$53,DB39,DG$6:DG$53,"&lt;"&amp;DG39,$BC$6:$BC$53,INDEX(T_Equipos[Grupo],MATCH(BD39,T_Equipos[NombreEquipo],0)))</f>
        <v>2</v>
      </c>
      <c r="DI39" s="744"/>
      <c r="DJ39" s="744">
        <f t="shared" ca="1" si="53"/>
        <v>1</v>
      </c>
      <c r="DK39" s="744">
        <f t="shared" ca="1" si="24"/>
        <v>0</v>
      </c>
      <c r="DL39" s="744">
        <f t="shared" ca="1" si="33"/>
        <v>1</v>
      </c>
      <c r="DM39" s="738" t="str">
        <f t="shared" ca="1" si="34"/>
        <v>1.1</v>
      </c>
      <c r="DN39" s="744" cm="1">
        <f t="array" aca="1" ref="DN39" ca="1">OFFSET(Horarios!$P$3,DJ39-1,0,DL39,1)</f>
        <v>1</v>
      </c>
      <c r="DO39" s="744"/>
      <c r="DP39" s="744" t="s">
        <v>674</v>
      </c>
      <c r="DQ39" s="744" t="str">
        <f t="shared" ca="1" si="35"/>
        <v>Senegal</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19">
        <f t="array" aca="1" ref="AK40" ca="1">Ver_flag_visit</f>
        <v>#VALUE!</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0</v>
      </c>
      <c r="BG40" s="748">
        <f t="shared" ca="1" si="17"/>
        <v>0</v>
      </c>
      <c r="BH40" s="748">
        <f t="shared" ca="1" si="18"/>
        <v>0</v>
      </c>
      <c r="BI40" s="748">
        <f t="shared" ca="1" si="19"/>
        <v>0</v>
      </c>
      <c r="BJ40" s="748">
        <f t="shared" ca="1" si="20"/>
        <v>0</v>
      </c>
      <c r="BK40" s="748">
        <f t="shared" ca="1" si="21"/>
        <v>0</v>
      </c>
      <c r="BL40" s="748">
        <f t="shared" ca="1" si="27"/>
        <v>0</v>
      </c>
      <c r="BM40" s="748" t="str">
        <f t="shared" ca="1" si="22"/>
        <v>3I</v>
      </c>
      <c r="BN40" s="748" t="str">
        <f t="shared" ca="1" si="23"/>
        <v>3I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1</v>
      </c>
      <c r="BT40" s="757" t="str">
        <f ca="1">IF(COUNTIFS($BS$6:$BS$53,BS40,$BC$6:$BC$53,INDEX(T_Equipos[Grupo],MATCH(BD40,T_Equipos[NombreEquipo],0)))=1,"-","P."&amp;BS40&amp;" ("&amp;COUNTIFS($BS$6:$BS$53,BS40,$BC$6:$BC$53,INDEX(T_Equipos[Grupo],MATCH(BD40,T_Equipos[NombreEquipo],0)))&amp;")")</f>
        <v>P.1 (4)</v>
      </c>
      <c r="BU40" s="758">
        <f t="shared" ca="1" si="36"/>
        <v>0</v>
      </c>
      <c r="BV40" s="758">
        <f t="shared" ca="1" si="37"/>
        <v>0</v>
      </c>
      <c r="BW40" s="758">
        <f t="shared" ca="1" si="38"/>
        <v>0</v>
      </c>
      <c r="BX40" s="758">
        <f t="shared" ca="1" si="39"/>
        <v>0</v>
      </c>
      <c r="BY40" s="758">
        <f ca="1">BS40+COUNTIFS($BT$6:$BT$53,BT40,$BX$6:BX$53,"&gt;"&amp;BX40,$BC$6:$BC$53,INDEX(T_Equipos[Grupo],MATCH(BD40,T_Equipos[NombreEquipo],0)))</f>
        <v>1</v>
      </c>
      <c r="BZ40" s="757" t="str">
        <f ca="1">IF(COUNTIFS($BY$6:$BY$53,BY40,$BC$6:$BC$53,INDEX(T_Equipos[Grupo],MATCH(BD40,T_Equipos[NombreEquipo],0)))=1,"-","P."&amp;BY40&amp;" ("&amp;COUNTIFS($BY$6:$BY$53,BY40,$BC$6:$BC$53,INDEX(T_Equipos[Grupo],MATCH(BD40,T_Equipos[NombreEquipo],0)))&amp;")")</f>
        <v>P.1 (4)</v>
      </c>
      <c r="CA40" s="758">
        <f t="shared" ca="1" si="40"/>
        <v>0</v>
      </c>
      <c r="CB40" s="758">
        <f t="shared" ca="1" si="41"/>
        <v>0</v>
      </c>
      <c r="CC40" s="758">
        <f t="shared" ca="1" si="42"/>
        <v>0</v>
      </c>
      <c r="CD40" s="758">
        <f ca="1">BY40+COUNTIFS($BZ$6:$BZ$53,BZ40,$CC$6:CC$53,"&gt;"&amp;CC40,$BC$6:$BC$53,INDEX(T_Equipos[Grupo],MATCH(BD40,T_Equipos[NombreEquipo],0)))</f>
        <v>1</v>
      </c>
      <c r="CE40" s="757" t="str">
        <f ca="1">IF(COUNTIFS($CD$6:$CD$53,CD40,$BC$6:$BC$53,INDEX(T_Equipos[Grupo],MATCH(BD40,T_Equipos[NombreEquipo],0)))=1,"-","P."&amp;CD40&amp;" ("&amp;COUNTIFS($CD$6:$CD$53,CD40,$BC$6:$BC$53,INDEX(T_Equipos[Grupo],MATCH(BD40,T_Equipos[NombreEquipo],0)))&amp;")")</f>
        <v>P.1 (4)</v>
      </c>
      <c r="CF40" s="758">
        <f t="shared" ca="1" si="43"/>
        <v>0</v>
      </c>
      <c r="CG40" s="758">
        <f ca="1">CD40+COUNTIFS($CE$6:$CE$53,CE40,$CF$6:CF$53,"&gt;"&amp;CF40,$BC$6:$BC$53,INDEX(T_Equipos[Grupo],MATCH(BD40,T_Equipos[NombreEquipo],0)))</f>
        <v>1</v>
      </c>
      <c r="CH40" s="757" t="str">
        <f ca="1">IF(COUNTIFS($CG$6:$CG$53,CG40,$BC$6:$BC$53,INDEX(T_Equipos[Grupo],MATCH(BD40,T_Equipos[NombreEquipo],0)))=1,"-","P."&amp;CG40&amp;" ("&amp;COUNTIFS($CG$6:$CG$53,CG40,$BC$6:$BC$53,INDEX(T_Equipos[Grupo],MATCH(BD40,T_Equipos[NombreEquipo],0)))&amp;")")</f>
        <v>P.1 (4)</v>
      </c>
      <c r="CI40" s="758">
        <f t="shared" ca="1" si="44"/>
        <v>0</v>
      </c>
      <c r="CJ40" s="758">
        <f t="shared" ca="1" si="45"/>
        <v>0</v>
      </c>
      <c r="CK40" s="758">
        <f t="shared" ca="1" si="46"/>
        <v>0</v>
      </c>
      <c r="CL40" s="758">
        <f t="shared" ca="1" si="47"/>
        <v>0</v>
      </c>
      <c r="CM40" s="758">
        <f ca="1">CG40+COUNTIFS($CH$6:$CH$53,CH40,$CL$6:CL$53,"&gt;"&amp;CL40,$BC$6:$BC$53,INDEX(T_Equipos[Grupo],MATCH(BD40,T_Equipos[NombreEquipo],0)))</f>
        <v>1</v>
      </c>
      <c r="CN40" s="757" t="str">
        <f ca="1">IF(COUNTIFS($CM$6:$CM$53,CM40,$BC$6:$BC$53,INDEX(T_Equipos[Grupo],MATCH(BD40,T_Equipos[NombreEquipo],0)))=1,"-","P."&amp;CM40&amp;" ("&amp;COUNTIFS($CM$6:$CM$53,CM40,$BC$6:$BC$53,INDEX(T_Equipos[Grupo],MATCH(BD40,T_Equipos[NombreEquipo],0)))&amp;")")</f>
        <v>P.1 (4)</v>
      </c>
      <c r="CO40" s="758">
        <f t="shared" ca="1" si="48"/>
        <v>0</v>
      </c>
      <c r="CP40" s="758">
        <f t="shared" ca="1" si="49"/>
        <v>0</v>
      </c>
      <c r="CQ40" s="758">
        <f t="shared" ca="1" si="50"/>
        <v>0</v>
      </c>
      <c r="CR40" s="758">
        <f ca="1">CM40+COUNTIFS($CN$6:$CN$53,CN40,$CQ$6:CQ$53,"&gt;"&amp;CQ40,$BC$6:$BC$53,INDEX(T_Equipos[Grupo],MATCH(BD40,T_Equipos[NombreEquipo],0)))</f>
        <v>1</v>
      </c>
      <c r="CS40" s="757" t="str">
        <f ca="1">IF(COUNTIFS($CR$6:$CR$53,CR40,$BC$6:$BC$53,INDEX(T_Equipos[Grupo],MATCH(BD40,T_Equipos[NombreEquipo],0)))=1,"-","P."&amp;CR40&amp;" ("&amp;COUNTIFS($CR$6:$CR$53,CR40,$BC$6:$BC$53,INDEX(T_Equipos[Grupo],MATCH(BD40,T_Equipos[NombreEquipo],0)))&amp;")")</f>
        <v>P.1 (4)</v>
      </c>
      <c r="CT40" s="758">
        <f t="shared" ca="1" si="51"/>
        <v>0</v>
      </c>
      <c r="CU40" s="758">
        <f ca="1">CR40+COUNTIFS($CS$6:$CS$53,CS40,$CT$6:CT$53,"&gt;"&amp;CT40,$BC$6:$BC$53,INDEX(T_Equipos[Grupo],MATCH(BD40,T_Equipos[NombreEquipo],0)))</f>
        <v>1</v>
      </c>
      <c r="CV40" s="757" t="str">
        <f ca="1">IF(COUNTIFS($CU$6:$CU$53,CU40,$BC$6:$BC$53,INDEX(T_Equipos[Grupo],MATCH(BD40,T_Equipos[NombreEquipo],0)))=1,"-","P."&amp;CU40&amp;" ("&amp;COUNTIFS($CU$6:$CU$53,CU40,$BC$6:$BC$53,INDEX(T_Equipos[Grupo],MATCH(BD40,T_Equipos[NombreEquipo],0)))&amp;")")</f>
        <v>P.1 (4)</v>
      </c>
      <c r="CW40" s="757">
        <f t="shared" ca="1" si="30"/>
        <v>0</v>
      </c>
      <c r="CX40" s="757">
        <f ca="1">CU40+COUNTIFS($CV$6:$CV$53,CV40,$CW$6:CW$53,"&gt;"&amp;CW40,$BC$6:$BC$53,INDEX(T_Equipos[Grupo],MATCH(BD40,T_Equipos[NombreEquipo],0)))</f>
        <v>1</v>
      </c>
      <c r="CY40" s="757" t="str">
        <f ca="1">IF(COUNTIFS($CX$6:$CX$53,CX40,$BC$6:$BC$53,INDEX(T_Equipos[Grupo],MATCH(BD40,T_Equipos[NombreEquipo],0)))=1,"-","P."&amp;CX40&amp;" ("&amp;COUNTIFS($CX$6:$CX$53,CX40,$BC$6:$BC$53,INDEX(T_Equipos[Grupo],MATCH(BD40,T_Equipos[NombreEquipo],0)))&amp;")")</f>
        <v>P.1 (4)</v>
      </c>
      <c r="CZ40" s="757">
        <f t="shared" ca="1" si="31"/>
        <v>0</v>
      </c>
      <c r="DA40" s="758">
        <f ca="1">CX40+COUNTIFS($CY$6:$CY$53,CY40,$CZ$6:CZ$53,"&gt;"&amp;CZ40,$BC$6:$BC$53,INDEX(T_Equipos[Grupo],MATCH(BD40,T_Equipos[NombreEquipo],0)))</f>
        <v>1</v>
      </c>
      <c r="DB40" s="757" t="str">
        <f ca="1">IF(COUNTIFS($DA$6:$DA$53,DA40,$BC$6:$BC$53,INDEX(T_Equipos[Grupo],MATCH(BD40,T_Equipos[NombreEquipo],0)))=1,"-","P."&amp;DA40&amp;" ("&amp;COUNTIFS($DA$6:$DA$53,DA40,$BC$6:$BC$53,INDEX(T_Equipos[Grupo],MATCH(BD40,T_Equipos[NombreEquipo],0)))&amp;")")</f>
        <v>P.1 (4)</v>
      </c>
      <c r="DC40" s="756">
        <f ca="1">IF(DB40="-","-",COUNTIFS(T_Equipos[Rank],"&lt;"&amp;INDEX(T_Equipos[Rank],MATCH(BD40,T_Equipos[NombreEquipo],0)),$BC$6:$BC$53,INDEX(T_Equipos[Grupo],MATCH(BD40,T_Equipos[NombreEquipo],0)))+1)</f>
        <v>3</v>
      </c>
      <c r="DD40" s="756">
        <f ca="1">DA40+COUNTIFS($DB$6:$DB$53,DB40,$DC$6:DC$53,"&lt;"&amp;DC40,$BC$6:$BC$53,INDEX(T_Equipos[Grupo],MATCH(BD40,T_Equipos[NombreEquipo],0)))</f>
        <v>3</v>
      </c>
      <c r="DE40" s="756"/>
      <c r="DF40" s="756">
        <f t="shared" ca="1" si="52"/>
        <v>3</v>
      </c>
      <c r="DG40" s="756">
        <f ca="1">IF(DB40="-","-",COUNTIFS(DF$6:DF$53,"&lt;"&amp;DF40,$BC$6:$BC$53,INDEX(T_Equipos[Grupo],MATCH(BD40,T_Equipos[NombreEquipo],0))))</f>
        <v>2</v>
      </c>
      <c r="DH40" s="756">
        <f ca="1">DA40+COUNTIFS(DB$6:DB$53,DB40,DG$6:DG$53,"&lt;"&amp;DG40,$BC$6:$BC$53,INDEX(T_Equipos[Grupo],MATCH(BD40,T_Equipos[NombreEquipo],0)))</f>
        <v>3</v>
      </c>
      <c r="DI40" s="744"/>
      <c r="DJ40" s="744">
        <f t="shared" ca="1" si="53"/>
        <v>1</v>
      </c>
      <c r="DK40" s="744">
        <f t="shared" ca="1" si="24"/>
        <v>0</v>
      </c>
      <c r="DL40" s="744">
        <f t="shared" ca="1" si="33"/>
        <v>1</v>
      </c>
      <c r="DM40" s="738" t="str">
        <f t="shared" ca="1" si="34"/>
        <v>1.1</v>
      </c>
      <c r="DN40" s="744" cm="1">
        <f t="array" aca="1" ref="DN40" ca="1">OFFSET(Horarios!$P$3,DJ40-1,0,DL40,1)</f>
        <v>1</v>
      </c>
      <c r="DO40" s="744"/>
      <c r="DP40" s="744" t="s">
        <v>440</v>
      </c>
      <c r="DQ40" s="744" t="str">
        <f t="shared" ca="1" si="35"/>
        <v>Irak</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20">
        <f t="array" aca="1" ref="AK41" ca="1">Ver_flag_visit</f>
        <v>#VALUE!</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4"/>
      <c r="BC41" s="756" t="str">
        <f ca="1">+INDEX(T_Equipos[Grupo],MATCH(WORLDCUP!BD41,T_Equipos[NombreEquipo],0))</f>
        <v>I</v>
      </c>
      <c r="BD41" s="744" t="str">
        <f ca="1">+Equipos!B37</f>
        <v>Noruega</v>
      </c>
      <c r="BE41" s="748">
        <f t="shared" ca="1" si="25"/>
        <v>0</v>
      </c>
      <c r="BF41" s="748">
        <f t="shared" ca="1" si="26"/>
        <v>0</v>
      </c>
      <c r="BG41" s="748">
        <f t="shared" ca="1" si="17"/>
        <v>0</v>
      </c>
      <c r="BH41" s="748">
        <f t="shared" ca="1" si="18"/>
        <v>0</v>
      </c>
      <c r="BI41" s="748">
        <f t="shared" ca="1" si="19"/>
        <v>0</v>
      </c>
      <c r="BJ41" s="748">
        <f t="shared" ca="1" si="20"/>
        <v>0</v>
      </c>
      <c r="BK41" s="748">
        <f t="shared" ca="1" si="21"/>
        <v>0</v>
      </c>
      <c r="BL41" s="748">
        <f t="shared" ca="1" si="27"/>
        <v>0</v>
      </c>
      <c r="BM41" s="748" t="str">
        <f t="shared" ca="1" si="22"/>
        <v>4I</v>
      </c>
      <c r="BN41" s="748" t="str">
        <f t="shared" ca="1" si="23"/>
        <v>4I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0</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(4)</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(4)</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(4)</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(4)</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(4)</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(4)</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(4)</v>
      </c>
      <c r="CW41" s="757">
        <f t="shared" ca="1" si="30"/>
        <v>0</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P.1 (4)</v>
      </c>
      <c r="CZ41" s="757">
        <f t="shared" ca="1" si="31"/>
        <v>0</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P.1 (4)</v>
      </c>
      <c r="DC41" s="756">
        <f ca="1">IF(DB41="-","-",COUNTIFS(T_Equipos[Rank],"&lt;"&amp;INDEX(T_Equipos[Rank],MATCH(BD41,T_Equipos[NombreEquipo],0)),$BC$6:$BC$53,INDEX(T_Equipos[Grupo],MATCH(BD41,T_Equipos[NombreEquipo],0)))+1)</f>
        <v>4</v>
      </c>
      <c r="DD41" s="756">
        <f ca="1">DA41+COUNTIFS($DB$6:$DB$53,DB41,$DC$6:DC$53,"&lt;"&amp;DC41,$BC$6:$BC$53,INDEX(T_Equipos[Grupo],MATCH(BD41,T_Equipos[NombreEquipo],0)))</f>
        <v>4</v>
      </c>
      <c r="DE41" s="756"/>
      <c r="DF41" s="756">
        <f t="shared" ca="1" si="52"/>
        <v>4</v>
      </c>
      <c r="DG41" s="756">
        <f ca="1">IF(DB41="-","-",COUNTIFS(DF$6:DF$53,"&lt;"&amp;DF41,$BC$6:$BC$53,INDEX(T_Equipos[Grupo],MATCH(BD41,T_Equipos[NombreEquipo],0))))</f>
        <v>3</v>
      </c>
      <c r="DH41" s="756">
        <f ca="1">DA41+COUNTIFS(DB$6:DB$53,DB41,DG$6:DG$53,"&lt;"&amp;DG41,$BC$6:$BC$53,INDEX(T_Equipos[Grupo],MATCH(BD41,T_Equipos[NombreEquipo],0)))</f>
        <v>4</v>
      </c>
      <c r="DI41" s="744"/>
      <c r="DJ41" s="744">
        <f t="shared" ca="1" si="53"/>
        <v>1</v>
      </c>
      <c r="DK41" s="744">
        <f t="shared" ca="1" si="24"/>
        <v>0</v>
      </c>
      <c r="DL41" s="744">
        <f t="shared" ca="1" si="33"/>
        <v>1</v>
      </c>
      <c r="DM41" s="738" t="str">
        <f t="shared" ca="1" si="34"/>
        <v>1.1</v>
      </c>
      <c r="DN41" s="744" cm="1">
        <f t="array" aca="1" ref="DN41" ca="1">OFFSET(Horarios!$P$3,DJ41-1,0,DL41,1)</f>
        <v>1</v>
      </c>
      <c r="DO41" s="744"/>
      <c r="DP41" s="744" t="s">
        <v>675</v>
      </c>
      <c r="DQ41" s="744" t="str">
        <f t="shared" ca="1" si="35"/>
        <v>Noruega</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0</v>
      </c>
      <c r="BF42" s="748">
        <f t="shared" ca="1" si="26"/>
        <v>0</v>
      </c>
      <c r="BG42" s="748">
        <f t="shared" ca="1" si="17"/>
        <v>0</v>
      </c>
      <c r="BH42" s="748">
        <f t="shared" ca="1" si="18"/>
        <v>0</v>
      </c>
      <c r="BI42" s="748">
        <f t="shared" ca="1" si="19"/>
        <v>0</v>
      </c>
      <c r="BJ42" s="748">
        <f t="shared" ca="1" si="20"/>
        <v>0</v>
      </c>
      <c r="BK42" s="748">
        <f t="shared" ca="1" si="21"/>
        <v>0</v>
      </c>
      <c r="BL42" s="748">
        <f t="shared" ca="1" si="27"/>
        <v>0</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0</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(4)</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(4)</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(4)</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(4)</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(4)</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(4)</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(4)</v>
      </c>
      <c r="CW42" s="757">
        <f t="shared" ca="1" si="30"/>
        <v>0</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P.1 (4)</v>
      </c>
      <c r="CZ42" s="757">
        <f t="shared" ca="1" si="31"/>
        <v>0</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P.1 (4)</v>
      </c>
      <c r="DC42" s="756">
        <f ca="1">IF(DB42="-","-",COUNTIFS(T_Equipos[Rank],"&lt;"&amp;INDEX(T_Equipos[Rank],MATCH(BD42,T_Equipos[NombreEquipo],0)),$BC$6:$BC$53,INDEX(T_Equipos[Grupo],MATCH(BD42,T_Equipos[NombreEquipo],0)))+1)</f>
        <v>1</v>
      </c>
      <c r="DD42" s="756">
        <f ca="1">DA42+COUNTIFS($DB$6:$DB$53,DB42,$DC$6:DC$53,"&lt;"&amp;DC42,$BC$6:$BC$53,INDEX(T_Equipos[Grupo],MATCH(BD42,T_Equipos[NombreEquipo],0)))</f>
        <v>1</v>
      </c>
      <c r="DE42" s="756"/>
      <c r="DF42" s="756">
        <f t="shared" ca="1" si="52"/>
        <v>1</v>
      </c>
      <c r="DG42" s="756">
        <f ca="1">IF(DB42="-","-",COUNTIFS(DF$6:DF$53,"&lt;"&amp;DF42,$BC$6:$BC$53,INDEX(T_Equipos[Grupo],MATCH(BD42,T_Equipos[NombreEquipo],0))))</f>
        <v>0</v>
      </c>
      <c r="DH42" s="756">
        <f ca="1">DA42+COUNTIFS(DB$6:DB$53,DB42,DG$6:DG$53,"&lt;"&amp;DG42,$BC$6:$BC$53,INDEX(T_Equipos[Grupo],MATCH(BD42,T_Equipos[NombreEquipo],0)))</f>
        <v>1</v>
      </c>
      <c r="DI42" s="744"/>
      <c r="DJ42" s="744">
        <f t="shared" ca="1" si="53"/>
        <v>1</v>
      </c>
      <c r="DK42" s="744">
        <f t="shared" ca="1" si="24"/>
        <v>0</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0</v>
      </c>
      <c r="BG43" s="748">
        <f t="shared" ca="1" si="17"/>
        <v>0</v>
      </c>
      <c r="BH43" s="748">
        <f t="shared" ca="1" si="18"/>
        <v>0</v>
      </c>
      <c r="BI43" s="748">
        <f t="shared" ca="1" si="19"/>
        <v>0</v>
      </c>
      <c r="BJ43" s="748">
        <f t="shared" ca="1" si="20"/>
        <v>0</v>
      </c>
      <c r="BK43" s="748">
        <f t="shared" ca="1" si="21"/>
        <v>0</v>
      </c>
      <c r="BL43" s="748">
        <f t="shared" ca="1" si="27"/>
        <v>0</v>
      </c>
      <c r="BM43" s="748" t="str">
        <f t="shared" ca="1" si="22"/>
        <v>2J</v>
      </c>
      <c r="BN43" s="748" t="str">
        <f t="shared" ca="1" si="23"/>
        <v>2J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1</v>
      </c>
      <c r="BT43" s="757" t="str">
        <f ca="1">IF(COUNTIFS($BS$6:$BS$53,BS43,$BC$6:$BC$53,INDEX(T_Equipos[Grupo],MATCH(BD43,T_Equipos[NombreEquipo],0)))=1,"-","P."&amp;BS43&amp;" ("&amp;COUNTIFS($BS$6:$BS$53,BS43,$BC$6:$BC$53,INDEX(T_Equipos[Grupo],MATCH(BD43,T_Equipos[NombreEquipo],0)))&amp;")")</f>
        <v>P.1 (4)</v>
      </c>
      <c r="BU43" s="758">
        <f t="shared" ca="1" si="36"/>
        <v>0</v>
      </c>
      <c r="BV43" s="758">
        <f t="shared" ca="1" si="37"/>
        <v>0</v>
      </c>
      <c r="BW43" s="758">
        <f t="shared" ca="1" si="38"/>
        <v>0</v>
      </c>
      <c r="BX43" s="758">
        <f t="shared" ca="1" si="39"/>
        <v>0</v>
      </c>
      <c r="BY43" s="758">
        <f ca="1">BS43+COUNTIFS($BT$6:$BT$53,BT43,$BX$6:BX$53,"&gt;"&amp;BX43,$BC$6:$BC$53,INDEX(T_Equipos[Grupo],MATCH(BD43,T_Equipos[NombreEquipo],0)))</f>
        <v>1</v>
      </c>
      <c r="BZ43" s="757" t="str">
        <f ca="1">IF(COUNTIFS($BY$6:$BY$53,BY43,$BC$6:$BC$53,INDEX(T_Equipos[Grupo],MATCH(BD43,T_Equipos[NombreEquipo],0)))=1,"-","P."&amp;BY43&amp;" ("&amp;COUNTIFS($BY$6:$BY$53,BY43,$BC$6:$BC$53,INDEX(T_Equipos[Grupo],MATCH(BD43,T_Equipos[NombreEquipo],0)))&amp;")")</f>
        <v>P.1 (4)</v>
      </c>
      <c r="CA43" s="758">
        <f t="shared" ca="1" si="40"/>
        <v>0</v>
      </c>
      <c r="CB43" s="758">
        <f t="shared" ca="1" si="41"/>
        <v>0</v>
      </c>
      <c r="CC43" s="758">
        <f t="shared" ca="1" si="42"/>
        <v>0</v>
      </c>
      <c r="CD43" s="758">
        <f ca="1">BY43+COUNTIFS($BZ$6:$BZ$53,BZ43,$CC$6:CC$53,"&gt;"&amp;CC43,$BC$6:$BC$53,INDEX(T_Equipos[Grupo],MATCH(BD43,T_Equipos[NombreEquipo],0)))</f>
        <v>1</v>
      </c>
      <c r="CE43" s="757" t="str">
        <f ca="1">IF(COUNTIFS($CD$6:$CD$53,CD43,$BC$6:$BC$53,INDEX(T_Equipos[Grupo],MATCH(BD43,T_Equipos[NombreEquipo],0)))=1,"-","P."&amp;CD43&amp;" ("&amp;COUNTIFS($CD$6:$CD$53,CD43,$BC$6:$BC$53,INDEX(T_Equipos[Grupo],MATCH(BD43,T_Equipos[NombreEquipo],0)))&amp;")")</f>
        <v>P.1 (4)</v>
      </c>
      <c r="CF43" s="758">
        <f t="shared" ca="1" si="43"/>
        <v>0</v>
      </c>
      <c r="CG43" s="758">
        <f ca="1">CD43+COUNTIFS($CE$6:$CE$53,CE43,$CF$6:CF$53,"&gt;"&amp;CF43,$BC$6:$BC$53,INDEX(T_Equipos[Grupo],MATCH(BD43,T_Equipos[NombreEquipo],0)))</f>
        <v>1</v>
      </c>
      <c r="CH43" s="757" t="str">
        <f ca="1">IF(COUNTIFS($CG$6:$CG$53,CG43,$BC$6:$BC$53,INDEX(T_Equipos[Grupo],MATCH(BD43,T_Equipos[NombreEquipo],0)))=1,"-","P."&amp;CG43&amp;" ("&amp;COUNTIFS($CG$6:$CG$53,CG43,$BC$6:$BC$53,INDEX(T_Equipos[Grupo],MATCH(BD43,T_Equipos[NombreEquipo],0)))&amp;")")</f>
        <v>P.1 (4)</v>
      </c>
      <c r="CI43" s="758">
        <f t="shared" ca="1" si="44"/>
        <v>0</v>
      </c>
      <c r="CJ43" s="758">
        <f t="shared" ca="1" si="45"/>
        <v>0</v>
      </c>
      <c r="CK43" s="758">
        <f t="shared" ca="1" si="46"/>
        <v>0</v>
      </c>
      <c r="CL43" s="758">
        <f t="shared" ca="1" si="47"/>
        <v>0</v>
      </c>
      <c r="CM43" s="758">
        <f ca="1">CG43+COUNTIFS($CH$6:$CH$53,CH43,$CL$6:CL$53,"&gt;"&amp;CL43,$BC$6:$BC$53,INDEX(T_Equipos[Grupo],MATCH(BD43,T_Equipos[NombreEquipo],0)))</f>
        <v>1</v>
      </c>
      <c r="CN43" s="757" t="str">
        <f ca="1">IF(COUNTIFS($CM$6:$CM$53,CM43,$BC$6:$BC$53,INDEX(T_Equipos[Grupo],MATCH(BD43,T_Equipos[NombreEquipo],0)))=1,"-","P."&amp;CM43&amp;" ("&amp;COUNTIFS($CM$6:$CM$53,CM43,$BC$6:$BC$53,INDEX(T_Equipos[Grupo],MATCH(BD43,T_Equipos[NombreEquipo],0)))&amp;")")</f>
        <v>P.1 (4)</v>
      </c>
      <c r="CO43" s="758">
        <f t="shared" ca="1" si="48"/>
        <v>0</v>
      </c>
      <c r="CP43" s="758">
        <f t="shared" ca="1" si="49"/>
        <v>0</v>
      </c>
      <c r="CQ43" s="758">
        <f t="shared" ca="1" si="50"/>
        <v>0</v>
      </c>
      <c r="CR43" s="758">
        <f ca="1">CM43+COUNTIFS($CN$6:$CN$53,CN43,$CQ$6:CQ$53,"&gt;"&amp;CQ43,$BC$6:$BC$53,INDEX(T_Equipos[Grupo],MATCH(BD43,T_Equipos[NombreEquipo],0)))</f>
        <v>1</v>
      </c>
      <c r="CS43" s="757" t="str">
        <f ca="1">IF(COUNTIFS($CR$6:$CR$53,CR43,$BC$6:$BC$53,INDEX(T_Equipos[Grupo],MATCH(BD43,T_Equipos[NombreEquipo],0)))=1,"-","P."&amp;CR43&amp;" ("&amp;COUNTIFS($CR$6:$CR$53,CR43,$BC$6:$BC$53,INDEX(T_Equipos[Grupo],MATCH(BD43,T_Equipos[NombreEquipo],0)))&amp;")")</f>
        <v>P.1 (4)</v>
      </c>
      <c r="CT43" s="758">
        <f t="shared" ca="1" si="51"/>
        <v>0</v>
      </c>
      <c r="CU43" s="758">
        <f ca="1">CR43+COUNTIFS($CS$6:$CS$53,CS43,$CT$6:CT$53,"&gt;"&amp;CT43,$BC$6:$BC$53,INDEX(T_Equipos[Grupo],MATCH(BD43,T_Equipos[NombreEquipo],0)))</f>
        <v>1</v>
      </c>
      <c r="CV43" s="757" t="str">
        <f ca="1">IF(COUNTIFS($CU$6:$CU$53,CU43,$BC$6:$BC$53,INDEX(T_Equipos[Grupo],MATCH(BD43,T_Equipos[NombreEquipo],0)))=1,"-","P."&amp;CU43&amp;" ("&amp;COUNTIFS($CU$6:$CU$53,CU43,$BC$6:$BC$53,INDEX(T_Equipos[Grupo],MATCH(BD43,T_Equipos[NombreEquipo],0)))&amp;")")</f>
        <v>P.1 (4)</v>
      </c>
      <c r="CW43" s="757">
        <f t="shared" ca="1" si="30"/>
        <v>0</v>
      </c>
      <c r="CX43" s="757">
        <f ca="1">CU43+COUNTIFS($CV$6:$CV$53,CV43,$CW$6:CW$53,"&gt;"&amp;CW43,$BC$6:$BC$53,INDEX(T_Equipos[Grupo],MATCH(BD43,T_Equipos[NombreEquipo],0)))</f>
        <v>1</v>
      </c>
      <c r="CY43" s="757" t="str">
        <f ca="1">IF(COUNTIFS($CX$6:$CX$53,CX43,$BC$6:$BC$53,INDEX(T_Equipos[Grupo],MATCH(BD43,T_Equipos[NombreEquipo],0)))=1,"-","P."&amp;CX43&amp;" ("&amp;COUNTIFS($CX$6:$CX$53,CX43,$BC$6:$BC$53,INDEX(T_Equipos[Grupo],MATCH(BD43,T_Equipos[NombreEquipo],0)))&amp;")")</f>
        <v>P.1 (4)</v>
      </c>
      <c r="CZ43" s="757">
        <f t="shared" ca="1" si="31"/>
        <v>0</v>
      </c>
      <c r="DA43" s="758">
        <f ca="1">CX43+COUNTIFS($CY$6:$CY$53,CY43,$CZ$6:CZ$53,"&gt;"&amp;CZ43,$BC$6:$BC$53,INDEX(T_Equipos[Grupo],MATCH(BD43,T_Equipos[NombreEquipo],0)))</f>
        <v>1</v>
      </c>
      <c r="DB43" s="757" t="str">
        <f ca="1">IF(COUNTIFS($DA$6:$DA$53,DA43,$BC$6:$BC$53,INDEX(T_Equipos[Grupo],MATCH(BD43,T_Equipos[NombreEquipo],0)))=1,"-","P."&amp;DA43&amp;" ("&amp;COUNTIFS($DA$6:$DA$53,DA43,$BC$6:$BC$53,INDEX(T_Equipos[Grupo],MATCH(BD43,T_Equipos[NombreEquipo],0)))&amp;")")</f>
        <v>P.1 (4)</v>
      </c>
      <c r="DC43" s="756">
        <f ca="1">IF(DB43="-","-",COUNTIFS(T_Equipos[Rank],"&lt;"&amp;INDEX(T_Equipos[Rank],MATCH(BD43,T_Equipos[NombreEquipo],0)),$BC$6:$BC$53,INDEX(T_Equipos[Grupo],MATCH(BD43,T_Equipos[NombreEquipo],0)))+1)</f>
        <v>2</v>
      </c>
      <c r="DD43" s="756">
        <f ca="1">DA43+COUNTIFS($DB$6:$DB$53,DB43,$DC$6:DC$53,"&lt;"&amp;DC43,$BC$6:$BC$53,INDEX(T_Equipos[Grupo],MATCH(BD43,T_Equipos[NombreEquipo],0)))</f>
        <v>2</v>
      </c>
      <c r="DE43" s="756"/>
      <c r="DF43" s="756">
        <f t="shared" ca="1" si="52"/>
        <v>2</v>
      </c>
      <c r="DG43" s="756">
        <f ca="1">IF(DB43="-","-",COUNTIFS(DF$6:DF$53,"&lt;"&amp;DF43,$BC$6:$BC$53,INDEX(T_Equipos[Grupo],MATCH(BD43,T_Equipos[NombreEquipo],0))))</f>
        <v>1</v>
      </c>
      <c r="DH43" s="756">
        <f ca="1">DA43+COUNTIFS(DB$6:DB$53,DB43,DG$6:DG$53,"&lt;"&amp;DG43,$BC$6:$BC$53,INDEX(T_Equipos[Grupo],MATCH(BD43,T_Equipos[NombreEquipo],0)))</f>
        <v>2</v>
      </c>
      <c r="DI43" s="744"/>
      <c r="DJ43" s="744">
        <f t="shared" ca="1" si="53"/>
        <v>1</v>
      </c>
      <c r="DK43" s="744">
        <f t="shared" ca="1" si="24"/>
        <v>0</v>
      </c>
      <c r="DL43" s="744">
        <f t="shared" ca="1" si="33"/>
        <v>1</v>
      </c>
      <c r="DM43" s="738" t="str">
        <f t="shared" ca="1" si="34"/>
        <v>1.1</v>
      </c>
      <c r="DN43" s="744" cm="1">
        <f t="array" aca="1" ref="DN43" ca="1">OFFSET(Horarios!$P$3,DJ43-1,0,DL43,1)</f>
        <v>1</v>
      </c>
      <c r="DO43" s="744"/>
      <c r="DP43" s="744" t="s">
        <v>677</v>
      </c>
      <c r="DQ43" s="744" t="str">
        <f t="shared" ca="1" si="35"/>
        <v>Argelia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Pendiente</v>
      </c>
      <c r="E44" s="744" t="str">
        <f t="shared" ref="E44:E49" si="137">IF(D44="Pendiente","-",INDEX($BT$6:$BT$53,MATCH($AA44,$BD$6:$BD$53,0)))</f>
        <v>-</v>
      </c>
      <c r="F44" s="744" t="str">
        <f t="shared" ref="F44:F49" si="138">IF(D44="Pendiente","-",INDEX($BT$6:$BT$53,MATCH($AF44,$BD$6:$BD$53,0)))</f>
        <v>-</v>
      </c>
      <c r="G44" s="744"/>
      <c r="H44" s="744" t="str">
        <f t="shared" ref="H44:H49" si="139">IF(D44="Pendiente","-",INDEX($BZ$6:$BZ$53,MATCH($AA44,$BD$6:$BD$53,0)))</f>
        <v>-</v>
      </c>
      <c r="I44" s="744" t="str">
        <f t="shared" ref="I44:I49" si="140">IF(D44="Pendiente","-",INDEX($BZ$6:$BZ$53,MATCH($AF44,$BD$6:$BD$53,0)))</f>
        <v>-</v>
      </c>
      <c r="J44" s="744"/>
      <c r="K44" s="744" t="str">
        <f t="shared" ref="K44:K49" si="141">IF(D44="Pendiente","-",INDEX($CE$6:$CE$53,MATCH($AA44,$BD$6:$BD$53,0)))</f>
        <v>-</v>
      </c>
      <c r="L44" s="744" t="str">
        <f t="shared" ref="L44:L49" si="142">IF(D44="Pendiente","-",INDEX($CE$6:$CE$53,MATCH($AF44,$BD$6:$BD$53,0)))</f>
        <v>-</v>
      </c>
      <c r="M44" s="744"/>
      <c r="N44" s="744" t="str">
        <f t="shared" ref="N44:N49" si="143">IF(D44="Pendiente","-",INDEX($CH$6:$CH$53,MATCH($AA44,$BD$6:$BD$53,0)))</f>
        <v>-</v>
      </c>
      <c r="O44" s="744" t="str">
        <f t="shared" ref="O44:O49" si="144">IF(D44="Pendiente","-",INDEX($CH$6:$CH$53,MATCH($AF44,$BD$6:$BD$53,0)))</f>
        <v>-</v>
      </c>
      <c r="P44" s="744"/>
      <c r="Q44" s="744" t="str">
        <f t="shared" ref="Q44:Q49" si="145">IF(D44="Pendiente","-",INDEX($CN$6:$CN$53,MATCH($AA44,$BD$6:$BD$53,0)))</f>
        <v>-</v>
      </c>
      <c r="R44" s="744" t="str">
        <f t="shared" ref="R44:R49" si="146">IF(D44="Pendiente","-",INDEX($CN$6:$CN$53,MATCH($AF44,$BD$6:$BD$53,0)))</f>
        <v>-</v>
      </c>
      <c r="S44" s="744"/>
      <c r="T44" s="744" t="str">
        <f t="shared" ref="T44:T49" si="147">IF(D44="Pendiente","-",INDEX($CS$6:$CS$53,MATCH($AA44,$BD$6:$BD$53,0)))</f>
        <v>-</v>
      </c>
      <c r="U44" s="744" t="str">
        <f t="shared" ref="U44:U49"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c r="AD44" s="194"/>
      <c r="AE44" s="483" t="e" cm="1" vm="22">
        <f t="array" aca="1" ref="AE44" ca="1">Ver_flag_visit</f>
        <v>#VALUE!</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0</v>
      </c>
      <c r="BF44" s="748">
        <f t="shared" ca="1" si="26"/>
        <v>0</v>
      </c>
      <c r="BG44" s="748">
        <f t="shared" ca="1" si="17"/>
        <v>0</v>
      </c>
      <c r="BH44" s="748">
        <f t="shared" ca="1" si="18"/>
        <v>0</v>
      </c>
      <c r="BI44" s="748">
        <f t="shared" ca="1" si="19"/>
        <v>0</v>
      </c>
      <c r="BJ44" s="748">
        <f t="shared" ca="1" si="20"/>
        <v>0</v>
      </c>
      <c r="BK44" s="748">
        <f t="shared" ca="1" si="21"/>
        <v>0</v>
      </c>
      <c r="BL44" s="748">
        <f t="shared" ca="1" si="27"/>
        <v>0</v>
      </c>
      <c r="BM44" s="748" t="str">
        <f t="shared" ca="1" si="22"/>
        <v>3J</v>
      </c>
      <c r="BN44" s="748" t="str">
        <f t="shared" ca="1" si="23"/>
        <v>3J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0</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(4)</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(4)</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(4)</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(4)</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(4)</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(4)</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(4)</v>
      </c>
      <c r="CW44" s="757">
        <f t="shared" ca="1" si="30"/>
        <v>0</v>
      </c>
      <c r="CX44" s="757">
        <f ca="1">CU44+COUNTIFS($CV$6:$CV$53,CV44,$CW$6:CW$53,"&gt;"&amp;CW44,$BC$6:$BC$53,INDEX(T_Equipos[Grupo],MATCH(BD44,T_Equipos[NombreEquipo],0)))</f>
        <v>1</v>
      </c>
      <c r="CY44" s="757" t="str">
        <f ca="1">IF(COUNTIFS($CX$6:$CX$53,CX44,$BC$6:$BC$53,INDEX(T_Equipos[Grupo],MATCH(BD44,T_Equipos[NombreEquipo],0)))=1,"-","P."&amp;CX44&amp;" ("&amp;COUNTIFS($CX$6:$CX$53,CX44,$BC$6:$BC$53,INDEX(T_Equipos[Grupo],MATCH(BD44,T_Equipos[NombreEquipo],0)))&amp;")")</f>
        <v>P.1 (4)</v>
      </c>
      <c r="CZ44" s="757">
        <f t="shared" ca="1" si="31"/>
        <v>0</v>
      </c>
      <c r="DA44" s="758">
        <f ca="1">CX44+COUNTIFS($CY$6:$CY$53,CY44,$CZ$6:CZ$53,"&gt;"&amp;CZ44,$BC$6:$BC$53,INDEX(T_Equipos[Grupo],MATCH(BD44,T_Equipos[NombreEquipo],0)))</f>
        <v>1</v>
      </c>
      <c r="DB44" s="757" t="str">
        <f ca="1">IF(COUNTIFS($DA$6:$DA$53,DA44,$BC$6:$BC$53,INDEX(T_Equipos[Grupo],MATCH(BD44,T_Equipos[NombreEquipo],0)))=1,"-","P."&amp;DA44&amp;" ("&amp;COUNTIFS($DA$6:$DA$53,DA44,$BC$6:$BC$53,INDEX(T_Equipos[Grupo],MATCH(BD44,T_Equipos[NombreEquipo],0)))&amp;")")</f>
        <v>P.1 (4)</v>
      </c>
      <c r="DC44" s="756">
        <f ca="1">IF(DB44="-","-",COUNTIFS(T_Equipos[Rank],"&lt;"&amp;INDEX(T_Equipos[Rank],MATCH(BD44,T_Equipos[NombreEquipo],0)),$BC$6:$BC$53,INDEX(T_Equipos[Grupo],MATCH(BD44,T_Equipos[NombreEquipo],0)))+1)</f>
        <v>3</v>
      </c>
      <c r="DD44" s="756">
        <f ca="1">DA44+COUNTIFS($DB$6:$DB$53,DB44,$DC$6:DC$53,"&lt;"&amp;DC44,$BC$6:$BC$53,INDEX(T_Equipos[Grupo],MATCH(BD44,T_Equipos[NombreEquipo],0)))</f>
        <v>3</v>
      </c>
      <c r="DE44" s="756"/>
      <c r="DF44" s="756">
        <f t="shared" ca="1" si="52"/>
        <v>3</v>
      </c>
      <c r="DG44" s="756">
        <f ca="1">IF(DB44="-","-",COUNTIFS(DF$6:DF$53,"&lt;"&amp;DF44,$BC$6:$BC$53,INDEX(T_Equipos[Grupo],MATCH(BD44,T_Equipos[NombreEquipo],0))))</f>
        <v>2</v>
      </c>
      <c r="DH44" s="756">
        <f ca="1">DA44+COUNTIFS(DB$6:DB$53,DB44,DG$6:DG$53,"&lt;"&amp;DG44,$BC$6:$BC$53,INDEX(T_Equipos[Grupo],MATCH(BD44,T_Equipos[NombreEquipo],0)))</f>
        <v>3</v>
      </c>
      <c r="DI44" s="744"/>
      <c r="DJ44" s="744">
        <f t="shared" ca="1" si="53"/>
        <v>1</v>
      </c>
      <c r="DK44" s="744">
        <f t="shared" ca="1" si="24"/>
        <v>0</v>
      </c>
      <c r="DL44" s="744">
        <f t="shared" ca="1" si="33"/>
        <v>1</v>
      </c>
      <c r="DM44" s="738" t="str">
        <f t="shared" ca="1" si="34"/>
        <v>1.1</v>
      </c>
      <c r="DN44" s="744" cm="1">
        <f t="array" aca="1" ref="DN44" ca="1">OFFSET(Horarios!$P$3,DJ44-1,0,DL44,1)</f>
        <v>1</v>
      </c>
      <c r="DO44" s="744"/>
      <c r="DP44" s="744" t="s">
        <v>441</v>
      </c>
      <c r="DQ44" s="744" t="str">
        <f t="shared" ca="1" si="35"/>
        <v>Austria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Pendiente</v>
      </c>
      <c r="E45" s="744" t="str">
        <f t="shared" si="137"/>
        <v>-</v>
      </c>
      <c r="F45" s="744" t="str">
        <f t="shared" si="138"/>
        <v>-</v>
      </c>
      <c r="G45" s="744"/>
      <c r="H45" s="744" t="str">
        <f t="shared" si="139"/>
        <v>-</v>
      </c>
      <c r="I45" s="744" t="str">
        <f t="shared" si="140"/>
        <v>-</v>
      </c>
      <c r="J45" s="744"/>
      <c r="K45" s="744" t="str">
        <f t="shared" si="141"/>
        <v>-</v>
      </c>
      <c r="L45" s="744" t="str">
        <f t="shared" si="142"/>
        <v>-</v>
      </c>
      <c r="M45" s="744"/>
      <c r="N45" s="744" t="str">
        <f t="shared" si="143"/>
        <v>-</v>
      </c>
      <c r="O45" s="744" t="str">
        <f t="shared" si="144"/>
        <v>-</v>
      </c>
      <c r="P45" s="744"/>
      <c r="Q45" s="744" t="str">
        <f t="shared" si="145"/>
        <v>-</v>
      </c>
      <c r="R45" s="744" t="str">
        <f t="shared" si="146"/>
        <v>-</v>
      </c>
      <c r="S45" s="744"/>
      <c r="T45" s="744" t="str">
        <f t="shared" si="147"/>
        <v>-</v>
      </c>
      <c r="U45" s="744" t="str">
        <f t="shared"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c r="AD45" s="194"/>
      <c r="AE45" s="483" t="e" cm="1" vm="24">
        <f t="array" aca="1" ref="AE45" ca="1">Ver_flag_visit</f>
        <v>#VALUE!</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0</v>
      </c>
      <c r="BG45" s="748">
        <f t="shared" ca="1" si="17"/>
        <v>0</v>
      </c>
      <c r="BH45" s="748">
        <f t="shared" ca="1" si="18"/>
        <v>0</v>
      </c>
      <c r="BI45" s="748">
        <f t="shared" ca="1" si="19"/>
        <v>0</v>
      </c>
      <c r="BJ45" s="748">
        <f t="shared" ca="1" si="20"/>
        <v>0</v>
      </c>
      <c r="BK45" s="748">
        <f t="shared" ca="1" si="21"/>
        <v>0</v>
      </c>
      <c r="BL45" s="748">
        <f t="shared" ca="1" si="27"/>
        <v>0</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1</v>
      </c>
      <c r="BT45" s="757" t="str">
        <f ca="1">IF(COUNTIFS($BS$6:$BS$53,BS45,$BC$6:$BC$53,INDEX(T_Equipos[Grupo],MATCH(BD45,T_Equipos[NombreEquipo],0)))=1,"-","P."&amp;BS45&amp;" ("&amp;COUNTIFS($BS$6:$BS$53,BS45,$BC$6:$BC$53,INDEX(T_Equipos[Grupo],MATCH(BD45,T_Equipos[NombreEquipo],0)))&amp;")")</f>
        <v>P.1 (4)</v>
      </c>
      <c r="BU45" s="758">
        <f t="shared" ca="1" si="36"/>
        <v>0</v>
      </c>
      <c r="BV45" s="758">
        <f t="shared" ca="1" si="37"/>
        <v>0</v>
      </c>
      <c r="BW45" s="758">
        <f t="shared" ca="1" si="38"/>
        <v>0</v>
      </c>
      <c r="BX45" s="758">
        <f t="shared" ca="1" si="39"/>
        <v>0</v>
      </c>
      <c r="BY45" s="758">
        <f ca="1">BS45+COUNTIFS($BT$6:$BT$53,BT45,$BX$6:BX$53,"&gt;"&amp;BX45,$BC$6:$BC$53,INDEX(T_Equipos[Grupo],MATCH(BD45,T_Equipos[NombreEquipo],0)))</f>
        <v>1</v>
      </c>
      <c r="BZ45" s="757" t="str">
        <f ca="1">IF(COUNTIFS($BY$6:$BY$53,BY45,$BC$6:$BC$53,INDEX(T_Equipos[Grupo],MATCH(BD45,T_Equipos[NombreEquipo],0)))=1,"-","P."&amp;BY45&amp;" ("&amp;COUNTIFS($BY$6:$BY$53,BY45,$BC$6:$BC$53,INDEX(T_Equipos[Grupo],MATCH(BD45,T_Equipos[NombreEquipo],0)))&amp;")")</f>
        <v>P.1 (4)</v>
      </c>
      <c r="CA45" s="758">
        <f t="shared" ca="1" si="40"/>
        <v>0</v>
      </c>
      <c r="CB45" s="758">
        <f t="shared" ca="1" si="41"/>
        <v>0</v>
      </c>
      <c r="CC45" s="758">
        <f t="shared" ca="1" si="42"/>
        <v>0</v>
      </c>
      <c r="CD45" s="758">
        <f ca="1">BY45+COUNTIFS($BZ$6:$BZ$53,BZ45,$CC$6:CC$53,"&gt;"&amp;CC45,$BC$6:$BC$53,INDEX(T_Equipos[Grupo],MATCH(BD45,T_Equipos[NombreEquipo],0)))</f>
        <v>1</v>
      </c>
      <c r="CE45" s="757" t="str">
        <f ca="1">IF(COUNTIFS($CD$6:$CD$53,CD45,$BC$6:$BC$53,INDEX(T_Equipos[Grupo],MATCH(BD45,T_Equipos[NombreEquipo],0)))=1,"-","P."&amp;CD45&amp;" ("&amp;COUNTIFS($CD$6:$CD$53,CD45,$BC$6:$BC$53,INDEX(T_Equipos[Grupo],MATCH(BD45,T_Equipos[NombreEquipo],0)))&amp;")")</f>
        <v>P.1 (4)</v>
      </c>
      <c r="CF45" s="758">
        <f t="shared" ca="1" si="43"/>
        <v>0</v>
      </c>
      <c r="CG45" s="758">
        <f ca="1">CD45+COUNTIFS($CE$6:$CE$53,CE45,$CF$6:CF$53,"&gt;"&amp;CF45,$BC$6:$BC$53,INDEX(T_Equipos[Grupo],MATCH(BD45,T_Equipos[NombreEquipo],0)))</f>
        <v>1</v>
      </c>
      <c r="CH45" s="757" t="str">
        <f ca="1">IF(COUNTIFS($CG$6:$CG$53,CG45,$BC$6:$BC$53,INDEX(T_Equipos[Grupo],MATCH(BD45,T_Equipos[NombreEquipo],0)))=1,"-","P."&amp;CG45&amp;" ("&amp;COUNTIFS($CG$6:$CG$53,CG45,$BC$6:$BC$53,INDEX(T_Equipos[Grupo],MATCH(BD45,T_Equipos[NombreEquipo],0)))&amp;")")</f>
        <v>P.1 (4)</v>
      </c>
      <c r="CI45" s="758">
        <f t="shared" ca="1" si="44"/>
        <v>0</v>
      </c>
      <c r="CJ45" s="758">
        <f t="shared" ca="1" si="45"/>
        <v>0</v>
      </c>
      <c r="CK45" s="758">
        <f t="shared" ca="1" si="46"/>
        <v>0</v>
      </c>
      <c r="CL45" s="758">
        <f t="shared" ca="1" si="47"/>
        <v>0</v>
      </c>
      <c r="CM45" s="758">
        <f ca="1">CG45+COUNTIFS($CH$6:$CH$53,CH45,$CL$6:CL$53,"&gt;"&amp;CL45,$BC$6:$BC$53,INDEX(T_Equipos[Grupo],MATCH(BD45,T_Equipos[NombreEquipo],0)))</f>
        <v>1</v>
      </c>
      <c r="CN45" s="757" t="str">
        <f ca="1">IF(COUNTIFS($CM$6:$CM$53,CM45,$BC$6:$BC$53,INDEX(T_Equipos[Grupo],MATCH(BD45,T_Equipos[NombreEquipo],0)))=1,"-","P."&amp;CM45&amp;" ("&amp;COUNTIFS($CM$6:$CM$53,CM45,$BC$6:$BC$53,INDEX(T_Equipos[Grupo],MATCH(BD45,T_Equipos[NombreEquipo],0)))&amp;")")</f>
        <v>P.1 (4)</v>
      </c>
      <c r="CO45" s="758">
        <f t="shared" ca="1" si="48"/>
        <v>0</v>
      </c>
      <c r="CP45" s="758">
        <f t="shared" ca="1" si="49"/>
        <v>0</v>
      </c>
      <c r="CQ45" s="758">
        <f t="shared" ca="1" si="50"/>
        <v>0</v>
      </c>
      <c r="CR45" s="758">
        <f ca="1">CM45+COUNTIFS($CN$6:$CN$53,CN45,$CQ$6:CQ$53,"&gt;"&amp;CQ45,$BC$6:$BC$53,INDEX(T_Equipos[Grupo],MATCH(BD45,T_Equipos[NombreEquipo],0)))</f>
        <v>1</v>
      </c>
      <c r="CS45" s="757" t="str">
        <f ca="1">IF(COUNTIFS($CR$6:$CR$53,CR45,$BC$6:$BC$53,INDEX(T_Equipos[Grupo],MATCH(BD45,T_Equipos[NombreEquipo],0)))=1,"-","P."&amp;CR45&amp;" ("&amp;COUNTIFS($CR$6:$CR$53,CR45,$BC$6:$BC$53,INDEX(T_Equipos[Grupo],MATCH(BD45,T_Equipos[NombreEquipo],0)))&amp;")")</f>
        <v>P.1 (4)</v>
      </c>
      <c r="CT45" s="758">
        <f t="shared" ca="1" si="51"/>
        <v>0</v>
      </c>
      <c r="CU45" s="758">
        <f ca="1">CR45+COUNTIFS($CS$6:$CS$53,CS45,$CT$6:CT$53,"&gt;"&amp;CT45,$BC$6:$BC$53,INDEX(T_Equipos[Grupo],MATCH(BD45,T_Equipos[NombreEquipo],0)))</f>
        <v>1</v>
      </c>
      <c r="CV45" s="757" t="str">
        <f ca="1">IF(COUNTIFS($CU$6:$CU$53,CU45,$BC$6:$BC$53,INDEX(T_Equipos[Grupo],MATCH(BD45,T_Equipos[NombreEquipo],0)))=1,"-","P."&amp;CU45&amp;" ("&amp;COUNTIFS($CU$6:$CU$53,CU45,$BC$6:$BC$53,INDEX(T_Equipos[Grupo],MATCH(BD45,T_Equipos[NombreEquipo],0)))&amp;")")</f>
        <v>P.1 (4)</v>
      </c>
      <c r="CW45" s="757">
        <f t="shared" ca="1" si="30"/>
        <v>0</v>
      </c>
      <c r="CX45" s="757">
        <f ca="1">CU45+COUNTIFS($CV$6:$CV$53,CV45,$CW$6:CW$53,"&gt;"&amp;CW45,$BC$6:$BC$53,INDEX(T_Equipos[Grupo],MATCH(BD45,T_Equipos[NombreEquipo],0)))</f>
        <v>1</v>
      </c>
      <c r="CY45" s="757" t="str">
        <f ca="1">IF(COUNTIFS($CX$6:$CX$53,CX45,$BC$6:$BC$53,INDEX(T_Equipos[Grupo],MATCH(BD45,T_Equipos[NombreEquipo],0)))=1,"-","P."&amp;CX45&amp;" ("&amp;COUNTIFS($CX$6:$CX$53,CX45,$BC$6:$BC$53,INDEX(T_Equipos[Grupo],MATCH(BD45,T_Equipos[NombreEquipo],0)))&amp;")")</f>
        <v>P.1 (4)</v>
      </c>
      <c r="CZ45" s="757">
        <f t="shared" ca="1" si="31"/>
        <v>0</v>
      </c>
      <c r="DA45" s="758">
        <f ca="1">CX45+COUNTIFS($CY$6:$CY$53,CY45,$CZ$6:CZ$53,"&gt;"&amp;CZ45,$BC$6:$BC$53,INDEX(T_Equipos[Grupo],MATCH(BD45,T_Equipos[NombreEquipo],0)))</f>
        <v>1</v>
      </c>
      <c r="DB45" s="757" t="str">
        <f ca="1">IF(COUNTIFS($DA$6:$DA$53,DA45,$BC$6:$BC$53,INDEX(T_Equipos[Grupo],MATCH(BD45,T_Equipos[NombreEquipo],0)))=1,"-","P."&amp;DA45&amp;" ("&amp;COUNTIFS($DA$6:$DA$53,DA45,$BC$6:$BC$53,INDEX(T_Equipos[Grupo],MATCH(BD45,T_Equipos[NombreEquipo],0)))&amp;")")</f>
        <v>P.1 (4)</v>
      </c>
      <c r="DC45" s="756">
        <f ca="1">IF(DB45="-","-",COUNTIFS(T_Equipos[Rank],"&lt;"&amp;INDEX(T_Equipos[Rank],MATCH(BD45,T_Equipos[NombreEquipo],0)),$BC$6:$BC$53,INDEX(T_Equipos[Grupo],MATCH(BD45,T_Equipos[NombreEquipo],0)))+1)</f>
        <v>4</v>
      </c>
      <c r="DD45" s="756">
        <f ca="1">DA45+COUNTIFS($DB$6:$DB$53,DB45,$DC$6:DC$53,"&lt;"&amp;DC45,$BC$6:$BC$53,INDEX(T_Equipos[Grupo],MATCH(BD45,T_Equipos[NombreEquipo],0)))</f>
        <v>4</v>
      </c>
      <c r="DE45" s="756"/>
      <c r="DF45" s="756">
        <f t="shared" ca="1" si="52"/>
        <v>4</v>
      </c>
      <c r="DG45" s="756">
        <f ca="1">IF(DB45="-","-",COUNTIFS(DF$6:DF$53,"&lt;"&amp;DF45,$BC$6:$BC$53,INDEX(T_Equipos[Grupo],MATCH(BD45,T_Equipos[NombreEquipo],0))))</f>
        <v>3</v>
      </c>
      <c r="DH45" s="756">
        <f ca="1">DA45+COUNTIFS(DB$6:DB$53,DB45,DG$6:DG$53,"&lt;"&amp;DG45,$BC$6:$BC$53,INDEX(T_Equipos[Grupo],MATCH(BD45,T_Equipos[NombreEquipo],0)))</f>
        <v>4</v>
      </c>
      <c r="DI45" s="744"/>
      <c r="DJ45" s="744">
        <f t="shared" ca="1" si="53"/>
        <v>1</v>
      </c>
      <c r="DK45" s="744">
        <f t="shared" ca="1" si="24"/>
        <v>0</v>
      </c>
      <c r="DL45" s="744">
        <f t="shared" ca="1" si="33"/>
        <v>1</v>
      </c>
      <c r="DM45" s="738" t="str">
        <f t="shared" ca="1" si="34"/>
        <v>1.1</v>
      </c>
      <c r="DN45" s="744" cm="1">
        <f t="array" aca="1" ref="DN45" ca="1">OFFSET(Horarios!$P$3,DJ45-1,0,DL45,1)</f>
        <v>1</v>
      </c>
      <c r="DO45" s="744"/>
      <c r="DP45" s="744" t="s">
        <v>678</v>
      </c>
      <c r="DQ45" s="744" t="str">
        <f t="shared" ca="1" si="35"/>
        <v>Jordania</v>
      </c>
      <c r="DR45" s="744"/>
      <c r="DS45" s="744"/>
      <c r="DT45" s="744" t="str">
        <f t="shared" ca="1" si="15"/>
        <v>Suecia-Túnez</v>
      </c>
      <c r="DU45" s="744"/>
      <c r="DV45" s="744"/>
      <c r="DW45" s="8"/>
    </row>
    <row r="46" spans="1:127" ht="16.05" customHeight="1">
      <c r="A46" s="745" t="str">
        <f ca="1">+Equipos!B23</f>
        <v>Japón</v>
      </c>
      <c r="B46" s="742"/>
      <c r="C46" s="746"/>
      <c r="D46" s="744" t="str">
        <f t="shared" si="136"/>
        <v>Pendiente</v>
      </c>
      <c r="E46" s="744" t="str">
        <f t="shared" si="137"/>
        <v>-</v>
      </c>
      <c r="F46" s="744" t="str">
        <f t="shared" si="138"/>
        <v>-</v>
      </c>
      <c r="G46" s="744"/>
      <c r="H46" s="744" t="str">
        <f t="shared" si="139"/>
        <v>-</v>
      </c>
      <c r="I46" s="744" t="str">
        <f t="shared" si="140"/>
        <v>-</v>
      </c>
      <c r="J46" s="744"/>
      <c r="K46" s="744" t="str">
        <f t="shared" si="141"/>
        <v>-</v>
      </c>
      <c r="L46" s="744" t="str">
        <f t="shared" si="142"/>
        <v>-</v>
      </c>
      <c r="M46" s="744"/>
      <c r="N46" s="744" t="str">
        <f t="shared" si="143"/>
        <v>-</v>
      </c>
      <c r="O46" s="744" t="str">
        <f t="shared" si="144"/>
        <v>-</v>
      </c>
      <c r="P46" s="744"/>
      <c r="Q46" s="744" t="str">
        <f t="shared" si="145"/>
        <v>-</v>
      </c>
      <c r="R46" s="744" t="str">
        <f t="shared" si="146"/>
        <v>-</v>
      </c>
      <c r="S46" s="744"/>
      <c r="T46" s="744" t="str">
        <f t="shared" si="147"/>
        <v>-</v>
      </c>
      <c r="U46" s="744" t="str">
        <f t="shared"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c r="AD46" s="194"/>
      <c r="AE46" s="483" t="e" cm="1" vm="23">
        <f t="array" aca="1" ref="AE46" ca="1">Ver_flag_visit</f>
        <v>#VALUE!</v>
      </c>
      <c r="AF46" s="195" t="str">
        <f ca="1">A47</f>
        <v>Suecia</v>
      </c>
      <c r="AG46" s="413">
        <f t="shared" si="149"/>
        <v>0</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0</v>
      </c>
      <c r="BF46" s="748">
        <f t="shared" ca="1" si="26"/>
        <v>0</v>
      </c>
      <c r="BG46" s="748">
        <f t="shared" ca="1" si="17"/>
        <v>0</v>
      </c>
      <c r="BH46" s="748">
        <f t="shared" ca="1" si="18"/>
        <v>0</v>
      </c>
      <c r="BI46" s="748">
        <f t="shared" ca="1" si="19"/>
        <v>0</v>
      </c>
      <c r="BJ46" s="748">
        <f t="shared" ca="1" si="20"/>
        <v>0</v>
      </c>
      <c r="BK46" s="748">
        <f t="shared" ca="1" si="21"/>
        <v>0</v>
      </c>
      <c r="BL46" s="748">
        <f t="shared" ca="1" si="27"/>
        <v>0</v>
      </c>
      <c r="BM46" s="748" t="str">
        <f t="shared" ca="1" si="22"/>
        <v>1K</v>
      </c>
      <c r="BN46" s="748" t="str">
        <f t="shared" ca="1" si="23"/>
        <v>1K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0</v>
      </c>
      <c r="BS46" s="757">
        <f ca="1">BP46+COUNTIFS($BQ$6:$BQ$53,BQ46,$BR$6:BR$53,"&gt;"&amp;BR46,$BC$6:$BC$53,INDEX(T_Equipos[Grupo],MATCH(BD46,T_Equipos[NombreEquipo],0)))</f>
        <v>1</v>
      </c>
      <c r="BT46" s="757" t="str">
        <f ca="1">IF(COUNTIFS($BS$6:$BS$53,BS46,$BC$6:$BC$53,INDEX(T_Equipos[Grupo],MATCH(BD46,T_Equipos[NombreEquipo],0)))=1,"-","P."&amp;BS46&amp;" ("&amp;COUNTIFS($BS$6:$BS$53,BS46,$BC$6:$BC$53,INDEX(T_Equipos[Grupo],MATCH(BD46,T_Equipos[NombreEquipo],0)))&amp;")")</f>
        <v>P.1 (4)</v>
      </c>
      <c r="BU46" s="758">
        <f t="shared" ca="1" si="36"/>
        <v>0</v>
      </c>
      <c r="BV46" s="758">
        <f t="shared" ca="1" si="37"/>
        <v>0</v>
      </c>
      <c r="BW46" s="758">
        <f t="shared" ca="1" si="38"/>
        <v>0</v>
      </c>
      <c r="BX46" s="758">
        <f t="shared" ca="1" si="39"/>
        <v>0</v>
      </c>
      <c r="BY46" s="758">
        <f ca="1">BS46+COUNTIFS($BT$6:$BT$53,BT46,$BX$6:BX$53,"&gt;"&amp;BX46,$BC$6:$BC$53,INDEX(T_Equipos[Grupo],MATCH(BD46,T_Equipos[NombreEquipo],0)))</f>
        <v>1</v>
      </c>
      <c r="BZ46" s="757" t="str">
        <f ca="1">IF(COUNTIFS($BY$6:$BY$53,BY46,$BC$6:$BC$53,INDEX(T_Equipos[Grupo],MATCH(BD46,T_Equipos[NombreEquipo],0)))=1,"-","P."&amp;BY46&amp;" ("&amp;COUNTIFS($BY$6:$BY$53,BY46,$BC$6:$BC$53,INDEX(T_Equipos[Grupo],MATCH(BD46,T_Equipos[NombreEquipo],0)))&amp;")")</f>
        <v>P.1 (4)</v>
      </c>
      <c r="CA46" s="758">
        <f t="shared" ca="1" si="40"/>
        <v>0</v>
      </c>
      <c r="CB46" s="758">
        <f t="shared" ca="1" si="41"/>
        <v>0</v>
      </c>
      <c r="CC46" s="758">
        <f t="shared" ca="1" si="42"/>
        <v>0</v>
      </c>
      <c r="CD46" s="758">
        <f ca="1">BY46+COUNTIFS($BZ$6:$BZ$53,BZ46,$CC$6:CC$53,"&gt;"&amp;CC46,$BC$6:$BC$53,INDEX(T_Equipos[Grupo],MATCH(BD46,T_Equipos[NombreEquipo],0)))</f>
        <v>1</v>
      </c>
      <c r="CE46" s="757" t="str">
        <f ca="1">IF(COUNTIFS($CD$6:$CD$53,CD46,$BC$6:$BC$53,INDEX(T_Equipos[Grupo],MATCH(BD46,T_Equipos[NombreEquipo],0)))=1,"-","P."&amp;CD46&amp;" ("&amp;COUNTIFS($CD$6:$CD$53,CD46,$BC$6:$BC$53,INDEX(T_Equipos[Grupo],MATCH(BD46,T_Equipos[NombreEquipo],0)))&amp;")")</f>
        <v>P.1 (4)</v>
      </c>
      <c r="CF46" s="758">
        <f t="shared" ca="1" si="43"/>
        <v>0</v>
      </c>
      <c r="CG46" s="758">
        <f ca="1">CD46+COUNTIFS($CE$6:$CE$53,CE46,$CF$6:CF$53,"&gt;"&amp;CF46,$BC$6:$BC$53,INDEX(T_Equipos[Grupo],MATCH(BD46,T_Equipos[NombreEquipo],0)))</f>
        <v>1</v>
      </c>
      <c r="CH46" s="757" t="str">
        <f ca="1">IF(COUNTIFS($CG$6:$CG$53,CG46,$BC$6:$BC$53,INDEX(T_Equipos[Grupo],MATCH(BD46,T_Equipos[NombreEquipo],0)))=1,"-","P."&amp;CG46&amp;" ("&amp;COUNTIFS($CG$6:$CG$53,CG46,$BC$6:$BC$53,INDEX(T_Equipos[Grupo],MATCH(BD46,T_Equipos[NombreEquipo],0)))&amp;")")</f>
        <v>P.1 (4)</v>
      </c>
      <c r="CI46" s="758">
        <f t="shared" ca="1" si="44"/>
        <v>0</v>
      </c>
      <c r="CJ46" s="758">
        <f t="shared" ca="1" si="45"/>
        <v>0</v>
      </c>
      <c r="CK46" s="758">
        <f t="shared" ca="1" si="46"/>
        <v>0</v>
      </c>
      <c r="CL46" s="758">
        <f t="shared" ca="1" si="47"/>
        <v>0</v>
      </c>
      <c r="CM46" s="758">
        <f ca="1">CG46+COUNTIFS($CH$6:$CH$53,CH46,$CL$6:CL$53,"&gt;"&amp;CL46,$BC$6:$BC$53,INDEX(T_Equipos[Grupo],MATCH(BD46,T_Equipos[NombreEquipo],0)))</f>
        <v>1</v>
      </c>
      <c r="CN46" s="757" t="str">
        <f ca="1">IF(COUNTIFS($CM$6:$CM$53,CM46,$BC$6:$BC$53,INDEX(T_Equipos[Grupo],MATCH(BD46,T_Equipos[NombreEquipo],0)))=1,"-","P."&amp;CM46&amp;" ("&amp;COUNTIFS($CM$6:$CM$53,CM46,$BC$6:$BC$53,INDEX(T_Equipos[Grupo],MATCH(BD46,T_Equipos[NombreEquipo],0)))&amp;")")</f>
        <v>P.1 (4)</v>
      </c>
      <c r="CO46" s="758">
        <f t="shared" ca="1" si="48"/>
        <v>0</v>
      </c>
      <c r="CP46" s="758">
        <f t="shared" ca="1" si="49"/>
        <v>0</v>
      </c>
      <c r="CQ46" s="758">
        <f t="shared" ca="1" si="50"/>
        <v>0</v>
      </c>
      <c r="CR46" s="758">
        <f ca="1">CM46+COUNTIFS($CN$6:$CN$53,CN46,$CQ$6:CQ$53,"&gt;"&amp;CQ46,$BC$6:$BC$53,INDEX(T_Equipos[Grupo],MATCH(BD46,T_Equipos[NombreEquipo],0)))</f>
        <v>1</v>
      </c>
      <c r="CS46" s="757" t="str">
        <f ca="1">IF(COUNTIFS($CR$6:$CR$53,CR46,$BC$6:$BC$53,INDEX(T_Equipos[Grupo],MATCH(BD46,T_Equipos[NombreEquipo],0)))=1,"-","P."&amp;CR46&amp;" ("&amp;COUNTIFS($CR$6:$CR$53,CR46,$BC$6:$BC$53,INDEX(T_Equipos[Grupo],MATCH(BD46,T_Equipos[NombreEquipo],0)))&amp;")")</f>
        <v>P.1 (4)</v>
      </c>
      <c r="CT46" s="758">
        <f t="shared" ca="1" si="51"/>
        <v>0</v>
      </c>
      <c r="CU46" s="758">
        <f ca="1">CR46+COUNTIFS($CS$6:$CS$53,CS46,$CT$6:CT$53,"&gt;"&amp;CT46,$BC$6:$BC$53,INDEX(T_Equipos[Grupo],MATCH(BD46,T_Equipos[NombreEquipo],0)))</f>
        <v>1</v>
      </c>
      <c r="CV46" s="757" t="str">
        <f ca="1">IF(COUNTIFS($CU$6:$CU$53,CU46,$BC$6:$BC$53,INDEX(T_Equipos[Grupo],MATCH(BD46,T_Equipos[NombreEquipo],0)))=1,"-","P."&amp;CU46&amp;" ("&amp;COUNTIFS($CU$6:$CU$53,CU46,$BC$6:$BC$53,INDEX(T_Equipos[Grupo],MATCH(BD46,T_Equipos[NombreEquipo],0)))&amp;")")</f>
        <v>P.1 (4)</v>
      </c>
      <c r="CW46" s="757">
        <f t="shared" ca="1" si="30"/>
        <v>0</v>
      </c>
      <c r="CX46" s="757">
        <f ca="1">CU46+COUNTIFS($CV$6:$CV$53,CV46,$CW$6:CW$53,"&gt;"&amp;CW46,$BC$6:$BC$53,INDEX(T_Equipos[Grupo],MATCH(BD46,T_Equipos[NombreEquipo],0)))</f>
        <v>1</v>
      </c>
      <c r="CY46" s="757" t="str">
        <f ca="1">IF(COUNTIFS($CX$6:$CX$53,CX46,$BC$6:$BC$53,INDEX(T_Equipos[Grupo],MATCH(BD46,T_Equipos[NombreEquipo],0)))=1,"-","P."&amp;CX46&amp;" ("&amp;COUNTIFS($CX$6:$CX$53,CX46,$BC$6:$BC$53,INDEX(T_Equipos[Grupo],MATCH(BD46,T_Equipos[NombreEquipo],0)))&amp;")")</f>
        <v>P.1 (4)</v>
      </c>
      <c r="CZ46" s="757">
        <f t="shared" ca="1" si="31"/>
        <v>0</v>
      </c>
      <c r="DA46" s="758">
        <f ca="1">CX46+COUNTIFS($CY$6:$CY$53,CY46,$CZ$6:CZ$53,"&gt;"&amp;CZ46,$BC$6:$BC$53,INDEX(T_Equipos[Grupo],MATCH(BD46,T_Equipos[NombreEquipo],0)))</f>
        <v>1</v>
      </c>
      <c r="DB46" s="757" t="str">
        <f ca="1">IF(COUNTIFS($DA$6:$DA$53,DA46,$BC$6:$BC$53,INDEX(T_Equipos[Grupo],MATCH(BD46,T_Equipos[NombreEquipo],0)))=1,"-","P."&amp;DA46&amp;" ("&amp;COUNTIFS($DA$6:$DA$53,DA46,$BC$6:$BC$53,INDEX(T_Equipos[Grupo],MATCH(BD46,T_Equipos[NombreEquipo],0)))&amp;")")</f>
        <v>P.1 (4)</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1</v>
      </c>
      <c r="DE46" s="756"/>
      <c r="DF46" s="756">
        <f t="shared" ca="1" si="52"/>
        <v>1</v>
      </c>
      <c r="DG46" s="756">
        <f ca="1">IF(DB46="-","-",COUNTIFS(DF$6:DF$53,"&lt;"&amp;DF46,$BC$6:$BC$53,INDEX(T_Equipos[Grupo],MATCH(BD46,T_Equipos[NombreEquipo],0))))</f>
        <v>0</v>
      </c>
      <c r="DH46" s="756">
        <f ca="1">DA46+COUNTIFS(DB$6:DB$53,DB46,DG$6:DG$53,"&lt;"&amp;DG46,$BC$6:$BC$53,INDEX(T_Equipos[Grupo],MATCH(BD46,T_Equipos[NombreEquipo],0)))</f>
        <v>1</v>
      </c>
      <c r="DI46" s="744"/>
      <c r="DJ46" s="744">
        <f t="shared" ca="1" si="53"/>
        <v>1</v>
      </c>
      <c r="DK46" s="744">
        <f t="shared" ca="1" si="24"/>
        <v>0</v>
      </c>
      <c r="DL46" s="744">
        <f t="shared" ca="1" si="33"/>
        <v>1</v>
      </c>
      <c r="DM46" s="738" t="str">
        <f t="shared" ca="1" si="34"/>
        <v>1.1</v>
      </c>
      <c r="DN46" s="744" cm="1">
        <f t="array" aca="1" ref="DN46" ca="1">OFFSET(Horarios!$P$3,DJ46-1,0,DL46,1)</f>
        <v>1</v>
      </c>
      <c r="DO46" s="744"/>
      <c r="DP46" s="744" t="s">
        <v>679</v>
      </c>
      <c r="DQ46" s="744" t="str">
        <f t="shared" ca="1" si="35"/>
        <v>Portugal</v>
      </c>
      <c r="DR46" s="744"/>
      <c r="DS46" s="744"/>
      <c r="DT46" s="744" t="str">
        <f t="shared" ca="1" si="15"/>
        <v>Países Bajos-Suecia</v>
      </c>
      <c r="DU46" s="744"/>
      <c r="DV46" s="744"/>
      <c r="DW46" s="8"/>
    </row>
    <row r="47" spans="1:127" ht="16.05" customHeight="1">
      <c r="A47" s="745" t="str">
        <f ca="1">+Equipos!B24</f>
        <v>Suecia</v>
      </c>
      <c r="B47" s="742"/>
      <c r="C47" s="744"/>
      <c r="D47" s="744" t="str">
        <f t="shared" si="136"/>
        <v>Pendiente</v>
      </c>
      <c r="E47" s="744" t="str">
        <f t="shared" si="137"/>
        <v>-</v>
      </c>
      <c r="F47" s="744" t="str">
        <f t="shared" si="138"/>
        <v>-</v>
      </c>
      <c r="G47" s="744"/>
      <c r="H47" s="744" t="str">
        <f t="shared" si="139"/>
        <v>-</v>
      </c>
      <c r="I47" s="744" t="str">
        <f t="shared" si="140"/>
        <v>-</v>
      </c>
      <c r="J47" s="744"/>
      <c r="K47" s="744" t="str">
        <f t="shared" si="141"/>
        <v>-</v>
      </c>
      <c r="L47" s="744" t="str">
        <f t="shared" si="142"/>
        <v>-</v>
      </c>
      <c r="M47" s="744"/>
      <c r="N47" s="744" t="str">
        <f t="shared" si="143"/>
        <v>-</v>
      </c>
      <c r="O47" s="744" t="str">
        <f t="shared" si="144"/>
        <v>-</v>
      </c>
      <c r="P47" s="744"/>
      <c r="Q47" s="744" t="str">
        <f t="shared" si="145"/>
        <v>-</v>
      </c>
      <c r="R47" s="744" t="str">
        <f t="shared" si="146"/>
        <v>-</v>
      </c>
      <c r="S47" s="744"/>
      <c r="T47" s="744" t="str">
        <f t="shared" si="147"/>
        <v>-</v>
      </c>
      <c r="U47" s="744" t="str">
        <f t="shared" si="148"/>
        <v>-</v>
      </c>
      <c r="V47" s="172"/>
      <c r="W47" s="804"/>
      <c r="X47" s="189">
        <f ca="1">Horarios!C47</f>
        <v>46194.25</v>
      </c>
      <c r="Y47" s="190">
        <f ca="1">Horarios!C47</f>
        <v>46194.25</v>
      </c>
      <c r="Z47" s="191" t="str">
        <f>$Z$6</f>
        <v>J2</v>
      </c>
      <c r="AA47" s="192" t="str">
        <f ca="1">A48</f>
        <v>Túnez</v>
      </c>
      <c r="AB47" s="478" t="e" cm="1" vm="24">
        <f t="array" aca="1" ref="AB47" ca="1">Ver_flag_local</f>
        <v>#VALUE!</v>
      </c>
      <c r="AC47" s="193"/>
      <c r="AD47" s="194"/>
      <c r="AE47" s="483" t="e" cm="1" vm="22">
        <f t="array" aca="1" ref="AE47" ca="1">Ver_flag_visit</f>
        <v>#VALUE!</v>
      </c>
      <c r="AF47" s="195" t="str">
        <f ca="1">A46</f>
        <v>Japón</v>
      </c>
      <c r="AG47" s="413">
        <f t="shared" si="149"/>
        <v>0</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0</v>
      </c>
      <c r="BF47" s="748">
        <f t="shared" ca="1" si="26"/>
        <v>0</v>
      </c>
      <c r="BG47" s="748">
        <f t="shared" ca="1" si="17"/>
        <v>0</v>
      </c>
      <c r="BH47" s="748">
        <f t="shared" ca="1" si="18"/>
        <v>0</v>
      </c>
      <c r="BI47" s="748">
        <f t="shared" ca="1" si="19"/>
        <v>0</v>
      </c>
      <c r="BJ47" s="748">
        <f t="shared" ca="1" si="20"/>
        <v>0</v>
      </c>
      <c r="BK47" s="748">
        <f t="shared" ca="1" si="21"/>
        <v>0</v>
      </c>
      <c r="BL47" s="748">
        <f t="shared" ca="1" si="27"/>
        <v>0</v>
      </c>
      <c r="BM47" s="748" t="str">
        <f t="shared" ca="1" si="22"/>
        <v>2K</v>
      </c>
      <c r="BN47" s="748" t="str">
        <f t="shared" ca="1" si="23"/>
        <v>2K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0</v>
      </c>
      <c r="BS47" s="757">
        <f ca="1">BP47+COUNTIFS($BQ$6:$BQ$53,BQ47,$BR$6:BR$53,"&gt;"&amp;BR47,$BC$6:$BC$53,INDEX(T_Equipos[Grupo],MATCH(BD47,T_Equipos[NombreEquipo],0)))</f>
        <v>1</v>
      </c>
      <c r="BT47" s="757" t="str">
        <f ca="1">IF(COUNTIFS($BS$6:$BS$53,BS47,$BC$6:$BC$53,INDEX(T_Equipos[Grupo],MATCH(BD47,T_Equipos[NombreEquipo],0)))=1,"-","P."&amp;BS47&amp;" ("&amp;COUNTIFS($BS$6:$BS$53,BS47,$BC$6:$BC$53,INDEX(T_Equipos[Grupo],MATCH(BD47,T_Equipos[NombreEquipo],0)))&amp;")")</f>
        <v>P.1 (4)</v>
      </c>
      <c r="BU47" s="758">
        <f t="shared" ca="1" si="36"/>
        <v>0</v>
      </c>
      <c r="BV47" s="758">
        <f t="shared" ca="1" si="37"/>
        <v>0</v>
      </c>
      <c r="BW47" s="758">
        <f t="shared" ca="1" si="38"/>
        <v>0</v>
      </c>
      <c r="BX47" s="758">
        <f t="shared" ca="1" si="39"/>
        <v>0</v>
      </c>
      <c r="BY47" s="758">
        <f ca="1">BS47+COUNTIFS($BT$6:$BT$53,BT47,$BX$6:BX$53,"&gt;"&amp;BX47,$BC$6:$BC$53,INDEX(T_Equipos[Grupo],MATCH(BD47,T_Equipos[NombreEquipo],0)))</f>
        <v>1</v>
      </c>
      <c r="BZ47" s="757" t="str">
        <f ca="1">IF(COUNTIFS($BY$6:$BY$53,BY47,$BC$6:$BC$53,INDEX(T_Equipos[Grupo],MATCH(BD47,T_Equipos[NombreEquipo],0)))=1,"-","P."&amp;BY47&amp;" ("&amp;COUNTIFS($BY$6:$BY$53,BY47,$BC$6:$BC$53,INDEX(T_Equipos[Grupo],MATCH(BD47,T_Equipos[NombreEquipo],0)))&amp;")")</f>
        <v>P.1 (4)</v>
      </c>
      <c r="CA47" s="758">
        <f t="shared" ca="1" si="40"/>
        <v>0</v>
      </c>
      <c r="CB47" s="758">
        <f t="shared" ca="1" si="41"/>
        <v>0</v>
      </c>
      <c r="CC47" s="758">
        <f t="shared" ca="1" si="42"/>
        <v>0</v>
      </c>
      <c r="CD47" s="758">
        <f ca="1">BY47+COUNTIFS($BZ$6:$BZ$53,BZ47,$CC$6:CC$53,"&gt;"&amp;CC47,$BC$6:$BC$53,INDEX(T_Equipos[Grupo],MATCH(BD47,T_Equipos[NombreEquipo],0)))</f>
        <v>1</v>
      </c>
      <c r="CE47" s="757" t="str">
        <f ca="1">IF(COUNTIFS($CD$6:$CD$53,CD47,$BC$6:$BC$53,INDEX(T_Equipos[Grupo],MATCH(BD47,T_Equipos[NombreEquipo],0)))=1,"-","P."&amp;CD47&amp;" ("&amp;COUNTIFS($CD$6:$CD$53,CD47,$BC$6:$BC$53,INDEX(T_Equipos[Grupo],MATCH(BD47,T_Equipos[NombreEquipo],0)))&amp;")")</f>
        <v>P.1 (4)</v>
      </c>
      <c r="CF47" s="758">
        <f t="shared" ca="1" si="43"/>
        <v>0</v>
      </c>
      <c r="CG47" s="758">
        <f ca="1">CD47+COUNTIFS($CE$6:$CE$53,CE47,$CF$6:CF$53,"&gt;"&amp;CF47,$BC$6:$BC$53,INDEX(T_Equipos[Grupo],MATCH(BD47,T_Equipos[NombreEquipo],0)))</f>
        <v>1</v>
      </c>
      <c r="CH47" s="757" t="str">
        <f ca="1">IF(COUNTIFS($CG$6:$CG$53,CG47,$BC$6:$BC$53,INDEX(T_Equipos[Grupo],MATCH(BD47,T_Equipos[NombreEquipo],0)))=1,"-","P."&amp;CG47&amp;" ("&amp;COUNTIFS($CG$6:$CG$53,CG47,$BC$6:$BC$53,INDEX(T_Equipos[Grupo],MATCH(BD47,T_Equipos[NombreEquipo],0)))&amp;")")</f>
        <v>P.1 (4)</v>
      </c>
      <c r="CI47" s="758">
        <f t="shared" ca="1" si="44"/>
        <v>0</v>
      </c>
      <c r="CJ47" s="758">
        <f t="shared" ca="1" si="45"/>
        <v>0</v>
      </c>
      <c r="CK47" s="758">
        <f t="shared" ca="1" si="46"/>
        <v>0</v>
      </c>
      <c r="CL47" s="758">
        <f t="shared" ca="1" si="47"/>
        <v>0</v>
      </c>
      <c r="CM47" s="758">
        <f ca="1">CG47+COUNTIFS($CH$6:$CH$53,CH47,$CL$6:CL$53,"&gt;"&amp;CL47,$BC$6:$BC$53,INDEX(T_Equipos[Grupo],MATCH(BD47,T_Equipos[NombreEquipo],0)))</f>
        <v>1</v>
      </c>
      <c r="CN47" s="757" t="str">
        <f ca="1">IF(COUNTIFS($CM$6:$CM$53,CM47,$BC$6:$BC$53,INDEX(T_Equipos[Grupo],MATCH(BD47,T_Equipos[NombreEquipo],0)))=1,"-","P."&amp;CM47&amp;" ("&amp;COUNTIFS($CM$6:$CM$53,CM47,$BC$6:$BC$53,INDEX(T_Equipos[Grupo],MATCH(BD47,T_Equipos[NombreEquipo],0)))&amp;")")</f>
        <v>P.1 (4)</v>
      </c>
      <c r="CO47" s="758">
        <f t="shared" ca="1" si="48"/>
        <v>0</v>
      </c>
      <c r="CP47" s="758">
        <f t="shared" ca="1" si="49"/>
        <v>0</v>
      </c>
      <c r="CQ47" s="758">
        <f t="shared" ca="1" si="50"/>
        <v>0</v>
      </c>
      <c r="CR47" s="758">
        <f ca="1">CM47+COUNTIFS($CN$6:$CN$53,CN47,$CQ$6:CQ$53,"&gt;"&amp;CQ47,$BC$6:$BC$53,INDEX(T_Equipos[Grupo],MATCH(BD47,T_Equipos[NombreEquipo],0)))</f>
        <v>1</v>
      </c>
      <c r="CS47" s="757" t="str">
        <f ca="1">IF(COUNTIFS($CR$6:$CR$53,CR47,$BC$6:$BC$53,INDEX(T_Equipos[Grupo],MATCH(BD47,T_Equipos[NombreEquipo],0)))=1,"-","P."&amp;CR47&amp;" ("&amp;COUNTIFS($CR$6:$CR$53,CR47,$BC$6:$BC$53,INDEX(T_Equipos[Grupo],MATCH(BD47,T_Equipos[NombreEquipo],0)))&amp;")")</f>
        <v>P.1 (4)</v>
      </c>
      <c r="CT47" s="758">
        <f t="shared" ca="1" si="51"/>
        <v>0</v>
      </c>
      <c r="CU47" s="758">
        <f ca="1">CR47+COUNTIFS($CS$6:$CS$53,CS47,$CT$6:CT$53,"&gt;"&amp;CT47,$BC$6:$BC$53,INDEX(T_Equipos[Grupo],MATCH(BD47,T_Equipos[NombreEquipo],0)))</f>
        <v>1</v>
      </c>
      <c r="CV47" s="757" t="str">
        <f ca="1">IF(COUNTIFS($CU$6:$CU$53,CU47,$BC$6:$BC$53,INDEX(T_Equipos[Grupo],MATCH(BD47,T_Equipos[NombreEquipo],0)))=1,"-","P."&amp;CU47&amp;" ("&amp;COUNTIFS($CU$6:$CU$53,CU47,$BC$6:$BC$53,INDEX(T_Equipos[Grupo],MATCH(BD47,T_Equipos[NombreEquipo],0)))&amp;")")</f>
        <v>P.1 (4)</v>
      </c>
      <c r="CW47" s="757">
        <f t="shared" ca="1" si="30"/>
        <v>0</v>
      </c>
      <c r="CX47" s="757">
        <f ca="1">CU47+COUNTIFS($CV$6:$CV$53,CV47,$CW$6:CW$53,"&gt;"&amp;CW47,$BC$6:$BC$53,INDEX(T_Equipos[Grupo],MATCH(BD47,T_Equipos[NombreEquipo],0)))</f>
        <v>1</v>
      </c>
      <c r="CY47" s="757" t="str">
        <f ca="1">IF(COUNTIFS($CX$6:$CX$53,CX47,$BC$6:$BC$53,INDEX(T_Equipos[Grupo],MATCH(BD47,T_Equipos[NombreEquipo],0)))=1,"-","P."&amp;CX47&amp;" ("&amp;COUNTIFS($CX$6:$CX$53,CX47,$BC$6:$BC$53,INDEX(T_Equipos[Grupo],MATCH(BD47,T_Equipos[NombreEquipo],0)))&amp;")")</f>
        <v>P.1 (4)</v>
      </c>
      <c r="CZ47" s="757">
        <f t="shared" ca="1" si="31"/>
        <v>0</v>
      </c>
      <c r="DA47" s="758">
        <f ca="1">CX47+COUNTIFS($CY$6:$CY$53,CY47,$CZ$6:CZ$53,"&gt;"&amp;CZ47,$BC$6:$BC$53,INDEX(T_Equipos[Grupo],MATCH(BD47,T_Equipos[NombreEquipo],0)))</f>
        <v>1</v>
      </c>
      <c r="DB47" s="757" t="str">
        <f ca="1">IF(COUNTIFS($DA$6:$DA$53,DA47,$BC$6:$BC$53,INDEX(T_Equipos[Grupo],MATCH(BD47,T_Equipos[NombreEquipo],0)))=1,"-","P."&amp;DA47&amp;" ("&amp;COUNTIFS($DA$6:$DA$53,DA47,$BC$6:$BC$53,INDEX(T_Equipos[Grupo],MATCH(BD47,T_Equipos[NombreEquipo],0)))&amp;")")</f>
        <v>P.1 (4)</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2</v>
      </c>
      <c r="DE47" s="756"/>
      <c r="DF47" s="756">
        <f t="shared" ca="1" si="52"/>
        <v>2</v>
      </c>
      <c r="DG47" s="756">
        <f ca="1">IF(DB47="-","-",COUNTIFS(DF$6:DF$53,"&lt;"&amp;DF47,$BC$6:$BC$53,INDEX(T_Equipos[Grupo],MATCH(BD47,T_Equipos[NombreEquipo],0))))</f>
        <v>1</v>
      </c>
      <c r="DH47" s="756">
        <f ca="1">DA47+COUNTIFS(DB$6:DB$53,DB47,DG$6:DG$53,"&lt;"&amp;DG47,$BC$6:$BC$53,INDEX(T_Equipos[Grupo],MATCH(BD47,T_Equipos[NombreEquipo],0)))</f>
        <v>2</v>
      </c>
      <c r="DI47" s="744"/>
      <c r="DJ47" s="744">
        <f t="shared" ca="1" si="53"/>
        <v>1</v>
      </c>
      <c r="DK47" s="744">
        <f t="shared" ca="1" si="24"/>
        <v>0</v>
      </c>
      <c r="DL47" s="744">
        <f t="shared" ca="1" si="33"/>
        <v>1</v>
      </c>
      <c r="DM47" s="738" t="str">
        <f t="shared" ca="1" si="34"/>
        <v>1.1</v>
      </c>
      <c r="DN47" s="744" cm="1">
        <f t="array" aca="1" ref="DN47" ca="1">OFFSET(Horarios!$P$3,DJ47-1,0,DL47,1)</f>
        <v>1</v>
      </c>
      <c r="DO47" s="744"/>
      <c r="DP47" s="744" t="s">
        <v>680</v>
      </c>
      <c r="DQ47" s="744" t="str">
        <f t="shared" ca="1" si="35"/>
        <v>RD Congo</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3">
        <f t="array" aca="1" ref="AK48" ca="1">Ver_flag_visit</f>
        <v>#VALUE!</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0</v>
      </c>
      <c r="BG48" s="748">
        <f t="shared" ca="1" si="17"/>
        <v>0</v>
      </c>
      <c r="BH48" s="748">
        <f t="shared" ca="1" si="18"/>
        <v>0</v>
      </c>
      <c r="BI48" s="748">
        <f t="shared" ca="1" si="19"/>
        <v>0</v>
      </c>
      <c r="BJ48" s="748">
        <f t="shared" ca="1" si="20"/>
        <v>0</v>
      </c>
      <c r="BK48" s="748">
        <f t="shared" ca="1" si="21"/>
        <v>0</v>
      </c>
      <c r="BL48" s="748">
        <f t="shared" ca="1" si="27"/>
        <v>0</v>
      </c>
      <c r="BM48" s="748" t="str">
        <f t="shared" ca="1" si="22"/>
        <v>3K</v>
      </c>
      <c r="BN48" s="748" t="str">
        <f t="shared" ca="1" si="23"/>
        <v>3K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1</v>
      </c>
      <c r="BT48" s="757" t="str">
        <f ca="1">IF(COUNTIFS($BS$6:$BS$53,BS48,$BC$6:$BC$53,INDEX(T_Equipos[Grupo],MATCH(BD48,T_Equipos[NombreEquipo],0)))=1,"-","P."&amp;BS48&amp;" ("&amp;COUNTIFS($BS$6:$BS$53,BS48,$BC$6:$BC$53,INDEX(T_Equipos[Grupo],MATCH(BD48,T_Equipos[NombreEquipo],0)))&amp;")")</f>
        <v>P.1 (4)</v>
      </c>
      <c r="BU48" s="758">
        <f t="shared" ca="1" si="36"/>
        <v>0</v>
      </c>
      <c r="BV48" s="758">
        <f t="shared" ca="1" si="37"/>
        <v>0</v>
      </c>
      <c r="BW48" s="758">
        <f t="shared" ca="1" si="38"/>
        <v>0</v>
      </c>
      <c r="BX48" s="758">
        <f t="shared" ca="1" si="39"/>
        <v>0</v>
      </c>
      <c r="BY48" s="758">
        <f ca="1">BS48+COUNTIFS($BT$6:$BT$53,BT48,$BX$6:BX$53,"&gt;"&amp;BX48,$BC$6:$BC$53,INDEX(T_Equipos[Grupo],MATCH(BD48,T_Equipos[NombreEquipo],0)))</f>
        <v>1</v>
      </c>
      <c r="BZ48" s="757" t="str">
        <f ca="1">IF(COUNTIFS($BY$6:$BY$53,BY48,$BC$6:$BC$53,INDEX(T_Equipos[Grupo],MATCH(BD48,T_Equipos[NombreEquipo],0)))=1,"-","P."&amp;BY48&amp;" ("&amp;COUNTIFS($BY$6:$BY$53,BY48,$BC$6:$BC$53,INDEX(T_Equipos[Grupo],MATCH(BD48,T_Equipos[NombreEquipo],0)))&amp;")")</f>
        <v>P.1 (4)</v>
      </c>
      <c r="CA48" s="758">
        <f t="shared" ca="1" si="40"/>
        <v>0</v>
      </c>
      <c r="CB48" s="758">
        <f t="shared" ca="1" si="41"/>
        <v>0</v>
      </c>
      <c r="CC48" s="758">
        <f t="shared" ca="1" si="42"/>
        <v>0</v>
      </c>
      <c r="CD48" s="758">
        <f ca="1">BY48+COUNTIFS($BZ$6:$BZ$53,BZ48,$CC$6:CC$53,"&gt;"&amp;CC48,$BC$6:$BC$53,INDEX(T_Equipos[Grupo],MATCH(BD48,T_Equipos[NombreEquipo],0)))</f>
        <v>1</v>
      </c>
      <c r="CE48" s="757" t="str">
        <f ca="1">IF(COUNTIFS($CD$6:$CD$53,CD48,$BC$6:$BC$53,INDEX(T_Equipos[Grupo],MATCH(BD48,T_Equipos[NombreEquipo],0)))=1,"-","P."&amp;CD48&amp;" ("&amp;COUNTIFS($CD$6:$CD$53,CD48,$BC$6:$BC$53,INDEX(T_Equipos[Grupo],MATCH(BD48,T_Equipos[NombreEquipo],0)))&amp;")")</f>
        <v>P.1 (4)</v>
      </c>
      <c r="CF48" s="758">
        <f t="shared" ca="1" si="43"/>
        <v>0</v>
      </c>
      <c r="CG48" s="758">
        <f ca="1">CD48+COUNTIFS($CE$6:$CE$53,CE48,$CF$6:CF$53,"&gt;"&amp;CF48,$BC$6:$BC$53,INDEX(T_Equipos[Grupo],MATCH(BD48,T_Equipos[NombreEquipo],0)))</f>
        <v>1</v>
      </c>
      <c r="CH48" s="757" t="str">
        <f ca="1">IF(COUNTIFS($CG$6:$CG$53,CG48,$BC$6:$BC$53,INDEX(T_Equipos[Grupo],MATCH(BD48,T_Equipos[NombreEquipo],0)))=1,"-","P."&amp;CG48&amp;" ("&amp;COUNTIFS($CG$6:$CG$53,CG48,$BC$6:$BC$53,INDEX(T_Equipos[Grupo],MATCH(BD48,T_Equipos[NombreEquipo],0)))&amp;")")</f>
        <v>P.1 (4)</v>
      </c>
      <c r="CI48" s="758">
        <f t="shared" ca="1" si="44"/>
        <v>0</v>
      </c>
      <c r="CJ48" s="758">
        <f t="shared" ca="1" si="45"/>
        <v>0</v>
      </c>
      <c r="CK48" s="758">
        <f t="shared" ca="1" si="46"/>
        <v>0</v>
      </c>
      <c r="CL48" s="758">
        <f t="shared" ca="1" si="47"/>
        <v>0</v>
      </c>
      <c r="CM48" s="758">
        <f ca="1">CG48+COUNTIFS($CH$6:$CH$53,CH48,$CL$6:CL$53,"&gt;"&amp;CL48,$BC$6:$BC$53,INDEX(T_Equipos[Grupo],MATCH(BD48,T_Equipos[NombreEquipo],0)))</f>
        <v>1</v>
      </c>
      <c r="CN48" s="757" t="str">
        <f ca="1">IF(COUNTIFS($CM$6:$CM$53,CM48,$BC$6:$BC$53,INDEX(T_Equipos[Grupo],MATCH(BD48,T_Equipos[NombreEquipo],0)))=1,"-","P."&amp;CM48&amp;" ("&amp;COUNTIFS($CM$6:$CM$53,CM48,$BC$6:$BC$53,INDEX(T_Equipos[Grupo],MATCH(BD48,T_Equipos[NombreEquipo],0)))&amp;")")</f>
        <v>P.1 (4)</v>
      </c>
      <c r="CO48" s="758">
        <f t="shared" ca="1" si="48"/>
        <v>0</v>
      </c>
      <c r="CP48" s="758">
        <f t="shared" ca="1" si="49"/>
        <v>0</v>
      </c>
      <c r="CQ48" s="758">
        <f t="shared" ca="1" si="50"/>
        <v>0</v>
      </c>
      <c r="CR48" s="758">
        <f ca="1">CM48+COUNTIFS($CN$6:$CN$53,CN48,$CQ$6:CQ$53,"&gt;"&amp;CQ48,$BC$6:$BC$53,INDEX(T_Equipos[Grupo],MATCH(BD48,T_Equipos[NombreEquipo],0)))</f>
        <v>1</v>
      </c>
      <c r="CS48" s="757" t="str">
        <f ca="1">IF(COUNTIFS($CR$6:$CR$53,CR48,$BC$6:$BC$53,INDEX(T_Equipos[Grupo],MATCH(BD48,T_Equipos[NombreEquipo],0)))=1,"-","P."&amp;CR48&amp;" ("&amp;COUNTIFS($CR$6:$CR$53,CR48,$BC$6:$BC$53,INDEX(T_Equipos[Grupo],MATCH(BD48,T_Equipos[NombreEquipo],0)))&amp;")")</f>
        <v>P.1 (4)</v>
      </c>
      <c r="CT48" s="758">
        <f t="shared" ca="1" si="51"/>
        <v>0</v>
      </c>
      <c r="CU48" s="758">
        <f ca="1">CR48+COUNTIFS($CS$6:$CS$53,CS48,$CT$6:CT$53,"&gt;"&amp;CT48,$BC$6:$BC$53,INDEX(T_Equipos[Grupo],MATCH(BD48,T_Equipos[NombreEquipo],0)))</f>
        <v>1</v>
      </c>
      <c r="CV48" s="757" t="str">
        <f ca="1">IF(COUNTIFS($CU$6:$CU$53,CU48,$BC$6:$BC$53,INDEX(T_Equipos[Grupo],MATCH(BD48,T_Equipos[NombreEquipo],0)))=1,"-","P."&amp;CU48&amp;" ("&amp;COUNTIFS($CU$6:$CU$53,CU48,$BC$6:$BC$53,INDEX(T_Equipos[Grupo],MATCH(BD48,T_Equipos[NombreEquipo],0)))&amp;")")</f>
        <v>P.1 (4)</v>
      </c>
      <c r="CW48" s="757">
        <f t="shared" ca="1" si="30"/>
        <v>0</v>
      </c>
      <c r="CX48" s="757">
        <f ca="1">CU48+COUNTIFS($CV$6:$CV$53,CV48,$CW$6:CW$53,"&gt;"&amp;CW48,$BC$6:$BC$53,INDEX(T_Equipos[Grupo],MATCH(BD48,T_Equipos[NombreEquipo],0)))</f>
        <v>1</v>
      </c>
      <c r="CY48" s="757" t="str">
        <f ca="1">IF(COUNTIFS($CX$6:$CX$53,CX48,$BC$6:$BC$53,INDEX(T_Equipos[Grupo],MATCH(BD48,T_Equipos[NombreEquipo],0)))=1,"-","P."&amp;CX48&amp;" ("&amp;COUNTIFS($CX$6:$CX$53,CX48,$BC$6:$BC$53,INDEX(T_Equipos[Grupo],MATCH(BD48,T_Equipos[NombreEquipo],0)))&amp;")")</f>
        <v>P.1 (4)</v>
      </c>
      <c r="CZ48" s="757">
        <f t="shared" ca="1" si="31"/>
        <v>0</v>
      </c>
      <c r="DA48" s="758">
        <f ca="1">CX48+COUNTIFS($CY$6:$CY$53,CY48,$CZ$6:CZ$53,"&gt;"&amp;CZ48,$BC$6:$BC$53,INDEX(T_Equipos[Grupo],MATCH(BD48,T_Equipos[NombreEquipo],0)))</f>
        <v>1</v>
      </c>
      <c r="DB48" s="757" t="str">
        <f ca="1">IF(COUNTIFS($DA$6:$DA$53,DA48,$BC$6:$BC$53,INDEX(T_Equipos[Grupo],MATCH(BD48,T_Equipos[NombreEquipo],0)))=1,"-","P."&amp;DA48&amp;" ("&amp;COUNTIFS($DA$6:$DA$53,DA48,$BC$6:$BC$53,INDEX(T_Equipos[Grupo],MATCH(BD48,T_Equipos[NombreEquipo],0)))&amp;")")</f>
        <v>P.1 (4)</v>
      </c>
      <c r="DC48" s="756">
        <f ca="1">IF(DB48="-","-",COUNTIFS(T_Equipos[Rank],"&lt;"&amp;INDEX(T_Equipos[Rank],MATCH(BD48,T_Equipos[NombreEquipo],0)),$BC$6:$BC$53,INDEX(T_Equipos[Grupo],MATCH(BD48,T_Equipos[NombreEquipo],0)))+1)</f>
        <v>3</v>
      </c>
      <c r="DD48" s="756">
        <f ca="1">DA48+COUNTIFS($DB$6:$DB$53,DB48,$DC$6:DC$53,"&lt;"&amp;DC48,$BC$6:$BC$53,INDEX(T_Equipos[Grupo],MATCH(BD48,T_Equipos[NombreEquipo],0)))</f>
        <v>3</v>
      </c>
      <c r="DE48" s="756"/>
      <c r="DF48" s="756">
        <f t="shared" ca="1" si="52"/>
        <v>3</v>
      </c>
      <c r="DG48" s="756">
        <f ca="1">IF(DB48="-","-",COUNTIFS(DF$6:DF$53,"&lt;"&amp;DF48,$BC$6:$BC$53,INDEX(T_Equipos[Grupo],MATCH(BD48,T_Equipos[NombreEquipo],0))))</f>
        <v>2</v>
      </c>
      <c r="DH48" s="756">
        <f ca="1">DA48+COUNTIFS(DB$6:DB$53,DB48,DG$6:DG$53,"&lt;"&amp;DG48,$BC$6:$BC$53,INDEX(T_Equipos[Grupo],MATCH(BD48,T_Equipos[NombreEquipo],0)))</f>
        <v>3</v>
      </c>
      <c r="DI48" s="744"/>
      <c r="DJ48" s="744">
        <f t="shared" ca="1" si="53"/>
        <v>1</v>
      </c>
      <c r="DK48" s="744">
        <f t="shared" ca="1" si="24"/>
        <v>0</v>
      </c>
      <c r="DL48" s="744">
        <f t="shared" ca="1" si="33"/>
        <v>1</v>
      </c>
      <c r="DM48" s="738" t="str">
        <f t="shared" ca="1" si="34"/>
        <v>1.1</v>
      </c>
      <c r="DN48" s="744" cm="1">
        <f t="array" aca="1" ref="DN48" ca="1">OFFSET(Horarios!$P$3,DJ48-1,0,DL48,1)</f>
        <v>1</v>
      </c>
      <c r="DO48" s="744"/>
      <c r="DP48" s="744" t="s">
        <v>442</v>
      </c>
      <c r="DQ48" s="744" t="str">
        <f t="shared" ca="1" si="35"/>
        <v>Uzbekistán</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0</v>
      </c>
      <c r="BF49" s="748">
        <f t="shared" ca="1" si="26"/>
        <v>0</v>
      </c>
      <c r="BG49" s="748">
        <f t="shared" ca="1" si="17"/>
        <v>0</v>
      </c>
      <c r="BH49" s="748">
        <f t="shared" ca="1" si="18"/>
        <v>0</v>
      </c>
      <c r="BI49" s="748">
        <f t="shared" ca="1" si="19"/>
        <v>0</v>
      </c>
      <c r="BJ49" s="748">
        <f t="shared" ca="1" si="20"/>
        <v>0</v>
      </c>
      <c r="BK49" s="748">
        <f t="shared" ca="1" si="21"/>
        <v>0</v>
      </c>
      <c r="BL49" s="748">
        <f t="shared" ca="1" si="27"/>
        <v>0</v>
      </c>
      <c r="BM49" s="748" t="str">
        <f t="shared" ca="1" si="22"/>
        <v>4K</v>
      </c>
      <c r="BN49" s="748" t="str">
        <f t="shared" ca="1" si="23"/>
        <v>4K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0</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P.1 (4)</v>
      </c>
      <c r="BU49" s="758">
        <f t="shared" ca="1" si="36"/>
        <v>0</v>
      </c>
      <c r="BV49" s="758">
        <f t="shared" ca="1" si="37"/>
        <v>0</v>
      </c>
      <c r="BW49" s="758">
        <f t="shared" ca="1" si="38"/>
        <v>0</v>
      </c>
      <c r="BX49" s="758">
        <f t="shared" ca="1" si="39"/>
        <v>0</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P.1 (4)</v>
      </c>
      <c r="CA49" s="758">
        <f t="shared" ca="1" si="40"/>
        <v>0</v>
      </c>
      <c r="CB49" s="758">
        <f t="shared" ca="1" si="41"/>
        <v>0</v>
      </c>
      <c r="CC49" s="758">
        <f t="shared" ca="1" si="42"/>
        <v>0</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P.1 (4)</v>
      </c>
      <c r="CF49" s="758">
        <f t="shared" ca="1" si="43"/>
        <v>0</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P.1 (4)</v>
      </c>
      <c r="CI49" s="758">
        <f t="shared" ca="1" si="44"/>
        <v>0</v>
      </c>
      <c r="CJ49" s="758">
        <f t="shared" ca="1" si="45"/>
        <v>0</v>
      </c>
      <c r="CK49" s="758">
        <f t="shared" ca="1" si="46"/>
        <v>0</v>
      </c>
      <c r="CL49" s="758">
        <f t="shared" ca="1" si="47"/>
        <v>0</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P.1 (4)</v>
      </c>
      <c r="CO49" s="758">
        <f t="shared" ca="1" si="48"/>
        <v>0</v>
      </c>
      <c r="CP49" s="758">
        <f t="shared" ca="1" si="49"/>
        <v>0</v>
      </c>
      <c r="CQ49" s="758">
        <f t="shared" ca="1" si="50"/>
        <v>0</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P.1 (4)</v>
      </c>
      <c r="CT49" s="758">
        <f t="shared" ca="1" si="51"/>
        <v>0</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P.1 (4)</v>
      </c>
      <c r="CW49" s="757">
        <f t="shared" ca="1" si="30"/>
        <v>0</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P.1 (4)</v>
      </c>
      <c r="CZ49" s="757">
        <f t="shared" ca="1" si="31"/>
        <v>0</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P.1 (4)</v>
      </c>
      <c r="DC49" s="756">
        <f ca="1">IF(DB49="-","-",COUNTIFS(T_Equipos[Rank],"&lt;"&amp;INDEX(T_Equipos[Rank],MATCH(BD49,T_Equipos[NombreEquipo],0)),$BC$6:$BC$53,INDEX(T_Equipos[Grupo],MATCH(BD49,T_Equipos[NombreEquipo],0)))+1)</f>
        <v>4</v>
      </c>
      <c r="DD49" s="756">
        <f ca="1">DA49+COUNTIFS($DB$6:$DB$53,DB49,$DC$6:DC$53,"&lt;"&amp;DC49,$BC$6:$BC$53,INDEX(T_Equipos[Grupo],MATCH(BD49,T_Equipos[NombreEquipo],0)))</f>
        <v>4</v>
      </c>
      <c r="DE49" s="756"/>
      <c r="DF49" s="756">
        <f t="shared" ca="1" si="52"/>
        <v>4</v>
      </c>
      <c r="DG49" s="756">
        <f ca="1">IF(DB49="-","-",COUNTIFS(DF$6:DF$53,"&lt;"&amp;DF49,$BC$6:$BC$53,INDEX(T_Equipos[Grupo],MATCH(BD49,T_Equipos[NombreEquipo],0))))</f>
        <v>3</v>
      </c>
      <c r="DH49" s="756">
        <f ca="1">DA49+COUNTIFS(DB$6:DB$53,DB49,DG$6:DG$53,"&lt;"&amp;DG49,$BC$6:$BC$53,INDEX(T_Equipos[Grupo],MATCH(BD49,T_Equipos[NombreEquipo],0)))</f>
        <v>4</v>
      </c>
      <c r="DI49" s="744"/>
      <c r="DJ49" s="744">
        <f t="shared" ca="1" si="53"/>
        <v>1</v>
      </c>
      <c r="DK49" s="744">
        <f t="shared" ca="1" si="24"/>
        <v>0</v>
      </c>
      <c r="DL49" s="744">
        <f t="shared" ca="1" si="33"/>
        <v>1</v>
      </c>
      <c r="DM49" s="738" t="str">
        <f t="shared" ca="1" si="34"/>
        <v>1.1</v>
      </c>
      <c r="DN49" s="744" cm="1">
        <f t="array" aca="1" ref="DN49" ca="1">OFFSET(Horarios!$P$3,DJ49-1,0,DL49,1)</f>
        <v>1</v>
      </c>
      <c r="DO49" s="744"/>
      <c r="DP49" s="744" t="s">
        <v>681</v>
      </c>
      <c r="DQ49" s="744" t="str">
        <f t="shared" ca="1" si="35"/>
        <v>Colombia</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0</v>
      </c>
      <c r="BF50" s="748">
        <f t="shared" ca="1" si="26"/>
        <v>0</v>
      </c>
      <c r="BG50" s="748">
        <f t="shared" ca="1" si="17"/>
        <v>0</v>
      </c>
      <c r="BH50" s="748">
        <f t="shared" ca="1" si="18"/>
        <v>0</v>
      </c>
      <c r="BI50" s="748">
        <f t="shared" ca="1" si="19"/>
        <v>0</v>
      </c>
      <c r="BJ50" s="748">
        <f t="shared" ca="1" si="20"/>
        <v>0</v>
      </c>
      <c r="BK50" s="748">
        <f t="shared" ca="1" si="21"/>
        <v>0</v>
      </c>
      <c r="BL50" s="748">
        <f t="shared" ca="1" si="27"/>
        <v>0</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0</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(4)</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(4)</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(4)</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(4)</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(4)</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(4)</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(4)</v>
      </c>
      <c r="CW50" s="757">
        <f t="shared" ca="1" si="30"/>
        <v>0</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P.1 (4)</v>
      </c>
      <c r="CZ50" s="757">
        <f t="shared" ca="1" si="31"/>
        <v>0</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P.1 (4)</v>
      </c>
      <c r="DC50" s="756">
        <f ca="1">IF(DB50="-","-",COUNTIFS(T_Equipos[Rank],"&lt;"&amp;INDEX(T_Equipos[Rank],MATCH(BD50,T_Equipos[NombreEquipo],0)),$BC$6:$BC$53,INDEX(T_Equipos[Grupo],MATCH(BD50,T_Equipos[NombreEquipo],0)))+1)</f>
        <v>1</v>
      </c>
      <c r="DD50" s="756">
        <f ca="1">DA50+COUNTIFS($DB$6:$DB$53,DB50,$DC$6:DC$53,"&lt;"&amp;DC50,$BC$6:$BC$53,INDEX(T_Equipos[Grupo],MATCH(BD50,T_Equipos[NombreEquipo],0)))</f>
        <v>1</v>
      </c>
      <c r="DE50" s="756"/>
      <c r="DF50" s="756">
        <f t="shared" ca="1" si="52"/>
        <v>1</v>
      </c>
      <c r="DG50" s="756">
        <f ca="1">IF(DB50="-","-",COUNTIFS(DF$6:DF$53,"&lt;"&amp;DF50,$BC$6:$BC$53,INDEX(T_Equipos[Grupo],MATCH(BD50,T_Equipos[NombreEquipo],0))))</f>
        <v>0</v>
      </c>
      <c r="DH50" s="756">
        <f ca="1">DA50+COUNTIFS(DB$6:DB$53,DB50,DG$6:DG$53,"&lt;"&amp;DG50,$BC$6:$BC$53,INDEX(T_Equipos[Grupo],MATCH(BD50,T_Equipos[NombreEquipo],0)))</f>
        <v>1</v>
      </c>
      <c r="DI50" s="744"/>
      <c r="DJ50" s="744">
        <f t="shared" ca="1" si="53"/>
        <v>1</v>
      </c>
      <c r="DK50" s="744">
        <f t="shared" ca="1" si="24"/>
        <v>0</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0</v>
      </c>
      <c r="BG51" s="748">
        <f t="shared" ca="1" si="17"/>
        <v>0</v>
      </c>
      <c r="BH51" s="748">
        <f t="shared" ca="1" si="18"/>
        <v>0</v>
      </c>
      <c r="BI51" s="748">
        <f t="shared" ca="1" si="19"/>
        <v>0</v>
      </c>
      <c r="BJ51" s="748">
        <f t="shared" ca="1" si="20"/>
        <v>0</v>
      </c>
      <c r="BK51" s="748">
        <f t="shared" ca="1" si="21"/>
        <v>0</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1</v>
      </c>
      <c r="BT51" s="757" t="str">
        <f ca="1">IF(COUNTIFS($BS$6:$BS$53,BS51,$BC$6:$BC$53,INDEX(T_Equipos[Grupo],MATCH(BD51,T_Equipos[NombreEquipo],0)))=1,"-","P."&amp;BS51&amp;" ("&amp;COUNTIFS($BS$6:$BS$53,BS51,$BC$6:$BC$53,INDEX(T_Equipos[Grupo],MATCH(BD51,T_Equipos[NombreEquipo],0)))&amp;")")</f>
        <v>P.1 (4)</v>
      </c>
      <c r="BU51" s="758">
        <f t="shared" ca="1" si="36"/>
        <v>0</v>
      </c>
      <c r="BV51" s="758">
        <f t="shared" ca="1" si="37"/>
        <v>0</v>
      </c>
      <c r="BW51" s="758">
        <f t="shared" ca="1" si="38"/>
        <v>0</v>
      </c>
      <c r="BX51" s="758">
        <f t="shared" ca="1" si="39"/>
        <v>0</v>
      </c>
      <c r="BY51" s="758">
        <f ca="1">BS51+COUNTIFS($BT$6:$BT$53,BT51,$BX$6:BX$53,"&gt;"&amp;BX51,$BC$6:$BC$53,INDEX(T_Equipos[Grupo],MATCH(BD51,T_Equipos[NombreEquipo],0)))</f>
        <v>1</v>
      </c>
      <c r="BZ51" s="757" t="str">
        <f ca="1">IF(COUNTIFS($BY$6:$BY$53,BY51,$BC$6:$BC$53,INDEX(T_Equipos[Grupo],MATCH(BD51,T_Equipos[NombreEquipo],0)))=1,"-","P."&amp;BY51&amp;" ("&amp;COUNTIFS($BY$6:$BY$53,BY51,$BC$6:$BC$53,INDEX(T_Equipos[Grupo],MATCH(BD51,T_Equipos[NombreEquipo],0)))&amp;")")</f>
        <v>P.1 (4)</v>
      </c>
      <c r="CA51" s="758">
        <f t="shared" ca="1" si="40"/>
        <v>0</v>
      </c>
      <c r="CB51" s="758">
        <f t="shared" ca="1" si="41"/>
        <v>0</v>
      </c>
      <c r="CC51" s="758">
        <f t="shared" ca="1" si="42"/>
        <v>0</v>
      </c>
      <c r="CD51" s="758">
        <f ca="1">BY51+COUNTIFS($BZ$6:$BZ$53,BZ51,$CC$6:CC$53,"&gt;"&amp;CC51,$BC$6:$BC$53,INDEX(T_Equipos[Grupo],MATCH(BD51,T_Equipos[NombreEquipo],0)))</f>
        <v>1</v>
      </c>
      <c r="CE51" s="757" t="str">
        <f ca="1">IF(COUNTIFS($CD$6:$CD$53,CD51,$BC$6:$BC$53,INDEX(T_Equipos[Grupo],MATCH(BD51,T_Equipos[NombreEquipo],0)))=1,"-","P."&amp;CD51&amp;" ("&amp;COUNTIFS($CD$6:$CD$53,CD51,$BC$6:$BC$53,INDEX(T_Equipos[Grupo],MATCH(BD51,T_Equipos[NombreEquipo],0)))&amp;")")</f>
        <v>P.1 (4)</v>
      </c>
      <c r="CF51" s="758">
        <f t="shared" ca="1" si="43"/>
        <v>0</v>
      </c>
      <c r="CG51" s="758">
        <f ca="1">CD51+COUNTIFS($CE$6:$CE$53,CE51,$CF$6:CF$53,"&gt;"&amp;CF51,$BC$6:$BC$53,INDEX(T_Equipos[Grupo],MATCH(BD51,T_Equipos[NombreEquipo],0)))</f>
        <v>1</v>
      </c>
      <c r="CH51" s="757" t="str">
        <f ca="1">IF(COUNTIFS($CG$6:$CG$53,CG51,$BC$6:$BC$53,INDEX(T_Equipos[Grupo],MATCH(BD51,T_Equipos[NombreEquipo],0)))=1,"-","P."&amp;CG51&amp;" ("&amp;COUNTIFS($CG$6:$CG$53,CG51,$BC$6:$BC$53,INDEX(T_Equipos[Grupo],MATCH(BD51,T_Equipos[NombreEquipo],0)))&amp;")")</f>
        <v>P.1 (4)</v>
      </c>
      <c r="CI51" s="758">
        <f t="shared" ca="1" si="44"/>
        <v>0</v>
      </c>
      <c r="CJ51" s="758">
        <f t="shared" ca="1" si="45"/>
        <v>0</v>
      </c>
      <c r="CK51" s="758">
        <f t="shared" ca="1" si="46"/>
        <v>0</v>
      </c>
      <c r="CL51" s="758">
        <f t="shared" ca="1" si="47"/>
        <v>0</v>
      </c>
      <c r="CM51" s="758">
        <f ca="1">CG51+COUNTIFS($CH$6:$CH$53,CH51,$CL$6:CL$53,"&gt;"&amp;CL51,$BC$6:$BC$53,INDEX(T_Equipos[Grupo],MATCH(BD51,T_Equipos[NombreEquipo],0)))</f>
        <v>1</v>
      </c>
      <c r="CN51" s="757" t="str">
        <f ca="1">IF(COUNTIFS($CM$6:$CM$53,CM51,$BC$6:$BC$53,INDEX(T_Equipos[Grupo],MATCH(BD51,T_Equipos[NombreEquipo],0)))=1,"-","P."&amp;CM51&amp;" ("&amp;COUNTIFS($CM$6:$CM$53,CM51,$BC$6:$BC$53,INDEX(T_Equipos[Grupo],MATCH(BD51,T_Equipos[NombreEquipo],0)))&amp;")")</f>
        <v>P.1 (4)</v>
      </c>
      <c r="CO51" s="758">
        <f t="shared" ca="1" si="48"/>
        <v>0</v>
      </c>
      <c r="CP51" s="758">
        <f t="shared" ca="1" si="49"/>
        <v>0</v>
      </c>
      <c r="CQ51" s="758">
        <f t="shared" ca="1" si="50"/>
        <v>0</v>
      </c>
      <c r="CR51" s="758">
        <f ca="1">CM51+COUNTIFS($CN$6:$CN$53,CN51,$CQ$6:CQ$53,"&gt;"&amp;CQ51,$BC$6:$BC$53,INDEX(T_Equipos[Grupo],MATCH(BD51,T_Equipos[NombreEquipo],0)))</f>
        <v>1</v>
      </c>
      <c r="CS51" s="757" t="str">
        <f ca="1">IF(COUNTIFS($CR$6:$CR$53,CR51,$BC$6:$BC$53,INDEX(T_Equipos[Grupo],MATCH(BD51,T_Equipos[NombreEquipo],0)))=1,"-","P."&amp;CR51&amp;" ("&amp;COUNTIFS($CR$6:$CR$53,CR51,$BC$6:$BC$53,INDEX(T_Equipos[Grupo],MATCH(BD51,T_Equipos[NombreEquipo],0)))&amp;")")</f>
        <v>P.1 (4)</v>
      </c>
      <c r="CT51" s="758">
        <f t="shared" ca="1" si="51"/>
        <v>0</v>
      </c>
      <c r="CU51" s="758">
        <f ca="1">CR51+COUNTIFS($CS$6:$CS$53,CS51,$CT$6:CT$53,"&gt;"&amp;CT51,$BC$6:$BC$53,INDEX(T_Equipos[Grupo],MATCH(BD51,T_Equipos[NombreEquipo],0)))</f>
        <v>1</v>
      </c>
      <c r="CV51" s="757" t="str">
        <f ca="1">IF(COUNTIFS($CU$6:$CU$53,CU51,$BC$6:$BC$53,INDEX(T_Equipos[Grupo],MATCH(BD51,T_Equipos[NombreEquipo],0)))=1,"-","P."&amp;CU51&amp;" ("&amp;COUNTIFS($CU$6:$CU$53,CU51,$BC$6:$BC$53,INDEX(T_Equipos[Grupo],MATCH(BD51,T_Equipos[NombreEquipo],0)))&amp;")")</f>
        <v>P.1 (4)</v>
      </c>
      <c r="CW51" s="757">
        <f t="shared" ca="1" si="30"/>
        <v>0</v>
      </c>
      <c r="CX51" s="757">
        <f ca="1">CU51+COUNTIFS($CV$6:$CV$53,CV51,$CW$6:CW$53,"&gt;"&amp;CW51,$BC$6:$BC$53,INDEX(T_Equipos[Grupo],MATCH(BD51,T_Equipos[NombreEquipo],0)))</f>
        <v>1</v>
      </c>
      <c r="CY51" s="757" t="str">
        <f ca="1">IF(COUNTIFS($CX$6:$CX$53,CX51,$BC$6:$BC$53,INDEX(T_Equipos[Grupo],MATCH(BD51,T_Equipos[NombreEquipo],0)))=1,"-","P."&amp;CX51&amp;" ("&amp;COUNTIFS($CX$6:$CX$53,CX51,$BC$6:$BC$53,INDEX(T_Equipos[Grupo],MATCH(BD51,T_Equipos[NombreEquipo],0)))&amp;")")</f>
        <v>P.1 (4)</v>
      </c>
      <c r="CZ51" s="757">
        <f t="shared" ca="1" si="31"/>
        <v>0</v>
      </c>
      <c r="DA51" s="758">
        <f ca="1">CX51+COUNTIFS($CY$6:$CY$53,CY51,$CZ$6:CZ$53,"&gt;"&amp;CZ51,$BC$6:$BC$53,INDEX(T_Equipos[Grupo],MATCH(BD51,T_Equipos[NombreEquipo],0)))</f>
        <v>1</v>
      </c>
      <c r="DB51" s="757" t="str">
        <f ca="1">IF(COUNTIFS($DA$6:$DA$53,DA51,$BC$6:$BC$53,INDEX(T_Equipos[Grupo],MATCH(BD51,T_Equipos[NombreEquipo],0)))=1,"-","P."&amp;DA51&amp;" ("&amp;COUNTIFS($DA$6:$DA$53,DA51,$BC$6:$BC$53,INDEX(T_Equipos[Grupo],MATCH(BD51,T_Equipos[NombreEquipo],0)))&amp;")")</f>
        <v>P.1 (4)</v>
      </c>
      <c r="DC51" s="756">
        <f ca="1">IF(DB51="-","-",COUNTIFS(T_Equipos[Rank],"&lt;"&amp;INDEX(T_Equipos[Rank],MATCH(BD51,T_Equipos[NombreEquipo],0)),$BC$6:$BC$53,INDEX(T_Equipos[Grupo],MATCH(BD51,T_Equipos[NombreEquipo],0)))+1)</f>
        <v>2</v>
      </c>
      <c r="DD51" s="756">
        <f ca="1">DA51+COUNTIFS($DB$6:$DB$53,DB51,$DC$6:DC$53,"&lt;"&amp;DC51,$BC$6:$BC$53,INDEX(T_Equipos[Grupo],MATCH(BD51,T_Equipos[NombreEquipo],0)))</f>
        <v>2</v>
      </c>
      <c r="DE51" s="756"/>
      <c r="DF51" s="756">
        <f t="shared" ca="1" si="52"/>
        <v>2</v>
      </c>
      <c r="DG51" s="756">
        <f ca="1">IF(DB51="-","-",COUNTIFS(DF$6:DF$53,"&lt;"&amp;DF51,$BC$6:$BC$53,INDEX(T_Equipos[Grupo],MATCH(BD51,T_Equipos[NombreEquipo],0))))</f>
        <v>1</v>
      </c>
      <c r="DH51" s="756">
        <f ca="1">DA51+COUNTIFS(DB$6:DB$53,DB51,DG$6:DG$53,"&lt;"&amp;DG51,$BC$6:$BC$53,INDEX(T_Equipos[Grupo],MATCH(BD51,T_Equipos[NombreEquipo],0)))</f>
        <v>2</v>
      </c>
      <c r="DI51" s="744"/>
      <c r="DJ51" s="744">
        <f t="shared" ca="1" si="53"/>
        <v>1</v>
      </c>
      <c r="DK51" s="744">
        <f t="shared" ca="1" si="24"/>
        <v>0</v>
      </c>
      <c r="DL51" s="744">
        <f t="shared" ca="1" si="33"/>
        <v>1</v>
      </c>
      <c r="DM51" s="738" t="str">
        <f t="shared" ca="1" si="34"/>
        <v>1.1</v>
      </c>
      <c r="DN51" s="744" cm="1">
        <f t="array" aca="1" ref="DN51" ca="1">OFFSET(Horarios!$P$3,DJ51-1,0,DL51,1)</f>
        <v>1</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Pendiente</v>
      </c>
      <c r="E52" s="744" t="str">
        <f t="shared" ref="E52:E57" si="156">IF(D52="Pendiente","-",INDEX($BT$6:$BT$53,MATCH($AA52,$BD$6:$BD$53,0)))</f>
        <v>-</v>
      </c>
      <c r="F52" s="744" t="str">
        <f t="shared" ref="F52:F57" si="157">IF(D52="Pendiente","-",INDEX($BT$6:$BT$53,MATCH($AF52,$BD$6:$BD$53,0)))</f>
        <v>-</v>
      </c>
      <c r="G52" s="744"/>
      <c r="H52" s="744" t="str">
        <f t="shared" ref="H52:H57" si="158">IF(D52="Pendiente","-",INDEX($BZ$6:$BZ$53,MATCH($AA52,$BD$6:$BD$53,0)))</f>
        <v>-</v>
      </c>
      <c r="I52" s="744" t="str">
        <f t="shared" ref="I52:I57" si="159">IF(D52="Pendiente","-",INDEX($BZ$6:$BZ$53,MATCH($AF52,$BD$6:$BD$53,0)))</f>
        <v>-</v>
      </c>
      <c r="J52" s="744"/>
      <c r="K52" s="744" t="str">
        <f t="shared" ref="K52:K57" si="160">IF(D52="Pendiente","-",INDEX($CE$6:$CE$53,MATCH($AA52,$BD$6:$BD$53,0)))</f>
        <v>-</v>
      </c>
      <c r="L52" s="744" t="str">
        <f t="shared" ref="L52:L57" si="161">IF(D52="Pendiente","-",INDEX($CE$6:$CE$53,MATCH($AF52,$BD$6:$BD$53,0)))</f>
        <v>-</v>
      </c>
      <c r="M52" s="744"/>
      <c r="N52" s="744" t="str">
        <f t="shared" ref="N52:N57" si="162">IF(D52="Pendiente","-",INDEX($CH$6:$CH$53,MATCH($AA52,$BD$6:$BD$53,0)))</f>
        <v>-</v>
      </c>
      <c r="O52" s="744" t="str">
        <f t="shared" ref="O52:O57" si="163">IF(D52="Pendiente","-",INDEX($CH$6:$CH$53,MATCH($AF52,$BD$6:$BD$53,0)))</f>
        <v>-</v>
      </c>
      <c r="P52" s="744"/>
      <c r="Q52" s="744" t="str">
        <f t="shared" ref="Q52:Q57" si="164">IF(D52="Pendiente","-",INDEX($CN$6:$CN$53,MATCH($AA52,$BD$6:$BD$53,0)))</f>
        <v>-</v>
      </c>
      <c r="R52" s="744" t="str">
        <f t="shared" ref="R52:R57" si="165">IF(D52="Pendiente","-",INDEX($CN$6:$CN$53,MATCH($AF52,$BD$6:$BD$53,0)))</f>
        <v>-</v>
      </c>
      <c r="S52" s="744"/>
      <c r="T52" s="744" t="str">
        <f t="shared" ref="T52:T57" si="166">IF(D52="Pendiente","-",INDEX($CS$6:$CS$53,MATCH($AA52,$BD$6:$BD$53,0)))</f>
        <v>-</v>
      </c>
      <c r="U52" s="744" t="str">
        <f t="shared" ref="U52:U57" si="167">IF(D52="Pendiente","-",INDEX($CS$6:$CS$53,MATCH($AF52,$BD$6:$BD$53,0)))</f>
        <v>-</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c r="AD52" s="194"/>
      <c r="AE52" s="483" t="e" cm="1" vm="26">
        <f t="array" aca="1" ref="AE52" ca="1">Ver_flag_visit</f>
        <v>#VALUE!</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0</v>
      </c>
      <c r="BF52" s="748">
        <f t="shared" ca="1" si="26"/>
        <v>0</v>
      </c>
      <c r="BG52" s="748">
        <f t="shared" ca="1" si="17"/>
        <v>0</v>
      </c>
      <c r="BH52" s="748">
        <f t="shared" ca="1" si="18"/>
        <v>0</v>
      </c>
      <c r="BI52" s="748">
        <f t="shared" ca="1" si="19"/>
        <v>0</v>
      </c>
      <c r="BJ52" s="748">
        <f t="shared" ca="1" si="20"/>
        <v>0</v>
      </c>
      <c r="BK52" s="748">
        <f t="shared" ca="1" si="21"/>
        <v>0</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0</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(4)</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(4)</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(4)</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(4)</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(4)</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(4)</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(4)</v>
      </c>
      <c r="CW52" s="757">
        <f t="shared" ca="1" si="30"/>
        <v>0</v>
      </c>
      <c r="CX52" s="757">
        <f ca="1">CU52+COUNTIFS($CV$6:$CV$53,CV52,$CW$6:CW$53,"&gt;"&amp;CW52,$BC$6:$BC$53,INDEX(T_Equipos[Grupo],MATCH(BD52,T_Equipos[NombreEquipo],0)))</f>
        <v>1</v>
      </c>
      <c r="CY52" s="757" t="str">
        <f ca="1">IF(COUNTIFS($CX$6:$CX$53,CX52,$BC$6:$BC$53,INDEX(T_Equipos[Grupo],MATCH(BD52,T_Equipos[NombreEquipo],0)))=1,"-","P."&amp;CX52&amp;" ("&amp;COUNTIFS($CX$6:$CX$53,CX52,$BC$6:$BC$53,INDEX(T_Equipos[Grupo],MATCH(BD52,T_Equipos[NombreEquipo],0)))&amp;")")</f>
        <v>P.1 (4)</v>
      </c>
      <c r="CZ52" s="757">
        <f t="shared" ca="1" si="31"/>
        <v>0</v>
      </c>
      <c r="DA52" s="758">
        <f ca="1">CX52+COUNTIFS($CY$6:$CY$53,CY52,$CZ$6:CZ$53,"&gt;"&amp;CZ52,$BC$6:$BC$53,INDEX(T_Equipos[Grupo],MATCH(BD52,T_Equipos[NombreEquipo],0)))</f>
        <v>1</v>
      </c>
      <c r="DB52" s="757" t="str">
        <f ca="1">IF(COUNTIFS($DA$6:$DA$53,DA52,$BC$6:$BC$53,INDEX(T_Equipos[Grupo],MATCH(BD52,T_Equipos[NombreEquipo],0)))=1,"-","P."&amp;DA52&amp;" ("&amp;COUNTIFS($DA$6:$DA$53,DA52,$BC$6:$BC$53,INDEX(T_Equipos[Grupo],MATCH(BD52,T_Equipos[NombreEquipo],0)))&amp;")")</f>
        <v>P.1 (4)</v>
      </c>
      <c r="DC52" s="756">
        <f ca="1">IF(DB52="-","-",COUNTIFS(T_Equipos[Rank],"&lt;"&amp;INDEX(T_Equipos[Rank],MATCH(BD52,T_Equipos[NombreEquipo],0)),$BC$6:$BC$53,INDEX(T_Equipos[Grupo],MATCH(BD52,T_Equipos[NombreEquipo],0)))+1)</f>
        <v>3</v>
      </c>
      <c r="DD52" s="756">
        <f ca="1">DA52+COUNTIFS($DB$6:$DB$53,DB52,$DC$6:DC$53,"&lt;"&amp;DC52,$BC$6:$BC$53,INDEX(T_Equipos[Grupo],MATCH(BD52,T_Equipos[NombreEquipo],0)))</f>
        <v>3</v>
      </c>
      <c r="DE52" s="756"/>
      <c r="DF52" s="756">
        <f t="shared" ca="1" si="52"/>
        <v>3</v>
      </c>
      <c r="DG52" s="756">
        <f ca="1">IF(DB52="-","-",COUNTIFS(DF$6:DF$53,"&lt;"&amp;DF52,$BC$6:$BC$53,INDEX(T_Equipos[Grupo],MATCH(BD52,T_Equipos[NombreEquipo],0))))</f>
        <v>2</v>
      </c>
      <c r="DH52" s="756">
        <f ca="1">DA52+COUNTIFS(DB$6:DB$53,DB52,DG$6:DG$53,"&lt;"&amp;DG52,$BC$6:$BC$53,INDEX(T_Equipos[Grupo],MATCH(BD52,T_Equipos[NombreEquipo],0)))</f>
        <v>3</v>
      </c>
      <c r="DI52" s="744"/>
      <c r="DJ52" s="744">
        <f t="shared" ca="1" si="53"/>
        <v>1</v>
      </c>
      <c r="DK52" s="744">
        <f t="shared" ca="1" si="24"/>
        <v>0</v>
      </c>
      <c r="DL52" s="744">
        <f t="shared" ca="1" si="33"/>
        <v>1</v>
      </c>
      <c r="DM52" s="738" t="str">
        <f t="shared" ca="1" si="34"/>
        <v>1.1</v>
      </c>
      <c r="DN52" s="744" cm="1">
        <f t="array" aca="1" ref="DN52" ca="1">OFFSET(Horarios!$P$3,DJ52-1,0,DL52,1)</f>
        <v>1</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Pendiente</v>
      </c>
      <c r="E53" s="744" t="str">
        <f t="shared" si="156"/>
        <v>-</v>
      </c>
      <c r="F53" s="744" t="str">
        <f t="shared" si="157"/>
        <v>-</v>
      </c>
      <c r="G53" s="744"/>
      <c r="H53" s="744" t="str">
        <f t="shared" si="158"/>
        <v>-</v>
      </c>
      <c r="I53" s="744" t="str">
        <f t="shared" si="159"/>
        <v>-</v>
      </c>
      <c r="J53" s="744"/>
      <c r="K53" s="744" t="str">
        <f t="shared" si="160"/>
        <v>-</v>
      </c>
      <c r="L53" s="744" t="str">
        <f t="shared" si="161"/>
        <v>-</v>
      </c>
      <c r="M53" s="744"/>
      <c r="N53" s="744" t="str">
        <f t="shared" si="162"/>
        <v>-</v>
      </c>
      <c r="O53" s="744" t="str">
        <f t="shared" si="163"/>
        <v>-</v>
      </c>
      <c r="P53" s="744"/>
      <c r="Q53" s="744" t="str">
        <f t="shared" si="164"/>
        <v>-</v>
      </c>
      <c r="R53" s="744" t="str">
        <f t="shared" si="165"/>
        <v>-</v>
      </c>
      <c r="S53" s="744"/>
      <c r="T53" s="744" t="str">
        <f t="shared" si="166"/>
        <v>-</v>
      </c>
      <c r="U53" s="744" t="str">
        <f t="shared" si="167"/>
        <v>-</v>
      </c>
      <c r="V53" s="172"/>
      <c r="W53" s="824"/>
      <c r="X53" s="189">
        <f ca="1">Horarios!C53</f>
        <v>46189.125</v>
      </c>
      <c r="Y53" s="190">
        <f ca="1">Horarios!C53</f>
        <v>46189.125</v>
      </c>
      <c r="Z53" s="191" t="str">
        <f>$Z$4</f>
        <v>J1</v>
      </c>
      <c r="AA53" s="192" t="str">
        <f ca="1">A55</f>
        <v>Irán</v>
      </c>
      <c r="AB53" s="478" t="e" cm="1" vm="27">
        <f t="array" aca="1" ref="AB53" ca="1">Ver_flag_local</f>
        <v>#VALUE!</v>
      </c>
      <c r="AC53" s="193"/>
      <c r="AD53" s="194"/>
      <c r="AE53" s="483" t="e" cm="1" vm="28">
        <f t="array" aca="1" ref="AE53" ca="1">Ver_flag_visit</f>
        <v>#VALUE!</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0</v>
      </c>
      <c r="BG53" s="748">
        <f t="shared" ca="1" si="17"/>
        <v>0</v>
      </c>
      <c r="BH53" s="748">
        <f t="shared" ca="1" si="18"/>
        <v>0</v>
      </c>
      <c r="BI53" s="748">
        <f t="shared" ca="1" si="19"/>
        <v>0</v>
      </c>
      <c r="BJ53" s="748">
        <f t="shared" ca="1" si="20"/>
        <v>0</v>
      </c>
      <c r="BK53" s="748">
        <f t="shared" ca="1" si="21"/>
        <v>0</v>
      </c>
      <c r="BL53" s="748">
        <f t="shared" ca="1" si="27"/>
        <v>0</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1</v>
      </c>
      <c r="BT53" s="757" t="str">
        <f ca="1">IF(COUNTIFS($BS$6:$BS$53,BS53,$BC$6:$BC$53,INDEX(T_Equipos[Grupo],MATCH(BD53,T_Equipos[NombreEquipo],0)))=1,"-","P."&amp;BS53&amp;" ("&amp;COUNTIFS($BS$6:$BS$53,BS53,$BC$6:$BC$53,INDEX(T_Equipos[Grupo],MATCH(BD53,T_Equipos[NombreEquipo],0)))&amp;")")</f>
        <v>P.1 (4)</v>
      </c>
      <c r="BU53" s="758">
        <f t="shared" ca="1" si="36"/>
        <v>0</v>
      </c>
      <c r="BV53" s="758">
        <f t="shared" ca="1" si="37"/>
        <v>0</v>
      </c>
      <c r="BW53" s="758">
        <f t="shared" ca="1" si="38"/>
        <v>0</v>
      </c>
      <c r="BX53" s="758">
        <f t="shared" ca="1" si="39"/>
        <v>0</v>
      </c>
      <c r="BY53" s="758">
        <f ca="1">BS53+COUNTIFS($BT$6:$BT$53,BT53,$BX$6:BX$53,"&gt;"&amp;BX53,$BC$6:$BC$53,INDEX(T_Equipos[Grupo],MATCH(BD53,T_Equipos[NombreEquipo],0)))</f>
        <v>1</v>
      </c>
      <c r="BZ53" s="757" t="str">
        <f ca="1">IF(COUNTIFS($BY$6:$BY$53,BY53,$BC$6:$BC$53,INDEX(T_Equipos[Grupo],MATCH(BD53,T_Equipos[NombreEquipo],0)))=1,"-","P."&amp;BY53&amp;" ("&amp;COUNTIFS($BY$6:$BY$53,BY53,$BC$6:$BC$53,INDEX(T_Equipos[Grupo],MATCH(BD53,T_Equipos[NombreEquipo],0)))&amp;")")</f>
        <v>P.1 (4)</v>
      </c>
      <c r="CA53" s="758">
        <f t="shared" ca="1" si="40"/>
        <v>0</v>
      </c>
      <c r="CB53" s="758">
        <f t="shared" ca="1" si="41"/>
        <v>0</v>
      </c>
      <c r="CC53" s="758">
        <f t="shared" ca="1" si="42"/>
        <v>0</v>
      </c>
      <c r="CD53" s="758">
        <f ca="1">BY53+COUNTIFS($BZ$6:$BZ$53,BZ53,$CC$6:CC$53,"&gt;"&amp;CC53,$BC$6:$BC$53,INDEX(T_Equipos[Grupo],MATCH(BD53,T_Equipos[NombreEquipo],0)))</f>
        <v>1</v>
      </c>
      <c r="CE53" s="757" t="str">
        <f ca="1">IF(COUNTIFS($CD$6:$CD$53,CD53,$BC$6:$BC$53,INDEX(T_Equipos[Grupo],MATCH(BD53,T_Equipos[NombreEquipo],0)))=1,"-","P."&amp;CD53&amp;" ("&amp;COUNTIFS($CD$6:$CD$53,CD53,$BC$6:$BC$53,INDEX(T_Equipos[Grupo],MATCH(BD53,T_Equipos[NombreEquipo],0)))&amp;")")</f>
        <v>P.1 (4)</v>
      </c>
      <c r="CF53" s="758">
        <f t="shared" ca="1" si="43"/>
        <v>0</v>
      </c>
      <c r="CG53" s="758">
        <f ca="1">CD53+COUNTIFS($CE$6:$CE$53,CE53,$CF$6:CF$53,"&gt;"&amp;CF53,$BC$6:$BC$53,INDEX(T_Equipos[Grupo],MATCH(BD53,T_Equipos[NombreEquipo],0)))</f>
        <v>1</v>
      </c>
      <c r="CH53" s="757" t="str">
        <f ca="1">IF(COUNTIFS($CG$6:$CG$53,CG53,$BC$6:$BC$53,INDEX(T_Equipos[Grupo],MATCH(BD53,T_Equipos[NombreEquipo],0)))=1,"-","P."&amp;CG53&amp;" ("&amp;COUNTIFS($CG$6:$CG$53,CG53,$BC$6:$BC$53,INDEX(T_Equipos[Grupo],MATCH(BD53,T_Equipos[NombreEquipo],0)))&amp;")")</f>
        <v>P.1 (4)</v>
      </c>
      <c r="CI53" s="758">
        <f t="shared" ca="1" si="44"/>
        <v>0</v>
      </c>
      <c r="CJ53" s="758">
        <f t="shared" ca="1" si="45"/>
        <v>0</v>
      </c>
      <c r="CK53" s="758">
        <f t="shared" ca="1" si="46"/>
        <v>0</v>
      </c>
      <c r="CL53" s="758">
        <f t="shared" ca="1" si="47"/>
        <v>0</v>
      </c>
      <c r="CM53" s="758">
        <f ca="1">CG53+COUNTIFS($CH$6:$CH$53,CH53,$CL$6:CL$53,"&gt;"&amp;CL53,$BC$6:$BC$53,INDEX(T_Equipos[Grupo],MATCH(BD53,T_Equipos[NombreEquipo],0)))</f>
        <v>1</v>
      </c>
      <c r="CN53" s="757" t="str">
        <f ca="1">IF(COUNTIFS($CM$6:$CM$53,CM53,$BC$6:$BC$53,INDEX(T_Equipos[Grupo],MATCH(BD53,T_Equipos[NombreEquipo],0)))=1,"-","P."&amp;CM53&amp;" ("&amp;COUNTIFS($CM$6:$CM$53,CM53,$BC$6:$BC$53,INDEX(T_Equipos[Grupo],MATCH(BD53,T_Equipos[NombreEquipo],0)))&amp;")")</f>
        <v>P.1 (4)</v>
      </c>
      <c r="CO53" s="758">
        <f t="shared" ca="1" si="48"/>
        <v>0</v>
      </c>
      <c r="CP53" s="758">
        <f t="shared" ca="1" si="49"/>
        <v>0</v>
      </c>
      <c r="CQ53" s="758">
        <f t="shared" ca="1" si="50"/>
        <v>0</v>
      </c>
      <c r="CR53" s="758">
        <f ca="1">CM53+COUNTIFS($CN$6:$CN$53,CN53,$CQ$6:CQ$53,"&gt;"&amp;CQ53,$BC$6:$BC$53,INDEX(T_Equipos[Grupo],MATCH(BD53,T_Equipos[NombreEquipo],0)))</f>
        <v>1</v>
      </c>
      <c r="CS53" s="757" t="str">
        <f ca="1">IF(COUNTIFS($CR$6:$CR$53,CR53,$BC$6:$BC$53,INDEX(T_Equipos[Grupo],MATCH(BD53,T_Equipos[NombreEquipo],0)))=1,"-","P."&amp;CR53&amp;" ("&amp;COUNTIFS($CR$6:$CR$53,CR53,$BC$6:$BC$53,INDEX(T_Equipos[Grupo],MATCH(BD53,T_Equipos[NombreEquipo],0)))&amp;")")</f>
        <v>P.1 (4)</v>
      </c>
      <c r="CT53" s="758">
        <f t="shared" ca="1" si="51"/>
        <v>0</v>
      </c>
      <c r="CU53" s="758">
        <f ca="1">CR53+COUNTIFS($CS$6:$CS$53,CS53,$CT$6:CT$53,"&gt;"&amp;CT53,$BC$6:$BC$53,INDEX(T_Equipos[Grupo],MATCH(BD53,T_Equipos[NombreEquipo],0)))</f>
        <v>1</v>
      </c>
      <c r="CV53" s="757" t="str">
        <f ca="1">IF(COUNTIFS($CU$6:$CU$53,CU53,$BC$6:$BC$53,INDEX(T_Equipos[Grupo],MATCH(BD53,T_Equipos[NombreEquipo],0)))=1,"-","P."&amp;CU53&amp;" ("&amp;COUNTIFS($CU$6:$CU$53,CU53,$BC$6:$BC$53,INDEX(T_Equipos[Grupo],MATCH(BD53,T_Equipos[NombreEquipo],0)))&amp;")")</f>
        <v>P.1 (4)</v>
      </c>
      <c r="CW53" s="757">
        <f t="shared" ca="1" si="30"/>
        <v>0</v>
      </c>
      <c r="CX53" s="757">
        <f ca="1">CU53+COUNTIFS($CV$6:$CV$53,CV53,$CW$6:CW$53,"&gt;"&amp;CW53,$BC$6:$BC$53,INDEX(T_Equipos[Grupo],MATCH(BD53,T_Equipos[NombreEquipo],0)))</f>
        <v>1</v>
      </c>
      <c r="CY53" s="757" t="str">
        <f ca="1">IF(COUNTIFS($CX$6:$CX$53,CX53,$BC$6:$BC$53,INDEX(T_Equipos[Grupo],MATCH(BD53,T_Equipos[NombreEquipo],0)))=1,"-","P."&amp;CX53&amp;" ("&amp;COUNTIFS($CX$6:$CX$53,CX53,$BC$6:$BC$53,INDEX(T_Equipos[Grupo],MATCH(BD53,T_Equipos[NombreEquipo],0)))&amp;")")</f>
        <v>P.1 (4)</v>
      </c>
      <c r="CZ53" s="757">
        <f t="shared" ca="1" si="31"/>
        <v>0</v>
      </c>
      <c r="DA53" s="758">
        <f ca="1">CX53+COUNTIFS($CY$6:$CY$53,CY53,$CZ$6:CZ$53,"&gt;"&amp;CZ53,$BC$6:$BC$53,INDEX(T_Equipos[Grupo],MATCH(BD53,T_Equipos[NombreEquipo],0)))</f>
        <v>1</v>
      </c>
      <c r="DB53" s="757" t="str">
        <f ca="1">IF(COUNTIFS($DA$6:$DA$53,DA53,$BC$6:$BC$53,INDEX(T_Equipos[Grupo],MATCH(BD53,T_Equipos[NombreEquipo],0)))=1,"-","P."&amp;DA53&amp;" ("&amp;COUNTIFS($DA$6:$DA$53,DA53,$BC$6:$BC$53,INDEX(T_Equipos[Grupo],MATCH(BD53,T_Equipos[NombreEquipo],0)))&amp;")")</f>
        <v>P.1 (4)</v>
      </c>
      <c r="DC53" s="756">
        <f ca="1">IF(DB53="-","-",COUNTIFS(T_Equipos[Rank],"&lt;"&amp;INDEX(T_Equipos[Rank],MATCH(BD53,T_Equipos[NombreEquipo],0)),$BC$6:$BC$53,INDEX(T_Equipos[Grupo],MATCH(BD53,T_Equipos[NombreEquipo],0)))+1)</f>
        <v>4</v>
      </c>
      <c r="DD53" s="756">
        <f ca="1">DA53+COUNTIFS($DB$6:$DB$53,DB53,$DC$6:DC$53,"&lt;"&amp;DC53,$BC$6:$BC$53,INDEX(T_Equipos[Grupo],MATCH(BD53,T_Equipos[NombreEquipo],0)))</f>
        <v>4</v>
      </c>
      <c r="DE53" s="756"/>
      <c r="DF53" s="756">
        <f t="shared" ca="1" si="52"/>
        <v>4</v>
      </c>
      <c r="DG53" s="756">
        <f ca="1">IF(DB53="-","-",COUNTIFS(DF$6:DF$53,"&lt;"&amp;DF53,$BC$6:$BC$53,INDEX(T_Equipos[Grupo],MATCH(BD53,T_Equipos[NombreEquipo],0))))</f>
        <v>3</v>
      </c>
      <c r="DH53" s="756">
        <f ca="1">DA53+COUNTIFS(DB$6:DB$53,DB53,DG$6:DG$53,"&lt;"&amp;DG53,$BC$6:$BC$53,INDEX(T_Equipos[Grupo],MATCH(BD53,T_Equipos[NombreEquipo],0)))</f>
        <v>4</v>
      </c>
      <c r="DI53" s="744"/>
      <c r="DJ53" s="744">
        <f t="shared" ca="1" si="53"/>
        <v>1</v>
      </c>
      <c r="DK53" s="744">
        <f t="shared" ca="1" si="24"/>
        <v>0</v>
      </c>
      <c r="DL53" s="744">
        <f t="shared" ca="1" si="33"/>
        <v>1</v>
      </c>
      <c r="DM53" s="738" t="str">
        <f t="shared" ca="1" si="34"/>
        <v>1.1</v>
      </c>
      <c r="DN53" s="744" cm="1">
        <f t="array" aca="1" ref="DN53" ca="1">OFFSET(Horarios!$P$3,DJ53-1,0,DL53,1)</f>
        <v>1</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Pendiente</v>
      </c>
      <c r="E54" s="744" t="str">
        <f t="shared" si="156"/>
        <v>-</v>
      </c>
      <c r="F54" s="744" t="str">
        <f t="shared" si="157"/>
        <v>-</v>
      </c>
      <c r="G54" s="744"/>
      <c r="H54" s="744" t="str">
        <f t="shared" si="158"/>
        <v>-</v>
      </c>
      <c r="I54" s="744" t="str">
        <f t="shared" si="159"/>
        <v>-</v>
      </c>
      <c r="J54" s="744"/>
      <c r="K54" s="744" t="str">
        <f t="shared" si="160"/>
        <v>-</v>
      </c>
      <c r="L54" s="744" t="str">
        <f t="shared" si="161"/>
        <v>-</v>
      </c>
      <c r="M54" s="744"/>
      <c r="N54" s="744" t="str">
        <f t="shared" si="162"/>
        <v>-</v>
      </c>
      <c r="O54" s="744" t="str">
        <f t="shared" si="163"/>
        <v>-</v>
      </c>
      <c r="P54" s="744"/>
      <c r="Q54" s="744" t="str">
        <f t="shared" si="164"/>
        <v>-</v>
      </c>
      <c r="R54" s="744" t="str">
        <f t="shared" si="165"/>
        <v>-</v>
      </c>
      <c r="S54" s="744"/>
      <c r="T54" s="744" t="str">
        <f t="shared" si="166"/>
        <v>-</v>
      </c>
      <c r="U54" s="744" t="str">
        <f t="shared" si="167"/>
        <v>-</v>
      </c>
      <c r="V54" s="172"/>
      <c r="W54" s="824"/>
      <c r="X54" s="189">
        <f ca="1">Horarios!C54</f>
        <v>46194.875</v>
      </c>
      <c r="Y54" s="190">
        <f ca="1">Horarios!C54</f>
        <v>46194.875</v>
      </c>
      <c r="Z54" s="191" t="str">
        <f>$Z$6</f>
        <v>J2</v>
      </c>
      <c r="AA54" s="192" t="str">
        <f ca="1">A53</f>
        <v>Bélgica</v>
      </c>
      <c r="AB54" s="478" t="e" cm="1" vm="25">
        <f t="array" aca="1" ref="AB54" ca="1">Ver_flag_local</f>
        <v>#VALUE!</v>
      </c>
      <c r="AC54" s="193"/>
      <c r="AD54" s="194"/>
      <c r="AE54" s="483" t="e" cm="1" vm="27">
        <f t="array" aca="1" ref="AE54" ca="1">Ver_flag_visit</f>
        <v>#VALUE!</v>
      </c>
      <c r="AF54" s="195" t="str">
        <f ca="1">A55</f>
        <v>Irán</v>
      </c>
      <c r="AG54" s="413">
        <f t="shared" si="168"/>
        <v>0</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Pendiente</v>
      </c>
      <c r="E55" s="744" t="str">
        <f t="shared" si="156"/>
        <v>-</v>
      </c>
      <c r="F55" s="744" t="str">
        <f t="shared" si="157"/>
        <v>-</v>
      </c>
      <c r="G55" s="744"/>
      <c r="H55" s="744" t="str">
        <f t="shared" si="158"/>
        <v>-</v>
      </c>
      <c r="I55" s="744" t="str">
        <f t="shared" si="159"/>
        <v>-</v>
      </c>
      <c r="J55" s="744"/>
      <c r="K55" s="744" t="str">
        <f t="shared" si="160"/>
        <v>-</v>
      </c>
      <c r="L55" s="744" t="str">
        <f t="shared" si="161"/>
        <v>-</v>
      </c>
      <c r="M55" s="744"/>
      <c r="N55" s="744" t="str">
        <f t="shared" si="162"/>
        <v>-</v>
      </c>
      <c r="O55" s="744" t="str">
        <f t="shared" si="163"/>
        <v>-</v>
      </c>
      <c r="P55" s="744"/>
      <c r="Q55" s="744" t="str">
        <f t="shared" si="164"/>
        <v>-</v>
      </c>
      <c r="R55" s="744" t="str">
        <f t="shared" si="165"/>
        <v>-</v>
      </c>
      <c r="S55" s="744"/>
      <c r="T55" s="744" t="str">
        <f t="shared" si="166"/>
        <v>-</v>
      </c>
      <c r="U55" s="744" t="str">
        <f t="shared" si="167"/>
        <v>-</v>
      </c>
      <c r="V55" s="172"/>
      <c r="W55" s="824"/>
      <c r="X55" s="189">
        <f ca="1">Horarios!C55</f>
        <v>46195.125</v>
      </c>
      <c r="Y55" s="190">
        <f ca="1">Horarios!C55</f>
        <v>46195.125</v>
      </c>
      <c r="Z55" s="191" t="str">
        <f>$Z$6</f>
        <v>J2</v>
      </c>
      <c r="AA55" s="192" t="str">
        <f ca="1">A56</f>
        <v>Nueva Zelanda</v>
      </c>
      <c r="AB55" s="478" t="e" cm="1" vm="28">
        <f t="array" aca="1" ref="AB55" ca="1">Ver_flag_local</f>
        <v>#VALUE!</v>
      </c>
      <c r="AC55" s="193"/>
      <c r="AD55" s="194"/>
      <c r="AE55" s="483" t="e" cm="1" vm="26">
        <f t="array" aca="1" ref="AE55" ca="1">Ver_flag_visit</f>
        <v>#VALUE!</v>
      </c>
      <c r="AF55" s="195" t="str">
        <f ca="1">A54</f>
        <v>Egipto</v>
      </c>
      <c r="AG55" s="413">
        <f t="shared" si="168"/>
        <v>0</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7">
        <f t="array" aca="1" ref="AK56" ca="1">Ver_flag_visit</f>
        <v>#VALUE!</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8">
        <f t="array" aca="1" ref="AK57" ca="1">Ver_flag_visit</f>
        <v>#VALUE!</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0</v>
      </c>
      <c r="BF58" s="748">
        <f ca="1">+BG58+BH58+BI58</f>
        <v>1</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8">
        <f ca="1">BJ58-BK58</f>
        <v>-1</v>
      </c>
      <c r="BM58" s="748">
        <f ca="1">CB58</f>
        <v>12</v>
      </c>
      <c r="BN58" s="748">
        <f ca="1">CF58</f>
        <v>12</v>
      </c>
      <c r="BO58" s="738" t="str">
        <f>"4"&amp;BC58</f>
        <v>4A</v>
      </c>
      <c r="BP58" s="738"/>
      <c r="BQ58" s="738"/>
      <c r="BR58" s="748">
        <f t="shared" ref="BR58:BR69" ca="1" si="179">+BE58</f>
        <v>0</v>
      </c>
      <c r="BS58" s="748">
        <f ca="1">COUNTIFS(BR$58:BR$69,"&gt;"&amp;BR58)+1</f>
        <v>1</v>
      </c>
      <c r="BT58" s="748" t="str">
        <f ca="1">IF(COUNTIF(BS$58:BS$69,BS58)=1,"-","Pos. "&amp;BS58&amp;" ("&amp;COUNTIF(BS$58:BS$69,BS58)&amp;")")</f>
        <v>Pos. 1 (12)</v>
      </c>
      <c r="BU58" s="748">
        <f t="shared" ref="BU58:BU69" ca="1" si="180">IF(BT58="-","-",BL58)</f>
        <v>-1</v>
      </c>
      <c r="BV58" s="748">
        <f t="shared" ref="BV58:BV69" ca="1" si="181">BS58+COUNTIFS(BT$58:BT$69,BT58,BU$58:BU$69,"&gt;"&amp;BU58)</f>
        <v>12</v>
      </c>
      <c r="BW58" s="748" t="str">
        <f t="shared" ref="BW58:BW69" ca="1" si="182">IF(COUNTIF(BV$58:BV$69,BV58)=1,"-","Pos. "&amp;BV58&amp;" ("&amp;COUNTIF(BV$58:BV$69,BV58)&amp;")")</f>
        <v>-</v>
      </c>
      <c r="BX58" s="748" t="str">
        <f t="shared" ref="BX58:BX69" ca="1" si="183">IF(BW58="-","-",BJ58)</f>
        <v>-</v>
      </c>
      <c r="BY58" s="748">
        <f t="shared" ref="BY58:BY69" ca="1" si="184">BV58+COUNTIFS(BW$58:BW$69,BW58,BX$58:BX$69,"&gt;"&amp;BX58)</f>
        <v>12</v>
      </c>
      <c r="BZ58" s="748" t="str">
        <f t="shared" ref="BZ58:BZ69" ca="1" si="185">IF(COUNTIF(BY$58:BY$69,BY58)=1,"-","Pos. "&amp;BY58&amp;" ("&amp;COUNTIF(BY$58:BY$69,BY58)&amp;")")</f>
        <v>-</v>
      </c>
      <c r="CA58" s="748" t="str">
        <f ca="1">IF(BZ58="-","-",COUNTIF($BD$58:$BD$69,"&gt;"&amp;BD58))</f>
        <v>-</v>
      </c>
      <c r="CB58" s="748">
        <f ca="1">BY58+COUNTIFS(BZ$58:BZ$69,BZ58,CA$58:CA$69,"&gt;"&amp;CA58)</f>
        <v>12</v>
      </c>
      <c r="CC58" s="748"/>
      <c r="CD58" s="748">
        <f ca="1">IF(OR(INDEX($AW$102:$AW$113,MATCH($BD58,$AV$102:$AV$113,0))="",BZ58="-"),CB58,INDEX($AW$102:$AW$113,MATCH($BD58,$AV$102:$AV$113,0))+CB58/1000)</f>
        <v>12</v>
      </c>
      <c r="CE58" s="748" t="str">
        <f ca="1">IF(BZ58="-","-",COUNTIF(CD$58:CD$69,"&lt;"&amp;CD58))</f>
        <v>-</v>
      </c>
      <c r="CF58" s="748">
        <f ca="1">BY58+COUNTIFS(BZ$58:BZ$69,BZ58,CE$58:CE$69,"&lt;"&amp;CE58)</f>
        <v>12</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Arabia Saudita</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Catar</v>
      </c>
      <c r="BE59" s="748">
        <f t="shared" ref="BE59:BE69" ca="1" si="189">CHOOSE($BB$57,
  (BG59*3 + BH59)+IF($AZ$3="No",0,INDEX($AZ$6:$AZ$97,MATCH(BD59,$AY$6:$AY$97,0))),
  (BG59*3 + BH59)+IF($AZ$3="No",0,INDEX($AZ$6:$AZ$97,MATCH(BD59,$AY$6:$AY$97,0))),
  IFERROR((BG59*3 + BH59+IF($AZ$3="No",0,INDEX($AZ$6:$AZ$97,MATCH(BD59,$AY$6:$AY$97,0)))) / BF59, 0)
)</f>
        <v>0</v>
      </c>
      <c r="BF59" s="748">
        <f t="shared" ref="BF59:BF69" ca="1" si="190">+BG59+BH59+BI59</f>
        <v>0</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0</v>
      </c>
      <c r="BI59" s="748">
        <f t="shared" ca="1" si="176"/>
        <v>0</v>
      </c>
      <c r="BJ59" s="748">
        <f t="shared" ca="1" si="177"/>
        <v>0</v>
      </c>
      <c r="BK59" s="748">
        <f t="shared" ca="1" si="178"/>
        <v>0</v>
      </c>
      <c r="BL59" s="748">
        <f t="shared" ref="BL59:BL69" ca="1" si="193">BJ59-BK59</f>
        <v>0</v>
      </c>
      <c r="BM59" s="748">
        <f t="shared" ref="BM59:BM69" ca="1" si="194">CB59</f>
        <v>4</v>
      </c>
      <c r="BN59" s="748">
        <f t="shared" ref="BN59:BN69" ca="1" si="195">CF59</f>
        <v>4</v>
      </c>
      <c r="BO59" s="738" t="str">
        <f t="shared" ref="BO59:BO69" si="196">"4"&amp;BC59</f>
        <v>4B</v>
      </c>
      <c r="BP59" s="738"/>
      <c r="BQ59" s="738"/>
      <c r="BR59" s="748">
        <f t="shared" ca="1" si="179"/>
        <v>0</v>
      </c>
      <c r="BS59" s="748">
        <f t="shared" ref="BS59:BS69" ca="1" si="197">COUNTIFS(BR$58:BR$69,"&gt;"&amp;BR59)+1</f>
        <v>1</v>
      </c>
      <c r="BT59" s="748" t="str">
        <f t="shared" ref="BT59:BT69" ca="1" si="198">IF(COUNTIF(BS$58:BS$69,BS59)=1,"-","Pos. "&amp;BS59&amp;" ("&amp;COUNTIF(BS$58:BS$69,BS59)&amp;")")</f>
        <v>Pos. 1 (12)</v>
      </c>
      <c r="BU59" s="748">
        <f t="shared" ca="1" si="180"/>
        <v>0</v>
      </c>
      <c r="BV59" s="748">
        <f t="shared" ca="1" si="181"/>
        <v>1</v>
      </c>
      <c r="BW59" s="748" t="str">
        <f t="shared" ca="1" si="182"/>
        <v>Pos. 1 (11)</v>
      </c>
      <c r="BX59" s="748">
        <f t="shared" ca="1" si="183"/>
        <v>0</v>
      </c>
      <c r="BY59" s="748">
        <f t="shared" ca="1" si="184"/>
        <v>1</v>
      </c>
      <c r="BZ59" s="748" t="str">
        <f t="shared" ca="1" si="185"/>
        <v>Pos. 1 (11)</v>
      </c>
      <c r="CA59" s="748">
        <f t="shared" ref="CA59:CA69" ca="1" si="199">IF(BZ59="-","-",COUNTIF($BD$58:$BD$69,"&gt;"&amp;BD59))</f>
        <v>8</v>
      </c>
      <c r="CB59" s="748">
        <f t="shared" ref="CB59:CB68" ca="1" si="200">BY59+COUNTIFS(BZ$58:BZ$69,BZ59,CA$58:CA$69,"&gt;"&amp;CA59)</f>
        <v>4</v>
      </c>
      <c r="CC59" s="748"/>
      <c r="CD59" s="748">
        <f t="shared" ref="CD59:CD69" ca="1" si="201">IF(OR(INDEX($AW$102:$AW$113,MATCH($BD59,$AV$102:$AV$113,0))="",BZ59="-"),CB59,INDEX($AW$102:$AW$113,MATCH($BD59,$AV$102:$AV$113,0))+CB59/1000)</f>
        <v>4</v>
      </c>
      <c r="CE59" s="748">
        <f t="shared" ref="CE59:CE69" ca="1" si="202">IF(BZ59="-","-",COUNTIF(CD$58:CD$69,"&lt;"&amp;CD59))</f>
        <v>3</v>
      </c>
      <c r="CF59" s="748">
        <f t="shared" ref="CF59:CF69" ca="1" si="203">BY59+COUNTIFS(BZ$58:BZ$69,BZ59,CE$58:CE$69,"&lt;"&amp;CE59)</f>
        <v>4</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1</v>
      </c>
      <c r="DK59" s="744"/>
      <c r="DL59" s="744">
        <f t="shared" ref="DL59:DL69" ca="1" si="204">IF(OR($H$113=144,$AJ$99=144),COUNTIF($DJ$58:$DJ$69,DJ59),1)</f>
        <v>1</v>
      </c>
      <c r="DM59" s="738" t="str">
        <f t="shared" ca="1" si="187"/>
        <v>1.1</v>
      </c>
      <c r="DN59" s="744" cm="1">
        <f t="array" aca="1" ref="DN59" ca="1">OFFSET(Horarios!$P$3,DJ59-1,0,DL59,1)</f>
        <v>1</v>
      </c>
      <c r="DO59" s="744"/>
      <c r="DP59" s="744">
        <v>2</v>
      </c>
      <c r="DQ59" s="744" t="str">
        <f t="shared" ref="DQ59:DQ69" ca="1" si="205">INDEX($BD$58:$BD$69,MATCH(DP59,$BM$58:$BM$69,0))</f>
        <v>Australia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Pendiente</v>
      </c>
      <c r="E60" s="744" t="str">
        <f t="shared" ref="E60:E65" si="207">IF(D60="Pendiente","-",INDEX($BT$6:$BT$53,MATCH($AA60,$BD$6:$BD$53,0)))</f>
        <v>-</v>
      </c>
      <c r="F60" s="744" t="str">
        <f t="shared" ref="F60:F65" si="208">IF(D60="Pendiente","-",INDEX($BT$6:$BT$53,MATCH($AF60,$BD$6:$BD$53,0)))</f>
        <v>-</v>
      </c>
      <c r="G60" s="744"/>
      <c r="H60" s="744" t="str">
        <f t="shared" ref="H60:H65" si="209">IF(D60="Pendiente","-",INDEX($BZ$6:$BZ$53,MATCH($AA60,$BD$6:$BD$53,0)))</f>
        <v>-</v>
      </c>
      <c r="I60" s="744" t="str">
        <f t="shared" ref="I60:I65" si="210">IF(D60="Pendiente","-",INDEX($BZ$6:$BZ$53,MATCH($AF60,$BD$6:$BD$53,0)))</f>
        <v>-</v>
      </c>
      <c r="J60" s="744"/>
      <c r="K60" s="744" t="str">
        <f t="shared" ref="K60:K65" si="211">IF(D60="Pendiente","-",INDEX($CE$6:$CE$53,MATCH($AA60,$BD$6:$BD$53,0)))</f>
        <v>-</v>
      </c>
      <c r="L60" s="744" t="str">
        <f t="shared" ref="L60:L65" si="212">IF(D60="Pendiente","-",INDEX($CE$6:$CE$53,MATCH($AF60,$BD$6:$BD$53,0)))</f>
        <v>-</v>
      </c>
      <c r="M60" s="744"/>
      <c r="N60" s="744" t="str">
        <f t="shared" ref="N60:N65" si="213">IF(D60="Pendiente","-",INDEX($CH$6:$CH$53,MATCH($AA60,$BD$6:$BD$53,0)))</f>
        <v>-</v>
      </c>
      <c r="O60" s="744" t="str">
        <f t="shared" ref="O60:O65" si="214">IF(D60="Pendiente","-",INDEX($CH$6:$CH$53,MATCH($AF60,$BD$6:$BD$53,0)))</f>
        <v>-</v>
      </c>
      <c r="P60" s="744"/>
      <c r="Q60" s="744" t="str">
        <f t="shared" ref="Q60:Q65" si="215">IF(D60="Pendiente","-",INDEX($CN$6:$CN$53,MATCH($AA60,$BD$6:$BD$53,0)))</f>
        <v>-</v>
      </c>
      <c r="R60" s="744" t="str">
        <f t="shared" ref="R60:R65" si="216">IF(D60="Pendiente","-",INDEX($CN$6:$CN$53,MATCH($AF60,$BD$6:$BD$53,0)))</f>
        <v>-</v>
      </c>
      <c r="S60" s="744"/>
      <c r="T60" s="744" t="str">
        <f t="shared" ref="T60:T65" si="217">IF(D60="Pendiente","-",INDEX($CS$6:$CS$53,MATCH($AA60,$BD$6:$BD$53,0)))</f>
        <v>-</v>
      </c>
      <c r="U60" s="744" t="str">
        <f t="shared" ref="U60:U65" si="218">IF(D60="Pendiente","-",INDEX($CS$6:$CS$53,MATCH($AF60,$BD$6:$BD$53,0)))</f>
        <v>-</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c r="AD60" s="194"/>
      <c r="AE60" s="483" t="e" cm="1" vm="30">
        <f t="array" aca="1" ref="AE60" ca="1">Ver_flag_visit</f>
        <v>#VALUE!</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Haití</v>
      </c>
      <c r="BE60" s="748">
        <f t="shared" ca="1" si="189"/>
        <v>0</v>
      </c>
      <c r="BF60" s="748">
        <f t="shared" ca="1" si="190"/>
        <v>0</v>
      </c>
      <c r="BG60" s="748">
        <f t="shared" ca="1" si="191"/>
        <v>0</v>
      </c>
      <c r="BH60" s="748">
        <f t="shared" ca="1" si="192"/>
        <v>0</v>
      </c>
      <c r="BI60" s="748">
        <f t="shared" ca="1" si="176"/>
        <v>0</v>
      </c>
      <c r="BJ60" s="748">
        <f t="shared" ca="1" si="177"/>
        <v>0</v>
      </c>
      <c r="BK60" s="748">
        <f t="shared" ca="1" si="178"/>
        <v>0</v>
      </c>
      <c r="BL60" s="748">
        <f t="shared" ca="1" si="193"/>
        <v>0</v>
      </c>
      <c r="BM60" s="748">
        <f t="shared" ca="1" si="194"/>
        <v>7</v>
      </c>
      <c r="BN60" s="748">
        <f t="shared" ca="1" si="195"/>
        <v>7</v>
      </c>
      <c r="BO60" s="738" t="str">
        <f t="shared" si="196"/>
        <v>4C</v>
      </c>
      <c r="BP60" s="738"/>
      <c r="BQ60" s="738"/>
      <c r="BR60" s="748">
        <f t="shared" ca="1" si="179"/>
        <v>0</v>
      </c>
      <c r="BS60" s="748">
        <f t="shared" ca="1" si="197"/>
        <v>1</v>
      </c>
      <c r="BT60" s="748" t="str">
        <f t="shared" ca="1" si="198"/>
        <v>Pos. 1 (12)</v>
      </c>
      <c r="BU60" s="748">
        <f t="shared" ca="1" si="180"/>
        <v>0</v>
      </c>
      <c r="BV60" s="748">
        <f t="shared" ca="1" si="181"/>
        <v>1</v>
      </c>
      <c r="BW60" s="748" t="str">
        <f t="shared" ca="1" si="182"/>
        <v>Pos. 1 (11)</v>
      </c>
      <c r="BX60" s="748">
        <f t="shared" ca="1" si="183"/>
        <v>0</v>
      </c>
      <c r="BY60" s="748">
        <f t="shared" ca="1" si="184"/>
        <v>1</v>
      </c>
      <c r="BZ60" s="748" t="str">
        <f t="shared" ca="1" si="185"/>
        <v>Pos. 1 (11)</v>
      </c>
      <c r="CA60" s="748">
        <f t="shared" ca="1" si="199"/>
        <v>5</v>
      </c>
      <c r="CB60" s="748">
        <f t="shared" ca="1" si="200"/>
        <v>7</v>
      </c>
      <c r="CC60" s="748"/>
      <c r="CD60" s="748">
        <f t="shared" ca="1" si="201"/>
        <v>7</v>
      </c>
      <c r="CE60" s="748">
        <f t="shared" ca="1" si="202"/>
        <v>6</v>
      </c>
      <c r="CF60" s="748">
        <f t="shared" ca="1" si="203"/>
        <v>7</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1</v>
      </c>
      <c r="DK60" s="744"/>
      <c r="DL60" s="744">
        <f t="shared" ca="1" si="204"/>
        <v>1</v>
      </c>
      <c r="DM60" s="738" t="str">
        <f t="shared" ca="1" si="187"/>
        <v>1.1</v>
      </c>
      <c r="DN60" s="744" cm="1">
        <f t="array" aca="1" ref="DN60" ca="1">OFFSET(Horarios!$P$3,DJ60-1,0,DL60,1)</f>
        <v>1</v>
      </c>
      <c r="DO60" s="744"/>
      <c r="DP60" s="744">
        <v>3</v>
      </c>
      <c r="DQ60" s="744" t="str">
        <f t="shared" ca="1" si="205"/>
        <v>Austria</v>
      </c>
      <c r="DR60" s="744"/>
      <c r="DS60" s="744"/>
      <c r="DT60" s="744" t="str">
        <f t="shared" ca="1" si="15"/>
        <v>España-Cabo Verde</v>
      </c>
      <c r="DU60" s="744"/>
      <c r="DV60" s="744"/>
      <c r="DW60" s="8"/>
    </row>
    <row r="61" spans="1:127">
      <c r="A61" s="745" t="str">
        <f ca="1">+Equipos!B30</f>
        <v>España</v>
      </c>
      <c r="B61" s="742"/>
      <c r="C61" s="742"/>
      <c r="D61" s="744" t="str">
        <f t="shared" si="206"/>
        <v>Pendiente</v>
      </c>
      <c r="E61" s="744" t="str">
        <f t="shared" si="207"/>
        <v>-</v>
      </c>
      <c r="F61" s="744" t="str">
        <f t="shared" si="208"/>
        <v>-</v>
      </c>
      <c r="G61" s="744"/>
      <c r="H61" s="744" t="str">
        <f t="shared" si="209"/>
        <v>-</v>
      </c>
      <c r="I61" s="744" t="str">
        <f t="shared" si="210"/>
        <v>-</v>
      </c>
      <c r="J61" s="744"/>
      <c r="K61" s="744" t="str">
        <f t="shared" si="211"/>
        <v>-</v>
      </c>
      <c r="L61" s="744" t="str">
        <f t="shared" si="212"/>
        <v>-</v>
      </c>
      <c r="M61" s="744"/>
      <c r="N61" s="744" t="str">
        <f t="shared" si="213"/>
        <v>-</v>
      </c>
      <c r="O61" s="744" t="str">
        <f t="shared" si="214"/>
        <v>-</v>
      </c>
      <c r="P61" s="744"/>
      <c r="Q61" s="744" t="str">
        <f t="shared" si="215"/>
        <v>-</v>
      </c>
      <c r="R61" s="744" t="str">
        <f t="shared" si="216"/>
        <v>-</v>
      </c>
      <c r="S61" s="744"/>
      <c r="T61" s="744" t="str">
        <f t="shared" si="217"/>
        <v>-</v>
      </c>
      <c r="U61" s="744" t="str">
        <f t="shared" si="218"/>
        <v>-</v>
      </c>
      <c r="V61" s="172"/>
      <c r="W61" s="806"/>
      <c r="X61" s="189">
        <f ca="1">Horarios!C61</f>
        <v>46189</v>
      </c>
      <c r="Y61" s="190">
        <f ca="1">Horarios!C61</f>
        <v>46189</v>
      </c>
      <c r="Z61" s="191" t="str">
        <f>$Z$4</f>
        <v>J1</v>
      </c>
      <c r="AA61" s="192" t="str">
        <f ca="1">A63</f>
        <v>Arabia Saudita</v>
      </c>
      <c r="AB61" s="478" t="e" cm="1" vm="31">
        <f t="array" aca="1" ref="AB61" ca="1">Ver_flag_local</f>
        <v>#VALUE!</v>
      </c>
      <c r="AC61" s="193"/>
      <c r="AD61" s="194"/>
      <c r="AE61" s="483" t="e" cm="1" vm="32">
        <f t="array" aca="1" ref="AE61" ca="1">Ver_flag_visit</f>
        <v>#VALUE!</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Australia</v>
      </c>
      <c r="BE61" s="748">
        <f t="shared" ca="1" si="189"/>
        <v>0</v>
      </c>
      <c r="BF61" s="748">
        <f t="shared" ca="1" si="190"/>
        <v>0</v>
      </c>
      <c r="BG61" s="748">
        <f t="shared" ca="1" si="191"/>
        <v>0</v>
      </c>
      <c r="BH61" s="748">
        <f t="shared" ca="1" si="192"/>
        <v>0</v>
      </c>
      <c r="BI61" s="748">
        <f t="shared" ca="1" si="176"/>
        <v>0</v>
      </c>
      <c r="BJ61" s="748">
        <f t="shared" ca="1" si="177"/>
        <v>0</v>
      </c>
      <c r="BK61" s="748">
        <f t="shared" ca="1" si="178"/>
        <v>0</v>
      </c>
      <c r="BL61" s="748">
        <f t="shared" ca="1" si="193"/>
        <v>0</v>
      </c>
      <c r="BM61" s="748">
        <f t="shared" ca="1" si="194"/>
        <v>2</v>
      </c>
      <c r="BN61" s="748">
        <f t="shared" ca="1" si="195"/>
        <v>2</v>
      </c>
      <c r="BO61" s="738" t="str">
        <f t="shared" si="196"/>
        <v>4D</v>
      </c>
      <c r="BP61" s="738"/>
      <c r="BQ61" s="738"/>
      <c r="BR61" s="748">
        <f t="shared" ca="1" si="179"/>
        <v>0</v>
      </c>
      <c r="BS61" s="748">
        <f t="shared" ca="1" si="197"/>
        <v>1</v>
      </c>
      <c r="BT61" s="748" t="str">
        <f t="shared" ca="1" si="198"/>
        <v>Pos. 1 (12)</v>
      </c>
      <c r="BU61" s="748">
        <f t="shared" ca="1" si="180"/>
        <v>0</v>
      </c>
      <c r="BV61" s="748">
        <f t="shared" ca="1" si="181"/>
        <v>1</v>
      </c>
      <c r="BW61" s="748" t="str">
        <f t="shared" ca="1" si="182"/>
        <v>Pos. 1 (11)</v>
      </c>
      <c r="BX61" s="748">
        <f t="shared" ca="1" si="183"/>
        <v>0</v>
      </c>
      <c r="BY61" s="748">
        <f t="shared" ca="1" si="184"/>
        <v>1</v>
      </c>
      <c r="BZ61" s="748" t="str">
        <f t="shared" ca="1" si="185"/>
        <v>Pos. 1 (11)</v>
      </c>
      <c r="CA61" s="748">
        <f t="shared" ca="1" si="199"/>
        <v>10</v>
      </c>
      <c r="CB61" s="748">
        <f t="shared" ca="1" si="200"/>
        <v>2</v>
      </c>
      <c r="CC61" s="748"/>
      <c r="CD61" s="748">
        <f t="shared" ca="1" si="201"/>
        <v>2</v>
      </c>
      <c r="CE61" s="748">
        <f t="shared" ca="1" si="202"/>
        <v>1</v>
      </c>
      <c r="CF61" s="748">
        <f t="shared" ca="1" si="203"/>
        <v>2</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1</v>
      </c>
      <c r="DK61" s="744"/>
      <c r="DL61" s="744">
        <f t="shared" ca="1" si="204"/>
        <v>1</v>
      </c>
      <c r="DM61" s="738" t="str">
        <f t="shared" ca="1" si="187"/>
        <v>1.1</v>
      </c>
      <c r="DN61" s="744" cm="1">
        <f t="array" aca="1" ref="DN61" ca="1">OFFSET(Horarios!$P$3,DJ61-1,0,DL61,1)</f>
        <v>1</v>
      </c>
      <c r="DO61" s="744"/>
      <c r="DP61" s="744">
        <v>4</v>
      </c>
      <c r="DQ61" s="744" t="str">
        <f t="shared" ca="1" si="205"/>
        <v>Catar</v>
      </c>
      <c r="DR61" s="744"/>
      <c r="DS61" s="744"/>
      <c r="DT61" s="744" t="str">
        <f t="shared" ca="1" si="15"/>
        <v>Arabia Saudita-Uruguay</v>
      </c>
      <c r="DU61" s="744"/>
      <c r="DV61" s="744"/>
      <c r="DW61" s="8"/>
    </row>
    <row r="62" spans="1:127">
      <c r="A62" s="745" t="str">
        <f ca="1">+Equipos!B31</f>
        <v>Cabo Verde</v>
      </c>
      <c r="B62" s="742"/>
      <c r="C62" s="746"/>
      <c r="D62" s="744" t="str">
        <f t="shared" si="206"/>
        <v>Pendiente</v>
      </c>
      <c r="E62" s="744" t="str">
        <f t="shared" si="207"/>
        <v>-</v>
      </c>
      <c r="F62" s="744" t="str">
        <f t="shared" si="208"/>
        <v>-</v>
      </c>
      <c r="G62" s="744"/>
      <c r="H62" s="744" t="str">
        <f t="shared" si="209"/>
        <v>-</v>
      </c>
      <c r="I62" s="744" t="str">
        <f t="shared" si="210"/>
        <v>-</v>
      </c>
      <c r="J62" s="744"/>
      <c r="K62" s="744" t="str">
        <f t="shared" si="211"/>
        <v>-</v>
      </c>
      <c r="L62" s="744" t="str">
        <f t="shared" si="212"/>
        <v>-</v>
      </c>
      <c r="M62" s="744"/>
      <c r="N62" s="744" t="str">
        <f t="shared" si="213"/>
        <v>-</v>
      </c>
      <c r="O62" s="744" t="str">
        <f t="shared" si="214"/>
        <v>-</v>
      </c>
      <c r="P62" s="744"/>
      <c r="Q62" s="744" t="str">
        <f t="shared" si="215"/>
        <v>-</v>
      </c>
      <c r="R62" s="744" t="str">
        <f t="shared" si="216"/>
        <v>-</v>
      </c>
      <c r="S62" s="744"/>
      <c r="T62" s="744" t="str">
        <f t="shared" si="217"/>
        <v>-</v>
      </c>
      <c r="U62" s="744" t="str">
        <f t="shared" si="218"/>
        <v>-</v>
      </c>
      <c r="V62" s="172"/>
      <c r="W62" s="806"/>
      <c r="X62" s="189">
        <f ca="1">Horarios!C62</f>
        <v>46194.75</v>
      </c>
      <c r="Y62" s="190">
        <f ca="1">Horarios!C62</f>
        <v>46194.75</v>
      </c>
      <c r="Z62" s="191" t="str">
        <f>$Z$6</f>
        <v>J2</v>
      </c>
      <c r="AA62" s="192" t="str">
        <f ca="1">A61</f>
        <v>España</v>
      </c>
      <c r="AB62" s="478" t="e" cm="1" vm="29">
        <f t="array" aca="1" ref="AB62" ca="1">Ver_flag_local</f>
        <v>#VALUE!</v>
      </c>
      <c r="AC62" s="193"/>
      <c r="AD62" s="194"/>
      <c r="AE62" s="483" t="e" cm="1" vm="31">
        <f t="array" aca="1" ref="AE62" ca="1">Ver_flag_visit</f>
        <v>#VALUE!</v>
      </c>
      <c r="AF62" s="195" t="str">
        <f ca="1">A63</f>
        <v>Arabia Saudita</v>
      </c>
      <c r="AG62" s="413">
        <f t="shared" si="219"/>
        <v>0</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Costa de Marfil</v>
      </c>
      <c r="BE62" s="748">
        <f t="shared" ca="1" si="189"/>
        <v>0</v>
      </c>
      <c r="BF62" s="748">
        <f t="shared" ca="1" si="190"/>
        <v>0</v>
      </c>
      <c r="BG62" s="748">
        <f t="shared" ca="1" si="191"/>
        <v>0</v>
      </c>
      <c r="BH62" s="748">
        <f t="shared" ca="1" si="192"/>
        <v>0</v>
      </c>
      <c r="BI62" s="748">
        <f t="shared" ca="1" si="176"/>
        <v>0</v>
      </c>
      <c r="BJ62" s="748">
        <f t="shared" ca="1" si="177"/>
        <v>0</v>
      </c>
      <c r="BK62" s="748">
        <f t="shared" ca="1" si="178"/>
        <v>0</v>
      </c>
      <c r="BL62" s="748">
        <f t="shared" ca="1" si="193"/>
        <v>0</v>
      </c>
      <c r="BM62" s="748">
        <f t="shared" ca="1" si="194"/>
        <v>5</v>
      </c>
      <c r="BN62" s="748">
        <f t="shared" ca="1" si="195"/>
        <v>5</v>
      </c>
      <c r="BO62" s="738" t="str">
        <f t="shared" si="196"/>
        <v>4E</v>
      </c>
      <c r="BP62" s="738"/>
      <c r="BQ62" s="738"/>
      <c r="BR62" s="748">
        <f t="shared" ca="1" si="179"/>
        <v>0</v>
      </c>
      <c r="BS62" s="748">
        <f t="shared" ca="1" si="197"/>
        <v>1</v>
      </c>
      <c r="BT62" s="748" t="str">
        <f t="shared" ca="1" si="198"/>
        <v>Pos. 1 (12)</v>
      </c>
      <c r="BU62" s="748">
        <f t="shared" ca="1" si="180"/>
        <v>0</v>
      </c>
      <c r="BV62" s="748">
        <f t="shared" ca="1" si="181"/>
        <v>1</v>
      </c>
      <c r="BW62" s="748" t="str">
        <f t="shared" ca="1" si="182"/>
        <v>Pos. 1 (11)</v>
      </c>
      <c r="BX62" s="748">
        <f t="shared" ca="1" si="183"/>
        <v>0</v>
      </c>
      <c r="BY62" s="748">
        <f t="shared" ca="1" si="184"/>
        <v>1</v>
      </c>
      <c r="BZ62" s="748" t="str">
        <f t="shared" ca="1" si="185"/>
        <v>Pos. 1 (11)</v>
      </c>
      <c r="CA62" s="748">
        <f t="shared" ca="1" si="199"/>
        <v>7</v>
      </c>
      <c r="CB62" s="748">
        <f t="shared" ca="1" si="200"/>
        <v>5</v>
      </c>
      <c r="CC62" s="748"/>
      <c r="CD62" s="748">
        <f t="shared" ca="1" si="201"/>
        <v>5</v>
      </c>
      <c r="CE62" s="748">
        <f t="shared" ca="1" si="202"/>
        <v>4</v>
      </c>
      <c r="CF62" s="748">
        <f t="shared" ca="1" si="203"/>
        <v>5</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1</v>
      </c>
      <c r="DK62" s="744"/>
      <c r="DL62" s="744">
        <f t="shared" ca="1" si="204"/>
        <v>1</v>
      </c>
      <c r="DM62" s="738" t="str">
        <f t="shared" ca="1" si="187"/>
        <v>1.1</v>
      </c>
      <c r="DN62" s="744" cm="1">
        <f t="array" aca="1" ref="DN62" ca="1">OFFSET(Horarios!$P$3,DJ62-1,0,DL62,1)</f>
        <v>1</v>
      </c>
      <c r="DO62" s="744"/>
      <c r="DP62" s="744">
        <v>5</v>
      </c>
      <c r="DQ62" s="744" t="str">
        <f t="shared" ca="1" si="205"/>
        <v>Costa de Marfil</v>
      </c>
      <c r="DR62" s="744"/>
      <c r="DS62" s="744"/>
      <c r="DT62" s="744" t="str">
        <f t="shared" ca="1" si="15"/>
        <v>España-Arabia Saudita</v>
      </c>
      <c r="DU62" s="744"/>
      <c r="DV62" s="744"/>
      <c r="DW62" s="8"/>
    </row>
    <row r="63" spans="1:127">
      <c r="A63" s="745" t="str">
        <f ca="1">+Equipos!B32</f>
        <v>Arabia Saudita</v>
      </c>
      <c r="B63" s="742"/>
      <c r="C63" s="744"/>
      <c r="D63" s="744" t="str">
        <f t="shared" si="206"/>
        <v>Pendiente</v>
      </c>
      <c r="E63" s="744" t="str">
        <f t="shared" si="207"/>
        <v>-</v>
      </c>
      <c r="F63" s="744" t="str">
        <f t="shared" si="208"/>
        <v>-</v>
      </c>
      <c r="G63" s="744"/>
      <c r="H63" s="744" t="str">
        <f t="shared" si="209"/>
        <v>-</v>
      </c>
      <c r="I63" s="744" t="str">
        <f t="shared" si="210"/>
        <v>-</v>
      </c>
      <c r="J63" s="744"/>
      <c r="K63" s="744" t="str">
        <f t="shared" si="211"/>
        <v>-</v>
      </c>
      <c r="L63" s="744" t="str">
        <f t="shared" si="212"/>
        <v>-</v>
      </c>
      <c r="M63" s="744"/>
      <c r="N63" s="744" t="str">
        <f t="shared" si="213"/>
        <v>-</v>
      </c>
      <c r="O63" s="744" t="str">
        <f t="shared" si="214"/>
        <v>-</v>
      </c>
      <c r="P63" s="744"/>
      <c r="Q63" s="744" t="str">
        <f t="shared" si="215"/>
        <v>-</v>
      </c>
      <c r="R63" s="744" t="str">
        <f t="shared" si="216"/>
        <v>-</v>
      </c>
      <c r="S63" s="744"/>
      <c r="T63" s="744" t="str">
        <f t="shared" si="217"/>
        <v>-</v>
      </c>
      <c r="U63" s="744" t="str">
        <f t="shared" si="218"/>
        <v>-</v>
      </c>
      <c r="V63" s="172"/>
      <c r="W63" s="806"/>
      <c r="X63" s="189">
        <f ca="1">Horarios!C63</f>
        <v>46195</v>
      </c>
      <c r="Y63" s="190">
        <f ca="1">Horarios!C63</f>
        <v>46195</v>
      </c>
      <c r="Z63" s="191" t="str">
        <f>$Z$6</f>
        <v>J2</v>
      </c>
      <c r="AA63" s="192" t="str">
        <f ca="1">A64</f>
        <v>Uruguay</v>
      </c>
      <c r="AB63" s="478" t="e" cm="1" vm="32">
        <f t="array" aca="1" ref="AB63" ca="1">Ver_flag_local</f>
        <v>#VALUE!</v>
      </c>
      <c r="AC63" s="193"/>
      <c r="AD63" s="194"/>
      <c r="AE63" s="483" t="e" cm="1" vm="30">
        <f t="array" aca="1" ref="AE63" ca="1">Ver_flag_visit</f>
        <v>#VALUE!</v>
      </c>
      <c r="AF63" s="195" t="str">
        <f ca="1">A62</f>
        <v>Cabo Verde</v>
      </c>
      <c r="AG63" s="413">
        <f t="shared" si="219"/>
        <v>0</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0</v>
      </c>
      <c r="BF63" s="748">
        <f t="shared" ca="1" si="190"/>
        <v>0</v>
      </c>
      <c r="BG63" s="748">
        <f t="shared" ca="1" si="191"/>
        <v>0</v>
      </c>
      <c r="BH63" s="748">
        <f t="shared" ca="1" si="192"/>
        <v>0</v>
      </c>
      <c r="BI63" s="748">
        <f t="shared" ca="1" si="176"/>
        <v>0</v>
      </c>
      <c r="BJ63" s="748">
        <f t="shared" ca="1" si="177"/>
        <v>0</v>
      </c>
      <c r="BK63" s="748">
        <f t="shared" ca="1" si="178"/>
        <v>0</v>
      </c>
      <c r="BL63" s="748">
        <f t="shared" ca="1" si="193"/>
        <v>0</v>
      </c>
      <c r="BM63" s="748">
        <f t="shared" ca="1" si="194"/>
        <v>10</v>
      </c>
      <c r="BN63" s="748">
        <f t="shared" ca="1" si="195"/>
        <v>10</v>
      </c>
      <c r="BO63" s="738" t="str">
        <f t="shared" si="196"/>
        <v>4F</v>
      </c>
      <c r="BP63" s="738"/>
      <c r="BQ63" s="738"/>
      <c r="BR63" s="748">
        <f t="shared" ca="1" si="179"/>
        <v>0</v>
      </c>
      <c r="BS63" s="748">
        <f t="shared" ca="1" si="197"/>
        <v>1</v>
      </c>
      <c r="BT63" s="748" t="str">
        <f t="shared" ca="1" si="198"/>
        <v>Pos. 1 (12)</v>
      </c>
      <c r="BU63" s="748">
        <f t="shared" ca="1" si="180"/>
        <v>0</v>
      </c>
      <c r="BV63" s="748">
        <f t="shared" ca="1" si="181"/>
        <v>1</v>
      </c>
      <c r="BW63" s="748" t="str">
        <f t="shared" ca="1" si="182"/>
        <v>Pos. 1 (11)</v>
      </c>
      <c r="BX63" s="748">
        <f t="shared" ca="1" si="183"/>
        <v>0</v>
      </c>
      <c r="BY63" s="748">
        <f t="shared" ca="1" si="184"/>
        <v>1</v>
      </c>
      <c r="BZ63" s="748" t="str">
        <f t="shared" ca="1" si="185"/>
        <v>Pos. 1 (11)</v>
      </c>
      <c r="CA63" s="748">
        <f t="shared" ca="1" si="199"/>
        <v>1</v>
      </c>
      <c r="CB63" s="748">
        <f t="shared" ca="1" si="200"/>
        <v>10</v>
      </c>
      <c r="CC63" s="748"/>
      <c r="CD63" s="748">
        <f t="shared" ca="1" si="201"/>
        <v>10</v>
      </c>
      <c r="CE63" s="748">
        <f t="shared" ca="1" si="202"/>
        <v>9</v>
      </c>
      <c r="CF63" s="748">
        <f t="shared" ca="1" si="203"/>
        <v>10</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1</v>
      </c>
      <c r="DK63" s="744"/>
      <c r="DL63" s="744">
        <f t="shared" ca="1" si="204"/>
        <v>1</v>
      </c>
      <c r="DM63" s="738" t="str">
        <f t="shared" ca="1" si="187"/>
        <v>1.1</v>
      </c>
      <c r="DN63" s="744" cm="1">
        <f t="array" aca="1" ref="DN63" ca="1">OFFSET(Horarios!$P$3,DJ63-1,0,DL63,1)</f>
        <v>1</v>
      </c>
      <c r="DO63" s="744"/>
      <c r="DP63" s="744">
        <v>6</v>
      </c>
      <c r="DQ63" s="744" t="str">
        <f t="shared" ca="1" si="205"/>
        <v>Ghana</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31">
        <f t="array" aca="1" ref="AK64" ca="1">Ver_flag_visit</f>
        <v>#VALUE!</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9" t="str">
        <f t="shared" si="188"/>
        <v>3G</v>
      </c>
      <c r="BC64" s="756" t="s">
        <v>6</v>
      </c>
      <c r="BD64" s="744" t="str">
        <f t="shared" ca="1" si="175"/>
        <v>Irán</v>
      </c>
      <c r="BE64" s="748">
        <f t="shared" ca="1" si="189"/>
        <v>0</v>
      </c>
      <c r="BF64" s="748">
        <f t="shared" ca="1" si="190"/>
        <v>0</v>
      </c>
      <c r="BG64" s="748">
        <f t="shared" ca="1" si="191"/>
        <v>0</v>
      </c>
      <c r="BH64" s="748">
        <f t="shared" ca="1" si="192"/>
        <v>0</v>
      </c>
      <c r="BI64" s="748">
        <f t="shared" ca="1" si="176"/>
        <v>0</v>
      </c>
      <c r="BJ64" s="748">
        <f t="shared" ca="1" si="177"/>
        <v>0</v>
      </c>
      <c r="BK64" s="748">
        <f t="shared" ca="1" si="178"/>
        <v>0</v>
      </c>
      <c r="BL64" s="748">
        <f t="shared" ca="1" si="193"/>
        <v>0</v>
      </c>
      <c r="BM64" s="748">
        <f t="shared" ca="1" si="194"/>
        <v>9</v>
      </c>
      <c r="BN64" s="748">
        <f t="shared" ca="1" si="195"/>
        <v>9</v>
      </c>
      <c r="BO64" s="738" t="str">
        <f t="shared" si="196"/>
        <v>4G</v>
      </c>
      <c r="BP64" s="738"/>
      <c r="BQ64" s="738"/>
      <c r="BR64" s="748">
        <f t="shared" ca="1" si="179"/>
        <v>0</v>
      </c>
      <c r="BS64" s="748">
        <f t="shared" ca="1" si="197"/>
        <v>1</v>
      </c>
      <c r="BT64" s="748" t="str">
        <f t="shared" ca="1" si="198"/>
        <v>Pos. 1 (12)</v>
      </c>
      <c r="BU64" s="748">
        <f t="shared" ca="1" si="180"/>
        <v>0</v>
      </c>
      <c r="BV64" s="748">
        <f t="shared" ca="1" si="181"/>
        <v>1</v>
      </c>
      <c r="BW64" s="748" t="str">
        <f t="shared" ca="1" si="182"/>
        <v>Pos. 1 (11)</v>
      </c>
      <c r="BX64" s="748">
        <f t="shared" ca="1" si="183"/>
        <v>0</v>
      </c>
      <c r="BY64" s="748">
        <f t="shared" ca="1" si="184"/>
        <v>1</v>
      </c>
      <c r="BZ64" s="748" t="str">
        <f t="shared" ca="1" si="185"/>
        <v>Pos. 1 (11)</v>
      </c>
      <c r="CA64" s="748">
        <f t="shared" ca="1" si="199"/>
        <v>3</v>
      </c>
      <c r="CB64" s="748">
        <f t="shared" ca="1" si="200"/>
        <v>9</v>
      </c>
      <c r="CC64" s="748"/>
      <c r="CD64" s="748">
        <f t="shared" ca="1" si="201"/>
        <v>9</v>
      </c>
      <c r="CE64" s="748">
        <f t="shared" ca="1" si="202"/>
        <v>8</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1</v>
      </c>
      <c r="DK64" s="744"/>
      <c r="DL64" s="744">
        <f t="shared" ca="1" si="204"/>
        <v>1</v>
      </c>
      <c r="DM64" s="738" t="str">
        <f t="shared" ca="1" si="187"/>
        <v>1.1</v>
      </c>
      <c r="DN64" s="744" cm="1">
        <f t="array" aca="1" ref="DN64" ca="1">OFFSET(Horarios!$P$3,DJ64-1,0,DL64,1)</f>
        <v>1</v>
      </c>
      <c r="DO64" s="744"/>
      <c r="DP64" s="744">
        <v>7</v>
      </c>
      <c r="DQ64" s="744" t="str">
        <f t="shared" ca="1" si="205"/>
        <v>Haití</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07"/>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2">
        <f t="array" aca="1" ref="AK65" ca="1">Ver_flag_visit</f>
        <v>#VALUE!</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9" t="str">
        <f t="shared" si="188"/>
        <v>3H</v>
      </c>
      <c r="BC65" s="756" t="s">
        <v>437</v>
      </c>
      <c r="BD65" s="744" t="str">
        <f t="shared" ca="1" si="175"/>
        <v>Arabia Saudita</v>
      </c>
      <c r="BE65" s="748">
        <f t="shared" ca="1" si="189"/>
        <v>0</v>
      </c>
      <c r="BF65" s="748">
        <f t="shared" ca="1" si="190"/>
        <v>0</v>
      </c>
      <c r="BG65" s="748">
        <f t="shared" ca="1" si="191"/>
        <v>0</v>
      </c>
      <c r="BH65" s="748">
        <f t="shared" ca="1" si="192"/>
        <v>0</v>
      </c>
      <c r="BI65" s="748">
        <f t="shared" ca="1" si="176"/>
        <v>0</v>
      </c>
      <c r="BJ65" s="748">
        <f t="shared" ca="1" si="177"/>
        <v>0</v>
      </c>
      <c r="BK65" s="748">
        <f t="shared" ca="1" si="178"/>
        <v>0</v>
      </c>
      <c r="BL65" s="748">
        <f t="shared" ca="1" si="193"/>
        <v>0</v>
      </c>
      <c r="BM65" s="748">
        <f t="shared" ca="1" si="194"/>
        <v>1</v>
      </c>
      <c r="BN65" s="748">
        <f t="shared" ca="1" si="195"/>
        <v>1</v>
      </c>
      <c r="BO65" s="738" t="str">
        <f t="shared" si="196"/>
        <v>4H</v>
      </c>
      <c r="BP65" s="738"/>
      <c r="BQ65" s="738"/>
      <c r="BR65" s="748">
        <f t="shared" ca="1" si="179"/>
        <v>0</v>
      </c>
      <c r="BS65" s="748">
        <f t="shared" ca="1" si="197"/>
        <v>1</v>
      </c>
      <c r="BT65" s="748" t="str">
        <f t="shared" ca="1" si="198"/>
        <v>Pos. 1 (12)</v>
      </c>
      <c r="BU65" s="748">
        <f t="shared" ca="1" si="180"/>
        <v>0</v>
      </c>
      <c r="BV65" s="748">
        <f t="shared" ca="1" si="181"/>
        <v>1</v>
      </c>
      <c r="BW65" s="748" t="str">
        <f t="shared" ca="1" si="182"/>
        <v>Pos. 1 (11)</v>
      </c>
      <c r="BX65" s="748">
        <f t="shared" ca="1" si="183"/>
        <v>0</v>
      </c>
      <c r="BY65" s="748">
        <f t="shared" ca="1" si="184"/>
        <v>1</v>
      </c>
      <c r="BZ65" s="748" t="str">
        <f t="shared" ca="1" si="185"/>
        <v>Pos. 1 (11)</v>
      </c>
      <c r="CA65" s="748">
        <f t="shared" ca="1" si="199"/>
        <v>11</v>
      </c>
      <c r="CB65" s="748">
        <f t="shared" ca="1" si="200"/>
        <v>1</v>
      </c>
      <c r="CC65" s="748"/>
      <c r="CD65" s="748">
        <f t="shared" ca="1" si="201"/>
        <v>1</v>
      </c>
      <c r="CE65" s="748">
        <f t="shared" ca="1" si="202"/>
        <v>0</v>
      </c>
      <c r="CF65" s="748">
        <f t="shared" ca="1" si="203"/>
        <v>1</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1</v>
      </c>
      <c r="DK65" s="744"/>
      <c r="DL65" s="744">
        <f t="shared" ca="1" si="204"/>
        <v>1</v>
      </c>
      <c r="DM65" s="738" t="str">
        <f t="shared" ca="1" si="187"/>
        <v>1.1</v>
      </c>
      <c r="DN65" s="744" cm="1">
        <f t="array" aca="1" ref="DN65" ca="1">OFFSET(Horarios!$P$3,DJ65-1,0,DL65,1)</f>
        <v>1</v>
      </c>
      <c r="DO65" s="744"/>
      <c r="DP65" s="744">
        <v>8</v>
      </c>
      <c r="DQ65" s="744" t="str">
        <f t="shared" ca="1" si="205"/>
        <v>Irak</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Irak</v>
      </c>
      <c r="BE66" s="748">
        <f t="shared" ca="1" si="189"/>
        <v>0</v>
      </c>
      <c r="BF66" s="748">
        <f t="shared" ca="1" si="190"/>
        <v>0</v>
      </c>
      <c r="BG66" s="748">
        <f t="shared" ca="1" si="191"/>
        <v>0</v>
      </c>
      <c r="BH66" s="748">
        <f t="shared" ca="1" si="192"/>
        <v>0</v>
      </c>
      <c r="BI66" s="748">
        <f t="shared" ca="1" si="176"/>
        <v>0</v>
      </c>
      <c r="BJ66" s="748">
        <f t="shared" ca="1" si="177"/>
        <v>0</v>
      </c>
      <c r="BK66" s="748">
        <f t="shared" ca="1" si="178"/>
        <v>0</v>
      </c>
      <c r="BL66" s="748">
        <f t="shared" ca="1" si="193"/>
        <v>0</v>
      </c>
      <c r="BM66" s="748">
        <f t="shared" ca="1" si="194"/>
        <v>8</v>
      </c>
      <c r="BN66" s="748">
        <f t="shared" ca="1" si="195"/>
        <v>8</v>
      </c>
      <c r="BO66" s="738" t="str">
        <f t="shared" si="196"/>
        <v>4I</v>
      </c>
      <c r="BP66" s="738"/>
      <c r="BQ66" s="738"/>
      <c r="BR66" s="748">
        <f t="shared" ca="1" si="179"/>
        <v>0</v>
      </c>
      <c r="BS66" s="748">
        <f t="shared" ca="1" si="197"/>
        <v>1</v>
      </c>
      <c r="BT66" s="748" t="str">
        <f t="shared" ca="1" si="198"/>
        <v>Pos. 1 (12)</v>
      </c>
      <c r="BU66" s="748">
        <f t="shared" ca="1" si="180"/>
        <v>0</v>
      </c>
      <c r="BV66" s="748">
        <f t="shared" ca="1" si="181"/>
        <v>1</v>
      </c>
      <c r="BW66" s="748" t="str">
        <f t="shared" ca="1" si="182"/>
        <v>Pos. 1 (11)</v>
      </c>
      <c r="BX66" s="748">
        <f t="shared" ca="1" si="183"/>
        <v>0</v>
      </c>
      <c r="BY66" s="748">
        <f t="shared" ca="1" si="184"/>
        <v>1</v>
      </c>
      <c r="BZ66" s="748" t="str">
        <f t="shared" ca="1" si="185"/>
        <v>Pos. 1 (11)</v>
      </c>
      <c r="CA66" s="748">
        <f t="shared" ca="1" si="199"/>
        <v>4</v>
      </c>
      <c r="CB66" s="748">
        <f t="shared" ca="1" si="200"/>
        <v>8</v>
      </c>
      <c r="CC66" s="748"/>
      <c r="CD66" s="748">
        <f t="shared" ca="1" si="201"/>
        <v>8</v>
      </c>
      <c r="CE66" s="748">
        <f t="shared" ca="1" si="202"/>
        <v>7</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1</v>
      </c>
      <c r="DK66" s="744"/>
      <c r="DL66" s="744">
        <f t="shared" ca="1" si="204"/>
        <v>1</v>
      </c>
      <c r="DM66" s="738" t="str">
        <f t="shared" ca="1" si="187"/>
        <v>1.1</v>
      </c>
      <c r="DN66" s="744" cm="1">
        <f t="array" aca="1" ref="DN66" ca="1">OFFSET(Horarios!$P$3,DJ66-1,0,DL66,1)</f>
        <v>1</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Austria</v>
      </c>
      <c r="BE67" s="748">
        <f t="shared" ca="1" si="189"/>
        <v>0</v>
      </c>
      <c r="BF67" s="748">
        <f t="shared" ca="1" si="190"/>
        <v>0</v>
      </c>
      <c r="BG67" s="748">
        <f t="shared" ca="1" si="191"/>
        <v>0</v>
      </c>
      <c r="BH67" s="748">
        <f t="shared" ca="1" si="192"/>
        <v>0</v>
      </c>
      <c r="BI67" s="748">
        <f t="shared" ca="1" si="176"/>
        <v>0</v>
      </c>
      <c r="BJ67" s="748">
        <f t="shared" ca="1" si="177"/>
        <v>0</v>
      </c>
      <c r="BK67" s="748">
        <f t="shared" ca="1" si="178"/>
        <v>0</v>
      </c>
      <c r="BL67" s="748">
        <f t="shared" ca="1" si="193"/>
        <v>0</v>
      </c>
      <c r="BM67" s="748">
        <f t="shared" ca="1" si="194"/>
        <v>3</v>
      </c>
      <c r="BN67" s="748">
        <f t="shared" ca="1" si="195"/>
        <v>3</v>
      </c>
      <c r="BO67" s="738" t="str">
        <f t="shared" si="196"/>
        <v>4J</v>
      </c>
      <c r="BP67" s="738"/>
      <c r="BQ67" s="738"/>
      <c r="BR67" s="748">
        <f t="shared" ca="1" si="179"/>
        <v>0</v>
      </c>
      <c r="BS67" s="748">
        <f t="shared" ca="1" si="197"/>
        <v>1</v>
      </c>
      <c r="BT67" s="748" t="str">
        <f t="shared" ca="1" si="198"/>
        <v>Pos. 1 (12)</v>
      </c>
      <c r="BU67" s="748">
        <f t="shared" ca="1" si="180"/>
        <v>0</v>
      </c>
      <c r="BV67" s="748">
        <f t="shared" ca="1" si="181"/>
        <v>1</v>
      </c>
      <c r="BW67" s="748" t="str">
        <f t="shared" ca="1" si="182"/>
        <v>Pos. 1 (11)</v>
      </c>
      <c r="BX67" s="748">
        <f t="shared" ca="1" si="183"/>
        <v>0</v>
      </c>
      <c r="BY67" s="748">
        <f t="shared" ca="1" si="184"/>
        <v>1</v>
      </c>
      <c r="BZ67" s="748" t="str">
        <f t="shared" ca="1" si="185"/>
        <v>Pos. 1 (11)</v>
      </c>
      <c r="CA67" s="748">
        <f t="shared" ca="1" si="199"/>
        <v>9</v>
      </c>
      <c r="CB67" s="748">
        <f t="shared" ca="1" si="200"/>
        <v>3</v>
      </c>
      <c r="CC67" s="748"/>
      <c r="CD67" s="748">
        <f t="shared" ca="1" si="201"/>
        <v>3</v>
      </c>
      <c r="CE67" s="748">
        <f t="shared" ca="1" si="202"/>
        <v>2</v>
      </c>
      <c r="CF67" s="748">
        <f t="shared" ca="1" si="203"/>
        <v>3</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v>
      </c>
      <c r="DK67" s="744"/>
      <c r="DL67" s="744">
        <f t="shared" ca="1" si="204"/>
        <v>1</v>
      </c>
      <c r="DM67" s="738" t="str">
        <f t="shared" ca="1" si="187"/>
        <v>1.1</v>
      </c>
      <c r="DN67" s="744" cm="1">
        <f t="array" aca="1" ref="DN67" ca="1">OFFSET(Horarios!$P$3,DJ67-1,0,DL67,1)</f>
        <v>1</v>
      </c>
      <c r="DO67" s="744"/>
      <c r="DP67" s="744">
        <v>10</v>
      </c>
      <c r="DQ67" s="744" t="str">
        <f t="shared" ca="1" si="205"/>
        <v>Suecia</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Pendiente</v>
      </c>
      <c r="E68" s="744" t="str">
        <f t="shared" ref="E68:E73" si="226">IF(D68="Pendiente","-",INDEX($BT$6:$BT$53,MATCH($AA68,$BD$6:$BD$53,0)))</f>
        <v>-</v>
      </c>
      <c r="F68" s="744" t="str">
        <f t="shared" ref="F68:F73" si="227">IF(D68="Pendiente","-",INDEX($BT$6:$BT$53,MATCH($AF68,$BD$6:$BD$53,0)))</f>
        <v>-</v>
      </c>
      <c r="G68" s="744"/>
      <c r="H68" s="744" t="str">
        <f t="shared" ref="H68:H73" si="228">IF(D68="Pendiente","-",INDEX($BZ$6:$BZ$53,MATCH($AA68,$BD$6:$BD$53,0)))</f>
        <v>-</v>
      </c>
      <c r="I68" s="744" t="str">
        <f t="shared" ref="I68:I73" si="229">IF(D68="Pendiente","-",INDEX($BZ$6:$BZ$53,MATCH($AF68,$BD$6:$BD$53,0)))</f>
        <v>-</v>
      </c>
      <c r="J68" s="744"/>
      <c r="K68" s="744" t="str">
        <f t="shared" ref="K68:K73" si="230">IF(D68="Pendiente","-",INDEX($CE$6:$CE$53,MATCH($AA68,$BD$6:$BD$53,0)))</f>
        <v>-</v>
      </c>
      <c r="L68" s="744" t="str">
        <f t="shared" ref="L68:L73" si="231">IF(D68="Pendiente","-",INDEX($CE$6:$CE$53,MATCH($AF68,$BD$6:$BD$53,0)))</f>
        <v>-</v>
      </c>
      <c r="M68" s="744"/>
      <c r="N68" s="744" t="str">
        <f t="shared" ref="N68:N73" si="232">IF(D68="Pendiente","-",INDEX($CH$6:$CH$53,MATCH($AA68,$BD$6:$BD$53,0)))</f>
        <v>-</v>
      </c>
      <c r="O68" s="744" t="str">
        <f t="shared" ref="O68:O73" si="233">IF(D68="Pendiente","-",INDEX($CH$6:$CH$53,MATCH($AF68,$BD$6:$BD$53,0)))</f>
        <v>-</v>
      </c>
      <c r="P68" s="744"/>
      <c r="Q68" s="744" t="str">
        <f t="shared" ref="Q68:Q73" si="234">IF(D68="Pendiente","-",INDEX($CN$6:$CN$53,MATCH($AA68,$BD$6:$BD$53,0)))</f>
        <v>-</v>
      </c>
      <c r="R68" s="744" t="str">
        <f t="shared" ref="R68:R73" si="235">IF(D68="Pendiente","-",INDEX($CN$6:$CN$53,MATCH($AF68,$BD$6:$BD$53,0)))</f>
        <v>-</v>
      </c>
      <c r="S68" s="744"/>
      <c r="T68" s="744" t="str">
        <f t="shared" ref="T68:T73" si="236">IF(D68="Pendiente","-",INDEX($CS$6:$CS$53,MATCH($AA68,$BD$6:$BD$53,0)))</f>
        <v>-</v>
      </c>
      <c r="U68" s="744" t="str">
        <f t="shared" ref="U68:U73" si="237">IF(D68="Pendiente","-",INDEX($CS$6:$CS$53,MATCH($AF68,$BD$6:$BD$53,0)))</f>
        <v>-</v>
      </c>
      <c r="V68" s="172"/>
      <c r="W68" s="812" t="s">
        <v>438</v>
      </c>
      <c r="X68" s="189">
        <f ca="1">Horarios!C68</f>
        <v>46189.875</v>
      </c>
      <c r="Y68" s="190">
        <f ca="1">Horarios!C68</f>
        <v>46189.875</v>
      </c>
      <c r="Z68" s="191" t="str">
        <f>$Z$4</f>
        <v>J1</v>
      </c>
      <c r="AA68" s="192" t="str">
        <f ca="1">A69</f>
        <v>Francia</v>
      </c>
      <c r="AB68" s="478" t="e" cm="1" vm="33">
        <f t="array" aca="1" ref="AB68" ca="1">Ver_flag_local</f>
        <v>#VALUE!</v>
      </c>
      <c r="AC68" s="193"/>
      <c r="AD68" s="194"/>
      <c r="AE68" s="483" t="e" cm="1" vm="34">
        <f t="array" aca="1" ref="AE68" ca="1">Ver_flag_visit</f>
        <v>#VALUE!</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Uzbekistán</v>
      </c>
      <c r="BE68" s="748">
        <f t="shared" ca="1" si="189"/>
        <v>0</v>
      </c>
      <c r="BF68" s="748">
        <f t="shared" ca="1" si="190"/>
        <v>0</v>
      </c>
      <c r="BG68" s="748">
        <f t="shared" ca="1" si="191"/>
        <v>0</v>
      </c>
      <c r="BH68" s="748">
        <f t="shared" ca="1" si="192"/>
        <v>0</v>
      </c>
      <c r="BI68" s="748">
        <f t="shared" ca="1" si="176"/>
        <v>0</v>
      </c>
      <c r="BJ68" s="748">
        <f t="shared" ca="1" si="177"/>
        <v>0</v>
      </c>
      <c r="BK68" s="748">
        <f t="shared" ca="1" si="178"/>
        <v>0</v>
      </c>
      <c r="BL68" s="748">
        <f t="shared" ca="1" si="193"/>
        <v>0</v>
      </c>
      <c r="BM68" s="748">
        <f t="shared" ca="1" si="194"/>
        <v>11</v>
      </c>
      <c r="BN68" s="748">
        <f t="shared" ca="1" si="195"/>
        <v>11</v>
      </c>
      <c r="BO68" s="738" t="str">
        <f t="shared" si="196"/>
        <v>4K</v>
      </c>
      <c r="BP68" s="738"/>
      <c r="BQ68" s="738"/>
      <c r="BR68" s="748">
        <f t="shared" ca="1" si="179"/>
        <v>0</v>
      </c>
      <c r="BS68" s="748">
        <f t="shared" ca="1" si="197"/>
        <v>1</v>
      </c>
      <c r="BT68" s="748" t="str">
        <f t="shared" ca="1" si="198"/>
        <v>Pos. 1 (12)</v>
      </c>
      <c r="BU68" s="748">
        <f t="shared" ca="1" si="180"/>
        <v>0</v>
      </c>
      <c r="BV68" s="748">
        <f t="shared" ca="1" si="181"/>
        <v>1</v>
      </c>
      <c r="BW68" s="748" t="str">
        <f t="shared" ca="1" si="182"/>
        <v>Pos. 1 (11)</v>
      </c>
      <c r="BX68" s="748">
        <f t="shared" ca="1" si="183"/>
        <v>0</v>
      </c>
      <c r="BY68" s="748">
        <f t="shared" ca="1" si="184"/>
        <v>1</v>
      </c>
      <c r="BZ68" s="748" t="str">
        <f t="shared" ca="1" si="185"/>
        <v>Pos. 1 (11)</v>
      </c>
      <c r="CA68" s="748">
        <f t="shared" ca="1" si="199"/>
        <v>0</v>
      </c>
      <c r="CB68" s="748">
        <f t="shared" ca="1" si="200"/>
        <v>11</v>
      </c>
      <c r="CC68" s="748"/>
      <c r="CD68" s="748">
        <f t="shared" ca="1" si="201"/>
        <v>11</v>
      </c>
      <c r="CE68" s="748">
        <f t="shared" ca="1" si="202"/>
        <v>10</v>
      </c>
      <c r="CF68" s="748">
        <f t="shared" ca="1" si="203"/>
        <v>11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v>
      </c>
      <c r="DK68" s="744"/>
      <c r="DL68" s="744">
        <f t="shared" ca="1" si="204"/>
        <v>1</v>
      </c>
      <c r="DM68" s="738" t="str">
        <f t="shared" ca="1" si="187"/>
        <v>1.1</v>
      </c>
      <c r="DN68" s="744" cm="1">
        <f t="array" aca="1" ref="DN68" ca="1">OFFSET(Horarios!$P$3,DJ68-1,0,DL68,1)</f>
        <v>1</v>
      </c>
      <c r="DO68" s="744"/>
      <c r="DP68" s="744">
        <v>11</v>
      </c>
      <c r="DQ68" s="744" t="str">
        <f t="shared" ca="1" si="205"/>
        <v>Uzbekistán</v>
      </c>
      <c r="DR68" s="744"/>
      <c r="DS68" s="744"/>
      <c r="DT68" s="744" t="str">
        <f t="shared" ca="1" si="15"/>
        <v>Francia-Senegal</v>
      </c>
      <c r="DU68" s="744"/>
      <c r="DV68" s="744"/>
      <c r="DW68" s="8"/>
    </row>
    <row r="69" spans="1:127" ht="16.05" customHeight="1">
      <c r="A69" s="745" t="str">
        <f ca="1">+Equipos!B34</f>
        <v>Francia</v>
      </c>
      <c r="B69" s="742"/>
      <c r="C69" s="742"/>
      <c r="D69" s="744" t="str">
        <f t="shared" si="225"/>
        <v>Pendiente</v>
      </c>
      <c r="E69" s="744" t="str">
        <f t="shared" si="226"/>
        <v>-</v>
      </c>
      <c r="F69" s="744" t="str">
        <f t="shared" si="227"/>
        <v>-</v>
      </c>
      <c r="G69" s="744"/>
      <c r="H69" s="744" t="str">
        <f t="shared" si="228"/>
        <v>-</v>
      </c>
      <c r="I69" s="744" t="str">
        <f t="shared" si="229"/>
        <v>-</v>
      </c>
      <c r="J69" s="744"/>
      <c r="K69" s="744" t="str">
        <f t="shared" si="230"/>
        <v>-</v>
      </c>
      <c r="L69" s="744" t="str">
        <f t="shared" si="231"/>
        <v>-</v>
      </c>
      <c r="M69" s="744"/>
      <c r="N69" s="744" t="str">
        <f t="shared" si="232"/>
        <v>-</v>
      </c>
      <c r="O69" s="744" t="str">
        <f t="shared" si="233"/>
        <v>-</v>
      </c>
      <c r="P69" s="744"/>
      <c r="Q69" s="744" t="str">
        <f t="shared" si="234"/>
        <v>-</v>
      </c>
      <c r="R69" s="744" t="str">
        <f t="shared" si="235"/>
        <v>-</v>
      </c>
      <c r="S69" s="744"/>
      <c r="T69" s="744" t="str">
        <f t="shared" si="236"/>
        <v>-</v>
      </c>
      <c r="U69" s="744" t="str">
        <f t="shared" si="237"/>
        <v>-</v>
      </c>
      <c r="V69" s="172"/>
      <c r="W69" s="812"/>
      <c r="X69" s="189">
        <f ca="1">Horarios!C69</f>
        <v>46190</v>
      </c>
      <c r="Y69" s="190">
        <f ca="1">Horarios!C69</f>
        <v>46190</v>
      </c>
      <c r="Z69" s="191" t="str">
        <f>$Z$4</f>
        <v>J1</v>
      </c>
      <c r="AA69" s="192" t="str">
        <f ca="1">A71</f>
        <v>Irak</v>
      </c>
      <c r="AB69" s="478" t="e" cm="1" vm="35">
        <f t="array" aca="1" ref="AB69" ca="1">Ver_flag_local</f>
        <v>#VALUE!</v>
      </c>
      <c r="AC69" s="193"/>
      <c r="AD69" s="194"/>
      <c r="AE69" s="483" t="e" cm="1" vm="36">
        <f t="array" aca="1" ref="AE69" ca="1">Ver_flag_visit</f>
        <v>#VALUE!</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0</v>
      </c>
      <c r="BF69" s="748">
        <f t="shared" ca="1" si="190"/>
        <v>0</v>
      </c>
      <c r="BG69" s="748">
        <f t="shared" ca="1" si="191"/>
        <v>0</v>
      </c>
      <c r="BH69" s="748">
        <f t="shared" ca="1" si="192"/>
        <v>0</v>
      </c>
      <c r="BI69" s="748">
        <f t="shared" ca="1" si="176"/>
        <v>0</v>
      </c>
      <c r="BJ69" s="748">
        <f t="shared" ca="1" si="177"/>
        <v>0</v>
      </c>
      <c r="BK69" s="748">
        <f t="shared" ca="1" si="178"/>
        <v>0</v>
      </c>
      <c r="BL69" s="748">
        <f t="shared" ca="1" si="193"/>
        <v>0</v>
      </c>
      <c r="BM69" s="748">
        <f t="shared" ca="1" si="194"/>
        <v>6</v>
      </c>
      <c r="BN69" s="748">
        <f t="shared" ca="1" si="195"/>
        <v>6</v>
      </c>
      <c r="BO69" s="738" t="str">
        <f t="shared" si="196"/>
        <v>4L</v>
      </c>
      <c r="BP69" s="738"/>
      <c r="BQ69" s="738"/>
      <c r="BR69" s="748">
        <f t="shared" ca="1" si="179"/>
        <v>0</v>
      </c>
      <c r="BS69" s="748">
        <f t="shared" ca="1" si="197"/>
        <v>1</v>
      </c>
      <c r="BT69" s="748" t="str">
        <f t="shared" ca="1" si="198"/>
        <v>Pos. 1 (12)</v>
      </c>
      <c r="BU69" s="748">
        <f t="shared" ca="1" si="180"/>
        <v>0</v>
      </c>
      <c r="BV69" s="748">
        <f t="shared" ca="1" si="181"/>
        <v>1</v>
      </c>
      <c r="BW69" s="748" t="str">
        <f t="shared" ca="1" si="182"/>
        <v>Pos. 1 (11)</v>
      </c>
      <c r="BX69" s="748">
        <f t="shared" ca="1" si="183"/>
        <v>0</v>
      </c>
      <c r="BY69" s="748">
        <f t="shared" ca="1" si="184"/>
        <v>1</v>
      </c>
      <c r="BZ69" s="748" t="str">
        <f t="shared" ca="1" si="185"/>
        <v>Pos. 1 (11)</v>
      </c>
      <c r="CA69" s="748">
        <f t="shared" ca="1" si="199"/>
        <v>6</v>
      </c>
      <c r="CB69" s="748">
        <f ca="1">BY69+COUNTIFS(BZ$58:BZ$69,BZ69,CA$58:CA$69,"&gt;"&amp;CA69)</f>
        <v>6</v>
      </c>
      <c r="CC69" s="748"/>
      <c r="CD69" s="748">
        <f t="shared" ca="1" si="201"/>
        <v>6</v>
      </c>
      <c r="CE69" s="748">
        <f t="shared" ca="1" si="202"/>
        <v>5</v>
      </c>
      <c r="CF69" s="748">
        <f t="shared" ca="1" si="203"/>
        <v>6</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República Checa</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Pendiente</v>
      </c>
      <c r="E70" s="744" t="str">
        <f t="shared" si="226"/>
        <v>-</v>
      </c>
      <c r="F70" s="744" t="str">
        <f t="shared" si="227"/>
        <v>-</v>
      </c>
      <c r="G70" s="744"/>
      <c r="H70" s="744" t="str">
        <f t="shared" si="228"/>
        <v>-</v>
      </c>
      <c r="I70" s="744" t="str">
        <f t="shared" si="229"/>
        <v>-</v>
      </c>
      <c r="J70" s="744"/>
      <c r="K70" s="744" t="str">
        <f t="shared" si="230"/>
        <v>-</v>
      </c>
      <c r="L70" s="744" t="str">
        <f t="shared" si="231"/>
        <v>-</v>
      </c>
      <c r="M70" s="744"/>
      <c r="N70" s="744" t="str">
        <f t="shared" si="232"/>
        <v>-</v>
      </c>
      <c r="O70" s="744" t="str">
        <f t="shared" si="233"/>
        <v>-</v>
      </c>
      <c r="P70" s="744"/>
      <c r="Q70" s="744" t="str">
        <f t="shared" si="234"/>
        <v>-</v>
      </c>
      <c r="R70" s="744" t="str">
        <f t="shared" si="235"/>
        <v>-</v>
      </c>
      <c r="S70" s="744"/>
      <c r="T70" s="744" t="str">
        <f t="shared" si="236"/>
        <v>-</v>
      </c>
      <c r="U70" s="744" t="str">
        <f t="shared" si="237"/>
        <v>-</v>
      </c>
      <c r="V70" s="172"/>
      <c r="W70" s="812"/>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Pendiente</v>
      </c>
      <c r="E71" s="744" t="str">
        <f t="shared" si="226"/>
        <v>-</v>
      </c>
      <c r="F71" s="744" t="str">
        <f t="shared" si="227"/>
        <v>-</v>
      </c>
      <c r="G71" s="744"/>
      <c r="H71" s="744" t="str">
        <f t="shared" si="228"/>
        <v>-</v>
      </c>
      <c r="I71" s="744" t="str">
        <f t="shared" si="229"/>
        <v>-</v>
      </c>
      <c r="J71" s="744"/>
      <c r="K71" s="744" t="str">
        <f t="shared" si="230"/>
        <v>-</v>
      </c>
      <c r="L71" s="744" t="str">
        <f t="shared" si="231"/>
        <v>-</v>
      </c>
      <c r="M71" s="744"/>
      <c r="N71" s="744" t="str">
        <f t="shared" si="232"/>
        <v>-</v>
      </c>
      <c r="O71" s="744" t="str">
        <f t="shared" si="233"/>
        <v>-</v>
      </c>
      <c r="P71" s="744"/>
      <c r="Q71" s="744" t="str">
        <f t="shared" si="234"/>
        <v>-</v>
      </c>
      <c r="R71" s="744" t="str">
        <f t="shared" si="235"/>
        <v>-</v>
      </c>
      <c r="S71" s="744"/>
      <c r="T71" s="744" t="str">
        <f t="shared" si="236"/>
        <v>-</v>
      </c>
      <c r="U71" s="744" t="str">
        <f t="shared" si="237"/>
        <v>-</v>
      </c>
      <c r="V71" s="172"/>
      <c r="W71" s="812"/>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4">
        <f t="array" aca="1" ref="AK71" ca="1">Ver_flag_visit</f>
        <v>#VALUE!</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12"/>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5">
        <f t="array" aca="1" ref="AK72" ca="1">Ver_flag_visit</f>
        <v>#VALUE!</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13"/>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6">
        <f t="array" aca="1" ref="AK73" ca="1">Ver_flag_visit</f>
        <v>#VALUE!</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Pendiente</v>
      </c>
      <c r="E76" s="744" t="str">
        <f t="shared" ref="E76:E81" si="246">IF(D76="Pendiente","-",INDEX($BT$6:$BT$53,MATCH($AA76,$BD$6:$BD$53,0)))</f>
        <v>-</v>
      </c>
      <c r="F76" s="744" t="str">
        <f t="shared" ref="F76:F81" si="247">IF(D76="Pendiente","-",INDEX($BT$6:$BT$53,MATCH($AF76,$BD$6:$BD$53,0)))</f>
        <v>-</v>
      </c>
      <c r="G76" s="744"/>
      <c r="H76" s="744" t="str">
        <f t="shared" ref="H76:H81" si="248">IF(D76="Pendiente","-",INDEX($BZ$6:$BZ$53,MATCH($AA76,$BD$6:$BD$53,0)))</f>
        <v>-</v>
      </c>
      <c r="I76" s="744" t="str">
        <f t="shared" ref="I76:I81" si="249">IF(D76="Pendiente","-",INDEX($BZ$6:$BZ$53,MATCH($AF76,$BD$6:$BD$53,0)))</f>
        <v>-</v>
      </c>
      <c r="J76" s="744"/>
      <c r="K76" s="744" t="str">
        <f t="shared" ref="K76:K81" si="250">IF(D76="Pendiente","-",INDEX($CE$6:$CE$53,MATCH($AA76,$BD$6:$BD$53,0)))</f>
        <v>-</v>
      </c>
      <c r="L76" s="744" t="str">
        <f t="shared" ref="L76:L81" si="251">IF(D76="Pendiente","-",INDEX($CE$6:$CE$53,MATCH($AF76,$BD$6:$BD$53,0)))</f>
        <v>-</v>
      </c>
      <c r="M76" s="744"/>
      <c r="N76" s="744" t="str">
        <f t="shared" ref="N76:N81" si="252">IF(D76="Pendiente","-",INDEX($CH$6:$CH$53,MATCH($AA76,$BD$6:$BD$53,0)))</f>
        <v>-</v>
      </c>
      <c r="O76" s="744" t="str">
        <f t="shared" ref="O76:O81" si="253">IF(D76="Pendiente","-",INDEX($CH$6:$CH$53,MATCH($AF76,$BD$6:$BD$53,0)))</f>
        <v>-</v>
      </c>
      <c r="P76" s="744"/>
      <c r="Q76" s="744" t="str">
        <f t="shared" ref="Q76:Q81" si="254">IF(D76="Pendiente","-",INDEX($CN$6:$CN$53,MATCH($AA76,$BD$6:$BD$53,0)))</f>
        <v>-</v>
      </c>
      <c r="R76" s="744" t="str">
        <f t="shared" ref="R76:R81" si="255">IF(D76="Pendiente","-",INDEX($CN$6:$CN$53,MATCH($AF76,$BD$6:$BD$53,0)))</f>
        <v>-</v>
      </c>
      <c r="S76" s="744"/>
      <c r="T76" s="744" t="str">
        <f t="shared" ref="T76:T81" si="256">IF(D76="Pendiente","-",INDEX($CS$6:$CS$53,MATCH($AA76,$BD$6:$BD$53,0)))</f>
        <v>-</v>
      </c>
      <c r="U76" s="744" t="str">
        <f t="shared" ref="U76:U81" si="257">IF(D76="Pendiente","-",INDEX($CS$6:$CS$53,MATCH($AF76,$BD$6:$BD$53,0)))</f>
        <v>-</v>
      </c>
      <c r="V76" s="172"/>
      <c r="W76" s="808" t="s">
        <v>5</v>
      </c>
      <c r="X76" s="189">
        <f ca="1">Horarios!C76</f>
        <v>46190.125</v>
      </c>
      <c r="Y76" s="190">
        <f ca="1">Horarios!C76</f>
        <v>46190.125</v>
      </c>
      <c r="Z76" s="191" t="str">
        <f>$Z$4</f>
        <v>J1</v>
      </c>
      <c r="AA76" s="192" t="str">
        <f ca="1">A77</f>
        <v>Argentina</v>
      </c>
      <c r="AB76" s="478" t="e" cm="1" vm="37">
        <f t="array" aca="1" ref="AB76" ca="1">Ver_flag_local</f>
        <v>#VALUE!</v>
      </c>
      <c r="AC76" s="193"/>
      <c r="AD76" s="194"/>
      <c r="AE76" s="483" t="e" cm="1" vm="38">
        <f t="array" aca="1" ref="AE76" ca="1">Ver_flag_visit</f>
        <v>#VALUE!</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Pendiente</v>
      </c>
      <c r="E77" s="744" t="str">
        <f t="shared" si="246"/>
        <v>-</v>
      </c>
      <c r="F77" s="744" t="str">
        <f t="shared" si="247"/>
        <v>-</v>
      </c>
      <c r="G77" s="744"/>
      <c r="H77" s="744" t="str">
        <f t="shared" si="248"/>
        <v>-</v>
      </c>
      <c r="I77" s="744" t="str">
        <f t="shared" si="249"/>
        <v>-</v>
      </c>
      <c r="J77" s="744"/>
      <c r="K77" s="744" t="str">
        <f t="shared" si="250"/>
        <v>-</v>
      </c>
      <c r="L77" s="744" t="str">
        <f t="shared" si="251"/>
        <v>-</v>
      </c>
      <c r="M77" s="744"/>
      <c r="N77" s="744" t="str">
        <f t="shared" si="252"/>
        <v>-</v>
      </c>
      <c r="O77" s="744" t="str">
        <f t="shared" si="253"/>
        <v>-</v>
      </c>
      <c r="P77" s="744"/>
      <c r="Q77" s="744" t="str">
        <f t="shared" si="254"/>
        <v>-</v>
      </c>
      <c r="R77" s="744" t="str">
        <f t="shared" si="255"/>
        <v>-</v>
      </c>
      <c r="S77" s="744"/>
      <c r="T77" s="744" t="str">
        <f t="shared" si="256"/>
        <v>-</v>
      </c>
      <c r="U77" s="744" t="str">
        <f t="shared" si="257"/>
        <v>-</v>
      </c>
      <c r="V77" s="172"/>
      <c r="W77" s="808"/>
      <c r="X77" s="189">
        <f ca="1">Horarios!C77</f>
        <v>46190.25</v>
      </c>
      <c r="Y77" s="190">
        <f ca="1">Horarios!C77</f>
        <v>46190.25</v>
      </c>
      <c r="Z77" s="191" t="str">
        <f>$Z$4</f>
        <v>J1</v>
      </c>
      <c r="AA77" s="192" t="str">
        <f ca="1">A79</f>
        <v>Austria</v>
      </c>
      <c r="AB77" s="478" t="e" cm="1" vm="39">
        <f t="array" aca="1" ref="AB77" ca="1">Ver_flag_local</f>
        <v>#VALUE!</v>
      </c>
      <c r="AC77" s="193"/>
      <c r="AD77" s="194"/>
      <c r="AE77" s="483" t="e" cm="1" vm="40">
        <f t="array" aca="1" ref="AE77" ca="1">Ver_flag_visit</f>
        <v>#VALUE!</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Pendiente</v>
      </c>
      <c r="E78" s="744" t="str">
        <f t="shared" si="246"/>
        <v>-</v>
      </c>
      <c r="F78" s="744" t="str">
        <f t="shared" si="247"/>
        <v>-</v>
      </c>
      <c r="G78" s="744"/>
      <c r="H78" s="744" t="str">
        <f t="shared" si="248"/>
        <v>-</v>
      </c>
      <c r="I78" s="744" t="str">
        <f t="shared" si="249"/>
        <v>-</v>
      </c>
      <c r="J78" s="744"/>
      <c r="K78" s="744" t="str">
        <f t="shared" si="250"/>
        <v>-</v>
      </c>
      <c r="L78" s="744" t="str">
        <f t="shared" si="251"/>
        <v>-</v>
      </c>
      <c r="M78" s="744"/>
      <c r="N78" s="744" t="str">
        <f t="shared" si="252"/>
        <v>-</v>
      </c>
      <c r="O78" s="744" t="str">
        <f t="shared" si="253"/>
        <v>-</v>
      </c>
      <c r="P78" s="744"/>
      <c r="Q78" s="744" t="str">
        <f t="shared" si="254"/>
        <v>-</v>
      </c>
      <c r="R78" s="744" t="str">
        <f t="shared" si="255"/>
        <v>-</v>
      </c>
      <c r="S78" s="744"/>
      <c r="T78" s="744" t="str">
        <f t="shared" si="256"/>
        <v>-</v>
      </c>
      <c r="U78" s="744" t="str">
        <f t="shared" si="257"/>
        <v>-</v>
      </c>
      <c r="V78" s="172"/>
      <c r="W78" s="808"/>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Pendiente</v>
      </c>
      <c r="E79" s="744" t="str">
        <f t="shared" si="246"/>
        <v>-</v>
      </c>
      <c r="F79" s="744" t="str">
        <f t="shared" si="247"/>
        <v>-</v>
      </c>
      <c r="G79" s="744"/>
      <c r="H79" s="744" t="str">
        <f t="shared" si="248"/>
        <v>-</v>
      </c>
      <c r="I79" s="744" t="str">
        <f t="shared" si="249"/>
        <v>-</v>
      </c>
      <c r="J79" s="744"/>
      <c r="K79" s="744" t="str">
        <f t="shared" si="250"/>
        <v>-</v>
      </c>
      <c r="L79" s="744" t="str">
        <f t="shared" si="251"/>
        <v>-</v>
      </c>
      <c r="M79" s="744"/>
      <c r="N79" s="744" t="str">
        <f t="shared" si="252"/>
        <v>-</v>
      </c>
      <c r="O79" s="744" t="str">
        <f t="shared" si="253"/>
        <v>-</v>
      </c>
      <c r="P79" s="744"/>
      <c r="Q79" s="744" t="str">
        <f t="shared" si="254"/>
        <v>-</v>
      </c>
      <c r="R79" s="744" t="str">
        <f t="shared" si="255"/>
        <v>-</v>
      </c>
      <c r="S79" s="744"/>
      <c r="T79" s="744" t="str">
        <f t="shared" si="256"/>
        <v>-</v>
      </c>
      <c r="U79" s="744" t="str">
        <f t="shared" si="257"/>
        <v>-</v>
      </c>
      <c r="V79" s="172"/>
      <c r="W79" s="808"/>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8">
        <f t="array" aca="1" ref="AK79" ca="1">Ver_flag_visit</f>
        <v>#VALUE!</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08"/>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9">
        <f t="array" aca="1" ref="AK80" ca="1">Ver_flag_visit</f>
        <v>#VALUE!</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09"/>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Pendiente</v>
      </c>
      <c r="E84" s="744" t="str">
        <f t="shared" ref="E84:E89" si="265">IF(D84="Pendiente","-",INDEX($BT$6:$BT$53,MATCH($AA84,$BD$6:$BD$53,0)))</f>
        <v>-</v>
      </c>
      <c r="F84" s="744" t="str">
        <f t="shared" ref="F84:F89" si="266">IF(D84="Pendiente","-",INDEX($BT$6:$BT$53,MATCH($AF84,$BD$6:$BD$53,0)))</f>
        <v>-</v>
      </c>
      <c r="G84" s="744"/>
      <c r="H84" s="744" t="str">
        <f t="shared" ref="H84:H89" si="267">IF(D84="Pendiente","-",INDEX($BZ$6:$BZ$53,MATCH($AA84,$BD$6:$BD$53,0)))</f>
        <v>-</v>
      </c>
      <c r="I84" s="744" t="str">
        <f t="shared" ref="I84:I89" si="268">IF(D84="Pendiente","-",INDEX($BZ$6:$BZ$53,MATCH($AF84,$BD$6:$BD$53,0)))</f>
        <v>-</v>
      </c>
      <c r="J84" s="744"/>
      <c r="K84" s="744" t="str">
        <f t="shared" ref="K84:K89" si="269">IF(D84="Pendiente","-",INDEX($CE$6:$CE$53,MATCH($AA84,$BD$6:$BD$53,0)))</f>
        <v>-</v>
      </c>
      <c r="L84" s="744" t="str">
        <f t="shared" ref="L84:L89" si="270">IF(D84="Pendiente","-",INDEX($CE$6:$CE$53,MATCH($AF84,$BD$6:$BD$53,0)))</f>
        <v>-</v>
      </c>
      <c r="M84" s="744"/>
      <c r="N84" s="744" t="str">
        <f t="shared" ref="N84:N89" si="271">IF(D84="Pendiente","-",INDEX($CH$6:$CH$53,MATCH($AA84,$BD$6:$BD$53,0)))</f>
        <v>-</v>
      </c>
      <c r="O84" s="744" t="str">
        <f t="shared" ref="O84:O89" si="272">IF(D84="Pendiente","-",INDEX($CH$6:$CH$53,MATCH($AF84,$BD$6:$BD$53,0)))</f>
        <v>-</v>
      </c>
      <c r="P84" s="744"/>
      <c r="Q84" s="744" t="str">
        <f t="shared" ref="Q84:Q89" si="273">IF(D84="Pendiente","-",INDEX($CN$6:$CN$53,MATCH($AA84,$BD$6:$BD$53,0)))</f>
        <v>-</v>
      </c>
      <c r="R84" s="744" t="str">
        <f t="shared" ref="R84:R89" si="274">IF(D84="Pendiente","-",INDEX($CN$6:$CN$53,MATCH($AF84,$BD$6:$BD$53,0)))</f>
        <v>-</v>
      </c>
      <c r="S84" s="744"/>
      <c r="T84" s="744" t="str">
        <f t="shared" ref="T84:T89" si="275">IF(D84="Pendiente","-",INDEX($CS$6:$CS$53,MATCH($AA84,$BD$6:$BD$53,0)))</f>
        <v>-</v>
      </c>
      <c r="U84" s="744" t="str">
        <f t="shared" ref="U84:U89" si="276">IF(D84="Pendiente","-",INDEX($CS$6:$CS$53,MATCH($AF84,$BD$6:$BD$53,0)))</f>
        <v>-</v>
      </c>
      <c r="V84" s="172"/>
      <c r="W84" s="814" t="s">
        <v>439</v>
      </c>
      <c r="X84" s="189">
        <f ca="1">Horarios!C84</f>
        <v>46190.791666666664</v>
      </c>
      <c r="Y84" s="190">
        <f ca="1">Horarios!C84</f>
        <v>46190.791666666664</v>
      </c>
      <c r="Z84" s="191" t="str">
        <f>$Z$4</f>
        <v>J1</v>
      </c>
      <c r="AA84" s="192" t="str">
        <f ca="1">A85</f>
        <v>Portugal</v>
      </c>
      <c r="AB84" s="478" t="e" cm="1" vm="41">
        <f t="array" aca="1" ref="AB84" ca="1">Ver_flag_local</f>
        <v>#VALUE!</v>
      </c>
      <c r="AC84" s="193"/>
      <c r="AD84" s="194"/>
      <c r="AE84" s="483" t="e" cm="1" vm="42">
        <f t="array" aca="1" ref="AE84" ca="1">Ver_flag_visit</f>
        <v>#VALUE!</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Pendiente</v>
      </c>
      <c r="E85" s="744" t="str">
        <f t="shared" si="265"/>
        <v>-</v>
      </c>
      <c r="F85" s="744" t="str">
        <f t="shared" si="266"/>
        <v>-</v>
      </c>
      <c r="G85" s="744"/>
      <c r="H85" s="744" t="str">
        <f t="shared" si="267"/>
        <v>-</v>
      </c>
      <c r="I85" s="744" t="str">
        <f t="shared" si="268"/>
        <v>-</v>
      </c>
      <c r="J85" s="744"/>
      <c r="K85" s="744" t="str">
        <f t="shared" si="269"/>
        <v>-</v>
      </c>
      <c r="L85" s="744" t="str">
        <f t="shared" si="270"/>
        <v>-</v>
      </c>
      <c r="M85" s="744"/>
      <c r="N85" s="744" t="str">
        <f t="shared" si="271"/>
        <v>-</v>
      </c>
      <c r="O85" s="744" t="str">
        <f t="shared" si="272"/>
        <v>-</v>
      </c>
      <c r="P85" s="744"/>
      <c r="Q85" s="744" t="str">
        <f t="shared" si="273"/>
        <v>-</v>
      </c>
      <c r="R85" s="744" t="str">
        <f t="shared" si="274"/>
        <v>-</v>
      </c>
      <c r="S85" s="744"/>
      <c r="T85" s="744" t="str">
        <f t="shared" si="275"/>
        <v>-</v>
      </c>
      <c r="U85" s="744" t="str">
        <f t="shared" si="276"/>
        <v>-</v>
      </c>
      <c r="V85" s="172"/>
      <c r="W85" s="814"/>
      <c r="X85" s="189">
        <f ca="1">Horarios!C85</f>
        <v>46191.166666666664</v>
      </c>
      <c r="Y85" s="190">
        <f ca="1">Horarios!C85</f>
        <v>46191.166666666664</v>
      </c>
      <c r="Z85" s="191" t="str">
        <f>$Z$4</f>
        <v>J1</v>
      </c>
      <c r="AA85" s="192" t="str">
        <f ca="1">A87</f>
        <v>Uzbekistán</v>
      </c>
      <c r="AB85" s="478" t="e" cm="1" vm="43">
        <f t="array" aca="1" ref="AB85" ca="1">Ver_flag_local</f>
        <v>#VALUE!</v>
      </c>
      <c r="AC85" s="193"/>
      <c r="AD85" s="194"/>
      <c r="AE85" s="483" t="e" cm="1" vm="44">
        <f t="array" aca="1" ref="AE85" ca="1">Ver_flag_visit</f>
        <v>#VALUE!</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14"/>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1">
        <f t="array" aca="1" ref="AK86" ca="1">Ver_flag_visit</f>
        <v>#VALUE!</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14"/>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2">
        <f t="array" aca="1" ref="AK87" ca="1">Ver_flag_visit</f>
        <v>#VALUE!</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14"/>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3">
        <f t="array" aca="1" ref="AK88" ca="1">Ver_flag_visit</f>
        <v>#VALUE!</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15"/>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4">
        <f t="array" aca="1" ref="AK89" ca="1">Ver_flag_visit</f>
        <v>#VALUE!</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Pendiente</v>
      </c>
      <c r="E92" s="744" t="str">
        <f t="shared" ref="E92:E97" si="284">IF(D92="Pendiente","-",INDEX($BT$6:$BT$53,MATCH($AA92,$BD$6:$BD$53,0)))</f>
        <v>-</v>
      </c>
      <c r="F92" s="744" t="str">
        <f t="shared" ref="F92:F97" si="285">IF(D92="Pendiente","-",INDEX($BT$6:$BT$53,MATCH($AF92,$BD$6:$BD$53,0)))</f>
        <v>-</v>
      </c>
      <c r="G92" s="744"/>
      <c r="H92" s="744" t="str">
        <f t="shared" ref="H92:H97" si="286">IF(D92="Pendiente","-",INDEX($BZ$6:$BZ$53,MATCH($AA92,$BD$6:$BD$53,0)))</f>
        <v>-</v>
      </c>
      <c r="I92" s="744" t="str">
        <f t="shared" ref="I92:I97" si="287">IF(D92="Pendiente","-",INDEX($BZ$6:$BZ$53,MATCH($AF92,$BD$6:$BD$53,0)))</f>
        <v>-</v>
      </c>
      <c r="J92" s="744"/>
      <c r="K92" s="744" t="str">
        <f t="shared" ref="K92:K97" si="288">IF(D92="Pendiente","-",INDEX($CE$6:$CE$53,MATCH($AA92,$BD$6:$BD$53,0)))</f>
        <v>-</v>
      </c>
      <c r="L92" s="744" t="str">
        <f t="shared" ref="L92:L97" si="289">IF(D92="Pendiente","-",INDEX($CE$6:$CE$53,MATCH($AF92,$BD$6:$BD$53,0)))</f>
        <v>-</v>
      </c>
      <c r="M92" s="744"/>
      <c r="N92" s="744" t="str">
        <f t="shared" ref="N92:N97" si="290">IF(D92="Pendiente","-",INDEX($CH$6:$CH$53,MATCH($AA92,$BD$6:$BD$53,0)))</f>
        <v>-</v>
      </c>
      <c r="O92" s="744" t="str">
        <f t="shared" ref="O92:O97" si="291">IF(D92="Pendiente","-",INDEX($CH$6:$CH$53,MATCH($AF92,$BD$6:$BD$53,0)))</f>
        <v>-</v>
      </c>
      <c r="P92" s="744"/>
      <c r="Q92" s="744" t="str">
        <f t="shared" ref="Q92:Q97" si="292">IF(D92="Pendiente","-",INDEX($CN$6:$CN$53,MATCH($AA92,$BD$6:$BD$53,0)))</f>
        <v>-</v>
      </c>
      <c r="R92" s="744" t="str">
        <f t="shared" ref="R92:R97" si="293">IF(D92="Pendiente","-",INDEX($CN$6:$CN$53,MATCH($AF92,$BD$6:$BD$53,0)))</f>
        <v>-</v>
      </c>
      <c r="S92" s="744"/>
      <c r="T92" s="744" t="str">
        <f t="shared" ref="T92:T97" si="294">IF(D92="Pendiente","-",INDEX($CS$6:$CS$53,MATCH($AA92,$BD$6:$BD$53,0)))</f>
        <v>-</v>
      </c>
      <c r="U92" s="744" t="str">
        <f t="shared" ref="U92:U97"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e" cm="1" vm="45">
        <f t="array" aca="1" ref="AB92" ca="1">Ver_flag_local</f>
        <v>#VALUE!</v>
      </c>
      <c r="AC92" s="193"/>
      <c r="AD92" s="194"/>
      <c r="AE92" s="483" t="e" cm="1" vm="46">
        <f t="array" aca="1" ref="AE92" ca="1">Ver_flag_visit</f>
        <v>#VALUE!</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Pendiente</v>
      </c>
      <c r="E93" s="744" t="str">
        <f t="shared" si="284"/>
        <v>-</v>
      </c>
      <c r="F93" s="744" t="str">
        <f t="shared" si="285"/>
        <v>-</v>
      </c>
      <c r="G93" s="744"/>
      <c r="H93" s="744" t="str">
        <f t="shared" si="286"/>
        <v>-</v>
      </c>
      <c r="I93" s="744" t="str">
        <f t="shared" si="287"/>
        <v>-</v>
      </c>
      <c r="J93" s="744"/>
      <c r="K93" s="744" t="str">
        <f t="shared" si="288"/>
        <v>-</v>
      </c>
      <c r="L93" s="744" t="str">
        <f t="shared" si="289"/>
        <v>-</v>
      </c>
      <c r="M93" s="744"/>
      <c r="N93" s="744" t="str">
        <f t="shared" si="290"/>
        <v>-</v>
      </c>
      <c r="O93" s="744" t="str">
        <f t="shared" si="291"/>
        <v>-</v>
      </c>
      <c r="P93" s="744"/>
      <c r="Q93" s="744" t="str">
        <f t="shared" si="292"/>
        <v>-</v>
      </c>
      <c r="R93" s="744" t="str">
        <f t="shared" si="293"/>
        <v>-</v>
      </c>
      <c r="S93" s="744"/>
      <c r="T93" s="744" t="str">
        <f t="shared" si="294"/>
        <v>-</v>
      </c>
      <c r="U93" s="744" t="str">
        <f t="shared" si="295"/>
        <v>-</v>
      </c>
      <c r="V93" s="172"/>
      <c r="W93" s="810"/>
      <c r="X93" s="189">
        <f ca="1">Horarios!C93</f>
        <v>46191.041666666664</v>
      </c>
      <c r="Y93" s="190">
        <f ca="1">Horarios!C93</f>
        <v>46191.041666666664</v>
      </c>
      <c r="Z93" s="191" t="str">
        <f>$Z$4</f>
        <v>J1</v>
      </c>
      <c r="AA93" s="192" t="str">
        <f ca="1">A95</f>
        <v>Ghana</v>
      </c>
      <c r="AB93" s="478" t="e" cm="1" vm="47">
        <f t="array" aca="1" ref="AB93" ca="1">Ver_flag_local</f>
        <v>#VALUE!</v>
      </c>
      <c r="AC93" s="193"/>
      <c r="AD93" s="194"/>
      <c r="AE93" s="483" t="e" cm="1" vm="48">
        <f t="array" aca="1" ref="AE93" ca="1">Ver_flag_visit</f>
        <v>#VALUE!</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10"/>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10"/>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6">
        <f t="array" aca="1" ref="AK95" ca="1">Ver_flag_visit</f>
        <v>#VALUE!</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10"/>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7">
        <f t="array" aca="1" ref="AK96" ca="1">Ver_flag_visit</f>
        <v>#VALUE!</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11"/>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4</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0</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0</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8"/>
      <c r="BC103" s="744"/>
      <c r="BD103" s="738"/>
      <c r="BE103" s="738"/>
      <c r="BF103" s="738" t="str">
        <f t="shared" ref="BF103:BF110" ca="1" si="316">IFERROR(INDEX($BC$6:$BC$53,MATCH(AL102,$BD$6:$BD$53,0)),"")</f>
        <v/>
      </c>
      <c r="BG103" s="738">
        <f t="shared" ref="BG103:BG110" ca="1" si="317">COUNTIF($BF$103:$BF$110,"&lt;="&amp;BF103)</f>
        <v>0</v>
      </c>
      <c r="BH103" s="738"/>
      <c r="BI103" s="744">
        <v>1</v>
      </c>
      <c r="BJ103" s="738" t="str">
        <f t="shared" ref="BJ103:BJ110" ca="1" si="318">IFERROR(INDEX($BF$103:$BF$110,MATCH(BI103,$BG$103:$BG$110,0)),"Grupo")</f>
        <v>Grupo</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0</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8"/>
      <c r="BC104" s="744"/>
      <c r="BD104" s="738"/>
      <c r="BE104" s="738"/>
      <c r="BF104" s="738" t="str">
        <f t="shared" ca="1" si="316"/>
        <v/>
      </c>
      <c r="BG104" s="738">
        <f t="shared" ca="1" si="317"/>
        <v>0</v>
      </c>
      <c r="BH104" s="738"/>
      <c r="BI104" s="744">
        <v>2</v>
      </c>
      <c r="BJ104" s="738" t="str">
        <f t="shared" ca="1" si="318"/>
        <v>Grupo</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0</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8"/>
      <c r="BC105" s="744"/>
      <c r="BD105" s="738"/>
      <c r="BE105" s="738"/>
      <c r="BF105" s="738" t="str">
        <f t="shared" ca="1" si="316"/>
        <v/>
      </c>
      <c r="BG105" s="738">
        <f t="shared" ca="1" si="317"/>
        <v>0</v>
      </c>
      <c r="BH105" s="738"/>
      <c r="BI105" s="744">
        <v>3</v>
      </c>
      <c r="BJ105" s="738" t="str">
        <f t="shared" ca="1" si="318"/>
        <v>Grupo</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0</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8"/>
      <c r="BC106" s="744"/>
      <c r="BD106" s="738"/>
      <c r="BE106" s="738"/>
      <c r="BF106" s="738" t="str">
        <f t="shared" ca="1" si="316"/>
        <v/>
      </c>
      <c r="BG106" s="738">
        <f t="shared" ca="1" si="317"/>
        <v>0</v>
      </c>
      <c r="BH106" s="738"/>
      <c r="BI106" s="744">
        <v>4</v>
      </c>
      <c r="BJ106" s="738" t="str">
        <f t="shared" ca="1" si="318"/>
        <v>Grupo</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0</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8"/>
      <c r="BC107" s="744"/>
      <c r="BD107" s="738"/>
      <c r="BE107" s="744"/>
      <c r="BF107" s="738" t="str">
        <f t="shared" ca="1" si="316"/>
        <v/>
      </c>
      <c r="BG107" s="738">
        <f t="shared" ca="1" si="317"/>
        <v>0</v>
      </c>
      <c r="BH107" s="738"/>
      <c r="BI107" s="738">
        <v>5</v>
      </c>
      <c r="BJ107" s="738" t="str">
        <f t="shared" ca="1" si="318"/>
        <v>Grupo</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0</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8"/>
      <c r="BC108" s="738"/>
      <c r="BD108" s="738"/>
      <c r="BE108" s="744"/>
      <c r="BF108" s="738" t="str">
        <f t="shared" ca="1" si="316"/>
        <v/>
      </c>
      <c r="BG108" s="738">
        <f t="shared" ca="1" si="317"/>
        <v>0</v>
      </c>
      <c r="BH108" s="738"/>
      <c r="BI108" s="738">
        <v>6</v>
      </c>
      <c r="BJ108" s="738" t="str">
        <f t="shared" ca="1" si="318"/>
        <v>Grupo</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0</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8"/>
      <c r="BC109" s="738"/>
      <c r="BD109" s="738"/>
      <c r="BE109" s="744"/>
      <c r="BF109" s="738" t="str">
        <f t="shared" ca="1" si="316"/>
        <v/>
      </c>
      <c r="BG109" s="738">
        <f t="shared" ca="1" si="317"/>
        <v>0</v>
      </c>
      <c r="BH109" s="738"/>
      <c r="BI109" s="738">
        <v>7</v>
      </c>
      <c r="BJ109" s="738" t="str">
        <f t="shared" ca="1" si="318"/>
        <v>Grupo</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0</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8"/>
      <c r="BC110" s="738"/>
      <c r="BD110" s="738"/>
      <c r="BE110" s="744"/>
      <c r="BF110" s="738" t="str">
        <f t="shared" ca="1" si="316"/>
        <v/>
      </c>
      <c r="BG110" s="738">
        <f t="shared" ca="1" si="317"/>
        <v>0</v>
      </c>
      <c r="BH110" s="738"/>
      <c r="BI110" s="744">
        <v>8</v>
      </c>
      <c r="BJ110" s="738" t="str">
        <f t="shared" ca="1" si="318"/>
        <v>Grupo</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0</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0</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8"/>
      <c r="BC112" s="738"/>
      <c r="BD112" s="746"/>
      <c r="BE112" s="738"/>
      <c r="BF112" s="738"/>
      <c r="BG112" s="738"/>
      <c r="BH112" s="738"/>
      <c r="BI112" s="738" t="str">
        <f ca="1">IFERROR(CONCATENATE(BJ103,BJ104,BJ105,BJ106,BJ107,BJ108,BJ109,BJ110),"¿A/B/C/D/E/F/G/H/I/J/K/L?")</f>
        <v>GrupoGrupoGrupoGrupoGrupoGrupoGrupoGrupo</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4</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e">
        <f ca="1">+INDEX(Combinaciones3!$P$2:$W$496,MATCH(1,Combinaciones3!$B$2:$B$497,0),MATCH(WORLDCUP!BF117,Combinaciones3!$P$1:$W$1,0))</f>
        <v>#N/A</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e">
        <f ca="1">+INDEX(Combinaciones3!$P$2:$W$496,MATCH(1,Combinaciones3!$B$2:$B$497,0),MATCH(WORLDCUP!BF118,Combinaciones3!$P$1:$W$1,0))</f>
        <v>#N/A</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e">
        <f ca="1">+INDEX(Combinaciones3!$P$2:$W$496,MATCH(1,Combinaciones3!$B$2:$B$497,0),MATCH(WORLDCUP!BF119,Combinaciones3!$P$1:$W$1,0))</f>
        <v>#N/A</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e">
        <f ca="1">+INDEX(Combinaciones3!$P$2:$W$496,MATCH(1,Combinaciones3!$B$2:$B$497,0),MATCH(WORLDCUP!BF120,Combinaciones3!$P$1:$W$1,0))</f>
        <v>#N/A</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e">
        <f ca="1">+INDEX(Combinaciones3!$P$2:$W$496,MATCH(1,Combinaciones3!$B$2:$B$497,0),MATCH(WORLDCUP!BF121,Combinaciones3!$P$1:$W$1,0))</f>
        <v>#N/A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e">
        <f ca="1">+INDEX(Combinaciones3!$P$2:$W$496,MATCH(1,Combinaciones3!$B$2:$B$497,0),MATCH(WORLDCUP!BF122,Combinaciones3!$P$1:$W$1,0))</f>
        <v>#N/A</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e">
        <f ca="1">+INDEX(Combinaciones3!$P$2:$W$496,MATCH(1,Combinaciones3!$B$2:$B$497,0),MATCH(WORLDCUP!BF123,Combinaciones3!$P$1:$W$1,0))</f>
        <v>#N/A</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1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e">
        <f ca="1">+INDEX(Combinaciones3!$P$2:$W$496,MATCH(1,Combinaciones3!$B$2:$B$497,0),MATCH(WORLDCUP!BF124,Combinaciones3!$P$1:$W$1,0))</f>
        <v>#N/A</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1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F5" sqref="EF5:EF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23</v>
      </c>
      <c r="T1" s="87"/>
      <c r="U1" s="65"/>
      <c r="V1" s="87">
        <f ca="1">+IFERROR(RANK(V2,OFFSET($S$2,0,0,1,$D$5*3),0),"-")</f>
        <v>28</v>
      </c>
      <c r="W1" s="87"/>
      <c r="X1" s="65"/>
      <c r="Y1" s="87">
        <f ca="1">+IFERROR(RANK(Y2,OFFSET($S$2,0,0,1,$D$5*3),0),"-")</f>
        <v>7</v>
      </c>
      <c r="Z1" s="87"/>
      <c r="AA1" s="65"/>
      <c r="AB1" s="87">
        <f ca="1">+IFERROR(RANK(AB2,OFFSET($S$2,0,0,1,$D$5*3),0),"-")</f>
        <v>1</v>
      </c>
      <c r="AC1" s="87"/>
      <c r="AD1" s="65"/>
      <c r="AE1" s="87">
        <f ca="1">+IFERROR(RANK(AE2,OFFSET($S$2,0,0,1,$D$5*3),0),"-")</f>
        <v>8</v>
      </c>
      <c r="AF1" s="87"/>
      <c r="AG1" s="65"/>
      <c r="AH1" s="87">
        <f ca="1">+IFERROR(RANK(AH2,OFFSET($S$2,0,0,1,$D$5*3),0),"-")</f>
        <v>2</v>
      </c>
      <c r="AI1" s="87"/>
      <c r="AJ1" s="65"/>
      <c r="AK1" s="87">
        <f ca="1">+IFERROR(RANK(AK2,OFFSET($S$2,0,0,1,$D$5*3),0),"-")</f>
        <v>29</v>
      </c>
      <c r="AL1" s="87"/>
      <c r="AM1" s="65"/>
      <c r="AN1" s="87">
        <f ca="1">+IFERROR(RANK(AN2,OFFSET($S$2,0,0,1,$D$5*3),0),"-")</f>
        <v>9</v>
      </c>
      <c r="AO1" s="87"/>
      <c r="AP1" s="65"/>
      <c r="AQ1" s="87">
        <f ca="1">+IFERROR(RANK(AQ2,OFFSET($S$2,0,0,1,$D$5*3),0),"-")</f>
        <v>5</v>
      </c>
      <c r="AR1" s="87"/>
      <c r="AS1" s="65"/>
      <c r="AT1" s="87">
        <f ca="1">+IFERROR(RANK(AT2,OFFSET($S$2,0,0,1,$D$5*3),0),"-")</f>
        <v>30</v>
      </c>
      <c r="AU1" s="87"/>
      <c r="AV1" s="65"/>
      <c r="AW1" s="87">
        <f ca="1">+IFERROR(RANK(AW2,OFFSET($S$2,0,0,1,$D$5*3),0),"-")</f>
        <v>10</v>
      </c>
      <c r="AX1" s="87"/>
      <c r="AY1" s="65"/>
      <c r="AZ1" s="87">
        <f ca="1">+IFERROR(RANK(AZ2,OFFSET($S$2,0,0,1,$D$5*3),0),"-")</f>
        <v>31</v>
      </c>
      <c r="BA1" s="87"/>
      <c r="BB1" s="65"/>
      <c r="BC1" s="87">
        <f ca="1">+IFERROR(RANK(BC2,OFFSET($S$2,0,0,1,$D$5*3),0),"-")</f>
        <v>32</v>
      </c>
      <c r="BD1" s="87"/>
      <c r="BE1" s="65"/>
      <c r="BF1" s="87">
        <f ca="1">+IFERROR(RANK(BF2,OFFSET($S$2,0,0,1,$D$5*3),0),"-")</f>
        <v>11</v>
      </c>
      <c r="BG1" s="87"/>
      <c r="BH1" s="65"/>
      <c r="BI1" s="87">
        <f ca="1">+IFERROR(RANK(BI2,OFFSET($S$2,0,0,1,$D$5*3),0),"-")</f>
        <v>12</v>
      </c>
      <c r="BJ1" s="87"/>
      <c r="BK1" s="65"/>
      <c r="BL1" s="87">
        <f ca="1">+IFERROR(RANK(BL2,OFFSET($S$2,0,0,1,$D$5*3),0),"-")</f>
        <v>40</v>
      </c>
      <c r="BM1" s="87"/>
      <c r="BN1" s="65"/>
      <c r="BO1" s="87">
        <f ca="1">+IFERROR(RANK(BO2,OFFSET($S$2,0,0,1,$D$5*3),0),"-")</f>
        <v>13</v>
      </c>
      <c r="BP1" s="87"/>
      <c r="BQ1" s="65"/>
      <c r="BR1" s="87">
        <f ca="1">+IFERROR(RANK(BR2,OFFSET($S$2,0,0,1,$D$5*3),0),"-")</f>
        <v>14</v>
      </c>
      <c r="BS1" s="87"/>
      <c r="BT1" s="65"/>
      <c r="BU1" s="87">
        <f ca="1">+IFERROR(RANK(BU2,OFFSET($S$2,0,0,1,$D$5*3),0),"-")</f>
        <v>33</v>
      </c>
      <c r="BV1" s="87"/>
      <c r="BW1" s="65"/>
      <c r="BX1" s="87">
        <f ca="1">+IFERROR(RANK(BX2,OFFSET($S$2,0,0,1,$D$5*3),0),"-")</f>
        <v>15</v>
      </c>
      <c r="BY1" s="87"/>
      <c r="BZ1" s="65"/>
      <c r="CA1" s="87">
        <f ca="1">+IFERROR(RANK(CA2,OFFSET($S$2,0,0,1,$D$5*3),0),"-")</f>
        <v>16</v>
      </c>
      <c r="CB1" s="87"/>
      <c r="CC1" s="65"/>
      <c r="CD1" s="87">
        <f ca="1">+IFERROR(RANK(CD2,OFFSET($S$2,0,0,1,$D$5*3),0),"-")</f>
        <v>34</v>
      </c>
      <c r="CE1" s="87"/>
      <c r="CF1" s="65"/>
      <c r="CG1" s="87">
        <f ca="1">+IFERROR(RANK(CG2,OFFSET($S$2,0,0,1,$D$5*3),0),"-")</f>
        <v>3</v>
      </c>
      <c r="CH1" s="87"/>
      <c r="CI1" s="65"/>
      <c r="CJ1" s="87">
        <f ca="1">+IFERROR(RANK(CJ2,OFFSET($S$2,0,0,1,$D$5*3),0),"-")</f>
        <v>17</v>
      </c>
      <c r="CK1" s="87"/>
      <c r="CL1" s="65"/>
      <c r="CM1" s="87">
        <f ca="1">+IFERROR(RANK(CM2,OFFSET($S$2,0,0,1,$D$5*3),0),"-")</f>
        <v>18</v>
      </c>
      <c r="CN1" s="87"/>
      <c r="CO1" s="65"/>
      <c r="CP1" s="87">
        <f ca="1">+IFERROR(RANK(CP2,OFFSET($S$2,0,0,1,$D$5*3),0),"-")</f>
        <v>35</v>
      </c>
      <c r="CQ1" s="87"/>
      <c r="CR1" s="65"/>
      <c r="CS1" s="87">
        <f ca="1">+IFERROR(RANK(CS2,OFFSET($S$2,0,0,1,$D$5*3),0),"-")</f>
        <v>24</v>
      </c>
      <c r="CT1" s="87"/>
      <c r="CU1" s="65"/>
      <c r="CV1" s="87">
        <f ca="1">+IFERROR(RANK(CV2,OFFSET($S$2,0,0,1,$D$5*3),0),"-")</f>
        <v>6</v>
      </c>
      <c r="CW1" s="87"/>
      <c r="CX1" s="65"/>
      <c r="CY1" s="87">
        <f ca="1">+IFERROR(RANK(CY2,OFFSET($S$2,0,0,1,$D$5*3),0),"-")</f>
        <v>36</v>
      </c>
      <c r="CZ1" s="87"/>
      <c r="DA1" s="65"/>
      <c r="DB1" s="87">
        <f ca="1">+IFERROR(RANK(DB2,OFFSET($S$2,0,0,1,$D$5*3),0),"-")</f>
        <v>19</v>
      </c>
      <c r="DC1" s="87"/>
      <c r="DD1" s="65"/>
      <c r="DE1" s="87">
        <f ca="1">+IFERROR(RANK(DE2,OFFSET($S$2,0,0,1,$D$5*3),0),"-")</f>
        <v>37</v>
      </c>
      <c r="DF1" s="87"/>
      <c r="DG1" s="65"/>
      <c r="DH1" s="87">
        <f ca="1">+IFERROR(RANK(DH2,OFFSET($S$2,0,0,1,$D$5*3),0),"-")</f>
        <v>25</v>
      </c>
      <c r="DI1" s="87"/>
      <c r="DJ1" s="65"/>
      <c r="DK1" s="87">
        <f ca="1">+IFERROR(RANK(DK2,OFFSET($S$2,0,0,1,$D$5*3),0),"-")</f>
        <v>20</v>
      </c>
      <c r="DL1" s="87"/>
      <c r="DM1" s="65"/>
      <c r="DN1" s="87">
        <f ca="1">+IFERROR(RANK(DN2,OFFSET($S$2,0,0,1,$D$5*3),0),"-")</f>
        <v>26</v>
      </c>
      <c r="DO1" s="87"/>
      <c r="DP1" s="65"/>
      <c r="DQ1" s="87">
        <f ca="1">+IFERROR(RANK(DQ2,OFFSET($S$2,0,0,1,$D$5*3),0),"-")</f>
        <v>38</v>
      </c>
      <c r="DR1" s="87"/>
      <c r="DS1" s="65"/>
      <c r="DT1" s="87">
        <f ca="1">+IFERROR(RANK(DT2,OFFSET($S$2,0,0,1,$D$5*3),0),"-")</f>
        <v>27</v>
      </c>
      <c r="DU1" s="87"/>
      <c r="DV1" s="65"/>
      <c r="DW1" s="87">
        <f ca="1">+IFERROR(RANK(DW2,OFFSET($S$2,0,0,1,$D$5*3),0),"-")</f>
        <v>4</v>
      </c>
      <c r="DX1" s="87"/>
      <c r="DY1" s="65"/>
      <c r="DZ1" s="87">
        <f ca="1">+IFERROR(RANK(DZ2,OFFSET($S$2,0,0,1,$D$5*3),0),"-")</f>
        <v>21</v>
      </c>
      <c r="EA1" s="87"/>
      <c r="EB1" s="65"/>
      <c r="EC1" s="87">
        <f ca="1">+IFERROR(RANK(EC2,OFFSET($S$2,0,0,1,$D$5*3),0),"-")</f>
        <v>22</v>
      </c>
      <c r="ED1" s="87"/>
      <c r="EE1" s="65"/>
      <c r="EF1" s="87">
        <f ca="1">+IFERROR(RANK(EF2,OFFSET($S$2,0,0,1,$D$5*3),0),"-")</f>
        <v>39</v>
      </c>
      <c r="EG1" s="87"/>
      <c r="EH1" s="65"/>
      <c r="EI1" s="87">
        <f ca="1">+IFERROR(RANK(EI2,OFFSET($S$2,0,0,1,$D$5*3),0),"-")</f>
        <v>41</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1.9981</v>
      </c>
      <c r="T2" s="87"/>
      <c r="U2" s="65"/>
      <c r="V2" s="87">
        <f t="shared" ref="V2" ca="1" si="0">V4-(COLUMN()/10000)</f>
        <v>0.99780000000000002</v>
      </c>
      <c r="W2" s="87"/>
      <c r="X2" s="65"/>
      <c r="Y2" s="87">
        <f t="shared" ref="Y2" ca="1" si="1">Y4-(COLUMN()/10000)</f>
        <v>3.9975000000000001</v>
      </c>
      <c r="Z2" s="87"/>
      <c r="AA2" s="65"/>
      <c r="AB2" s="87">
        <f t="shared" ref="AB2" ca="1" si="2">AB4-(COLUMN()/10000)</f>
        <v>7.9972000000000003</v>
      </c>
      <c r="AC2" s="87"/>
      <c r="AD2" s="65"/>
      <c r="AE2" s="87">
        <f t="shared" ref="AE2" ca="1" si="3">AE4-(COLUMN()/10000)</f>
        <v>3.9969000000000001</v>
      </c>
      <c r="AF2" s="87"/>
      <c r="AG2" s="65"/>
      <c r="AH2" s="87">
        <f t="shared" ref="AH2" ca="1" si="4">AH4-(COLUMN()/10000)</f>
        <v>5.9965999999999999</v>
      </c>
      <c r="AI2" s="87"/>
      <c r="AJ2" s="65"/>
      <c r="AK2" s="87">
        <f t="shared" ref="AK2" ca="1" si="5">AK4-(COLUMN()/10000)</f>
        <v>0.99629999999999996</v>
      </c>
      <c r="AL2" s="87"/>
      <c r="AM2" s="65"/>
      <c r="AN2" s="87">
        <f t="shared" ref="AN2" ca="1" si="6">AN4-(COLUMN()/10000)</f>
        <v>3.996</v>
      </c>
      <c r="AO2" s="87"/>
      <c r="AP2" s="65"/>
      <c r="AQ2" s="87">
        <f t="shared" ref="AQ2" ca="1" si="7">AQ4-(COLUMN()/10000)</f>
        <v>4.9957000000000003</v>
      </c>
      <c r="AR2" s="87"/>
      <c r="AS2" s="65"/>
      <c r="AT2" s="87">
        <f t="shared" ref="AT2" ca="1" si="8">AT4-(COLUMN()/10000)</f>
        <v>0.99539999999999995</v>
      </c>
      <c r="AU2" s="87"/>
      <c r="AV2" s="65"/>
      <c r="AW2" s="87">
        <f t="shared" ref="AW2" ca="1" si="9">AW4-(COLUMN()/10000)</f>
        <v>3.9950999999999999</v>
      </c>
      <c r="AX2" s="87"/>
      <c r="AY2" s="65"/>
      <c r="AZ2" s="87">
        <f t="shared" ref="AZ2" ca="1" si="10">AZ4-(COLUMN()/10000)</f>
        <v>0.99480000000000002</v>
      </c>
      <c r="BA2" s="87"/>
      <c r="BB2" s="65"/>
      <c r="BC2" s="87">
        <f t="shared" ref="BC2" ca="1" si="11">BC4-(COLUMN()/10000)</f>
        <v>0.99450000000000005</v>
      </c>
      <c r="BD2" s="87"/>
      <c r="BE2" s="65"/>
      <c r="BF2" s="87">
        <f t="shared" ref="BF2" ca="1" si="12">BF4-(COLUMN()/10000)</f>
        <v>3.9942000000000002</v>
      </c>
      <c r="BG2" s="87"/>
      <c r="BH2" s="65"/>
      <c r="BI2" s="87">
        <f t="shared" ref="BI2" ca="1" si="13">BI4-(COLUMN()/10000)</f>
        <v>3.9939</v>
      </c>
      <c r="BJ2" s="87"/>
      <c r="BK2" s="65"/>
      <c r="BL2" s="87">
        <f t="shared" ref="BL2" ca="1" si="14">BL4-(COLUMN()/10000)</f>
        <v>-6.4000000000000003E-3</v>
      </c>
      <c r="BM2" s="87"/>
      <c r="BN2" s="65"/>
      <c r="BO2" s="87">
        <f t="shared" ref="BO2" ca="1" si="15">BO4-(COLUMN()/10000)</f>
        <v>3.9933000000000001</v>
      </c>
      <c r="BP2" s="87"/>
      <c r="BQ2" s="65"/>
      <c r="BR2" s="87">
        <f t="shared" ref="BR2" ca="1" si="16">BR4-(COLUMN()/10000)</f>
        <v>3.9929999999999999</v>
      </c>
      <c r="BS2" s="87"/>
      <c r="BT2" s="65"/>
      <c r="BU2" s="87">
        <f t="shared" ref="BU2" ca="1" si="17">BU4-(COLUMN()/10000)</f>
        <v>0.99270000000000003</v>
      </c>
      <c r="BV2" s="87"/>
      <c r="BW2" s="65"/>
      <c r="BX2" s="87">
        <f t="shared" ref="BX2" ca="1" si="18">BX4-(COLUMN()/10000)</f>
        <v>3.9923999999999999</v>
      </c>
      <c r="BY2" s="87"/>
      <c r="BZ2" s="65"/>
      <c r="CA2" s="87">
        <f t="shared" ref="CA2" ca="1" si="19">CA4-(COLUMN()/10000)</f>
        <v>3.9921000000000002</v>
      </c>
      <c r="CB2" s="87"/>
      <c r="CC2" s="65"/>
      <c r="CD2" s="87">
        <f t="shared" ref="CD2" ca="1" si="20">CD4-(COLUMN()/10000)</f>
        <v>0.99180000000000001</v>
      </c>
      <c r="CE2" s="87"/>
      <c r="CF2" s="65"/>
      <c r="CG2" s="87">
        <f t="shared" ref="CG2" ca="1" si="21">CG4-(COLUMN()/10000)</f>
        <v>5.9915000000000003</v>
      </c>
      <c r="CH2" s="87"/>
      <c r="CI2" s="65"/>
      <c r="CJ2" s="87">
        <f t="shared" ref="CJ2" ca="1" si="22">CJ4-(COLUMN()/10000)</f>
        <v>3.9912000000000001</v>
      </c>
      <c r="CK2" s="87"/>
      <c r="CL2" s="65"/>
      <c r="CM2" s="87">
        <f t="shared" ref="CM2" ca="1" si="23">CM4-(COLUMN()/10000)</f>
        <v>3.9908999999999999</v>
      </c>
      <c r="CN2" s="87"/>
      <c r="CO2" s="65"/>
      <c r="CP2" s="87">
        <f t="shared" ref="CP2" ca="1" si="24">CP4-(COLUMN()/10000)</f>
        <v>0.99060000000000004</v>
      </c>
      <c r="CQ2" s="87"/>
      <c r="CR2" s="65"/>
      <c r="CS2" s="87">
        <f t="shared" ref="CS2" ca="1" si="25">CS4-(COLUMN()/10000)</f>
        <v>1.9903</v>
      </c>
      <c r="CT2" s="87"/>
      <c r="CU2" s="65"/>
      <c r="CV2" s="87">
        <f t="shared" ref="CV2" ca="1" si="26">CV4-(COLUMN()/10000)</f>
        <v>4.99</v>
      </c>
      <c r="CW2" s="87"/>
      <c r="CX2" s="65"/>
      <c r="CY2" s="87">
        <f t="shared" ref="CY2" ca="1" si="27">CY4-(COLUMN()/10000)</f>
        <v>0.98970000000000002</v>
      </c>
      <c r="CZ2" s="87"/>
      <c r="DA2" s="65"/>
      <c r="DB2" s="87">
        <f t="shared" ref="DB2" ca="1" si="28">DB4-(COLUMN()/10000)</f>
        <v>3.9893999999999998</v>
      </c>
      <c r="DC2" s="87"/>
      <c r="DD2" s="65"/>
      <c r="DE2" s="87">
        <f t="shared" ref="DE2" ca="1" si="29">DE4-(COLUMN()/10000)</f>
        <v>0.98909999999999998</v>
      </c>
      <c r="DF2" s="87"/>
      <c r="DG2" s="65"/>
      <c r="DH2" s="87">
        <f t="shared" ref="DH2" ca="1" si="30">DH4-(COLUMN()/10000)</f>
        <v>1.9887999999999999</v>
      </c>
      <c r="DI2" s="87"/>
      <c r="DJ2" s="65"/>
      <c r="DK2" s="87">
        <f t="shared" ref="DK2" ca="1" si="31">DK4-(COLUMN()/10000)</f>
        <v>3.9885000000000002</v>
      </c>
      <c r="DL2" s="87"/>
      <c r="DM2" s="65"/>
      <c r="DN2" s="87">
        <f t="shared" ref="DN2" ca="1" si="32">DN4-(COLUMN()/10000)</f>
        <v>1.9882</v>
      </c>
      <c r="DO2" s="87"/>
      <c r="DP2" s="65"/>
      <c r="DQ2" s="87">
        <f t="shared" ref="DQ2" ca="1" si="33">DQ4-(COLUMN()/10000)</f>
        <v>0.9879</v>
      </c>
      <c r="DR2" s="87"/>
      <c r="DS2" s="65"/>
      <c r="DT2" s="87">
        <f t="shared" ref="DT2" ca="1" si="34">DT4-(COLUMN()/10000)</f>
        <v>1.9876</v>
      </c>
      <c r="DU2" s="87"/>
      <c r="DV2" s="65"/>
      <c r="DW2" s="87">
        <f t="shared" ref="DW2" ca="1" si="35">DW4-(COLUMN()/10000)</f>
        <v>5.9873000000000003</v>
      </c>
      <c r="DX2" s="87"/>
      <c r="DY2" s="65"/>
      <c r="DZ2" s="87">
        <f t="shared" ref="DZ2" ca="1" si="36">DZ4-(COLUMN()/10000)</f>
        <v>3.9870000000000001</v>
      </c>
      <c r="EA2" s="87"/>
      <c r="EB2" s="65"/>
      <c r="EC2" s="87">
        <f t="shared" ref="EC2" ca="1" si="37">EC4-(COLUMN()/10000)</f>
        <v>3.9866999999999999</v>
      </c>
      <c r="ED2" s="87"/>
      <c r="EE2" s="65"/>
      <c r="EF2" s="87">
        <f t="shared" ref="EF2" ca="1" si="38">EF4-(COLUMN()/10000)</f>
        <v>0.98640000000000005</v>
      </c>
      <c r="EG2" s="87"/>
      <c r="EH2" s="65"/>
      <c r="EI2" s="87">
        <f t="shared" ref="EI2" ca="1" si="39">EI4-(COLUMN()/10000)</f>
        <v>-1.3899999999999999E-2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23</v>
      </c>
      <c r="T3" s="87"/>
      <c r="U3" s="65"/>
      <c r="V3" s="87">
        <f ca="1">RANK(V4,OFFSET($S$4,0,0,1,$D$5*3),0)</f>
        <v>28</v>
      </c>
      <c r="W3" s="87"/>
      <c r="X3" s="65"/>
      <c r="Y3" s="87">
        <f ca="1">RANK(Y4,OFFSET($S$4,0,0,1,$D$5*3),0)</f>
        <v>7</v>
      </c>
      <c r="Z3" s="87"/>
      <c r="AA3" s="65"/>
      <c r="AB3" s="87">
        <f ca="1">RANK(AB4,OFFSET($S$4,0,0,1,$D$5*3),0)</f>
        <v>1</v>
      </c>
      <c r="AC3" s="87"/>
      <c r="AD3" s="65"/>
      <c r="AE3" s="87">
        <f ca="1">RANK(AE4,OFFSET($S$4,0,0,1,$D$5*3),0)</f>
        <v>7</v>
      </c>
      <c r="AF3" s="87"/>
      <c r="AG3" s="65"/>
      <c r="AH3" s="87">
        <f ca="1">RANK(AH4,OFFSET($S$4,0,0,1,$D$5*3),0)</f>
        <v>2</v>
      </c>
      <c r="AI3" s="87"/>
      <c r="AJ3" s="65"/>
      <c r="AK3" s="87">
        <f ca="1">RANK(AK4,OFFSET($S$4,0,0,1,$D$5*3),0)</f>
        <v>28</v>
      </c>
      <c r="AL3" s="87"/>
      <c r="AM3" s="65"/>
      <c r="AN3" s="87">
        <f ca="1">RANK(AN4,OFFSET($S$4,0,0,1,$D$5*3),0)</f>
        <v>7</v>
      </c>
      <c r="AO3" s="87"/>
      <c r="AP3" s="65"/>
      <c r="AQ3" s="87">
        <f ca="1">RANK(AQ4,OFFSET($S$4,0,0,1,$D$5*3),0)</f>
        <v>5</v>
      </c>
      <c r="AR3" s="87"/>
      <c r="AS3" s="65"/>
      <c r="AT3" s="87">
        <f ca="1">RANK(AT4,OFFSET($S$4,0,0,1,$D$5*3),0)</f>
        <v>28</v>
      </c>
      <c r="AU3" s="87"/>
      <c r="AV3" s="65"/>
      <c r="AW3" s="87">
        <f ca="1">RANK(AW4,OFFSET($S$4,0,0,1,$D$5*3),0)</f>
        <v>7</v>
      </c>
      <c r="AX3" s="87"/>
      <c r="AY3" s="65"/>
      <c r="AZ3" s="87">
        <f ca="1">RANK(AZ4,OFFSET($S$4,0,0,1,$D$5*3),0)</f>
        <v>28</v>
      </c>
      <c r="BA3" s="87"/>
      <c r="BB3" s="65"/>
      <c r="BC3" s="87">
        <f ca="1">RANK(BC4,OFFSET($S$4,0,0,1,$D$5*3),0)</f>
        <v>28</v>
      </c>
      <c r="BD3" s="87"/>
      <c r="BE3" s="65"/>
      <c r="BF3" s="87">
        <f ca="1">RANK(BF4,OFFSET($S$4,0,0,1,$D$5*3),0)</f>
        <v>7</v>
      </c>
      <c r="BG3" s="87"/>
      <c r="BH3" s="65"/>
      <c r="BI3" s="87">
        <f ca="1">RANK(BI4,OFFSET($S$4,0,0,1,$D$5*3),0)</f>
        <v>7</v>
      </c>
      <c r="BJ3" s="87"/>
      <c r="BK3" s="65"/>
      <c r="BL3" s="87">
        <f ca="1">RANK(BL4,OFFSET($S$4,0,0,1,$D$5*3),0)</f>
        <v>40</v>
      </c>
      <c r="BM3" s="87"/>
      <c r="BN3" s="65"/>
      <c r="BO3" s="87">
        <f ca="1">RANK(BO4,OFFSET($S$4,0,0,1,$D$5*3),0)</f>
        <v>7</v>
      </c>
      <c r="BP3" s="87"/>
      <c r="BQ3" s="65"/>
      <c r="BR3" s="87">
        <f ca="1">RANK(BR4,OFFSET($S$4,0,0,1,$D$5*3),0)</f>
        <v>7</v>
      </c>
      <c r="BS3" s="87"/>
      <c r="BT3" s="65"/>
      <c r="BU3" s="87">
        <f ca="1">RANK(BU4,OFFSET($S$4,0,0,1,$D$5*3),0)</f>
        <v>28</v>
      </c>
      <c r="BV3" s="87"/>
      <c r="BW3" s="65"/>
      <c r="BX3" s="87">
        <f ca="1">RANK(BX4,OFFSET($S$4,0,0,1,$D$5*3),0)</f>
        <v>7</v>
      </c>
      <c r="BY3" s="87"/>
      <c r="BZ3" s="65"/>
      <c r="CA3" s="87">
        <f ca="1">RANK(CA4,OFFSET($S$4,0,0,1,$D$5*3),0)</f>
        <v>7</v>
      </c>
      <c r="CB3" s="87"/>
      <c r="CC3" s="65"/>
      <c r="CD3" s="87">
        <f ca="1">RANK(CD4,OFFSET($S$4,0,0,1,$D$5*3),0)</f>
        <v>28</v>
      </c>
      <c r="CE3" s="87"/>
      <c r="CF3" s="65"/>
      <c r="CG3" s="87">
        <f ca="1">RANK(CG4,OFFSET($S$4,0,0,1,$D$5*3),0)</f>
        <v>2</v>
      </c>
      <c r="CH3" s="87"/>
      <c r="CI3" s="65"/>
      <c r="CJ3" s="87">
        <f ca="1">RANK(CJ4,OFFSET($S$4,0,0,1,$D$5*3),0)</f>
        <v>7</v>
      </c>
      <c r="CK3" s="87"/>
      <c r="CL3" s="65"/>
      <c r="CM3" s="87">
        <f ca="1">RANK(CM4,OFFSET($S$4,0,0,1,$D$5*3),0)</f>
        <v>7</v>
      </c>
      <c r="CN3" s="87"/>
      <c r="CO3" s="65"/>
      <c r="CP3" s="87">
        <f ca="1">RANK(CP4,OFFSET($S$4,0,0,1,$D$5*3),0)</f>
        <v>28</v>
      </c>
      <c r="CQ3" s="87"/>
      <c r="CR3" s="65"/>
      <c r="CS3" s="87">
        <f ca="1">RANK(CS4,OFFSET($S$4,0,0,1,$D$5*3),0)</f>
        <v>23</v>
      </c>
      <c r="CT3" s="87"/>
      <c r="CU3" s="65"/>
      <c r="CV3" s="87">
        <f ca="1">RANK(CV4,OFFSET($S$4,0,0,1,$D$5*3),0)</f>
        <v>5</v>
      </c>
      <c r="CW3" s="87"/>
      <c r="CX3" s="65"/>
      <c r="CY3" s="87">
        <f ca="1">RANK(CY4,OFFSET($S$4,0,0,1,$D$5*3),0)</f>
        <v>28</v>
      </c>
      <c r="CZ3" s="87"/>
      <c r="DA3" s="65"/>
      <c r="DB3" s="87">
        <f ca="1">RANK(DB4,OFFSET($S$4,0,0,1,$D$5*3),0)</f>
        <v>7</v>
      </c>
      <c r="DC3" s="87"/>
      <c r="DD3" s="65"/>
      <c r="DE3" s="87">
        <f ca="1">RANK(DE4,OFFSET($S$4,0,0,1,$D$5*3),0)</f>
        <v>28</v>
      </c>
      <c r="DF3" s="87"/>
      <c r="DG3" s="65"/>
      <c r="DH3" s="87">
        <f ca="1">RANK(DH4,OFFSET($S$4,0,0,1,$D$5*3),0)</f>
        <v>23</v>
      </c>
      <c r="DI3" s="87"/>
      <c r="DJ3" s="65"/>
      <c r="DK3" s="87">
        <f ca="1">RANK(DK4,OFFSET($S$4,0,0,1,$D$5*3),0)</f>
        <v>7</v>
      </c>
      <c r="DL3" s="87"/>
      <c r="DM3" s="65"/>
      <c r="DN3" s="87">
        <f ca="1">RANK(DN4,OFFSET($S$4,0,0,1,$D$5*3),0)</f>
        <v>23</v>
      </c>
      <c r="DO3" s="87"/>
      <c r="DP3" s="65"/>
      <c r="DQ3" s="87">
        <f ca="1">RANK(DQ4,OFFSET($S$4,0,0,1,$D$5*3),0)</f>
        <v>28</v>
      </c>
      <c r="DR3" s="87"/>
      <c r="DS3" s="65"/>
      <c r="DT3" s="87">
        <f ca="1">RANK(DT4,OFFSET($S$4,0,0,1,$D$5*3),0)</f>
        <v>23</v>
      </c>
      <c r="DU3" s="87"/>
      <c r="DV3" s="65"/>
      <c r="DW3" s="87">
        <f ca="1">RANK(DW4,OFFSET($S$4,0,0,1,$D$5*3),0)</f>
        <v>2</v>
      </c>
      <c r="DX3" s="87"/>
      <c r="DY3" s="65"/>
      <c r="DZ3" s="87">
        <f ca="1">RANK(DZ4,OFFSET($S$4,0,0,1,$D$5*3),0)</f>
        <v>7</v>
      </c>
      <c r="EA3" s="87"/>
      <c r="EB3" s="65"/>
      <c r="EC3" s="87">
        <f ca="1">RANK(EC4,OFFSET($S$4,0,0,1,$D$5*3),0)</f>
        <v>7</v>
      </c>
      <c r="ED3" s="87"/>
      <c r="EE3" s="65"/>
      <c r="EF3" s="87">
        <f ca="1">RANK(EF4,OFFSET($S$4,0,0,1,$D$5*3),0)</f>
        <v>28</v>
      </c>
      <c r="EG3" s="87"/>
      <c r="EH3" s="65"/>
      <c r="EI3" s="87">
        <f ca="1">RANK(EI4,OFFSET($S$4,0,0,1,$D$5*3),0)</f>
        <v>40</v>
      </c>
      <c r="EJ3" s="87"/>
      <c r="EK3" s="65"/>
      <c r="EL3" s="87">
        <f ca="1">RANK(EL4,OFFSET($S$4,0,0,1,$D$5*3),0)</f>
        <v>40</v>
      </c>
      <c r="EM3" s="87"/>
      <c r="EN3" s="65"/>
      <c r="EO3" s="87">
        <f ca="1">RANK(EO4,OFFSET($S$4,0,0,1,$D$5*3),0)</f>
        <v>40</v>
      </c>
      <c r="EP3" s="87"/>
      <c r="EQ3" s="65"/>
      <c r="ER3" s="87">
        <f ca="1">RANK(ER4,OFFSET($S$4,0,0,1,$D$5*3),0)</f>
        <v>40</v>
      </c>
      <c r="ES3" s="87"/>
      <c r="ET3" s="65"/>
      <c r="EU3" s="87">
        <f ca="1">RANK(EU4,OFFSET($S$4,0,0,1,$D$5*3),0)</f>
        <v>40</v>
      </c>
      <c r="EV3" s="87"/>
      <c r="EW3" s="65"/>
      <c r="EX3" s="87">
        <f ca="1">RANK(EX4,OFFSET($S$4,0,0,1,$D$5*3),0)</f>
        <v>40</v>
      </c>
      <c r="EY3" s="87"/>
      <c r="EZ3" s="65"/>
      <c r="FA3" s="87">
        <f ca="1">RANK(FA4,OFFSET($S$4,0,0,1,$D$5*3),0)</f>
        <v>40</v>
      </c>
      <c r="FB3" s="87"/>
      <c r="FC3" s="65"/>
      <c r="FD3" s="87">
        <f ca="1">RANK(FD4,OFFSET($S$4,0,0,1,$D$5*3),0)</f>
        <v>40</v>
      </c>
      <c r="FE3" s="87"/>
      <c r="FF3" s="65"/>
      <c r="FG3" s="87">
        <f ca="1">RANK(FG4,OFFSET($S$4,0,0,1,$D$5*3),0)</f>
        <v>40</v>
      </c>
      <c r="FH3" s="87"/>
      <c r="FI3" s="65"/>
      <c r="FJ3" s="87">
        <f ca="1">RANK(FJ4,OFFSET($S$4,0,0,1,$D$5*3),0)</f>
        <v>40</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v>
      </c>
      <c r="T4" s="68"/>
      <c r="U4" s="65"/>
      <c r="V4" s="67">
        <f ca="1">SUM(W6:W259)/2</f>
        <v>1</v>
      </c>
      <c r="W4" s="68"/>
      <c r="X4" s="65"/>
      <c r="Y4" s="67">
        <f ca="1">SUM(Z6:Z259)/2</f>
        <v>4</v>
      </c>
      <c r="Z4" s="68"/>
      <c r="AA4" s="65"/>
      <c r="AB4" s="67">
        <f ca="1">SUM(AC6:AC259)/2</f>
        <v>8</v>
      </c>
      <c r="AC4" s="68"/>
      <c r="AD4" s="65"/>
      <c r="AE4" s="67">
        <f ca="1">SUM(AF6:AF259)/2</f>
        <v>4</v>
      </c>
      <c r="AF4" s="68"/>
      <c r="AG4" s="65"/>
      <c r="AH4" s="67">
        <f ca="1">SUM(AI6:AI259)/2</f>
        <v>6</v>
      </c>
      <c r="AI4" s="68"/>
      <c r="AJ4" s="65"/>
      <c r="AK4" s="67">
        <f ca="1">SUM(AL6:AL259)/2</f>
        <v>1</v>
      </c>
      <c r="AL4" s="68"/>
      <c r="AM4" s="65"/>
      <c r="AN4" s="67">
        <f ca="1">SUM(AO6:AO259)/2</f>
        <v>4</v>
      </c>
      <c r="AO4" s="68"/>
      <c r="AP4" s="65"/>
      <c r="AQ4" s="67">
        <f ca="1">SUM(AR6:AR259)/2</f>
        <v>5</v>
      </c>
      <c r="AR4" s="68"/>
      <c r="AS4" s="65"/>
      <c r="AT4" s="67">
        <f ca="1">SUM(AU6:AU259)/2</f>
        <v>1</v>
      </c>
      <c r="AU4" s="68"/>
      <c r="AV4" s="65"/>
      <c r="AW4" s="67">
        <f ca="1">SUM(AX6:AX259)/2</f>
        <v>4</v>
      </c>
      <c r="AX4" s="68"/>
      <c r="AY4" s="65"/>
      <c r="AZ4" s="67">
        <f ca="1">SUM(BA6:BA259)/2</f>
        <v>1</v>
      </c>
      <c r="BA4" s="68"/>
      <c r="BB4" s="65"/>
      <c r="BC4" s="67">
        <f ca="1">SUM(BD6:BD259)/2</f>
        <v>1</v>
      </c>
      <c r="BD4" s="68"/>
      <c r="BE4" s="65"/>
      <c r="BF4" s="67">
        <f ca="1">SUM(BG6:BG259)/2</f>
        <v>4</v>
      </c>
      <c r="BG4" s="68"/>
      <c r="BH4" s="65"/>
      <c r="BI4" s="67">
        <f ca="1">SUM(BJ6:BJ259)/2</f>
        <v>4</v>
      </c>
      <c r="BJ4" s="68"/>
      <c r="BK4" s="65"/>
      <c r="BL4" s="67">
        <f ca="1">SUM(BM6:BM259)/2</f>
        <v>0</v>
      </c>
      <c r="BM4" s="68"/>
      <c r="BN4" s="65"/>
      <c r="BO4" s="67">
        <f ca="1">SUM(BP6:BP259)/2</f>
        <v>4</v>
      </c>
      <c r="BP4" s="68"/>
      <c r="BQ4" s="65"/>
      <c r="BR4" s="67">
        <f ca="1">SUM(BS6:BS259)/2</f>
        <v>4</v>
      </c>
      <c r="BS4" s="68"/>
      <c r="BT4" s="65"/>
      <c r="BU4" s="67">
        <f ca="1">SUM(BV6:BV259)/2</f>
        <v>1</v>
      </c>
      <c r="BV4" s="68"/>
      <c r="BW4" s="65"/>
      <c r="BX4" s="67">
        <f ca="1">SUM(BY6:BY259)/2</f>
        <v>4</v>
      </c>
      <c r="BY4" s="68"/>
      <c r="BZ4" s="65"/>
      <c r="CA4" s="67">
        <f ca="1">SUM(CB6:CB259)/2</f>
        <v>4</v>
      </c>
      <c r="CB4" s="68"/>
      <c r="CC4" s="65"/>
      <c r="CD4" s="67">
        <f ca="1">SUM(CE6:CE259)/2</f>
        <v>1</v>
      </c>
      <c r="CE4" s="68"/>
      <c r="CF4" s="65"/>
      <c r="CG4" s="67">
        <f ca="1">SUM(CH6:CH259)/2</f>
        <v>6</v>
      </c>
      <c r="CH4" s="68"/>
      <c r="CI4" s="65"/>
      <c r="CJ4" s="67">
        <f ca="1">SUM(CK6:CK259)/2</f>
        <v>4</v>
      </c>
      <c r="CK4" s="68"/>
      <c r="CL4" s="65"/>
      <c r="CM4" s="67">
        <f ca="1">SUM(CN6:CN259)/2</f>
        <v>4</v>
      </c>
      <c r="CN4" s="68"/>
      <c r="CO4" s="65"/>
      <c r="CP4" s="67">
        <f ca="1">SUM(CQ6:CQ259)/2</f>
        <v>1</v>
      </c>
      <c r="CQ4" s="68"/>
      <c r="CR4" s="65"/>
      <c r="CS4" s="67">
        <f ca="1">SUM(CT6:CT259)/2</f>
        <v>2</v>
      </c>
      <c r="CT4" s="68"/>
      <c r="CU4" s="65"/>
      <c r="CV4" s="67">
        <f ca="1">SUM(CW6:CW259)/2</f>
        <v>5</v>
      </c>
      <c r="CW4" s="68"/>
      <c r="CX4" s="65"/>
      <c r="CY4" s="67">
        <f ca="1">SUM(CZ6:CZ259)/2</f>
        <v>1</v>
      </c>
      <c r="CZ4" s="68"/>
      <c r="DA4" s="65"/>
      <c r="DB4" s="67">
        <f ca="1">SUM(DC6:DC259)/2</f>
        <v>4</v>
      </c>
      <c r="DC4" s="68"/>
      <c r="DD4" s="65"/>
      <c r="DE4" s="67">
        <f ca="1">SUM(DF6:DF259)/2</f>
        <v>1</v>
      </c>
      <c r="DF4" s="68"/>
      <c r="DG4" s="65"/>
      <c r="DH4" s="67">
        <f ca="1">SUM(DI6:DI259)/2</f>
        <v>2</v>
      </c>
      <c r="DI4" s="68"/>
      <c r="DJ4" s="65"/>
      <c r="DK4" s="67">
        <f ca="1">SUM(DL6:DL259)/2</f>
        <v>4</v>
      </c>
      <c r="DL4" s="68"/>
      <c r="DM4" s="65"/>
      <c r="DN4" s="67">
        <f ca="1">SUM(DO6:DO259)/2</f>
        <v>2</v>
      </c>
      <c r="DO4" s="68"/>
      <c r="DP4" s="65"/>
      <c r="DQ4" s="67">
        <f ca="1">SUM(DR6:DR259)/2</f>
        <v>1</v>
      </c>
      <c r="DR4" s="68"/>
      <c r="DS4" s="65"/>
      <c r="DT4" s="67">
        <f ca="1">SUM(DU6:DU259)/2</f>
        <v>2</v>
      </c>
      <c r="DU4" s="68"/>
      <c r="DV4" s="65"/>
      <c r="DW4" s="67">
        <f ca="1">SUM(DX6:DX259)/2</f>
        <v>6</v>
      </c>
      <c r="DX4" s="68"/>
      <c r="DY4" s="65"/>
      <c r="DZ4" s="67">
        <f ca="1">SUM(EA6:EA259)/2</f>
        <v>4</v>
      </c>
      <c r="EA4" s="68"/>
      <c r="EB4" s="65"/>
      <c r="EC4" s="67">
        <f ca="1">SUM(ED6:ED259)/2</f>
        <v>4</v>
      </c>
      <c r="ED4" s="68"/>
      <c r="EE4" s="65"/>
      <c r="EF4" s="67">
        <f ca="1">SUM(EG6:EG259)/2</f>
        <v>1</v>
      </c>
      <c r="EG4" s="68"/>
      <c r="EH4" s="65"/>
      <c r="EI4" s="67">
        <f ca="1">SUM(EJ6:EJ259)/2</f>
        <v>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tr">
        <f>Idiomas!$G$363&amp;ADMIN!EK5</f>
        <v>Pegar Valores Nombre J41</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tr">
        <f>Idiomas!$D$364</f>
        <v>Pegar Valores (J1)</v>
      </c>
      <c r="EJ6" s="73">
        <f t="shared" ref="EJ6" si="87">IFERROR(IF($M6=EI6,($D$8+$D$9+$D$10)*$I6,IF($N6=LEFT(EI6,1),($D$8+MAX(0,IF($D$50=1,$D$9*(1-(ABS($Q6-ABS(VALUE(MID(EI6,FIND("|",EI6)+1,FIND("-",EI6)-FIND("|",EI6)-1))-VALUE(MID(EI6,FIND("-",EI6)+1,10)))))*$D$50),$D$9*(1-(IF($N6="X",ABS($O6-VALUE(MID(EI6,FIND("|",EI6)+1,FIND("-",EI6)-FIND("|",EI6)-1))),ABS($Q6-ABS(VALUE(MID(EI6,FIND("|",EI6)+1,FIND("-",EI6)-FIND("|",EI6)-1))-VALUE(MID(EI6,FIND("-",EI6)+1,10)))))*$D$50)))))*$I6,0)),0)</f>
        <v>0</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c r="EJ7" s="73">
        <f t="shared" si="70"/>
        <v>0</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101">ABS(O8-P8)</f>
        <v>0</v>
      </c>
      <c r="R8" s="49"/>
      <c r="S8" s="74" t="s">
        <v>1944</v>
      </c>
      <c r="T8" s="73">
        <f t="shared" si="98"/>
        <v>0</v>
      </c>
      <c r="U8" s="65"/>
      <c r="V8" s="74" t="s">
        <v>1949</v>
      </c>
      <c r="W8" s="73">
        <f t="shared" si="99"/>
        <v>0</v>
      </c>
      <c r="X8" s="65"/>
      <c r="Y8" s="74" t="s">
        <v>1952</v>
      </c>
      <c r="Z8" s="73">
        <f t="shared" si="100"/>
        <v>0</v>
      </c>
      <c r="AA8" s="65"/>
      <c r="AB8" s="74" t="s">
        <v>1944</v>
      </c>
      <c r="AC8" s="73">
        <f t="shared" si="100"/>
        <v>0</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0</v>
      </c>
      <c r="AS8" s="65"/>
      <c r="AT8" s="74" t="s">
        <v>1944</v>
      </c>
      <c r="AU8" s="73">
        <f t="shared" si="100"/>
        <v>0</v>
      </c>
      <c r="AV8" s="65"/>
      <c r="AW8" s="74" t="s">
        <v>1952</v>
      </c>
      <c r="AX8" s="73">
        <f t="shared" si="100"/>
        <v>0</v>
      </c>
      <c r="AY8" s="65"/>
      <c r="AZ8" s="74" t="s">
        <v>1944</v>
      </c>
      <c r="BA8" s="73">
        <f t="shared" si="100"/>
        <v>0</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0</v>
      </c>
      <c r="BT8" s="65"/>
      <c r="BU8" s="74" t="s">
        <v>1960</v>
      </c>
      <c r="BV8" s="73">
        <f t="shared" si="100"/>
        <v>0</v>
      </c>
      <c r="BW8" s="65"/>
      <c r="BX8" s="74" t="s">
        <v>1942</v>
      </c>
      <c r="BY8" s="73">
        <f t="shared" si="100"/>
        <v>0</v>
      </c>
      <c r="BZ8" s="65"/>
      <c r="CA8" s="74" t="s">
        <v>1942</v>
      </c>
      <c r="CB8" s="73">
        <f t="shared" si="100"/>
        <v>0</v>
      </c>
      <c r="CC8" s="65"/>
      <c r="CD8" s="74" t="s">
        <v>1946</v>
      </c>
      <c r="CE8" s="73">
        <f t="shared" si="100"/>
        <v>0</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0</v>
      </c>
      <c r="CU8" s="65"/>
      <c r="CV8" s="74" t="s">
        <v>1944</v>
      </c>
      <c r="CW8" s="73">
        <f t="shared" si="70"/>
        <v>0</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0</v>
      </c>
      <c r="DY8" s="65"/>
      <c r="DZ8" s="74" t="s">
        <v>1942</v>
      </c>
      <c r="EA8" s="73">
        <f t="shared" si="70"/>
        <v>0</v>
      </c>
      <c r="EB8" s="65"/>
      <c r="EC8" s="74" t="s">
        <v>1944</v>
      </c>
      <c r="ED8" s="73">
        <f t="shared" si="70"/>
        <v>0</v>
      </c>
      <c r="EE8" s="65"/>
      <c r="EF8" s="74" t="s">
        <v>1948</v>
      </c>
      <c r="EG8" s="73">
        <f t="shared" si="70"/>
        <v>0</v>
      </c>
      <c r="EH8" s="65"/>
      <c r="EI8" s="74"/>
      <c r="EJ8" s="73">
        <f t="shared" si="70"/>
        <v>0</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101"/>
        <v>0</v>
      </c>
      <c r="R10" s="49"/>
      <c r="S10" s="74" t="s">
        <v>1946</v>
      </c>
      <c r="T10" s="73">
        <f t="shared" si="98"/>
        <v>0</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0</v>
      </c>
      <c r="AJ10" s="65"/>
      <c r="AK10" s="74" t="s">
        <v>1948</v>
      </c>
      <c r="AL10" s="73">
        <f t="shared" si="100"/>
        <v>0</v>
      </c>
      <c r="AM10" s="65"/>
      <c r="AN10" s="74" t="s">
        <v>1946</v>
      </c>
      <c r="AO10" s="73">
        <f t="shared" si="100"/>
        <v>0</v>
      </c>
      <c r="AP10" s="65"/>
      <c r="AQ10" s="74" t="s">
        <v>1948</v>
      </c>
      <c r="AR10" s="73">
        <f t="shared" si="100"/>
        <v>0</v>
      </c>
      <c r="AS10" s="65"/>
      <c r="AT10" s="74" t="s">
        <v>1948</v>
      </c>
      <c r="AU10" s="73">
        <f t="shared" si="100"/>
        <v>0</v>
      </c>
      <c r="AV10" s="65"/>
      <c r="AW10" s="74" t="s">
        <v>1944</v>
      </c>
      <c r="AX10" s="73">
        <f t="shared" si="100"/>
        <v>0</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0</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0</v>
      </c>
      <c r="CF10" s="65"/>
      <c r="CG10" s="74" t="s">
        <v>1948</v>
      </c>
      <c r="CH10" s="73">
        <f t="shared" si="100"/>
        <v>0</v>
      </c>
      <c r="CI10" s="65"/>
      <c r="CJ10" s="74" t="s">
        <v>1956</v>
      </c>
      <c r="CK10" s="73">
        <f t="shared" si="70"/>
        <v>0</v>
      </c>
      <c r="CL10" s="65"/>
      <c r="CM10" s="74" t="s">
        <v>1944</v>
      </c>
      <c r="CN10" s="73">
        <f t="shared" si="70"/>
        <v>0</v>
      </c>
      <c r="CO10" s="65"/>
      <c r="CP10" s="74" t="s">
        <v>1948</v>
      </c>
      <c r="CQ10" s="73">
        <f t="shared" si="70"/>
        <v>0</v>
      </c>
      <c r="CR10" s="65"/>
      <c r="CS10" s="74" t="s">
        <v>1948</v>
      </c>
      <c r="CT10" s="73">
        <f t="shared" si="70"/>
        <v>0</v>
      </c>
      <c r="CU10" s="65"/>
      <c r="CV10" s="74" t="s">
        <v>1946</v>
      </c>
      <c r="CW10" s="73">
        <f t="shared" si="70"/>
        <v>0</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0</v>
      </c>
      <c r="DY10" s="65"/>
      <c r="DZ10" s="74" t="s">
        <v>1948</v>
      </c>
      <c r="EA10" s="73">
        <f t="shared" si="70"/>
        <v>0</v>
      </c>
      <c r="EB10" s="65"/>
      <c r="EC10" s="74" t="s">
        <v>1948</v>
      </c>
      <c r="ED10" s="73">
        <f t="shared" si="70"/>
        <v>0</v>
      </c>
      <c r="EE10" s="65"/>
      <c r="EF10" s="74" t="s">
        <v>1942</v>
      </c>
      <c r="EG10" s="73">
        <f t="shared" si="70"/>
        <v>0</v>
      </c>
      <c r="EH10" s="65"/>
      <c r="EI10" s="74"/>
      <c r="EJ10" s="73">
        <f t="shared" si="70"/>
        <v>0</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101"/>
        <v>0</v>
      </c>
      <c r="R11" s="49"/>
      <c r="S11" s="74" t="s">
        <v>1947</v>
      </c>
      <c r="T11" s="73">
        <f t="shared" si="98"/>
        <v>0</v>
      </c>
      <c r="U11" s="65"/>
      <c r="V11" s="74" t="s">
        <v>1955</v>
      </c>
      <c r="W11" s="73">
        <f t="shared" si="99"/>
        <v>0</v>
      </c>
      <c r="X11" s="65"/>
      <c r="Y11" s="74" t="s">
        <v>1961</v>
      </c>
      <c r="Z11" s="73">
        <f t="shared" si="100"/>
        <v>0</v>
      </c>
      <c r="AA11" s="65"/>
      <c r="AB11" s="74" t="s">
        <v>1960</v>
      </c>
      <c r="AC11" s="73">
        <f t="shared" si="100"/>
        <v>0</v>
      </c>
      <c r="AD11" s="65"/>
      <c r="AE11" s="74" t="s">
        <v>1952</v>
      </c>
      <c r="AF11" s="73">
        <f t="shared" si="100"/>
        <v>0</v>
      </c>
      <c r="AG11" s="65"/>
      <c r="AH11" s="74" t="s">
        <v>1960</v>
      </c>
      <c r="AI11" s="73">
        <f t="shared" si="100"/>
        <v>0</v>
      </c>
      <c r="AJ11" s="65"/>
      <c r="AK11" s="74" t="s">
        <v>1947</v>
      </c>
      <c r="AL11" s="73">
        <f t="shared" si="100"/>
        <v>0</v>
      </c>
      <c r="AM11" s="65"/>
      <c r="AN11" s="74" t="s">
        <v>1945</v>
      </c>
      <c r="AO11" s="73">
        <f t="shared" si="100"/>
        <v>0</v>
      </c>
      <c r="AP11" s="65"/>
      <c r="AQ11" s="74" t="s">
        <v>1947</v>
      </c>
      <c r="AR11" s="73">
        <f t="shared" si="100"/>
        <v>0</v>
      </c>
      <c r="AS11" s="65"/>
      <c r="AT11" s="74" t="s">
        <v>1949</v>
      </c>
      <c r="AU11" s="73">
        <f t="shared" si="100"/>
        <v>0</v>
      </c>
      <c r="AV11" s="65"/>
      <c r="AW11" s="74" t="s">
        <v>1949</v>
      </c>
      <c r="AX11" s="73">
        <f t="shared" si="100"/>
        <v>0</v>
      </c>
      <c r="AY11" s="65"/>
      <c r="AZ11" s="74" t="s">
        <v>1960</v>
      </c>
      <c r="BA11" s="73">
        <f t="shared" si="100"/>
        <v>0</v>
      </c>
      <c r="BB11" s="65"/>
      <c r="BC11" s="74" t="s">
        <v>1960</v>
      </c>
      <c r="BD11" s="73">
        <f t="shared" si="100"/>
        <v>0</v>
      </c>
      <c r="BE11" s="65"/>
      <c r="BF11" s="74" t="s">
        <v>1960</v>
      </c>
      <c r="BG11" s="73">
        <f t="shared" si="100"/>
        <v>0</v>
      </c>
      <c r="BH11" s="65"/>
      <c r="BI11" s="74" t="s">
        <v>1961</v>
      </c>
      <c r="BJ11" s="73">
        <f t="shared" si="100"/>
        <v>0</v>
      </c>
      <c r="BK11" s="65"/>
      <c r="BL11" s="74" t="s">
        <v>1949</v>
      </c>
      <c r="BM11" s="73">
        <f t="shared" si="100"/>
        <v>0</v>
      </c>
      <c r="BN11" s="65"/>
      <c r="BO11" s="74" t="s">
        <v>1952</v>
      </c>
      <c r="BP11" s="73">
        <f t="shared" si="100"/>
        <v>0</v>
      </c>
      <c r="BQ11" s="65"/>
      <c r="BR11" s="74" t="s">
        <v>1960</v>
      </c>
      <c r="BS11" s="73">
        <f t="shared" si="100"/>
        <v>0</v>
      </c>
      <c r="BT11" s="65"/>
      <c r="BU11" s="74" t="s">
        <v>1949</v>
      </c>
      <c r="BV11" s="73">
        <f t="shared" si="100"/>
        <v>0</v>
      </c>
      <c r="BW11" s="65"/>
      <c r="BX11" s="74" t="s">
        <v>1952</v>
      </c>
      <c r="BY11" s="73">
        <f t="shared" si="100"/>
        <v>0</v>
      </c>
      <c r="BZ11" s="65"/>
      <c r="CA11" s="74" t="s">
        <v>1947</v>
      </c>
      <c r="CB11" s="73">
        <f t="shared" si="100"/>
        <v>0</v>
      </c>
      <c r="CC11" s="65"/>
      <c r="CD11" s="74" t="s">
        <v>1960</v>
      </c>
      <c r="CE11" s="73">
        <f t="shared" si="100"/>
        <v>0</v>
      </c>
      <c r="CF11" s="65"/>
      <c r="CG11" s="74" t="s">
        <v>1946</v>
      </c>
      <c r="CH11" s="73">
        <f t="shared" si="100"/>
        <v>0</v>
      </c>
      <c r="CI11" s="65"/>
      <c r="CJ11" s="74" t="s">
        <v>1949</v>
      </c>
      <c r="CK11" s="73">
        <f t="shared" si="70"/>
        <v>0</v>
      </c>
      <c r="CL11" s="65"/>
      <c r="CM11" s="74" t="s">
        <v>1947</v>
      </c>
      <c r="CN11" s="73">
        <f t="shared" si="70"/>
        <v>0</v>
      </c>
      <c r="CO11" s="65"/>
      <c r="CP11" s="74" t="s">
        <v>1955</v>
      </c>
      <c r="CQ11" s="73">
        <f t="shared" si="70"/>
        <v>0</v>
      </c>
      <c r="CR11" s="65"/>
      <c r="CS11" s="74" t="s">
        <v>1949</v>
      </c>
      <c r="CT11" s="73">
        <f t="shared" si="70"/>
        <v>0</v>
      </c>
      <c r="CU11" s="65"/>
      <c r="CV11" s="74" t="s">
        <v>1947</v>
      </c>
      <c r="CW11" s="73">
        <f t="shared" si="70"/>
        <v>0</v>
      </c>
      <c r="CX11" s="65"/>
      <c r="CY11" s="74" t="s">
        <v>1949</v>
      </c>
      <c r="CZ11" s="73">
        <f t="shared" si="70"/>
        <v>0</v>
      </c>
      <c r="DA11" s="65"/>
      <c r="DB11" s="74" t="s">
        <v>1949</v>
      </c>
      <c r="DC11" s="73">
        <f t="shared" si="70"/>
        <v>0</v>
      </c>
      <c r="DD11" s="65"/>
      <c r="DE11" s="74" t="s">
        <v>1947</v>
      </c>
      <c r="DF11" s="73">
        <f t="shared" si="70"/>
        <v>0</v>
      </c>
      <c r="DG11" s="65"/>
      <c r="DH11" s="74" t="s">
        <v>1949</v>
      </c>
      <c r="DI11" s="73">
        <f t="shared" si="70"/>
        <v>0</v>
      </c>
      <c r="DJ11" s="65"/>
      <c r="DK11" s="74" t="s">
        <v>1947</v>
      </c>
      <c r="DL11" s="73">
        <f t="shared" si="70"/>
        <v>0</v>
      </c>
      <c r="DM11" s="65"/>
      <c r="DN11" s="795" t="s">
        <v>1947</v>
      </c>
      <c r="DO11" s="73">
        <f t="shared" si="70"/>
        <v>0</v>
      </c>
      <c r="DP11" s="65"/>
      <c r="DQ11" s="795" t="s">
        <v>1946</v>
      </c>
      <c r="DR11" s="73">
        <f t="shared" si="70"/>
        <v>0</v>
      </c>
      <c r="DS11" s="65"/>
      <c r="DT11" s="74" t="s">
        <v>1955</v>
      </c>
      <c r="DU11" s="73">
        <f t="shared" si="70"/>
        <v>0</v>
      </c>
      <c r="DV11" s="65"/>
      <c r="DW11" s="74" t="s">
        <v>1949</v>
      </c>
      <c r="DX11" s="73">
        <f t="shared" si="70"/>
        <v>0</v>
      </c>
      <c r="DY11" s="65"/>
      <c r="DZ11" s="74" t="s">
        <v>1949</v>
      </c>
      <c r="EA11" s="73">
        <f t="shared" si="70"/>
        <v>0</v>
      </c>
      <c r="EB11" s="65"/>
      <c r="EC11" s="74" t="s">
        <v>1947</v>
      </c>
      <c r="ED11" s="73">
        <f t="shared" si="70"/>
        <v>0</v>
      </c>
      <c r="EE11" s="65"/>
      <c r="EF11" s="74" t="s">
        <v>1960</v>
      </c>
      <c r="EG11" s="73">
        <f t="shared" si="70"/>
        <v>0</v>
      </c>
      <c r="EH11" s="65"/>
      <c r="EI11" s="74"/>
      <c r="EJ11" s="73">
        <f t="shared" si="70"/>
        <v>0</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101"/>
        <v>0</v>
      </c>
      <c r="R12" s="49"/>
      <c r="S12" s="74" t="s">
        <v>1948</v>
      </c>
      <c r="T12" s="73">
        <f t="shared" si="98"/>
        <v>0</v>
      </c>
      <c r="U12" s="65"/>
      <c r="V12" s="74" t="s">
        <v>1954</v>
      </c>
      <c r="W12" s="73">
        <f t="shared" si="99"/>
        <v>0</v>
      </c>
      <c r="X12" s="65"/>
      <c r="Y12" s="74" t="s">
        <v>1946</v>
      </c>
      <c r="Z12" s="73">
        <f t="shared" si="100"/>
        <v>0</v>
      </c>
      <c r="AA12" s="65"/>
      <c r="AB12" s="74" t="s">
        <v>1946</v>
      </c>
      <c r="AC12" s="73">
        <f t="shared" si="100"/>
        <v>0</v>
      </c>
      <c r="AD12" s="65"/>
      <c r="AE12" s="74" t="s">
        <v>1954</v>
      </c>
      <c r="AF12" s="73">
        <f t="shared" si="100"/>
        <v>0</v>
      </c>
      <c r="AG12" s="65"/>
      <c r="AH12" s="74" t="s">
        <v>1948</v>
      </c>
      <c r="AI12" s="73">
        <f t="shared" si="100"/>
        <v>0</v>
      </c>
      <c r="AJ12" s="65"/>
      <c r="AK12" s="74" t="s">
        <v>1946</v>
      </c>
      <c r="AL12" s="73">
        <f t="shared" si="100"/>
        <v>0</v>
      </c>
      <c r="AM12" s="65"/>
      <c r="AN12" s="74" t="s">
        <v>1948</v>
      </c>
      <c r="AO12" s="73">
        <f t="shared" si="100"/>
        <v>0</v>
      </c>
      <c r="AP12" s="65"/>
      <c r="AQ12" s="74" t="s">
        <v>1948</v>
      </c>
      <c r="AR12" s="73">
        <f t="shared" si="100"/>
        <v>0</v>
      </c>
      <c r="AS12" s="65"/>
      <c r="AT12" s="74" t="s">
        <v>1948</v>
      </c>
      <c r="AU12" s="73">
        <f t="shared" si="100"/>
        <v>0</v>
      </c>
      <c r="AV12" s="65"/>
      <c r="AW12" s="74" t="s">
        <v>1946</v>
      </c>
      <c r="AX12" s="73">
        <f t="shared" si="100"/>
        <v>0</v>
      </c>
      <c r="AY12" s="65"/>
      <c r="AZ12" s="74" t="s">
        <v>1946</v>
      </c>
      <c r="BA12" s="73">
        <f t="shared" si="100"/>
        <v>0</v>
      </c>
      <c r="BB12" s="65"/>
      <c r="BC12" s="74" t="s">
        <v>1954</v>
      </c>
      <c r="BD12" s="73">
        <f t="shared" si="100"/>
        <v>0</v>
      </c>
      <c r="BE12" s="65"/>
      <c r="BF12" s="74" t="s">
        <v>1954</v>
      </c>
      <c r="BG12" s="73">
        <f t="shared" si="100"/>
        <v>0</v>
      </c>
      <c r="BH12" s="65"/>
      <c r="BI12" s="74" t="s">
        <v>1946</v>
      </c>
      <c r="BJ12" s="73">
        <f t="shared" si="100"/>
        <v>0</v>
      </c>
      <c r="BK12" s="65"/>
      <c r="BL12" s="74" t="s">
        <v>1948</v>
      </c>
      <c r="BM12" s="73">
        <f t="shared" si="100"/>
        <v>0</v>
      </c>
      <c r="BN12" s="65"/>
      <c r="BO12" s="74" t="s">
        <v>1948</v>
      </c>
      <c r="BP12" s="73">
        <f t="shared" si="100"/>
        <v>0</v>
      </c>
      <c r="BQ12" s="65"/>
      <c r="BR12" s="74" t="s">
        <v>1952</v>
      </c>
      <c r="BS12" s="73">
        <f t="shared" si="100"/>
        <v>0</v>
      </c>
      <c r="BT12" s="65"/>
      <c r="BU12" s="74" t="s">
        <v>1948</v>
      </c>
      <c r="BV12" s="73">
        <f t="shared" si="100"/>
        <v>0</v>
      </c>
      <c r="BW12" s="65"/>
      <c r="BX12" s="74" t="s">
        <v>1946</v>
      </c>
      <c r="BY12" s="73">
        <f t="shared" si="100"/>
        <v>0</v>
      </c>
      <c r="BZ12" s="65"/>
      <c r="CA12" s="74" t="s">
        <v>1942</v>
      </c>
      <c r="CB12" s="73">
        <f t="shared" si="100"/>
        <v>0</v>
      </c>
      <c r="CC12" s="65"/>
      <c r="CD12" s="74" t="s">
        <v>1943</v>
      </c>
      <c r="CE12" s="73">
        <f t="shared" si="100"/>
        <v>0</v>
      </c>
      <c r="CF12" s="65"/>
      <c r="CG12" s="74" t="s">
        <v>1948</v>
      </c>
      <c r="CH12" s="73">
        <f t="shared" si="100"/>
        <v>0</v>
      </c>
      <c r="CI12" s="65"/>
      <c r="CJ12" s="74" t="s">
        <v>1942</v>
      </c>
      <c r="CK12" s="73">
        <f t="shared" si="70"/>
        <v>0</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0</v>
      </c>
      <c r="DA12" s="65"/>
      <c r="DB12" s="74" t="s">
        <v>1946</v>
      </c>
      <c r="DC12" s="73">
        <f t="shared" si="70"/>
        <v>0</v>
      </c>
      <c r="DD12" s="65"/>
      <c r="DE12" s="74" t="s">
        <v>1946</v>
      </c>
      <c r="DF12" s="73">
        <f t="shared" si="70"/>
        <v>0</v>
      </c>
      <c r="DG12" s="65"/>
      <c r="DH12" s="74" t="s">
        <v>1948</v>
      </c>
      <c r="DI12" s="73">
        <f t="shared" si="70"/>
        <v>0</v>
      </c>
      <c r="DJ12" s="65"/>
      <c r="DK12" s="74" t="s">
        <v>1946</v>
      </c>
      <c r="DL12" s="73">
        <f t="shared" si="70"/>
        <v>0</v>
      </c>
      <c r="DM12" s="65"/>
      <c r="DN12" s="795" t="s">
        <v>1946</v>
      </c>
      <c r="DO12" s="73">
        <f t="shared" si="70"/>
        <v>0</v>
      </c>
      <c r="DP12" s="65"/>
      <c r="DQ12" s="795" t="s">
        <v>1946</v>
      </c>
      <c r="DR12" s="73">
        <f t="shared" si="70"/>
        <v>0</v>
      </c>
      <c r="DS12" s="65"/>
      <c r="DT12" s="74" t="s">
        <v>1943</v>
      </c>
      <c r="DU12" s="73">
        <f t="shared" si="70"/>
        <v>0</v>
      </c>
      <c r="DV12" s="65"/>
      <c r="DW12" s="74" t="s">
        <v>1942</v>
      </c>
      <c r="DX12" s="73">
        <f t="shared" si="70"/>
        <v>0</v>
      </c>
      <c r="DY12" s="65"/>
      <c r="DZ12" s="74" t="s">
        <v>1954</v>
      </c>
      <c r="EA12" s="73">
        <f t="shared" si="70"/>
        <v>0</v>
      </c>
      <c r="EB12" s="65"/>
      <c r="EC12" s="74" t="s">
        <v>1960</v>
      </c>
      <c r="ED12" s="73">
        <f t="shared" si="70"/>
        <v>0</v>
      </c>
      <c r="EE12" s="65"/>
      <c r="EF12" s="74" t="s">
        <v>1948</v>
      </c>
      <c r="EG12" s="73">
        <f t="shared" si="70"/>
        <v>0</v>
      </c>
      <c r="EH12" s="65"/>
      <c r="EI12" s="74"/>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101"/>
        <v>0</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101"/>
        <v>0</v>
      </c>
      <c r="R14" s="49"/>
      <c r="S14" s="74" t="s">
        <v>1950</v>
      </c>
      <c r="T14" s="73">
        <f t="shared" si="98"/>
        <v>0</v>
      </c>
      <c r="U14" s="65"/>
      <c r="V14" s="74" t="s">
        <v>2001</v>
      </c>
      <c r="W14" s="73">
        <f t="shared" si="99"/>
        <v>0</v>
      </c>
      <c r="X14" s="65"/>
      <c r="Y14" s="74" t="s">
        <v>2001</v>
      </c>
      <c r="Z14" s="73">
        <f t="shared" si="100"/>
        <v>0</v>
      </c>
      <c r="AA14" s="65"/>
      <c r="AB14" s="74" t="s">
        <v>1943</v>
      </c>
      <c r="AC14" s="73">
        <f t="shared" si="100"/>
        <v>0</v>
      </c>
      <c r="AD14" s="65"/>
      <c r="AE14" s="74" t="s">
        <v>1951</v>
      </c>
      <c r="AF14" s="73">
        <f t="shared" si="100"/>
        <v>0</v>
      </c>
      <c r="AG14" s="65"/>
      <c r="AH14" s="74" t="s">
        <v>2001</v>
      </c>
      <c r="AI14" s="73">
        <f t="shared" si="100"/>
        <v>0</v>
      </c>
      <c r="AJ14" s="65"/>
      <c r="AK14" s="74" t="s">
        <v>1951</v>
      </c>
      <c r="AL14" s="73">
        <f t="shared" si="100"/>
        <v>0</v>
      </c>
      <c r="AM14" s="65"/>
      <c r="AN14" s="74" t="s">
        <v>2001</v>
      </c>
      <c r="AO14" s="73">
        <f t="shared" si="100"/>
        <v>0</v>
      </c>
      <c r="AP14" s="65"/>
      <c r="AQ14" s="74" t="s">
        <v>1950</v>
      </c>
      <c r="AR14" s="73">
        <f t="shared" si="100"/>
        <v>0</v>
      </c>
      <c r="AS14" s="65"/>
      <c r="AT14" s="74" t="s">
        <v>1954</v>
      </c>
      <c r="AU14" s="73">
        <f t="shared" si="100"/>
        <v>0</v>
      </c>
      <c r="AV14" s="65"/>
      <c r="AW14" s="74" t="s">
        <v>1951</v>
      </c>
      <c r="AX14" s="73">
        <f t="shared" si="100"/>
        <v>0</v>
      </c>
      <c r="AY14" s="65"/>
      <c r="AZ14" s="74" t="s">
        <v>1950</v>
      </c>
      <c r="BA14" s="73">
        <f t="shared" si="100"/>
        <v>0</v>
      </c>
      <c r="BB14" s="65"/>
      <c r="BC14" s="74" t="s">
        <v>1958</v>
      </c>
      <c r="BD14" s="73">
        <f t="shared" si="100"/>
        <v>0</v>
      </c>
      <c r="BE14" s="65"/>
      <c r="BF14" s="74" t="s">
        <v>1958</v>
      </c>
      <c r="BG14" s="73">
        <f t="shared" si="100"/>
        <v>0</v>
      </c>
      <c r="BH14" s="65"/>
      <c r="BI14" s="74" t="s">
        <v>2001</v>
      </c>
      <c r="BJ14" s="73">
        <f t="shared" si="100"/>
        <v>0</v>
      </c>
      <c r="BK14" s="65"/>
      <c r="BL14" s="74" t="s">
        <v>2001</v>
      </c>
      <c r="BM14" s="73">
        <f t="shared" si="100"/>
        <v>0</v>
      </c>
      <c r="BN14" s="65"/>
      <c r="BO14" s="74" t="s">
        <v>2001</v>
      </c>
      <c r="BP14" s="73">
        <f t="shared" si="100"/>
        <v>0</v>
      </c>
      <c r="BQ14" s="65"/>
      <c r="BR14" s="74" t="s">
        <v>1958</v>
      </c>
      <c r="BS14" s="73">
        <f t="shared" si="100"/>
        <v>0</v>
      </c>
      <c r="BT14" s="65"/>
      <c r="BU14" s="74" t="s">
        <v>2001</v>
      </c>
      <c r="BV14" s="73">
        <f t="shared" si="100"/>
        <v>0</v>
      </c>
      <c r="BW14" s="65"/>
      <c r="BX14" s="74" t="s">
        <v>1958</v>
      </c>
      <c r="BY14" s="73">
        <f t="shared" si="100"/>
        <v>0</v>
      </c>
      <c r="BZ14" s="65"/>
      <c r="CA14" s="74" t="s">
        <v>2001</v>
      </c>
      <c r="CB14" s="73">
        <f t="shared" si="100"/>
        <v>0</v>
      </c>
      <c r="CC14" s="65"/>
      <c r="CD14" s="74" t="s">
        <v>1954</v>
      </c>
      <c r="CE14" s="73">
        <f t="shared" si="100"/>
        <v>0</v>
      </c>
      <c r="CF14" s="65"/>
      <c r="CG14" s="74" t="s">
        <v>1958</v>
      </c>
      <c r="CH14" s="73">
        <f t="shared" si="100"/>
        <v>0</v>
      </c>
      <c r="CI14" s="65"/>
      <c r="CJ14" s="74" t="s">
        <v>2001</v>
      </c>
      <c r="CK14" s="73">
        <f t="shared" si="70"/>
        <v>0</v>
      </c>
      <c r="CL14" s="65"/>
      <c r="CM14" s="74" t="s">
        <v>1951</v>
      </c>
      <c r="CN14" s="73">
        <f t="shared" si="70"/>
        <v>0</v>
      </c>
      <c r="CO14" s="65"/>
      <c r="CP14" s="74" t="s">
        <v>1951</v>
      </c>
      <c r="CQ14" s="73">
        <f t="shared" si="70"/>
        <v>0</v>
      </c>
      <c r="CR14" s="65"/>
      <c r="CS14" s="74" t="s">
        <v>1958</v>
      </c>
      <c r="CT14" s="73">
        <f t="shared" si="70"/>
        <v>0</v>
      </c>
      <c r="CU14" s="65"/>
      <c r="CV14" s="74" t="s">
        <v>2001</v>
      </c>
      <c r="CW14" s="73">
        <f t="shared" si="70"/>
        <v>0</v>
      </c>
      <c r="CX14" s="65"/>
      <c r="CY14" s="74" t="s">
        <v>1950</v>
      </c>
      <c r="CZ14" s="73">
        <f t="shared" si="70"/>
        <v>0</v>
      </c>
      <c r="DA14" s="65"/>
      <c r="DB14" s="74" t="s">
        <v>1958</v>
      </c>
      <c r="DC14" s="73">
        <f t="shared" si="70"/>
        <v>0</v>
      </c>
      <c r="DD14" s="65"/>
      <c r="DE14" s="74" t="s">
        <v>2001</v>
      </c>
      <c r="DF14" s="73">
        <f t="shared" si="70"/>
        <v>0</v>
      </c>
      <c r="DG14" s="65"/>
      <c r="DH14" s="74" t="s">
        <v>1958</v>
      </c>
      <c r="DI14" s="73">
        <f t="shared" si="70"/>
        <v>0</v>
      </c>
      <c r="DJ14" s="65"/>
      <c r="DK14" s="74" t="s">
        <v>1951</v>
      </c>
      <c r="DL14" s="73">
        <f t="shared" si="70"/>
        <v>0</v>
      </c>
      <c r="DM14" s="65"/>
      <c r="DN14" s="795" t="s">
        <v>1951</v>
      </c>
      <c r="DO14" s="73">
        <f t="shared" si="70"/>
        <v>0</v>
      </c>
      <c r="DP14" s="65"/>
      <c r="DQ14" s="795" t="s">
        <v>1951</v>
      </c>
      <c r="DR14" s="73">
        <f t="shared" si="70"/>
        <v>0</v>
      </c>
      <c r="DS14" s="65"/>
      <c r="DT14" s="74" t="s">
        <v>2002</v>
      </c>
      <c r="DU14" s="73">
        <f t="shared" si="70"/>
        <v>0</v>
      </c>
      <c r="DV14" s="65"/>
      <c r="DW14" s="74" t="s">
        <v>1950</v>
      </c>
      <c r="DX14" s="73">
        <f t="shared" si="70"/>
        <v>0</v>
      </c>
      <c r="DY14" s="65"/>
      <c r="DZ14" s="74" t="s">
        <v>2001</v>
      </c>
      <c r="EA14" s="73">
        <f t="shared" si="70"/>
        <v>0</v>
      </c>
      <c r="EB14" s="65"/>
      <c r="EC14" s="74" t="s">
        <v>1958</v>
      </c>
      <c r="ED14" s="73">
        <f t="shared" si="70"/>
        <v>0</v>
      </c>
      <c r="EE14" s="65"/>
      <c r="EF14" s="74" t="s">
        <v>1951</v>
      </c>
      <c r="EG14" s="73">
        <f t="shared" si="70"/>
        <v>0</v>
      </c>
      <c r="EH14" s="65"/>
      <c r="EI14" s="74"/>
      <c r="EJ14" s="73">
        <f t="shared" si="70"/>
        <v>0</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101"/>
        <v>0</v>
      </c>
      <c r="R15" s="49"/>
      <c r="S15" s="74" t="s">
        <v>1948</v>
      </c>
      <c r="T15" s="73">
        <f t="shared" si="98"/>
        <v>0</v>
      </c>
      <c r="U15" s="65"/>
      <c r="V15" s="74" t="s">
        <v>1944</v>
      </c>
      <c r="W15" s="73">
        <f t="shared" si="99"/>
        <v>0</v>
      </c>
      <c r="X15" s="65"/>
      <c r="Y15" s="74" t="s">
        <v>1948</v>
      </c>
      <c r="Z15" s="73">
        <f t="shared" si="100"/>
        <v>0</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0</v>
      </c>
      <c r="BK15" s="65"/>
      <c r="BL15" s="74" t="s">
        <v>1946</v>
      </c>
      <c r="BM15" s="73">
        <f t="shared" si="100"/>
        <v>0</v>
      </c>
      <c r="BN15" s="65"/>
      <c r="BO15" s="74" t="s">
        <v>1948</v>
      </c>
      <c r="BP15" s="73">
        <f t="shared" si="100"/>
        <v>0</v>
      </c>
      <c r="BQ15" s="65"/>
      <c r="BR15" s="74" t="s">
        <v>1952</v>
      </c>
      <c r="BS15" s="73">
        <f t="shared" si="100"/>
        <v>0</v>
      </c>
      <c r="BT15" s="65"/>
      <c r="BU15" s="74" t="s">
        <v>1958</v>
      </c>
      <c r="BV15" s="73">
        <f t="shared" si="100"/>
        <v>0</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0</v>
      </c>
      <c r="BB16" s="65"/>
      <c r="BC16" s="74" t="s">
        <v>1943</v>
      </c>
      <c r="BD16" s="73">
        <f t="shared" si="100"/>
        <v>0</v>
      </c>
      <c r="BE16" s="65"/>
      <c r="BF16" s="74" t="s">
        <v>1948</v>
      </c>
      <c r="BG16" s="73">
        <f t="shared" si="100"/>
        <v>0</v>
      </c>
      <c r="BH16" s="65"/>
      <c r="BI16" s="74" t="s">
        <v>1948</v>
      </c>
      <c r="BJ16" s="73">
        <f t="shared" si="100"/>
        <v>0</v>
      </c>
      <c r="BK16" s="65"/>
      <c r="BL16" s="74" t="s">
        <v>1946</v>
      </c>
      <c r="BM16" s="73">
        <f t="shared" si="100"/>
        <v>0</v>
      </c>
      <c r="BN16" s="65"/>
      <c r="BO16" s="74" t="s">
        <v>1948</v>
      </c>
      <c r="BP16" s="73">
        <f t="shared" si="100"/>
        <v>0</v>
      </c>
      <c r="BQ16" s="65"/>
      <c r="BR16" s="74" t="s">
        <v>1946</v>
      </c>
      <c r="BS16" s="73">
        <f t="shared" si="100"/>
        <v>0</v>
      </c>
      <c r="BT16" s="65"/>
      <c r="BU16" s="74" t="s">
        <v>1952</v>
      </c>
      <c r="BV16" s="73">
        <f t="shared" si="100"/>
        <v>0</v>
      </c>
      <c r="BW16" s="65"/>
      <c r="BX16" s="74" t="s">
        <v>1948</v>
      </c>
      <c r="BY16" s="73">
        <f t="shared" si="100"/>
        <v>0</v>
      </c>
      <c r="BZ16" s="65"/>
      <c r="CA16" s="74" t="s">
        <v>1946</v>
      </c>
      <c r="CB16" s="73">
        <f t="shared" si="100"/>
        <v>0</v>
      </c>
      <c r="CC16" s="65"/>
      <c r="CD16" s="74" t="s">
        <v>1960</v>
      </c>
      <c r="CE16" s="73">
        <f t="shared" si="100"/>
        <v>0</v>
      </c>
      <c r="CF16" s="65"/>
      <c r="CG16" s="74" t="s">
        <v>1946</v>
      </c>
      <c r="CH16" s="73">
        <f t="shared" si="100"/>
        <v>0</v>
      </c>
      <c r="CI16" s="65"/>
      <c r="CJ16" s="74" t="s">
        <v>1946</v>
      </c>
      <c r="CK16" s="73">
        <f t="shared" si="70"/>
        <v>0</v>
      </c>
      <c r="CL16" s="65"/>
      <c r="CM16" s="74" t="s">
        <v>1945</v>
      </c>
      <c r="CN16" s="73">
        <f t="shared" si="70"/>
        <v>0</v>
      </c>
      <c r="CO16" s="65"/>
      <c r="CP16" s="74" t="s">
        <v>1946</v>
      </c>
      <c r="CQ16" s="73">
        <f t="shared" si="70"/>
        <v>0</v>
      </c>
      <c r="CR16" s="65"/>
      <c r="CS16" s="74" t="s">
        <v>1942</v>
      </c>
      <c r="CT16" s="73">
        <f t="shared" si="70"/>
        <v>0</v>
      </c>
      <c r="CU16" s="65"/>
      <c r="CV16" s="74" t="s">
        <v>1942</v>
      </c>
      <c r="CW16" s="73">
        <f t="shared" si="70"/>
        <v>0</v>
      </c>
      <c r="CX16" s="65"/>
      <c r="CY16" s="74" t="s">
        <v>1946</v>
      </c>
      <c r="CZ16" s="73">
        <f t="shared" si="70"/>
        <v>0</v>
      </c>
      <c r="DA16" s="65"/>
      <c r="DB16" s="74" t="s">
        <v>1948</v>
      </c>
      <c r="DC16" s="73">
        <f t="shared" si="70"/>
        <v>0</v>
      </c>
      <c r="DD16" s="65"/>
      <c r="DE16" s="74" t="s">
        <v>1948</v>
      </c>
      <c r="DF16" s="73">
        <f t="shared" si="70"/>
        <v>0</v>
      </c>
      <c r="DG16" s="65"/>
      <c r="DH16" s="74" t="s">
        <v>1944</v>
      </c>
      <c r="DI16" s="73">
        <f t="shared" si="70"/>
        <v>0</v>
      </c>
      <c r="DJ16" s="65"/>
      <c r="DK16" s="74" t="s">
        <v>1948</v>
      </c>
      <c r="DL16" s="73">
        <f t="shared" si="70"/>
        <v>0</v>
      </c>
      <c r="DM16" s="65"/>
      <c r="DN16" s="795" t="s">
        <v>1948</v>
      </c>
      <c r="DO16" s="73">
        <f t="shared" si="70"/>
        <v>0</v>
      </c>
      <c r="DP16" s="65"/>
      <c r="DQ16" s="795" t="s">
        <v>1962</v>
      </c>
      <c r="DR16" s="73">
        <f t="shared" si="70"/>
        <v>0</v>
      </c>
      <c r="DS16" s="65"/>
      <c r="DT16" s="74" t="s">
        <v>1944</v>
      </c>
      <c r="DU16" s="73">
        <f t="shared" si="70"/>
        <v>0</v>
      </c>
      <c r="DV16" s="65"/>
      <c r="DW16" s="74" t="s">
        <v>1944</v>
      </c>
      <c r="DX16" s="73">
        <f t="shared" si="70"/>
        <v>0</v>
      </c>
      <c r="DY16" s="65"/>
      <c r="DZ16" s="74" t="s">
        <v>1946</v>
      </c>
      <c r="EA16" s="73">
        <f t="shared" si="70"/>
        <v>0</v>
      </c>
      <c r="EB16" s="65"/>
      <c r="EC16" s="74" t="s">
        <v>1958</v>
      </c>
      <c r="ED16" s="73">
        <f t="shared" si="70"/>
        <v>0</v>
      </c>
      <c r="EE16" s="65"/>
      <c r="EF16" s="74" t="s">
        <v>1946</v>
      </c>
      <c r="EG16" s="73">
        <f t="shared" si="70"/>
        <v>0</v>
      </c>
      <c r="EH16" s="65"/>
      <c r="EI16" s="74"/>
      <c r="EJ16" s="73">
        <f t="shared" si="70"/>
        <v>0</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101"/>
        <v>0</v>
      </c>
      <c r="R17" s="49"/>
      <c r="S17" s="74" t="s">
        <v>1945</v>
      </c>
      <c r="T17" s="73">
        <f t="shared" si="98"/>
        <v>0</v>
      </c>
      <c r="U17" s="65"/>
      <c r="V17" s="74" t="s">
        <v>1942</v>
      </c>
      <c r="W17" s="73">
        <f t="shared" si="99"/>
        <v>0</v>
      </c>
      <c r="X17" s="65"/>
      <c r="Y17" s="74" t="s">
        <v>1942</v>
      </c>
      <c r="Z17" s="73">
        <f t="shared" si="100"/>
        <v>0</v>
      </c>
      <c r="AA17" s="65"/>
      <c r="AB17" s="74" t="s">
        <v>1942</v>
      </c>
      <c r="AC17" s="73">
        <f t="shared" si="100"/>
        <v>0</v>
      </c>
      <c r="AD17" s="65"/>
      <c r="AE17" s="74" t="s">
        <v>1948</v>
      </c>
      <c r="AF17" s="73">
        <f t="shared" si="100"/>
        <v>0</v>
      </c>
      <c r="AG17" s="65"/>
      <c r="AH17" s="74" t="s">
        <v>1942</v>
      </c>
      <c r="AI17" s="73">
        <f t="shared" si="100"/>
        <v>0</v>
      </c>
      <c r="AJ17" s="65"/>
      <c r="AK17" s="74" t="s">
        <v>1942</v>
      </c>
      <c r="AL17" s="73">
        <f t="shared" si="100"/>
        <v>0</v>
      </c>
      <c r="AM17" s="65"/>
      <c r="AN17" s="74" t="s">
        <v>1946</v>
      </c>
      <c r="AO17" s="73">
        <f t="shared" si="100"/>
        <v>0</v>
      </c>
      <c r="AP17" s="65"/>
      <c r="AQ17" s="74" t="s">
        <v>1954</v>
      </c>
      <c r="AR17" s="73">
        <f t="shared" si="100"/>
        <v>0</v>
      </c>
      <c r="AS17" s="65"/>
      <c r="AT17" s="74" t="s">
        <v>1946</v>
      </c>
      <c r="AU17" s="73">
        <f t="shared" si="100"/>
        <v>0</v>
      </c>
      <c r="AV17" s="65"/>
      <c r="AW17" s="74" t="s">
        <v>1946</v>
      </c>
      <c r="AX17" s="73">
        <f t="shared" si="100"/>
        <v>0</v>
      </c>
      <c r="AY17" s="65"/>
      <c r="AZ17" s="74" t="s">
        <v>1948</v>
      </c>
      <c r="BA17" s="73">
        <f t="shared" si="100"/>
        <v>0</v>
      </c>
      <c r="BB17" s="65"/>
      <c r="BC17" s="74" t="s">
        <v>1942</v>
      </c>
      <c r="BD17" s="73">
        <f t="shared" si="100"/>
        <v>0</v>
      </c>
      <c r="BE17" s="65"/>
      <c r="BF17" s="74" t="s">
        <v>1946</v>
      </c>
      <c r="BG17" s="73">
        <f t="shared" si="100"/>
        <v>0</v>
      </c>
      <c r="BH17" s="65"/>
      <c r="BI17" s="74" t="s">
        <v>1942</v>
      </c>
      <c r="BJ17" s="73">
        <f t="shared" si="100"/>
        <v>0</v>
      </c>
      <c r="BK17" s="65"/>
      <c r="BL17" s="74" t="s">
        <v>1942</v>
      </c>
      <c r="BM17" s="73">
        <f t="shared" si="100"/>
        <v>0</v>
      </c>
      <c r="BN17" s="65"/>
      <c r="BO17" s="74" t="s">
        <v>1948</v>
      </c>
      <c r="BP17" s="73">
        <f t="shared" si="100"/>
        <v>0</v>
      </c>
      <c r="BQ17" s="65"/>
      <c r="BR17" s="74" t="s">
        <v>1942</v>
      </c>
      <c r="BS17" s="73">
        <f t="shared" si="100"/>
        <v>0</v>
      </c>
      <c r="BT17" s="65"/>
      <c r="BU17" s="74" t="s">
        <v>1948</v>
      </c>
      <c r="BV17" s="73">
        <f t="shared" si="100"/>
        <v>0</v>
      </c>
      <c r="BW17" s="65"/>
      <c r="BX17" s="74" t="s">
        <v>1946</v>
      </c>
      <c r="BY17" s="73">
        <f t="shared" si="100"/>
        <v>0</v>
      </c>
      <c r="BZ17" s="65"/>
      <c r="CA17" s="74" t="s">
        <v>1954</v>
      </c>
      <c r="CB17" s="73">
        <f t="shared" si="100"/>
        <v>0</v>
      </c>
      <c r="CC17" s="65"/>
      <c r="CD17" s="74" t="s">
        <v>1957</v>
      </c>
      <c r="CE17" s="73">
        <f t="shared" si="100"/>
        <v>0</v>
      </c>
      <c r="CF17" s="65"/>
      <c r="CG17" s="74" t="s">
        <v>1942</v>
      </c>
      <c r="CH17" s="73">
        <f t="shared" si="100"/>
        <v>0</v>
      </c>
      <c r="CI17" s="65"/>
      <c r="CJ17" s="74" t="s">
        <v>1957</v>
      </c>
      <c r="CK17" s="73">
        <f t="shared" si="70"/>
        <v>0</v>
      </c>
      <c r="CL17" s="65"/>
      <c r="CM17" s="74" t="s">
        <v>1957</v>
      </c>
      <c r="CN17" s="73">
        <f t="shared" si="70"/>
        <v>0</v>
      </c>
      <c r="CO17" s="65"/>
      <c r="CP17" s="74" t="s">
        <v>1942</v>
      </c>
      <c r="CQ17" s="73">
        <f t="shared" si="70"/>
        <v>0</v>
      </c>
      <c r="CR17" s="65"/>
      <c r="CS17" s="74" t="s">
        <v>1946</v>
      </c>
      <c r="CT17" s="73">
        <f t="shared" si="70"/>
        <v>0</v>
      </c>
      <c r="CU17" s="65"/>
      <c r="CV17" s="74" t="s">
        <v>1954</v>
      </c>
      <c r="CW17" s="73">
        <f t="shared" si="70"/>
        <v>0</v>
      </c>
      <c r="CX17" s="65"/>
      <c r="CY17" s="74" t="s">
        <v>1954</v>
      </c>
      <c r="CZ17" s="73">
        <f t="shared" si="70"/>
        <v>0</v>
      </c>
      <c r="DA17" s="65"/>
      <c r="DB17" s="74" t="s">
        <v>1942</v>
      </c>
      <c r="DC17" s="73">
        <f t="shared" si="70"/>
        <v>0</v>
      </c>
      <c r="DD17" s="65"/>
      <c r="DE17" s="74" t="s">
        <v>1948</v>
      </c>
      <c r="DF17" s="73">
        <f t="shared" si="70"/>
        <v>0</v>
      </c>
      <c r="DG17" s="65"/>
      <c r="DH17" s="74" t="s">
        <v>1942</v>
      </c>
      <c r="DI17" s="73">
        <f t="shared" si="70"/>
        <v>0</v>
      </c>
      <c r="DJ17" s="65"/>
      <c r="DK17" s="74" t="s">
        <v>1954</v>
      </c>
      <c r="DL17" s="73">
        <f t="shared" si="70"/>
        <v>0</v>
      </c>
      <c r="DM17" s="65"/>
      <c r="DN17" s="795" t="s">
        <v>1944</v>
      </c>
      <c r="DO17" s="73">
        <f t="shared" si="70"/>
        <v>0</v>
      </c>
      <c r="DP17" s="65"/>
      <c r="DQ17" s="795" t="s">
        <v>1946</v>
      </c>
      <c r="DR17" s="73">
        <f t="shared" si="70"/>
        <v>0</v>
      </c>
      <c r="DS17" s="65"/>
      <c r="DT17" s="74" t="s">
        <v>1956</v>
      </c>
      <c r="DU17" s="73">
        <f t="shared" si="70"/>
        <v>0</v>
      </c>
      <c r="DV17" s="65"/>
      <c r="DW17" s="74" t="s">
        <v>1948</v>
      </c>
      <c r="DX17" s="73">
        <f t="shared" si="70"/>
        <v>0</v>
      </c>
      <c r="DY17" s="65"/>
      <c r="DZ17" s="74" t="s">
        <v>1942</v>
      </c>
      <c r="EA17" s="73">
        <f t="shared" si="70"/>
        <v>0</v>
      </c>
      <c r="EB17" s="65"/>
      <c r="EC17" s="74" t="s">
        <v>1946</v>
      </c>
      <c r="ED17" s="73">
        <f t="shared" si="70"/>
        <v>0</v>
      </c>
      <c r="EE17" s="65"/>
      <c r="EF17" s="74" t="s">
        <v>1948</v>
      </c>
      <c r="EG17" s="73">
        <f t="shared" si="70"/>
        <v>0</v>
      </c>
      <c r="EH17" s="65"/>
      <c r="EI17" s="74"/>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101"/>
        <v>0</v>
      </c>
      <c r="R18" s="49"/>
      <c r="S18" s="74" t="s">
        <v>1943</v>
      </c>
      <c r="T18" s="73">
        <f t="shared" si="98"/>
        <v>0</v>
      </c>
      <c r="U18" s="65"/>
      <c r="V18" s="74" t="s">
        <v>1948</v>
      </c>
      <c r="W18" s="73">
        <f t="shared" si="99"/>
        <v>0</v>
      </c>
      <c r="X18" s="65"/>
      <c r="Y18" s="74" t="s">
        <v>1946</v>
      </c>
      <c r="Z18" s="73">
        <f t="shared" si="100"/>
        <v>0</v>
      </c>
      <c r="AA18" s="65"/>
      <c r="AB18" s="74" t="s">
        <v>1946</v>
      </c>
      <c r="AC18" s="73">
        <f t="shared" si="100"/>
        <v>0</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0</v>
      </c>
      <c r="AS18" s="65"/>
      <c r="AT18" s="74" t="s">
        <v>1946</v>
      </c>
      <c r="AU18" s="73">
        <f t="shared" si="100"/>
        <v>0</v>
      </c>
      <c r="AV18" s="65"/>
      <c r="AW18" s="74" t="s">
        <v>1943</v>
      </c>
      <c r="AX18" s="73">
        <f t="shared" si="100"/>
        <v>0</v>
      </c>
      <c r="AY18" s="65"/>
      <c r="AZ18" s="74" t="s">
        <v>1943</v>
      </c>
      <c r="BA18" s="73">
        <f t="shared" si="100"/>
        <v>0</v>
      </c>
      <c r="BB18" s="65"/>
      <c r="BC18" s="74" t="s">
        <v>1944</v>
      </c>
      <c r="BD18" s="73">
        <f t="shared" si="100"/>
        <v>0</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0</v>
      </c>
      <c r="BK18" s="65"/>
      <c r="BL18" s="74" t="s">
        <v>1954</v>
      </c>
      <c r="BM18" s="73">
        <f t="shared" si="102"/>
        <v>0</v>
      </c>
      <c r="BN18" s="65"/>
      <c r="BO18" s="74" t="s">
        <v>1943</v>
      </c>
      <c r="BP18" s="73">
        <f t="shared" si="102"/>
        <v>0</v>
      </c>
      <c r="BQ18" s="65"/>
      <c r="BR18" s="74" t="s">
        <v>1954</v>
      </c>
      <c r="BS18" s="73">
        <f t="shared" si="102"/>
        <v>0</v>
      </c>
      <c r="BT18" s="65"/>
      <c r="BU18" s="74" t="s">
        <v>1944</v>
      </c>
      <c r="BV18" s="73">
        <f t="shared" si="102"/>
        <v>0</v>
      </c>
      <c r="BW18" s="65"/>
      <c r="BX18" s="74" t="s">
        <v>1960</v>
      </c>
      <c r="BY18" s="73">
        <f t="shared" si="102"/>
        <v>0</v>
      </c>
      <c r="BZ18" s="65"/>
      <c r="CA18" s="74" t="s">
        <v>1946</v>
      </c>
      <c r="CB18" s="73">
        <f t="shared" si="102"/>
        <v>0</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0</v>
      </c>
      <c r="CX18" s="65"/>
      <c r="CY18" s="74" t="s">
        <v>1946</v>
      </c>
      <c r="CZ18" s="73">
        <f t="shared" si="102"/>
        <v>0</v>
      </c>
      <c r="DA18" s="65"/>
      <c r="DB18" s="74" t="s">
        <v>1948</v>
      </c>
      <c r="DC18" s="73">
        <f t="shared" si="102"/>
        <v>0</v>
      </c>
      <c r="DD18" s="65"/>
      <c r="DE18" s="74" t="s">
        <v>1946</v>
      </c>
      <c r="DF18" s="73">
        <f t="shared" si="102"/>
        <v>0</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c r="EJ18" s="73">
        <f t="shared" si="70"/>
        <v>0</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101"/>
        <v>0</v>
      </c>
      <c r="R19" s="49"/>
      <c r="S19" s="74" t="s">
        <v>1946</v>
      </c>
      <c r="T19" s="73">
        <f t="shared" si="98"/>
        <v>0</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0</v>
      </c>
      <c r="AG19" s="65"/>
      <c r="AH19" s="74" t="s">
        <v>1944</v>
      </c>
      <c r="AI19" s="73">
        <f t="shared" si="103"/>
        <v>0</v>
      </c>
      <c r="AJ19" s="65"/>
      <c r="AK19" s="74" t="s">
        <v>1946</v>
      </c>
      <c r="AL19" s="73">
        <f t="shared" si="103"/>
        <v>0</v>
      </c>
      <c r="AM19" s="65"/>
      <c r="AN19" s="74" t="s">
        <v>1942</v>
      </c>
      <c r="AO19" s="73">
        <f t="shared" si="103"/>
        <v>0</v>
      </c>
      <c r="AP19" s="65"/>
      <c r="AQ19" s="74" t="s">
        <v>1942</v>
      </c>
      <c r="AR19" s="73">
        <f t="shared" si="103"/>
        <v>0</v>
      </c>
      <c r="AS19" s="65"/>
      <c r="AT19" s="74" t="s">
        <v>1957</v>
      </c>
      <c r="AU19" s="73">
        <f t="shared" si="103"/>
        <v>0</v>
      </c>
      <c r="AV19" s="65"/>
      <c r="AW19" s="74" t="s">
        <v>1948</v>
      </c>
      <c r="AX19" s="73">
        <f t="shared" si="103"/>
        <v>0</v>
      </c>
      <c r="AY19" s="65"/>
      <c r="AZ19" s="74" t="s">
        <v>1949</v>
      </c>
      <c r="BA19" s="73">
        <f t="shared" si="103"/>
        <v>0</v>
      </c>
      <c r="BB19" s="65"/>
      <c r="BC19" s="74" t="s">
        <v>1946</v>
      </c>
      <c r="BD19" s="73">
        <f t="shared" si="103"/>
        <v>0</v>
      </c>
      <c r="BE19" s="65"/>
      <c r="BF19" s="74" t="s">
        <v>1946</v>
      </c>
      <c r="BG19" s="73">
        <f t="shared" si="103"/>
        <v>0</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0</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0</v>
      </c>
      <c r="CO19" s="65"/>
      <c r="CP19" s="74" t="s">
        <v>1957</v>
      </c>
      <c r="CQ19" s="73">
        <f t="shared" si="102"/>
        <v>0</v>
      </c>
      <c r="CR19" s="65"/>
      <c r="CS19" s="74" t="s">
        <v>1954</v>
      </c>
      <c r="CT19" s="73">
        <f t="shared" si="102"/>
        <v>0</v>
      </c>
      <c r="CU19" s="65"/>
      <c r="CV19" s="74" t="s">
        <v>1957</v>
      </c>
      <c r="CW19" s="73">
        <f t="shared" si="102"/>
        <v>0</v>
      </c>
      <c r="CX19" s="65"/>
      <c r="CY19" s="74" t="s">
        <v>1942</v>
      </c>
      <c r="CZ19" s="73">
        <f t="shared" si="102"/>
        <v>0</v>
      </c>
      <c r="DA19" s="65"/>
      <c r="DB19" s="74" t="s">
        <v>1954</v>
      </c>
      <c r="DC19" s="73">
        <f t="shared" si="102"/>
        <v>0</v>
      </c>
      <c r="DD19" s="65"/>
      <c r="DE19" s="74" t="s">
        <v>1942</v>
      </c>
      <c r="DF19" s="73">
        <f t="shared" si="102"/>
        <v>0</v>
      </c>
      <c r="DG19" s="65"/>
      <c r="DH19" s="74" t="s">
        <v>1946</v>
      </c>
      <c r="DI19" s="73">
        <f t="shared" si="102"/>
        <v>0</v>
      </c>
      <c r="DJ19" s="65"/>
      <c r="DK19" s="74" t="s">
        <v>1943</v>
      </c>
      <c r="DL19" s="73">
        <f t="shared" si="102"/>
        <v>0</v>
      </c>
      <c r="DM19" s="65"/>
      <c r="DN19" s="795" t="s">
        <v>1942</v>
      </c>
      <c r="DO19" s="73">
        <f t="shared" si="102"/>
        <v>0</v>
      </c>
      <c r="DP19" s="65"/>
      <c r="DQ19" s="795" t="s">
        <v>1946</v>
      </c>
      <c r="DR19" s="73">
        <f t="shared" si="102"/>
        <v>0</v>
      </c>
      <c r="DS19" s="65"/>
      <c r="DT19" s="74" t="s">
        <v>1957</v>
      </c>
      <c r="DU19" s="73">
        <f t="shared" si="70"/>
        <v>0</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0</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0</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0</v>
      </c>
      <c r="BT21" s="65"/>
      <c r="BU21" s="74" t="s">
        <v>1949</v>
      </c>
      <c r="BV21" s="73">
        <f t="shared" si="103"/>
        <v>0</v>
      </c>
      <c r="BW21" s="65"/>
      <c r="BX21" s="74" t="s">
        <v>1949</v>
      </c>
      <c r="BY21" s="73">
        <f t="shared" si="103"/>
        <v>0</v>
      </c>
      <c r="BZ21" s="65"/>
      <c r="CA21" s="74" t="s">
        <v>1949</v>
      </c>
      <c r="CB21" s="73">
        <f t="shared" si="103"/>
        <v>0</v>
      </c>
      <c r="CC21" s="65"/>
      <c r="CD21" s="74" t="s">
        <v>1946</v>
      </c>
      <c r="CE21" s="73">
        <f t="shared" si="103"/>
        <v>0</v>
      </c>
      <c r="CF21" s="65"/>
      <c r="CG21" s="74" t="s">
        <v>1946</v>
      </c>
      <c r="CH21" s="73">
        <f t="shared" si="103"/>
        <v>0</v>
      </c>
      <c r="CI21" s="65"/>
      <c r="CJ21" s="74" t="s">
        <v>1952</v>
      </c>
      <c r="CK21" s="73">
        <f t="shared" si="102"/>
        <v>0</v>
      </c>
      <c r="CL21" s="65"/>
      <c r="CM21" s="74" t="s">
        <v>1946</v>
      </c>
      <c r="CN21" s="73">
        <f t="shared" si="102"/>
        <v>0</v>
      </c>
      <c r="CO21" s="65"/>
      <c r="CP21" s="74" t="s">
        <v>1952</v>
      </c>
      <c r="CQ21" s="73">
        <f t="shared" si="102"/>
        <v>0</v>
      </c>
      <c r="CR21" s="65"/>
      <c r="CS21" s="74" t="s">
        <v>1960</v>
      </c>
      <c r="CT21" s="73">
        <f t="shared" si="102"/>
        <v>0</v>
      </c>
      <c r="CU21" s="65"/>
      <c r="CV21" s="74" t="s">
        <v>1960</v>
      </c>
      <c r="CW21" s="73">
        <f t="shared" si="102"/>
        <v>0</v>
      </c>
      <c r="CX21" s="65"/>
      <c r="CY21" s="74" t="s">
        <v>1946</v>
      </c>
      <c r="CZ21" s="73">
        <f t="shared" si="102"/>
        <v>0</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0</v>
      </c>
      <c r="DP21" s="65"/>
      <c r="DQ21" s="795" t="s">
        <v>1956</v>
      </c>
      <c r="DR21" s="73">
        <f t="shared" si="102"/>
        <v>0</v>
      </c>
      <c r="DS21" s="65"/>
      <c r="DT21" s="74" t="s">
        <v>1952</v>
      </c>
      <c r="DU21" s="73">
        <f t="shared" si="105"/>
        <v>0</v>
      </c>
      <c r="DV21" s="65"/>
      <c r="DW21" s="74" t="s">
        <v>1946</v>
      </c>
      <c r="DX21" s="73">
        <f t="shared" si="105"/>
        <v>0</v>
      </c>
      <c r="DY21" s="65"/>
      <c r="DZ21" s="74" t="s">
        <v>2751</v>
      </c>
      <c r="EA21" s="73">
        <f t="shared" si="105"/>
        <v>0</v>
      </c>
      <c r="EB21" s="65"/>
      <c r="EC21" s="74" t="s">
        <v>1960</v>
      </c>
      <c r="ED21" s="73">
        <f t="shared" si="105"/>
        <v>0</v>
      </c>
      <c r="EE21" s="65"/>
      <c r="EF21" s="74" t="s">
        <v>1952</v>
      </c>
      <c r="EG21" s="73">
        <f t="shared" si="105"/>
        <v>0</v>
      </c>
      <c r="EH21" s="65"/>
      <c r="EI21" s="74"/>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101"/>
        <v>0</v>
      </c>
      <c r="R22" s="49"/>
      <c r="S22" s="74" t="s">
        <v>1943</v>
      </c>
      <c r="T22" s="73">
        <f t="shared" si="98"/>
        <v>0</v>
      </c>
      <c r="U22" s="65"/>
      <c r="V22" s="74" t="s">
        <v>1943</v>
      </c>
      <c r="W22" s="73">
        <f t="shared" si="99"/>
        <v>0</v>
      </c>
      <c r="X22" s="65"/>
      <c r="Y22" s="74" t="s">
        <v>1954</v>
      </c>
      <c r="Z22" s="73">
        <f t="shared" si="103"/>
        <v>0</v>
      </c>
      <c r="AA22" s="65"/>
      <c r="AB22" s="74" t="s">
        <v>1943</v>
      </c>
      <c r="AC22" s="73">
        <f t="shared" si="103"/>
        <v>0</v>
      </c>
      <c r="AD22" s="65"/>
      <c r="AE22" s="74" t="s">
        <v>1948</v>
      </c>
      <c r="AF22" s="73">
        <f t="shared" si="103"/>
        <v>0</v>
      </c>
      <c r="AG22" s="65"/>
      <c r="AH22" s="74" t="s">
        <v>1943</v>
      </c>
      <c r="AI22" s="73">
        <f t="shared" si="103"/>
        <v>0</v>
      </c>
      <c r="AJ22" s="65"/>
      <c r="AK22" s="74" t="s">
        <v>1946</v>
      </c>
      <c r="AL22" s="73">
        <f t="shared" si="103"/>
        <v>0</v>
      </c>
      <c r="AM22" s="65"/>
      <c r="AN22" s="74" t="s">
        <v>1948</v>
      </c>
      <c r="AO22" s="73">
        <f t="shared" si="103"/>
        <v>0</v>
      </c>
      <c r="AP22" s="65"/>
      <c r="AQ22" s="74" t="s">
        <v>1943</v>
      </c>
      <c r="AR22" s="73">
        <f t="shared" si="103"/>
        <v>0</v>
      </c>
      <c r="AS22" s="65"/>
      <c r="AT22" s="74" t="s">
        <v>1954</v>
      </c>
      <c r="AU22" s="73">
        <f t="shared" si="103"/>
        <v>0</v>
      </c>
      <c r="AV22" s="65"/>
      <c r="AW22" s="74" t="s">
        <v>1943</v>
      </c>
      <c r="AX22" s="73">
        <f t="shared" si="103"/>
        <v>0</v>
      </c>
      <c r="AY22" s="65"/>
      <c r="AZ22" s="74" t="s">
        <v>1948</v>
      </c>
      <c r="BA22" s="73">
        <f t="shared" si="103"/>
        <v>0</v>
      </c>
      <c r="BB22" s="65"/>
      <c r="BC22" s="74" t="s">
        <v>1958</v>
      </c>
      <c r="BD22" s="73">
        <f t="shared" si="103"/>
        <v>0</v>
      </c>
      <c r="BE22" s="65"/>
      <c r="BF22" s="74" t="s">
        <v>1948</v>
      </c>
      <c r="BG22" s="73">
        <f t="shared" si="103"/>
        <v>0</v>
      </c>
      <c r="BH22" s="65"/>
      <c r="BI22" s="74" t="s">
        <v>1954</v>
      </c>
      <c r="BJ22" s="73">
        <f t="shared" si="103"/>
        <v>0</v>
      </c>
      <c r="BK22" s="65"/>
      <c r="BL22" s="74" t="s">
        <v>1948</v>
      </c>
      <c r="BM22" s="73">
        <f t="shared" si="103"/>
        <v>0</v>
      </c>
      <c r="BN22" s="65"/>
      <c r="BO22" s="74" t="s">
        <v>1948</v>
      </c>
      <c r="BP22" s="73">
        <f t="shared" si="103"/>
        <v>0</v>
      </c>
      <c r="BQ22" s="65"/>
      <c r="BR22" s="74" t="s">
        <v>1954</v>
      </c>
      <c r="BS22" s="73">
        <f t="shared" si="103"/>
        <v>0</v>
      </c>
      <c r="BT22" s="65"/>
      <c r="BU22" s="74" t="s">
        <v>1944</v>
      </c>
      <c r="BV22" s="73">
        <f t="shared" si="103"/>
        <v>0</v>
      </c>
      <c r="BW22" s="65"/>
      <c r="BX22" s="74" t="s">
        <v>1948</v>
      </c>
      <c r="BY22" s="73">
        <f t="shared" si="103"/>
        <v>0</v>
      </c>
      <c r="BZ22" s="65"/>
      <c r="CA22" s="74" t="s">
        <v>1946</v>
      </c>
      <c r="CB22" s="73">
        <f t="shared" si="103"/>
        <v>0</v>
      </c>
      <c r="CC22" s="65"/>
      <c r="CD22" s="74" t="s">
        <v>1954</v>
      </c>
      <c r="CE22" s="73">
        <f t="shared" si="103"/>
        <v>0</v>
      </c>
      <c r="CF22" s="65"/>
      <c r="CG22" s="74" t="s">
        <v>1948</v>
      </c>
      <c r="CH22" s="73">
        <f t="shared" si="103"/>
        <v>0</v>
      </c>
      <c r="CI22" s="65"/>
      <c r="CJ22" s="74" t="s">
        <v>1943</v>
      </c>
      <c r="CK22" s="73">
        <f t="shared" si="102"/>
        <v>0</v>
      </c>
      <c r="CL22" s="65"/>
      <c r="CM22" s="74" t="s">
        <v>1944</v>
      </c>
      <c r="CN22" s="73">
        <f t="shared" si="102"/>
        <v>0</v>
      </c>
      <c r="CO22" s="65"/>
      <c r="CP22" s="74" t="s">
        <v>1943</v>
      </c>
      <c r="CQ22" s="73">
        <f t="shared" si="102"/>
        <v>0</v>
      </c>
      <c r="CR22" s="65"/>
      <c r="CS22" s="74" t="s">
        <v>1948</v>
      </c>
      <c r="CT22" s="73">
        <f t="shared" si="102"/>
        <v>0</v>
      </c>
      <c r="CU22" s="65"/>
      <c r="CV22" s="74" t="s">
        <v>1956</v>
      </c>
      <c r="CW22" s="73">
        <f t="shared" si="102"/>
        <v>0</v>
      </c>
      <c r="CX22" s="65"/>
      <c r="CY22" s="74" t="s">
        <v>1959</v>
      </c>
      <c r="CZ22" s="73">
        <f t="shared" si="102"/>
        <v>0</v>
      </c>
      <c r="DA22" s="65"/>
      <c r="DB22" s="74" t="s">
        <v>1954</v>
      </c>
      <c r="DC22" s="73">
        <f t="shared" si="102"/>
        <v>0</v>
      </c>
      <c r="DD22" s="65"/>
      <c r="DE22" s="74" t="s">
        <v>1944</v>
      </c>
      <c r="DF22" s="73">
        <f t="shared" si="102"/>
        <v>0</v>
      </c>
      <c r="DG22" s="65"/>
      <c r="DH22" s="74" t="s">
        <v>1954</v>
      </c>
      <c r="DI22" s="73">
        <f t="shared" si="102"/>
        <v>0</v>
      </c>
      <c r="DJ22" s="65"/>
      <c r="DK22" s="74" t="s">
        <v>1943</v>
      </c>
      <c r="DL22" s="73">
        <f t="shared" si="102"/>
        <v>0</v>
      </c>
      <c r="DM22" s="65"/>
      <c r="DN22" s="795" t="s">
        <v>1956</v>
      </c>
      <c r="DO22" s="73">
        <f t="shared" si="102"/>
        <v>0</v>
      </c>
      <c r="DP22" s="65"/>
      <c r="DQ22" s="795" t="s">
        <v>2001</v>
      </c>
      <c r="DR22" s="73">
        <f t="shared" si="102"/>
        <v>0</v>
      </c>
      <c r="DS22" s="65"/>
      <c r="DT22" s="74" t="s">
        <v>1954</v>
      </c>
      <c r="DU22" s="73">
        <f t="shared" si="105"/>
        <v>0</v>
      </c>
      <c r="DV22" s="65"/>
      <c r="DW22" s="74" t="s">
        <v>1948</v>
      </c>
      <c r="DX22" s="73">
        <f t="shared" si="105"/>
        <v>0</v>
      </c>
      <c r="DY22" s="65"/>
      <c r="DZ22" s="74" t="s">
        <v>1954</v>
      </c>
      <c r="EA22" s="73">
        <f t="shared" si="105"/>
        <v>0</v>
      </c>
      <c r="EB22" s="65"/>
      <c r="EC22" s="74" t="s">
        <v>1958</v>
      </c>
      <c r="ED22" s="73">
        <f t="shared" si="105"/>
        <v>0</v>
      </c>
      <c r="EE22" s="65"/>
      <c r="EF22" s="74" t="s">
        <v>1946</v>
      </c>
      <c r="EG22" s="73">
        <f t="shared" si="105"/>
        <v>0</v>
      </c>
      <c r="EH22" s="65"/>
      <c r="EI22" s="74"/>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101"/>
        <v>0</v>
      </c>
      <c r="R23" s="49"/>
      <c r="S23" s="74" t="s">
        <v>1949</v>
      </c>
      <c r="T23" s="73">
        <f t="shared" si="98"/>
        <v>0</v>
      </c>
      <c r="U23" s="65"/>
      <c r="V23" s="74" t="s">
        <v>1945</v>
      </c>
      <c r="W23" s="73">
        <f t="shared" si="99"/>
        <v>0</v>
      </c>
      <c r="X23" s="65"/>
      <c r="Y23" s="74" t="s">
        <v>1947</v>
      </c>
      <c r="Z23" s="73">
        <f t="shared" si="103"/>
        <v>0</v>
      </c>
      <c r="AA23" s="65"/>
      <c r="AB23" s="74" t="s">
        <v>1945</v>
      </c>
      <c r="AC23" s="73">
        <f t="shared" si="103"/>
        <v>0</v>
      </c>
      <c r="AD23" s="65"/>
      <c r="AE23" s="74" t="s">
        <v>1949</v>
      </c>
      <c r="AF23" s="73">
        <f t="shared" si="103"/>
        <v>0</v>
      </c>
      <c r="AG23" s="65"/>
      <c r="AH23" s="74" t="s">
        <v>1949</v>
      </c>
      <c r="AI23" s="73">
        <f t="shared" si="103"/>
        <v>0</v>
      </c>
      <c r="AJ23" s="65"/>
      <c r="AK23" s="74" t="s">
        <v>1949</v>
      </c>
      <c r="AL23" s="73">
        <f t="shared" si="103"/>
        <v>0</v>
      </c>
      <c r="AM23" s="65"/>
      <c r="AN23" s="74" t="s">
        <v>1949</v>
      </c>
      <c r="AO23" s="73">
        <f t="shared" si="103"/>
        <v>0</v>
      </c>
      <c r="AP23" s="65"/>
      <c r="AQ23" s="74" t="s">
        <v>1945</v>
      </c>
      <c r="AR23" s="73">
        <f t="shared" si="103"/>
        <v>0</v>
      </c>
      <c r="AS23" s="65"/>
      <c r="AT23" s="74" t="s">
        <v>1949</v>
      </c>
      <c r="AU23" s="73">
        <f t="shared" si="103"/>
        <v>0</v>
      </c>
      <c r="AV23" s="65"/>
      <c r="AW23" s="74" t="s">
        <v>1947</v>
      </c>
      <c r="AX23" s="73">
        <f t="shared" si="103"/>
        <v>0</v>
      </c>
      <c r="AY23" s="65"/>
      <c r="AZ23" s="74" t="s">
        <v>1947</v>
      </c>
      <c r="BA23" s="73">
        <f t="shared" si="103"/>
        <v>0</v>
      </c>
      <c r="BB23" s="65"/>
      <c r="BC23" s="74" t="s">
        <v>1949</v>
      </c>
      <c r="BD23" s="73">
        <f t="shared" si="103"/>
        <v>0</v>
      </c>
      <c r="BE23" s="65"/>
      <c r="BF23" s="74" t="s">
        <v>1960</v>
      </c>
      <c r="BG23" s="73">
        <f t="shared" si="103"/>
        <v>0</v>
      </c>
      <c r="BH23" s="65"/>
      <c r="BI23" s="74" t="s">
        <v>1947</v>
      </c>
      <c r="BJ23" s="73">
        <f t="shared" si="103"/>
        <v>0</v>
      </c>
      <c r="BK23" s="65"/>
      <c r="BL23" s="74" t="s">
        <v>1949</v>
      </c>
      <c r="BM23" s="73">
        <f t="shared" si="103"/>
        <v>0</v>
      </c>
      <c r="BN23" s="65"/>
      <c r="BO23" s="74" t="s">
        <v>1949</v>
      </c>
      <c r="BP23" s="73">
        <f t="shared" si="103"/>
        <v>0</v>
      </c>
      <c r="BQ23" s="65"/>
      <c r="BR23" s="74" t="s">
        <v>1960</v>
      </c>
      <c r="BS23" s="73">
        <f t="shared" si="103"/>
        <v>0</v>
      </c>
      <c r="BT23" s="65"/>
      <c r="BU23" s="74" t="s">
        <v>1952</v>
      </c>
      <c r="BV23" s="73">
        <f t="shared" si="103"/>
        <v>0</v>
      </c>
      <c r="BW23" s="65"/>
      <c r="BX23" s="74" t="s">
        <v>1949</v>
      </c>
      <c r="BY23" s="73">
        <f t="shared" si="103"/>
        <v>0</v>
      </c>
      <c r="BZ23" s="65"/>
      <c r="CA23" s="74" t="s">
        <v>1949</v>
      </c>
      <c r="CB23" s="73">
        <f t="shared" si="103"/>
        <v>0</v>
      </c>
      <c r="CC23" s="65"/>
      <c r="CD23" s="74" t="s">
        <v>1952</v>
      </c>
      <c r="CE23" s="73">
        <f t="shared" si="103"/>
        <v>0</v>
      </c>
      <c r="CF23" s="65"/>
      <c r="CG23" s="74" t="s">
        <v>1949</v>
      </c>
      <c r="CH23" s="73">
        <f t="shared" si="103"/>
        <v>0</v>
      </c>
      <c r="CI23" s="65"/>
      <c r="CJ23" s="74" t="s">
        <v>1960</v>
      </c>
      <c r="CK23" s="73">
        <f t="shared" si="102"/>
        <v>0</v>
      </c>
      <c r="CL23" s="65"/>
      <c r="CM23" s="74" t="s">
        <v>1960</v>
      </c>
      <c r="CN23" s="73">
        <f t="shared" si="102"/>
        <v>0</v>
      </c>
      <c r="CO23" s="65"/>
      <c r="CP23" s="74" t="s">
        <v>1962</v>
      </c>
      <c r="CQ23" s="73">
        <f t="shared" si="102"/>
        <v>0</v>
      </c>
      <c r="CR23" s="65"/>
      <c r="CS23" s="74" t="s">
        <v>1947</v>
      </c>
      <c r="CT23" s="73">
        <f t="shared" si="102"/>
        <v>0</v>
      </c>
      <c r="CU23" s="65"/>
      <c r="CV23" s="74" t="s">
        <v>1949</v>
      </c>
      <c r="CW23" s="73">
        <f t="shared" si="102"/>
        <v>0</v>
      </c>
      <c r="CX23" s="65"/>
      <c r="CY23" s="74" t="s">
        <v>1947</v>
      </c>
      <c r="CZ23" s="73">
        <f t="shared" si="102"/>
        <v>0</v>
      </c>
      <c r="DA23" s="65"/>
      <c r="DB23" s="74" t="s">
        <v>1947</v>
      </c>
      <c r="DC23" s="73">
        <f t="shared" si="102"/>
        <v>0</v>
      </c>
      <c r="DD23" s="65"/>
      <c r="DE23" s="74" t="s">
        <v>1949</v>
      </c>
      <c r="DF23" s="73">
        <f t="shared" si="102"/>
        <v>0</v>
      </c>
      <c r="DG23" s="65"/>
      <c r="DH23" s="74" t="s">
        <v>1949</v>
      </c>
      <c r="DI23" s="73">
        <f t="shared" si="102"/>
        <v>0</v>
      </c>
      <c r="DJ23" s="65"/>
      <c r="DK23" s="74" t="s">
        <v>1947</v>
      </c>
      <c r="DL23" s="73">
        <f t="shared" si="102"/>
        <v>0</v>
      </c>
      <c r="DM23" s="65"/>
      <c r="DN23" s="795" t="s">
        <v>1955</v>
      </c>
      <c r="DO23" s="73">
        <f t="shared" si="102"/>
        <v>0</v>
      </c>
      <c r="DP23" s="65"/>
      <c r="DQ23" s="795" t="s">
        <v>1948</v>
      </c>
      <c r="DR23" s="73">
        <f t="shared" si="102"/>
        <v>0</v>
      </c>
      <c r="DS23" s="65"/>
      <c r="DT23" s="74" t="s">
        <v>1952</v>
      </c>
      <c r="DU23" s="73">
        <f t="shared" si="105"/>
        <v>0</v>
      </c>
      <c r="DV23" s="65"/>
      <c r="DW23" s="74" t="s">
        <v>1945</v>
      </c>
      <c r="DX23" s="73">
        <f t="shared" si="105"/>
        <v>0</v>
      </c>
      <c r="DY23" s="65"/>
      <c r="DZ23" s="74" t="s">
        <v>1949</v>
      </c>
      <c r="EA23" s="73">
        <f t="shared" si="105"/>
        <v>0</v>
      </c>
      <c r="EB23" s="65"/>
      <c r="EC23" s="74" t="s">
        <v>1952</v>
      </c>
      <c r="ED23" s="73">
        <f t="shared" si="105"/>
        <v>0</v>
      </c>
      <c r="EE23" s="65"/>
      <c r="EF23" s="74" t="s">
        <v>1952</v>
      </c>
      <c r="EG23" s="73">
        <f t="shared" si="105"/>
        <v>0</v>
      </c>
      <c r="EH23" s="65"/>
      <c r="EI23" s="74"/>
      <c r="EJ23" s="73">
        <f t="shared" si="105"/>
        <v>0</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101"/>
        <v>0</v>
      </c>
      <c r="R24" s="49"/>
      <c r="S24" s="76" t="s">
        <v>1946</v>
      </c>
      <c r="T24" s="77">
        <f t="shared" si="98"/>
        <v>0</v>
      </c>
      <c r="U24" s="65"/>
      <c r="V24" s="76" t="s">
        <v>1943</v>
      </c>
      <c r="W24" s="77">
        <f t="shared" si="99"/>
        <v>0</v>
      </c>
      <c r="X24" s="65"/>
      <c r="Y24" s="76" t="s">
        <v>1958</v>
      </c>
      <c r="Z24" s="77">
        <f t="shared" si="103"/>
        <v>0</v>
      </c>
      <c r="AA24" s="65"/>
      <c r="AB24" s="76" t="s">
        <v>1954</v>
      </c>
      <c r="AC24" s="77">
        <f t="shared" si="103"/>
        <v>0</v>
      </c>
      <c r="AD24" s="65"/>
      <c r="AE24" s="76" t="s">
        <v>1942</v>
      </c>
      <c r="AF24" s="77">
        <f t="shared" si="103"/>
        <v>0</v>
      </c>
      <c r="AG24" s="65"/>
      <c r="AH24" s="76" t="s">
        <v>1943</v>
      </c>
      <c r="AI24" s="77">
        <f t="shared" si="103"/>
        <v>0</v>
      </c>
      <c r="AJ24" s="65"/>
      <c r="AK24" s="76" t="s">
        <v>1946</v>
      </c>
      <c r="AL24" s="77">
        <f t="shared" si="103"/>
        <v>0</v>
      </c>
      <c r="AM24" s="65"/>
      <c r="AN24" s="76" t="s">
        <v>1944</v>
      </c>
      <c r="AO24" s="77">
        <f t="shared" si="103"/>
        <v>0</v>
      </c>
      <c r="AP24" s="65"/>
      <c r="AQ24" s="76" t="s">
        <v>1958</v>
      </c>
      <c r="AR24" s="77">
        <f t="shared" si="103"/>
        <v>0</v>
      </c>
      <c r="AS24" s="65"/>
      <c r="AT24" s="76" t="s">
        <v>1942</v>
      </c>
      <c r="AU24" s="77">
        <f t="shared" si="103"/>
        <v>0</v>
      </c>
      <c r="AV24" s="65"/>
      <c r="AW24" s="76" t="s">
        <v>1944</v>
      </c>
      <c r="AX24" s="77">
        <f t="shared" si="103"/>
        <v>0</v>
      </c>
      <c r="AY24" s="65"/>
      <c r="AZ24" s="76" t="s">
        <v>1954</v>
      </c>
      <c r="BA24" s="77">
        <f t="shared" si="103"/>
        <v>0</v>
      </c>
      <c r="BB24" s="65"/>
      <c r="BC24" s="76" t="s">
        <v>1942</v>
      </c>
      <c r="BD24" s="77">
        <f t="shared" si="103"/>
        <v>0</v>
      </c>
      <c r="BE24" s="65"/>
      <c r="BF24" s="76" t="s">
        <v>1958</v>
      </c>
      <c r="BG24" s="77">
        <f t="shared" si="103"/>
        <v>0</v>
      </c>
      <c r="BH24" s="65"/>
      <c r="BI24" s="76" t="s">
        <v>1958</v>
      </c>
      <c r="BJ24" s="77">
        <f t="shared" si="103"/>
        <v>0</v>
      </c>
      <c r="BK24" s="65"/>
      <c r="BL24" s="76" t="s">
        <v>1954</v>
      </c>
      <c r="BM24" s="77">
        <f t="shared" si="103"/>
        <v>0</v>
      </c>
      <c r="BN24" s="65"/>
      <c r="BO24" s="76" t="s">
        <v>1954</v>
      </c>
      <c r="BP24" s="77">
        <f t="shared" si="103"/>
        <v>0</v>
      </c>
      <c r="BQ24" s="65"/>
      <c r="BR24" s="76" t="s">
        <v>1954</v>
      </c>
      <c r="BS24" s="77">
        <f t="shared" si="103"/>
        <v>0</v>
      </c>
      <c r="BT24" s="65"/>
      <c r="BU24" s="76" t="s">
        <v>1958</v>
      </c>
      <c r="BV24" s="77">
        <f t="shared" si="103"/>
        <v>0</v>
      </c>
      <c r="BW24" s="65"/>
      <c r="BX24" s="76" t="s">
        <v>1954</v>
      </c>
      <c r="BY24" s="77">
        <f t="shared" si="103"/>
        <v>0</v>
      </c>
      <c r="BZ24" s="65"/>
      <c r="CA24" s="76" t="s">
        <v>1946</v>
      </c>
      <c r="CB24" s="77">
        <f t="shared" si="103"/>
        <v>0</v>
      </c>
      <c r="CC24" s="65"/>
      <c r="CD24" s="76" t="s">
        <v>1954</v>
      </c>
      <c r="CE24" s="77">
        <f t="shared" si="103"/>
        <v>0</v>
      </c>
      <c r="CF24" s="65"/>
      <c r="CG24" s="76" t="s">
        <v>1948</v>
      </c>
      <c r="CH24" s="77">
        <f t="shared" si="103"/>
        <v>0</v>
      </c>
      <c r="CI24" s="65"/>
      <c r="CJ24" s="76" t="s">
        <v>1958</v>
      </c>
      <c r="CK24" s="77">
        <f t="shared" si="102"/>
        <v>0</v>
      </c>
      <c r="CL24" s="65"/>
      <c r="CM24" s="76" t="s">
        <v>1948</v>
      </c>
      <c r="CN24" s="77">
        <f t="shared" si="102"/>
        <v>0</v>
      </c>
      <c r="CO24" s="65"/>
      <c r="CP24" s="76" t="s">
        <v>1954</v>
      </c>
      <c r="CQ24" s="77">
        <f t="shared" si="102"/>
        <v>0</v>
      </c>
      <c r="CR24" s="65"/>
      <c r="CS24" s="76" t="s">
        <v>1954</v>
      </c>
      <c r="CT24" s="77">
        <f t="shared" si="102"/>
        <v>0</v>
      </c>
      <c r="CU24" s="65"/>
      <c r="CV24" s="76" t="s">
        <v>1954</v>
      </c>
      <c r="CW24" s="77">
        <f t="shared" si="102"/>
        <v>0</v>
      </c>
      <c r="CX24" s="65"/>
      <c r="CY24" s="76" t="s">
        <v>1944</v>
      </c>
      <c r="CZ24" s="77">
        <f t="shared" si="102"/>
        <v>0</v>
      </c>
      <c r="DA24" s="65"/>
      <c r="DB24" s="76" t="s">
        <v>1954</v>
      </c>
      <c r="DC24" s="77">
        <f t="shared" si="102"/>
        <v>0</v>
      </c>
      <c r="DD24" s="65"/>
      <c r="DE24" s="76" t="s">
        <v>1943</v>
      </c>
      <c r="DF24" s="77">
        <f t="shared" si="102"/>
        <v>0</v>
      </c>
      <c r="DG24" s="65"/>
      <c r="DH24" s="76" t="s">
        <v>1954</v>
      </c>
      <c r="DI24" s="77">
        <f t="shared" si="102"/>
        <v>0</v>
      </c>
      <c r="DJ24" s="65"/>
      <c r="DK24" s="76" t="s">
        <v>1958</v>
      </c>
      <c r="DL24" s="77">
        <f t="shared" si="102"/>
        <v>0</v>
      </c>
      <c r="DM24" s="65"/>
      <c r="DN24" s="795" t="s">
        <v>1948</v>
      </c>
      <c r="DO24" s="77">
        <f t="shared" si="102"/>
        <v>0</v>
      </c>
      <c r="DP24" s="65"/>
      <c r="DQ24" s="795" t="s">
        <v>1948</v>
      </c>
      <c r="DR24" s="77">
        <f t="shared" si="102"/>
        <v>0</v>
      </c>
      <c r="DS24" s="65"/>
      <c r="DT24" s="76" t="s">
        <v>1946</v>
      </c>
      <c r="DU24" s="77">
        <f t="shared" si="105"/>
        <v>0</v>
      </c>
      <c r="DV24" s="65"/>
      <c r="DW24" s="76" t="s">
        <v>1954</v>
      </c>
      <c r="DX24" s="77">
        <f t="shared" si="105"/>
        <v>0</v>
      </c>
      <c r="DY24" s="65"/>
      <c r="DZ24" s="76" t="s">
        <v>1948</v>
      </c>
      <c r="EA24" s="77">
        <f t="shared" si="105"/>
        <v>0</v>
      </c>
      <c r="EB24" s="65"/>
      <c r="EC24" s="76" t="s">
        <v>1954</v>
      </c>
      <c r="ED24" s="77">
        <f t="shared" si="105"/>
        <v>0</v>
      </c>
      <c r="EE24" s="65"/>
      <c r="EF24" s="76" t="s">
        <v>1957</v>
      </c>
      <c r="EG24" s="77">
        <f t="shared" si="105"/>
        <v>0</v>
      </c>
      <c r="EH24" s="65"/>
      <c r="EI24" s="76"/>
      <c r="EJ24" s="77">
        <f t="shared" si="105"/>
        <v>0</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101"/>
        <v>0</v>
      </c>
      <c r="R25" s="49"/>
      <c r="S25" s="74" t="s">
        <v>1953</v>
      </c>
      <c r="T25" s="73">
        <f t="shared" si="98"/>
        <v>0</v>
      </c>
      <c r="U25" s="65"/>
      <c r="V25" s="74" t="s">
        <v>1954</v>
      </c>
      <c r="W25" s="73">
        <f t="shared" si="99"/>
        <v>0</v>
      </c>
      <c r="X25" s="65"/>
      <c r="Y25" s="74" t="s">
        <v>1958</v>
      </c>
      <c r="Z25" s="73">
        <f t="shared" si="103"/>
        <v>0</v>
      </c>
      <c r="AA25" s="65"/>
      <c r="AB25" s="74" t="s">
        <v>1942</v>
      </c>
      <c r="AC25" s="73">
        <f t="shared" si="103"/>
        <v>0</v>
      </c>
      <c r="AD25" s="65"/>
      <c r="AE25" s="74" t="s">
        <v>1943</v>
      </c>
      <c r="AF25" s="73">
        <f t="shared" si="103"/>
        <v>0</v>
      </c>
      <c r="AG25" s="65"/>
      <c r="AH25" s="74" t="s">
        <v>1957</v>
      </c>
      <c r="AI25" s="73">
        <f t="shared" si="103"/>
        <v>0</v>
      </c>
      <c r="AJ25" s="65"/>
      <c r="AK25" s="74" t="s">
        <v>1954</v>
      </c>
      <c r="AL25" s="73">
        <f t="shared" si="103"/>
        <v>0</v>
      </c>
      <c r="AM25" s="65"/>
      <c r="AN25" s="74" t="s">
        <v>1943</v>
      </c>
      <c r="AO25" s="73">
        <f t="shared" si="103"/>
        <v>0</v>
      </c>
      <c r="AP25" s="65"/>
      <c r="AQ25" s="74" t="s">
        <v>1958</v>
      </c>
      <c r="AR25" s="73">
        <f t="shared" si="103"/>
        <v>0</v>
      </c>
      <c r="AS25" s="65"/>
      <c r="AT25" s="74" t="s">
        <v>1948</v>
      </c>
      <c r="AU25" s="73">
        <f t="shared" si="103"/>
        <v>0</v>
      </c>
      <c r="AV25" s="65"/>
      <c r="AW25" s="74" t="s">
        <v>1951</v>
      </c>
      <c r="AX25" s="73">
        <f t="shared" si="103"/>
        <v>0</v>
      </c>
      <c r="AY25" s="65"/>
      <c r="AZ25" s="74" t="s">
        <v>1946</v>
      </c>
      <c r="BA25" s="73">
        <f t="shared" si="103"/>
        <v>0</v>
      </c>
      <c r="BB25" s="65"/>
      <c r="BC25" s="74" t="s">
        <v>1942</v>
      </c>
      <c r="BD25" s="73">
        <f t="shared" si="103"/>
        <v>0</v>
      </c>
      <c r="BE25" s="65"/>
      <c r="BF25" s="74" t="s">
        <v>1954</v>
      </c>
      <c r="BG25" s="73">
        <f t="shared" si="103"/>
        <v>0</v>
      </c>
      <c r="BH25" s="65"/>
      <c r="BI25" s="74" t="s">
        <v>1958</v>
      </c>
      <c r="BJ25" s="73">
        <f t="shared" si="103"/>
        <v>0</v>
      </c>
      <c r="BK25" s="65"/>
      <c r="BL25" s="74" t="s">
        <v>1954</v>
      </c>
      <c r="BM25" s="73">
        <f t="shared" si="103"/>
        <v>0</v>
      </c>
      <c r="BN25" s="65"/>
      <c r="BO25" s="74" t="s">
        <v>1948</v>
      </c>
      <c r="BP25" s="73">
        <f t="shared" si="103"/>
        <v>0</v>
      </c>
      <c r="BQ25" s="65"/>
      <c r="BR25" s="74" t="s">
        <v>1954</v>
      </c>
      <c r="BS25" s="73">
        <f t="shared" si="103"/>
        <v>0</v>
      </c>
      <c r="BT25" s="65"/>
      <c r="BU25" s="74" t="s">
        <v>1958</v>
      </c>
      <c r="BV25" s="73">
        <f t="shared" si="103"/>
        <v>0</v>
      </c>
      <c r="BW25" s="65"/>
      <c r="BX25" s="74" t="s">
        <v>1942</v>
      </c>
      <c r="BY25" s="73">
        <f t="shared" si="103"/>
        <v>0</v>
      </c>
      <c r="BZ25" s="65"/>
      <c r="CA25" s="74" t="s">
        <v>1954</v>
      </c>
      <c r="CB25" s="73">
        <f t="shared" si="103"/>
        <v>0</v>
      </c>
      <c r="CC25" s="65"/>
      <c r="CD25" s="74" t="s">
        <v>1954</v>
      </c>
      <c r="CE25" s="73">
        <f t="shared" si="103"/>
        <v>0</v>
      </c>
      <c r="CF25" s="65"/>
      <c r="CG25" s="74" t="s">
        <v>1954</v>
      </c>
      <c r="CH25" s="73">
        <f t="shared" si="103"/>
        <v>0</v>
      </c>
      <c r="CI25" s="65"/>
      <c r="CJ25" s="74" t="s">
        <v>1954</v>
      </c>
      <c r="CK25" s="73">
        <f t="shared" si="102"/>
        <v>0</v>
      </c>
      <c r="CL25" s="65"/>
      <c r="CM25" s="74" t="s">
        <v>1942</v>
      </c>
      <c r="CN25" s="73">
        <f t="shared" si="102"/>
        <v>0</v>
      </c>
      <c r="CO25" s="65"/>
      <c r="CP25" s="74" t="s">
        <v>1942</v>
      </c>
      <c r="CQ25" s="73">
        <f t="shared" si="102"/>
        <v>0</v>
      </c>
      <c r="CR25" s="65"/>
      <c r="CS25" s="74" t="s">
        <v>1954</v>
      </c>
      <c r="CT25" s="73">
        <f t="shared" si="102"/>
        <v>0</v>
      </c>
      <c r="CU25" s="65"/>
      <c r="CV25" s="74" t="s">
        <v>1954</v>
      </c>
      <c r="CW25" s="73">
        <f t="shared" si="102"/>
        <v>0</v>
      </c>
      <c r="CX25" s="65"/>
      <c r="CY25" s="74" t="s">
        <v>1954</v>
      </c>
      <c r="CZ25" s="73">
        <f t="shared" si="102"/>
        <v>0</v>
      </c>
      <c r="DA25" s="65"/>
      <c r="DB25" s="74" t="s">
        <v>1954</v>
      </c>
      <c r="DC25" s="73">
        <f t="shared" si="102"/>
        <v>0</v>
      </c>
      <c r="DD25" s="65"/>
      <c r="DE25" s="74" t="s">
        <v>1954</v>
      </c>
      <c r="DF25" s="73">
        <f t="shared" si="102"/>
        <v>0</v>
      </c>
      <c r="DG25" s="65"/>
      <c r="DH25" s="74" t="s">
        <v>1958</v>
      </c>
      <c r="DI25" s="73">
        <f t="shared" si="102"/>
        <v>0</v>
      </c>
      <c r="DJ25" s="65"/>
      <c r="DK25" s="74" t="s">
        <v>1954</v>
      </c>
      <c r="DL25" s="73">
        <f t="shared" si="102"/>
        <v>0</v>
      </c>
      <c r="DM25" s="65"/>
      <c r="DN25" s="795" t="s">
        <v>1943</v>
      </c>
      <c r="DO25" s="73">
        <f t="shared" si="102"/>
        <v>0</v>
      </c>
      <c r="DP25" s="65"/>
      <c r="DQ25" s="795" t="s">
        <v>1948</v>
      </c>
      <c r="DR25" s="73">
        <f t="shared" si="102"/>
        <v>0</v>
      </c>
      <c r="DS25" s="65"/>
      <c r="DT25" s="74" t="s">
        <v>1942</v>
      </c>
      <c r="DU25" s="73">
        <f t="shared" si="105"/>
        <v>0</v>
      </c>
      <c r="DV25" s="65"/>
      <c r="DW25" s="74" t="s">
        <v>1943</v>
      </c>
      <c r="DX25" s="73">
        <f t="shared" si="105"/>
        <v>0</v>
      </c>
      <c r="DY25" s="65"/>
      <c r="DZ25" s="74" t="s">
        <v>1954</v>
      </c>
      <c r="EA25" s="73">
        <f t="shared" si="105"/>
        <v>0</v>
      </c>
      <c r="EB25" s="65"/>
      <c r="EC25" s="74" t="s">
        <v>1942</v>
      </c>
      <c r="ED25" s="73">
        <f t="shared" si="105"/>
        <v>0</v>
      </c>
      <c r="EE25" s="65"/>
      <c r="EF25" s="74" t="s">
        <v>1942</v>
      </c>
      <c r="EG25" s="73">
        <f t="shared" si="105"/>
        <v>0</v>
      </c>
      <c r="EH25" s="65"/>
      <c r="EI25" s="74"/>
      <c r="EJ25" s="73">
        <f t="shared" si="105"/>
        <v>0</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101"/>
        <v>0</v>
      </c>
      <c r="R27" s="49"/>
      <c r="S27" s="74" t="s">
        <v>1955</v>
      </c>
      <c r="T27" s="73">
        <f t="shared" si="98"/>
        <v>0</v>
      </c>
      <c r="U27" s="65"/>
      <c r="V27" s="74" t="s">
        <v>1952</v>
      </c>
      <c r="W27" s="73">
        <f t="shared" si="99"/>
        <v>0</v>
      </c>
      <c r="X27" s="65"/>
      <c r="Y27" s="74" t="s">
        <v>1949</v>
      </c>
      <c r="Z27" s="73">
        <f t="shared" si="103"/>
        <v>0</v>
      </c>
      <c r="AA27" s="65"/>
      <c r="AB27" s="74" t="s">
        <v>1952</v>
      </c>
      <c r="AC27" s="73">
        <f t="shared" si="103"/>
        <v>0</v>
      </c>
      <c r="AD27" s="65"/>
      <c r="AE27" s="74" t="s">
        <v>1952</v>
      </c>
      <c r="AF27" s="73">
        <f t="shared" si="103"/>
        <v>0</v>
      </c>
      <c r="AG27" s="65"/>
      <c r="AH27" s="74" t="s">
        <v>1949</v>
      </c>
      <c r="AI27" s="73">
        <f t="shared" si="103"/>
        <v>0</v>
      </c>
      <c r="AJ27" s="65"/>
      <c r="AK27" s="74" t="s">
        <v>1947</v>
      </c>
      <c r="AL27" s="73">
        <f t="shared" si="103"/>
        <v>0</v>
      </c>
      <c r="AM27" s="65"/>
      <c r="AN27" s="74" t="s">
        <v>1949</v>
      </c>
      <c r="AO27" s="73">
        <f t="shared" si="103"/>
        <v>0</v>
      </c>
      <c r="AP27" s="65"/>
      <c r="AQ27" s="74" t="s">
        <v>1952</v>
      </c>
      <c r="AR27" s="73">
        <f t="shared" si="103"/>
        <v>0</v>
      </c>
      <c r="AS27" s="65"/>
      <c r="AT27" s="74" t="s">
        <v>1947</v>
      </c>
      <c r="AU27" s="73">
        <f t="shared" si="103"/>
        <v>0</v>
      </c>
      <c r="AV27" s="65"/>
      <c r="AW27" s="74" t="s">
        <v>1949</v>
      </c>
      <c r="AX27" s="73">
        <f t="shared" si="103"/>
        <v>0</v>
      </c>
      <c r="AY27" s="65"/>
      <c r="AZ27" s="74" t="s">
        <v>1949</v>
      </c>
      <c r="BA27" s="73">
        <f t="shared" si="103"/>
        <v>0</v>
      </c>
      <c r="BB27" s="65"/>
      <c r="BC27" s="74" t="s">
        <v>1949</v>
      </c>
      <c r="BD27" s="73">
        <f t="shared" si="103"/>
        <v>0</v>
      </c>
      <c r="BE27" s="65"/>
      <c r="BF27" s="74" t="s">
        <v>1949</v>
      </c>
      <c r="BG27" s="73">
        <f t="shared" si="103"/>
        <v>0</v>
      </c>
      <c r="BH27" s="65"/>
      <c r="BI27" s="74" t="s">
        <v>1949</v>
      </c>
      <c r="BJ27" s="73">
        <f t="shared" si="103"/>
        <v>0</v>
      </c>
      <c r="BK27" s="65"/>
      <c r="BL27" s="74" t="s">
        <v>1949</v>
      </c>
      <c r="BM27" s="73">
        <f t="shared" si="103"/>
        <v>0</v>
      </c>
      <c r="BN27" s="65"/>
      <c r="BO27" s="74" t="s">
        <v>1952</v>
      </c>
      <c r="BP27" s="73">
        <f t="shared" si="103"/>
        <v>0</v>
      </c>
      <c r="BQ27" s="65"/>
      <c r="BR27" s="74" t="s">
        <v>1947</v>
      </c>
      <c r="BS27" s="73">
        <f t="shared" si="103"/>
        <v>0</v>
      </c>
      <c r="BT27" s="65"/>
      <c r="BU27" s="74" t="s">
        <v>1947</v>
      </c>
      <c r="BV27" s="73">
        <f t="shared" si="103"/>
        <v>0</v>
      </c>
      <c r="BW27" s="65"/>
      <c r="BX27" s="74" t="s">
        <v>1947</v>
      </c>
      <c r="BY27" s="73">
        <f t="shared" si="103"/>
        <v>0</v>
      </c>
      <c r="BZ27" s="65"/>
      <c r="CA27" s="74" t="s">
        <v>1957</v>
      </c>
      <c r="CB27" s="73">
        <f t="shared" si="103"/>
        <v>0</v>
      </c>
      <c r="CC27" s="65"/>
      <c r="CD27" s="74" t="s">
        <v>1945</v>
      </c>
      <c r="CE27" s="73">
        <f t="shared" si="103"/>
        <v>0</v>
      </c>
      <c r="CF27" s="65"/>
      <c r="CG27" s="74" t="s">
        <v>1946</v>
      </c>
      <c r="CH27" s="73">
        <f t="shared" si="103"/>
        <v>0</v>
      </c>
      <c r="CI27" s="65"/>
      <c r="CJ27" s="74" t="s">
        <v>1960</v>
      </c>
      <c r="CK27" s="73">
        <f t="shared" si="102"/>
        <v>0</v>
      </c>
      <c r="CL27" s="65"/>
      <c r="CM27" s="74" t="s">
        <v>1960</v>
      </c>
      <c r="CN27" s="73">
        <f t="shared" si="102"/>
        <v>0</v>
      </c>
      <c r="CO27" s="65"/>
      <c r="CP27" s="74" t="s">
        <v>1947</v>
      </c>
      <c r="CQ27" s="73">
        <f t="shared" si="102"/>
        <v>0</v>
      </c>
      <c r="CR27" s="65"/>
      <c r="CS27" s="74" t="s">
        <v>1946</v>
      </c>
      <c r="CT27" s="73">
        <f t="shared" si="102"/>
        <v>0</v>
      </c>
      <c r="CU27" s="65"/>
      <c r="CV27" s="74" t="s">
        <v>1949</v>
      </c>
      <c r="CW27" s="73">
        <f t="shared" si="102"/>
        <v>0</v>
      </c>
      <c r="CX27" s="65"/>
      <c r="CY27" s="74" t="s">
        <v>1949</v>
      </c>
      <c r="CZ27" s="73">
        <f t="shared" si="102"/>
        <v>0</v>
      </c>
      <c r="DA27" s="65"/>
      <c r="DB27" s="74" t="s">
        <v>1949</v>
      </c>
      <c r="DC27" s="73">
        <f t="shared" si="102"/>
        <v>0</v>
      </c>
      <c r="DD27" s="65"/>
      <c r="DE27" s="74" t="s">
        <v>1947</v>
      </c>
      <c r="DF27" s="73">
        <f t="shared" si="102"/>
        <v>0</v>
      </c>
      <c r="DG27" s="65"/>
      <c r="DH27" s="74" t="s">
        <v>1952</v>
      </c>
      <c r="DI27" s="73">
        <f t="shared" si="102"/>
        <v>0</v>
      </c>
      <c r="DJ27" s="65"/>
      <c r="DK27" s="74" t="s">
        <v>1949</v>
      </c>
      <c r="DL27" s="73">
        <f t="shared" si="102"/>
        <v>0</v>
      </c>
      <c r="DM27" s="65"/>
      <c r="DN27" s="795" t="s">
        <v>1945</v>
      </c>
      <c r="DO27" s="73">
        <f t="shared" si="102"/>
        <v>0</v>
      </c>
      <c r="DP27" s="65"/>
      <c r="DQ27" s="795" t="s">
        <v>1949</v>
      </c>
      <c r="DR27" s="73">
        <f t="shared" si="102"/>
        <v>0</v>
      </c>
      <c r="DS27" s="65"/>
      <c r="DT27" s="74" t="s">
        <v>1949</v>
      </c>
      <c r="DU27" s="73">
        <f t="shared" si="105"/>
        <v>0</v>
      </c>
      <c r="DV27" s="65"/>
      <c r="DW27" s="74" t="s">
        <v>1945</v>
      </c>
      <c r="DX27" s="73">
        <f t="shared" si="105"/>
        <v>0</v>
      </c>
      <c r="DY27" s="65"/>
      <c r="DZ27" s="74" t="s">
        <v>1960</v>
      </c>
      <c r="EA27" s="73">
        <f t="shared" si="105"/>
        <v>0</v>
      </c>
      <c r="EB27" s="65"/>
      <c r="EC27" s="74" t="s">
        <v>1949</v>
      </c>
      <c r="ED27" s="73">
        <f t="shared" si="105"/>
        <v>0</v>
      </c>
      <c r="EE27" s="65"/>
      <c r="EF27" s="74" t="s">
        <v>1945</v>
      </c>
      <c r="EG27" s="73">
        <f t="shared" si="105"/>
        <v>0</v>
      </c>
      <c r="EH27" s="65"/>
      <c r="EI27" s="74"/>
      <c r="EJ27" s="73">
        <f t="shared" si="105"/>
        <v>0</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101"/>
        <v>0</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0</v>
      </c>
      <c r="U28" s="65"/>
      <c r="V28" s="74" t="s">
        <v>1948</v>
      </c>
      <c r="W28" s="73">
        <f t="shared" si="99"/>
        <v>0</v>
      </c>
      <c r="X28" s="65"/>
      <c r="Y28" s="74" t="s">
        <v>1956</v>
      </c>
      <c r="Z28" s="73">
        <f t="shared" si="103"/>
        <v>0</v>
      </c>
      <c r="AA28" s="65"/>
      <c r="AB28" s="74" t="s">
        <v>1958</v>
      </c>
      <c r="AC28" s="73">
        <f t="shared" si="103"/>
        <v>0</v>
      </c>
      <c r="AD28" s="65"/>
      <c r="AE28" s="74" t="s">
        <v>1946</v>
      </c>
      <c r="AF28" s="73">
        <f t="shared" si="103"/>
        <v>0</v>
      </c>
      <c r="AG28" s="65"/>
      <c r="AH28" s="74" t="s">
        <v>1962</v>
      </c>
      <c r="AI28" s="73">
        <f t="shared" si="103"/>
        <v>0</v>
      </c>
      <c r="AJ28" s="65"/>
      <c r="AK28" s="74" t="s">
        <v>1954</v>
      </c>
      <c r="AL28" s="73">
        <f t="shared" si="103"/>
        <v>0</v>
      </c>
      <c r="AM28" s="65"/>
      <c r="AN28" s="74" t="s">
        <v>1948</v>
      </c>
      <c r="AO28" s="73">
        <f t="shared" si="103"/>
        <v>0</v>
      </c>
      <c r="AP28" s="65"/>
      <c r="AQ28" s="74" t="s">
        <v>1954</v>
      </c>
      <c r="AR28" s="73">
        <f t="shared" si="103"/>
        <v>0</v>
      </c>
      <c r="AS28" s="65"/>
      <c r="AT28" s="74" t="s">
        <v>1948</v>
      </c>
      <c r="AU28" s="73">
        <f t="shared" si="103"/>
        <v>0</v>
      </c>
      <c r="AV28" s="65"/>
      <c r="AW28" s="74" t="s">
        <v>1942</v>
      </c>
      <c r="AX28" s="73">
        <f t="shared" si="103"/>
        <v>0</v>
      </c>
      <c r="AY28" s="65"/>
      <c r="AZ28" s="74" t="s">
        <v>1946</v>
      </c>
      <c r="BA28" s="73">
        <f t="shared" si="103"/>
        <v>0</v>
      </c>
      <c r="BB28" s="65"/>
      <c r="BC28" s="74" t="s">
        <v>1952</v>
      </c>
      <c r="BD28" s="73">
        <f t="shared" si="103"/>
        <v>0</v>
      </c>
      <c r="BE28" s="65"/>
      <c r="BF28" s="74" t="s">
        <v>1948</v>
      </c>
      <c r="BG28" s="73">
        <f t="shared" si="103"/>
        <v>0</v>
      </c>
      <c r="BH28" s="65"/>
      <c r="BI28" s="74" t="s">
        <v>1956</v>
      </c>
      <c r="BJ28" s="73">
        <f t="shared" si="103"/>
        <v>0</v>
      </c>
      <c r="BK28" s="65"/>
      <c r="BL28" s="74" t="s">
        <v>1948</v>
      </c>
      <c r="BM28" s="73">
        <f t="shared" si="103"/>
        <v>0</v>
      </c>
      <c r="BN28" s="65"/>
      <c r="BO28" s="74" t="s">
        <v>1948</v>
      </c>
      <c r="BP28" s="73">
        <f t="shared" si="103"/>
        <v>0</v>
      </c>
      <c r="BQ28" s="65"/>
      <c r="BR28" s="74" t="s">
        <v>1948</v>
      </c>
      <c r="BS28" s="73">
        <f t="shared" si="103"/>
        <v>0</v>
      </c>
      <c r="BT28" s="65"/>
      <c r="BU28" s="74" t="s">
        <v>1944</v>
      </c>
      <c r="BV28" s="73">
        <f t="shared" si="103"/>
        <v>0</v>
      </c>
      <c r="BW28" s="65"/>
      <c r="BX28" s="74" t="s">
        <v>1944</v>
      </c>
      <c r="BY28" s="73">
        <f t="shared" si="103"/>
        <v>0</v>
      </c>
      <c r="BZ28" s="65"/>
      <c r="CA28" s="74" t="s">
        <v>1948</v>
      </c>
      <c r="CB28" s="73">
        <f t="shared" si="103"/>
        <v>0</v>
      </c>
      <c r="CC28" s="65"/>
      <c r="CD28" s="74" t="s">
        <v>1946</v>
      </c>
      <c r="CE28" s="73">
        <f t="shared" si="103"/>
        <v>0</v>
      </c>
      <c r="CF28" s="65"/>
      <c r="CG28" s="74" t="s">
        <v>1944</v>
      </c>
      <c r="CH28" s="73">
        <f t="shared" si="103"/>
        <v>0</v>
      </c>
      <c r="CI28" s="65"/>
      <c r="CJ28" s="74" t="s">
        <v>1954</v>
      </c>
      <c r="CK28" s="73">
        <f t="shared" si="102"/>
        <v>0</v>
      </c>
      <c r="CL28" s="65"/>
      <c r="CM28" s="74" t="s">
        <v>1943</v>
      </c>
      <c r="CN28" s="73">
        <f t="shared" si="102"/>
        <v>0</v>
      </c>
      <c r="CO28" s="65"/>
      <c r="CP28" s="74" t="s">
        <v>1944</v>
      </c>
      <c r="CQ28" s="73">
        <f t="shared" si="102"/>
        <v>0</v>
      </c>
      <c r="CR28" s="65"/>
      <c r="CS28" s="74" t="s">
        <v>1948</v>
      </c>
      <c r="CT28" s="73">
        <f t="shared" si="102"/>
        <v>0</v>
      </c>
      <c r="CU28" s="65"/>
      <c r="CV28" s="74" t="s">
        <v>1954</v>
      </c>
      <c r="CW28" s="73">
        <f t="shared" si="102"/>
        <v>0</v>
      </c>
      <c r="CX28" s="65"/>
      <c r="CY28" s="74" t="s">
        <v>1954</v>
      </c>
      <c r="CZ28" s="73">
        <f t="shared" si="102"/>
        <v>0</v>
      </c>
      <c r="DA28" s="65"/>
      <c r="DB28" s="74" t="s">
        <v>1948</v>
      </c>
      <c r="DC28" s="73">
        <f t="shared" si="102"/>
        <v>0</v>
      </c>
      <c r="DD28" s="65"/>
      <c r="DE28" s="74" t="s">
        <v>1948</v>
      </c>
      <c r="DF28" s="73">
        <f t="shared" si="102"/>
        <v>0</v>
      </c>
      <c r="DG28" s="65"/>
      <c r="DH28" s="74" t="s">
        <v>1946</v>
      </c>
      <c r="DI28" s="73">
        <f t="shared" si="102"/>
        <v>0</v>
      </c>
      <c r="DJ28" s="65"/>
      <c r="DK28" s="74" t="s">
        <v>1942</v>
      </c>
      <c r="DL28" s="73">
        <f t="shared" si="102"/>
        <v>0</v>
      </c>
      <c r="DM28" s="65"/>
      <c r="DN28" s="795" t="s">
        <v>1954</v>
      </c>
      <c r="DO28" s="73">
        <f t="shared" si="102"/>
        <v>0</v>
      </c>
      <c r="DP28" s="65"/>
      <c r="DQ28" s="795" t="s">
        <v>1952</v>
      </c>
      <c r="DR28" s="73">
        <f t="shared" si="102"/>
        <v>0</v>
      </c>
      <c r="DS28" s="65"/>
      <c r="DT28" s="74" t="s">
        <v>1952</v>
      </c>
      <c r="DU28" s="73">
        <f t="shared" si="105"/>
        <v>0</v>
      </c>
      <c r="DV28" s="65"/>
      <c r="DW28" s="74" t="s">
        <v>1943</v>
      </c>
      <c r="DX28" s="73">
        <f t="shared" si="105"/>
        <v>0</v>
      </c>
      <c r="DY28" s="65"/>
      <c r="DZ28" s="74" t="s">
        <v>1946</v>
      </c>
      <c r="EA28" s="73">
        <f t="shared" si="105"/>
        <v>0</v>
      </c>
      <c r="EB28" s="65"/>
      <c r="EC28" s="74" t="s">
        <v>1954</v>
      </c>
      <c r="ED28" s="73">
        <f t="shared" si="105"/>
        <v>0</v>
      </c>
      <c r="EE28" s="65"/>
      <c r="EF28" s="74" t="s">
        <v>1943</v>
      </c>
      <c r="EG28" s="73">
        <f t="shared" si="105"/>
        <v>0</v>
      </c>
      <c r="EH28" s="65"/>
      <c r="EI28" s="74"/>
      <c r="EJ28" s="73">
        <f t="shared" si="105"/>
        <v>0</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101"/>
        <v>0</v>
      </c>
      <c r="R29" s="49"/>
      <c r="S29" s="78" t="s">
        <v>1957</v>
      </c>
      <c r="T29" s="79">
        <f t="shared" si="106"/>
        <v>0</v>
      </c>
      <c r="U29" s="65"/>
      <c r="V29" s="78" t="s">
        <v>1954</v>
      </c>
      <c r="W29" s="79">
        <f t="shared" si="99"/>
        <v>0</v>
      </c>
      <c r="X29" s="65"/>
      <c r="Y29" s="78" t="s">
        <v>1948</v>
      </c>
      <c r="Z29" s="79">
        <f t="shared" si="103"/>
        <v>0</v>
      </c>
      <c r="AA29" s="65"/>
      <c r="AB29" s="78" t="s">
        <v>1960</v>
      </c>
      <c r="AC29" s="79">
        <f t="shared" si="103"/>
        <v>0</v>
      </c>
      <c r="AD29" s="65"/>
      <c r="AE29" s="78" t="s">
        <v>1952</v>
      </c>
      <c r="AF29" s="79">
        <f t="shared" si="103"/>
        <v>0</v>
      </c>
      <c r="AG29" s="65"/>
      <c r="AH29" s="78" t="s">
        <v>1952</v>
      </c>
      <c r="AI29" s="79">
        <f t="shared" si="103"/>
        <v>0</v>
      </c>
      <c r="AJ29" s="65"/>
      <c r="AK29" s="78" t="s">
        <v>1958</v>
      </c>
      <c r="AL29" s="79">
        <f t="shared" si="103"/>
        <v>0</v>
      </c>
      <c r="AM29" s="65"/>
      <c r="AN29" s="78" t="s">
        <v>1942</v>
      </c>
      <c r="AO29" s="79">
        <f t="shared" si="103"/>
        <v>0</v>
      </c>
      <c r="AP29" s="65"/>
      <c r="AQ29" s="78" t="s">
        <v>1958</v>
      </c>
      <c r="AR29" s="79">
        <f t="shared" si="103"/>
        <v>0</v>
      </c>
      <c r="AS29" s="65"/>
      <c r="AT29" s="78" t="s">
        <v>1954</v>
      </c>
      <c r="AU29" s="79">
        <f t="shared" si="103"/>
        <v>0</v>
      </c>
      <c r="AV29" s="65"/>
      <c r="AW29" s="78" t="s">
        <v>1958</v>
      </c>
      <c r="AX29" s="79">
        <f t="shared" si="103"/>
        <v>0</v>
      </c>
      <c r="AY29" s="65"/>
      <c r="AZ29" s="78" t="s">
        <v>1948</v>
      </c>
      <c r="BA29" s="79">
        <f t="shared" si="103"/>
        <v>0</v>
      </c>
      <c r="BB29" s="65"/>
      <c r="BC29" s="78" t="s">
        <v>1942</v>
      </c>
      <c r="BD29" s="79">
        <f t="shared" si="103"/>
        <v>0</v>
      </c>
      <c r="BE29" s="65"/>
      <c r="BF29" s="78" t="s">
        <v>1946</v>
      </c>
      <c r="BG29" s="79">
        <f t="shared" si="103"/>
        <v>0</v>
      </c>
      <c r="BH29" s="65"/>
      <c r="BI29" s="78" t="s">
        <v>1948</v>
      </c>
      <c r="BJ29" s="79">
        <f t="shared" si="103"/>
        <v>0</v>
      </c>
      <c r="BK29" s="65"/>
      <c r="BL29" s="78" t="s">
        <v>1954</v>
      </c>
      <c r="BM29" s="79">
        <f t="shared" si="103"/>
        <v>0</v>
      </c>
      <c r="BN29" s="65"/>
      <c r="BO29" s="78" t="s">
        <v>1960</v>
      </c>
      <c r="BP29" s="79">
        <f t="shared" si="103"/>
        <v>0</v>
      </c>
      <c r="BQ29" s="65"/>
      <c r="BR29" s="78" t="s">
        <v>1948</v>
      </c>
      <c r="BS29" s="79">
        <f t="shared" si="103"/>
        <v>0</v>
      </c>
      <c r="BT29" s="65"/>
      <c r="BU29" s="78" t="s">
        <v>1948</v>
      </c>
      <c r="BV29" s="79">
        <f t="shared" si="103"/>
        <v>0</v>
      </c>
      <c r="BW29" s="65"/>
      <c r="BX29" s="78" t="s">
        <v>1946</v>
      </c>
      <c r="BY29" s="79">
        <f t="shared" si="103"/>
        <v>0</v>
      </c>
      <c r="BZ29" s="65"/>
      <c r="CA29" s="78" t="s">
        <v>1948</v>
      </c>
      <c r="CB29" s="79">
        <f t="shared" si="103"/>
        <v>0</v>
      </c>
      <c r="CC29" s="65"/>
      <c r="CD29" s="78" t="s">
        <v>1942</v>
      </c>
      <c r="CE29" s="79">
        <f t="shared" si="103"/>
        <v>0</v>
      </c>
      <c r="CF29" s="65"/>
      <c r="CG29" s="78" t="s">
        <v>1962</v>
      </c>
      <c r="CH29" s="79">
        <f t="shared" si="103"/>
        <v>0</v>
      </c>
      <c r="CI29" s="65"/>
      <c r="CJ29" s="78" t="s">
        <v>1942</v>
      </c>
      <c r="CK29" s="79">
        <f t="shared" si="102"/>
        <v>0</v>
      </c>
      <c r="CL29" s="65"/>
      <c r="CM29" s="78" t="s">
        <v>1957</v>
      </c>
      <c r="CN29" s="79">
        <f t="shared" si="102"/>
        <v>0</v>
      </c>
      <c r="CO29" s="65"/>
      <c r="CP29" s="78" t="s">
        <v>1948</v>
      </c>
      <c r="CQ29" s="79">
        <f t="shared" si="102"/>
        <v>0</v>
      </c>
      <c r="CR29" s="65"/>
      <c r="CS29" s="78" t="s">
        <v>1946</v>
      </c>
      <c r="CT29" s="79">
        <f t="shared" si="102"/>
        <v>0</v>
      </c>
      <c r="CU29" s="65"/>
      <c r="CV29" s="78" t="s">
        <v>1954</v>
      </c>
      <c r="CW29" s="79">
        <f t="shared" si="102"/>
        <v>0</v>
      </c>
      <c r="CX29" s="65"/>
      <c r="CY29" s="78" t="s">
        <v>1944</v>
      </c>
      <c r="CZ29" s="79">
        <f t="shared" si="102"/>
        <v>0</v>
      </c>
      <c r="DA29" s="65"/>
      <c r="DB29" s="78" t="s">
        <v>1942</v>
      </c>
      <c r="DC29" s="79">
        <f t="shared" si="102"/>
        <v>0</v>
      </c>
      <c r="DD29" s="65"/>
      <c r="DE29" s="78" t="s">
        <v>1942</v>
      </c>
      <c r="DF29" s="79">
        <f t="shared" si="102"/>
        <v>0</v>
      </c>
      <c r="DG29" s="65"/>
      <c r="DH29" s="78" t="s">
        <v>1946</v>
      </c>
      <c r="DI29" s="79">
        <f t="shared" si="102"/>
        <v>0</v>
      </c>
      <c r="DJ29" s="65"/>
      <c r="DK29" s="78" t="s">
        <v>1948</v>
      </c>
      <c r="DL29" s="79">
        <f t="shared" si="102"/>
        <v>0</v>
      </c>
      <c r="DM29" s="65"/>
      <c r="DN29" s="795" t="s">
        <v>1943</v>
      </c>
      <c r="DO29" s="79">
        <f t="shared" si="102"/>
        <v>0</v>
      </c>
      <c r="DP29" s="65"/>
      <c r="DQ29" s="795" t="s">
        <v>1946</v>
      </c>
      <c r="DR29" s="79">
        <f t="shared" si="102"/>
        <v>0</v>
      </c>
      <c r="DS29" s="65"/>
      <c r="DT29" s="78" t="s">
        <v>1948</v>
      </c>
      <c r="DU29" s="79">
        <f t="shared" si="105"/>
        <v>0</v>
      </c>
      <c r="DV29" s="65"/>
      <c r="DW29" s="78" t="s">
        <v>1954</v>
      </c>
      <c r="DX29" s="79">
        <f t="shared" si="105"/>
        <v>0</v>
      </c>
      <c r="DY29" s="65"/>
      <c r="DZ29" s="78" t="s">
        <v>1942</v>
      </c>
      <c r="EA29" s="79">
        <f t="shared" si="105"/>
        <v>0</v>
      </c>
      <c r="EB29" s="65"/>
      <c r="EC29" s="78" t="s">
        <v>1948</v>
      </c>
      <c r="ED29" s="79">
        <f t="shared" si="105"/>
        <v>0</v>
      </c>
      <c r="EE29" s="65"/>
      <c r="EF29" s="78" t="s">
        <v>1954</v>
      </c>
      <c r="EG29" s="79">
        <f t="shared" si="105"/>
        <v>0</v>
      </c>
      <c r="EH29" s="65"/>
      <c r="EI29" s="78"/>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0</v>
      </c>
      <c r="AD30" s="65"/>
      <c r="AE30" s="76" t="s">
        <v>1942</v>
      </c>
      <c r="AF30" s="77">
        <f t="shared" si="103"/>
        <v>0</v>
      </c>
      <c r="AG30" s="65"/>
      <c r="AH30" s="76" t="s">
        <v>1946</v>
      </c>
      <c r="AI30" s="77">
        <f t="shared" si="103"/>
        <v>0</v>
      </c>
      <c r="AJ30" s="65"/>
      <c r="AK30" s="76" t="s">
        <v>1948</v>
      </c>
      <c r="AL30" s="77">
        <f t="shared" si="103"/>
        <v>0</v>
      </c>
      <c r="AM30" s="65"/>
      <c r="AN30" s="76" t="s">
        <v>1958</v>
      </c>
      <c r="AO30" s="77">
        <f t="shared" si="103"/>
        <v>0</v>
      </c>
      <c r="AP30" s="65"/>
      <c r="AQ30" s="76" t="s">
        <v>1946</v>
      </c>
      <c r="AR30" s="77">
        <f t="shared" si="103"/>
        <v>0</v>
      </c>
      <c r="AS30" s="65"/>
      <c r="AT30" s="76" t="s">
        <v>1946</v>
      </c>
      <c r="AU30" s="77">
        <f t="shared" si="103"/>
        <v>0</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0</v>
      </c>
      <c r="BQ30" s="65"/>
      <c r="BR30" s="76" t="s">
        <v>1942</v>
      </c>
      <c r="BS30" s="77">
        <f t="shared" si="107"/>
        <v>0</v>
      </c>
      <c r="BT30" s="65"/>
      <c r="BU30" s="76" t="s">
        <v>1948</v>
      </c>
      <c r="BV30" s="77">
        <f t="shared" si="107"/>
        <v>0</v>
      </c>
      <c r="BW30" s="65"/>
      <c r="BX30" s="76" t="s">
        <v>1946</v>
      </c>
      <c r="BY30" s="77">
        <f t="shared" si="107"/>
        <v>0</v>
      </c>
      <c r="BZ30" s="65"/>
      <c r="CA30" s="76" t="s">
        <v>1960</v>
      </c>
      <c r="CB30" s="77">
        <f t="shared" si="107"/>
        <v>0</v>
      </c>
      <c r="CC30" s="65"/>
      <c r="CD30" s="76" t="s">
        <v>1946</v>
      </c>
      <c r="CE30" s="77">
        <f t="shared" si="107"/>
        <v>0</v>
      </c>
      <c r="CF30" s="65"/>
      <c r="CG30" s="76" t="s">
        <v>1954</v>
      </c>
      <c r="CH30" s="77">
        <f t="shared" si="107"/>
        <v>0</v>
      </c>
      <c r="CI30" s="65"/>
      <c r="CJ30" s="76" t="s">
        <v>1942</v>
      </c>
      <c r="CK30" s="77">
        <f t="shared" si="107"/>
        <v>0</v>
      </c>
      <c r="CL30" s="65"/>
      <c r="CM30" s="76" t="s">
        <v>1948</v>
      </c>
      <c r="CN30" s="77">
        <f t="shared" si="107"/>
        <v>0</v>
      </c>
      <c r="CO30" s="65"/>
      <c r="CP30" s="76" t="s">
        <v>1946</v>
      </c>
      <c r="CQ30" s="77">
        <f t="shared" si="107"/>
        <v>0</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0</v>
      </c>
      <c r="DS30" s="65"/>
      <c r="DT30" s="76" t="s">
        <v>1944</v>
      </c>
      <c r="DU30" s="77">
        <f t="shared" si="107"/>
        <v>0</v>
      </c>
      <c r="DV30" s="65"/>
      <c r="DW30" s="76" t="s">
        <v>1948</v>
      </c>
      <c r="DX30" s="77">
        <f t="shared" si="105"/>
        <v>0</v>
      </c>
      <c r="DY30" s="65"/>
      <c r="DZ30" s="76" t="s">
        <v>1942</v>
      </c>
      <c r="EA30" s="77">
        <f t="shared" si="105"/>
        <v>0</v>
      </c>
      <c r="EB30" s="65"/>
      <c r="EC30" s="76" t="s">
        <v>1946</v>
      </c>
      <c r="ED30" s="77">
        <f t="shared" si="105"/>
        <v>0</v>
      </c>
      <c r="EE30" s="65"/>
      <c r="EF30" s="76" t="s">
        <v>1942</v>
      </c>
      <c r="EG30" s="77">
        <f t="shared" si="105"/>
        <v>0</v>
      </c>
      <c r="EH30" s="65"/>
      <c r="EI30" s="76" t="str">
        <f>Idiomas!$D$365</f>
        <v>Pegar Valores (J2)</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101"/>
        <v>0</v>
      </c>
      <c r="R31" s="49"/>
      <c r="S31" s="74" t="s">
        <v>1948</v>
      </c>
      <c r="T31" s="73">
        <f t="shared" si="106"/>
        <v>0</v>
      </c>
      <c r="U31" s="65"/>
      <c r="V31" s="74" t="s">
        <v>1954</v>
      </c>
      <c r="W31" s="73">
        <f t="shared" si="99"/>
        <v>0</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1948</v>
      </c>
      <c r="AC31" s="73">
        <f t="shared" si="108"/>
        <v>0</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0</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0</v>
      </c>
      <c r="BH31" s="65"/>
      <c r="BI31" s="74" t="s">
        <v>1948</v>
      </c>
      <c r="BJ31" s="73">
        <f t="shared" si="108"/>
        <v>0</v>
      </c>
      <c r="BK31" s="65"/>
      <c r="BL31" s="74" t="s">
        <v>1948</v>
      </c>
      <c r="BM31" s="73">
        <f t="shared" si="108"/>
        <v>0</v>
      </c>
      <c r="BN31" s="65"/>
      <c r="BO31" s="74" t="s">
        <v>1948</v>
      </c>
      <c r="BP31" s="73">
        <f t="shared" si="108"/>
        <v>0</v>
      </c>
      <c r="BQ31" s="65"/>
      <c r="BR31" s="74" t="s">
        <v>1942</v>
      </c>
      <c r="BS31" s="73">
        <f t="shared" si="108"/>
        <v>0</v>
      </c>
      <c r="BT31" s="65"/>
      <c r="BU31" s="74" t="s">
        <v>1944</v>
      </c>
      <c r="BV31" s="73">
        <f t="shared" si="108"/>
        <v>0</v>
      </c>
      <c r="BW31" s="65"/>
      <c r="BX31" s="74" t="s">
        <v>1948</v>
      </c>
      <c r="BY31" s="73">
        <f t="shared" si="108"/>
        <v>0</v>
      </c>
      <c r="BZ31" s="65"/>
      <c r="CA31" s="74" t="s">
        <v>1946</v>
      </c>
      <c r="CB31" s="73">
        <f t="shared" si="108"/>
        <v>0</v>
      </c>
      <c r="CC31" s="65"/>
      <c r="CD31" s="74" t="s">
        <v>1954</v>
      </c>
      <c r="CE31" s="73">
        <f t="shared" si="108"/>
        <v>0</v>
      </c>
      <c r="CF31" s="65"/>
      <c r="CG31" s="74" t="s">
        <v>1946</v>
      </c>
      <c r="CH31" s="73">
        <f t="shared" si="108"/>
        <v>0</v>
      </c>
      <c r="CI31" s="65"/>
      <c r="CJ31" s="74" t="s">
        <v>1946</v>
      </c>
      <c r="CK31" s="73">
        <f t="shared" si="107"/>
        <v>0</v>
      </c>
      <c r="CL31" s="65"/>
      <c r="CM31" s="74" t="s">
        <v>1944</v>
      </c>
      <c r="CN31" s="73">
        <f t="shared" si="107"/>
        <v>0</v>
      </c>
      <c r="CO31" s="65"/>
      <c r="CP31" s="74" t="s">
        <v>1942</v>
      </c>
      <c r="CQ31" s="73">
        <f t="shared" si="107"/>
        <v>0</v>
      </c>
      <c r="CR31" s="65"/>
      <c r="CS31" s="74" t="s">
        <v>1954</v>
      </c>
      <c r="CT31" s="73">
        <f t="shared" si="107"/>
        <v>0</v>
      </c>
      <c r="CU31" s="65"/>
      <c r="CV31" s="74" t="s">
        <v>1942</v>
      </c>
      <c r="CW31" s="73">
        <f t="shared" si="107"/>
        <v>0</v>
      </c>
      <c r="CX31" s="65"/>
      <c r="CY31" s="74" t="s">
        <v>1954</v>
      </c>
      <c r="CZ31" s="73">
        <f t="shared" si="107"/>
        <v>0</v>
      </c>
      <c r="DA31" s="65"/>
      <c r="DB31" s="74" t="s">
        <v>1948</v>
      </c>
      <c r="DC31" s="73">
        <f t="shared" si="107"/>
        <v>0</v>
      </c>
      <c r="DD31" s="65"/>
      <c r="DE31" s="74" t="s">
        <v>1948</v>
      </c>
      <c r="DF31" s="73">
        <f t="shared" si="107"/>
        <v>0</v>
      </c>
      <c r="DG31" s="65"/>
      <c r="DH31" s="74" t="s">
        <v>1946</v>
      </c>
      <c r="DI31" s="73">
        <f t="shared" si="107"/>
        <v>0</v>
      </c>
      <c r="DJ31" s="65"/>
      <c r="DK31" s="74" t="s">
        <v>1942</v>
      </c>
      <c r="DL31" s="73">
        <f t="shared" si="107"/>
        <v>0</v>
      </c>
      <c r="DM31" s="65"/>
      <c r="DN31" s="795" t="s">
        <v>1948</v>
      </c>
      <c r="DO31" s="73">
        <f t="shared" si="107"/>
        <v>0</v>
      </c>
      <c r="DP31" s="65"/>
      <c r="DQ31" s="795" t="s">
        <v>1958</v>
      </c>
      <c r="DR31" s="73">
        <f t="shared" si="107"/>
        <v>0</v>
      </c>
      <c r="DS31" s="65"/>
      <c r="DT31" s="74" t="s">
        <v>1956</v>
      </c>
      <c r="DU31" s="73">
        <f t="shared" si="107"/>
        <v>0</v>
      </c>
      <c r="DV31" s="65"/>
      <c r="DW31" s="74" t="s">
        <v>1956</v>
      </c>
      <c r="DX31" s="73">
        <f t="shared" si="105"/>
        <v>0</v>
      </c>
      <c r="DY31" s="65"/>
      <c r="DZ31" s="74" t="s">
        <v>1946</v>
      </c>
      <c r="EA31" s="73">
        <f t="shared" si="105"/>
        <v>0</v>
      </c>
      <c r="EB31" s="65"/>
      <c r="EC31" s="74" t="s">
        <v>1942</v>
      </c>
      <c r="ED31" s="73">
        <f t="shared" si="105"/>
        <v>0</v>
      </c>
      <c r="EE31" s="65"/>
      <c r="EF31" s="74" t="s">
        <v>1946</v>
      </c>
      <c r="EG31" s="73">
        <f t="shared" si="105"/>
        <v>0</v>
      </c>
      <c r="EH31" s="65"/>
      <c r="EI31" s="74"/>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101"/>
        <v>0</v>
      </c>
      <c r="R32" s="49"/>
      <c r="S32" s="74" t="s">
        <v>1954</v>
      </c>
      <c r="T32" s="73">
        <f t="shared" si="106"/>
        <v>0</v>
      </c>
      <c r="U32" s="65"/>
      <c r="V32" s="74" t="s">
        <v>1942</v>
      </c>
      <c r="W32" s="73">
        <f t="shared" si="99"/>
        <v>0</v>
      </c>
      <c r="X32" s="65"/>
      <c r="Y32" s="74" t="s">
        <v>1957</v>
      </c>
      <c r="Z32" s="73">
        <f t="shared" si="108"/>
        <v>0</v>
      </c>
      <c r="AA32" s="65"/>
      <c r="AB32" s="74" t="s">
        <v>1946</v>
      </c>
      <c r="AC32" s="73">
        <f t="shared" si="108"/>
        <v>0</v>
      </c>
      <c r="AD32" s="65"/>
      <c r="AE32" s="74" t="s">
        <v>1948</v>
      </c>
      <c r="AF32" s="73">
        <f t="shared" si="108"/>
        <v>0</v>
      </c>
      <c r="AG32" s="65"/>
      <c r="AH32" s="74" t="s">
        <v>1943</v>
      </c>
      <c r="AI32" s="73">
        <f t="shared" si="108"/>
        <v>0</v>
      </c>
      <c r="AJ32" s="65"/>
      <c r="AK32" s="74" t="s">
        <v>1944</v>
      </c>
      <c r="AL32" s="73">
        <f t="shared" si="108"/>
        <v>0</v>
      </c>
      <c r="AM32" s="65"/>
      <c r="AN32" s="74" t="s">
        <v>1954</v>
      </c>
      <c r="AO32" s="73">
        <f t="shared" si="108"/>
        <v>0</v>
      </c>
      <c r="AP32" s="65"/>
      <c r="AQ32" s="74" t="s">
        <v>1948</v>
      </c>
      <c r="AR32" s="73">
        <f t="shared" si="108"/>
        <v>0</v>
      </c>
      <c r="AS32" s="65"/>
      <c r="AT32" s="74" t="s">
        <v>1946</v>
      </c>
      <c r="AU32" s="73">
        <f t="shared" si="108"/>
        <v>0</v>
      </c>
      <c r="AV32" s="65"/>
      <c r="AW32" s="74" t="s">
        <v>1944</v>
      </c>
      <c r="AX32" s="73">
        <f t="shared" si="108"/>
        <v>0</v>
      </c>
      <c r="AY32" s="65"/>
      <c r="AZ32" s="74" t="s">
        <v>1948</v>
      </c>
      <c r="BA32" s="73">
        <f t="shared" si="108"/>
        <v>0</v>
      </c>
      <c r="BB32" s="65"/>
      <c r="BC32" s="74" t="s">
        <v>1942</v>
      </c>
      <c r="BD32" s="73">
        <f t="shared" si="108"/>
        <v>0</v>
      </c>
      <c r="BE32" s="65"/>
      <c r="BF32" s="74" t="s">
        <v>1954</v>
      </c>
      <c r="BG32" s="73">
        <f t="shared" si="108"/>
        <v>0</v>
      </c>
      <c r="BH32" s="65"/>
      <c r="BI32" s="74" t="s">
        <v>1957</v>
      </c>
      <c r="BJ32" s="73">
        <f t="shared" si="108"/>
        <v>0</v>
      </c>
      <c r="BK32" s="65"/>
      <c r="BL32" s="74" t="s">
        <v>1958</v>
      </c>
      <c r="BM32" s="73">
        <f t="shared" si="108"/>
        <v>0</v>
      </c>
      <c r="BN32" s="65"/>
      <c r="BO32" s="74" t="s">
        <v>1954</v>
      </c>
      <c r="BP32" s="73">
        <f t="shared" si="108"/>
        <v>0</v>
      </c>
      <c r="BQ32" s="65"/>
      <c r="BR32" s="74" t="s">
        <v>1946</v>
      </c>
      <c r="BS32" s="73">
        <f t="shared" si="108"/>
        <v>0</v>
      </c>
      <c r="BT32" s="65"/>
      <c r="BU32" s="74" t="s">
        <v>1948</v>
      </c>
      <c r="BV32" s="73">
        <f t="shared" si="108"/>
        <v>0</v>
      </c>
      <c r="BW32" s="65"/>
      <c r="BX32" s="74" t="s">
        <v>1942</v>
      </c>
      <c r="BY32" s="73">
        <f t="shared" si="108"/>
        <v>0</v>
      </c>
      <c r="BZ32" s="65"/>
      <c r="CA32" s="74" t="s">
        <v>1948</v>
      </c>
      <c r="CB32" s="73">
        <f t="shared" si="108"/>
        <v>0</v>
      </c>
      <c r="CC32" s="65"/>
      <c r="CD32" s="74" t="s">
        <v>1948</v>
      </c>
      <c r="CE32" s="73">
        <f t="shared" si="108"/>
        <v>0</v>
      </c>
      <c r="CF32" s="65"/>
      <c r="CG32" s="74" t="s">
        <v>1942</v>
      </c>
      <c r="CH32" s="73">
        <f t="shared" si="108"/>
        <v>0</v>
      </c>
      <c r="CI32" s="65"/>
      <c r="CJ32" s="74" t="s">
        <v>1943</v>
      </c>
      <c r="CK32" s="73">
        <f t="shared" si="107"/>
        <v>0</v>
      </c>
      <c r="CL32" s="65"/>
      <c r="CM32" s="74" t="s">
        <v>1943</v>
      </c>
      <c r="CN32" s="73">
        <f t="shared" si="107"/>
        <v>0</v>
      </c>
      <c r="CO32" s="65"/>
      <c r="CP32" s="74" t="s">
        <v>1942</v>
      </c>
      <c r="CQ32" s="73">
        <f t="shared" si="107"/>
        <v>0</v>
      </c>
      <c r="CR32" s="65"/>
      <c r="CS32" s="74" t="s">
        <v>1954</v>
      </c>
      <c r="CT32" s="73">
        <f t="shared" si="107"/>
        <v>0</v>
      </c>
      <c r="CU32" s="65"/>
      <c r="CV32" s="74" t="s">
        <v>1948</v>
      </c>
      <c r="CW32" s="73">
        <f t="shared" si="107"/>
        <v>0</v>
      </c>
      <c r="CX32" s="65"/>
      <c r="CY32" s="74" t="s">
        <v>1948</v>
      </c>
      <c r="CZ32" s="73">
        <f t="shared" si="107"/>
        <v>0</v>
      </c>
      <c r="DA32" s="65"/>
      <c r="DB32" s="74" t="s">
        <v>1954</v>
      </c>
      <c r="DC32" s="73">
        <f t="shared" si="107"/>
        <v>0</v>
      </c>
      <c r="DD32" s="65"/>
      <c r="DE32" s="74" t="s">
        <v>1942</v>
      </c>
      <c r="DF32" s="73">
        <f t="shared" si="107"/>
        <v>0</v>
      </c>
      <c r="DG32" s="65"/>
      <c r="DH32" s="74" t="s">
        <v>1948</v>
      </c>
      <c r="DI32" s="73">
        <f t="shared" si="107"/>
        <v>0</v>
      </c>
      <c r="DJ32" s="65"/>
      <c r="DK32" s="74" t="s">
        <v>1948</v>
      </c>
      <c r="DL32" s="73">
        <f t="shared" si="107"/>
        <v>0</v>
      </c>
      <c r="DM32" s="65"/>
      <c r="DN32" s="795" t="s">
        <v>1948</v>
      </c>
      <c r="DO32" s="73">
        <f t="shared" si="107"/>
        <v>0</v>
      </c>
      <c r="DP32" s="65"/>
      <c r="DQ32" s="795" t="s">
        <v>1946</v>
      </c>
      <c r="DR32" s="73">
        <f t="shared" si="107"/>
        <v>0</v>
      </c>
      <c r="DS32" s="65"/>
      <c r="DT32" s="74" t="s">
        <v>1959</v>
      </c>
      <c r="DU32" s="73">
        <f t="shared" si="107"/>
        <v>0</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0</v>
      </c>
      <c r="DY32" s="65"/>
      <c r="DZ32" s="74" t="s">
        <v>1946</v>
      </c>
      <c r="EA32" s="73">
        <f t="shared" si="109"/>
        <v>0</v>
      </c>
      <c r="EB32" s="65"/>
      <c r="EC32" s="74" t="s">
        <v>1948</v>
      </c>
      <c r="ED32" s="73">
        <f t="shared" si="109"/>
        <v>0</v>
      </c>
      <c r="EE32" s="65"/>
      <c r="EF32" s="74" t="s">
        <v>1943</v>
      </c>
      <c r="EG32" s="73">
        <f t="shared" si="109"/>
        <v>0</v>
      </c>
      <c r="EH32" s="65"/>
      <c r="EI32" s="74"/>
      <c r="EJ32" s="73">
        <f t="shared" si="109"/>
        <v>0</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101"/>
        <v>0</v>
      </c>
      <c r="R33" s="49"/>
      <c r="S33" s="74" t="s">
        <v>1954</v>
      </c>
      <c r="T33" s="73">
        <f t="shared" si="106"/>
        <v>0</v>
      </c>
      <c r="U33" s="65"/>
      <c r="V33" s="74" t="s">
        <v>1942</v>
      </c>
      <c r="W33" s="73">
        <f t="shared" si="99"/>
        <v>0</v>
      </c>
      <c r="X33" s="65"/>
      <c r="Y33" s="74" t="s">
        <v>1954</v>
      </c>
      <c r="Z33" s="73">
        <f t="shared" si="108"/>
        <v>0</v>
      </c>
      <c r="AA33" s="65"/>
      <c r="AB33" s="74" t="s">
        <v>1946</v>
      </c>
      <c r="AC33" s="73">
        <f t="shared" si="108"/>
        <v>0</v>
      </c>
      <c r="AD33" s="65"/>
      <c r="AE33" s="74" t="s">
        <v>1946</v>
      </c>
      <c r="AF33" s="73">
        <f t="shared" si="108"/>
        <v>0</v>
      </c>
      <c r="AG33" s="65"/>
      <c r="AH33" s="74" t="s">
        <v>1958</v>
      </c>
      <c r="AI33" s="73">
        <f t="shared" si="108"/>
        <v>0</v>
      </c>
      <c r="AJ33" s="65"/>
      <c r="AK33" s="74" t="s">
        <v>1954</v>
      </c>
      <c r="AL33" s="73">
        <f t="shared" si="108"/>
        <v>0</v>
      </c>
      <c r="AM33" s="65"/>
      <c r="AN33" s="74" t="s">
        <v>1959</v>
      </c>
      <c r="AO33" s="73">
        <f t="shared" si="108"/>
        <v>0</v>
      </c>
      <c r="AP33" s="65"/>
      <c r="AQ33" s="74" t="s">
        <v>2001</v>
      </c>
      <c r="AR33" s="73">
        <f t="shared" si="108"/>
        <v>0</v>
      </c>
      <c r="AS33" s="65"/>
      <c r="AT33" s="74" t="s">
        <v>1948</v>
      </c>
      <c r="AU33" s="73">
        <f t="shared" si="108"/>
        <v>0</v>
      </c>
      <c r="AV33" s="65"/>
      <c r="AW33" s="74" t="s">
        <v>1954</v>
      </c>
      <c r="AX33" s="73">
        <f t="shared" si="108"/>
        <v>0</v>
      </c>
      <c r="AY33" s="65"/>
      <c r="AZ33" s="74" t="s">
        <v>1943</v>
      </c>
      <c r="BA33" s="73">
        <f t="shared" si="108"/>
        <v>0</v>
      </c>
      <c r="BB33" s="65"/>
      <c r="BC33" s="74" t="s">
        <v>1946</v>
      </c>
      <c r="BD33" s="73">
        <f t="shared" si="108"/>
        <v>0</v>
      </c>
      <c r="BE33" s="65"/>
      <c r="BF33" s="74" t="s">
        <v>1942</v>
      </c>
      <c r="BG33" s="73">
        <f t="shared" si="108"/>
        <v>0</v>
      </c>
      <c r="BH33" s="65"/>
      <c r="BI33" s="74" t="s">
        <v>1954</v>
      </c>
      <c r="BJ33" s="73">
        <f t="shared" si="108"/>
        <v>0</v>
      </c>
      <c r="BK33" s="65"/>
      <c r="BL33" s="74" t="s">
        <v>1954</v>
      </c>
      <c r="BM33" s="73">
        <f t="shared" si="108"/>
        <v>0</v>
      </c>
      <c r="BN33" s="65"/>
      <c r="BO33" s="74" t="s">
        <v>1946</v>
      </c>
      <c r="BP33" s="73">
        <f t="shared" si="108"/>
        <v>0</v>
      </c>
      <c r="BQ33" s="65"/>
      <c r="BR33" s="74" t="s">
        <v>1942</v>
      </c>
      <c r="BS33" s="73">
        <f t="shared" si="108"/>
        <v>0</v>
      </c>
      <c r="BT33" s="65"/>
      <c r="BU33" s="74" t="s">
        <v>1954</v>
      </c>
      <c r="BV33" s="73">
        <f t="shared" si="108"/>
        <v>0</v>
      </c>
      <c r="BW33" s="65"/>
      <c r="BX33" s="74" t="s">
        <v>1954</v>
      </c>
      <c r="BY33" s="73">
        <f t="shared" si="108"/>
        <v>0</v>
      </c>
      <c r="BZ33" s="65"/>
      <c r="CA33" s="74" t="s">
        <v>1954</v>
      </c>
      <c r="CB33" s="73">
        <f t="shared" si="108"/>
        <v>0</v>
      </c>
      <c r="CC33" s="65"/>
      <c r="CD33" s="74" t="s">
        <v>1942</v>
      </c>
      <c r="CE33" s="73">
        <f t="shared" si="108"/>
        <v>0</v>
      </c>
      <c r="CF33" s="65"/>
      <c r="CG33" s="74" t="s">
        <v>1954</v>
      </c>
      <c r="CH33" s="73">
        <f t="shared" si="108"/>
        <v>0</v>
      </c>
      <c r="CI33" s="65"/>
      <c r="CJ33" s="74" t="s">
        <v>1946</v>
      </c>
      <c r="CK33" s="73">
        <f t="shared" si="107"/>
        <v>0</v>
      </c>
      <c r="CL33" s="65"/>
      <c r="CM33" s="74" t="s">
        <v>1946</v>
      </c>
      <c r="CN33" s="73">
        <f t="shared" si="107"/>
        <v>0</v>
      </c>
      <c r="CO33" s="65"/>
      <c r="CP33" s="74" t="s">
        <v>1954</v>
      </c>
      <c r="CQ33" s="73">
        <f t="shared" si="107"/>
        <v>0</v>
      </c>
      <c r="CR33" s="65"/>
      <c r="CS33" s="74" t="s">
        <v>1958</v>
      </c>
      <c r="CT33" s="73">
        <f t="shared" si="107"/>
        <v>0</v>
      </c>
      <c r="CU33" s="65"/>
      <c r="CV33" s="74" t="s">
        <v>1954</v>
      </c>
      <c r="CW33" s="73">
        <f t="shared" si="107"/>
        <v>0</v>
      </c>
      <c r="CX33" s="65"/>
      <c r="CY33" s="74" t="s">
        <v>1946</v>
      </c>
      <c r="CZ33" s="73">
        <f t="shared" si="107"/>
        <v>0</v>
      </c>
      <c r="DA33" s="65"/>
      <c r="DB33" s="74" t="s">
        <v>1954</v>
      </c>
      <c r="DC33" s="73">
        <f t="shared" si="107"/>
        <v>0</v>
      </c>
      <c r="DD33" s="65"/>
      <c r="DE33" s="74" t="s">
        <v>1942</v>
      </c>
      <c r="DF33" s="73">
        <f t="shared" si="107"/>
        <v>0</v>
      </c>
      <c r="DG33" s="65"/>
      <c r="DH33" s="74" t="s">
        <v>1948</v>
      </c>
      <c r="DI33" s="73">
        <f t="shared" si="107"/>
        <v>0</v>
      </c>
      <c r="DJ33" s="65"/>
      <c r="DK33" s="74" t="s">
        <v>1954</v>
      </c>
      <c r="DL33" s="73">
        <f t="shared" si="107"/>
        <v>0</v>
      </c>
      <c r="DM33" s="65"/>
      <c r="DN33" s="795" t="s">
        <v>1952</v>
      </c>
      <c r="DO33" s="73">
        <f t="shared" si="107"/>
        <v>0</v>
      </c>
      <c r="DP33" s="65"/>
      <c r="DQ33" s="795" t="s">
        <v>1960</v>
      </c>
      <c r="DR33" s="73">
        <f t="shared" si="107"/>
        <v>0</v>
      </c>
      <c r="DS33" s="65"/>
      <c r="DT33" s="74" t="s">
        <v>1948</v>
      </c>
      <c r="DU33" s="73">
        <f t="shared" si="107"/>
        <v>0</v>
      </c>
      <c r="DV33" s="65"/>
      <c r="DW33" s="74" t="s">
        <v>1948</v>
      </c>
      <c r="DX33" s="73">
        <f t="shared" si="109"/>
        <v>0</v>
      </c>
      <c r="DY33" s="65"/>
      <c r="DZ33" s="74" t="s">
        <v>1954</v>
      </c>
      <c r="EA33" s="73">
        <f t="shared" si="109"/>
        <v>0</v>
      </c>
      <c r="EB33" s="65"/>
      <c r="EC33" s="74" t="s">
        <v>1960</v>
      </c>
      <c r="ED33" s="73">
        <f t="shared" si="109"/>
        <v>0</v>
      </c>
      <c r="EE33" s="65"/>
      <c r="EF33" s="74" t="s">
        <v>1948</v>
      </c>
      <c r="EG33" s="73">
        <f t="shared" si="109"/>
        <v>0</v>
      </c>
      <c r="EH33" s="65"/>
      <c r="EI33" s="74"/>
      <c r="EJ33" s="73">
        <f t="shared" si="109"/>
        <v>0</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101"/>
        <v>0</v>
      </c>
      <c r="R34" s="49"/>
      <c r="S34" s="74" t="s">
        <v>1952</v>
      </c>
      <c r="T34" s="73">
        <f t="shared" si="106"/>
        <v>0</v>
      </c>
      <c r="U34" s="65"/>
      <c r="V34" s="74" t="s">
        <v>1945</v>
      </c>
      <c r="W34" s="73">
        <f t="shared" si="99"/>
        <v>0</v>
      </c>
      <c r="X34" s="65"/>
      <c r="Y34" s="74" t="s">
        <v>1952</v>
      </c>
      <c r="Z34" s="73">
        <f t="shared" si="108"/>
        <v>0</v>
      </c>
      <c r="AA34" s="65"/>
      <c r="AB34" s="74" t="s">
        <v>1946</v>
      </c>
      <c r="AC34" s="73">
        <f t="shared" si="108"/>
        <v>0</v>
      </c>
      <c r="AD34" s="65"/>
      <c r="AE34" s="74" t="s">
        <v>1957</v>
      </c>
      <c r="AF34" s="73">
        <f t="shared" si="108"/>
        <v>0</v>
      </c>
      <c r="AG34" s="65"/>
      <c r="AH34" s="74" t="s">
        <v>1949</v>
      </c>
      <c r="AI34" s="73">
        <f t="shared" si="108"/>
        <v>0</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0</v>
      </c>
      <c r="AY34" s="65"/>
      <c r="AZ34" s="74" t="s">
        <v>1946</v>
      </c>
      <c r="BA34" s="73">
        <f t="shared" si="108"/>
        <v>0</v>
      </c>
      <c r="BB34" s="65"/>
      <c r="BC34" s="74" t="s">
        <v>1949</v>
      </c>
      <c r="BD34" s="73">
        <f t="shared" si="108"/>
        <v>0</v>
      </c>
      <c r="BE34" s="65"/>
      <c r="BF34" s="74" t="s">
        <v>1949</v>
      </c>
      <c r="BG34" s="73">
        <f t="shared" si="108"/>
        <v>0</v>
      </c>
      <c r="BH34" s="65"/>
      <c r="BI34" s="74" t="s">
        <v>1952</v>
      </c>
      <c r="BJ34" s="73">
        <f t="shared" si="108"/>
        <v>0</v>
      </c>
      <c r="BK34" s="65"/>
      <c r="BL34" s="74" t="s">
        <v>1952</v>
      </c>
      <c r="BM34" s="73">
        <f t="shared" si="108"/>
        <v>0</v>
      </c>
      <c r="BN34" s="65"/>
      <c r="BO34" s="74" t="s">
        <v>1952</v>
      </c>
      <c r="BP34" s="73">
        <f t="shared" si="108"/>
        <v>0</v>
      </c>
      <c r="BQ34" s="65"/>
      <c r="BR34" s="74" t="s">
        <v>1946</v>
      </c>
      <c r="BS34" s="73">
        <f t="shared" si="108"/>
        <v>0</v>
      </c>
      <c r="BT34" s="65"/>
      <c r="BU34" s="74" t="s">
        <v>1948</v>
      </c>
      <c r="BV34" s="73">
        <f t="shared" si="108"/>
        <v>0</v>
      </c>
      <c r="BW34" s="65"/>
      <c r="BX34" s="74" t="s">
        <v>1952</v>
      </c>
      <c r="BY34" s="73">
        <f t="shared" si="108"/>
        <v>0</v>
      </c>
      <c r="BZ34" s="65"/>
      <c r="CA34" s="74" t="s">
        <v>1948</v>
      </c>
      <c r="CB34" s="73">
        <f t="shared" si="108"/>
        <v>0</v>
      </c>
      <c r="CC34" s="65"/>
      <c r="CD34" s="74" t="s">
        <v>1946</v>
      </c>
      <c r="CE34" s="73">
        <f t="shared" si="108"/>
        <v>0</v>
      </c>
      <c r="CF34" s="65"/>
      <c r="CG34" s="74" t="s">
        <v>1946</v>
      </c>
      <c r="CH34" s="73">
        <f t="shared" si="108"/>
        <v>0</v>
      </c>
      <c r="CI34" s="65"/>
      <c r="CJ34" s="74" t="s">
        <v>1960</v>
      </c>
      <c r="CK34" s="73">
        <f t="shared" si="107"/>
        <v>0</v>
      </c>
      <c r="CL34" s="65"/>
      <c r="CM34" s="74" t="s">
        <v>1952</v>
      </c>
      <c r="CN34" s="73">
        <f t="shared" si="107"/>
        <v>0</v>
      </c>
      <c r="CO34" s="65"/>
      <c r="CP34" s="74" t="s">
        <v>1945</v>
      </c>
      <c r="CQ34" s="73">
        <f t="shared" si="107"/>
        <v>0</v>
      </c>
      <c r="CR34" s="65"/>
      <c r="CS34" s="74" t="s">
        <v>1952</v>
      </c>
      <c r="CT34" s="73">
        <f t="shared" si="107"/>
        <v>0</v>
      </c>
      <c r="CU34" s="65"/>
      <c r="CV34" s="74" t="s">
        <v>1949</v>
      </c>
      <c r="CW34" s="73">
        <f t="shared" si="107"/>
        <v>0</v>
      </c>
      <c r="CX34" s="65"/>
      <c r="CY34" s="74" t="s">
        <v>1949</v>
      </c>
      <c r="CZ34" s="73">
        <f t="shared" si="107"/>
        <v>0</v>
      </c>
      <c r="DA34" s="65"/>
      <c r="DB34" s="74" t="s">
        <v>1952</v>
      </c>
      <c r="DC34" s="73">
        <f t="shared" si="107"/>
        <v>0</v>
      </c>
      <c r="DD34" s="65"/>
      <c r="DE34" s="74" t="s">
        <v>1952</v>
      </c>
      <c r="DF34" s="73">
        <f t="shared" si="107"/>
        <v>0</v>
      </c>
      <c r="DG34" s="65"/>
      <c r="DH34" s="74" t="s">
        <v>1952</v>
      </c>
      <c r="DI34" s="73">
        <f t="shared" si="107"/>
        <v>0</v>
      </c>
      <c r="DJ34" s="65"/>
      <c r="DK34" s="74" t="s">
        <v>1949</v>
      </c>
      <c r="DL34" s="73">
        <f t="shared" si="107"/>
        <v>0</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0</v>
      </c>
      <c r="EE34" s="65"/>
      <c r="EF34" s="74" t="s">
        <v>1946</v>
      </c>
      <c r="EG34" s="73">
        <f t="shared" si="109"/>
        <v>0</v>
      </c>
      <c r="EH34" s="65"/>
      <c r="EI34" s="74"/>
      <c r="EJ34" s="73">
        <f t="shared" si="109"/>
        <v>0</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101"/>
        <v>0</v>
      </c>
      <c r="R35" s="49"/>
      <c r="S35" s="74" t="s">
        <v>1951</v>
      </c>
      <c r="T35" s="73">
        <f t="shared" si="106"/>
        <v>0</v>
      </c>
      <c r="U35" s="65"/>
      <c r="V35" s="74" t="s">
        <v>2002</v>
      </c>
      <c r="W35" s="73">
        <f t="shared" si="99"/>
        <v>0</v>
      </c>
      <c r="X35" s="65"/>
      <c r="Y35" s="74" t="s">
        <v>1958</v>
      </c>
      <c r="Z35" s="73">
        <f t="shared" si="108"/>
        <v>0</v>
      </c>
      <c r="AA35" s="65"/>
      <c r="AB35" s="74" t="s">
        <v>1958</v>
      </c>
      <c r="AC35" s="73">
        <f t="shared" si="108"/>
        <v>0</v>
      </c>
      <c r="AD35" s="65"/>
      <c r="AE35" s="74" t="s">
        <v>1958</v>
      </c>
      <c r="AF35" s="73">
        <f t="shared" si="108"/>
        <v>0</v>
      </c>
      <c r="AG35" s="65"/>
      <c r="AH35" s="74" t="s">
        <v>1943</v>
      </c>
      <c r="AI35" s="73">
        <f t="shared" si="108"/>
        <v>0</v>
      </c>
      <c r="AJ35" s="65"/>
      <c r="AK35" s="74" t="s">
        <v>2001</v>
      </c>
      <c r="AL35" s="73">
        <f t="shared" si="108"/>
        <v>0</v>
      </c>
      <c r="AM35" s="65"/>
      <c r="AN35" s="74" t="s">
        <v>2184</v>
      </c>
      <c r="AO35" s="73">
        <f t="shared" si="108"/>
        <v>0</v>
      </c>
      <c r="AP35" s="65"/>
      <c r="AQ35" s="74" t="s">
        <v>1951</v>
      </c>
      <c r="AR35" s="73">
        <f t="shared" si="108"/>
        <v>0</v>
      </c>
      <c r="AS35" s="65"/>
      <c r="AT35" s="74" t="s">
        <v>2001</v>
      </c>
      <c r="AU35" s="73">
        <f t="shared" si="108"/>
        <v>0</v>
      </c>
      <c r="AV35" s="65"/>
      <c r="AW35" s="74" t="s">
        <v>1950</v>
      </c>
      <c r="AX35" s="73">
        <f t="shared" si="108"/>
        <v>0</v>
      </c>
      <c r="AY35" s="65"/>
      <c r="AZ35" s="74" t="s">
        <v>2001</v>
      </c>
      <c r="BA35" s="73">
        <f t="shared" si="108"/>
        <v>0</v>
      </c>
      <c r="BB35" s="65"/>
      <c r="BC35" s="74" t="s">
        <v>1950</v>
      </c>
      <c r="BD35" s="73">
        <f t="shared" si="108"/>
        <v>0</v>
      </c>
      <c r="BE35" s="65"/>
      <c r="BF35" s="74" t="s">
        <v>1958</v>
      </c>
      <c r="BG35" s="73">
        <f t="shared" si="108"/>
        <v>0</v>
      </c>
      <c r="BH35" s="65"/>
      <c r="BI35" s="74" t="s">
        <v>1958</v>
      </c>
      <c r="BJ35" s="73">
        <f t="shared" si="108"/>
        <v>0</v>
      </c>
      <c r="BK35" s="65"/>
      <c r="BL35" s="74" t="s">
        <v>1958</v>
      </c>
      <c r="BM35" s="73">
        <f t="shared" si="108"/>
        <v>0</v>
      </c>
      <c r="BN35" s="65"/>
      <c r="BO35" s="74" t="s">
        <v>1958</v>
      </c>
      <c r="BP35" s="73">
        <f t="shared" si="108"/>
        <v>0</v>
      </c>
      <c r="BQ35" s="65"/>
      <c r="BR35" s="74" t="s">
        <v>1959</v>
      </c>
      <c r="BS35" s="73">
        <f t="shared" si="108"/>
        <v>0</v>
      </c>
      <c r="BT35" s="65"/>
      <c r="BU35" s="74" t="s">
        <v>2001</v>
      </c>
      <c r="BV35" s="73">
        <f t="shared" si="108"/>
        <v>0</v>
      </c>
      <c r="BW35" s="65"/>
      <c r="BX35" s="74" t="s">
        <v>1958</v>
      </c>
      <c r="BY35" s="73">
        <f t="shared" si="108"/>
        <v>0</v>
      </c>
      <c r="BZ35" s="65"/>
      <c r="CA35" s="74" t="s">
        <v>1954</v>
      </c>
      <c r="CB35" s="73">
        <f t="shared" si="108"/>
        <v>0</v>
      </c>
      <c r="CC35" s="65"/>
      <c r="CD35" s="74" t="s">
        <v>2001</v>
      </c>
      <c r="CE35" s="73">
        <f t="shared" si="108"/>
        <v>0</v>
      </c>
      <c r="CF35" s="65"/>
      <c r="CG35" s="74" t="s">
        <v>1954</v>
      </c>
      <c r="CH35" s="73">
        <f t="shared" si="108"/>
        <v>0</v>
      </c>
      <c r="CI35" s="65"/>
      <c r="CJ35" s="74" t="s">
        <v>1951</v>
      </c>
      <c r="CK35" s="73">
        <f t="shared" si="107"/>
        <v>0</v>
      </c>
      <c r="CL35" s="65"/>
      <c r="CM35" s="74" t="s">
        <v>2001</v>
      </c>
      <c r="CN35" s="73">
        <f t="shared" si="107"/>
        <v>0</v>
      </c>
      <c r="CO35" s="65"/>
      <c r="CP35" s="74" t="s">
        <v>1950</v>
      </c>
      <c r="CQ35" s="73">
        <f t="shared" si="107"/>
        <v>0</v>
      </c>
      <c r="CR35" s="65"/>
      <c r="CS35" s="74" t="s">
        <v>2001</v>
      </c>
      <c r="CT35" s="73">
        <f t="shared" si="107"/>
        <v>0</v>
      </c>
      <c r="CU35" s="65"/>
      <c r="CV35" s="74" t="s">
        <v>2001</v>
      </c>
      <c r="CW35" s="73">
        <f t="shared" si="107"/>
        <v>0</v>
      </c>
      <c r="CX35" s="65"/>
      <c r="CY35" s="74" t="s">
        <v>2001</v>
      </c>
      <c r="CZ35" s="73">
        <f t="shared" si="107"/>
        <v>0</v>
      </c>
      <c r="DA35" s="65"/>
      <c r="DB35" s="74" t="s">
        <v>2001</v>
      </c>
      <c r="DC35" s="73">
        <f t="shared" si="107"/>
        <v>0</v>
      </c>
      <c r="DD35" s="65"/>
      <c r="DE35" s="74" t="s">
        <v>1950</v>
      </c>
      <c r="DF35" s="73">
        <f t="shared" si="107"/>
        <v>0</v>
      </c>
      <c r="DG35" s="65"/>
      <c r="DH35" s="74" t="s">
        <v>1958</v>
      </c>
      <c r="DI35" s="73">
        <f t="shared" si="107"/>
        <v>0</v>
      </c>
      <c r="DJ35" s="65"/>
      <c r="DK35" s="74" t="s">
        <v>2001</v>
      </c>
      <c r="DL35" s="73">
        <f t="shared" si="107"/>
        <v>0</v>
      </c>
      <c r="DM35" s="65"/>
      <c r="DN35" s="795" t="s">
        <v>1950</v>
      </c>
      <c r="DO35" s="73">
        <f t="shared" si="107"/>
        <v>0</v>
      </c>
      <c r="DP35" s="65"/>
      <c r="DQ35" s="795" t="s">
        <v>1958</v>
      </c>
      <c r="DR35" s="73">
        <f t="shared" si="107"/>
        <v>0</v>
      </c>
      <c r="DS35" s="65"/>
      <c r="DT35" s="74" t="s">
        <v>1958</v>
      </c>
      <c r="DU35" s="73">
        <f t="shared" si="107"/>
        <v>0</v>
      </c>
      <c r="DV35" s="65"/>
      <c r="DW35" s="74" t="s">
        <v>2001</v>
      </c>
      <c r="DX35" s="73">
        <f t="shared" si="109"/>
        <v>0</v>
      </c>
      <c r="DY35" s="65"/>
      <c r="DZ35" s="74" t="s">
        <v>2001</v>
      </c>
      <c r="EA35" s="73">
        <f t="shared" si="109"/>
        <v>0</v>
      </c>
      <c r="EB35" s="65"/>
      <c r="EC35" s="74" t="s">
        <v>1951</v>
      </c>
      <c r="ED35" s="73">
        <f t="shared" si="109"/>
        <v>0</v>
      </c>
      <c r="EE35" s="65"/>
      <c r="EF35" s="74" t="s">
        <v>1959</v>
      </c>
      <c r="EG35" s="73">
        <f t="shared" si="109"/>
        <v>0</v>
      </c>
      <c r="EH35" s="65"/>
      <c r="EI35" s="74"/>
      <c r="EJ35" s="73">
        <f t="shared" si="109"/>
        <v>0</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101"/>
        <v>0</v>
      </c>
      <c r="R36" s="49"/>
      <c r="S36" s="74" t="s">
        <v>1946</v>
      </c>
      <c r="T36" s="73">
        <f t="shared" si="106"/>
        <v>0</v>
      </c>
      <c r="U36" s="65"/>
      <c r="V36" s="74" t="s">
        <v>1942</v>
      </c>
      <c r="W36" s="73">
        <f t="shared" si="99"/>
        <v>0</v>
      </c>
      <c r="X36" s="65"/>
      <c r="Y36" s="74" t="s">
        <v>1948</v>
      </c>
      <c r="Z36" s="73">
        <f t="shared" si="108"/>
        <v>0</v>
      </c>
      <c r="AA36" s="65"/>
      <c r="AB36" s="74" t="s">
        <v>1942</v>
      </c>
      <c r="AC36" s="73">
        <f t="shared" si="108"/>
        <v>0</v>
      </c>
      <c r="AD36" s="65"/>
      <c r="AE36" s="74" t="s">
        <v>1946</v>
      </c>
      <c r="AF36" s="73">
        <f t="shared" si="108"/>
        <v>0</v>
      </c>
      <c r="AG36" s="65"/>
      <c r="AH36" s="74" t="s">
        <v>1942</v>
      </c>
      <c r="AI36" s="73">
        <f t="shared" si="108"/>
        <v>0</v>
      </c>
      <c r="AJ36" s="65"/>
      <c r="AK36" s="74" t="s">
        <v>1948</v>
      </c>
      <c r="AL36" s="73">
        <f t="shared" si="108"/>
        <v>0</v>
      </c>
      <c r="AM36" s="65"/>
      <c r="AN36" s="74" t="s">
        <v>1954</v>
      </c>
      <c r="AO36" s="73">
        <f t="shared" si="108"/>
        <v>0</v>
      </c>
      <c r="AP36" s="65"/>
      <c r="AQ36" s="74" t="s">
        <v>1943</v>
      </c>
      <c r="AR36" s="73">
        <f t="shared" si="108"/>
        <v>0</v>
      </c>
      <c r="AS36" s="65"/>
      <c r="AT36" s="74" t="s">
        <v>1946</v>
      </c>
      <c r="AU36" s="73">
        <f t="shared" si="108"/>
        <v>0</v>
      </c>
      <c r="AV36" s="65"/>
      <c r="AW36" s="74" t="s">
        <v>1954</v>
      </c>
      <c r="AX36" s="73">
        <f t="shared" si="108"/>
        <v>0</v>
      </c>
      <c r="AY36" s="65"/>
      <c r="AZ36" s="74" t="s">
        <v>1942</v>
      </c>
      <c r="BA36" s="73">
        <f t="shared" si="108"/>
        <v>0</v>
      </c>
      <c r="BB36" s="65"/>
      <c r="BC36" s="74" t="s">
        <v>1946</v>
      </c>
      <c r="BD36" s="73">
        <f t="shared" si="108"/>
        <v>0</v>
      </c>
      <c r="BE36" s="65"/>
      <c r="BF36" s="74" t="s">
        <v>1954</v>
      </c>
      <c r="BG36" s="73">
        <f t="shared" si="108"/>
        <v>0</v>
      </c>
      <c r="BH36" s="65"/>
      <c r="BI36" s="74" t="s">
        <v>1948</v>
      </c>
      <c r="BJ36" s="73">
        <f t="shared" si="108"/>
        <v>0</v>
      </c>
      <c r="BK36" s="65"/>
      <c r="BL36" s="74" t="s">
        <v>1954</v>
      </c>
      <c r="BM36" s="73">
        <f t="shared" si="108"/>
        <v>0</v>
      </c>
      <c r="BN36" s="65"/>
      <c r="BO36" s="74" t="s">
        <v>1942</v>
      </c>
      <c r="BP36" s="73">
        <f t="shared" si="108"/>
        <v>0</v>
      </c>
      <c r="BQ36" s="65"/>
      <c r="BR36" s="74" t="s">
        <v>1954</v>
      </c>
      <c r="BS36" s="73">
        <f t="shared" si="108"/>
        <v>0</v>
      </c>
      <c r="BT36" s="65"/>
      <c r="BU36" s="74" t="s">
        <v>1954</v>
      </c>
      <c r="BV36" s="73">
        <f t="shared" si="108"/>
        <v>0</v>
      </c>
      <c r="BW36" s="65"/>
      <c r="BX36" s="74" t="s">
        <v>1948</v>
      </c>
      <c r="BY36" s="73">
        <f t="shared" si="108"/>
        <v>0</v>
      </c>
      <c r="BZ36" s="65"/>
      <c r="CA36" s="74" t="s">
        <v>1948</v>
      </c>
      <c r="CB36" s="73">
        <f t="shared" si="108"/>
        <v>0</v>
      </c>
      <c r="CC36" s="65"/>
      <c r="CD36" s="74" t="s">
        <v>1946</v>
      </c>
      <c r="CE36" s="73">
        <f t="shared" si="108"/>
        <v>0</v>
      </c>
      <c r="CF36" s="65"/>
      <c r="CG36" s="74" t="s">
        <v>1942</v>
      </c>
      <c r="CH36" s="73">
        <f t="shared" si="108"/>
        <v>0</v>
      </c>
      <c r="CI36" s="65"/>
      <c r="CJ36" s="74" t="s">
        <v>1954</v>
      </c>
      <c r="CK36" s="73">
        <f t="shared" si="107"/>
        <v>0</v>
      </c>
      <c r="CL36" s="65"/>
      <c r="CM36" s="74" t="s">
        <v>1942</v>
      </c>
      <c r="CN36" s="73">
        <f t="shared" si="107"/>
        <v>0</v>
      </c>
      <c r="CO36" s="65"/>
      <c r="CP36" s="74" t="s">
        <v>1948</v>
      </c>
      <c r="CQ36" s="73">
        <f t="shared" si="107"/>
        <v>0</v>
      </c>
      <c r="CR36" s="65"/>
      <c r="CS36" s="74" t="s">
        <v>1954</v>
      </c>
      <c r="CT36" s="73">
        <f t="shared" si="107"/>
        <v>0</v>
      </c>
      <c r="CU36" s="65"/>
      <c r="CV36" s="74" t="s">
        <v>1942</v>
      </c>
      <c r="CW36" s="73">
        <f t="shared" si="107"/>
        <v>0</v>
      </c>
      <c r="CX36" s="65"/>
      <c r="CY36" s="74" t="s">
        <v>1952</v>
      </c>
      <c r="CZ36" s="73">
        <f t="shared" si="107"/>
        <v>0</v>
      </c>
      <c r="DA36" s="65"/>
      <c r="DB36" s="74" t="s">
        <v>1954</v>
      </c>
      <c r="DC36" s="73">
        <f t="shared" si="107"/>
        <v>0</v>
      </c>
      <c r="DD36" s="65"/>
      <c r="DE36" s="74" t="s">
        <v>1948</v>
      </c>
      <c r="DF36" s="73">
        <f t="shared" si="107"/>
        <v>0</v>
      </c>
      <c r="DG36" s="65"/>
      <c r="DH36" s="74" t="s">
        <v>1942</v>
      </c>
      <c r="DI36" s="73">
        <f t="shared" si="107"/>
        <v>0</v>
      </c>
      <c r="DJ36" s="65"/>
      <c r="DK36" s="74" t="s">
        <v>1954</v>
      </c>
      <c r="DL36" s="73">
        <f t="shared" si="107"/>
        <v>0</v>
      </c>
      <c r="DM36" s="65"/>
      <c r="DN36" s="795" t="s">
        <v>1948</v>
      </c>
      <c r="DO36" s="73">
        <f t="shared" si="107"/>
        <v>0</v>
      </c>
      <c r="DP36" s="65"/>
      <c r="DQ36" s="795" t="s">
        <v>1942</v>
      </c>
      <c r="DR36" s="73">
        <f t="shared" si="107"/>
        <v>0</v>
      </c>
      <c r="DS36" s="65"/>
      <c r="DT36" s="74" t="s">
        <v>1946</v>
      </c>
      <c r="DU36" s="73">
        <f t="shared" si="107"/>
        <v>0</v>
      </c>
      <c r="DV36" s="65"/>
      <c r="DW36" s="74" t="s">
        <v>1948</v>
      </c>
      <c r="DX36" s="73">
        <f t="shared" si="109"/>
        <v>0</v>
      </c>
      <c r="DY36" s="65"/>
      <c r="DZ36" s="74" t="s">
        <v>1948</v>
      </c>
      <c r="EA36" s="73">
        <f t="shared" si="109"/>
        <v>0</v>
      </c>
      <c r="EB36" s="65"/>
      <c r="EC36" s="74" t="s">
        <v>1954</v>
      </c>
      <c r="ED36" s="73">
        <f t="shared" si="109"/>
        <v>0</v>
      </c>
      <c r="EE36" s="65"/>
      <c r="EF36" s="74" t="s">
        <v>1948</v>
      </c>
      <c r="EG36" s="73">
        <f t="shared" si="109"/>
        <v>0</v>
      </c>
      <c r="EH36" s="65"/>
      <c r="EI36" s="74"/>
      <c r="EJ36" s="73">
        <f t="shared" si="109"/>
        <v>0</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101"/>
        <v>0</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0</v>
      </c>
      <c r="AG37" s="65"/>
      <c r="AH37" s="74" t="s">
        <v>1946</v>
      </c>
      <c r="AI37" s="73">
        <f t="shared" si="108"/>
        <v>0</v>
      </c>
      <c r="AJ37" s="65"/>
      <c r="AK37" s="74" t="s">
        <v>1943</v>
      </c>
      <c r="AL37" s="73">
        <f t="shared" si="108"/>
        <v>0</v>
      </c>
      <c r="AM37" s="65"/>
      <c r="AN37" s="74" t="s">
        <v>1942</v>
      </c>
      <c r="AO37" s="73">
        <f t="shared" si="108"/>
        <v>0</v>
      </c>
      <c r="AP37" s="65"/>
      <c r="AQ37" s="74" t="s">
        <v>1960</v>
      </c>
      <c r="AR37" s="73">
        <f t="shared" si="108"/>
        <v>0</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101"/>
        <v>0</v>
      </c>
      <c r="R38" s="49"/>
      <c r="S38" s="74" t="s">
        <v>1944</v>
      </c>
      <c r="T38" s="73">
        <f t="shared" si="98"/>
        <v>0</v>
      </c>
      <c r="U38" s="65"/>
      <c r="V38" s="74" t="s">
        <v>1948</v>
      </c>
      <c r="W38" s="73">
        <f t="shared" si="99"/>
        <v>0</v>
      </c>
      <c r="X38" s="65"/>
      <c r="Y38" s="74" t="s">
        <v>1948</v>
      </c>
      <c r="Z38" s="73">
        <f t="shared" si="108"/>
        <v>0</v>
      </c>
      <c r="AA38" s="65"/>
      <c r="AB38" s="74" t="s">
        <v>1942</v>
      </c>
      <c r="AC38" s="73">
        <f t="shared" si="108"/>
        <v>0</v>
      </c>
      <c r="AD38" s="65"/>
      <c r="AE38" s="74" t="s">
        <v>1943</v>
      </c>
      <c r="AF38" s="73">
        <f t="shared" si="108"/>
        <v>0</v>
      </c>
      <c r="AG38" s="65"/>
      <c r="AH38" s="74" t="s">
        <v>1958</v>
      </c>
      <c r="AI38" s="73">
        <f t="shared" si="108"/>
        <v>0</v>
      </c>
      <c r="AJ38" s="65"/>
      <c r="AK38" s="74" t="s">
        <v>1948</v>
      </c>
      <c r="AL38" s="73">
        <f t="shared" si="108"/>
        <v>0</v>
      </c>
      <c r="AM38" s="65"/>
      <c r="AN38" s="74" t="s">
        <v>1948</v>
      </c>
      <c r="AO38" s="73">
        <f t="shared" si="108"/>
        <v>0</v>
      </c>
      <c r="AP38" s="65"/>
      <c r="AQ38" s="74" t="s">
        <v>1942</v>
      </c>
      <c r="AR38" s="73">
        <f t="shared" si="108"/>
        <v>0</v>
      </c>
      <c r="AS38" s="65"/>
      <c r="AT38" s="74" t="s">
        <v>1946</v>
      </c>
      <c r="AU38" s="73">
        <f t="shared" si="108"/>
        <v>0</v>
      </c>
      <c r="AV38" s="65"/>
      <c r="AW38" s="74" t="s">
        <v>1944</v>
      </c>
      <c r="AX38" s="73">
        <f t="shared" si="108"/>
        <v>0</v>
      </c>
      <c r="AY38" s="65"/>
      <c r="AZ38" s="74" t="s">
        <v>1948</v>
      </c>
      <c r="BA38" s="73">
        <f t="shared" si="108"/>
        <v>0</v>
      </c>
      <c r="BB38" s="65"/>
      <c r="BC38" s="74" t="s">
        <v>1954</v>
      </c>
      <c r="BD38" s="73">
        <f t="shared" si="108"/>
        <v>0</v>
      </c>
      <c r="BE38" s="65"/>
      <c r="BF38" s="74" t="s">
        <v>1954</v>
      </c>
      <c r="BG38" s="73">
        <f t="shared" si="108"/>
        <v>0</v>
      </c>
      <c r="BH38" s="65"/>
      <c r="BI38" s="74" t="s">
        <v>1948</v>
      </c>
      <c r="BJ38" s="73">
        <f t="shared" si="108"/>
        <v>0</v>
      </c>
      <c r="BK38" s="65"/>
      <c r="BL38" s="74" t="s">
        <v>1948</v>
      </c>
      <c r="BM38" s="73">
        <f t="shared" si="108"/>
        <v>0</v>
      </c>
      <c r="BN38" s="65"/>
      <c r="BO38" s="74" t="s">
        <v>1948</v>
      </c>
      <c r="BP38" s="73">
        <f t="shared" si="108"/>
        <v>0</v>
      </c>
      <c r="BQ38" s="65"/>
      <c r="BR38" s="74" t="s">
        <v>1954</v>
      </c>
      <c r="BS38" s="73">
        <f t="shared" si="108"/>
        <v>0</v>
      </c>
      <c r="BT38" s="65"/>
      <c r="BU38" s="74" t="s">
        <v>1944</v>
      </c>
      <c r="BV38" s="73">
        <f t="shared" si="108"/>
        <v>0</v>
      </c>
      <c r="BW38" s="65"/>
      <c r="BX38" s="74" t="s">
        <v>1954</v>
      </c>
      <c r="BY38" s="73">
        <f t="shared" si="108"/>
        <v>0</v>
      </c>
      <c r="BZ38" s="65"/>
      <c r="CA38" s="74" t="s">
        <v>1948</v>
      </c>
      <c r="CB38" s="73">
        <f t="shared" si="108"/>
        <v>0</v>
      </c>
      <c r="CC38" s="65"/>
      <c r="CD38" s="74" t="s">
        <v>1948</v>
      </c>
      <c r="CE38" s="73">
        <f t="shared" si="108"/>
        <v>0</v>
      </c>
      <c r="CF38" s="65"/>
      <c r="CG38" s="74" t="s">
        <v>1943</v>
      </c>
      <c r="CH38" s="73">
        <f t="shared" si="108"/>
        <v>0</v>
      </c>
      <c r="CI38" s="65"/>
      <c r="CJ38" s="74" t="s">
        <v>1948</v>
      </c>
      <c r="CK38" s="73">
        <f t="shared" si="107"/>
        <v>0</v>
      </c>
      <c r="CL38" s="65"/>
      <c r="CM38" s="74" t="s">
        <v>1943</v>
      </c>
      <c r="CN38" s="73">
        <f t="shared" si="107"/>
        <v>0</v>
      </c>
      <c r="CO38" s="65"/>
      <c r="CP38" s="74" t="s">
        <v>1943</v>
      </c>
      <c r="CQ38" s="73">
        <f t="shared" si="107"/>
        <v>0</v>
      </c>
      <c r="CR38" s="65"/>
      <c r="CS38" s="74" t="s">
        <v>1948</v>
      </c>
      <c r="CT38" s="73">
        <f t="shared" si="107"/>
        <v>0</v>
      </c>
      <c r="CU38" s="65"/>
      <c r="CV38" s="74" t="s">
        <v>1946</v>
      </c>
      <c r="CW38" s="73">
        <f t="shared" si="107"/>
        <v>0</v>
      </c>
      <c r="CX38" s="65"/>
      <c r="CY38" s="74" t="s">
        <v>1946</v>
      </c>
      <c r="CZ38" s="73">
        <f t="shared" si="107"/>
        <v>0</v>
      </c>
      <c r="DA38" s="65"/>
      <c r="DB38" s="74" t="s">
        <v>1948</v>
      </c>
      <c r="DC38" s="73">
        <f t="shared" si="107"/>
        <v>0</v>
      </c>
      <c r="DD38" s="65"/>
      <c r="DE38" s="74" t="s">
        <v>1948</v>
      </c>
      <c r="DF38" s="73">
        <f t="shared" si="107"/>
        <v>0</v>
      </c>
      <c r="DG38" s="65"/>
      <c r="DH38" s="74" t="s">
        <v>1948</v>
      </c>
      <c r="DI38" s="73">
        <f t="shared" si="107"/>
        <v>0</v>
      </c>
      <c r="DJ38" s="65"/>
      <c r="DK38" s="74" t="s">
        <v>1948</v>
      </c>
      <c r="DL38" s="73">
        <f t="shared" si="107"/>
        <v>0</v>
      </c>
      <c r="DM38" s="65"/>
      <c r="DN38" s="795" t="s">
        <v>1944</v>
      </c>
      <c r="DO38" s="73">
        <f t="shared" si="107"/>
        <v>0</v>
      </c>
      <c r="DP38" s="65"/>
      <c r="DQ38" s="795" t="s">
        <v>1956</v>
      </c>
      <c r="DR38" s="73">
        <f t="shared" si="107"/>
        <v>0</v>
      </c>
      <c r="DS38" s="65"/>
      <c r="DT38" s="74" t="s">
        <v>1948</v>
      </c>
      <c r="DU38" s="73">
        <f t="shared" si="107"/>
        <v>0</v>
      </c>
      <c r="DV38" s="65"/>
      <c r="DW38" s="74" t="s">
        <v>1948</v>
      </c>
      <c r="DX38" s="73">
        <f t="shared" si="109"/>
        <v>0</v>
      </c>
      <c r="DY38" s="65"/>
      <c r="DZ38" s="74" t="s">
        <v>1954</v>
      </c>
      <c r="EA38" s="73">
        <f t="shared" si="109"/>
        <v>0</v>
      </c>
      <c r="EB38" s="65"/>
      <c r="EC38" s="74" t="s">
        <v>1943</v>
      </c>
      <c r="ED38" s="73">
        <f t="shared" si="109"/>
        <v>0</v>
      </c>
      <c r="EE38" s="65"/>
      <c r="EF38" s="74" t="s">
        <v>1954</v>
      </c>
      <c r="EG38" s="73">
        <f t="shared" si="109"/>
        <v>0</v>
      </c>
      <c r="EH38" s="65"/>
      <c r="EI38" s="74"/>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101"/>
        <v>0</v>
      </c>
      <c r="R40" s="49"/>
      <c r="S40" s="74" t="s">
        <v>1954</v>
      </c>
      <c r="T40" s="73">
        <f t="shared" si="98"/>
        <v>0</v>
      </c>
      <c r="U40" s="65"/>
      <c r="V40" s="74" t="s">
        <v>1948</v>
      </c>
      <c r="W40" s="73">
        <f t="shared" si="99"/>
        <v>0</v>
      </c>
      <c r="X40" s="65"/>
      <c r="Y40" s="74" t="s">
        <v>1954</v>
      </c>
      <c r="Z40" s="73">
        <f t="shared" si="108"/>
        <v>0</v>
      </c>
      <c r="AA40" s="65"/>
      <c r="AB40" s="74" t="s">
        <v>1948</v>
      </c>
      <c r="AC40" s="73">
        <f t="shared" si="108"/>
        <v>0</v>
      </c>
      <c r="AD40" s="65"/>
      <c r="AE40" s="74" t="s">
        <v>1954</v>
      </c>
      <c r="AF40" s="73">
        <f t="shared" si="108"/>
        <v>0</v>
      </c>
      <c r="AG40" s="65"/>
      <c r="AH40" s="74" t="s">
        <v>1956</v>
      </c>
      <c r="AI40" s="73">
        <f t="shared" si="108"/>
        <v>0</v>
      </c>
      <c r="AJ40" s="65"/>
      <c r="AK40" s="74" t="s">
        <v>1954</v>
      </c>
      <c r="AL40" s="73">
        <f t="shared" si="108"/>
        <v>0</v>
      </c>
      <c r="AM40" s="65"/>
      <c r="AN40" s="74" t="s">
        <v>1954</v>
      </c>
      <c r="AO40" s="73">
        <f t="shared" si="108"/>
        <v>0</v>
      </c>
      <c r="AP40" s="65"/>
      <c r="AQ40" s="74" t="s">
        <v>1946</v>
      </c>
      <c r="AR40" s="73">
        <f t="shared" si="108"/>
        <v>0</v>
      </c>
      <c r="AS40" s="65"/>
      <c r="AT40" s="74" t="s">
        <v>1946</v>
      </c>
      <c r="AU40" s="73">
        <f t="shared" si="108"/>
        <v>0</v>
      </c>
      <c r="AV40" s="65"/>
      <c r="AW40" s="74" t="s">
        <v>1954</v>
      </c>
      <c r="AX40" s="73">
        <f t="shared" si="108"/>
        <v>0</v>
      </c>
      <c r="AY40" s="65"/>
      <c r="AZ40" s="74" t="s">
        <v>1954</v>
      </c>
      <c r="BA40" s="73">
        <f t="shared" si="108"/>
        <v>0</v>
      </c>
      <c r="BB40" s="65"/>
      <c r="BC40" s="74" t="s">
        <v>1948</v>
      </c>
      <c r="BD40" s="73">
        <f t="shared" si="108"/>
        <v>0</v>
      </c>
      <c r="BE40" s="65"/>
      <c r="BF40" s="74" t="s">
        <v>1954</v>
      </c>
      <c r="BG40" s="73">
        <f t="shared" si="108"/>
        <v>0</v>
      </c>
      <c r="BH40" s="65"/>
      <c r="BI40" s="74" t="s">
        <v>1954</v>
      </c>
      <c r="BJ40" s="73">
        <f t="shared" si="108"/>
        <v>0</v>
      </c>
      <c r="BK40" s="65"/>
      <c r="BL40" s="74" t="s">
        <v>1948</v>
      </c>
      <c r="BM40" s="73">
        <f t="shared" si="108"/>
        <v>0</v>
      </c>
      <c r="BN40" s="65"/>
      <c r="BO40" s="74" t="s">
        <v>1946</v>
      </c>
      <c r="BP40" s="73">
        <f t="shared" si="108"/>
        <v>0</v>
      </c>
      <c r="BQ40" s="65"/>
      <c r="BR40" s="74" t="s">
        <v>1954</v>
      </c>
      <c r="BS40" s="73">
        <f t="shared" si="108"/>
        <v>0</v>
      </c>
      <c r="BT40" s="65"/>
      <c r="BU40" s="74" t="s">
        <v>1944</v>
      </c>
      <c r="BV40" s="73">
        <f t="shared" si="108"/>
        <v>0</v>
      </c>
      <c r="BW40" s="65"/>
      <c r="BX40" s="74" t="s">
        <v>1942</v>
      </c>
      <c r="BY40" s="73">
        <f t="shared" si="108"/>
        <v>0</v>
      </c>
      <c r="BZ40" s="65"/>
      <c r="CA40" s="74" t="s">
        <v>1948</v>
      </c>
      <c r="CB40" s="73">
        <f t="shared" si="108"/>
        <v>0</v>
      </c>
      <c r="CC40" s="65"/>
      <c r="CD40" s="74" t="s">
        <v>1942</v>
      </c>
      <c r="CE40" s="73">
        <f t="shared" si="108"/>
        <v>0</v>
      </c>
      <c r="CF40" s="65"/>
      <c r="CG40" s="74" t="s">
        <v>1948</v>
      </c>
      <c r="CH40" s="73">
        <f t="shared" si="108"/>
        <v>0</v>
      </c>
      <c r="CI40" s="65"/>
      <c r="CJ40" s="74" t="s">
        <v>1942</v>
      </c>
      <c r="CK40" s="73">
        <f t="shared" si="107"/>
        <v>0</v>
      </c>
      <c r="CL40" s="65"/>
      <c r="CM40" s="74" t="s">
        <v>1948</v>
      </c>
      <c r="CN40" s="73">
        <f t="shared" si="107"/>
        <v>0</v>
      </c>
      <c r="CO40" s="65"/>
      <c r="CP40" s="74" t="s">
        <v>1948</v>
      </c>
      <c r="CQ40" s="73">
        <f t="shared" si="107"/>
        <v>0</v>
      </c>
      <c r="CR40" s="65"/>
      <c r="CS40" s="74" t="s">
        <v>1954</v>
      </c>
      <c r="CT40" s="73">
        <f t="shared" si="107"/>
        <v>0</v>
      </c>
      <c r="CU40" s="65"/>
      <c r="CV40" s="74" t="s">
        <v>1948</v>
      </c>
      <c r="CW40" s="73">
        <f t="shared" si="107"/>
        <v>0</v>
      </c>
      <c r="CX40" s="65"/>
      <c r="CY40" s="74" t="s">
        <v>1946</v>
      </c>
      <c r="CZ40" s="73">
        <f t="shared" si="107"/>
        <v>0</v>
      </c>
      <c r="DA40" s="65"/>
      <c r="DB40" s="74" t="s">
        <v>1946</v>
      </c>
      <c r="DC40" s="73">
        <f t="shared" si="107"/>
        <v>0</v>
      </c>
      <c r="DD40" s="65"/>
      <c r="DE40" s="74" t="s">
        <v>1948</v>
      </c>
      <c r="DF40" s="73">
        <f t="shared" si="107"/>
        <v>0</v>
      </c>
      <c r="DG40" s="65"/>
      <c r="DH40" s="74" t="s">
        <v>1948</v>
      </c>
      <c r="DI40" s="73">
        <f t="shared" si="107"/>
        <v>0</v>
      </c>
      <c r="DJ40" s="65"/>
      <c r="DK40" s="74" t="s">
        <v>1948</v>
      </c>
      <c r="DL40" s="73">
        <f t="shared" si="107"/>
        <v>0</v>
      </c>
      <c r="DM40" s="65"/>
      <c r="DN40" s="795" t="s">
        <v>1942</v>
      </c>
      <c r="DO40" s="73">
        <f t="shared" si="107"/>
        <v>0</v>
      </c>
      <c r="DP40" s="65"/>
      <c r="DQ40" s="795" t="s">
        <v>1946</v>
      </c>
      <c r="DR40" s="73">
        <f t="shared" si="107"/>
        <v>0</v>
      </c>
      <c r="DS40" s="65"/>
      <c r="DT40" s="74" t="s">
        <v>1946</v>
      </c>
      <c r="DU40" s="73">
        <f t="shared" si="107"/>
        <v>0</v>
      </c>
      <c r="DV40" s="65"/>
      <c r="DW40" s="74" t="s">
        <v>1948</v>
      </c>
      <c r="DX40" s="73">
        <f t="shared" si="109"/>
        <v>0</v>
      </c>
      <c r="DY40" s="65"/>
      <c r="DZ40" s="74" t="s">
        <v>1954</v>
      </c>
      <c r="EA40" s="73">
        <f t="shared" si="109"/>
        <v>0</v>
      </c>
      <c r="EB40" s="65"/>
      <c r="EC40" s="74" t="s">
        <v>1948</v>
      </c>
      <c r="ED40" s="73">
        <f t="shared" si="109"/>
        <v>0</v>
      </c>
      <c r="EE40" s="65"/>
      <c r="EF40" s="74" t="s">
        <v>1948</v>
      </c>
      <c r="EG40" s="73">
        <f t="shared" si="109"/>
        <v>0</v>
      </c>
      <c r="EH40" s="65"/>
      <c r="EI40" s="74"/>
      <c r="EJ40" s="73">
        <f t="shared" si="109"/>
        <v>0</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101"/>
        <v>0</v>
      </c>
      <c r="R41" s="49"/>
      <c r="S41" s="74" t="s">
        <v>1944</v>
      </c>
      <c r="T41" s="73">
        <f t="shared" si="98"/>
        <v>0</v>
      </c>
      <c r="U41" s="65"/>
      <c r="V41" s="74" t="s">
        <v>1960</v>
      </c>
      <c r="W41" s="73">
        <f t="shared" si="99"/>
        <v>0</v>
      </c>
      <c r="X41" s="65"/>
      <c r="Y41" s="74" t="s">
        <v>1946</v>
      </c>
      <c r="Z41" s="73">
        <f t="shared" si="108"/>
        <v>0</v>
      </c>
      <c r="AA41" s="65"/>
      <c r="AB41" s="74" t="s">
        <v>1946</v>
      </c>
      <c r="AC41" s="73">
        <f t="shared" si="108"/>
        <v>0</v>
      </c>
      <c r="AD41" s="65"/>
      <c r="AE41" s="74" t="s">
        <v>1960</v>
      </c>
      <c r="AF41" s="73">
        <f t="shared" si="108"/>
        <v>0</v>
      </c>
      <c r="AG41" s="65"/>
      <c r="AH41" s="74" t="s">
        <v>1945</v>
      </c>
      <c r="AI41" s="73">
        <f t="shared" si="108"/>
        <v>0</v>
      </c>
      <c r="AJ41" s="65"/>
      <c r="AK41" s="74" t="s">
        <v>1949</v>
      </c>
      <c r="AL41" s="73">
        <f t="shared" si="108"/>
        <v>0</v>
      </c>
      <c r="AM41" s="65"/>
      <c r="AN41" s="74" t="s">
        <v>1957</v>
      </c>
      <c r="AO41" s="73">
        <f t="shared" si="108"/>
        <v>0</v>
      </c>
      <c r="AP41" s="65"/>
      <c r="AQ41" s="74" t="s">
        <v>1960</v>
      </c>
      <c r="AR41" s="73">
        <f t="shared" si="108"/>
        <v>0</v>
      </c>
      <c r="AS41" s="65"/>
      <c r="AT41" s="74" t="s">
        <v>1952</v>
      </c>
      <c r="AU41" s="73">
        <f t="shared" si="108"/>
        <v>0</v>
      </c>
      <c r="AV41" s="65"/>
      <c r="AW41" s="74" t="s">
        <v>1960</v>
      </c>
      <c r="AX41" s="73">
        <f t="shared" si="108"/>
        <v>0</v>
      </c>
      <c r="AY41" s="65"/>
      <c r="AZ41" s="74" t="s">
        <v>1952</v>
      </c>
      <c r="BA41" s="73">
        <f t="shared" si="108"/>
        <v>0</v>
      </c>
      <c r="BB41" s="65"/>
      <c r="BC41" s="74" t="s">
        <v>1960</v>
      </c>
      <c r="BD41" s="73">
        <f t="shared" si="108"/>
        <v>0</v>
      </c>
      <c r="BE41" s="65"/>
      <c r="BF41" s="74" t="s">
        <v>1949</v>
      </c>
      <c r="BG41" s="73">
        <f t="shared" si="108"/>
        <v>0</v>
      </c>
      <c r="BH41" s="65"/>
      <c r="BI41" s="74" t="s">
        <v>1946</v>
      </c>
      <c r="BJ41" s="73">
        <f t="shared" si="108"/>
        <v>0</v>
      </c>
      <c r="BK41" s="65"/>
      <c r="BL41" s="74" t="s">
        <v>1949</v>
      </c>
      <c r="BM41" s="73">
        <f t="shared" si="108"/>
        <v>0</v>
      </c>
      <c r="BN41" s="65"/>
      <c r="BO41" s="74" t="s">
        <v>1952</v>
      </c>
      <c r="BP41" s="73">
        <f t="shared" si="108"/>
        <v>0</v>
      </c>
      <c r="BQ41" s="65"/>
      <c r="BR41" s="74" t="s">
        <v>1949</v>
      </c>
      <c r="BS41" s="73">
        <f t="shared" si="108"/>
        <v>0</v>
      </c>
      <c r="BT41" s="65"/>
      <c r="BU41" s="74" t="s">
        <v>1945</v>
      </c>
      <c r="BV41" s="73">
        <f t="shared" si="108"/>
        <v>0</v>
      </c>
      <c r="BW41" s="65"/>
      <c r="BX41" s="74" t="s">
        <v>1944</v>
      </c>
      <c r="BY41" s="73">
        <f t="shared" si="108"/>
        <v>0</v>
      </c>
      <c r="BZ41" s="65"/>
      <c r="CA41" s="74" t="s">
        <v>1960</v>
      </c>
      <c r="CB41" s="73">
        <f t="shared" si="108"/>
        <v>0</v>
      </c>
      <c r="CC41" s="65"/>
      <c r="CD41" s="74" t="s">
        <v>1949</v>
      </c>
      <c r="CE41" s="73">
        <f t="shared" si="108"/>
        <v>0</v>
      </c>
      <c r="CF41" s="65"/>
      <c r="CG41" s="74" t="s">
        <v>1960</v>
      </c>
      <c r="CH41" s="73">
        <f t="shared" si="108"/>
        <v>0</v>
      </c>
      <c r="CI41" s="65"/>
      <c r="CJ41" s="74" t="s">
        <v>1960</v>
      </c>
      <c r="CK41" s="73">
        <f t="shared" si="107"/>
        <v>0</v>
      </c>
      <c r="CL41" s="65"/>
      <c r="CM41" s="74" t="s">
        <v>1952</v>
      </c>
      <c r="CN41" s="73">
        <f t="shared" si="107"/>
        <v>0</v>
      </c>
      <c r="CO41" s="65"/>
      <c r="CP41" s="74" t="s">
        <v>1952</v>
      </c>
      <c r="CQ41" s="73">
        <f t="shared" si="107"/>
        <v>0</v>
      </c>
      <c r="CR41" s="65"/>
      <c r="CS41" s="74" t="s">
        <v>1949</v>
      </c>
      <c r="CT41" s="73">
        <f t="shared" si="107"/>
        <v>0</v>
      </c>
      <c r="CU41" s="65"/>
      <c r="CV41" s="74" t="s">
        <v>1946</v>
      </c>
      <c r="CW41" s="73">
        <f t="shared" si="107"/>
        <v>0</v>
      </c>
      <c r="CX41" s="65"/>
      <c r="CY41" s="74" t="s">
        <v>1946</v>
      </c>
      <c r="CZ41" s="73">
        <f t="shared" si="107"/>
        <v>0</v>
      </c>
      <c r="DA41" s="65"/>
      <c r="DB41" s="74" t="s">
        <v>1949</v>
      </c>
      <c r="DC41" s="73">
        <f t="shared" si="107"/>
        <v>0</v>
      </c>
      <c r="DD41" s="65"/>
      <c r="DE41" s="74" t="s">
        <v>1960</v>
      </c>
      <c r="DF41" s="73">
        <f t="shared" si="107"/>
        <v>0</v>
      </c>
      <c r="DG41" s="65"/>
      <c r="DH41" s="74" t="s">
        <v>1960</v>
      </c>
      <c r="DI41" s="73">
        <f t="shared" si="107"/>
        <v>0</v>
      </c>
      <c r="DJ41" s="65"/>
      <c r="DK41" s="74" t="s">
        <v>1946</v>
      </c>
      <c r="DL41" s="73">
        <f t="shared" si="107"/>
        <v>0</v>
      </c>
      <c r="DM41" s="65"/>
      <c r="DN41" s="795" t="s">
        <v>1945</v>
      </c>
      <c r="DO41" s="73">
        <f t="shared" si="107"/>
        <v>0</v>
      </c>
      <c r="DP41" s="65"/>
      <c r="DQ41" s="795" t="s">
        <v>1949</v>
      </c>
      <c r="DR41" s="73">
        <f t="shared" si="107"/>
        <v>0</v>
      </c>
      <c r="DS41" s="65"/>
      <c r="DT41" s="74" t="s">
        <v>1949</v>
      </c>
      <c r="DU41" s="73">
        <f t="shared" si="107"/>
        <v>0</v>
      </c>
      <c r="DV41" s="65"/>
      <c r="DW41" s="74" t="s">
        <v>1945</v>
      </c>
      <c r="DX41" s="73">
        <f t="shared" si="109"/>
        <v>0</v>
      </c>
      <c r="DY41" s="65"/>
      <c r="DZ41" s="74" t="s">
        <v>1949</v>
      </c>
      <c r="EA41" s="73">
        <f t="shared" si="109"/>
        <v>0</v>
      </c>
      <c r="EB41" s="65"/>
      <c r="EC41" s="74" t="s">
        <v>1942</v>
      </c>
      <c r="ED41" s="73">
        <f t="shared" si="109"/>
        <v>0</v>
      </c>
      <c r="EE41" s="65"/>
      <c r="EF41" s="74" t="s">
        <v>1957</v>
      </c>
      <c r="EG41" s="73">
        <f t="shared" si="109"/>
        <v>0</v>
      </c>
      <c r="EH41" s="65"/>
      <c r="EI41" s="74"/>
      <c r="EJ41" s="73">
        <f t="shared" si="109"/>
        <v>0</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0</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0</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101"/>
        <v>0</v>
      </c>
      <c r="R43" s="49"/>
      <c r="S43" s="74" t="s">
        <v>1947</v>
      </c>
      <c r="T43" s="73">
        <f t="shared" si="98"/>
        <v>0</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0</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0</v>
      </c>
      <c r="AA43" s="65"/>
      <c r="AB43" s="74" t="s">
        <v>1952</v>
      </c>
      <c r="AC43" s="73">
        <f t="shared" si="112"/>
        <v>0</v>
      </c>
      <c r="AD43" s="65"/>
      <c r="AE43" s="74" t="s">
        <v>1952</v>
      </c>
      <c r="AF43" s="73">
        <f t="shared" si="112"/>
        <v>0</v>
      </c>
      <c r="AG43" s="65"/>
      <c r="AH43" s="74" t="s">
        <v>1952</v>
      </c>
      <c r="AI43" s="73">
        <f t="shared" si="112"/>
        <v>0</v>
      </c>
      <c r="AJ43" s="65"/>
      <c r="AK43" s="74" t="s">
        <v>1960</v>
      </c>
      <c r="AL43" s="73">
        <f t="shared" si="112"/>
        <v>0</v>
      </c>
      <c r="AM43" s="65"/>
      <c r="AN43" s="74" t="s">
        <v>1952</v>
      </c>
      <c r="AO43" s="73">
        <f t="shared" si="112"/>
        <v>0</v>
      </c>
      <c r="AP43" s="65"/>
      <c r="AQ43" s="74" t="s">
        <v>1945</v>
      </c>
      <c r="AR43" s="73">
        <f t="shared" si="112"/>
        <v>0</v>
      </c>
      <c r="AS43" s="65"/>
      <c r="AT43" s="74" t="s">
        <v>1945</v>
      </c>
      <c r="AU43" s="73">
        <f t="shared" si="112"/>
        <v>0</v>
      </c>
      <c r="AV43" s="65"/>
      <c r="AW43" s="74" t="s">
        <v>1949</v>
      </c>
      <c r="AX43" s="73">
        <f t="shared" si="112"/>
        <v>0</v>
      </c>
      <c r="AY43" s="65"/>
      <c r="AZ43" s="74" t="s">
        <v>1946</v>
      </c>
      <c r="BA43" s="73">
        <f t="shared" si="112"/>
        <v>0</v>
      </c>
      <c r="BB43" s="65"/>
      <c r="BC43" s="74" t="s">
        <v>1960</v>
      </c>
      <c r="BD43" s="73">
        <f t="shared" si="112"/>
        <v>0</v>
      </c>
      <c r="BE43" s="65"/>
      <c r="BF43" s="74" t="s">
        <v>1949</v>
      </c>
      <c r="BG43" s="73">
        <f t="shared" si="112"/>
        <v>0</v>
      </c>
      <c r="BH43" s="65"/>
      <c r="BI43" s="74" t="s">
        <v>1952</v>
      </c>
      <c r="BJ43" s="73">
        <f t="shared" si="112"/>
        <v>0</v>
      </c>
      <c r="BK43" s="65"/>
      <c r="BL43" s="74" t="s">
        <v>1960</v>
      </c>
      <c r="BM43" s="73">
        <f t="shared" si="112"/>
        <v>0</v>
      </c>
      <c r="BN43" s="65"/>
      <c r="BO43" s="74" t="s">
        <v>1960</v>
      </c>
      <c r="BP43" s="73">
        <f t="shared" si="112"/>
        <v>0</v>
      </c>
      <c r="BQ43" s="65"/>
      <c r="BR43" s="74" t="s">
        <v>1949</v>
      </c>
      <c r="BS43" s="73">
        <f t="shared" si="112"/>
        <v>0</v>
      </c>
      <c r="BT43" s="65"/>
      <c r="BU43" s="74" t="s">
        <v>1949</v>
      </c>
      <c r="BV43" s="73">
        <f t="shared" si="112"/>
        <v>0</v>
      </c>
      <c r="BW43" s="65"/>
      <c r="BX43" s="74" t="s">
        <v>1949</v>
      </c>
      <c r="BY43" s="73">
        <f t="shared" si="112"/>
        <v>0</v>
      </c>
      <c r="BZ43" s="65"/>
      <c r="CA43" s="74" t="s">
        <v>1961</v>
      </c>
      <c r="CB43" s="73">
        <f t="shared" si="112"/>
        <v>0</v>
      </c>
      <c r="CC43" s="65"/>
      <c r="CD43" s="74" t="s">
        <v>1946</v>
      </c>
      <c r="CE43" s="73">
        <f t="shared" si="112"/>
        <v>0</v>
      </c>
      <c r="CF43" s="65"/>
      <c r="CG43" s="74" t="s">
        <v>1948</v>
      </c>
      <c r="CH43" s="73">
        <f t="shared" si="112"/>
        <v>0</v>
      </c>
      <c r="CI43" s="65"/>
      <c r="CJ43" s="74" t="s">
        <v>1960</v>
      </c>
      <c r="CK43" s="73">
        <f t="shared" si="110"/>
        <v>0</v>
      </c>
      <c r="CL43" s="65"/>
      <c r="CM43" s="74" t="s">
        <v>1949</v>
      </c>
      <c r="CN43" s="73">
        <f t="shared" si="110"/>
        <v>0</v>
      </c>
      <c r="CO43" s="65"/>
      <c r="CP43" s="74" t="s">
        <v>1952</v>
      </c>
      <c r="CQ43" s="73">
        <f t="shared" si="110"/>
        <v>0</v>
      </c>
      <c r="CR43" s="65"/>
      <c r="CS43" s="74" t="s">
        <v>1952</v>
      </c>
      <c r="CT43" s="73">
        <f t="shared" si="110"/>
        <v>0</v>
      </c>
      <c r="CU43" s="65"/>
      <c r="CV43" s="74" t="s">
        <v>1960</v>
      </c>
      <c r="CW43" s="73">
        <f t="shared" si="110"/>
        <v>0</v>
      </c>
      <c r="CX43" s="65"/>
      <c r="CY43" s="74" t="s">
        <v>1945</v>
      </c>
      <c r="CZ43" s="73">
        <f t="shared" si="110"/>
        <v>0</v>
      </c>
      <c r="DA43" s="65"/>
      <c r="DB43" s="74" t="s">
        <v>1949</v>
      </c>
      <c r="DC43" s="73">
        <f t="shared" si="110"/>
        <v>0</v>
      </c>
      <c r="DD43" s="65"/>
      <c r="DE43" s="74" t="s">
        <v>1949</v>
      </c>
      <c r="DF43" s="73">
        <f t="shared" si="110"/>
        <v>0</v>
      </c>
      <c r="DG43" s="65"/>
      <c r="DH43" s="74" t="s">
        <v>1949</v>
      </c>
      <c r="DI43" s="73">
        <f t="shared" si="110"/>
        <v>0</v>
      </c>
      <c r="DJ43" s="65"/>
      <c r="DK43" s="74" t="s">
        <v>1947</v>
      </c>
      <c r="DL43" s="73">
        <f t="shared" si="110"/>
        <v>0</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0</v>
      </c>
      <c r="DY43" s="65"/>
      <c r="DZ43" s="74" t="s">
        <v>1946</v>
      </c>
      <c r="EA43" s="73">
        <f t="shared" si="109"/>
        <v>0</v>
      </c>
      <c r="EB43" s="65"/>
      <c r="EC43" s="74" t="s">
        <v>1960</v>
      </c>
      <c r="ED43" s="73">
        <f t="shared" si="109"/>
        <v>0</v>
      </c>
      <c r="EE43" s="65"/>
      <c r="EF43" s="74" t="s">
        <v>1945</v>
      </c>
      <c r="EG43" s="73">
        <f t="shared" si="109"/>
        <v>0</v>
      </c>
      <c r="EH43" s="65"/>
      <c r="EI43" s="74"/>
      <c r="EJ43" s="73">
        <f t="shared" si="109"/>
        <v>0</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101"/>
        <v>0</v>
      </c>
      <c r="R44" s="49"/>
      <c r="S44" s="74" t="s">
        <v>1958</v>
      </c>
      <c r="T44" s="73">
        <f t="shared" si="98"/>
        <v>0</v>
      </c>
      <c r="U44" s="65"/>
      <c r="V44" s="74" t="s">
        <v>1954</v>
      </c>
      <c r="W44" s="73">
        <f t="shared" si="111"/>
        <v>0</v>
      </c>
      <c r="X44" s="65"/>
      <c r="Y44" s="74" t="s">
        <v>1958</v>
      </c>
      <c r="Z44" s="73">
        <f t="shared" si="112"/>
        <v>0</v>
      </c>
      <c r="AA44" s="65"/>
      <c r="AB44" s="74" t="s">
        <v>1943</v>
      </c>
      <c r="AC44" s="73">
        <f t="shared" si="112"/>
        <v>0</v>
      </c>
      <c r="AD44" s="65"/>
      <c r="AE44" s="74" t="s">
        <v>1958</v>
      </c>
      <c r="AF44" s="73">
        <f t="shared" si="112"/>
        <v>0</v>
      </c>
      <c r="AG44" s="65"/>
      <c r="AH44" s="74" t="s">
        <v>1954</v>
      </c>
      <c r="AI44" s="73">
        <f t="shared" si="112"/>
        <v>0</v>
      </c>
      <c r="AJ44" s="65"/>
      <c r="AK44" s="74" t="s">
        <v>1954</v>
      </c>
      <c r="AL44" s="73">
        <f t="shared" si="112"/>
        <v>0</v>
      </c>
      <c r="AM44" s="65"/>
      <c r="AN44" s="74" t="s">
        <v>1948</v>
      </c>
      <c r="AO44" s="73">
        <f t="shared" si="112"/>
        <v>0</v>
      </c>
      <c r="AP44" s="65"/>
      <c r="AQ44" s="74" t="s">
        <v>2001</v>
      </c>
      <c r="AR44" s="73">
        <f t="shared" si="112"/>
        <v>0</v>
      </c>
      <c r="AS44" s="65"/>
      <c r="AT44" s="74" t="s">
        <v>1954</v>
      </c>
      <c r="AU44" s="73">
        <f t="shared" si="112"/>
        <v>0</v>
      </c>
      <c r="AV44" s="65"/>
      <c r="AW44" s="74" t="s">
        <v>1958</v>
      </c>
      <c r="AX44" s="73">
        <f t="shared" si="112"/>
        <v>0</v>
      </c>
      <c r="AY44" s="65"/>
      <c r="AZ44" s="74" t="s">
        <v>1948</v>
      </c>
      <c r="BA44" s="73">
        <f t="shared" si="112"/>
        <v>0</v>
      </c>
      <c r="BB44" s="65"/>
      <c r="BC44" s="74" t="s">
        <v>1958</v>
      </c>
      <c r="BD44" s="73">
        <f t="shared" si="112"/>
        <v>0</v>
      </c>
      <c r="BE44" s="65"/>
      <c r="BF44" s="74" t="s">
        <v>1954</v>
      </c>
      <c r="BG44" s="73">
        <f t="shared" si="112"/>
        <v>0</v>
      </c>
      <c r="BH44" s="65"/>
      <c r="BI44" s="74" t="s">
        <v>1958</v>
      </c>
      <c r="BJ44" s="73">
        <f t="shared" si="112"/>
        <v>0</v>
      </c>
      <c r="BK44" s="65"/>
      <c r="BL44" s="74" t="s">
        <v>1954</v>
      </c>
      <c r="BM44" s="73">
        <f t="shared" si="112"/>
        <v>0</v>
      </c>
      <c r="BN44" s="65"/>
      <c r="BO44" s="74" t="s">
        <v>1954</v>
      </c>
      <c r="BP44" s="73">
        <f t="shared" si="112"/>
        <v>0</v>
      </c>
      <c r="BQ44" s="65"/>
      <c r="BR44" s="74" t="s">
        <v>1954</v>
      </c>
      <c r="BS44" s="73">
        <f t="shared" si="112"/>
        <v>0</v>
      </c>
      <c r="BT44" s="65"/>
      <c r="BU44" s="74" t="s">
        <v>1954</v>
      </c>
      <c r="BV44" s="73">
        <f t="shared" si="112"/>
        <v>0</v>
      </c>
      <c r="BW44" s="65"/>
      <c r="BX44" s="74" t="s">
        <v>1954</v>
      </c>
      <c r="BY44" s="73">
        <f t="shared" si="112"/>
        <v>0</v>
      </c>
      <c r="BZ44" s="65"/>
      <c r="CA44" s="74" t="s">
        <v>1958</v>
      </c>
      <c r="CB44" s="73">
        <f t="shared" si="112"/>
        <v>0</v>
      </c>
      <c r="CC44" s="65"/>
      <c r="CD44" s="74" t="s">
        <v>1942</v>
      </c>
      <c r="CE44" s="73">
        <f t="shared" si="112"/>
        <v>0</v>
      </c>
      <c r="CF44" s="65"/>
      <c r="CG44" s="74" t="s">
        <v>1954</v>
      </c>
      <c r="CH44" s="73">
        <f t="shared" si="112"/>
        <v>0</v>
      </c>
      <c r="CI44" s="65"/>
      <c r="CJ44" s="74" t="s">
        <v>1948</v>
      </c>
      <c r="CK44" s="73">
        <f t="shared" si="110"/>
        <v>0</v>
      </c>
      <c r="CL44" s="65"/>
      <c r="CM44" s="74" t="s">
        <v>1954</v>
      </c>
      <c r="CN44" s="73">
        <f t="shared" si="110"/>
        <v>0</v>
      </c>
      <c r="CO44" s="65"/>
      <c r="CP44" s="74" t="s">
        <v>1958</v>
      </c>
      <c r="CQ44" s="73">
        <f t="shared" si="110"/>
        <v>0</v>
      </c>
      <c r="CR44" s="65"/>
      <c r="CS44" s="74" t="s">
        <v>1958</v>
      </c>
      <c r="CT44" s="73">
        <f t="shared" si="110"/>
        <v>0</v>
      </c>
      <c r="CU44" s="65"/>
      <c r="CV44" s="74" t="s">
        <v>1942</v>
      </c>
      <c r="CW44" s="73">
        <f t="shared" si="110"/>
        <v>0</v>
      </c>
      <c r="CX44" s="65"/>
      <c r="CY44" s="74" t="s">
        <v>1943</v>
      </c>
      <c r="CZ44" s="73">
        <f t="shared" si="110"/>
        <v>0</v>
      </c>
      <c r="DA44" s="65"/>
      <c r="DB44" s="74" t="s">
        <v>1958</v>
      </c>
      <c r="DC44" s="73">
        <f t="shared" si="110"/>
        <v>0</v>
      </c>
      <c r="DD44" s="65"/>
      <c r="DE44" s="74" t="s">
        <v>1942</v>
      </c>
      <c r="DF44" s="73">
        <f t="shared" si="110"/>
        <v>0</v>
      </c>
      <c r="DG44" s="65"/>
      <c r="DH44" s="74" t="s">
        <v>1954</v>
      </c>
      <c r="DI44" s="73">
        <f t="shared" si="110"/>
        <v>0</v>
      </c>
      <c r="DJ44" s="65"/>
      <c r="DK44" s="74" t="s">
        <v>1954</v>
      </c>
      <c r="DL44" s="73">
        <f t="shared" si="110"/>
        <v>0</v>
      </c>
      <c r="DM44" s="65"/>
      <c r="DN44" s="795" t="s">
        <v>1943</v>
      </c>
      <c r="DO44" s="73">
        <f t="shared" si="110"/>
        <v>0</v>
      </c>
      <c r="DP44" s="65"/>
      <c r="DQ44" s="795" t="s">
        <v>1944</v>
      </c>
      <c r="DR44" s="73">
        <f t="shared" si="110"/>
        <v>0</v>
      </c>
      <c r="DS44" s="65"/>
      <c r="DT44" s="74" t="s">
        <v>1959</v>
      </c>
      <c r="DU44" s="73">
        <f t="shared" si="110"/>
        <v>0</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0</v>
      </c>
      <c r="DY44" s="65"/>
      <c r="DZ44" s="74" t="s">
        <v>1954</v>
      </c>
      <c r="EA44" s="73">
        <f t="shared" si="114"/>
        <v>0</v>
      </c>
      <c r="EB44" s="65"/>
      <c r="EC44" s="74" t="s">
        <v>1954</v>
      </c>
      <c r="ED44" s="73">
        <f t="shared" si="114"/>
        <v>0</v>
      </c>
      <c r="EE44" s="65"/>
      <c r="EF44" s="74" t="s">
        <v>1943</v>
      </c>
      <c r="EG44" s="73">
        <f t="shared" si="114"/>
        <v>0</v>
      </c>
      <c r="EH44" s="65"/>
      <c r="EI44" s="74"/>
      <c r="EJ44" s="73">
        <f t="shared" si="114"/>
        <v>0</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95" t="s">
        <v>1943</v>
      </c>
      <c r="DR46" s="73">
        <f t="shared" si="110"/>
        <v>0</v>
      </c>
      <c r="DS46" s="65"/>
      <c r="DT46" s="74" t="s">
        <v>1948</v>
      </c>
      <c r="DU46" s="73">
        <f t="shared" si="110"/>
        <v>0</v>
      </c>
      <c r="DV46" s="65"/>
      <c r="DW46" s="74" t="s">
        <v>1954</v>
      </c>
      <c r="DX46" s="73">
        <f t="shared" si="114"/>
        <v>0</v>
      </c>
      <c r="DY46" s="65"/>
      <c r="DZ46" s="74" t="s">
        <v>1958</v>
      </c>
      <c r="EA46" s="73">
        <f t="shared" si="114"/>
        <v>0</v>
      </c>
      <c r="EB46" s="65"/>
      <c r="EC46" s="74" t="s">
        <v>1959</v>
      </c>
      <c r="ED46" s="73">
        <f t="shared" si="114"/>
        <v>0</v>
      </c>
      <c r="EE46" s="65"/>
      <c r="EF46" s="74" t="s">
        <v>1943</v>
      </c>
      <c r="EG46" s="73">
        <f t="shared" si="114"/>
        <v>0</v>
      </c>
      <c r="EH46" s="65"/>
      <c r="EI46" s="74"/>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95" t="s">
        <v>1954</v>
      </c>
      <c r="DR47" s="73">
        <f t="shared" si="110"/>
        <v>0</v>
      </c>
      <c r="DS47" s="65"/>
      <c r="DT47" s="74" t="s">
        <v>1956</v>
      </c>
      <c r="DU47" s="73">
        <f t="shared" si="110"/>
        <v>0</v>
      </c>
      <c r="DV47" s="65"/>
      <c r="DW47" s="74" t="s">
        <v>1946</v>
      </c>
      <c r="DX47" s="73">
        <f t="shared" si="114"/>
        <v>0</v>
      </c>
      <c r="DY47" s="65"/>
      <c r="DZ47" s="74" t="s">
        <v>1948</v>
      </c>
      <c r="EA47" s="73">
        <f t="shared" si="114"/>
        <v>0</v>
      </c>
      <c r="EB47" s="65"/>
      <c r="EC47" s="74" t="s">
        <v>1944</v>
      </c>
      <c r="ED47" s="73">
        <f t="shared" si="114"/>
        <v>0</v>
      </c>
      <c r="EE47" s="65"/>
      <c r="EF47" s="74" t="s">
        <v>1960</v>
      </c>
      <c r="EG47" s="73">
        <f t="shared" si="114"/>
        <v>0</v>
      </c>
      <c r="EH47" s="65"/>
      <c r="EI47" s="74"/>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795" t="s">
        <v>1946</v>
      </c>
      <c r="DR48" s="73">
        <f t="shared" si="110"/>
        <v>0</v>
      </c>
      <c r="DS48" s="65"/>
      <c r="DT48" s="74" t="s">
        <v>1948</v>
      </c>
      <c r="DU48" s="73">
        <f t="shared" si="110"/>
        <v>0</v>
      </c>
      <c r="DV48" s="65"/>
      <c r="DW48" s="74" t="s">
        <v>1948</v>
      </c>
      <c r="DX48" s="73">
        <f t="shared" si="114"/>
        <v>0</v>
      </c>
      <c r="DY48" s="65"/>
      <c r="DZ48" s="74" t="s">
        <v>1948</v>
      </c>
      <c r="EA48" s="73">
        <f t="shared" si="114"/>
        <v>0</v>
      </c>
      <c r="EB48" s="65"/>
      <c r="EC48" s="74" t="s">
        <v>1942</v>
      </c>
      <c r="ED48" s="73">
        <f t="shared" si="114"/>
        <v>0</v>
      </c>
      <c r="EE48" s="65"/>
      <c r="EF48" s="74" t="s">
        <v>1942</v>
      </c>
      <c r="EG48" s="73">
        <f t="shared" si="114"/>
        <v>0</v>
      </c>
      <c r="EH48" s="65"/>
      <c r="EI48" s="74"/>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95" t="s">
        <v>1945</v>
      </c>
      <c r="DR49" s="73">
        <f t="shared" si="110"/>
        <v>0</v>
      </c>
      <c r="DS49" s="65"/>
      <c r="DT49" s="74" t="s">
        <v>1960</v>
      </c>
      <c r="DU49" s="73">
        <f t="shared" si="110"/>
        <v>0</v>
      </c>
      <c r="DV49" s="65"/>
      <c r="DW49" s="74" t="s">
        <v>1949</v>
      </c>
      <c r="DX49" s="73">
        <f t="shared" si="114"/>
        <v>0</v>
      </c>
      <c r="DY49" s="65"/>
      <c r="DZ49" s="74" t="s">
        <v>1960</v>
      </c>
      <c r="EA49" s="73">
        <f t="shared" si="114"/>
        <v>0</v>
      </c>
      <c r="EB49" s="65"/>
      <c r="EC49" s="74" t="s">
        <v>1945</v>
      </c>
      <c r="ED49" s="73">
        <f t="shared" si="114"/>
        <v>0</v>
      </c>
      <c r="EE49" s="65"/>
      <c r="EF49" s="74" t="s">
        <v>1952</v>
      </c>
      <c r="EG49" s="73">
        <f t="shared" si="114"/>
        <v>0</v>
      </c>
      <c r="EH49" s="65"/>
      <c r="EI49" s="74"/>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t="s">
        <v>1948</v>
      </c>
      <c r="EG50" s="73">
        <f t="shared" si="114"/>
        <v>0</v>
      </c>
      <c r="EH50" s="65"/>
      <c r="EI50" s="74"/>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t="s">
        <v>1942</v>
      </c>
      <c r="EG51" s="73">
        <f t="shared" si="114"/>
        <v>0</v>
      </c>
      <c r="EH51" s="65"/>
      <c r="EI51" s="74"/>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t="s">
        <v>1960</v>
      </c>
      <c r="EG53" s="79">
        <f t="shared" si="114"/>
        <v>0</v>
      </c>
      <c r="EH53" s="65"/>
      <c r="EI53" s="78"/>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tr">
        <f>Idiomas!$D$366</f>
        <v>Pegar Valores (J3)</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2</v>
      </c>
      <c r="U78" s="64"/>
      <c r="V78" s="82"/>
      <c r="W78" s="83">
        <f>SUM(W6:W77)</f>
        <v>1</v>
      </c>
      <c r="X78" s="64"/>
      <c r="Y78" s="82"/>
      <c r="Z78" s="83">
        <f t="shared" ref="Z78" si="127">SUM(Z6:Z77)</f>
        <v>4</v>
      </c>
      <c r="AA78" s="64"/>
      <c r="AB78" s="82"/>
      <c r="AC78" s="83">
        <f t="shared" ref="AC78" si="128">SUM(AC6:AC77)</f>
        <v>8</v>
      </c>
      <c r="AD78" s="64"/>
      <c r="AE78" s="82"/>
      <c r="AF78" s="83">
        <f t="shared" ref="AF78" si="129">SUM(AF6:AF77)</f>
        <v>4</v>
      </c>
      <c r="AG78" s="64"/>
      <c r="AH78" s="82"/>
      <c r="AI78" s="83">
        <f t="shared" ref="AI78" si="130">SUM(AI6:AI77)</f>
        <v>6</v>
      </c>
      <c r="AJ78" s="64"/>
      <c r="AK78" s="82"/>
      <c r="AL78" s="83">
        <f t="shared" ref="AL78" si="131">SUM(AL6:AL77)</f>
        <v>1</v>
      </c>
      <c r="AM78" s="64"/>
      <c r="AN78" s="82"/>
      <c r="AO78" s="83">
        <f t="shared" ref="AO78" si="132">SUM(AO6:AO77)</f>
        <v>4</v>
      </c>
      <c r="AP78" s="64"/>
      <c r="AQ78" s="82"/>
      <c r="AR78" s="83">
        <f t="shared" ref="AR78" si="133">SUM(AR6:AR77)</f>
        <v>5</v>
      </c>
      <c r="AS78" s="64"/>
      <c r="AT78" s="82"/>
      <c r="AU78" s="83">
        <f t="shared" ref="AU78" si="134">SUM(AU6:AU77)</f>
        <v>1</v>
      </c>
      <c r="AV78" s="64"/>
      <c r="AW78" s="82"/>
      <c r="AX78" s="83">
        <f t="shared" ref="AX78" si="135">SUM(AX6:AX77)</f>
        <v>4</v>
      </c>
      <c r="AY78" s="64"/>
      <c r="AZ78" s="82"/>
      <c r="BA78" s="83">
        <f t="shared" ref="BA78" si="136">SUM(BA6:BA77)</f>
        <v>1</v>
      </c>
      <c r="BB78" s="64"/>
      <c r="BC78" s="82"/>
      <c r="BD78" s="83">
        <f t="shared" ref="BD78" si="137">SUM(BD6:BD77)</f>
        <v>1</v>
      </c>
      <c r="BE78" s="64"/>
      <c r="BF78" s="82"/>
      <c r="BG78" s="83">
        <f t="shared" ref="BG78" si="138">SUM(BG6:BG77)</f>
        <v>4</v>
      </c>
      <c r="BH78" s="64"/>
      <c r="BI78" s="82"/>
      <c r="BJ78" s="83">
        <f t="shared" ref="BJ78" si="139">SUM(BJ6:BJ77)</f>
        <v>4</v>
      </c>
      <c r="BK78" s="64"/>
      <c r="BL78" s="82"/>
      <c r="BM78" s="83">
        <f t="shared" ref="BM78" si="140">SUM(BM6:BM77)</f>
        <v>0</v>
      </c>
      <c r="BN78" s="64"/>
      <c r="BO78" s="82"/>
      <c r="BP78" s="83">
        <f t="shared" ref="BP78" si="141">SUM(BP6:BP77)</f>
        <v>4</v>
      </c>
      <c r="BQ78" s="64"/>
      <c r="BR78" s="82"/>
      <c r="BS78" s="83">
        <f t="shared" ref="BS78" si="142">SUM(BS6:BS77)</f>
        <v>4</v>
      </c>
      <c r="BT78" s="64"/>
      <c r="BU78" s="82"/>
      <c r="BV78" s="83">
        <f t="shared" ref="BV78" si="143">SUM(BV6:BV77)</f>
        <v>1</v>
      </c>
      <c r="BW78" s="64"/>
      <c r="BX78" s="82"/>
      <c r="BY78" s="83">
        <f t="shared" ref="BY78" si="144">SUM(BY6:BY77)</f>
        <v>4</v>
      </c>
      <c r="BZ78" s="64"/>
      <c r="CA78" s="82"/>
      <c r="CB78" s="83">
        <f t="shared" ref="CB78" si="145">SUM(CB6:CB77)</f>
        <v>4</v>
      </c>
      <c r="CC78" s="64"/>
      <c r="CD78" s="82"/>
      <c r="CE78" s="83">
        <f t="shared" ref="CE78" si="146">SUM(CE6:CE77)</f>
        <v>1</v>
      </c>
      <c r="CF78" s="64"/>
      <c r="CG78" s="82"/>
      <c r="CH78" s="83">
        <f t="shared" ref="CH78" si="147">SUM(CH6:CH77)</f>
        <v>6</v>
      </c>
      <c r="CI78" s="64"/>
      <c r="CJ78" s="82"/>
      <c r="CK78" s="83">
        <f t="shared" ref="CK78" si="148">SUM(CK6:CK77)</f>
        <v>4</v>
      </c>
      <c r="CL78" s="64"/>
      <c r="CM78" s="82"/>
      <c r="CN78" s="83">
        <f t="shared" ref="CN78" si="149">SUM(CN6:CN77)</f>
        <v>4</v>
      </c>
      <c r="CO78" s="64"/>
      <c r="CP78" s="82"/>
      <c r="CQ78" s="83">
        <f t="shared" ref="CQ78" si="150">SUM(CQ6:CQ77)</f>
        <v>1</v>
      </c>
      <c r="CR78" s="64"/>
      <c r="CS78" s="82"/>
      <c r="CT78" s="83">
        <f t="shared" ref="CT78" si="151">SUM(CT6:CT77)</f>
        <v>2</v>
      </c>
      <c r="CU78" s="64"/>
      <c r="CV78" s="82"/>
      <c r="CW78" s="83">
        <f t="shared" ref="CW78" si="152">SUM(CW6:CW77)</f>
        <v>5</v>
      </c>
      <c r="CX78" s="64"/>
      <c r="CY78" s="82"/>
      <c r="CZ78" s="83">
        <f t="shared" ref="CZ78" si="153">SUM(CZ6:CZ77)</f>
        <v>1</v>
      </c>
      <c r="DA78" s="64"/>
      <c r="DB78" s="82"/>
      <c r="DC78" s="83">
        <f t="shared" ref="DC78" si="154">SUM(DC6:DC77)</f>
        <v>4</v>
      </c>
      <c r="DD78" s="64"/>
      <c r="DE78" s="82"/>
      <c r="DF78" s="83">
        <f t="shared" ref="DF78" si="155">SUM(DF6:DF77)</f>
        <v>1</v>
      </c>
      <c r="DG78" s="64"/>
      <c r="DH78" s="82"/>
      <c r="DI78" s="83">
        <f t="shared" ref="DI78" si="156">SUM(DI6:DI77)</f>
        <v>2</v>
      </c>
      <c r="DJ78" s="64"/>
      <c r="DK78" s="82"/>
      <c r="DL78" s="83">
        <f t="shared" ref="DL78" si="157">SUM(DL6:DL77)</f>
        <v>4</v>
      </c>
      <c r="DM78" s="64"/>
      <c r="DN78" s="796"/>
      <c r="DO78" s="83">
        <f t="shared" ref="DO78" si="158">SUM(DO6:DO77)</f>
        <v>2</v>
      </c>
      <c r="DP78" s="64"/>
      <c r="DQ78" s="796"/>
      <c r="DR78" s="83">
        <f t="shared" ref="DR78" si="159">SUM(DR6:DR77)</f>
        <v>1</v>
      </c>
      <c r="DS78" s="64"/>
      <c r="DT78" s="82"/>
      <c r="DU78" s="83">
        <f t="shared" ref="DU78" si="160">SUM(DU6:DU77)</f>
        <v>2</v>
      </c>
      <c r="DV78" s="64"/>
      <c r="DW78" s="82"/>
      <c r="DX78" s="83">
        <f t="shared" ref="DX78" si="161">SUM(DX6:DX77)</f>
        <v>6</v>
      </c>
      <c r="DY78" s="64"/>
      <c r="DZ78" s="82"/>
      <c r="EA78" s="83">
        <f t="shared" ref="EA78" si="162">SUM(EA6:EA77)</f>
        <v>4</v>
      </c>
      <c r="EB78" s="64"/>
      <c r="EC78" s="82"/>
      <c r="ED78" s="83">
        <f t="shared" ref="ED78" si="163">SUM(ED6:ED77)</f>
        <v>4</v>
      </c>
      <c r="EE78" s="64"/>
      <c r="EF78" s="82"/>
      <c r="EG78" s="83">
        <f t="shared" ref="EG78" si="164">SUM(EG6:EG77)</f>
        <v>1</v>
      </c>
      <c r="EH78" s="64"/>
      <c r="EI78" s="82"/>
      <c r="EJ78" s="83">
        <f t="shared" ref="EJ78" si="165">SUM(EJ6:EJ77)</f>
        <v>0</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51"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tr">
        <f>Idiomas!$D$367</f>
        <v>Pegar Valores Dieciseisavos</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51"/>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51"/>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51"/>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51"/>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51"/>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51"/>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51"/>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51"/>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51"/>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51"/>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51"/>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51"/>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51"/>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51"/>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51"/>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1"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tr">
        <f>Idiomas!$D$368</f>
        <v>Pegar Valores Octavos</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1"/>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1"/>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1"/>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tr">
        <f>Idiomas!$D$369</f>
        <v>Pegar valores Cuartos</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tr">
        <f>Idiomas!$D$370</f>
        <v>Pegar valores Semifinales</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tr">
        <f>Idiomas!$D$371</f>
        <v>Pegar valores 3º-4º puesto y Final</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tr">
        <f>Idiomas!$D$373</f>
        <v>Pegar Valores Cuadro de Honor</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25</v>
      </c>
      <c r="W263" s="25"/>
      <c r="X263" s="25"/>
      <c r="Y263" s="25">
        <f ca="1">RANK(Y264,OFFSET($S$264,0,0,1,$D$5*3),0)</f>
        <v>1</v>
      </c>
      <c r="Z263" s="25"/>
      <c r="AA263" s="25"/>
      <c r="AB263" s="25">
        <f ca="1">RANK(AB264,OFFSET($S$264,0,0,1,$D$5*3),0)</f>
        <v>2</v>
      </c>
      <c r="AC263" s="25"/>
      <c r="AD263" s="25"/>
      <c r="AE263" s="25">
        <f ca="1">RANK(AE264,OFFSET($S$264,0,0,1,$D$5*3),0)</f>
        <v>3</v>
      </c>
      <c r="AF263" s="25"/>
      <c r="AG263" s="25"/>
      <c r="AH263" s="25">
        <f ca="1">RANK(AH264,OFFSET($S$264,0,0,1,$D$5*3),0)</f>
        <v>4</v>
      </c>
      <c r="AI263" s="25"/>
      <c r="AJ263" s="25"/>
      <c r="AK263" s="25">
        <f ca="1">RANK(AK264,OFFSET($S$264,0,0,1,$D$5*3),0)</f>
        <v>26</v>
      </c>
      <c r="AL263" s="25"/>
      <c r="AM263" s="25"/>
      <c r="AN263" s="25">
        <f ca="1">RANK(AN264,OFFSET($S$264,0,0,1,$D$5*3),0)</f>
        <v>5</v>
      </c>
      <c r="AO263" s="25"/>
      <c r="AP263" s="25"/>
      <c r="AQ263" s="25">
        <f ca="1">RANK(AQ264,OFFSET($S$264,0,0,1,$D$5*3),0)</f>
        <v>6</v>
      </c>
      <c r="AR263" s="25"/>
      <c r="AS263" s="25"/>
      <c r="AT263" s="25">
        <f ca="1">RANK(AT264,OFFSET($S$264,0,0,1,$D$5*3),0)</f>
        <v>27</v>
      </c>
      <c r="AU263" s="25"/>
      <c r="AV263" s="25"/>
      <c r="AW263" s="25">
        <f ca="1">RANK(AW264,OFFSET($S$264,0,0,1,$D$5*3),0)</f>
        <v>7</v>
      </c>
      <c r="AX263" s="25"/>
      <c r="AY263" s="25"/>
      <c r="AZ263" s="25">
        <f ca="1">RANK(AZ264,OFFSET($S$264,0,0,1,$D$5*3),0)</f>
        <v>28</v>
      </c>
      <c r="BA263" s="25"/>
      <c r="BB263" s="25"/>
      <c r="BC263" s="25">
        <f ca="1">RANK(BC264,OFFSET($S$264,0,0,1,$D$5*3),0)</f>
        <v>29</v>
      </c>
      <c r="BD263" s="25"/>
      <c r="BE263" s="25"/>
      <c r="BF263" s="25">
        <f ca="1">RANK(BF264,OFFSET($S$264,0,0,1,$D$5*3),0)</f>
        <v>8</v>
      </c>
      <c r="BG263" s="25"/>
      <c r="BH263" s="25"/>
      <c r="BI263" s="25">
        <f ca="1">RANK(BI264,OFFSET($S$264,0,0,1,$D$5*3),0)</f>
        <v>9</v>
      </c>
      <c r="BJ263" s="25"/>
      <c r="BK263" s="25"/>
      <c r="BL263" s="25">
        <f ca="1">RANK(BL264,OFFSET($S$264,0,0,1,$D$5*3),0)</f>
        <v>39</v>
      </c>
      <c r="BM263" s="25"/>
      <c r="BN263" s="25"/>
      <c r="BO263" s="25">
        <f ca="1">RANK(BO264,OFFSET($S$264,0,0,1,$D$5*3),0)</f>
        <v>10</v>
      </c>
      <c r="BP263" s="25"/>
      <c r="BQ263" s="25"/>
      <c r="BR263" s="25">
        <f ca="1">RANK(BR264,OFFSET($S$264,0,0,1,$D$5*3),0)</f>
        <v>11</v>
      </c>
      <c r="BS263" s="25"/>
      <c r="BT263" s="25"/>
      <c r="BU263" s="25">
        <f ca="1">RANK(BU264,OFFSET($S$264,0,0,1,$D$5*3),0)</f>
        <v>30</v>
      </c>
      <c r="BV263" s="25"/>
      <c r="BW263" s="25"/>
      <c r="BX263" s="25">
        <f ca="1">RANK(BX264,OFFSET($S$264,0,0,1,$D$5*3),0)</f>
        <v>12</v>
      </c>
      <c r="BY263" s="25"/>
      <c r="BZ263" s="25"/>
      <c r="CA263" s="25">
        <f ca="1">RANK(CA264,OFFSET($S$264,0,0,1,$D$5*3),0)</f>
        <v>40</v>
      </c>
      <c r="CB263" s="25"/>
      <c r="CC263" s="25"/>
      <c r="CD263" s="25">
        <f ca="1">RANK(CD264,OFFSET($S$264,0,0,1,$D$5*3),0)</f>
        <v>31</v>
      </c>
      <c r="CE263" s="25"/>
      <c r="CF263" s="25"/>
      <c r="CG263" s="25">
        <f ca="1">RANK(CG264,OFFSET($S$264,0,0,1,$D$5*3),0)</f>
        <v>13</v>
      </c>
      <c r="CH263" s="25"/>
      <c r="CI263" s="25"/>
      <c r="CJ263" s="25">
        <f ca="1">RANK(CJ264,OFFSET($S$264,0,0,1,$D$5*3),0)</f>
        <v>14</v>
      </c>
      <c r="CK263" s="25"/>
      <c r="CL263" s="25"/>
      <c r="CM263" s="25">
        <f ca="1">RANK(CM264,OFFSET($S$264,0,0,1,$D$5*3),0)</f>
        <v>15</v>
      </c>
      <c r="CN263" s="25"/>
      <c r="CO263" s="25"/>
      <c r="CP263" s="25">
        <f ca="1">RANK(CP264,OFFSET($S$264,0,0,1,$D$5*3),0)</f>
        <v>32</v>
      </c>
      <c r="CQ263" s="25"/>
      <c r="CR263" s="25"/>
      <c r="CS263" s="25">
        <f ca="1">RANK(CS264,OFFSET($S$264,0,0,1,$D$5*3),0)</f>
        <v>21</v>
      </c>
      <c r="CT263" s="25"/>
      <c r="CU263" s="25"/>
      <c r="CV263" s="25">
        <f ca="1">RANK(CV264,OFFSET($S$264,0,0,1,$D$5*3),0)</f>
        <v>33</v>
      </c>
      <c r="CW263" s="25"/>
      <c r="CX263" s="25"/>
      <c r="CY263" s="25">
        <f ca="1">RANK(CY264,OFFSET($S$264,0,0,1,$D$5*3),0)</f>
        <v>34</v>
      </c>
      <c r="CZ263" s="25"/>
      <c r="DA263" s="25"/>
      <c r="DB263" s="25">
        <f ca="1">RANK(DB264,OFFSET($S$264,0,0,1,$D$5*3),0)</f>
        <v>16</v>
      </c>
      <c r="DC263" s="25"/>
      <c r="DD263" s="25"/>
      <c r="DE263" s="25">
        <f ca="1">RANK(DE264,OFFSET($S$264,0,0,1,$D$5*3),0)</f>
        <v>35</v>
      </c>
      <c r="DF263" s="25"/>
      <c r="DG263" s="25"/>
      <c r="DH263" s="25">
        <f ca="1">RANK(DH264,OFFSET($S$264,0,0,1,$D$5*3),0)</f>
        <v>36</v>
      </c>
      <c r="DI263" s="25"/>
      <c r="DJ263" s="25"/>
      <c r="DK263" s="25">
        <f ca="1">RANK(DK264,OFFSET($S$264,0,0,1,$D$5*3),0)</f>
        <v>17</v>
      </c>
      <c r="DL263" s="25"/>
      <c r="DM263" s="25"/>
      <c r="DN263" s="25">
        <f ca="1">RANK(DN264,OFFSET($S$264,0,0,1,$D$5*3),0)</f>
        <v>22</v>
      </c>
      <c r="DO263" s="25"/>
      <c r="DP263" s="25"/>
      <c r="DQ263" s="25">
        <f ca="1">RANK(DQ264,OFFSET($S$264,0,0,1,$D$5*3),0)</f>
        <v>37</v>
      </c>
      <c r="DR263" s="25"/>
      <c r="DS263" s="25"/>
      <c r="DT263" s="25">
        <f ca="1">RANK(DT264,OFFSET($S$264,0,0,1,$D$5*3),0)</f>
        <v>23</v>
      </c>
      <c r="DU263" s="25"/>
      <c r="DV263" s="25"/>
      <c r="DW263" s="25">
        <f ca="1">RANK(DW264,OFFSET($S$264,0,0,1,$D$5*3),0)</f>
        <v>18</v>
      </c>
      <c r="DX263" s="25"/>
      <c r="DY263" s="25"/>
      <c r="DZ263" s="25">
        <f ca="1">RANK(DZ264,OFFSET($S$264,0,0,1,$D$5*3),0)</f>
        <v>19</v>
      </c>
      <c r="EA263" s="25"/>
      <c r="EB263" s="25"/>
      <c r="EC263" s="25">
        <f ca="1">RANK(EC264,OFFSET($S$264,0,0,1,$D$5*3),0)</f>
        <v>20</v>
      </c>
      <c r="ED263" s="25"/>
      <c r="EE263" s="25"/>
      <c r="EF263" s="25">
        <f ca="1">RANK(EF264,OFFSET($S$264,0,0,1,$D$5*3),0)</f>
        <v>38</v>
      </c>
      <c r="EG263" s="25"/>
      <c r="EH263" s="25"/>
      <c r="EI263" s="25">
        <f ca="1">RANK(EI264,OFFSET($S$264,0,0,1,$D$5*3),0)</f>
        <v>41</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0.99809999999999999</v>
      </c>
      <c r="T264" s="25"/>
      <c r="U264" s="25"/>
      <c r="V264" s="25">
        <f t="shared" ref="V264" ca="1" si="2626">V266-(COLUMN()/10000)</f>
        <v>0.99780000000000002</v>
      </c>
      <c r="W264" s="25"/>
      <c r="X264" s="25"/>
      <c r="Y264" s="25">
        <f t="shared" ref="Y264" ca="1" si="2627">Y266-(COLUMN()/10000)</f>
        <v>3.9975000000000001</v>
      </c>
      <c r="Z264" s="25"/>
      <c r="AA264" s="25"/>
      <c r="AB264" s="25">
        <f t="shared" ref="AB264" ca="1" si="2628">AB266-(COLUMN()/10000)</f>
        <v>3.9971999999999999</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0.99629999999999996</v>
      </c>
      <c r="AL264" s="25"/>
      <c r="AM264" s="25"/>
      <c r="AN264" s="25">
        <f t="shared" ref="AN264" ca="1" si="2632">AN266-(COLUMN()/10000)</f>
        <v>3.996</v>
      </c>
      <c r="AO264" s="25"/>
      <c r="AP264" s="25"/>
      <c r="AQ264" s="25">
        <f t="shared" ref="AQ264" ca="1" si="2633">AQ266-(COLUMN()/10000)</f>
        <v>3.9956999999999998</v>
      </c>
      <c r="AR264" s="25"/>
      <c r="AS264" s="25"/>
      <c r="AT264" s="25">
        <f t="shared" ref="AT264" ca="1" si="2634">AT266-(COLUMN()/10000)</f>
        <v>0.99539999999999995</v>
      </c>
      <c r="AU264" s="25"/>
      <c r="AV264" s="25"/>
      <c r="AW264" s="25">
        <f t="shared" ref="AW264" ca="1" si="2635">AW266-(COLUMN()/10000)</f>
        <v>3.9950999999999999</v>
      </c>
      <c r="AX264" s="25"/>
      <c r="AY264" s="25"/>
      <c r="AZ264" s="25">
        <f t="shared" ref="AZ264" ca="1" si="2636">AZ266-(COLUMN()/10000)</f>
        <v>0.99480000000000002</v>
      </c>
      <c r="BA264" s="25"/>
      <c r="BB264" s="25"/>
      <c r="BC264" s="25">
        <f t="shared" ref="BC264" ca="1" si="2637">BC266-(COLUMN()/10000)</f>
        <v>0.99450000000000005</v>
      </c>
      <c r="BD264" s="25"/>
      <c r="BE264" s="25"/>
      <c r="BF264" s="25">
        <f t="shared" ref="BF264" ca="1" si="2638">BF266-(COLUMN()/10000)</f>
        <v>3.9942000000000002</v>
      </c>
      <c r="BG264" s="25"/>
      <c r="BH264" s="25"/>
      <c r="BI264" s="25">
        <f t="shared" ref="BI264" ca="1" si="2639">BI266-(COLUMN()/10000)</f>
        <v>3.9939</v>
      </c>
      <c r="BJ264" s="25"/>
      <c r="BK264" s="25"/>
      <c r="BL264" s="25">
        <f t="shared" ref="BL264" ca="1" si="2640">BL266-(COLUMN()/10000)</f>
        <v>-6.4000000000000003E-3</v>
      </c>
      <c r="BM264" s="25"/>
      <c r="BN264" s="25"/>
      <c r="BO264" s="25">
        <f t="shared" ref="BO264" ca="1" si="2641">BO266-(COLUMN()/10000)</f>
        <v>3.9933000000000001</v>
      </c>
      <c r="BP264" s="25"/>
      <c r="BQ264" s="25"/>
      <c r="BR264" s="25">
        <f t="shared" ref="BR264" ca="1" si="2642">BR266-(COLUMN()/10000)</f>
        <v>3.9929999999999999</v>
      </c>
      <c r="BS264" s="25"/>
      <c r="BT264" s="25"/>
      <c r="BU264" s="25">
        <f t="shared" ref="BU264" ca="1" si="2643">BU266-(COLUMN()/10000)</f>
        <v>0.99270000000000003</v>
      </c>
      <c r="BV264" s="25"/>
      <c r="BW264" s="25"/>
      <c r="BX264" s="25">
        <f t="shared" ref="BX264" ca="1" si="2644">BX266-(COLUMN()/10000)</f>
        <v>3.9923999999999999</v>
      </c>
      <c r="BY264" s="25"/>
      <c r="BZ264" s="25"/>
      <c r="CA264" s="25">
        <f t="shared" ref="CA264" ca="1" si="2645">CA266-(COLUMN()/10000)</f>
        <v>-7.9000000000000008E-3</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3.9912000000000001</v>
      </c>
      <c r="CK264" s="25"/>
      <c r="CL264" s="25"/>
      <c r="CM264" s="25">
        <f t="shared" ref="CM264" ca="1" si="2649">CM266-(COLUMN()/10000)</f>
        <v>3.9908999999999999</v>
      </c>
      <c r="CN264" s="25"/>
      <c r="CO264" s="25"/>
      <c r="CP264" s="25">
        <f t="shared" ref="CP264" ca="1" si="2650">CP266-(COLUMN()/10000)</f>
        <v>0.99060000000000004</v>
      </c>
      <c r="CQ264" s="25"/>
      <c r="CR264" s="25"/>
      <c r="CS264" s="25">
        <f t="shared" ref="CS264" ca="1" si="2651">CS266-(COLUMN()/10000)</f>
        <v>1.9903</v>
      </c>
      <c r="CT264" s="25"/>
      <c r="CU264" s="25"/>
      <c r="CV264" s="25">
        <f t="shared" ref="CV264" ca="1" si="2652">CV266-(COLUMN()/10000)</f>
        <v>0.99</v>
      </c>
      <c r="CW264" s="25"/>
      <c r="CX264" s="25"/>
      <c r="CY264" s="25">
        <f t="shared" ref="CY264" ca="1" si="2653">CY266-(COLUMN()/10000)</f>
        <v>0.98970000000000002</v>
      </c>
      <c r="CZ264" s="25"/>
      <c r="DA264" s="25"/>
      <c r="DB264" s="25">
        <f t="shared" ref="DB264" ca="1" si="2654">DB266-(COLUMN()/10000)</f>
        <v>3.9893999999999998</v>
      </c>
      <c r="DC264" s="25"/>
      <c r="DD264" s="25"/>
      <c r="DE264" s="25">
        <f t="shared" ref="DE264" ca="1" si="2655">DE266-(COLUMN()/10000)</f>
        <v>0.98909999999999998</v>
      </c>
      <c r="DF264" s="25"/>
      <c r="DG264" s="25"/>
      <c r="DH264" s="25">
        <f t="shared" ref="DH264" ca="1" si="2656">DH266-(COLUMN()/10000)</f>
        <v>0.98880000000000001</v>
      </c>
      <c r="DI264" s="25"/>
      <c r="DJ264" s="25"/>
      <c r="DK264" s="25">
        <f t="shared" ref="DK264" ca="1" si="2657">DK266-(COLUMN()/10000)</f>
        <v>3.9885000000000002</v>
      </c>
      <c r="DL264" s="25"/>
      <c r="DM264" s="25"/>
      <c r="DN264" s="25">
        <f t="shared" ref="DN264" ca="1" si="2658">DN266-(COLUMN()/10000)</f>
        <v>1.9882</v>
      </c>
      <c r="DO264" s="25"/>
      <c r="DP264" s="25"/>
      <c r="DQ264" s="25">
        <f t="shared" ref="DQ264" ca="1" si="2659">DQ266-(COLUMN()/10000)</f>
        <v>0.9879</v>
      </c>
      <c r="DR264" s="25"/>
      <c r="DS264" s="25"/>
      <c r="DT264" s="25">
        <f t="shared" ref="DT264" ca="1" si="2660">DT266-(COLUMN()/10000)</f>
        <v>1.9876</v>
      </c>
      <c r="DU264" s="25"/>
      <c r="DV264" s="25"/>
      <c r="DW264" s="25">
        <f t="shared" ref="DW264" ca="1" si="2661">DW266-(COLUMN()/10000)</f>
        <v>3.9872999999999998</v>
      </c>
      <c r="DX264" s="25"/>
      <c r="DY264" s="25"/>
      <c r="DZ264" s="25">
        <f t="shared" ref="DZ264" ca="1" si="2662">DZ266-(COLUMN()/10000)</f>
        <v>3.9870000000000001</v>
      </c>
      <c r="EA264" s="25"/>
      <c r="EB264" s="25"/>
      <c r="EC264" s="25">
        <f t="shared" ref="EC264" ca="1" si="2663">EC266-(COLUMN()/10000)</f>
        <v>3.9866999999999999</v>
      </c>
      <c r="ED264" s="25"/>
      <c r="EE264" s="25"/>
      <c r="EF264" s="25">
        <f t="shared" ref="EF264" ca="1" si="2664">EF266-(COLUMN()/10000)</f>
        <v>0.98640000000000005</v>
      </c>
      <c r="EG264" s="25"/>
      <c r="EH264" s="25"/>
      <c r="EI264" s="25">
        <f t="shared" ref="EI264" ca="1" si="2665">EI266-(COLUMN()/10000)</f>
        <v>-1.3899999999999999E-2</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24</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24</v>
      </c>
      <c r="AL265" s="25"/>
      <c r="AM265" s="25"/>
      <c r="AN265" s="25">
        <f ca="1">RANK(AN266,OFFSET($S$266,0,0,1,$D$5*3),0)</f>
        <v>1</v>
      </c>
      <c r="AO265" s="25"/>
      <c r="AP265" s="25"/>
      <c r="AQ265" s="25">
        <f ca="1">RANK(AQ266,OFFSET($S$266,0,0,1,$D$5*3),0)</f>
        <v>1</v>
      </c>
      <c r="AR265" s="25"/>
      <c r="AS265" s="25"/>
      <c r="AT265" s="25">
        <f ca="1">RANK(AT266,OFFSET($S$266,0,0,1,$D$5*3),0)</f>
        <v>24</v>
      </c>
      <c r="AU265" s="25"/>
      <c r="AV265" s="25"/>
      <c r="AW265" s="25">
        <f ca="1">RANK(AW266,OFFSET($S$266,0,0,1,$D$5*3),0)</f>
        <v>1</v>
      </c>
      <c r="AX265" s="25"/>
      <c r="AY265" s="25"/>
      <c r="AZ265" s="25">
        <f ca="1">RANK(AZ266,OFFSET($S$266,0,0,1,$D$5*3),0)</f>
        <v>24</v>
      </c>
      <c r="BA265" s="25"/>
      <c r="BB265" s="25"/>
      <c r="BC265" s="25">
        <f ca="1">RANK(BC266,OFFSET($S$266,0,0,1,$D$5*3),0)</f>
        <v>24</v>
      </c>
      <c r="BD265" s="25"/>
      <c r="BE265" s="25"/>
      <c r="BF265" s="25">
        <f ca="1">RANK(BF266,OFFSET($S$266,0,0,1,$D$5*3),0)</f>
        <v>1</v>
      </c>
      <c r="BG265" s="25"/>
      <c r="BH265" s="25"/>
      <c r="BI265" s="25">
        <f ca="1">RANK(BI266,OFFSET($S$266,0,0,1,$D$5*3),0)</f>
        <v>1</v>
      </c>
      <c r="BJ265" s="25"/>
      <c r="BK265" s="25"/>
      <c r="BL265" s="25">
        <f ca="1">RANK(BL266,OFFSET($S$266,0,0,1,$D$5*3),0)</f>
        <v>39</v>
      </c>
      <c r="BM265" s="25"/>
      <c r="BN265" s="25"/>
      <c r="BO265" s="25">
        <f ca="1">RANK(BO266,OFFSET($S$266,0,0,1,$D$5*3),0)</f>
        <v>1</v>
      </c>
      <c r="BP265" s="25"/>
      <c r="BQ265" s="25"/>
      <c r="BR265" s="25">
        <f ca="1">RANK(BR266,OFFSET($S$266,0,0,1,$D$5*3),0)</f>
        <v>1</v>
      </c>
      <c r="BS265" s="25"/>
      <c r="BT265" s="25"/>
      <c r="BU265" s="25">
        <f ca="1">RANK(BU266,OFFSET($S$266,0,0,1,$D$5*3),0)</f>
        <v>24</v>
      </c>
      <c r="BV265" s="25"/>
      <c r="BW265" s="25"/>
      <c r="BX265" s="25">
        <f ca="1">RANK(BX266,OFFSET($S$266,0,0,1,$D$5*3),0)</f>
        <v>1</v>
      </c>
      <c r="BY265" s="25"/>
      <c r="BZ265" s="25"/>
      <c r="CA265" s="25">
        <f ca="1">RANK(CA266,OFFSET($S$266,0,0,1,$D$5*3),0)</f>
        <v>39</v>
      </c>
      <c r="CB265" s="25"/>
      <c r="CC265" s="25"/>
      <c r="CD265" s="25">
        <f ca="1">RANK(CD266,OFFSET($S$266,0,0,1,$D$5*3),0)</f>
        <v>24</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24</v>
      </c>
      <c r="CQ265" s="25"/>
      <c r="CR265" s="25"/>
      <c r="CS265" s="25">
        <f ca="1">RANK(CS266,OFFSET($S$266,0,0,1,$D$5*3),0)</f>
        <v>21</v>
      </c>
      <c r="CT265" s="25"/>
      <c r="CU265" s="25"/>
      <c r="CV265" s="25">
        <f ca="1">RANK(CV266,OFFSET($S$266,0,0,1,$D$5*3),0)</f>
        <v>24</v>
      </c>
      <c r="CW265" s="25"/>
      <c r="CX265" s="25"/>
      <c r="CY265" s="25">
        <f ca="1">RANK(CY266,OFFSET($S$266,0,0,1,$D$5*3),0)</f>
        <v>24</v>
      </c>
      <c r="CZ265" s="25"/>
      <c r="DA265" s="25"/>
      <c r="DB265" s="25">
        <f ca="1">RANK(DB266,OFFSET($S$266,0,0,1,$D$5*3),0)</f>
        <v>1</v>
      </c>
      <c r="DC265" s="25"/>
      <c r="DD265" s="25"/>
      <c r="DE265" s="25">
        <f ca="1">RANK(DE266,OFFSET($S$266,0,0,1,$D$5*3),0)</f>
        <v>24</v>
      </c>
      <c r="DF265" s="25"/>
      <c r="DG265" s="25"/>
      <c r="DH265" s="25">
        <f ca="1">RANK(DH266,OFFSET($S$266,0,0,1,$D$5*3),0)</f>
        <v>24</v>
      </c>
      <c r="DI265" s="25"/>
      <c r="DJ265" s="25"/>
      <c r="DK265" s="25">
        <f ca="1">RANK(DK266,OFFSET($S$266,0,0,1,$D$5*3),0)</f>
        <v>1</v>
      </c>
      <c r="DL265" s="25"/>
      <c r="DM265" s="25"/>
      <c r="DN265" s="25">
        <f ca="1">RANK(DN266,OFFSET($S$266,0,0,1,$D$5*3),0)</f>
        <v>21</v>
      </c>
      <c r="DO265" s="25"/>
      <c r="DP265" s="25"/>
      <c r="DQ265" s="25">
        <f ca="1">RANK(DQ266,OFFSET($S$266,0,0,1,$D$5*3),0)</f>
        <v>24</v>
      </c>
      <c r="DR265" s="25"/>
      <c r="DS265" s="25"/>
      <c r="DT265" s="25">
        <f ca="1">RANK(DT266,OFFSET($S$266,0,0,1,$D$5*3),0)</f>
        <v>21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24</v>
      </c>
      <c r="EG265" s="25"/>
      <c r="EH265" s="25"/>
      <c r="EI265" s="25">
        <f ca="1">RANK(EI266,OFFSET($S$266,0,0,1,$D$5*3),0)</f>
        <v>39</v>
      </c>
      <c r="EJ265" s="25"/>
      <c r="EK265" s="25"/>
      <c r="EL265" s="25">
        <f ca="1">RANK(EL266,OFFSET($S$266,0,0,1,$D$5*3),0)</f>
        <v>39</v>
      </c>
      <c r="EM265" s="25"/>
      <c r="EN265" s="25"/>
      <c r="EO265" s="25">
        <f ca="1">RANK(EO266,OFFSET($S$266,0,0,1,$D$5*3),0)</f>
        <v>39</v>
      </c>
      <c r="EP265" s="25"/>
      <c r="EQ265" s="25"/>
      <c r="ER265" s="25">
        <f ca="1">RANK(ER266,OFFSET($S$266,0,0,1,$D$5*3),0)</f>
        <v>39</v>
      </c>
      <c r="ES265" s="25"/>
      <c r="ET265" s="25"/>
      <c r="EU265" s="25">
        <f ca="1">RANK(EU266,OFFSET($S$266,0,0,1,$D$5*3),0)</f>
        <v>39</v>
      </c>
      <c r="EV265" s="25"/>
      <c r="EW265" s="25"/>
      <c r="EX265" s="25">
        <f ca="1">RANK(EX266,OFFSET($S$266,0,0,1,$D$5*3),0)</f>
        <v>39</v>
      </c>
      <c r="EY265" s="25"/>
      <c r="EZ265" s="25"/>
      <c r="FA265" s="25">
        <f ca="1">RANK(FA266,OFFSET($S$266,0,0,1,$D$5*3),0)</f>
        <v>39</v>
      </c>
      <c r="FB265" s="25"/>
      <c r="FC265" s="25"/>
      <c r="FD265" s="25">
        <f ca="1">RANK(FD266,OFFSET($S$266,0,0,1,$D$5*3),0)</f>
        <v>39</v>
      </c>
      <c r="FE265" s="25"/>
      <c r="FF265" s="25"/>
      <c r="FG265" s="25">
        <f ca="1">RANK(FG266,OFFSET($S$266,0,0,1,$D$5*3),0)</f>
        <v>39</v>
      </c>
      <c r="FH265" s="25"/>
      <c r="FI265" s="25"/>
      <c r="FJ265" s="25">
        <f ca="1">RANK(FJ266,OFFSET($S$266,0,0,1,$D$5*3),0)</f>
        <v>39</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1</v>
      </c>
      <c r="T266" s="25"/>
      <c r="U266" s="25"/>
      <c r="V266" s="25">
        <f ca="1">SUMIFS((W6:W259),$H$6:$H$259,$M$262)</f>
        <v>1</v>
      </c>
      <c r="W266" s="25"/>
      <c r="X266" s="25"/>
      <c r="Y266" s="25">
        <f ca="1">SUMIFS((Z6:Z259),$H$6:$H$259,$M$262)</f>
        <v>4</v>
      </c>
      <c r="Z266" s="25"/>
      <c r="AA266" s="25"/>
      <c r="AB266" s="25">
        <f ca="1">SUMIFS((AC6:AC259),$H$6:$H$259,$M$262)</f>
        <v>4</v>
      </c>
      <c r="AC266" s="25"/>
      <c r="AD266" s="25"/>
      <c r="AE266" s="25">
        <f ca="1">SUMIFS((AF6:AF259),$H$6:$H$259,$M$262)</f>
        <v>4</v>
      </c>
      <c r="AF266" s="25"/>
      <c r="AG266" s="25"/>
      <c r="AH266" s="25">
        <f ca="1">SUMIFS((AI6:AI259),$H$6:$H$259,$M$262)</f>
        <v>4</v>
      </c>
      <c r="AI266" s="25"/>
      <c r="AJ266" s="25"/>
      <c r="AK266" s="25">
        <f ca="1">SUMIFS((AL6:AL259),$H$6:$H$259,$M$262)</f>
        <v>1</v>
      </c>
      <c r="AL266" s="25"/>
      <c r="AM266" s="25"/>
      <c r="AN266" s="25">
        <f ca="1">SUMIFS((AO6:AO259),$H$6:$H$259,$M$262)</f>
        <v>4</v>
      </c>
      <c r="AO266" s="25"/>
      <c r="AP266" s="25"/>
      <c r="AQ266" s="25">
        <f ca="1">SUMIFS((AR6:AR259),$H$6:$H$259,$M$262)</f>
        <v>4</v>
      </c>
      <c r="AR266" s="25"/>
      <c r="AS266" s="25"/>
      <c r="AT266" s="25">
        <f ca="1">SUMIFS((AU6:AU259),$H$6:$H$259,$M$262)</f>
        <v>1</v>
      </c>
      <c r="AU266" s="25"/>
      <c r="AV266" s="25"/>
      <c r="AW266" s="25">
        <f ca="1">SUMIFS((AX6:AX259),$H$6:$H$259,$M$262)</f>
        <v>4</v>
      </c>
      <c r="AX266" s="25"/>
      <c r="AY266" s="25"/>
      <c r="AZ266" s="25">
        <f ca="1">SUMIFS((BA6:BA259),$H$6:$H$259,$M$262)</f>
        <v>1</v>
      </c>
      <c r="BA266" s="25"/>
      <c r="BB266" s="25"/>
      <c r="BC266" s="25">
        <f ca="1">SUMIFS((BD6:BD259),$H$6:$H$259,$M$262)</f>
        <v>1</v>
      </c>
      <c r="BD266" s="25"/>
      <c r="BE266" s="25"/>
      <c r="BF266" s="25">
        <f ca="1">SUMIFS((BG6:BG259),$H$6:$H$259,$M$262)</f>
        <v>4</v>
      </c>
      <c r="BG266" s="25"/>
      <c r="BH266" s="25"/>
      <c r="BI266" s="25">
        <f ca="1">SUMIFS((BJ6:BJ259),$H$6:$H$259,$M$262)</f>
        <v>4</v>
      </c>
      <c r="BJ266" s="25"/>
      <c r="BK266" s="25"/>
      <c r="BL266" s="25">
        <f ca="1">SUMIFS((BM6:BM259),$H$6:$H$259,$M$262)</f>
        <v>0</v>
      </c>
      <c r="BM266" s="25"/>
      <c r="BN266" s="25"/>
      <c r="BO266" s="25">
        <f ca="1">SUMIFS((BP6:BP259),$H$6:$H$259,$M$262)</f>
        <v>4</v>
      </c>
      <c r="BP266" s="25"/>
      <c r="BQ266" s="25"/>
      <c r="BR266" s="25">
        <f ca="1">SUMIFS((BS6:BS259),$H$6:$H$259,$M$262)</f>
        <v>4</v>
      </c>
      <c r="BS266" s="25"/>
      <c r="BT266" s="25"/>
      <c r="BU266" s="25">
        <f ca="1">SUMIFS((BV6:BV259),$H$6:$H$259,$M$262)</f>
        <v>1</v>
      </c>
      <c r="BV266" s="25"/>
      <c r="BW266" s="25"/>
      <c r="BX266" s="25">
        <f ca="1">SUMIFS((BY6:BY259),$H$6:$H$259,$M$262)</f>
        <v>4</v>
      </c>
      <c r="BY266" s="25"/>
      <c r="BZ266" s="25"/>
      <c r="CA266" s="25">
        <f ca="1">SUMIFS((CB6:CB259),$H$6:$H$259,$M$262)</f>
        <v>0</v>
      </c>
      <c r="CB266" s="25"/>
      <c r="CC266" s="25"/>
      <c r="CD266" s="25">
        <f ca="1">SUMIFS((CE6:CE259),$H$6:$H$259,$M$262)</f>
        <v>1</v>
      </c>
      <c r="CE266" s="25"/>
      <c r="CF266" s="25"/>
      <c r="CG266" s="25">
        <f ca="1">SUMIFS((CH6:CH259),$H$6:$H$259,$M$262)</f>
        <v>4</v>
      </c>
      <c r="CH266" s="25"/>
      <c r="CI266" s="25"/>
      <c r="CJ266" s="25">
        <f ca="1">SUMIFS((CK6:CK259),$H$6:$H$259,$M$262)</f>
        <v>4</v>
      </c>
      <c r="CK266" s="25"/>
      <c r="CL266" s="25"/>
      <c r="CM266" s="25">
        <f ca="1">SUMIFS((CN6:CN259),$H$6:$H$259,$M$262)</f>
        <v>4</v>
      </c>
      <c r="CN266" s="25"/>
      <c r="CO266" s="25"/>
      <c r="CP266" s="25">
        <f ca="1">SUMIFS((CQ6:CQ259),$H$6:$H$259,$M$262)</f>
        <v>1</v>
      </c>
      <c r="CQ266" s="25"/>
      <c r="CR266" s="25"/>
      <c r="CS266" s="25">
        <f ca="1">SUMIFS((CT6:CT259),$H$6:$H$259,$M$262)</f>
        <v>2</v>
      </c>
      <c r="CT266" s="25"/>
      <c r="CU266" s="25"/>
      <c r="CV266" s="25">
        <f ca="1">SUMIFS((CW6:CW259),$H$6:$H$259,$M$262)</f>
        <v>1</v>
      </c>
      <c r="CW266" s="25"/>
      <c r="CX266" s="25"/>
      <c r="CY266" s="25">
        <f ca="1">SUMIFS((CZ6:CZ259),$H$6:$H$259,$M$262)</f>
        <v>1</v>
      </c>
      <c r="CZ266" s="25"/>
      <c r="DA266" s="25"/>
      <c r="DB266" s="25">
        <f ca="1">SUMIFS((DC6:DC259),$H$6:$H$259,$M$262)</f>
        <v>4</v>
      </c>
      <c r="DC266" s="25"/>
      <c r="DD266" s="25"/>
      <c r="DE266" s="25">
        <f ca="1">SUMIFS((DF6:DF259),$H$6:$H$259,$M$262)</f>
        <v>1</v>
      </c>
      <c r="DF266" s="25"/>
      <c r="DG266" s="25"/>
      <c r="DH266" s="25">
        <f ca="1">SUMIFS((DI6:DI259),$H$6:$H$259,$M$262)</f>
        <v>1</v>
      </c>
      <c r="DI266" s="25"/>
      <c r="DJ266" s="25"/>
      <c r="DK266" s="25">
        <f ca="1">SUMIFS((DL6:DL259),$H$6:$H$259,$M$262)</f>
        <v>4</v>
      </c>
      <c r="DL266" s="25"/>
      <c r="DM266" s="25"/>
      <c r="DN266" s="25">
        <f ca="1">SUMIFS((DO6:DO259),$H$6:$H$259,$M$262)</f>
        <v>2</v>
      </c>
      <c r="DO266" s="25"/>
      <c r="DP266" s="25"/>
      <c r="DQ266" s="25">
        <f ca="1">SUMIFS((DR6:DR259),$H$6:$H$259,$M$262)</f>
        <v>1</v>
      </c>
      <c r="DR266" s="25"/>
      <c r="DS266" s="25"/>
      <c r="DT266" s="25">
        <f ca="1">SUMIFS((DU6:DU259),$H$6:$H$259,$M$262)</f>
        <v>2</v>
      </c>
      <c r="DU266" s="25"/>
      <c r="DV266" s="25"/>
      <c r="DW266" s="25">
        <f ca="1">SUMIFS((DX6:DX259),$H$6:$H$259,$M$262)</f>
        <v>4</v>
      </c>
      <c r="DX266" s="25"/>
      <c r="DY266" s="25"/>
      <c r="DZ266" s="25">
        <f ca="1">SUMIFS((EA6:EA259),$H$6:$H$259,$M$262)</f>
        <v>4</v>
      </c>
      <c r="EA266" s="25"/>
      <c r="EB266" s="25"/>
      <c r="EC266" s="25">
        <f ca="1">SUMIFS((ED6:ED259),$H$6:$H$259,$M$262)</f>
        <v>4</v>
      </c>
      <c r="ED266" s="25"/>
      <c r="EE266" s="25"/>
      <c r="EF266" s="25">
        <f ca="1">SUMIFS((EG6:EG259),$H$6:$H$259,$M$262)</f>
        <v>1</v>
      </c>
      <c r="EG266" s="25"/>
      <c r="EH266" s="25"/>
      <c r="EI266" s="25">
        <f ca="1">SUMIFS((EJ6:EJ259),$H$6:$H$259,$M$262)</f>
        <v>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Pegar Valores Nombre J41</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abSelected="1"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Jaime Lafuente</v>
      </c>
      <c r="D5" s="91">
        <f ca="1">IFERROR(HLOOKUP(A5,Rango_Admin_Clas,4,FALSE),"-")</f>
        <v>8</v>
      </c>
      <c r="E5" s="92" cm="1">
        <f t="array" aca="1" ref="E5" ca="1">IFERROR(INDEX(Rango_Admin_Clas_Total,E$2,MATCH($A5,Rango_Admin_Clas_Primera,0)+1),"-")</f>
        <v>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Jaime García de la Riva</v>
      </c>
      <c r="D6" s="91">
        <f ca="1">IFERROR(HLOOKUP(A6,Rango_Admin_Clas,4,FALSE),"-")</f>
        <v>6</v>
      </c>
      <c r="E6" s="92" cm="1">
        <f t="array" aca="1" ref="E6" ca="1">IFERROR(INDEX(Rango_Admin_Clas_Total,E$2,MATCH($A6,Rango_Admin_Clas_Primera,0)+1),"-")</f>
        <v>6</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Florentino Netanyahu</v>
      </c>
      <c r="D7" s="91">
        <f ca="1">IFERROR(HLOOKUP(A7,Rango_Admin_Clas,4,FALSE),"-")</f>
        <v>6</v>
      </c>
      <c r="E7" s="92" cm="1">
        <f t="array" aca="1" ref="E7" ca="1">IFERROR(INDEX(Rango_Admin_Clas_Total,E$2,MATCH($A7,Rango_Admin_Clas_Primera,0)+1),"-")</f>
        <v>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2</v>
      </c>
      <c r="C8" s="18" t="str">
        <f ca="1">IFERROR(HLOOKUP(A8,Rango_Admin_Clas,5,FALSE),"-")</f>
        <v>IGNACIO LAFUENTE</v>
      </c>
      <c r="D8" s="91">
        <f ca="1">IFERROR(HLOOKUP(A8,Rango_Admin_Clas,4,FALSE),"-")</f>
        <v>6</v>
      </c>
      <c r="E8" s="92" cm="1">
        <f t="array" aca="1" ref="E8" ca="1">IFERROR(INDEX(Rango_Admin_Clas_Total,E$2,MATCH($A8,Rango_Admin_Clas_Primera,0)+1),"-")</f>
        <v>6</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Carlos Murciano</v>
      </c>
      <c r="D9" s="91">
        <f ca="1">IFERROR(HLOOKUP(A9,Rango_Admin_Clas,4,FALSE),"-")</f>
        <v>5</v>
      </c>
      <c r="E9" s="92" cm="1">
        <f t="array" aca="1" ref="E9" ca="1">IFERROR(INDEX(Rango_Admin_Clas_Total,E$2,MATCH($A9,Rango_Admin_Clas_Primera,0)+1),"-")</f>
        <v>5</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KIRICOCHO</v>
      </c>
      <c r="D10" s="91">
        <f ca="1">IFERROR(HLOOKUP(A10,Rango_Admin_Clas,4,FALSE),"-")</f>
        <v>5</v>
      </c>
      <c r="E10" s="92" cm="1">
        <f t="array" aca="1" ref="E10" ca="1">IFERROR(INDEX(Rango_Admin_Clas_Total,E$2,MATCH($A10,Rango_Admin_Clas_Primera,0)+1),"-")</f>
        <v>5</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Alejandro Lafuente</v>
      </c>
      <c r="D11" s="91">
        <f ca="1">IFERROR(HLOOKUP(A11,Rango_Admin_Clas,4,FALSE),"-")</f>
        <v>4</v>
      </c>
      <c r="E11" s="92" cm="1">
        <f t="array" aca="1" ref="E11" ca="1">IFERROR(INDEX(Rango_Admin_Clas_Total,E$2,MATCH($A11,Rango_Admin_Clas_Primera,0)+1),"-")</f>
        <v>4</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7</v>
      </c>
      <c r="C12" s="18" t="str">
        <f ca="1">IFERROR(HLOOKUP(A12,Rango_Admin_Clas,5,FALSE),"-")</f>
        <v>Pastor</v>
      </c>
      <c r="D12" s="91">
        <f ca="1">IFERROR(HLOOKUP(A12,Rango_Admin_Clas,4,FALSE),"-")</f>
        <v>4</v>
      </c>
      <c r="E12" s="92" cm="1">
        <f t="array" aca="1" ref="E12" ca="1">IFERROR(INDEX(Rango_Admin_Clas_Total,E$2,MATCH($A12,Rango_Admin_Clas_Primera,0)+1),"-")</f>
        <v>4</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7</v>
      </c>
      <c r="C13" s="18" t="str">
        <f ca="1">IFERROR(HLOOKUP(A13,Rango_Admin_Clas,5,FALSE),"-")</f>
        <v>Antonio Zulueta Ramos</v>
      </c>
      <c r="D13" s="91">
        <f ca="1">IFERROR(HLOOKUP(A13,Rango_Admin_Clas,4,FALSE),"-")</f>
        <v>4</v>
      </c>
      <c r="E13" s="92" cm="1">
        <f t="array" aca="1" ref="E13" ca="1">IFERROR(INDEX(Rango_Admin_Clas_Total,E$2,MATCH($A13,Rango_Admin_Clas_Primera,0)+1),"-")</f>
        <v>4</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7</v>
      </c>
      <c r="C14" s="18" t="str">
        <f ca="1">IFERROR(HLOOKUP(A14,Rango_Admin_Clas,5,FALSE),"-")</f>
        <v>Fercho Muro Matosex</v>
      </c>
      <c r="D14" s="91">
        <f ca="1">IFERROR(HLOOKUP(A14,Rango_Admin_Clas,4,FALSE),"-")</f>
        <v>4</v>
      </c>
      <c r="E14" s="92" cm="1">
        <f t="array" aca="1" ref="E14" ca="1">IFERROR(INDEX(Rango_Admin_Clas_Total,E$2,MATCH($A14,Rango_Admin_Clas_Primera,0)+1),"-")</f>
        <v>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7</v>
      </c>
      <c r="C15" s="18" t="str">
        <f ca="1">IFERROR(HLOOKUP(A15,Rango_Admin_Clas,5,FALSE),"-")</f>
        <v>JCU</v>
      </c>
      <c r="D15" s="91">
        <f ca="1">IFERROR(HLOOKUP(A15,Rango_Admin_Clas,4,FALSE),"-")</f>
        <v>4</v>
      </c>
      <c r="E15" s="92" cm="1">
        <f t="array" aca="1" ref="E15" ca="1">IFERROR(INDEX(Rango_Admin_Clas_Total,E$2,MATCH($A15,Rango_Admin_Clas_Primera,0)+1),"-")</f>
        <v>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7</v>
      </c>
      <c r="C16" s="18" t="str">
        <f ca="1">IFERROR(HLOOKUP(A16,Rango_Admin_Clas,5,FALSE),"-")</f>
        <v>Joserra</v>
      </c>
      <c r="D16" s="91">
        <f ca="1">IFERROR(HLOOKUP(A16,Rango_Admin_Clas,4,FALSE),"-")</f>
        <v>4</v>
      </c>
      <c r="E16" s="92" cm="1">
        <f t="array" aca="1" ref="E16" ca="1">IFERROR(INDEX(Rango_Admin_Clas_Total,E$2,MATCH($A16,Rango_Admin_Clas_Primera,0)+1),"-")</f>
        <v>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7</v>
      </c>
      <c r="C17" s="18" t="str">
        <f ca="1">IFERROR(HLOOKUP(A17,Rango_Admin_Clas,5,FALSE),"-")</f>
        <v>Antonio del Ojo</v>
      </c>
      <c r="D17" s="91">
        <f ca="1">IFERROR(HLOOKUP(A17,Rango_Admin_Clas,4,FALSE),"-")</f>
        <v>4</v>
      </c>
      <c r="E17" s="92" cm="1">
        <f t="array" aca="1" ref="E17" ca="1">IFERROR(INDEX(Rango_Admin_Clas_Total,E$2,MATCH($A17,Rango_Admin_Clas_Primera,0)+1),"-")</f>
        <v>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7</v>
      </c>
      <c r="C18" s="18" t="str">
        <f ca="1">IFERROR(HLOOKUP(A18,Rango_Admin_Clas,5,FALSE),"-")</f>
        <v>MURO 204</v>
      </c>
      <c r="D18" s="91">
        <f ca="1">IFERROR(HLOOKUP(A18,Rango_Admin_Clas,4,FALSE),"-")</f>
        <v>4</v>
      </c>
      <c r="E18" s="92" cm="1">
        <f t="array" aca="1" ref="E18" ca="1">IFERROR(INDEX(Rango_Admin_Clas_Total,E$2,MATCH($A18,Rango_Admin_Clas_Primera,0)+1),"-")</f>
        <v>4</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7</v>
      </c>
      <c r="C19" s="18" t="str">
        <f ca="1">IFERROR(HLOOKUP(A19,Rango_Admin_Clas,5,FALSE),"-")</f>
        <v>Miguel San Martín</v>
      </c>
      <c r="D19" s="91">
        <f ca="1">IFERROR(HLOOKUP(A19,Rango_Admin_Clas,4,FALSE),"-")</f>
        <v>4</v>
      </c>
      <c r="E19" s="92" cm="1">
        <f t="array" aca="1" ref="E19" ca="1">IFERROR(INDEX(Rango_Admin_Clas_Total,E$2,MATCH($A19,Rango_Admin_Clas_Primera,0)+1),"-")</f>
        <v>4</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7</v>
      </c>
      <c r="C20" s="18" t="str">
        <f ca="1">IFERROR(HLOOKUP(A20,Rango_Admin_Clas,5,FALSE),"-")</f>
        <v>Pablo C</v>
      </c>
      <c r="D20" s="91">
        <f ca="1">IFERROR(HLOOKUP(A20,Rango_Admin_Clas,4,FALSE),"-")</f>
        <v>4</v>
      </c>
      <c r="E20" s="92" cm="1">
        <f t="array" aca="1" ref="E20" ca="1">IFERROR(INDEX(Rango_Admin_Clas_Total,E$2,MATCH($A20,Rango_Admin_Clas_Primera,0)+1),"-")</f>
        <v>4</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7</v>
      </c>
      <c r="C21" s="18" t="str">
        <f ca="1">IFERROR(HLOOKUP(A21,Rango_Admin_Clas,5,FALSE),"-")</f>
        <v>Lucas Oriol</v>
      </c>
      <c r="D21" s="91">
        <f ca="1">IFERROR(HLOOKUP(A21,Rango_Admin_Clas,4,FALSE),"-")</f>
        <v>4</v>
      </c>
      <c r="E21" s="92" cm="1">
        <f t="array" aca="1" ref="E21" ca="1">IFERROR(INDEX(Rango_Admin_Clas_Total,E$2,MATCH($A21,Rango_Admin_Clas_Primera,0)+1),"-")</f>
        <v>4</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7</v>
      </c>
      <c r="C22" s="18" t="str">
        <f ca="1">IFERROR(HLOOKUP(A22,Rango_Admin_Clas,5,FALSE),"-")</f>
        <v>YTD</v>
      </c>
      <c r="D22" s="91">
        <f ca="1">IFERROR(HLOOKUP(A22,Rango_Admin_Clas,4,FALSE),"-")</f>
        <v>4</v>
      </c>
      <c r="E22" s="92" cm="1">
        <f t="array" aca="1" ref="E22" ca="1">IFERROR(INDEX(Rango_Admin_Clas_Total,E$2,MATCH($A22,Rango_Admin_Clas_Primera,0)+1),"-")</f>
        <v>4</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7</v>
      </c>
      <c r="C23" s="18" t="str">
        <f ca="1">IFERROR(HLOOKUP(A23,Rango_Admin_Clas,5,FALSE),"-")</f>
        <v>Fernando Carlos García-Ramos Redondo</v>
      </c>
      <c r="D23" s="91">
        <f ca="1">IFERROR(HLOOKUP(A23,Rango_Admin_Clas,4,FALSE),"-")</f>
        <v>4</v>
      </c>
      <c r="E23" s="92" cm="1">
        <f t="array" aca="1" ref="E23" ca="1">IFERROR(INDEX(Rango_Admin_Clas_Total,E$2,MATCH($A23,Rango_Admin_Clas_Primera,0)+1),"-")</f>
        <v>4</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7</v>
      </c>
      <c r="C24" s="18" t="str">
        <f ca="1">IFERROR(HLOOKUP(A24,Rango_Admin_Clas,5,FALSE),"-")</f>
        <v>Gratacós</v>
      </c>
      <c r="D24" s="91">
        <f ca="1">IFERROR(HLOOKUP(A24,Rango_Admin_Clas,4,FALSE),"-")</f>
        <v>4</v>
      </c>
      <c r="E24" s="92" cm="1">
        <f t="array" aca="1" ref="E24" ca="1">IFERROR(INDEX(Rango_Admin_Clas_Total,E$2,MATCH($A24,Rango_Admin_Clas_Primera,0)+1),"-")</f>
        <v>4</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7</v>
      </c>
      <c r="C25" s="18" t="str">
        <f ca="1">IFERROR(HLOOKUP(A25,Rango_Admin_Clas,5,FALSE),"-")</f>
        <v>DIDI</v>
      </c>
      <c r="D25" s="91">
        <f ca="1">IFERROR(HLOOKUP(A25,Rango_Admin_Clas,4,FALSE),"-")</f>
        <v>4</v>
      </c>
      <c r="E25" s="92" cm="1">
        <f t="array" aca="1" ref="E25" ca="1">IFERROR(INDEX(Rango_Admin_Clas_Total,E$2,MATCH($A25,Rango_Admin_Clas_Primera,0)+1),"-")</f>
        <v>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7</v>
      </c>
      <c r="C26" s="18" t="str">
        <f ca="1">IFERROR(HLOOKUP(A26,Rango_Admin_Clas,5,FALSE),"-")</f>
        <v xml:space="preserve">Ignacio Núñez </v>
      </c>
      <c r="D26" s="91">
        <f ca="1">IFERROR(HLOOKUP(A26,Rango_Admin_Clas,4,FALSE),"-")</f>
        <v>4</v>
      </c>
      <c r="E26" s="92" cm="1">
        <f t="array" aca="1" ref="E26" ca="1">IFERROR(INDEX(Rango_Admin_Clas_Total,E$2,MATCH($A26,Rango_Admin_Clas_Primera,0)+1),"-")</f>
        <v>4</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Admin</v>
      </c>
      <c r="D27" s="91">
        <f ca="1">IFERROR(HLOOKUP(A27,Rango_Admin_Clas,4,FALSE),"-")</f>
        <v>2</v>
      </c>
      <c r="E27" s="92" cm="1">
        <f t="array" aca="1" ref="E27" ca="1">IFERROR(INDEX(Rango_Admin_Clas_Total,E$2,MATCH($A27,Rango_Admin_Clas_Primera,0)+1),"-")</f>
        <v>2</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Kurtischamp</v>
      </c>
      <c r="D28" s="91">
        <f ca="1">IFERROR(HLOOKUP(A28,Rango_Admin_Clas,4,FALSE),"-")</f>
        <v>2</v>
      </c>
      <c r="E28" s="92" cm="1">
        <f t="array" aca="1" ref="E28" ca="1">IFERROR(INDEX(Rango_Admin_Clas_Total,E$2,MATCH($A28,Rango_Admin_Clas_Primera,0)+1),"-")</f>
        <v>2</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23</v>
      </c>
      <c r="C29" s="18" t="str">
        <f ca="1">IFERROR(HLOOKUP(A29,Rango_Admin_Clas,5,FALSE),"-")</f>
        <v>Miguel Suárez-Zuloaga</v>
      </c>
      <c r="D29" s="91">
        <f ca="1">IFERROR(HLOOKUP(A29,Rango_Admin_Clas,4,FALSE),"-")</f>
        <v>2</v>
      </c>
      <c r="E29" s="92" cm="1">
        <f t="array" aca="1" ref="E29" ca="1">IFERROR(INDEX(Rango_Admin_Clas_Total,E$2,MATCH($A29,Rango_Admin_Clas_Primera,0)+1),"-")</f>
        <v>2</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23</v>
      </c>
      <c r="C30" s="18" t="str">
        <f ca="1">IFERROR(HLOOKUP(A30,Rango_Admin_Clas,5,FALSE),"-")</f>
        <v>AD Monchus</v>
      </c>
      <c r="D30" s="91">
        <f ca="1">IFERROR(HLOOKUP(A30,Rango_Admin_Clas,4,FALSE),"-")</f>
        <v>2</v>
      </c>
      <c r="E30" s="92" cm="1">
        <f t="array" aca="1" ref="E30" ca="1">IFERROR(INDEX(Rango_Admin_Clas_Total,E$2,MATCH($A30,Rango_Admin_Clas_Primera,0)+1),"-")</f>
        <v>2</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23</v>
      </c>
      <c r="C31" s="18" t="str">
        <f ca="1">IFERROR(HLOOKUP(A31,Rango_Admin_Clas,5,FALSE),"-")</f>
        <v xml:space="preserve">Martín Matoses </v>
      </c>
      <c r="D31" s="91">
        <f ca="1">IFERROR(HLOOKUP(A31,Rango_Admin_Clas,4,FALSE),"-")</f>
        <v>2</v>
      </c>
      <c r="E31" s="92" cm="1">
        <f t="array" aca="1" ref="E31" ca="1">IFERROR(INDEX(Rango_Admin_Clas_Total,E$2,MATCH($A31,Rango_Admin_Clas_Primera,0)+1),"-")</f>
        <v>2</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Luis B</v>
      </c>
      <c r="D32" s="91">
        <f ca="1">IFERROR(HLOOKUP(A32,Rango_Admin_Clas,4,FALSE),"-")</f>
        <v>1</v>
      </c>
      <c r="E32" s="92" cm="1">
        <f t="array" aca="1" ref="E32" ca="1">IFERROR(INDEX(Rango_Admin_Clas_Total,E$2,MATCH($A32,Rango_Admin_Clas_Primera,0)+1),"-")</f>
        <v>1</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28</v>
      </c>
      <c r="C33" s="18" t="str">
        <f ca="1">IFERROR(HLOOKUP(A33,Rango_Admin_Clas,5,FALSE),"-")</f>
        <v>Nacho Novo</v>
      </c>
      <c r="D33" s="91">
        <f ca="1">IFERROR(HLOOKUP(A33,Rango_Admin_Clas,4,FALSE),"-")</f>
        <v>1</v>
      </c>
      <c r="E33" s="92" cm="1">
        <f t="array" aca="1" ref="E33" ca="1">IFERROR(INDEX(Rango_Admin_Clas_Total,E$2,MATCH($A33,Rango_Admin_Clas_Primera,0)+1),"-")</f>
        <v>1</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28</v>
      </c>
      <c r="C34" s="18" t="str">
        <f ca="1">IFERROR(HLOOKUP(A34,Rango_Admin_Clas,5,FALSE),"-")</f>
        <v>Chente Muñoz</v>
      </c>
      <c r="D34" s="91">
        <f ca="1">IFERROR(HLOOKUP(A34,Rango_Admin_Clas,4,FALSE),"-")</f>
        <v>1</v>
      </c>
      <c r="E34" s="92" cm="1">
        <f t="array" aca="1" ref="E34" ca="1">IFERROR(INDEX(Rango_Admin_Clas_Total,E$2,MATCH($A34,Rango_Admin_Clas_Primera,0)+1),"-")</f>
        <v>1</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28</v>
      </c>
      <c r="C35" s="18" t="str">
        <f ca="1">IFERROR(HLOOKUP(A35,Rango_Admin_Clas,5,FALSE),"-")</f>
        <v>Guillermo Murciano</v>
      </c>
      <c r="D35" s="91">
        <f ca="1">IFERROR(HLOOKUP(A35,Rango_Admin_Clas,4,FALSE),"-")</f>
        <v>1</v>
      </c>
      <c r="E35" s="92" cm="1">
        <f t="array" aca="1" ref="E35" ca="1">IFERROR(INDEX(Rango_Admin_Clas_Total,E$2,MATCH($A35,Rango_Admin_Clas_Primera,0)+1),"-")</f>
        <v>1</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28</v>
      </c>
      <c r="C36" s="18" t="str">
        <f ca="1">IFERROR(HLOOKUP(A36,Rango_Admin_Clas,5,FALSE),"-")</f>
        <v>Ignacio de Lecea</v>
      </c>
      <c r="D36" s="91">
        <f ca="1">IFERROR(HLOOKUP(A36,Rango_Admin_Clas,4,FALSE),"-")</f>
        <v>1</v>
      </c>
      <c r="E36" s="92" cm="1">
        <f t="array" aca="1" ref="E36" ca="1">IFERROR(INDEX(Rango_Admin_Clas_Total,E$2,MATCH($A36,Rango_Admin_Clas_Primera,0)+1),"-")</f>
        <v>1</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28</v>
      </c>
      <c r="C37" s="18" t="str">
        <f ca="1">IFERROR(HLOOKUP(A37,Rango_Admin_Clas,5,FALSE),"-")</f>
        <v>Hulk Rexach</v>
      </c>
      <c r="D37" s="91">
        <f ca="1">IFERROR(HLOOKUP(A37,Rango_Admin_Clas,4,FALSE),"-")</f>
        <v>1</v>
      </c>
      <c r="E37" s="92" cm="1">
        <f t="array" aca="1" ref="E37" ca="1">IFERROR(INDEX(Rango_Admin_Clas_Total,E$2,MATCH($A37,Rango_Admin_Clas_Primera,0)+1),"-")</f>
        <v>1</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28</v>
      </c>
      <c r="C38" s="18" t="str">
        <f ca="1">IFERROR(HLOOKUP(A38,Rango_Admin_Clas,5,FALSE),"-")</f>
        <v>bau</v>
      </c>
      <c r="D38" s="91">
        <f ca="1">IFERROR(HLOOKUP(A38,Rango_Admin_Clas,4,FALSE),"-")</f>
        <v>1</v>
      </c>
      <c r="E38" s="92" cm="1">
        <f t="array" aca="1" ref="E38" ca="1">IFERROR(INDEX(Rango_Admin_Clas_Total,E$2,MATCH($A38,Rango_Admin_Clas_Primera,0)+1),"-")</f>
        <v>1</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28</v>
      </c>
      <c r="C39" s="18" t="str">
        <f ca="1">IFERROR(HLOOKUP(A39,Rango_Admin_Clas,5,FALSE),"-")</f>
        <v>William Hartley</v>
      </c>
      <c r="D39" s="91">
        <f ca="1">IFERROR(HLOOKUP(A39,Rango_Admin_Clas,4,FALSE),"-")</f>
        <v>1</v>
      </c>
      <c r="E39" s="92" cm="1">
        <f t="array" aca="1" ref="E39" ca="1">IFERROR(INDEX(Rango_Admin_Clas_Total,E$2,MATCH($A39,Rango_Admin_Clas_Primera,0)+1),"-")</f>
        <v>1</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28</v>
      </c>
      <c r="C40" s="18" t="str">
        <f ca="1">IFERROR(HLOOKUP(A40,Rango_Admin_Clas,5,FALSE),"-")</f>
        <v>BeliBeltrán</v>
      </c>
      <c r="D40" s="91">
        <f ca="1">IFERROR(HLOOKUP(A40,Rango_Admin_Clas,4,FALSE),"-")</f>
        <v>1</v>
      </c>
      <c r="E40" s="92" cm="1">
        <f t="array" aca="1" ref="E40" ca="1">IFERROR(INDEX(Rango_Admin_Clas_Total,E$2,MATCH($A40,Rango_Admin_Clas_Primera,0)+1),"-")</f>
        <v>1</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28</v>
      </c>
      <c r="C41" s="18" t="str">
        <f ca="1">IFERROR(HLOOKUP(A41,Rango_Admin_Clas,5,FALSE),"-")</f>
        <v>Vicuinho</v>
      </c>
      <c r="D41" s="91">
        <f ca="1">IFERROR(HLOOKUP(A41,Rango_Admin_Clas,4,FALSE),"-")</f>
        <v>1</v>
      </c>
      <c r="E41" s="92" cm="1">
        <f t="array" aca="1" ref="E41" ca="1">IFERROR(INDEX(Rango_Admin_Clas_Total,E$2,MATCH($A41,Rango_Admin_Clas_Primera,0)+1),"-")</f>
        <v>1</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28</v>
      </c>
      <c r="C42" s="18" t="str">
        <f ca="1">IFERROR(HLOOKUP(A42,Rango_Admin_Clas,5,FALSE),"-")</f>
        <v>JUAN SOLAS</v>
      </c>
      <c r="D42" s="91">
        <f ca="1">IFERROR(HLOOKUP(A42,Rango_Admin_Clas,4,FALSE),"-")</f>
        <v>1</v>
      </c>
      <c r="E42" s="92" cm="1">
        <f t="array" aca="1" ref="E42" ca="1">IFERROR(INDEX(Rango_Admin_Clas_Total,E$2,MATCH($A42,Rango_Admin_Clas_Primera,0)+1),"-")</f>
        <v>1</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28</v>
      </c>
      <c r="C43" s="18" t="str">
        <f ca="1">IFERROR(HLOOKUP(A43,Rango_Admin_Clas,5,FALSE),"-")</f>
        <v>Ricardo Soto</v>
      </c>
      <c r="D43" s="91">
        <f ca="1">IFERROR(HLOOKUP(A43,Rango_Admin_Clas,4,FALSE),"-")</f>
        <v>1</v>
      </c>
      <c r="E43" s="92" cm="1">
        <f t="array" aca="1" ref="E43" ca="1">IFERROR(INDEX(Rango_Admin_Clas_Total,E$2,MATCH($A43,Rango_Admin_Clas_Primera,0)+1),"-")</f>
        <v>1</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Migay Marcos</v>
      </c>
      <c r="D44" s="91">
        <f ca="1">IFERROR(HLOOKUP(A44,Rango_Admin_Clas,4,FALSE),"-")</f>
        <v>0</v>
      </c>
      <c r="E44" s="92" cm="1">
        <f t="array" aca="1" ref="E44" ca="1">IFERROR(INDEX(Rango_Admin_Clas_Total,E$2,MATCH($A44,Rango_Admin_Clas_Primera,0)+1),"-")</f>
        <v>0</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40</v>
      </c>
      <c r="C45" s="18" t="str">
        <f ca="1">IFERROR(HLOOKUP(A45,Rango_Admin_Clas,5,FALSE),"-")</f>
        <v>Pegar Valores Nombre J41</v>
      </c>
      <c r="D45" s="91">
        <f ca="1">IFERROR(HLOOKUP(A45,Rango_Admin_Clas,4,FALSE),"-")</f>
        <v>0</v>
      </c>
      <c r="E45" s="92" cm="1">
        <f t="array" aca="1" ref="E45" ca="1">IFERROR(INDEX(Rango_Admin_Clas_Total,E$2,MATCH($A45,Rango_Admin_Clas_Primera,0)+1),"-")</f>
        <v>0</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40</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40</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40</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40</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40</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40</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40</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40</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40</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 sqref="I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México-Sudáfrica
 (1|2-0)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México-Sudáfrica</v>
      </c>
      <c r="B4" s="8" t="str">
        <f ca="1">A4&amp;CHAR(10)&amp;C4</f>
        <v>México-Sudáfrica
 (1|2-0)</v>
      </c>
      <c r="C4" s="8" t="str" cm="1">
        <f t="array" aca="1" ref="C4" ca="1">IFERROR(IF(INDEX(ADMIN!$M$6:$M$258,SMALL(IF(ADMIN!$G$6:$G$258=$J$1,ROW(ADMIN!$G$6:$G$258)-ROW(ADMIN!$G$6)+1),ROWS($A$1:A1)))="-",""," ("&amp;INDEX(ADMIN!$M$6:$M$258,SMALL(IF(ADMIN!$G$6:$G$258=$J$1,ROW(ADMIN!$G$6:$G$258)-ROW(ADMIN!$G$6)+1),ROWS($A$1:A1)))&amp;")"),"")</f>
        <v xml:space="preserve"> (1|2-0)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1|2-0</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1|2-0</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1|1-0</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Pegar Valores Nombre J41</v>
      </c>
      <c r="G44" s="429" t="str">
        <f ca="1">IFERROR(VLOOKUP(G$2,Rango_Admin_DailyPred,MATCH($F44,Rango_Admin_DailyPred_Primera,0),0),"-")</f>
        <v>Pegar Valores (J1)</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(1|2-0)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Alejandro Lafuente</v>
      </c>
      <c r="G4" s="22">
        <f ca="1">IFERROR(HLOOKUP(C4,Rango_Admin_DailyClas,4,FALSE),"-")</f>
        <v>4</v>
      </c>
      <c r="H4" s="429">
        <f ca="1">IFERROR(VLOOKUP(H$2,Rango_Admin_DailyPred,MATCH($F4,Rango_Admin_DailyPred_Primera,0)+1,0),"-")</f>
        <v>4</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Jaime Lafuente</v>
      </c>
      <c r="G5" s="22">
        <f ca="1">IFERROR(HLOOKUP(C5,Rango_Admin_DailyClas,4,FALSE),"-")</f>
        <v>4</v>
      </c>
      <c r="H5" s="429">
        <f ca="1">IFERROR(VLOOKUP(H$2,Rango_Admin_DailyPred,MATCH($F5,Rango_Admin_DailyPred_Primera,0)+1,0),"-")</f>
        <v>4</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Pastor</v>
      </c>
      <c r="G6" s="22">
        <f ca="1">IFERROR(HLOOKUP(C6,Rango_Admin_DailyClas,4,FALSE),"-")</f>
        <v>4</v>
      </c>
      <c r="H6" s="429">
        <f ca="1">IFERROR(VLOOKUP(H$2,Rango_Admin_DailyPred,MATCH($F6,Rango_Admin_DailyPred_Primera,0)+1,0),"-")</f>
        <v>4</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García de la Riva</v>
      </c>
      <c r="G7" s="22">
        <f ca="1">IFERROR(HLOOKUP(C7,Rango_Admin_DailyClas,4,FALSE),"-")</f>
        <v>4</v>
      </c>
      <c r="H7" s="429">
        <f ca="1">IFERROR(VLOOKUP(H$2,Rango_Admin_DailyPred,MATCH($F7,Rango_Admin_DailyPred_Primera,0)+1,0),"-")</f>
        <v>4</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Antonio Zulueta Ramos</v>
      </c>
      <c r="G8" s="22">
        <f ca="1">IFERROR(HLOOKUP(C8,Rango_Admin_DailyClas,4,FALSE),"-")</f>
        <v>4</v>
      </c>
      <c r="H8" s="429">
        <f ca="1">IFERROR(VLOOKUP(H$2,Rango_Admin_DailyPred,MATCH($F8,Rango_Admin_DailyPred_Primera,0)+1,0),"-")</f>
        <v>4</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Carlos Murciano</v>
      </c>
      <c r="G9" s="22">
        <f ca="1">IFERROR(HLOOKUP(C9,Rango_Admin_DailyClas,4,FALSE),"-")</f>
        <v>4</v>
      </c>
      <c r="H9" s="429">
        <f ca="1">IFERROR(VLOOKUP(H$2,Rango_Admin_DailyPred,MATCH($F9,Rango_Admin_DailyPred_Primera,0)+1,0),"-")</f>
        <v>4</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Fercho Muro Matosex</v>
      </c>
      <c r="G10" s="22">
        <f ca="1">IFERROR(HLOOKUP(C10,Rango_Admin_DailyClas,4,FALSE),"-")</f>
        <v>4</v>
      </c>
      <c r="H10" s="429">
        <f ca="1">IFERROR(VLOOKUP(H$2,Rango_Admin_DailyPred,MATCH($F10,Rango_Admin_DailyPred_Primera,0)+1,0),"-")</f>
        <v>4</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JCU</v>
      </c>
      <c r="G11" s="22">
        <f ca="1">IFERROR(HLOOKUP(C11,Rango_Admin_DailyClas,4,FALSE),"-")</f>
        <v>4</v>
      </c>
      <c r="H11" s="429">
        <f ca="1">IFERROR(VLOOKUP(H$2,Rango_Admin_DailyPred,MATCH($F11,Rango_Admin_DailyPred_Primera,0)+1,0),"-")</f>
        <v>4</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Joserra</v>
      </c>
      <c r="G12" s="22">
        <f ca="1">IFERROR(HLOOKUP(C12,Rango_Admin_DailyClas,4,FALSE),"-")</f>
        <v>4</v>
      </c>
      <c r="H12" s="429">
        <f ca="1">IFERROR(VLOOKUP(H$2,Rango_Admin_DailyPred,MATCH($F12,Rango_Admin_DailyPred_Primera,0)+1,0),"-")</f>
        <v>4</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Antonio del Ojo</v>
      </c>
      <c r="G13" s="22">
        <f ca="1">IFERROR(HLOOKUP(C13,Rango_Admin_DailyClas,4,FALSE),"-")</f>
        <v>4</v>
      </c>
      <c r="H13" s="429">
        <f ca="1">IFERROR(VLOOKUP(H$2,Rango_Admin_DailyPred,MATCH($F13,Rango_Admin_DailyPred_Primera,0)+1,0),"-")</f>
        <v>4</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MURO 204</v>
      </c>
      <c r="G14" s="22">
        <f ca="1">IFERROR(HLOOKUP(C14,Rango_Admin_DailyClas,4,FALSE),"-")</f>
        <v>4</v>
      </c>
      <c r="H14" s="429">
        <f ca="1">IFERROR(VLOOKUP(H$2,Rango_Admin_DailyPred,MATCH($F14,Rango_Admin_DailyPred_Primera,0)+1,0),"-")</f>
        <v>4</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Miguel San Martín</v>
      </c>
      <c r="G15" s="22">
        <f ca="1">IFERROR(HLOOKUP(C15,Rango_Admin_DailyClas,4,FALSE),"-")</f>
        <v>4</v>
      </c>
      <c r="H15" s="429">
        <f ca="1">IFERROR(VLOOKUP(H$2,Rango_Admin_DailyPred,MATCH($F15,Rango_Admin_DailyPred_Primera,0)+1,0),"-")</f>
        <v>4</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Florentino Netanyahu</v>
      </c>
      <c r="G16" s="22">
        <f ca="1">IFERROR(HLOOKUP(C16,Rango_Admin_DailyClas,4,FALSE),"-")</f>
        <v>4</v>
      </c>
      <c r="H16" s="429">
        <f ca="1">IFERROR(VLOOKUP(H$2,Rango_Admin_DailyPred,MATCH($F16,Rango_Admin_DailyPred_Primera,0)+1,0),"-")</f>
        <v>4</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Lucas Oriol</v>
      </c>
      <c r="G17" s="22">
        <f ca="1">IFERROR(HLOOKUP(C17,Rango_Admin_DailyClas,4,FALSE),"-")</f>
        <v>4</v>
      </c>
      <c r="H17" s="429">
        <f ca="1">IFERROR(VLOOKUP(H$2,Rango_Admin_DailyPred,MATCH($F17,Rango_Admin_DailyPred_Primera,0)+1,0),"-")</f>
        <v>4</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YTD</v>
      </c>
      <c r="G18" s="22">
        <f ca="1">IFERROR(HLOOKUP(C18,Rango_Admin_DailyClas,4,FALSE),"-")</f>
        <v>4</v>
      </c>
      <c r="H18" s="429">
        <f ca="1">IFERROR(VLOOKUP(H$2,Rango_Admin_DailyPred,MATCH($F18,Rango_Admin_DailyPred_Primera,0)+1,0),"-")</f>
        <v>4</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Fernando Carlos García-Ramos Redondo</v>
      </c>
      <c r="G19" s="22">
        <f ca="1">IFERROR(HLOOKUP(C19,Rango_Admin_DailyClas,4,FALSE),"-")</f>
        <v>4</v>
      </c>
      <c r="H19" s="429">
        <f ca="1">IFERROR(VLOOKUP(H$2,Rango_Admin_DailyPred,MATCH($F19,Rango_Admin_DailyPred_Primera,0)+1,0),"-")</f>
        <v>4</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Gratacós</v>
      </c>
      <c r="G20" s="22">
        <f ca="1">IFERROR(HLOOKUP(C20,Rango_Admin_DailyClas,4,FALSE),"-")</f>
        <v>4</v>
      </c>
      <c r="H20" s="429">
        <f ca="1">IFERROR(VLOOKUP(H$2,Rango_Admin_DailyPred,MATCH($F20,Rango_Admin_DailyPred_Primera,0)+1,0),"-")</f>
        <v>4</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IGNACIO LAFUENTE</v>
      </c>
      <c r="G21" s="22">
        <f ca="1">IFERROR(HLOOKUP(C21,Rango_Admin_DailyClas,4,FALSE),"-")</f>
        <v>4</v>
      </c>
      <c r="H21" s="429">
        <f ca="1">IFERROR(VLOOKUP(H$2,Rango_Admin_DailyPred,MATCH($F21,Rango_Admin_DailyPred_Primera,0)+1,0),"-")</f>
        <v>4</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DIDI</v>
      </c>
      <c r="G22" s="22">
        <f ca="1">IFERROR(HLOOKUP(C22,Rango_Admin_DailyClas,4,FALSE),"-")</f>
        <v>4</v>
      </c>
      <c r="H22" s="429">
        <f ca="1">IFERROR(VLOOKUP(H$2,Rango_Admin_DailyPred,MATCH($F22,Rango_Admin_DailyPred_Primera,0)+1,0),"-")</f>
        <v>4</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 xml:space="preserve">Ignacio Núñez </v>
      </c>
      <c r="G23" s="22">
        <f ca="1">IFERROR(HLOOKUP(C23,Rango_Admin_DailyClas,4,FALSE),"-")</f>
        <v>4</v>
      </c>
      <c r="H23" s="429">
        <f ca="1">IFERROR(VLOOKUP(H$2,Rango_Admin_DailyPred,MATCH($F23,Rango_Admin_DailyPred_Primera,0)+1,0),"-")</f>
        <v>4</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21</v>
      </c>
      <c r="F24" s="448" t="str">
        <f ca="1">IFERROR(HLOOKUP(C24,Rango_Admin_DailyClas,5,FALSE),"-")</f>
        <v>Kurtischamp</v>
      </c>
      <c r="G24" s="22">
        <f ca="1">IFERROR(HLOOKUP(C24,Rango_Admin_DailyClas,4,FALSE),"-")</f>
        <v>2</v>
      </c>
      <c r="H24" s="429">
        <f ca="1">IFERROR(VLOOKUP(H$2,Rango_Admin_DailyPred,MATCH($F24,Rango_Admin_DailyPred_Primera,0)+1,0),"-")</f>
        <v>2</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21</v>
      </c>
      <c r="F25" s="448" t="str">
        <f ca="1">IFERROR(HLOOKUP(C25,Rango_Admin_DailyClas,5,FALSE),"-")</f>
        <v>AD Monchus</v>
      </c>
      <c r="G25" s="22">
        <f ca="1">IFERROR(HLOOKUP(C25,Rango_Admin_DailyClas,4,FALSE),"-")</f>
        <v>2</v>
      </c>
      <c r="H25" s="429">
        <f ca="1">IFERROR(VLOOKUP(H$2,Rango_Admin_DailyPred,MATCH($F25,Rango_Admin_DailyPred_Primera,0)+1,0),"-")</f>
        <v>2</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21</v>
      </c>
      <c r="F26" s="448" t="str">
        <f ca="1">IFERROR(HLOOKUP(C26,Rango_Admin_DailyClas,5,FALSE),"-")</f>
        <v xml:space="preserve">Martín Matoses </v>
      </c>
      <c r="G26" s="22">
        <f ca="1">IFERROR(HLOOKUP(C26,Rango_Admin_DailyClas,4,FALSE),"-")</f>
        <v>2</v>
      </c>
      <c r="H26" s="429">
        <f ca="1">IFERROR(VLOOKUP(H$2,Rango_Admin_DailyPred,MATCH($F26,Rango_Admin_DailyPred_Primera,0)+1,0),"-")</f>
        <v>2</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Admin</v>
      </c>
      <c r="G27" s="22">
        <f ca="1">IFERROR(HLOOKUP(C27,Rango_Admin_DailyClas,4,FALSE),"-")</f>
        <v>1</v>
      </c>
      <c r="H27" s="429">
        <f ca="1">IFERROR(VLOOKUP(H$2,Rango_Admin_DailyPred,MATCH($F27,Rango_Admin_DailyPred_Primera,0)+1,0),"-")</f>
        <v>1</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Luis B</v>
      </c>
      <c r="G28" s="22">
        <f ca="1">IFERROR(HLOOKUP(C28,Rango_Admin_DailyClas,4,FALSE),"-")</f>
        <v>1</v>
      </c>
      <c r="H28" s="429">
        <f ca="1">IFERROR(VLOOKUP(H$2,Rango_Admin_DailyPred,MATCH($F28,Rango_Admin_DailyPred_Primera,0)+1,0),"-")</f>
        <v>1</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24</v>
      </c>
      <c r="F29" s="448" t="str">
        <f ca="1">IFERROR(HLOOKUP(C29,Rango_Admin_DailyClas,5,FALSE),"-")</f>
        <v>Nacho Novo</v>
      </c>
      <c r="G29" s="22">
        <f ca="1">IFERROR(HLOOKUP(C29,Rango_Admin_DailyClas,4,FALSE),"-")</f>
        <v>1</v>
      </c>
      <c r="H29" s="429">
        <f ca="1">IFERROR(VLOOKUP(H$2,Rango_Admin_DailyPred,MATCH($F29,Rango_Admin_DailyPred_Primera,0)+1,0),"-")</f>
        <v>1</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24</v>
      </c>
      <c r="F30" s="448" t="str">
        <f ca="1">IFERROR(HLOOKUP(C30,Rango_Admin_DailyClas,5,FALSE),"-")</f>
        <v>Chente Muñoz</v>
      </c>
      <c r="G30" s="22">
        <f ca="1">IFERROR(HLOOKUP(C30,Rango_Admin_DailyClas,4,FALSE),"-")</f>
        <v>1</v>
      </c>
      <c r="H30" s="429">
        <f ca="1">IFERROR(VLOOKUP(H$2,Rango_Admin_DailyPred,MATCH($F30,Rango_Admin_DailyPred_Primera,0)+1,0),"-")</f>
        <v>1</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24</v>
      </c>
      <c r="F31" s="448" t="str">
        <f ca="1">IFERROR(HLOOKUP(C31,Rango_Admin_DailyClas,5,FALSE),"-")</f>
        <v>Guillermo Murciano</v>
      </c>
      <c r="G31" s="22">
        <f ca="1">IFERROR(HLOOKUP(C31,Rango_Admin_DailyClas,4,FALSE),"-")</f>
        <v>1</v>
      </c>
      <c r="H31" s="429">
        <f ca="1">IFERROR(VLOOKUP(H$2,Rango_Admin_DailyPred,MATCH($F31,Rango_Admin_DailyPred_Primera,0)+1,0),"-")</f>
        <v>1</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24</v>
      </c>
      <c r="F32" s="448" t="str">
        <f ca="1">IFERROR(HLOOKUP(C32,Rango_Admin_DailyClas,5,FALSE),"-")</f>
        <v>Ignacio de Lecea</v>
      </c>
      <c r="G32" s="22">
        <f ca="1">IFERROR(HLOOKUP(C32,Rango_Admin_DailyClas,4,FALSE),"-")</f>
        <v>1</v>
      </c>
      <c r="H32" s="429">
        <f ca="1">IFERROR(VLOOKUP(H$2,Rango_Admin_DailyPred,MATCH($F32,Rango_Admin_DailyPred_Primera,0)+1,0),"-")</f>
        <v>1</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24</v>
      </c>
      <c r="F33" s="448" t="str">
        <f ca="1">IFERROR(HLOOKUP(C33,Rango_Admin_DailyClas,5,FALSE),"-")</f>
        <v>Hulk Rexach</v>
      </c>
      <c r="G33" s="22">
        <f ca="1">IFERROR(HLOOKUP(C33,Rango_Admin_DailyClas,4,FALSE),"-")</f>
        <v>1</v>
      </c>
      <c r="H33" s="429">
        <f ca="1">IFERROR(VLOOKUP(H$2,Rango_Admin_DailyPred,MATCH($F33,Rango_Admin_DailyPred_Primera,0)+1,0),"-")</f>
        <v>1</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24</v>
      </c>
      <c r="F34" s="448" t="str">
        <f ca="1">IFERROR(HLOOKUP(C34,Rango_Admin_DailyClas,5,FALSE),"-")</f>
        <v>bau</v>
      </c>
      <c r="G34" s="22">
        <f ca="1">IFERROR(HLOOKUP(C34,Rango_Admin_DailyClas,4,FALSE),"-")</f>
        <v>1</v>
      </c>
      <c r="H34" s="429">
        <f ca="1">IFERROR(VLOOKUP(H$2,Rango_Admin_DailyPred,MATCH($F34,Rango_Admin_DailyPred_Primera,0)+1,0),"-")</f>
        <v>1</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24</v>
      </c>
      <c r="F35" s="448" t="str">
        <f ca="1">IFERROR(HLOOKUP(C35,Rango_Admin_DailyClas,5,FALSE),"-")</f>
        <v>William Hartley</v>
      </c>
      <c r="G35" s="22">
        <f ca="1">IFERROR(HLOOKUP(C35,Rango_Admin_DailyClas,4,FALSE),"-")</f>
        <v>1</v>
      </c>
      <c r="H35" s="429">
        <f ca="1">IFERROR(VLOOKUP(H$2,Rango_Admin_DailyPred,MATCH($F35,Rango_Admin_DailyPred_Primera,0)+1,0),"-")</f>
        <v>1</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24</v>
      </c>
      <c r="F36" s="448" t="str">
        <f ca="1">IFERROR(HLOOKUP(C36,Rango_Admin_DailyClas,5,FALSE),"-")</f>
        <v>KIRICOCHO</v>
      </c>
      <c r="G36" s="22">
        <f ca="1">IFERROR(HLOOKUP(C36,Rango_Admin_DailyClas,4,FALSE),"-")</f>
        <v>1</v>
      </c>
      <c r="H36" s="429">
        <f ca="1">IFERROR(VLOOKUP(H$2,Rango_Admin_DailyPred,MATCH($F36,Rango_Admin_DailyPred_Primera,0)+1,0),"-")</f>
        <v>1</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24</v>
      </c>
      <c r="F37" s="448" t="str">
        <f ca="1">IFERROR(HLOOKUP(C37,Rango_Admin_DailyClas,5,FALSE),"-")</f>
        <v>BeliBeltrán</v>
      </c>
      <c r="G37" s="22">
        <f ca="1">IFERROR(HLOOKUP(C37,Rango_Admin_DailyClas,4,FALSE),"-")</f>
        <v>1</v>
      </c>
      <c r="H37" s="429">
        <f ca="1">IFERROR(VLOOKUP(H$2,Rango_Admin_DailyPred,MATCH($F37,Rango_Admin_DailyPred_Primera,0)+1,0),"-")</f>
        <v>1</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24</v>
      </c>
      <c r="F38" s="448" t="str">
        <f ca="1">IFERROR(HLOOKUP(C38,Rango_Admin_DailyClas,5,FALSE),"-")</f>
        <v>Vicuinho</v>
      </c>
      <c r="G38" s="22">
        <f ca="1">IFERROR(HLOOKUP(C38,Rango_Admin_DailyClas,4,FALSE),"-")</f>
        <v>1</v>
      </c>
      <c r="H38" s="429">
        <f ca="1">IFERROR(VLOOKUP(H$2,Rango_Admin_DailyPred,MATCH($F38,Rango_Admin_DailyPred_Primera,0)+1,0),"-")</f>
        <v>1</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24</v>
      </c>
      <c r="F39" s="448" t="str">
        <f ca="1">IFERROR(HLOOKUP(C39,Rango_Admin_DailyClas,5,FALSE),"-")</f>
        <v>Miguel Suárez-Zuloaga</v>
      </c>
      <c r="G39" s="22">
        <f ca="1">IFERROR(HLOOKUP(C39,Rango_Admin_DailyClas,4,FALSE),"-")</f>
        <v>1</v>
      </c>
      <c r="H39" s="429">
        <f ca="1">IFERROR(VLOOKUP(H$2,Rango_Admin_DailyPred,MATCH($F39,Rango_Admin_DailyPred_Primera,0)+1,0),"-")</f>
        <v>1</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24</v>
      </c>
      <c r="F40" s="448" t="str">
        <f ca="1">IFERROR(HLOOKUP(C40,Rango_Admin_DailyClas,5,FALSE),"-")</f>
        <v>JUAN SOLAS</v>
      </c>
      <c r="G40" s="22">
        <f ca="1">IFERROR(HLOOKUP(C40,Rango_Admin_DailyClas,4,FALSE),"-")</f>
        <v>1</v>
      </c>
      <c r="H40" s="429">
        <f ca="1">IFERROR(VLOOKUP(H$2,Rango_Admin_DailyPred,MATCH($F40,Rango_Admin_DailyPred_Primera,0)+1,0),"-")</f>
        <v>1</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24</v>
      </c>
      <c r="F41" s="448" t="str">
        <f ca="1">IFERROR(HLOOKUP(C41,Rango_Admin_DailyClas,5,FALSE),"-")</f>
        <v>Ricardo Soto</v>
      </c>
      <c r="G41" s="22">
        <f ca="1">IFERROR(HLOOKUP(C41,Rango_Admin_DailyClas,4,FALSE),"-")</f>
        <v>1</v>
      </c>
      <c r="H41" s="429">
        <f ca="1">IFERROR(VLOOKUP(H$2,Rango_Admin_DailyPred,MATCH($F41,Rango_Admin_DailyPred_Primera,0)+1,0),"-")</f>
        <v>1</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39</v>
      </c>
      <c r="F42" s="448" t="str">
        <f ca="1">IFERROR(HLOOKUP(C42,Rango_Admin_DailyClas,5,FALSE),"-")</f>
        <v>Migay Marcos</v>
      </c>
      <c r="G42" s="22">
        <f ca="1">IFERROR(HLOOKUP(C42,Rango_Admin_DailyClas,4,FALSE),"-")</f>
        <v>0</v>
      </c>
      <c r="H42" s="429">
        <f ca="1">IFERROR(VLOOKUP(H$2,Rango_Admin_DailyPred,MATCH($F42,Rango_Admin_DailyPred_Primera,0)+1,0),"-")</f>
        <v>0</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39</v>
      </c>
      <c r="F43" s="448" t="str">
        <f ca="1">IFERROR(HLOOKUP(C43,Rango_Admin_DailyClas,5,FALSE),"-")</f>
        <v>Pablo C</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39</v>
      </c>
      <c r="F44" s="448" t="str">
        <f ca="1">IFERROR(HLOOKUP(C44,Rango_Admin_DailyClas,5,FALSE),"-")</f>
        <v>Pegar Valores Nombre J41</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39</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39</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39</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39</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39</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39</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39</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39</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39</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SUM(WORLDCUP!AG4:AG147)/104</f>
        <v>1.9230769230769232E-2</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20</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10</v>
      </c>
      <c r="N8" s="469">
        <f ca="1">IFERROR(COUNTIF(ADMIN!$S$130:INDEX(ADMIN!$S$130:$KI$161,32,ADMIN!$D$5*3-1),Stats!$L8)-SUM(O8:T8),0)</f>
        <v>2</v>
      </c>
      <c r="O8" s="469">
        <f ca="1">COUNTIF(ADMIN!$S$182:INDEX(ADMIN!$S$182:$KI$197,16,ADMIN!$D$5*3-1),Stats!$L8)-SUM(P8:T8)</f>
        <v>30</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Pegar Valores (J1)</v>
      </c>
      <c r="I9" s="704">
        <f ca="1"/>
        <v>10</v>
      </c>
      <c r="J9" s="706">
        <f ca="1"/>
        <v>0</v>
      </c>
      <c r="K9" s="404">
        <f ca="1"/>
        <v>0</v>
      </c>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1|2-1</v>
      </c>
      <c r="I10" s="704">
        <f ca="1"/>
        <v>9</v>
      </c>
      <c r="J10" s="706">
        <f ca="1"/>
        <v>0</v>
      </c>
      <c r="K10" s="404">
        <f ca="1"/>
        <v>0</v>
      </c>
      <c r="L10" s="133" t="str">
        <f ca="1">Horarios!Q5</f>
        <v>Argelia</v>
      </c>
      <c r="M10" s="469">
        <f ca="1">ADMIN!$D$5-SUM(N10:T10)</f>
        <v>27</v>
      </c>
      <c r="N10" s="469">
        <f ca="1">IFERROR(COUNTIF(ADMIN!$S$130:INDEX(ADMIN!$S$130:$KI$161,32,ADMIN!$D$5*3-1),Stats!$L10)-SUM(O10:T10),0)</f>
        <v>21</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5</v>
      </c>
      <c r="J11" s="706">
        <f ca="1"/>
        <v>0</v>
      </c>
      <c r="K11" s="404">
        <f ca="1"/>
        <v>0</v>
      </c>
      <c r="L11" s="132" t="str">
        <f ca="1">Horarios!Q6</f>
        <v>Argentina</v>
      </c>
      <c r="M11" s="471">
        <f ca="1">ADMIN!$D$5-SUM(N11:T11)</f>
        <v>10</v>
      </c>
      <c r="N11" s="471">
        <f ca="1">IFERROR(COUNTIF(ADMIN!$S$130:INDEX(ADMIN!$S$130:$KI$161,32,ADMIN!$D$5*3-1),Stats!$L11)-SUM(O11:T11),0)</f>
        <v>4</v>
      </c>
      <c r="O11" s="471">
        <f ca="1">COUNTIF(ADMIN!$S$182:INDEX(ADMIN!$S$182:$KI$197,16,ADMIN!$D$5*3-1),Stats!$L11)-SUM(P11:T11)</f>
        <v>1</v>
      </c>
      <c r="P11" s="471">
        <f ca="1">COUNTIF(ADMIN!$S$210:INDEX(ADMIN!$S$210:$KI$217,8,ADMIN!$D$5*3-1),Stats!$L11)-SUM(Q11:T11)</f>
        <v>21</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101</v>
      </c>
      <c r="F13" s="456">
        <f ca="1">IFERROR(E13/E12,0)</f>
        <v>0.505</v>
      </c>
      <c r="G13" s="17"/>
      <c r="H13" s="457" t="str">
        <f ca="1"/>
        <v>1|3-0</v>
      </c>
      <c r="I13" s="704">
        <f ca="1"/>
        <v>1</v>
      </c>
      <c r="J13" s="706">
        <f ca="1"/>
        <v>0</v>
      </c>
      <c r="K13" s="404">
        <f ca="1"/>
        <v>0</v>
      </c>
      <c r="L13" s="132" t="str">
        <f ca="1">Horarios!Q8</f>
        <v>Austria</v>
      </c>
      <c r="M13" s="471">
        <f ca="1">ADMIN!$D$5-SUM(N13:T13)</f>
        <v>10</v>
      </c>
      <c r="N13" s="471">
        <f ca="1">IFERROR(COUNTIF(ADMIN!$S$130:INDEX(ADMIN!$S$130:$KI$161,32,ADMIN!$D$5*3-1),Stats!$L13)-SUM(O13:T13),0)</f>
        <v>38</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20</v>
      </c>
      <c r="F14" s="456">
        <f ca="1">IFERROR(E14/ADMIN!$D$5,0)</f>
        <v>0.4</v>
      </c>
      <c r="G14" s="17"/>
      <c r="H14" s="454" t="str">
        <f ca="1"/>
        <v>X|1-1</v>
      </c>
      <c r="I14" s="704">
        <f ca="1"/>
        <v>1</v>
      </c>
      <c r="J14" s="706">
        <f ca="1"/>
        <v>0</v>
      </c>
      <c r="K14" s="404">
        <f ca="1"/>
        <v>0</v>
      </c>
      <c r="L14" s="133" t="str">
        <f ca="1">Horarios!Q9</f>
        <v>Bélgica</v>
      </c>
      <c r="M14" s="469">
        <f ca="1">ADMIN!$D$5-SUM(N14:T14)</f>
        <v>10</v>
      </c>
      <c r="N14" s="469">
        <f ca="1">IFERROR(COUNTIF(ADMIN!$S$130:INDEX(ADMIN!$S$130:$KI$161,32,ADMIN!$D$5*3-1),Stats!$L14)-SUM(O14:T14),0)</f>
        <v>5</v>
      </c>
      <c r="O14" s="469">
        <f ca="1">COUNTIF(ADMIN!$S$182:INDEX(ADMIN!$S$182:$KI$197,16,ADMIN!$D$5*3-1),Stats!$L14)-SUM(P14:T14)</f>
        <v>18</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IFERROR(COUNTIF(DailyClas!$G$4:INDEX(DailyClas!$G$4:$G$100,ADMIN!$D$5),"&gt;0"),0)</f>
        <v>38</v>
      </c>
      <c r="F15" s="456">
        <f ca="1">IFERROR(E15/ADMIN!$D$5,0)</f>
        <v>0.76</v>
      </c>
      <c r="G15" s="17"/>
      <c r="H15" s="457" t="str">
        <f ca="1"/>
        <v>X|2-2</v>
      </c>
      <c r="I15" s="704">
        <f ca="1"/>
        <v>1</v>
      </c>
      <c r="J15" s="706">
        <f ca="1"/>
        <v>0</v>
      </c>
      <c r="K15" s="404">
        <f ca="1"/>
        <v>0</v>
      </c>
      <c r="L15" s="132" t="str">
        <f ca="1">Horarios!Q10</f>
        <v>Bosnia y Herzegovina</v>
      </c>
      <c r="M15" s="471">
        <f ca="1">ADMIN!$D$5-SUM(N15:T15)</f>
        <v>21</v>
      </c>
      <c r="N15" s="471">
        <f ca="1">IFERROR(COUNTIF(ADMIN!$S$130:INDEX(ADMIN!$S$130:$KI$161,32,ADMIN!$D$5*3-1),Stats!$L15)-SUM(O15:T15),0)</f>
        <v>25</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IFERROR(IF(SUM(ADMIN!$D$8:$D$47)=0,0,COUNTIF(DailyClas!$G$4:INDEX(DailyClas!$G$4:$G$100,ADMIN!$D$5),0)),0)</f>
        <v>12</v>
      </c>
      <c r="F16" s="456">
        <f ca="1">IFERROR(E16/ADMIN!$D$5,0)</f>
        <v>0.24</v>
      </c>
      <c r="G16" s="17"/>
      <c r="H16" s="454"/>
      <c r="I16" s="704"/>
      <c r="J16" s="706"/>
      <c r="K16" s="404"/>
      <c r="L16" s="133" t="str">
        <f ca="1">Horarios!Q11</f>
        <v>Brasil</v>
      </c>
      <c r="M16" s="469">
        <f ca="1">ADMIN!$D$5-SUM(N16:T16)</f>
        <v>10</v>
      </c>
      <c r="N16" s="469">
        <f ca="1">IFERROR(COUNTIF(ADMIN!$S$130:INDEX(ADMIN!$S$130:$KI$161,32,ADMIN!$D$5*3-1),Stats!$L16)-SUM(O16:T16),0)</f>
        <v>0</v>
      </c>
      <c r="O16" s="469">
        <f ca="1">COUNTIF(ADMIN!$S$182:INDEX(ADMIN!$S$182:$KI$197,16,ADMIN!$D$5*3-1),Stats!$L16)-SUM(P16:T16)</f>
        <v>5</v>
      </c>
      <c r="P16" s="469">
        <f ca="1">COUNTIF(ADMIN!$S$210:INDEX(ADMIN!$S$210:$KI$217,8,ADMIN!$D$5*3-1),Stats!$L16)-SUM(Q16:T16)</f>
        <v>14</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IFERROR(AVERAGE(DailyClas!$G$4:INDEX(DailyClas!$G$4:$G$100,ADMIN!$D$5)),0)</f>
        <v>2.02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17</v>
      </c>
      <c r="N18" s="469">
        <f ca="1">IFERROR(COUNTIF(ADMIN!$S$130:INDEX(ADMIN!$S$130:$KI$161,32,ADMIN!$D$5*3-1),Stats!$L18)-SUM(O18:T18),0)</f>
        <v>20</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10</v>
      </c>
      <c r="N20" s="469">
        <f ca="1">IFERROR(COUNTIF(ADMIN!$S$130:INDEX(ADMIN!$S$130:$KI$161,32,ADMIN!$D$5*3-1),Stats!$L20)-SUM(O20:T20),0)</f>
        <v>16</v>
      </c>
      <c r="O20" s="469">
        <f ca="1">COUNTIF(ADMIN!$S$182:INDEX(ADMIN!$S$182:$KI$197,16,ADMIN!$D$5*3-1),Stats!$L20)-SUM(P20:T20)</f>
        <v>19</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17</v>
      </c>
      <c r="N21" s="471">
        <f ca="1">IFERROR(COUNTIF(ADMIN!$S$130:INDEX(ADMIN!$S$130:$KI$161,32,ADMIN!$D$5*3-1),Stats!$L21)-SUM(O21:T21),0)</f>
        <v>17</v>
      </c>
      <c r="O21" s="471">
        <f ca="1">COUNTIF(ADMIN!$S$182:INDEX(ADMIN!$S$182:$KI$197,16,ADMIN!$D$5*3-1),Stats!$L21)-SUM(P21:T21)</f>
        <v>14</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14</v>
      </c>
      <c r="N22" s="469">
        <f ca="1">IFERROR(COUNTIF(ADMIN!$S$130:INDEX(ADMIN!$S$130:$KI$161,32,ADMIN!$D$5*3-1),Stats!$L22)-SUM(O22:T22),0)</f>
        <v>26</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11</v>
      </c>
      <c r="N23" s="471">
        <f ca="1">IFERROR(COUNTIF(ADMIN!$S$130:INDEX(ADMIN!$S$130:$KI$161,32,ADMIN!$D$5*3-1),Stats!$L23)-SUM(O23:T23),0)</f>
        <v>23</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11</v>
      </c>
      <c r="N25" s="471">
        <f ca="1">IFERROR(COUNTIF(ADMIN!$S$130:INDEX(ADMIN!$S$130:$KI$161,32,ADMIN!$D$5*3-1),Stats!$L25)-SUM(O25:T25),0)</f>
        <v>26</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12</v>
      </c>
      <c r="N26" s="469">
        <f ca="1">IFERROR(COUNTIF(ADMIN!$S$130:INDEX(ADMIN!$S$130:$KI$161,32,ADMIN!$D$5*3-1),Stats!$L26)-SUM(O26:T26),0)</f>
        <v>33</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16</v>
      </c>
      <c r="N27" s="471">
        <f ca="1">IFERROR(COUNTIF(ADMIN!$S$130:INDEX(ADMIN!$S$130:$KI$161,32,ADMIN!$D$5*3-1),Stats!$L27)-SUM(O27:T27),0)</f>
        <v>30</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10</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22</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10</v>
      </c>
      <c r="N29" s="471">
        <f ca="1">IFERROR(COUNTIF(ADMIN!$S$130:INDEX(ADMIN!$S$130:$KI$161,32,ADMIN!$D$5*3-1),Stats!$L29)-SUM(O29:T29),0)</f>
        <v>11</v>
      </c>
      <c r="O29" s="471">
        <f ca="1">COUNTIF(ADMIN!$S$182:INDEX(ADMIN!$S$182:$KI$197,16,ADMIN!$D$5*3-1),Stats!$L29)-SUM(P29:T29)</f>
        <v>26</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10</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15</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10</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9</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38</v>
      </c>
      <c r="F35" s="25">
        <f ca="1">IFERROR(E35/SUM($E$35:E37),0)</f>
        <v>0.95</v>
      </c>
      <c r="G35" s="17"/>
      <c r="H35" s="17"/>
      <c r="I35" s="17"/>
      <c r="J35" s="25"/>
      <c r="K35" s="25"/>
      <c r="L35" s="132" t="str">
        <f ca="1">Horarios!Q30</f>
        <v>Irán</v>
      </c>
      <c r="M35" s="471">
        <f ca="1">ADMIN!$D$5-SUM(N35:T35)</f>
        <v>30</v>
      </c>
      <c r="N35" s="471">
        <f ca="1">IFERROR(COUNTIF(ADMIN!$S$130:INDEX(ADMIN!$S$130:$KI$161,32,ADMIN!$D$5*3-1),Stats!$L35)-SUM(O35:T35),0)</f>
        <v>20</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5</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5</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20</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2</v>
      </c>
      <c r="F36" s="25">
        <f ca="1">IFERROR(E36/SUM($E$35:E38),0)</f>
        <v>0.05</v>
      </c>
      <c r="G36" s="17"/>
      <c r="H36" s="17"/>
      <c r="I36" s="17"/>
      <c r="J36" s="25"/>
      <c r="K36" s="25"/>
      <c r="L36" s="133" t="str">
        <f ca="1">Horarios!Q31</f>
        <v>Japón</v>
      </c>
      <c r="M36" s="469">
        <f ca="1">ADMIN!$D$5-SUM(N36:T36)</f>
        <v>13</v>
      </c>
      <c r="N36" s="469">
        <f ca="1">IFERROR(COUNTIF(ADMIN!$S$130:INDEX(ADMIN!$S$130:$KI$161,32,ADMIN!$D$5*3-1),Stats!$L36)-SUM(O36:T36),0)</f>
        <v>35</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20</v>
      </c>
      <c r="X36" s="11" t="str">
        <f ca="1"/>
        <v>1|2-0</v>
      </c>
      <c r="Y36" s="11" t="str">
        <f ca="1"/>
        <v>1|2-0</v>
      </c>
      <c r="Z36" s="11">
        <f ca="1"/>
        <v>20</v>
      </c>
      <c r="AA36" s="11">
        <f ca="1"/>
        <v>0</v>
      </c>
      <c r="AB36" s="11">
        <f ca="1"/>
        <v>0</v>
      </c>
      <c r="AC36" s="11" t="str">
        <f ca="1"/>
        <v>Pegar Valores (J1)</v>
      </c>
      <c r="AD36" s="11">
        <f ca="1"/>
        <v>10</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1|2-1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10</v>
      </c>
      <c r="N38" s="469">
        <f ca="1">IFERROR(COUNTIF(ADMIN!$S$130:INDEX(ADMIN!$S$130:$KI$161,32,ADMIN!$D$5*3-1),Stats!$L38)-SUM(O38:T38),0)</f>
        <v>23</v>
      </c>
      <c r="O38" s="469">
        <f ca="1">COUNTIF(ADMIN!$S$182:INDEX(ADMIN!$S$182:$KI$197,16,ADMIN!$D$5*3-1),Stats!$L38)-SUM(P38:T38)</f>
        <v>4</v>
      </c>
      <c r="P38" s="469">
        <f ca="1">COUNTIF(ADMIN!$S$210:INDEX(ADMIN!$S$210:$KI$217,8,ADMIN!$D$5*3-1),Stats!$L38)-SUM(Q38:T38)</f>
        <v>12</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5</v>
      </c>
      <c r="AE38" s="11">
        <f ca="1"/>
        <v>20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10</v>
      </c>
      <c r="N39" s="471">
        <f ca="1">IFERROR(COUNTIF(ADMIN!$S$130:INDEX(ADMIN!$S$130:$KI$161,32,ADMIN!$D$5*3-1),Stats!$L39)-SUM(O39:T39),0)</f>
        <v>9</v>
      </c>
      <c r="O39" s="471">
        <f ca="1">COUNTIF(ADMIN!$S$182:INDEX(ADMIN!$S$182:$KI$197,16,ADMIN!$D$5*3-1),Stats!$L39)-SUM(P39:T39)</f>
        <v>25</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10</v>
      </c>
      <c r="N40" s="469">
        <f ca="1">IFERROR(COUNTIF(ADMIN!$S$130:INDEX(ADMIN!$S$130:$KI$161,32,ADMIN!$D$5*3-1),Stats!$L40)-SUM(O40:T40),0)</f>
        <v>14</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10</v>
      </c>
      <c r="X40" s="11" t="str">
        <f ca="1"/>
        <v>Pegar Valores (J1)</v>
      </c>
      <c r="Y40" s="11" t="str">
        <f ca="1"/>
        <v>Pegar Valores (J1)</v>
      </c>
      <c r="Z40" s="11">
        <f ca="1"/>
        <v>10</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10</v>
      </c>
      <c r="N42" s="469">
        <f ca="1">IFERROR(COUNTIF(ADMIN!$S$130:INDEX(ADMIN!$S$130:$KI$161,32,ADMIN!$D$5*3-1),Stats!$L42)-SUM(O42:T42),0)</f>
        <v>21</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27</v>
      </c>
      <c r="N44" s="469">
        <f ca="1">IFERROR(COUNTIF(ADMIN!$S$130:INDEX(ADMIN!$S$130:$KI$161,32,ADMIN!$D$5*3-1),Stats!$L44)-SUM(O44:T44),0)</f>
        <v>16</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10</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12</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17</v>
      </c>
      <c r="N47" s="471">
        <f ca="1">IFERROR(COUNTIF(ADMIN!$S$130:INDEX(ADMIN!$S$130:$KI$161,32,ADMIN!$D$5*3-1),Stats!$L47)-SUM(O47:T47),0)</f>
        <v>24</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14</v>
      </c>
      <c r="N48" s="469">
        <f ca="1">IFERROR(COUNTIF(ADMIN!$S$130:INDEX(ADMIN!$S$130:$KI$161,32,ADMIN!$D$5*3-1),Stats!$L48)-SUM(O48:T48),0)</f>
        <v>29</v>
      </c>
      <c r="O48" s="469">
        <f ca="1">COUNTIF(ADMIN!$S$182:INDEX(ADMIN!$S$182:$KI$197,16,ADMIN!$D$5*3-1),Stats!$L48)-SUM(P48:T48)</f>
        <v>6</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10</v>
      </c>
      <c r="N51" s="471">
        <f ca="1">IFERROR(COUNTIF(ADMIN!$S$130:INDEX(ADMIN!$S$130:$KI$161,32,ADMIN!$D$5*3-1),Stats!$L51)-SUM(O51:T51),0)</f>
        <v>5</v>
      </c>
      <c r="O51" s="471">
        <f ca="1">COUNTIF(ADMIN!$S$182:INDEX(ADMIN!$S$182:$KI$197,16,ADMIN!$D$5*3-1),Stats!$L51)-SUM(P51:T51)</f>
        <v>34</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10</v>
      </c>
      <c r="N53" s="471">
        <f ca="1">IFERROR(COUNTIF(ADMIN!$S$130:INDEX(ADMIN!$S$130:$KI$161,32,ADMIN!$D$5*3-1),Stats!$L53)-SUM(O53:T53),0)</f>
        <v>4</v>
      </c>
      <c r="O53" s="471">
        <f ca="1">COUNTIF(ADMIN!$S$182:INDEX(ADMIN!$S$182:$KI$197,16,ADMIN!$D$5*3-1),Stats!$L53)-SUM(P53:T53)</f>
        <v>20</v>
      </c>
      <c r="P53" s="471">
        <f ca="1">COUNTIF(ADMIN!$S$210:INDEX(ADMIN!$S$210:$KI$217,8,ADMIN!$D$5*3-1),Stats!$L53)-SUM(Q53:T53)</f>
        <v>15</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10</v>
      </c>
      <c r="N54" s="469">
        <f ca="1">IFERROR(COUNTIF(ADMIN!$S$130:INDEX(ADMIN!$S$130:$KI$161,32,ADMIN!$D$5*3-1),Stats!$L54)-SUM(O54:T54),0)</f>
        <v>35</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2026-06-12T05:24:46Z</dcterms:modified>
  <cp:category/>
</cp:coreProperties>
</file>