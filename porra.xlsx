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32" documentId="13_ncr:1_{AF5F34E1-3CEA-4E5C-856E-DF27FFEF07FE}" xr6:coauthVersionLast="47" xr6:coauthVersionMax="47" xr10:uidLastSave="{6919534E-3B62-4360-AA91-01BD9A3B0F4E}"/>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s="1"/>
  <c r="L244" i="46"/>
  <c r="M244" i="46" s="1"/>
  <c r="L233" i="46"/>
  <c r="L232" i="46"/>
  <c r="M232" i="46" s="1"/>
  <c r="L223" i="46"/>
  <c r="L222" i="46"/>
  <c r="L221" i="46"/>
  <c r="L220" i="46"/>
  <c r="M220" i="46" s="1"/>
  <c r="L201" i="46"/>
  <c r="L200" i="46"/>
  <c r="L179" i="46"/>
  <c r="L178" i="46"/>
  <c r="L177" i="46"/>
  <c r="L176" i="46"/>
  <c r="L175" i="46"/>
  <c r="L174" i="46"/>
  <c r="M174" i="46" s="1"/>
  <c r="L173" i="46"/>
  <c r="L172" i="46"/>
  <c r="M172" i="46" s="1"/>
  <c r="L171" i="46"/>
  <c r="L170" i="46"/>
  <c r="L169" i="46"/>
  <c r="L168" i="46"/>
  <c r="L167" i="46"/>
  <c r="L165" i="46"/>
  <c r="L164" i="46"/>
  <c r="O247" i="46"/>
  <c r="P247" i="46" s="1"/>
  <c r="B247" i="46"/>
  <c r="Q247" i="46" s="1"/>
  <c r="A247" i="46"/>
  <c r="N247" i="46"/>
  <c r="B244" i="46"/>
  <c r="A244" i="46"/>
  <c r="E244" i="46" s="1"/>
  <c r="O244" i="46"/>
  <c r="N244" i="46"/>
  <c r="A233" i="46"/>
  <c r="B233" i="46"/>
  <c r="B232" i="46"/>
  <c r="A232" i="46"/>
  <c r="E232" i="46"/>
  <c r="O233" i="46"/>
  <c r="N233" i="46"/>
  <c r="O232" i="46"/>
  <c r="N232" i="46"/>
  <c r="A220" i="46"/>
  <c r="E220" i="46"/>
  <c r="B220" i="46"/>
  <c r="Q220" i="46" s="1"/>
  <c r="B223" i="46"/>
  <c r="A223" i="46"/>
  <c r="B222" i="46"/>
  <c r="A222" i="46"/>
  <c r="E222" i="46" s="1"/>
  <c r="B221" i="46"/>
  <c r="A221" i="46"/>
  <c r="Q221" i="46" s="1"/>
  <c r="O223" i="46"/>
  <c r="N223" i="46"/>
  <c r="O222" i="46"/>
  <c r="N222" i="46"/>
  <c r="O221" i="46"/>
  <c r="M221" i="46" s="1"/>
  <c r="N221" i="46"/>
  <c r="O220" i="46"/>
  <c r="N220" i="46"/>
  <c r="P220" i="46" s="1"/>
  <c r="B207" i="46"/>
  <c r="A207" i="46"/>
  <c r="B206" i="46"/>
  <c r="A206" i="46"/>
  <c r="E206" i="46" s="1"/>
  <c r="B205" i="46"/>
  <c r="A205" i="46"/>
  <c r="E205" i="46" s="1"/>
  <c r="B204" i="46"/>
  <c r="A204" i="46"/>
  <c r="E204" i="46"/>
  <c r="B203" i="46"/>
  <c r="A203" i="46"/>
  <c r="B202" i="46"/>
  <c r="A202" i="46"/>
  <c r="Q202" i="46" s="1"/>
  <c r="E202" i="46"/>
  <c r="B201" i="46"/>
  <c r="A201" i="46"/>
  <c r="E201" i="46"/>
  <c r="B200" i="46"/>
  <c r="A200" i="46"/>
  <c r="O207" i="46"/>
  <c r="P207" i="46" s="1"/>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07" i="46"/>
  <c r="D366" i="36"/>
  <c r="D443" i="36"/>
  <c r="D43" i="36"/>
  <c r="AA156" i="3"/>
  <c r="M37" i="46"/>
  <c r="E179" i="46"/>
  <c r="E247"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Q45" i="46"/>
  <c r="Q76" i="46"/>
  <c r="E233" i="46"/>
  <c r="M61" i="46"/>
  <c r="M45" i="46"/>
  <c r="M69" i="46"/>
  <c r="Q20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33" i="46"/>
  <c r="AO33" i="46"/>
  <c r="Q37" i="46"/>
  <c r="Q41" i="46"/>
  <c r="AR41" i="46"/>
  <c r="Q49" i="46"/>
  <c r="AU49" i="46"/>
  <c r="P204"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Q68" i="46"/>
  <c r="Q16" i="46"/>
  <c r="T65" i="46"/>
  <c r="Q29"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W42" i="46"/>
  <c r="P233" i="46" l="1"/>
  <c r="P244" i="46"/>
  <c r="M233" i="46"/>
  <c r="Q232" i="46"/>
  <c r="Q222" i="46"/>
  <c r="E221" i="46"/>
  <c r="P221" i="46"/>
  <c r="M207" i="46"/>
  <c r="Q206" i="46"/>
  <c r="Q205" i="46"/>
  <c r="M201" i="46"/>
  <c r="P177" i="46"/>
  <c r="M177" i="46"/>
  <c r="P176" i="46"/>
  <c r="M175" i="46"/>
  <c r="F5" i="48" a="1"/>
  <c r="F5" i="48" s="1"/>
  <c r="P173" i="46"/>
  <c r="Q173" i="46"/>
  <c r="E171" i="46"/>
  <c r="E170" i="46"/>
  <c r="Q168" i="46"/>
  <c r="M165" i="46"/>
  <c r="E7" i="48"/>
  <c r="F6" i="48" a="1"/>
  <c r="F6" i="48"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F7" i="48" l="1" a="1"/>
  <c r="F7" i="48" s="1"/>
  <c r="E8" i="48"/>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AI28" i="32"/>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E9" i="48" l="1"/>
  <c r="F8" i="48" a="1"/>
  <c r="F8" i="48" s="1"/>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AA7" i="3"/>
  <c r="AA4" i="3"/>
  <c r="AF8" i="3"/>
  <c r="AY6" i="3"/>
  <c r="O15" i="45"/>
  <c r="AB64" i="3" a="1"/>
  <c r="AB64" i="3" s="1"/>
  <c r="BC10" i="3"/>
  <c r="BC21" i="3"/>
  <c r="AY57" i="3"/>
  <c r="AA57" i="3"/>
  <c r="AF53" i="3"/>
  <c r="AA55" i="3"/>
  <c r="BC6" i="3"/>
  <c r="BC51" i="3"/>
  <c r="R14" i="45"/>
  <c r="AE63" i="3" a="1"/>
  <c r="AE63" i="3" s="1"/>
  <c r="AA15" i="3"/>
  <c r="AY14" i="3"/>
  <c r="AA12" i="3"/>
  <c r="AF16" i="3"/>
  <c r="BC33" i="3"/>
  <c r="AA23" i="3"/>
  <c r="AA20" i="3"/>
  <c r="AF24" i="3"/>
  <c r="AY22" i="3"/>
  <c r="AY9" i="3"/>
  <c r="AA6" i="3"/>
  <c r="AF5" i="3"/>
  <c r="AA8" i="3"/>
  <c r="BC50" i="3"/>
  <c r="AB70" i="3" a="1"/>
  <c r="AB70" i="3" s="1"/>
  <c r="O21" i="45"/>
  <c r="BC15" i="3"/>
  <c r="BC9" i="3"/>
  <c r="R11" i="45"/>
  <c r="AE60" i="3" a="1"/>
  <c r="AE60" i="3" s="1"/>
  <c r="AY94" i="3"/>
  <c r="AA94" i="3"/>
  <c r="AF96" i="3"/>
  <c r="AA92" i="3"/>
  <c r="O19" i="45"/>
  <c r="AB68" i="3" a="1"/>
  <c r="AB68" i="3" s="1"/>
  <c r="BC18" i="3"/>
  <c r="AF20" i="3"/>
  <c r="AF22" i="3"/>
  <c r="AA25" i="3"/>
  <c r="AY23" i="3"/>
  <c r="AY8" i="3"/>
  <c r="AF7" i="3"/>
  <c r="AA5" i="3"/>
  <c r="AF9" i="3"/>
  <c r="AY56" i="3"/>
  <c r="AA53" i="3"/>
  <c r="AF56" i="3"/>
  <c r="AF54" i="3"/>
  <c r="AA28" i="3"/>
  <c r="AY30" i="3"/>
  <c r="AA30" i="3"/>
  <c r="AF32" i="3"/>
  <c r="BC8" i="3"/>
  <c r="BC41" i="3"/>
  <c r="AF92" i="3"/>
  <c r="AY95" i="3"/>
  <c r="AA97" i="3"/>
  <c r="AF95" i="3"/>
  <c r="R23" i="45"/>
  <c r="AE72" i="3" a="1"/>
  <c r="AE72" i="3" s="1"/>
  <c r="BC34" i="3"/>
  <c r="AB29" i="3" a="1"/>
  <c r="AB29" i="3" s="1"/>
  <c r="C28" i="45"/>
  <c r="BC48" i="3"/>
  <c r="AA39" i="3"/>
  <c r="AF37" i="3"/>
  <c r="AA41" i="3"/>
  <c r="AY41" i="3"/>
  <c r="AA71" i="3"/>
  <c r="AY73" i="3"/>
  <c r="AA72" i="3"/>
  <c r="AF69" i="3"/>
  <c r="BC7" i="3"/>
  <c r="AF65" i="3"/>
  <c r="AA62" i="3"/>
  <c r="AY62" i="3"/>
  <c r="AA60" i="3"/>
  <c r="AA85" i="3"/>
  <c r="AF89" i="3"/>
  <c r="AY88" i="3"/>
  <c r="AF86" i="3"/>
  <c r="AY72" i="3"/>
  <c r="AA69" i="3"/>
  <c r="AF70" i="3"/>
  <c r="K46" i="46" s="1"/>
  <c r="AF73" i="3"/>
  <c r="BC25" i="3"/>
  <c r="AF76" i="3"/>
  <c r="AF79" i="3"/>
  <c r="AA80" i="3"/>
  <c r="AY79" i="3"/>
  <c r="O35" i="45"/>
  <c r="AB84" i="3" a="1"/>
  <c r="AB84" i="3" s="1"/>
  <c r="BC14" i="3"/>
  <c r="BC47" i="3"/>
  <c r="BC40" i="3"/>
  <c r="BC43" i="3"/>
  <c r="AY87" i="3"/>
  <c r="AF84" i="3"/>
  <c r="K26" i="46" s="1"/>
  <c r="AA89" i="3"/>
  <c r="AF87" i="3"/>
  <c r="BC11" i="3"/>
  <c r="BC29" i="3"/>
  <c r="BC36" i="3"/>
  <c r="AF78" i="3"/>
  <c r="AA77" i="3"/>
  <c r="AF80" i="3"/>
  <c r="AY80" i="3"/>
  <c r="AY64" i="3"/>
  <c r="AF62" i="3"/>
  <c r="AA61" i="3"/>
  <c r="AF64" i="3"/>
  <c r="BC22" i="3"/>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C28" i="3"/>
  <c r="BC37" i="3"/>
  <c r="K61" i="46" l="1"/>
  <c r="E10" i="48"/>
  <c r="F9" i="48" a="1"/>
  <c r="F9" i="48" s="1"/>
  <c r="O37" i="45"/>
  <c r="DT86" i="3"/>
  <c r="F29" i="45"/>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K12" i="46"/>
  <c r="C27" i="45"/>
  <c r="AB28" i="3" a="1"/>
  <c r="AB28" i="3" s="1"/>
  <c r="DT28" i="3"/>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DT5" i="3"/>
  <c r="K7" i="46"/>
  <c r="C4" i="45"/>
  <c r="AB5" i="3" a="1"/>
  <c r="AB5" i="3" s="1"/>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R5" i="45"/>
  <c r="DT54" i="3"/>
  <c r="K42" i="46"/>
  <c r="AE54" i="3" a="1"/>
  <c r="AE54" i="3" s="1"/>
  <c r="F6" i="45"/>
  <c r="AE7" i="3" a="1"/>
  <c r="AE7" i="3" s="1"/>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AE56" i="3" a="1"/>
  <c r="AE56" i="3" s="1"/>
  <c r="R7" i="45"/>
  <c r="DT56" i="3"/>
  <c r="K66"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K19" i="46"/>
  <c r="O4" i="45"/>
  <c r="DT53" i="3"/>
  <c r="AB53" i="3" a="1"/>
  <c r="AB53" i="3" s="1"/>
  <c r="O14" i="45"/>
  <c r="DT63" i="3"/>
  <c r="K45" i="46"/>
  <c r="AB63" i="3" a="1"/>
  <c r="AB63" i="3" s="1"/>
  <c r="K23" i="46"/>
  <c r="DT69" i="3"/>
  <c r="AB69" i="3" a="1"/>
  <c r="AB69" i="3" s="1"/>
  <c r="O20" i="45"/>
  <c r="AB41" i="3" a="1"/>
  <c r="AB41" i="3" s="1"/>
  <c r="K63" i="46"/>
  <c r="DT41" i="3"/>
  <c r="C40" i="45"/>
  <c r="BG34" i="3"/>
  <c r="BH6" i="3"/>
  <c r="F7" i="45"/>
  <c r="AE8" i="3" a="1"/>
  <c r="AE8" i="3" s="1"/>
  <c r="AE37" i="3" a="1"/>
  <c r="AE37" i="3" s="1"/>
  <c r="F36" i="45"/>
  <c r="K15" i="46"/>
  <c r="DT37" i="3"/>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F31" i="45"/>
  <c r="AE32" i="3" a="1"/>
  <c r="AE32" i="3" s="1"/>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BL49" i="3"/>
  <c r="BE49" i="3"/>
  <c r="BF49" i="3"/>
  <c r="BO49" i="3" s="1"/>
  <c r="BE34" i="3"/>
  <c r="BF34" i="3"/>
  <c r="BE36" i="3"/>
  <c r="BF36" i="3"/>
  <c r="BO36" i="3" s="1"/>
  <c r="BL9" i="3"/>
  <c r="BL25" i="3"/>
  <c r="BE10" i="3"/>
  <c r="BF10" i="3"/>
  <c r="BL35" i="3"/>
  <c r="BL10" i="3"/>
  <c r="BL27" i="3"/>
  <c r="BE13" i="3"/>
  <c r="BF13" i="3"/>
  <c r="BO13" i="3" s="1"/>
  <c r="BL39" i="3"/>
  <c r="BE16" i="3"/>
  <c r="BF16" i="3"/>
  <c r="BO16" i="3" s="1"/>
  <c r="BF11" i="3"/>
  <c r="BO11" i="3" s="1"/>
  <c r="BE11" i="3"/>
  <c r="BF9" i="3"/>
  <c r="BO9" i="3" s="1"/>
  <c r="BE9" i="3"/>
  <c r="BE14" i="3"/>
  <c r="BF14" i="3"/>
  <c r="BL52" i="3"/>
  <c r="BE19" i="3"/>
  <c r="BF19" i="3"/>
  <c r="BO19" i="3" s="1"/>
  <c r="BF33" i="3"/>
  <c r="BO33" i="3" s="1"/>
  <c r="BE33" i="3"/>
  <c r="BL7" i="3"/>
  <c r="BL32" i="3"/>
  <c r="BE21" i="3"/>
  <c r="BF21" i="3"/>
  <c r="BO21" i="3" s="1"/>
  <c r="BE43" i="3"/>
  <c r="BF43" i="3"/>
  <c r="BO43" i="3" s="1"/>
  <c r="G2" i="47"/>
  <c r="F2" i="47"/>
  <c r="E3" i="47"/>
  <c r="F3" i="47"/>
  <c r="E2" i="47"/>
  <c r="BF15" i="3"/>
  <c r="BO15" i="3" s="1"/>
  <c r="BE15" i="3"/>
  <c r="BL13" i="3"/>
  <c r="BF32" i="3"/>
  <c r="BO32" i="3" s="1"/>
  <c r="BE32" i="3"/>
  <c r="BE22" i="3"/>
  <c r="BF22" i="3"/>
  <c r="BE26" i="3"/>
  <c r="BF26" i="3"/>
  <c r="BF25" i="3"/>
  <c r="BO25" i="3" s="1"/>
  <c r="BE25" i="3"/>
  <c r="BL20" i="3"/>
  <c r="BF12" i="3"/>
  <c r="BO12" i="3" s="1"/>
  <c r="BE12" i="3"/>
  <c r="BF39" i="3"/>
  <c r="BO39" i="3" s="1"/>
  <c r="BE39" i="3"/>
  <c r="BL14" i="3"/>
  <c r="BL50" i="3"/>
  <c r="BL6" i="3"/>
  <c r="BL15" i="3"/>
  <c r="BL40" i="3"/>
  <c r="BE53" i="3"/>
  <c r="BF53" i="3"/>
  <c r="BO53" i="3" s="1"/>
  <c r="BL46" i="3"/>
  <c r="BF28" i="3"/>
  <c r="BO28" i="3" s="1"/>
  <c r="BE28" i="3"/>
  <c r="BL34" i="3"/>
  <c r="BL33" i="3"/>
  <c r="BE52" i="3"/>
  <c r="BF52" i="3"/>
  <c r="BO52" i="3" s="1"/>
  <c r="BF23" i="3"/>
  <c r="BO23" i="3" s="1"/>
  <c r="BE23" i="3"/>
  <c r="BF46" i="3"/>
  <c r="BE46" i="3"/>
  <c r="BL45" i="3"/>
  <c r="BE24" i="3"/>
  <c r="BF24" i="3"/>
  <c r="BO24" i="3" s="1"/>
  <c r="BF27" i="3"/>
  <c r="BO27" i="3" s="1"/>
  <c r="BE27" i="3"/>
  <c r="BF37" i="3"/>
  <c r="BO37" i="3" s="1"/>
  <c r="BE37" i="3"/>
  <c r="BF48" i="3"/>
  <c r="BO48" i="3" s="1"/>
  <c r="BE48" i="3"/>
  <c r="BE18" i="3"/>
  <c r="BF18" i="3"/>
  <c r="BL38" i="3"/>
  <c r="BF42" i="3"/>
  <c r="BE42" i="3"/>
  <c r="BE17" i="3"/>
  <c r="BF17" i="3"/>
  <c r="BO17" i="3" s="1"/>
  <c r="BL19" i="3"/>
  <c r="BL11" i="3"/>
  <c r="BF30" i="3"/>
  <c r="BE30" i="3"/>
  <c r="BL47" i="3"/>
  <c r="BL42" i="3"/>
  <c r="BL41" i="3"/>
  <c r="BL44" i="3"/>
  <c r="BE20" i="3"/>
  <c r="BF20" i="3"/>
  <c r="BO20" i="3" s="1"/>
  <c r="BE7" i="3"/>
  <c r="BF7" i="3"/>
  <c r="BO7" i="3" s="1"/>
  <c r="BE29" i="3"/>
  <c r="BF29" i="3"/>
  <c r="BO29" i="3" s="1"/>
  <c r="BF38" i="3"/>
  <c r="BE38" i="3"/>
  <c r="BL17" i="3"/>
  <c r="BF31" i="3"/>
  <c r="BO31" i="3" s="1"/>
  <c r="BE31" i="3"/>
  <c r="BL16" i="3"/>
  <c r="BL28" i="3"/>
  <c r="BF41" i="3"/>
  <c r="BO41" i="3" s="1"/>
  <c r="BE44" i="3"/>
  <c r="BF44" i="3"/>
  <c r="BO44" i="3" s="1"/>
  <c r="BE47" i="3"/>
  <c r="BF47" i="3"/>
  <c r="BO47" i="3" s="1"/>
  <c r="BE40" i="3"/>
  <c r="BF40" i="3"/>
  <c r="BO40" i="3" s="1"/>
  <c r="BE35" i="3"/>
  <c r="BF35" i="3"/>
  <c r="BO35" i="3" s="1"/>
  <c r="BL23" i="3"/>
  <c r="BL31" i="3"/>
  <c r="BF45" i="3"/>
  <c r="BO45" i="3" s="1"/>
  <c r="BE45" i="3"/>
  <c r="BL43" i="3"/>
  <c r="BL18" i="3"/>
  <c r="BE51" i="3"/>
  <c r="BF51" i="3"/>
  <c r="BO51" i="3" s="1"/>
  <c r="BE50" i="3"/>
  <c r="BF50" i="3"/>
  <c r="F11" i="48" l="1" a="1"/>
  <c r="F11" i="48" s="1"/>
  <c r="E12" i="48"/>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20" i="3" s="1"/>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0" i="3" l="1"/>
  <c r="CQ36" i="3"/>
  <c r="CQ10" i="3"/>
  <c r="CQ11" i="3"/>
  <c r="CQ19" i="3"/>
  <c r="CQ37" i="3"/>
  <c r="F36" i="48" a="1"/>
  <c r="F36" i="48" s="1"/>
  <c r="E37" i="48"/>
  <c r="CQ20" i="3"/>
  <c r="CQ15" i="3"/>
  <c r="CQ14" i="3"/>
  <c r="CQ43" i="3"/>
  <c r="CQ44" i="3"/>
  <c r="CQ31" i="3"/>
  <c r="CR36" i="3" l="1"/>
  <c r="CR37" i="3"/>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D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26" i="3" l="1"/>
  <c r="M134" i="3"/>
  <c r="AA134" i="3" s="1"/>
  <c r="D134" i="3" s="1"/>
  <c r="N127" i="3"/>
  <c r="AF127" i="3" s="1"/>
  <c r="AG116" i="3"/>
  <c r="M188" i="46"/>
  <c r="AE40" i="45"/>
  <c r="AG114" i="3"/>
  <c r="N126" i="3"/>
  <c r="AF126" i="3" s="1"/>
  <c r="AG113" i="3"/>
  <c r="M127" i="3"/>
  <c r="AA127" i="3" s="1"/>
  <c r="D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9" i="3" l="1"/>
  <c r="AF139" i="3" s="1"/>
  <c r="AG134" i="3"/>
  <c r="N134" i="3"/>
  <c r="AF134" i="3" s="1"/>
  <c r="C223" i="46" s="1"/>
  <c r="AG127" i="3"/>
  <c r="AI43" i="45"/>
  <c r="M213" i="46"/>
  <c r="N132" i="3"/>
  <c r="AF132" i="3" s="1"/>
  <c r="AG125" i="3"/>
  <c r="M132" i="3"/>
  <c r="AA132" i="3" s="1"/>
  <c r="D132" i="3" s="1"/>
  <c r="AG124" i="3"/>
  <c r="N133" i="3"/>
  <c r="AF133" i="3" s="1"/>
  <c r="D133" i="3" s="1"/>
  <c r="AG123" i="3"/>
  <c r="M133" i="3"/>
  <c r="AA133" i="3" s="1"/>
  <c r="AG122" i="3"/>
  <c r="M131" i="3"/>
  <c r="AA131" i="3" s="1"/>
  <c r="D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AF147" i="3" l="1"/>
  <c r="D139" i="3"/>
  <c r="M229" i="46"/>
  <c r="AM38" i="45" a="1"/>
  <c r="AM38" i="45" s="1"/>
  <c r="AG133" i="3"/>
  <c r="M139" i="3"/>
  <c r="AA139" i="3" s="1"/>
  <c r="AG132" i="3"/>
  <c r="N138" i="3"/>
  <c r="AF138" i="3" s="1"/>
  <c r="M138" i="3"/>
  <c r="AA138" i="3" s="1"/>
  <c r="AG131" i="3"/>
  <c r="DT134" i="3"/>
  <c r="K223" i="46"/>
  <c r="AI44" i="45"/>
  <c r="M217" i="46"/>
  <c r="AI20" i="45"/>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AA151" i="3" l="1"/>
  <c r="H147" i="3"/>
  <c r="AU26" i="45"/>
  <c r="M241" i="46"/>
  <c r="AF143" i="3"/>
  <c r="H139" i="3"/>
  <c r="N147" i="3"/>
  <c r="AG139" i="3"/>
  <c r="N143" i="3"/>
  <c r="AA143" i="3"/>
  <c r="H138" i="3"/>
  <c r="D138" i="3"/>
  <c r="AA147" i="3"/>
  <c r="M227" i="46"/>
  <c r="AM37" i="45"/>
  <c r="DT139" i="3"/>
  <c r="C233" i="46"/>
  <c r="K233" i="46"/>
  <c r="M228" i="46"/>
  <c r="AM14" i="45"/>
  <c r="AM13" i="45"/>
  <c r="M226" i="46"/>
  <c r="K232" i="46"/>
  <c r="DT138" i="3"/>
  <c r="C232" i="46"/>
  <c r="BG216" i="46"/>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AA150" i="3" l="1"/>
  <c r="D147" i="3"/>
  <c r="AG147" i="3" s="1"/>
  <c r="M251" i="46"/>
  <c r="BB23" i="45"/>
  <c r="AG151" i="3"/>
  <c r="D143" i="3"/>
  <c r="AG143" i="3" s="1"/>
  <c r="AA152" i="3"/>
  <c r="AQ32" i="45"/>
  <c r="M237" i="46"/>
  <c r="C247" i="46"/>
  <c r="AU25" i="45"/>
  <c r="K247" i="46"/>
  <c r="DT147" i="3"/>
  <c r="M240" i="46"/>
  <c r="AG138" i="3"/>
  <c r="M147" i="3"/>
  <c r="M143" i="3"/>
  <c r="AQ31" i="45"/>
  <c r="C244" i="46"/>
  <c r="M236" i="46"/>
  <c r="DT143" i="3"/>
  <c r="K244" i="46"/>
  <c r="DO233" i="46"/>
  <c r="EM232" i="46"/>
  <c r="CN232" i="46"/>
  <c r="FE233" i="46"/>
  <c r="DI233" i="46"/>
  <c r="FK233" i="46"/>
  <c r="DU232" i="46"/>
  <c r="BV233" i="46"/>
  <c r="Z232" i="46"/>
  <c r="DL233" i="46"/>
  <c r="AF232" i="46"/>
  <c r="Z233" i="46"/>
  <c r="CT233" i="46"/>
  <c r="W233" i="46"/>
  <c r="BM232" i="46"/>
  <c r="DU233" i="46"/>
  <c r="CH232" i="46"/>
  <c r="AF233" i="46"/>
  <c r="DR233" i="46"/>
  <c r="EM233" i="46"/>
  <c r="AI233" i="46"/>
  <c r="BS233" i="46"/>
  <c r="EV233" i="46"/>
  <c r="AX232" i="46"/>
  <c r="BD233" i="46"/>
  <c r="ES233" i="46"/>
  <c r="CZ233" i="46"/>
  <c r="BV232" i="46"/>
  <c r="T232" i="46"/>
  <c r="EA233" i="46"/>
  <c r="FH232" i="46"/>
  <c r="BJ232" i="46"/>
  <c r="DL232" i="46"/>
  <c r="DF233" i="46"/>
  <c r="BP232" i="46"/>
  <c r="CW233" i="46"/>
  <c r="CT232" i="46"/>
  <c r="DC233" i="46"/>
  <c r="AC233" i="46"/>
  <c r="EY233" i="46"/>
  <c r="EV232" i="46"/>
  <c r="EJ232" i="46"/>
  <c r="AI232" i="46"/>
  <c r="CQ233" i="46"/>
  <c r="CE232" i="46"/>
  <c r="FK232" i="46"/>
  <c r="EG232" i="46"/>
  <c r="BJ233" i="46"/>
  <c r="T233" i="46"/>
  <c r="CK232" i="46"/>
  <c r="W232" i="46"/>
  <c r="ED233" i="46"/>
  <c r="CQ232" i="46"/>
  <c r="AR233" i="46"/>
  <c r="EY232" i="46"/>
  <c r="CN233" i="46"/>
  <c r="BD232" i="46"/>
  <c r="BA233" i="46"/>
  <c r="DI232" i="46"/>
  <c r="CH233" i="46"/>
  <c r="AU233" i="46"/>
  <c r="DR232" i="46"/>
  <c r="FB233" i="46"/>
  <c r="CK233" i="46"/>
  <c r="BY233" i="46"/>
  <c r="EP233" i="46"/>
  <c r="EJ233" i="46"/>
  <c r="BP233" i="46"/>
  <c r="DO232" i="46"/>
  <c r="AL233" i="46"/>
  <c r="CE233" i="46"/>
  <c r="AR232" i="46"/>
  <c r="FE232" i="46"/>
  <c r="BY232" i="46"/>
  <c r="CB233" i="46"/>
  <c r="AX233" i="46"/>
  <c r="BM233" i="46"/>
  <c r="AC232" i="46"/>
  <c r="BS232" i="46"/>
  <c r="AO233" i="46"/>
  <c r="EG233" i="46"/>
  <c r="EP232" i="46"/>
  <c r="FB232" i="46"/>
  <c r="DX233" i="46"/>
  <c r="CZ232" i="46"/>
  <c r="ES232" i="46"/>
  <c r="CB232" i="46"/>
  <c r="AL232" i="46"/>
  <c r="AU232" i="46"/>
  <c r="DC232" i="46"/>
  <c r="BG232" i="46"/>
  <c r="ED232" i="46"/>
  <c r="AO232" i="46"/>
  <c r="CW232" i="46"/>
  <c r="FH233" i="46"/>
  <c r="BG233" i="46"/>
  <c r="BA232" i="46"/>
  <c r="DX232" i="46"/>
  <c r="DX234" i="46" s="1"/>
  <c r="EA232" i="46"/>
  <c r="DF232" i="46"/>
  <c r="DO227" i="46"/>
  <c r="DF229" i="46"/>
  <c r="AL227" i="46"/>
  <c r="BP227" i="46"/>
  <c r="DC229" i="46"/>
  <c r="EP229" i="46"/>
  <c r="CZ226" i="46"/>
  <c r="BV229" i="46"/>
  <c r="W228" i="46"/>
  <c r="EG228" i="46"/>
  <c r="BS228" i="46"/>
  <c r="T229" i="46"/>
  <c r="CW227" i="46"/>
  <c r="CW226" i="46"/>
  <c r="EG227" i="46"/>
  <c r="DL227" i="46"/>
  <c r="Z227" i="46"/>
  <c r="FB228" i="46"/>
  <c r="CK227" i="46"/>
  <c r="EA227" i="46"/>
  <c r="EG229" i="46"/>
  <c r="BJ227" i="46"/>
  <c r="EY227" i="46"/>
  <c r="AO226" i="46"/>
  <c r="Z226" i="46"/>
  <c r="CT229" i="46"/>
  <c r="AU228" i="46"/>
  <c r="DR226" i="46"/>
  <c r="AL228" i="46"/>
  <c r="AF229" i="46"/>
  <c r="FE226" i="46"/>
  <c r="BA229" i="46"/>
  <c r="ES226" i="46"/>
  <c r="EY226" i="46"/>
  <c r="CW228" i="46"/>
  <c r="BG227" i="46"/>
  <c r="CW229" i="46"/>
  <c r="CN227" i="46"/>
  <c r="BM228" i="46"/>
  <c r="AI226" i="46"/>
  <c r="BA226" i="46"/>
  <c r="DU226" i="46"/>
  <c r="BS229" i="46"/>
  <c r="ED228" i="46"/>
  <c r="CK229" i="46"/>
  <c r="DO229" i="46"/>
  <c r="EP228" i="46"/>
  <c r="CH229" i="46"/>
  <c r="CB228" i="46"/>
  <c r="BG228" i="46"/>
  <c r="CB227" i="46"/>
  <c r="W229" i="46"/>
  <c r="DL226" i="46"/>
  <c r="BD227" i="46"/>
  <c r="AC226" i="46"/>
  <c r="DO228" i="46"/>
  <c r="CH226" i="46"/>
  <c r="DR227" i="46"/>
  <c r="CZ227" i="46"/>
  <c r="CN229" i="46"/>
  <c r="FE228" i="46"/>
  <c r="AC229" i="46"/>
  <c r="DI226" i="46"/>
  <c r="AO228" i="46"/>
  <c r="DF227" i="46"/>
  <c r="AI228" i="46"/>
  <c r="BD229" i="46"/>
  <c r="CZ229" i="46"/>
  <c r="AX226" i="46"/>
  <c r="FK227" i="46"/>
  <c r="AF227" i="46"/>
  <c r="FB227" i="46"/>
  <c r="DO226" i="46"/>
  <c r="FK226" i="46"/>
  <c r="EV226" i="46"/>
  <c r="CB229" i="46"/>
  <c r="DC228" i="46"/>
  <c r="BD226" i="46"/>
  <c r="AR229" i="46"/>
  <c r="W227" i="46"/>
  <c r="CE226" i="46"/>
  <c r="DC227" i="46"/>
  <c r="T227" i="46"/>
  <c r="BJ226" i="46"/>
  <c r="W226" i="46"/>
  <c r="BY228" i="46"/>
  <c r="EA226" i="46"/>
  <c r="DX226" i="46"/>
  <c r="AF226" i="46"/>
  <c r="EV228" i="46"/>
  <c r="AL226" i="46"/>
  <c r="CT227" i="46"/>
  <c r="FH227" i="46"/>
  <c r="FE229" i="46"/>
  <c r="CE228" i="46"/>
  <c r="EY228" i="46"/>
  <c r="DI228" i="46"/>
  <c r="EJ228" i="46"/>
  <c r="DI227" i="46"/>
  <c r="CK228" i="46"/>
  <c r="EJ229" i="46"/>
  <c r="CQ228" i="46"/>
  <c r="EV227" i="46"/>
  <c r="DU228" i="46"/>
  <c r="BY227" i="46"/>
  <c r="CH227" i="46"/>
  <c r="BV228" i="46"/>
  <c r="BD228" i="46"/>
  <c r="EP226" i="46"/>
  <c r="BM227" i="46"/>
  <c r="AC227" i="46"/>
  <c r="CE229" i="46"/>
  <c r="EM226" i="46"/>
  <c r="DU227" i="46"/>
  <c r="FB229" i="46"/>
  <c r="BP226" i="46"/>
  <c r="DF228" i="46"/>
  <c r="AR228" i="46"/>
  <c r="CT226" i="46"/>
  <c r="ES229" i="46"/>
  <c r="ES228" i="46"/>
  <c r="CN226" i="46"/>
  <c r="AO229" i="46"/>
  <c r="FH226" i="46"/>
  <c r="CN228" i="46"/>
  <c r="EV229" i="46"/>
  <c r="CE227" i="46"/>
  <c r="ED229" i="46"/>
  <c r="EM227" i="46"/>
  <c r="BA228" i="46"/>
  <c r="BY226" i="46"/>
  <c r="AU229" i="46"/>
  <c r="CQ229" i="46"/>
  <c r="DR229" i="46"/>
  <c r="BG229" i="46"/>
  <c r="AF228" i="46"/>
  <c r="AC228" i="46"/>
  <c r="EJ226" i="46"/>
  <c r="ED227" i="46"/>
  <c r="BP229" i="46"/>
  <c r="ES227" i="46"/>
  <c r="FK229" i="46"/>
  <c r="AI227" i="46"/>
  <c r="AU226" i="46"/>
  <c r="DL229" i="46"/>
  <c r="CB226" i="46"/>
  <c r="EM228" i="46"/>
  <c r="EY229" i="46"/>
  <c r="DF226" i="46"/>
  <c r="FE227" i="46"/>
  <c r="EP227" i="46"/>
  <c r="BM226" i="46"/>
  <c r="DX229" i="46"/>
  <c r="BJ229" i="46"/>
  <c r="DX227" i="46"/>
  <c r="Z229" i="46"/>
  <c r="FH229" i="46"/>
  <c r="AR227" i="46"/>
  <c r="Z228" i="46"/>
  <c r="ED226" i="46"/>
  <c r="CK226" i="46"/>
  <c r="DL228" i="46"/>
  <c r="CQ226" i="46"/>
  <c r="CQ227" i="46"/>
  <c r="EA229" i="46"/>
  <c r="AI229" i="46"/>
  <c r="BG226" i="46"/>
  <c r="AU227" i="46"/>
  <c r="BV226" i="46"/>
  <c r="BM229" i="46"/>
  <c r="DR228" i="46"/>
  <c r="AO227" i="46"/>
  <c r="AL229" i="46"/>
  <c r="EM229" i="46"/>
  <c r="FK228" i="46"/>
  <c r="BJ228" i="46"/>
  <c r="BV227" i="46"/>
  <c r="BS226" i="46"/>
  <c r="DX228" i="46"/>
  <c r="FH228" i="46"/>
  <c r="EJ227" i="46"/>
  <c r="EG226" i="46"/>
  <c r="T228" i="46"/>
  <c r="EA228" i="46"/>
  <c r="CT228" i="46"/>
  <c r="AR226" i="46"/>
  <c r="AX227" i="46"/>
  <c r="FB226" i="46"/>
  <c r="AX229" i="46"/>
  <c r="DI229" i="46"/>
  <c r="CZ228" i="46"/>
  <c r="CH228" i="46"/>
  <c r="BA227" i="46"/>
  <c r="DC226" i="46"/>
  <c r="BP228" i="46"/>
  <c r="AX228" i="46"/>
  <c r="BS227" i="46"/>
  <c r="T226" i="46"/>
  <c r="BY229" i="46"/>
  <c r="DU229" i="46"/>
  <c r="CZ224" i="46"/>
  <c r="DR224" i="46"/>
  <c r="DX224" i="46"/>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CW234" i="46" l="1"/>
  <c r="AU234" i="46"/>
  <c r="AG150" i="3"/>
  <c r="BA21" i="45"/>
  <c r="M250" i="46"/>
  <c r="EY251" i="46"/>
  <c r="AU251" i="46"/>
  <c r="CT251" i="46"/>
  <c r="EG251" i="46"/>
  <c r="BD251" i="46"/>
  <c r="DC251" i="46"/>
  <c r="Z251" i="46"/>
  <c r="BM251" i="46"/>
  <c r="EP251" i="46"/>
  <c r="DX251" i="46"/>
  <c r="CK251" i="46"/>
  <c r="ED251" i="46"/>
  <c r="BP251" i="46"/>
  <c r="BY251" i="46"/>
  <c r="EV251" i="46"/>
  <c r="CW251" i="46"/>
  <c r="W251" i="46"/>
  <c r="AR251" i="46"/>
  <c r="EM251" i="46"/>
  <c r="FH251" i="46"/>
  <c r="CE251" i="46"/>
  <c r="T251" i="46"/>
  <c r="AI251" i="46"/>
  <c r="CN251" i="46"/>
  <c r="CQ251" i="46"/>
  <c r="AL251" i="46"/>
  <c r="DO251" i="46"/>
  <c r="AX251" i="46"/>
  <c r="CH251" i="46"/>
  <c r="DU251" i="46"/>
  <c r="BA251" i="46"/>
  <c r="BJ251" i="46"/>
  <c r="CZ251" i="46"/>
  <c r="FK251" i="46"/>
  <c r="BS251" i="46"/>
  <c r="DI251" i="46"/>
  <c r="AC251" i="46"/>
  <c r="AF251" i="46"/>
  <c r="DL251" i="46"/>
  <c r="FE251" i="46"/>
  <c r="FB251" i="46"/>
  <c r="DR251" i="46"/>
  <c r="ES251" i="46"/>
  <c r="CB251" i="46"/>
  <c r="DF251" i="46"/>
  <c r="EJ251" i="46"/>
  <c r="AO251" i="46"/>
  <c r="BG251" i="46"/>
  <c r="EA251" i="46"/>
  <c r="BV251" i="46"/>
  <c r="BN13" i="45"/>
  <c r="BN5" i="45"/>
  <c r="BN39" i="45"/>
  <c r="BN14" i="45"/>
  <c r="BN48" i="45"/>
  <c r="BN25" i="45"/>
  <c r="BN8" i="45"/>
  <c r="BN40" i="45"/>
  <c r="BN17" i="45"/>
  <c r="BN27" i="45"/>
  <c r="BN46" i="45"/>
  <c r="BN10" i="45"/>
  <c r="BN11" i="45"/>
  <c r="BN7" i="45"/>
  <c r="BN38" i="45"/>
  <c r="BN44" i="45"/>
  <c r="BN20" i="45"/>
  <c r="BN12" i="45"/>
  <c r="BN16" i="45"/>
  <c r="BN31" i="45"/>
  <c r="BN51" i="45"/>
  <c r="BN6" i="45"/>
  <c r="BN41" i="45"/>
  <c r="BN37" i="45"/>
  <c r="BN34" i="45"/>
  <c r="BN36" i="45"/>
  <c r="BN22" i="45"/>
  <c r="BN23" i="45"/>
  <c r="BN45" i="45"/>
  <c r="BN42" i="45"/>
  <c r="BN47" i="45"/>
  <c r="BN21" i="45"/>
  <c r="BN33" i="45"/>
  <c r="BN50" i="45"/>
  <c r="BN18" i="45"/>
  <c r="BN4" i="45"/>
  <c r="BN35" i="45"/>
  <c r="BN9" i="45"/>
  <c r="BN49" i="45"/>
  <c r="BN43" i="45"/>
  <c r="BN26" i="45"/>
  <c r="BN30" i="45"/>
  <c r="BN29" i="45"/>
  <c r="BN19" i="45"/>
  <c r="BN24" i="45"/>
  <c r="BN28" i="45"/>
  <c r="BN32" i="45"/>
  <c r="BN15" i="45"/>
  <c r="M252" i="46"/>
  <c r="AZ25" i="45"/>
  <c r="AG152" i="3"/>
  <c r="EY234" i="46"/>
  <c r="BV234" i="46"/>
  <c r="BA234" i="46"/>
  <c r="BG237" i="46"/>
  <c r="DI236" i="46"/>
  <c r="BD236" i="46"/>
  <c r="AU237" i="46"/>
  <c r="DO237" i="46"/>
  <c r="FB236" i="46"/>
  <c r="BJ236" i="46"/>
  <c r="T237" i="46"/>
  <c r="CT236" i="46"/>
  <c r="BY236" i="46"/>
  <c r="EP237" i="46"/>
  <c r="CB237" i="46"/>
  <c r="FH237" i="46"/>
  <c r="ES236" i="46"/>
  <c r="BP236" i="46"/>
  <c r="BJ237" i="46"/>
  <c r="DC236" i="46"/>
  <c r="AL237" i="46"/>
  <c r="BV237" i="46"/>
  <c r="T236" i="46"/>
  <c r="AO236" i="46"/>
  <c r="FK237" i="46"/>
  <c r="BS237" i="46"/>
  <c r="DC237" i="46"/>
  <c r="ES237" i="46"/>
  <c r="CT237" i="46"/>
  <c r="CH236" i="46"/>
  <c r="DO236" i="46"/>
  <c r="FB237" i="46"/>
  <c r="EP236" i="46"/>
  <c r="AX236" i="46"/>
  <c r="CW236" i="46"/>
  <c r="AC237" i="46"/>
  <c r="BG236" i="46"/>
  <c r="EJ237" i="46"/>
  <c r="W237" i="46"/>
  <c r="EV236" i="46"/>
  <c r="EA237" i="46"/>
  <c r="BS236" i="46"/>
  <c r="BM237" i="46"/>
  <c r="ED237" i="46"/>
  <c r="AR236" i="46"/>
  <c r="AI236" i="46"/>
  <c r="BY237" i="46"/>
  <c r="FH236" i="46"/>
  <c r="BA236" i="46"/>
  <c r="DL237" i="46"/>
  <c r="EA236" i="46"/>
  <c r="DR237" i="46"/>
  <c r="CZ237" i="46"/>
  <c r="DU237" i="46"/>
  <c r="BM236" i="46"/>
  <c r="AO237" i="46"/>
  <c r="FE236" i="46"/>
  <c r="CH237" i="46"/>
  <c r="EY236" i="46"/>
  <c r="DR236" i="46"/>
  <c r="DU236" i="46"/>
  <c r="AL236" i="46"/>
  <c r="ED236" i="46"/>
  <c r="CK237" i="46"/>
  <c r="FK236" i="46"/>
  <c r="CE236" i="46"/>
  <c r="DF237" i="46"/>
  <c r="AF237" i="46"/>
  <c r="EY237" i="46"/>
  <c r="AU236" i="46"/>
  <c r="DX237" i="46"/>
  <c r="EG237" i="46"/>
  <c r="AX237" i="46"/>
  <c r="DI237" i="46"/>
  <c r="CQ237" i="46"/>
  <c r="AI237" i="46"/>
  <c r="EV237" i="46"/>
  <c r="CZ236" i="46"/>
  <c r="CN237" i="46"/>
  <c r="BP237" i="46"/>
  <c r="CN236" i="46"/>
  <c r="DX236" i="46"/>
  <c r="CW237" i="46"/>
  <c r="EJ236" i="46"/>
  <c r="BD237" i="46"/>
  <c r="AR237" i="46"/>
  <c r="BV236" i="46"/>
  <c r="CE237" i="46"/>
  <c r="AC236" i="46"/>
  <c r="Z236" i="46"/>
  <c r="CK236" i="46"/>
  <c r="EG236" i="46"/>
  <c r="W236" i="46"/>
  <c r="EM236" i="46"/>
  <c r="DL236" i="46"/>
  <c r="DF236" i="46"/>
  <c r="EM237" i="46"/>
  <c r="Z237" i="46"/>
  <c r="CB236" i="46"/>
  <c r="CB238" i="46" s="1"/>
  <c r="CQ236" i="46"/>
  <c r="BA237" i="46"/>
  <c r="AF236" i="46"/>
  <c r="FE237" i="46"/>
  <c r="DL240" i="46"/>
  <c r="AI241" i="46"/>
  <c r="BD241" i="46"/>
  <c r="DX241" i="46"/>
  <c r="AX240" i="46"/>
  <c r="CN240" i="46"/>
  <c r="DI241" i="46"/>
  <c r="CW241" i="46"/>
  <c r="AU240" i="46"/>
  <c r="EJ241" i="46"/>
  <c r="DC241" i="46"/>
  <c r="AC240" i="46"/>
  <c r="EA240" i="46"/>
  <c r="BS240" i="46"/>
  <c r="W241" i="46"/>
  <c r="DU240" i="46"/>
  <c r="FH241" i="46"/>
  <c r="CK241" i="46"/>
  <c r="DR240" i="46"/>
  <c r="CB241" i="46"/>
  <c r="T240" i="46"/>
  <c r="BM241" i="46"/>
  <c r="ES240" i="46"/>
  <c r="AR241" i="46"/>
  <c r="BY240" i="46"/>
  <c r="FB241" i="46"/>
  <c r="AL240" i="46"/>
  <c r="CT240" i="46"/>
  <c r="BY241" i="46"/>
  <c r="FK241" i="46"/>
  <c r="BD240" i="46"/>
  <c r="DX240" i="46"/>
  <c r="CQ241" i="46"/>
  <c r="AX241" i="46"/>
  <c r="EJ240" i="46"/>
  <c r="EP240" i="46"/>
  <c r="BJ240" i="46"/>
  <c r="CE240" i="46"/>
  <c r="EY240" i="46"/>
  <c r="AO240" i="46"/>
  <c r="EV241" i="46"/>
  <c r="AO241" i="46"/>
  <c r="ES241" i="46"/>
  <c r="EP241" i="46"/>
  <c r="Z241" i="46"/>
  <c r="DU241" i="46"/>
  <c r="BM240" i="46"/>
  <c r="FB240" i="46"/>
  <c r="FE240" i="46"/>
  <c r="EA241" i="46"/>
  <c r="DI240" i="46"/>
  <c r="ED240" i="46"/>
  <c r="BA241" i="46"/>
  <c r="EG241" i="46"/>
  <c r="AL241" i="46"/>
  <c r="T241" i="46"/>
  <c r="FK240" i="46"/>
  <c r="DF241" i="46"/>
  <c r="CN241" i="46"/>
  <c r="EM240" i="46"/>
  <c r="CW240" i="46"/>
  <c r="AU241" i="46"/>
  <c r="AI240" i="46"/>
  <c r="CQ240" i="46"/>
  <c r="CZ240" i="46"/>
  <c r="CH240" i="46"/>
  <c r="DC240" i="46"/>
  <c r="DC242" i="46" s="1"/>
  <c r="FE241" i="46"/>
  <c r="EG240" i="46"/>
  <c r="FH240" i="46"/>
  <c r="AF241" i="46"/>
  <c r="CZ241" i="46"/>
  <c r="Z240" i="46"/>
  <c r="Z242" i="46" s="1"/>
  <c r="BV241" i="46"/>
  <c r="AF240" i="46"/>
  <c r="BP241" i="46"/>
  <c r="DO240" i="46"/>
  <c r="CK240" i="46"/>
  <c r="BG241" i="46"/>
  <c r="ED241" i="46"/>
  <c r="W240" i="46"/>
  <c r="BV240" i="46"/>
  <c r="CB240" i="46"/>
  <c r="BS241" i="46"/>
  <c r="BG240" i="46"/>
  <c r="DR241" i="46"/>
  <c r="CH241" i="46"/>
  <c r="CE241" i="46"/>
  <c r="EY241" i="46"/>
  <c r="EM241" i="46"/>
  <c r="AR240" i="46"/>
  <c r="DF240" i="46"/>
  <c r="BJ241" i="46"/>
  <c r="BA240" i="46"/>
  <c r="DL241" i="46"/>
  <c r="CT241" i="46"/>
  <c r="DO241" i="46"/>
  <c r="EV240" i="46"/>
  <c r="BP240" i="46"/>
  <c r="AC241" i="46"/>
  <c r="DL247" i="46"/>
  <c r="DL248" i="46" s="1"/>
  <c r="EA247" i="46"/>
  <c r="EA248" i="46" s="1"/>
  <c r="AR247" i="46"/>
  <c r="AR248" i="46" s="1"/>
  <c r="EY247" i="46"/>
  <c r="EY248" i="46" s="1"/>
  <c r="BV247" i="46"/>
  <c r="BV248" i="46" s="1"/>
  <c r="BP247" i="46"/>
  <c r="BP248" i="46" s="1"/>
  <c r="EG247" i="46"/>
  <c r="EG248" i="46" s="1"/>
  <c r="EM247" i="46"/>
  <c r="EM248" i="46" s="1"/>
  <c r="DC247" i="46"/>
  <c r="DC248" i="46" s="1"/>
  <c r="AU247" i="46"/>
  <c r="AU248" i="46" s="1"/>
  <c r="BG247" i="46"/>
  <c r="BG248" i="46" s="1"/>
  <c r="CB247" i="46"/>
  <c r="CB248" i="46" s="1"/>
  <c r="CW247" i="46"/>
  <c r="CW248" i="46" s="1"/>
  <c r="DR247" i="46"/>
  <c r="DR248" i="46" s="1"/>
  <c r="FK247" i="46"/>
  <c r="FK248" i="46" s="1"/>
  <c r="CT247" i="46"/>
  <c r="CT248" i="46" s="1"/>
  <c r="CN247" i="46"/>
  <c r="CN248" i="46" s="1"/>
  <c r="DI247" i="46"/>
  <c r="DI248" i="46" s="1"/>
  <c r="Z247" i="46"/>
  <c r="Z248" i="46" s="1"/>
  <c r="CQ247" i="46"/>
  <c r="CQ248" i="46" s="1"/>
  <c r="BD247" i="46"/>
  <c r="BD248" i="46" s="1"/>
  <c r="DO247" i="46"/>
  <c r="DO248" i="46" s="1"/>
  <c r="DU247" i="46"/>
  <c r="DU248" i="46" s="1"/>
  <c r="CZ247" i="46"/>
  <c r="CZ248" i="46" s="1"/>
  <c r="AC247" i="46"/>
  <c r="AC248" i="46" s="1"/>
  <c r="EP247" i="46"/>
  <c r="EP248" i="46" s="1"/>
  <c r="BY247" i="46"/>
  <c r="BY248" i="46" s="1"/>
  <c r="CK247" i="46"/>
  <c r="CK248" i="46" s="1"/>
  <c r="AI247" i="46"/>
  <c r="AI248" i="46" s="1"/>
  <c r="BJ247" i="46"/>
  <c r="BJ248" i="46" s="1"/>
  <c r="EV247" i="46"/>
  <c r="EV248" i="46" s="1"/>
  <c r="ES247" i="46"/>
  <c r="ES248" i="46" s="1"/>
  <c r="DX247" i="46"/>
  <c r="DX248" i="46" s="1"/>
  <c r="T247" i="46"/>
  <c r="T248" i="46" s="1"/>
  <c r="AO247" i="46"/>
  <c r="AO248" i="46" s="1"/>
  <c r="FB247" i="46"/>
  <c r="FB248" i="46" s="1"/>
  <c r="AL247" i="46"/>
  <c r="AL248" i="46" s="1"/>
  <c r="BS247" i="46"/>
  <c r="BS248" i="46" s="1"/>
  <c r="FH247" i="46"/>
  <c r="FH248" i="46" s="1"/>
  <c r="DF247" i="46"/>
  <c r="DF248" i="46" s="1"/>
  <c r="AX247" i="46"/>
  <c r="AX248" i="46" s="1"/>
  <c r="AF247" i="46"/>
  <c r="AF248" i="46" s="1"/>
  <c r="EJ247" i="46"/>
  <c r="EJ248" i="46" s="1"/>
  <c r="BM247" i="46"/>
  <c r="BM248" i="46" s="1"/>
  <c r="FE247" i="46"/>
  <c r="FE248" i="46" s="1"/>
  <c r="BA247" i="46"/>
  <c r="BA248" i="46" s="1"/>
  <c r="ED247" i="46"/>
  <c r="ED248" i="46" s="1"/>
  <c r="CH247" i="46"/>
  <c r="CH248" i="46" s="1"/>
  <c r="CE247" i="46"/>
  <c r="CE248" i="46" s="1"/>
  <c r="W247" i="46"/>
  <c r="W248" i="46" s="1"/>
  <c r="EM244" i="46"/>
  <c r="EM245" i="46" s="1"/>
  <c r="EG244" i="46"/>
  <c r="EG245" i="46" s="1"/>
  <c r="BS244" i="46"/>
  <c r="BS245" i="46" s="1"/>
  <c r="AR244" i="46"/>
  <c r="AR245" i="46" s="1"/>
  <c r="EA244" i="46"/>
  <c r="EA245" i="46" s="1"/>
  <c r="DL244" i="46"/>
  <c r="DL245" i="46" s="1"/>
  <c r="BY244" i="46"/>
  <c r="BY245" i="46" s="1"/>
  <c r="ES244" i="46"/>
  <c r="ES245" i="46" s="1"/>
  <c r="FB244" i="46"/>
  <c r="FB245" i="46" s="1"/>
  <c r="DR244" i="46"/>
  <c r="DR245" i="46" s="1"/>
  <c r="DC244" i="46"/>
  <c r="DC245" i="46" s="1"/>
  <c r="DI244" i="46"/>
  <c r="DI245" i="46" s="1"/>
  <c r="BA244" i="46"/>
  <c r="BA245" i="46" s="1"/>
  <c r="DX244" i="46"/>
  <c r="DX245" i="46" s="1"/>
  <c r="EJ244" i="46"/>
  <c r="EJ245" i="46" s="1"/>
  <c r="CB244" i="46"/>
  <c r="CB245" i="46" s="1"/>
  <c r="CE244" i="46"/>
  <c r="CE245" i="46" s="1"/>
  <c r="AL244" i="46"/>
  <c r="AL245" i="46" s="1"/>
  <c r="CQ244" i="46"/>
  <c r="CQ245" i="46" s="1"/>
  <c r="FH244" i="46"/>
  <c r="FH245" i="46" s="1"/>
  <c r="CT244" i="46"/>
  <c r="CT245" i="46" s="1"/>
  <c r="AO244" i="46"/>
  <c r="AO245" i="46" s="1"/>
  <c r="AI244" i="46"/>
  <c r="AI245" i="46" s="1"/>
  <c r="EY244" i="46"/>
  <c r="EY245" i="46" s="1"/>
  <c r="CZ244" i="46"/>
  <c r="CZ245" i="46" s="1"/>
  <c r="AX244" i="46"/>
  <c r="AX245" i="46" s="1"/>
  <c r="FE244" i="46"/>
  <c r="FE245" i="46" s="1"/>
  <c r="BP244" i="46"/>
  <c r="BP245" i="46" s="1"/>
  <c r="CN244" i="46"/>
  <c r="CN245" i="46" s="1"/>
  <c r="BJ244" i="46"/>
  <c r="BJ245" i="46" s="1"/>
  <c r="DO244" i="46"/>
  <c r="DO245" i="46" s="1"/>
  <c r="BD244" i="46"/>
  <c r="BD245" i="46" s="1"/>
  <c r="DF244" i="46"/>
  <c r="DF245" i="46" s="1"/>
  <c r="CW244" i="46"/>
  <c r="CW245" i="46" s="1"/>
  <c r="CH244" i="46"/>
  <c r="CH245" i="46" s="1"/>
  <c r="AC244" i="46"/>
  <c r="AC245" i="46" s="1"/>
  <c r="EV244" i="46"/>
  <c r="EV245" i="46" s="1"/>
  <c r="Z244" i="46"/>
  <c r="Z245" i="46" s="1"/>
  <c r="T244" i="46"/>
  <c r="T245" i="46" s="1"/>
  <c r="ED244" i="46"/>
  <c r="ED245" i="46" s="1"/>
  <c r="AF244" i="46"/>
  <c r="AF245" i="46" s="1"/>
  <c r="FK244" i="46"/>
  <c r="FK245" i="46" s="1"/>
  <c r="BG244" i="46"/>
  <c r="BG245" i="46" s="1"/>
  <c r="DU244" i="46"/>
  <c r="DU245" i="46" s="1"/>
  <c r="W244" i="46"/>
  <c r="W245" i="46" s="1"/>
  <c r="AU244" i="46"/>
  <c r="AU245" i="46" s="1"/>
  <c r="BV244" i="46"/>
  <c r="BV245" i="46" s="1"/>
  <c r="BM244" i="46"/>
  <c r="BM245" i="46" s="1"/>
  <c r="CK244" i="46"/>
  <c r="CK245" i="46" s="1"/>
  <c r="EP244" i="46"/>
  <c r="EP245" i="46" s="1"/>
  <c r="BS234" i="46"/>
  <c r="DR234" i="46"/>
  <c r="CQ234" i="46"/>
  <c r="DU234" i="46"/>
  <c r="EA234" i="46"/>
  <c r="EJ230" i="46"/>
  <c r="CE230" i="46"/>
  <c r="DL230" i="46"/>
  <c r="Z230" i="46"/>
  <c r="FB234" i="46"/>
  <c r="DO234" i="46"/>
  <c r="EV234" i="46"/>
  <c r="FE234" i="46"/>
  <c r="W234" i="46"/>
  <c r="CN230" i="46"/>
  <c r="EP234" i="46"/>
  <c r="AX234" i="46"/>
  <c r="BY230" i="46"/>
  <c r="DO230" i="46"/>
  <c r="AL234" i="46"/>
  <c r="BY234" i="46"/>
  <c r="FK234" i="46"/>
  <c r="BJ234" i="46"/>
  <c r="CB234" i="46"/>
  <c r="DI234" i="46"/>
  <c r="DF234" i="46"/>
  <c r="DC230" i="46"/>
  <c r="BM230" i="46"/>
  <c r="FH230" i="46"/>
  <c r="AI230" i="46"/>
  <c r="EJ234" i="46"/>
  <c r="CQ230" i="46"/>
  <c r="DF230" i="46"/>
  <c r="AF234" i="46"/>
  <c r="BD230" i="46"/>
  <c r="CK230" i="46"/>
  <c r="CT230" i="46"/>
  <c r="AL230" i="46"/>
  <c r="DI230" i="46"/>
  <c r="CZ230" i="46"/>
  <c r="AO234" i="46"/>
  <c r="CT234" i="46"/>
  <c r="Z234" i="46"/>
  <c r="EP230" i="46"/>
  <c r="FB230" i="46"/>
  <c r="ED230" i="46"/>
  <c r="CB230" i="46"/>
  <c r="EY230" i="46"/>
  <c r="ED234" i="46"/>
  <c r="AC234" i="46"/>
  <c r="CK234" i="46"/>
  <c r="AF230" i="46"/>
  <c r="EV230" i="46"/>
  <c r="ES230" i="46"/>
  <c r="BG234" i="46"/>
  <c r="BP234" i="46"/>
  <c r="AR230" i="46"/>
  <c r="AU230" i="46"/>
  <c r="BP230" i="46"/>
  <c r="DX230" i="46"/>
  <c r="FK230" i="46"/>
  <c r="DC234" i="46"/>
  <c r="BS230" i="46"/>
  <c r="EA230" i="46"/>
  <c r="FE230" i="46"/>
  <c r="EG234" i="46"/>
  <c r="DL234" i="46"/>
  <c r="T230" i="46"/>
  <c r="M230" i="46"/>
  <c r="BV230" i="46"/>
  <c r="EM230" i="46"/>
  <c r="W230" i="46"/>
  <c r="CH230" i="46"/>
  <c r="CE234" i="46"/>
  <c r="FH234" i="46"/>
  <c r="CH234" i="46"/>
  <c r="CN234" i="46"/>
  <c r="EG230" i="46"/>
  <c r="BJ230" i="46"/>
  <c r="DU230" i="46"/>
  <c r="DR230" i="46"/>
  <c r="CW230" i="46"/>
  <c r="ES234" i="46"/>
  <c r="AR234" i="46"/>
  <c r="EM234" i="46"/>
  <c r="AO230" i="46"/>
  <c r="BG230" i="46"/>
  <c r="AX230" i="46"/>
  <c r="AC230" i="46"/>
  <c r="BA230" i="46"/>
  <c r="CZ234" i="46"/>
  <c r="BD234" i="46"/>
  <c r="AI234" i="46"/>
  <c r="T234" i="46"/>
  <c r="BM234" i="46"/>
  <c r="BX62" i="3"/>
  <c r="BX60" i="3"/>
  <c r="BX59" i="3"/>
  <c r="BX61" i="3"/>
  <c r="BX67" i="3"/>
  <c r="BX63" i="3"/>
  <c r="BX68" i="3"/>
  <c r="BX65" i="3"/>
  <c r="BX64" i="3"/>
  <c r="BD242" i="46" l="1"/>
  <c r="S27" i="51"/>
  <c r="S22" i="51"/>
  <c r="S39" i="51"/>
  <c r="S40" i="51"/>
  <c r="S29" i="51"/>
  <c r="S19" i="51"/>
  <c r="S23" i="51"/>
  <c r="S13" i="51"/>
  <c r="S51" i="51"/>
  <c r="S36" i="51"/>
  <c r="S10" i="51"/>
  <c r="S37" i="51"/>
  <c r="S24" i="51"/>
  <c r="S18" i="51"/>
  <c r="S54" i="51"/>
  <c r="S12" i="51"/>
  <c r="S55" i="51"/>
  <c r="S41" i="51"/>
  <c r="S49" i="51"/>
  <c r="S8" i="51"/>
  <c r="S35" i="51"/>
  <c r="S15" i="51"/>
  <c r="S28" i="51"/>
  <c r="S25" i="51"/>
  <c r="S50" i="51"/>
  <c r="S32" i="51"/>
  <c r="S17" i="51"/>
  <c r="S42" i="51"/>
  <c r="S16" i="51"/>
  <c r="S20" i="51"/>
  <c r="S30" i="51"/>
  <c r="S47" i="51"/>
  <c r="S44" i="51"/>
  <c r="S31" i="51"/>
  <c r="S9" i="51"/>
  <c r="S53" i="51"/>
  <c r="S38" i="51"/>
  <c r="S11" i="51"/>
  <c r="S48" i="51"/>
  <c r="S45" i="51"/>
  <c r="S52" i="51"/>
  <c r="S33" i="51"/>
  <c r="S43" i="51"/>
  <c r="S34" i="51"/>
  <c r="S26" i="51"/>
  <c r="S21" i="51"/>
  <c r="S46" i="51"/>
  <c r="S14" i="51"/>
  <c r="FK250" i="46"/>
  <c r="EG250" i="46"/>
  <c r="BP250" i="46"/>
  <c r="AU250" i="46"/>
  <c r="T250" i="46"/>
  <c r="DO250" i="46"/>
  <c r="EV250" i="46"/>
  <c r="BY250" i="46"/>
  <c r="CQ250" i="46"/>
  <c r="CN250" i="46"/>
  <c r="AL250" i="46"/>
  <c r="EP250" i="46"/>
  <c r="AC250" i="46"/>
  <c r="FE250" i="46"/>
  <c r="ES250" i="46"/>
  <c r="DC250" i="46"/>
  <c r="CW250" i="46"/>
  <c r="CZ250" i="46"/>
  <c r="AI250" i="46"/>
  <c r="AR250" i="46"/>
  <c r="DL250" i="46"/>
  <c r="EY250" i="46"/>
  <c r="EA250" i="46"/>
  <c r="Z250" i="46"/>
  <c r="AX250" i="46"/>
  <c r="DU250" i="46"/>
  <c r="CB250" i="46"/>
  <c r="EM250" i="46"/>
  <c r="W250" i="46"/>
  <c r="BJ250" i="46"/>
  <c r="AO250" i="46"/>
  <c r="CH250" i="46"/>
  <c r="BV250" i="46"/>
  <c r="FB250" i="46"/>
  <c r="BA250" i="46"/>
  <c r="AF250" i="46"/>
  <c r="BM250" i="46"/>
  <c r="BD250" i="46"/>
  <c r="BG250" i="46"/>
  <c r="CE250" i="46"/>
  <c r="FH250" i="46"/>
  <c r="EJ250" i="46"/>
  <c r="ED250" i="46"/>
  <c r="DF250" i="46"/>
  <c r="DI250" i="46"/>
  <c r="CT250" i="46"/>
  <c r="DR250" i="46"/>
  <c r="CK250" i="46"/>
  <c r="BS250" i="46"/>
  <c r="DX250" i="46"/>
  <c r="BO30" i="45"/>
  <c r="BO48" i="45"/>
  <c r="BO13" i="45"/>
  <c r="BO19" i="45"/>
  <c r="BO9" i="45"/>
  <c r="BO44" i="45"/>
  <c r="BO20" i="45"/>
  <c r="BO8" i="45"/>
  <c r="BO40" i="45"/>
  <c r="BO17" i="45"/>
  <c r="BO11" i="45"/>
  <c r="BO41" i="45"/>
  <c r="BO7" i="45"/>
  <c r="BO38" i="45"/>
  <c r="BO12" i="45"/>
  <c r="BO16" i="45"/>
  <c r="BO31" i="45"/>
  <c r="BO51" i="45"/>
  <c r="BO6" i="45"/>
  <c r="BO23" i="45"/>
  <c r="BO37" i="45"/>
  <c r="BO34" i="45"/>
  <c r="BO27" i="45"/>
  <c r="BO36" i="45"/>
  <c r="BO22" i="45"/>
  <c r="BO18" i="45"/>
  <c r="BO35" i="45"/>
  <c r="BO49" i="45"/>
  <c r="BO28" i="45"/>
  <c r="BO24" i="45"/>
  <c r="BO45" i="45"/>
  <c r="BO46" i="45"/>
  <c r="BO21" i="45"/>
  <c r="BO33" i="45"/>
  <c r="BO50" i="45"/>
  <c r="BO4" i="45"/>
  <c r="BO10" i="45"/>
  <c r="BO26" i="45"/>
  <c r="BO47" i="45"/>
  <c r="BO32" i="45"/>
  <c r="BO15" i="45"/>
  <c r="BO39" i="45"/>
  <c r="BO25" i="45"/>
  <c r="BO5" i="45"/>
  <c r="BO14" i="45"/>
  <c r="BO29" i="45"/>
  <c r="BO43" i="45"/>
  <c r="BO42" i="45"/>
  <c r="DL238" i="46"/>
  <c r="CN238" i="46"/>
  <c r="DX242" i="46"/>
  <c r="CZ242" i="46"/>
  <c r="AU238" i="46"/>
  <c r="DF242" i="46"/>
  <c r="CK242" i="46"/>
  <c r="CQ242" i="46"/>
  <c r="EP242" i="46"/>
  <c r="BY238" i="46"/>
  <c r="DO242" i="46"/>
  <c r="FE242" i="46"/>
  <c r="DF238" i="46"/>
  <c r="DC252" i="46"/>
  <c r="W252" i="46"/>
  <c r="W259" i="46" s="1"/>
  <c r="ED252" i="46"/>
  <c r="Z252" i="46"/>
  <c r="BP252" i="46"/>
  <c r="BP259" i="46" s="1"/>
  <c r="CH252" i="46"/>
  <c r="EG252" i="46"/>
  <c r="FH252" i="46"/>
  <c r="FH259" i="46" s="1"/>
  <c r="EJ252" i="46"/>
  <c r="T252" i="46"/>
  <c r="AX252" i="46"/>
  <c r="CZ252" i="46"/>
  <c r="BJ252" i="46"/>
  <c r="DL252" i="46"/>
  <c r="DU252" i="46"/>
  <c r="AC252" i="46"/>
  <c r="AR252" i="46"/>
  <c r="EM252" i="46"/>
  <c r="DX252" i="46"/>
  <c r="EP252" i="46"/>
  <c r="EP259" i="46" s="1"/>
  <c r="DF252" i="46"/>
  <c r="AO252" i="46"/>
  <c r="AO259" i="46" s="1"/>
  <c r="FK252" i="46"/>
  <c r="CK252" i="46"/>
  <c r="CW252" i="46"/>
  <c r="BS252" i="46"/>
  <c r="FB252" i="46"/>
  <c r="AU252" i="46"/>
  <c r="CN252" i="46"/>
  <c r="AI252" i="46"/>
  <c r="BD252" i="46"/>
  <c r="DI252" i="46"/>
  <c r="DI259" i="46" s="1"/>
  <c r="EV252" i="46"/>
  <c r="DO252" i="46"/>
  <c r="CE252" i="46"/>
  <c r="CE259" i="46" s="1"/>
  <c r="CB252" i="46"/>
  <c r="CB259" i="46" s="1"/>
  <c r="CQ252" i="46"/>
  <c r="BG252" i="46"/>
  <c r="BA252" i="46"/>
  <c r="FE252" i="46"/>
  <c r="BV252" i="46"/>
  <c r="BM252" i="46"/>
  <c r="CT252" i="46"/>
  <c r="AF252" i="46"/>
  <c r="EY252" i="46"/>
  <c r="EA252" i="46"/>
  <c r="ES252" i="46"/>
  <c r="BY252" i="46"/>
  <c r="DR252" i="46"/>
  <c r="DR259" i="46" s="1"/>
  <c r="AL252" i="46"/>
  <c r="AL259" i="46" s="1"/>
  <c r="BM43" i="45"/>
  <c r="BM11" i="45"/>
  <c r="BM44" i="45"/>
  <c r="BM9" i="45"/>
  <c r="BM27" i="45"/>
  <c r="BM28" i="45"/>
  <c r="BM37" i="45"/>
  <c r="BM6" i="45"/>
  <c r="BM49" i="45"/>
  <c r="BM42" i="45"/>
  <c r="BM13" i="45"/>
  <c r="BL13" i="45" s="1"/>
  <c r="BK13" i="45" s="1"/>
  <c r="BM47" i="45"/>
  <c r="BL47" i="45" s="1"/>
  <c r="BK47" i="45" s="1"/>
  <c r="BM16" i="45"/>
  <c r="BL16" i="45" s="1"/>
  <c r="BK16" i="45" s="1"/>
  <c r="BM10" i="45"/>
  <c r="BL10" i="45" s="1"/>
  <c r="BK10" i="45" s="1"/>
  <c r="BM29" i="45"/>
  <c r="BM30" i="45"/>
  <c r="BL30" i="45" s="1"/>
  <c r="BK30" i="45" s="1"/>
  <c r="BM25" i="45"/>
  <c r="BM8" i="45"/>
  <c r="BM46" i="45"/>
  <c r="BL46" i="45" s="1"/>
  <c r="BK46" i="45" s="1"/>
  <c r="BM18" i="45"/>
  <c r="BM23" i="45"/>
  <c r="BL23" i="45" s="1"/>
  <c r="BK23" i="45" s="1"/>
  <c r="BM45" i="45"/>
  <c r="BM19" i="45"/>
  <c r="BM21" i="45"/>
  <c r="BM41" i="45"/>
  <c r="BM20" i="45"/>
  <c r="BM15" i="45"/>
  <c r="BM50" i="45"/>
  <c r="BL50" i="45" s="1"/>
  <c r="BK50" i="45" s="1"/>
  <c r="BM38" i="45"/>
  <c r="BL38" i="45" s="1"/>
  <c r="BK38" i="45" s="1"/>
  <c r="BM22" i="45"/>
  <c r="BM7" i="45"/>
  <c r="BM48" i="45"/>
  <c r="BL48" i="45" s="1"/>
  <c r="BK48" i="45" s="1"/>
  <c r="BM12" i="45"/>
  <c r="BM32" i="45"/>
  <c r="BM35" i="45"/>
  <c r="BM34" i="45"/>
  <c r="BM26" i="45"/>
  <c r="BM24" i="45"/>
  <c r="BM31" i="45"/>
  <c r="BL31" i="45" s="1"/>
  <c r="BK31" i="45" s="1"/>
  <c r="BM33" i="45"/>
  <c r="BM4" i="45"/>
  <c r="BM40" i="45"/>
  <c r="BL40" i="45" s="1"/>
  <c r="BK40" i="45" s="1"/>
  <c r="BM36" i="45"/>
  <c r="BM39" i="45"/>
  <c r="BM5" i="45"/>
  <c r="BL5" i="45" s="1"/>
  <c r="BK5" i="45" s="1"/>
  <c r="BM14" i="45"/>
  <c r="BL14" i="45" s="1"/>
  <c r="BK14" i="45" s="1"/>
  <c r="BM17" i="45"/>
  <c r="BM51" i="45"/>
  <c r="EJ238" i="46"/>
  <c r="CK238" i="46"/>
  <c r="EV242" i="46"/>
  <c r="FH242" i="46"/>
  <c r="AC238" i="46"/>
  <c r="BV238" i="46"/>
  <c r="DO238" i="46"/>
  <c r="EY242" i="46"/>
  <c r="ES242" i="46"/>
  <c r="AF242" i="46"/>
  <c r="CE238" i="46"/>
  <c r="BJ238" i="46"/>
  <c r="W238" i="46"/>
  <c r="FK238" i="46"/>
  <c r="BG238" i="46"/>
  <c r="FB238" i="46"/>
  <c r="W242" i="46"/>
  <c r="BY242" i="46"/>
  <c r="CQ238" i="46"/>
  <c r="CH242" i="46"/>
  <c r="CE242" i="46"/>
  <c r="FE238" i="46"/>
  <c r="AI242" i="46"/>
  <c r="EV238" i="46"/>
  <c r="FK242" i="46"/>
  <c r="AL238" i="46"/>
  <c r="BV242" i="46"/>
  <c r="AO242" i="46"/>
  <c r="AC242" i="46"/>
  <c r="ES238" i="46"/>
  <c r="EY238" i="46"/>
  <c r="AR238" i="46"/>
  <c r="BA242" i="46"/>
  <c r="DI242" i="46"/>
  <c r="BJ242" i="46"/>
  <c r="AU242" i="46"/>
  <c r="BS238" i="46"/>
  <c r="ED242" i="46"/>
  <c r="FB242" i="46"/>
  <c r="CN242" i="46"/>
  <c r="EJ242" i="46"/>
  <c r="CW242" i="46"/>
  <c r="BM242" i="46"/>
  <c r="DR242" i="46"/>
  <c r="AX242" i="46"/>
  <c r="EM238" i="46"/>
  <c r="AO238" i="46"/>
  <c r="EM242" i="46"/>
  <c r="EA238" i="46"/>
  <c r="T238" i="46"/>
  <c r="M238" i="46"/>
  <c r="EG238" i="46"/>
  <c r="CZ238" i="46"/>
  <c r="DU242" i="46"/>
  <c r="ED238" i="46"/>
  <c r="BA238" i="46"/>
  <c r="CW238" i="46"/>
  <c r="CH238" i="46"/>
  <c r="BM238" i="46"/>
  <c r="BP242" i="46"/>
  <c r="BG242" i="46"/>
  <c r="DL242" i="46"/>
  <c r="Z238" i="46"/>
  <c r="FH238" i="46"/>
  <c r="AX238" i="46"/>
  <c r="DC238" i="46"/>
  <c r="BD238" i="46"/>
  <c r="AR242" i="46"/>
  <c r="T242" i="46"/>
  <c r="M242" i="46"/>
  <c r="DX238" i="46"/>
  <c r="CT238" i="46"/>
  <c r="CT242" i="46"/>
  <c r="BS242" i="46"/>
  <c r="DU238" i="46"/>
  <c r="EP238" i="46"/>
  <c r="DI238" i="46"/>
  <c r="CB242" i="46"/>
  <c r="EG242" i="46"/>
  <c r="AL242" i="46"/>
  <c r="EA242" i="46"/>
  <c r="AF238" i="46"/>
  <c r="DR238" i="46"/>
  <c r="AI238" i="46"/>
  <c r="BP238" i="46"/>
  <c r="BY69" i="3"/>
  <c r="BY62" i="3"/>
  <c r="BY67" i="3"/>
  <c r="BY64" i="3"/>
  <c r="BY58" i="3"/>
  <c r="BY63" i="3"/>
  <c r="BY66" i="3"/>
  <c r="BY60" i="3"/>
  <c r="BY61" i="3"/>
  <c r="BY65" i="3"/>
  <c r="BY68" i="3"/>
  <c r="BY59" i="3"/>
  <c r="ES259" i="46" l="1"/>
  <c r="BL42" i="45"/>
  <c r="BK42" i="45" s="1"/>
  <c r="EM259" i="46"/>
  <c r="BL12" i="45"/>
  <c r="BK12" i="45" s="1"/>
  <c r="BL25" i="45"/>
  <c r="BK25" i="45" s="1"/>
  <c r="BL43" i="45"/>
  <c r="BK43" i="45" s="1"/>
  <c r="EJ259" i="46"/>
  <c r="BL4" i="45"/>
  <c r="BK4" i="45" s="1"/>
  <c r="DF259" i="46"/>
  <c r="EG259" i="46"/>
  <c r="BL33" i="45"/>
  <c r="BK33" i="45" s="1"/>
  <c r="BL20" i="45"/>
  <c r="BK20" i="45" s="1"/>
  <c r="CH259" i="46"/>
  <c r="BL8" i="45"/>
  <c r="BK8" i="45" s="1"/>
  <c r="FE259" i="46"/>
  <c r="BL27" i="45"/>
  <c r="BK27" i="45" s="1"/>
  <c r="BL44" i="45"/>
  <c r="BK44" i="45" s="1"/>
  <c r="CW259" i="46"/>
  <c r="BL36" i="45"/>
  <c r="BK36" i="45" s="1"/>
  <c r="BL29" i="45"/>
  <c r="BK29" i="45" s="1"/>
  <c r="CQ259" i="46"/>
  <c r="FK259" i="46"/>
  <c r="BL24" i="45"/>
  <c r="BK24" i="45" s="1"/>
  <c r="EA259" i="46"/>
  <c r="Z259" i="46"/>
  <c r="BL19" i="45"/>
  <c r="BK19" i="45" s="1"/>
  <c r="BD259" i="46"/>
  <c r="ED259" i="46"/>
  <c r="BL37" i="45"/>
  <c r="BK37" i="45" s="1"/>
  <c r="CN259" i="46"/>
  <c r="BL51" i="45"/>
  <c r="BK51" i="45" s="1"/>
  <c r="BL28" i="45"/>
  <c r="BK28" i="45" s="1"/>
  <c r="BM259" i="46"/>
  <c r="AU259" i="46"/>
  <c r="DO259" i="46"/>
  <c r="BL41" i="45"/>
  <c r="BK41" i="45" s="1"/>
  <c r="EV259" i="46"/>
  <c r="BL21" i="45"/>
  <c r="BK21" i="45" s="1"/>
  <c r="BY259" i="46"/>
  <c r="DX259" i="46"/>
  <c r="BL26" i="45"/>
  <c r="BK26" i="45" s="1"/>
  <c r="BL49" i="45"/>
  <c r="BK49" i="45" s="1"/>
  <c r="AR259" i="46"/>
  <c r="BL45" i="45"/>
  <c r="BK45" i="45" s="1"/>
  <c r="BL6" i="45"/>
  <c r="BK6" i="45" s="1"/>
  <c r="AF259" i="46"/>
  <c r="AI259" i="46"/>
  <c r="AC259" i="46"/>
  <c r="BL15" i="45"/>
  <c r="BK15" i="45" s="1"/>
  <c r="T52" i="51"/>
  <c r="T40" i="51"/>
  <c r="T43" i="51"/>
  <c r="T34" i="51"/>
  <c r="T27" i="51"/>
  <c r="T26" i="51"/>
  <c r="T51" i="51"/>
  <c r="T21" i="51"/>
  <c r="T49" i="51"/>
  <c r="T11" i="51"/>
  <c r="T53" i="51"/>
  <c r="T25" i="51"/>
  <c r="T15" i="51"/>
  <c r="T44" i="51"/>
  <c r="T29" i="51"/>
  <c r="T23" i="51"/>
  <c r="T13" i="51"/>
  <c r="T36" i="51"/>
  <c r="T37" i="51"/>
  <c r="T24" i="51"/>
  <c r="T28" i="51"/>
  <c r="T18" i="51"/>
  <c r="T54" i="51"/>
  <c r="T12" i="51"/>
  <c r="T55" i="51"/>
  <c r="T41" i="51"/>
  <c r="T8" i="51"/>
  <c r="T47" i="51"/>
  <c r="T19" i="51"/>
  <c r="T45" i="51"/>
  <c r="T20" i="51"/>
  <c r="T30" i="51"/>
  <c r="T46" i="51"/>
  <c r="T32" i="51"/>
  <c r="T38" i="51"/>
  <c r="T17" i="51"/>
  <c r="T42" i="51"/>
  <c r="T16" i="51"/>
  <c r="T31" i="51"/>
  <c r="T14" i="51"/>
  <c r="T48" i="51"/>
  <c r="T22" i="51"/>
  <c r="T39" i="51"/>
  <c r="T10" i="51"/>
  <c r="T50" i="51"/>
  <c r="T35" i="51"/>
  <c r="T9" i="51"/>
  <c r="T33" i="51"/>
  <c r="EY259" i="46"/>
  <c r="BL34" i="45"/>
  <c r="BK34" i="45" s="1"/>
  <c r="BL35" i="45"/>
  <c r="BK35" i="45" s="1"/>
  <c r="CT259" i="46"/>
  <c r="DU259" i="46"/>
  <c r="DC259" i="46"/>
  <c r="BL18" i="45"/>
  <c r="BK18" i="45" s="1"/>
  <c r="BL17" i="45"/>
  <c r="BK17" i="45" s="1"/>
  <c r="BV259" i="46"/>
  <c r="FB259" i="46"/>
  <c r="BJ259" i="46"/>
  <c r="BL32" i="45"/>
  <c r="BK32" i="45" s="1"/>
  <c r="CZ259" i="46"/>
  <c r="BL7" i="45"/>
  <c r="BK7" i="45" s="1"/>
  <c r="BA259" i="46"/>
  <c r="AX259" i="46"/>
  <c r="DL259" i="46"/>
  <c r="BL9" i="45"/>
  <c r="BK9" i="45" s="1"/>
  <c r="BS259" i="46"/>
  <c r="BL39" i="45"/>
  <c r="BK39" i="45" s="1"/>
  <c r="BL22" i="45"/>
  <c r="BK22" i="45" s="1"/>
  <c r="BL11" i="45"/>
  <c r="BK11" i="45" s="1"/>
  <c r="BG259" i="46"/>
  <c r="CK259" i="46"/>
  <c r="T259" i="46"/>
  <c r="R12" i="51"/>
  <c r="R15" i="51"/>
  <c r="Q15" i="51" s="1"/>
  <c r="P15" i="51" s="1"/>
  <c r="R46" i="51"/>
  <c r="Q46" i="51" s="1"/>
  <c r="P46" i="51" s="1"/>
  <c r="R27" i="51"/>
  <c r="R21" i="51"/>
  <c r="Q21" i="51" s="1"/>
  <c r="P21" i="51" s="1"/>
  <c r="R9" i="51"/>
  <c r="R32" i="51"/>
  <c r="R30" i="51"/>
  <c r="R50" i="51"/>
  <c r="R45" i="51"/>
  <c r="R33" i="51"/>
  <c r="R10" i="51"/>
  <c r="R48" i="51"/>
  <c r="R51" i="51"/>
  <c r="R31" i="51"/>
  <c r="R36" i="51"/>
  <c r="R34" i="51"/>
  <c r="R26" i="51"/>
  <c r="R19" i="51"/>
  <c r="R47" i="51"/>
  <c r="R11" i="51"/>
  <c r="Q11" i="51" s="1"/>
  <c r="P11" i="51" s="1"/>
  <c r="R55" i="51"/>
  <c r="Q55" i="51" s="1"/>
  <c r="P55" i="51" s="1"/>
  <c r="R54" i="51"/>
  <c r="R18" i="51"/>
  <c r="R23" i="51"/>
  <c r="R44" i="51"/>
  <c r="R25" i="51"/>
  <c r="R40" i="51"/>
  <c r="Q40" i="51" s="1"/>
  <c r="P40" i="51" s="1"/>
  <c r="R49" i="51"/>
  <c r="R29" i="51"/>
  <c r="Q29" i="51" s="1"/>
  <c r="P29" i="51" s="1"/>
  <c r="R22" i="51"/>
  <c r="R53" i="51"/>
  <c r="R24" i="51"/>
  <c r="R14" i="51"/>
  <c r="R8" i="51"/>
  <c r="Q8" i="51" s="1"/>
  <c r="P8" i="51" s="1"/>
  <c r="R43" i="51"/>
  <c r="R39" i="51"/>
  <c r="Q39" i="51" s="1"/>
  <c r="P39" i="51" s="1"/>
  <c r="R17" i="51"/>
  <c r="R41" i="51"/>
  <c r="R28" i="51"/>
  <c r="R13" i="51"/>
  <c r="R37" i="51"/>
  <c r="R38" i="51"/>
  <c r="R52" i="51"/>
  <c r="Q52" i="51" s="1"/>
  <c r="P52" i="51" s="1"/>
  <c r="R42" i="51"/>
  <c r="R20" i="51"/>
  <c r="Q20" i="51" s="1"/>
  <c r="P20" i="51" s="1"/>
  <c r="R35" i="51"/>
  <c r="R16" i="51"/>
  <c r="BZ62" i="3"/>
  <c r="CA62" i="3" s="1"/>
  <c r="BZ65" i="3"/>
  <c r="BZ61" i="3"/>
  <c r="BZ66" i="3"/>
  <c r="BZ59" i="3"/>
  <c r="BZ67" i="3"/>
  <c r="BZ69" i="3"/>
  <c r="BZ58" i="3"/>
  <c r="BZ68" i="3"/>
  <c r="BZ63" i="3"/>
  <c r="BZ64" i="3"/>
  <c r="BZ60" i="3"/>
  <c r="Q43" i="51" l="1"/>
  <c r="P43" i="51" s="1"/>
  <c r="Q24" i="51"/>
  <c r="P24" i="51" s="1"/>
  <c r="Q26" i="51"/>
  <c r="P26" i="51" s="1"/>
  <c r="Q27" i="51"/>
  <c r="P27" i="51" s="1"/>
  <c r="Q44" i="51"/>
  <c r="P44" i="51" s="1"/>
  <c r="Q50" i="51"/>
  <c r="P50" i="51" s="1"/>
  <c r="Q30" i="51"/>
  <c r="P30" i="51" s="1"/>
  <c r="Q47" i="51"/>
  <c r="P47" i="51" s="1"/>
  <c r="Q32" i="51"/>
  <c r="P32" i="51" s="1"/>
  <c r="Q9" i="51"/>
  <c r="P9" i="51" s="1"/>
  <c r="Q37" i="51"/>
  <c r="P37" i="51" s="1"/>
  <c r="Q10" i="51"/>
  <c r="P10" i="51" s="1"/>
  <c r="Q28" i="51"/>
  <c r="P28" i="51" s="1"/>
  <c r="Q23" i="51"/>
  <c r="P23" i="51" s="1"/>
  <c r="Q33" i="51"/>
  <c r="P33" i="51" s="1"/>
  <c r="Q17" i="51"/>
  <c r="P17" i="51" s="1"/>
  <c r="Q18" i="51"/>
  <c r="P18" i="51" s="1"/>
  <c r="Q45" i="51"/>
  <c r="P45" i="51" s="1"/>
  <c r="Q38" i="51"/>
  <c r="P38" i="51" s="1"/>
  <c r="Q49" i="51"/>
  <c r="P49" i="51" s="1"/>
  <c r="Q51" i="51"/>
  <c r="P51" i="51" s="1"/>
  <c r="Q48" i="51"/>
  <c r="P48" i="51" s="1"/>
  <c r="Q54" i="51"/>
  <c r="P54" i="51" s="1"/>
  <c r="Q41" i="51"/>
  <c r="P41" i="51" s="1"/>
  <c r="Q16" i="51"/>
  <c r="P16" i="51" s="1"/>
  <c r="Q14" i="51"/>
  <c r="P14" i="51" s="1"/>
  <c r="Q35" i="51"/>
  <c r="P35" i="51" s="1"/>
  <c r="Q19" i="51"/>
  <c r="P19" i="51" s="1"/>
  <c r="Q53" i="51"/>
  <c r="P53" i="51" s="1"/>
  <c r="Q42" i="51"/>
  <c r="P42" i="51" s="1"/>
  <c r="Q22" i="51"/>
  <c r="P22" i="51" s="1"/>
  <c r="Q34" i="51"/>
  <c r="P34" i="51" s="1"/>
  <c r="Q36" i="51"/>
  <c r="P36" i="51" s="1"/>
  <c r="Q31" i="51"/>
  <c r="P31" i="51" s="1"/>
  <c r="Q12" i="51"/>
  <c r="P12" i="51" s="1"/>
  <c r="Q13" i="51"/>
  <c r="P13" i="51" s="1"/>
  <c r="Q25" i="51"/>
  <c r="P25" i="51" s="1"/>
  <c r="CE59" i="3"/>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AO58" i="51" s="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AN264" i="46" s="1"/>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FJ264" i="46" s="1"/>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FG264" i="46"/>
  <c r="CJ264" i="46"/>
  <c r="AO42" i="51" l="1"/>
  <c r="AO41" i="51"/>
  <c r="AO39" i="51"/>
  <c r="AG35" i="51"/>
  <c r="AO35" i="51" s="1"/>
  <c r="AO59" i="51"/>
  <c r="AO46" i="51"/>
  <c r="AO54" i="51"/>
  <c r="AO51" i="51"/>
  <c r="AO65" i="51"/>
  <c r="AO55" i="51"/>
  <c r="AO40" i="51"/>
  <c r="AO45" i="51"/>
  <c r="AO60" i="51"/>
  <c r="AO64" i="51"/>
  <c r="AO53" i="51"/>
  <c r="AO63" i="51"/>
  <c r="AO66" i="51"/>
  <c r="AO38" i="51"/>
  <c r="AO57" i="51"/>
  <c r="AO36" i="51"/>
  <c r="AO48" i="51"/>
  <c r="AO56" i="51"/>
  <c r="AO52" i="51"/>
  <c r="AO47" i="51"/>
  <c r="AO50" i="51"/>
  <c r="AO44" i="51"/>
  <c r="AO43" i="51"/>
  <c r="AO37" i="51"/>
  <c r="AO61" i="51"/>
  <c r="AO49" i="51"/>
  <c r="AO62" i="51"/>
  <c r="EI4" i="46"/>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AP35" i="51" l="1"/>
  <c r="EF263" i="46"/>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N38" i="50" l="1"/>
  <c r="U38" i="50"/>
  <c r="AB31" i="50"/>
  <c r="M49" i="50"/>
  <c r="Z49" i="50"/>
  <c r="AA49" i="50"/>
  <c r="AK31" i="50"/>
  <c r="AK49" i="50"/>
  <c r="Q32" i="50"/>
  <c r="AH49" i="50"/>
  <c r="R49" i="50"/>
  <c r="S49" i="50"/>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<sst xmlns="http://schemas.openxmlformats.org/spreadsheetml/2006/main" count="16874" uniqueCount="2800">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</sst>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3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3" t="str">
        <f>Idiomas!D8</f>
        <v>XXIII Mundial USA/MEX/CAN 2026</v>
      </c>
      <c r="C3" s="803"/>
      <c r="D3" s="803"/>
      <c r="E3" s="803"/>
      <c r="F3" s="803"/>
      <c r="G3" s="803"/>
      <c r="H3" s="803"/>
      <c r="I3" s="803"/>
      <c r="J3" s="803"/>
      <c r="K3" s="803"/>
      <c r="L3" s="803"/>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01"/>
      <c r="F16" s="802"/>
      <c r="G16" s="802"/>
      <c r="H16" s="802"/>
      <c r="I16" s="802"/>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00"/>
      <c r="F17" s="800"/>
      <c r="G17" s="800"/>
      <c r="H17" s="800"/>
      <c r="I17" s="800"/>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34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5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4"/>
      <c r="C24" s="805"/>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46217</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26" zoomScaleNormal="100" workbookViewId="0">
      <selection activeCell="AC147" sqref="AC147:AD147"/>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10" t="str">
        <f>Idiomas!D8</f>
        <v>XXIII Mundial USA/MEX/CAN 2026</v>
      </c>
      <c r="X1" s="810"/>
      <c r="Y1" s="810"/>
      <c r="Z1" s="810"/>
      <c r="AA1" s="810"/>
      <c r="AB1" s="810"/>
      <c r="AC1" s="810"/>
      <c r="AD1" s="810"/>
      <c r="AE1" s="810"/>
      <c r="AF1" s="81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0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0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0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0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0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0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1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1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1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1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2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2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2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2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2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2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2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9"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9"/>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9"/>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9"/>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9"/>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30"/>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9"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9"/>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9"/>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9"/>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9"/>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50"/>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31"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31"/>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31"/>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31"/>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31"/>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32"/>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37"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37"/>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37"/>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37"/>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37"/>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8"/>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33"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33"/>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33"/>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33"/>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33"/>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34"/>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9"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9"/>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9"/>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9"/>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9"/>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40"/>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35"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35"/>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35"/>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35"/>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35"/>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36"/>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41"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41"/>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41"/>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41"/>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41"/>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41"/>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41"/>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41"/>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41"/>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41"/>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41"/>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41"/>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41"/>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41"/>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41"/>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42"/>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43"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43"/>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43"/>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43"/>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43"/>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43"/>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43"/>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44"/>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 ca="1">IF(AND(OR(AC131="",AD131="")),"W"&amp;AH131,IF(AC131&gt;AD131,AA131,IF(AC131&lt;AD131,AF131,IF(AND(AC131=AD131,AB131=AE131),"W"&amp;AH131,IF(AND(AC131=AD131,OR(AB131="",AE131="")),"W"&amp;AH131,IF(AND(AC131=AD131,AB131&gt;AE131),AA131,AF131))))))</f>
        <v>Francia</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45"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 ca="1">IF(AND(OR(AC132="",AD132="")),"W"&amp;AH132,IF(AC132&gt;AD132,AA132,IF(AC132&lt;AD132,AF132,IF(AND(AC132=AD132,AB132=AE132),"W"&amp;AH132,IF(AND(AC132=AD132,OR(AB132="",AE132="")),"W"&amp;AH132,IF(AND(AC132=AD132,AB132&gt;AE132),AA132,AF132))))))</f>
        <v>España</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45"/>
      <c r="X132" s="189">
        <f ca="1">Horarios!C132</f>
        <v>46213.875</v>
      </c>
      <c r="Y132" s="190">
        <f ca="1">Horarios!C132</f>
        <v>46213.875</v>
      </c>
      <c r="Z132" s="311">
        <f t="shared" si="336"/>
        <v>98</v>
      </c>
      <c r="AA132" s="277" t="str">
        <f t="shared" ca="1" si="337"/>
        <v>España</v>
      </c>
      <c r="AB132" s="278"/>
      <c r="AC132" s="309">
        <v>2</v>
      </c>
      <c r="AD132" s="309">
        <v>1</v>
      </c>
      <c r="AE132" s="278"/>
      <c r="AF132" s="312" t="str">
        <f ca="1">+INDEX($N$101:$N$147,MATCH(AH132,$J$101:$J$147,0))</f>
        <v>Bélgica</v>
      </c>
      <c r="AG132" s="417">
        <f ca="1">IF(D132="W"&amp;AH132,0,1)</f>
        <v>1</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 ca="1">IF(AND(OR(AC133="",AD133="")),"W"&amp;AH133,IF(AC133&gt;AD133,AA133,IF(AC133&lt;AD133,AF133,IF(AND(AC133=AD133,AB133=AE133),"W"&amp;AH133,IF(AND(AC133=AD133,OR(AB133="",AE133="")),"W"&amp;AH133,IF(AND(AC133=AD133,AB133&gt;AE133),AA133,AF133))))))</f>
        <v>Inglaterra</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45"/>
      <c r="X133" s="189">
        <f ca="1">Horarios!C133</f>
        <v>46214.958333333336</v>
      </c>
      <c r="Y133" s="190">
        <f ca="1">Horarios!C133</f>
        <v>46214.958333333336</v>
      </c>
      <c r="Z133" s="311">
        <f t="shared" si="336"/>
        <v>99</v>
      </c>
      <c r="AA133" s="277" t="str">
        <f t="shared" ca="1" si="337"/>
        <v>Noruega</v>
      </c>
      <c r="AB133" s="278"/>
      <c r="AC133" s="309">
        <v>1</v>
      </c>
      <c r="AD133" s="309">
        <v>2</v>
      </c>
      <c r="AE133" s="278"/>
      <c r="AF133" s="312" t="str">
        <f ca="1">+INDEX($N$101:$N$147,MATCH(AH133,$J$101:$J$147,0))</f>
        <v>Inglaterra</v>
      </c>
      <c r="AG133" s="417">
        <f ca="1">IF(D133="W"&amp;AH133,0,1)</f>
        <v>1</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 ca="1">IF(AND(OR(AC134="",AD134="")),"W"&amp;AH134,IF(AC134&gt;AD134,AA134,IF(AC134&lt;AD134,AF134,IF(AND(AC134=AD134,AB134=AE134),"W"&amp;AH134,IF(AND(AC134=AD134,OR(AB134="",AE134="")),"W"&amp;AH134,IF(AND(AC134=AD134,AB134&gt;AE134),AA134,AF134))))))</f>
        <v>Argentina</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46"/>
      <c r="X134" s="228">
        <f ca="1">Horarios!C134</f>
        <v>46215.125</v>
      </c>
      <c r="Y134" s="229">
        <f ca="1">Horarios!C134</f>
        <v>46215.125</v>
      </c>
      <c r="Z134" s="314">
        <f t="shared" si="336"/>
        <v>100</v>
      </c>
      <c r="AA134" s="300" t="str">
        <f t="shared" ca="1" si="337"/>
        <v>Argentina</v>
      </c>
      <c r="AB134" s="301"/>
      <c r="AC134" s="310">
        <v>3</v>
      </c>
      <c r="AD134" s="310">
        <v>1</v>
      </c>
      <c r="AE134" s="301"/>
      <c r="AF134" s="315" t="str">
        <f ca="1">+INDEX($N$101:$N$147,MATCH(AH134,$J$101:$J$147,0))</f>
        <v>Suiza</v>
      </c>
      <c r="AG134" s="417">
        <f ca="1">IF(D134="W"&amp;AH134,0,1)</f>
        <v>1</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 ca="1">IF(AND(OR(AC138="",AD138="")),"W"&amp;AH138,IF(AC138&gt;AD138,AA138,IF(AC138&lt;AD138,AF138,IF(AND(AC138=AD138,AB138=AE138),"W"&amp;AH138,IF(AND(AC138=AD138,OR(AB138="",AE138="")),"W"&amp;AH138,IF(AND(AC138=AD138,AB138&gt;AE138),AA138,AF138))))))</f>
        <v>España</v>
      </c>
      <c r="E138" s="744">
        <v>97</v>
      </c>
      <c r="F138" s="744">
        <v>98</v>
      </c>
      <c r="G138" s="744"/>
      <c r="H138" s="744" t="str">
        <f ca="1">IF(AND(OR(AC138="",AD138="")),"L101",IF(AC138&gt;AD138,AF138,IF(AC138&lt;AD138,AA138,IF(AND(AC138=AD138,AB138=AE138),"L101",IF(AND(AC138=AD138,OR(AB138="",AE138="")),"L101",IF(AND(AC138=AD138,AB138&gt;AE138),AF138,AA138))))))</f>
        <v>Francia</v>
      </c>
      <c r="I138" s="744"/>
      <c r="J138" s="738">
        <v>101</v>
      </c>
      <c r="K138" s="738">
        <v>46217.875</v>
      </c>
      <c r="L138" s="738" t="s">
        <v>713</v>
      </c>
      <c r="M138" s="738" t="str">
        <f ca="1">+INDEX($D$101:$D$147,MATCH(E138,$AH$101:$AH$147,0))</f>
        <v>Francia</v>
      </c>
      <c r="N138" s="738" t="str">
        <f ca="1">+INDEX($D$101:$D$147,MATCH(F138,$AH$101:$AH$147,0))</f>
        <v>España</v>
      </c>
      <c r="O138" s="738"/>
      <c r="P138" s="738"/>
      <c r="Q138" s="738"/>
      <c r="R138" s="738"/>
      <c r="S138" s="738"/>
      <c r="T138" s="738"/>
      <c r="U138" s="738"/>
      <c r="V138" s="172"/>
      <c r="W138" s="847"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v>0</v>
      </c>
      <c r="AD138" s="323">
        <v>2</v>
      </c>
      <c r="AE138" s="278"/>
      <c r="AF138" s="312" t="str">
        <f ca="1">+INDEX($N$101:$N$147,MATCH(AH138,$J$101:$J$147,0))</f>
        <v>España</v>
      </c>
      <c r="AG138" s="417">
        <f ca="1">IF(D138="W"&amp;AH138,0,1)</f>
        <v>1</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Francia-España</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 ca="1">+INDEX($D$101:$D$147,MATCH(E139,$AH$101:$AH$147,0))</f>
        <v>Inglaterra</v>
      </c>
      <c r="N139" s="738" t="str">
        <f ca="1">+INDEX($D$101:$D$147,MATCH(F139,$AH$101:$AH$147,0))</f>
        <v>Argentina</v>
      </c>
      <c r="O139" s="738"/>
      <c r="P139" s="738"/>
      <c r="Q139" s="738"/>
      <c r="R139" s="738"/>
      <c r="S139" s="738"/>
      <c r="T139" s="738"/>
      <c r="U139" s="738"/>
      <c r="V139" s="172"/>
      <c r="W139" s="848"/>
      <c r="X139" s="324">
        <f ca="1">Horarios!C139</f>
        <v>46218.875</v>
      </c>
      <c r="Y139" s="325">
        <f ca="1">Horarios!C139</f>
        <v>46218.875</v>
      </c>
      <c r="Z139" s="326">
        <f t="shared" si="339"/>
        <v>102</v>
      </c>
      <c r="AA139" s="327" t="str">
        <f t="shared" ca="1" si="340"/>
        <v>Inglaterra</v>
      </c>
      <c r="AB139" s="328"/>
      <c r="AC139" s="310"/>
      <c r="AD139" s="310"/>
      <c r="AE139" s="328"/>
      <c r="AF139" s="329" t="str">
        <f ca="1">+INDEX($N$101:$N$147,MATCH(AH139,$J$101:$J$147,0))</f>
        <v>Argentina</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Inglaterra-Argentina</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 ca="1">+INDEX($D$101:$D$147,MATCH(E143,$AH$101:$AH$147,0))</f>
        <v>España</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Francia</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Francia-L102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España</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España</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España-W102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11" t="str">
        <f ca="1">IF(SUM(COUNTIF(AG4:AG97,0),COUNTIF(AG101:AG160,0)&gt;0),AL148,AL149)</f>
        <v>MUNDIAL EN CURSO</v>
      </c>
      <c r="AK151" s="812"/>
      <c r="AL151" s="812"/>
      <c r="AM151" s="812"/>
      <c r="AN151" s="812"/>
      <c r="AO151" s="812"/>
      <c r="AP151" s="812"/>
      <c r="AQ151" s="812"/>
      <c r="AR151" s="812"/>
      <c r="AS151" s="812"/>
      <c r="AT151" s="812"/>
      <c r="AU151" s="81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14"/>
      <c r="AK152" s="815"/>
      <c r="AL152" s="815"/>
      <c r="AM152" s="815"/>
      <c r="AN152" s="815"/>
      <c r="AO152" s="815"/>
      <c r="AP152" s="815"/>
      <c r="AQ152" s="815"/>
      <c r="AR152" s="815"/>
      <c r="AS152" s="815"/>
      <c r="AT152" s="815"/>
      <c r="AU152" s="81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4"/>
      <c r="AK153" s="815"/>
      <c r="AL153" s="815"/>
      <c r="AM153" s="815"/>
      <c r="AN153" s="815"/>
      <c r="AO153" s="815"/>
      <c r="AP153" s="815"/>
      <c r="AQ153" s="815"/>
      <c r="AR153" s="815"/>
      <c r="AS153" s="815"/>
      <c r="AT153" s="815"/>
      <c r="AU153" s="81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4"/>
      <c r="AK154" s="815"/>
      <c r="AL154" s="815"/>
      <c r="AM154" s="815"/>
      <c r="AN154" s="815"/>
      <c r="AO154" s="815"/>
      <c r="AP154" s="815"/>
      <c r="AQ154" s="815"/>
      <c r="AR154" s="815"/>
      <c r="AS154" s="815"/>
      <c r="AT154" s="815"/>
      <c r="AU154" s="81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3" t="str">
        <f ca="1">IF(SUM(COUNTIF(AG4:AG97,0),COUNTIF(AG101:AG160,0)&gt;0),AM148,AM149)</f>
        <v>Todavía hay emoción</v>
      </c>
      <c r="AK155" s="824"/>
      <c r="AL155" s="824"/>
      <c r="AM155" s="824"/>
      <c r="AN155" s="824"/>
      <c r="AO155" s="824"/>
      <c r="AP155" s="824"/>
      <c r="AQ155" s="824"/>
      <c r="AR155" s="824"/>
      <c r="AS155" s="824"/>
      <c r="AT155" s="824"/>
      <c r="AU155" s="825"/>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3"/>
      <c r="AK156" s="824"/>
      <c r="AL156" s="824"/>
      <c r="AM156" s="824"/>
      <c r="AN156" s="824"/>
      <c r="AO156" s="824"/>
      <c r="AP156" s="824"/>
      <c r="AQ156" s="824"/>
      <c r="AR156" s="824"/>
      <c r="AS156" s="824"/>
      <c r="AT156" s="824"/>
      <c r="AU156" s="825"/>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6"/>
      <c r="AK157" s="827"/>
      <c r="AL157" s="827"/>
      <c r="AM157" s="827"/>
      <c r="AN157" s="827"/>
      <c r="AO157" s="827"/>
      <c r="AP157" s="827"/>
      <c r="AQ157" s="827"/>
      <c r="AR157" s="827"/>
      <c r="AS157" s="827"/>
      <c r="AT157" s="827"/>
      <c r="AU157" s="828"/>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27</v>
      </c>
      <c r="T1" s="87"/>
      <c r="U1" s="65"/>
      <c r="V1" s="87">
        <f ca="1">+IFERROR(RANK(V2,OFFSET($S$2,0,0,1,$D$5*3),0),"-")</f>
        <v>19</v>
      </c>
      <c r="W1" s="87"/>
      <c r="X1" s="65"/>
      <c r="Y1" s="87">
        <f ca="1">+IFERROR(RANK(Y2,OFFSET($S$2,0,0,1,$D$5*3),0),"-")</f>
        <v>14</v>
      </c>
      <c r="Z1" s="87"/>
      <c r="AA1" s="65"/>
      <c r="AB1" s="87">
        <f ca="1">+IFERROR(RANK(AB2,OFFSET($S$2,0,0,1,$D$5*3),0),"-")</f>
        <v>15</v>
      </c>
      <c r="AC1" s="87"/>
      <c r="AD1" s="65"/>
      <c r="AE1" s="87">
        <f ca="1">+IFERROR(RANK(AE2,OFFSET($S$2,0,0,1,$D$5*3),0),"-")</f>
        <v>11</v>
      </c>
      <c r="AF1" s="87"/>
      <c r="AG1" s="65"/>
      <c r="AH1" s="87">
        <f ca="1">+IFERROR(RANK(AH2,OFFSET($S$2,0,0,1,$D$5*3),0),"-")</f>
        <v>18</v>
      </c>
      <c r="AI1" s="87"/>
      <c r="AJ1" s="65"/>
      <c r="AK1" s="87">
        <f ca="1">+IFERROR(RANK(AK2,OFFSET($S$2,0,0,1,$D$5*3),0),"-")</f>
        <v>25</v>
      </c>
      <c r="AL1" s="87"/>
      <c r="AM1" s="65"/>
      <c r="AN1" s="87">
        <f ca="1">+IFERROR(RANK(AN2,OFFSET($S$2,0,0,1,$D$5*3),0),"-")</f>
        <v>30</v>
      </c>
      <c r="AO1" s="87"/>
      <c r="AP1" s="65"/>
      <c r="AQ1" s="87">
        <f ca="1">+IFERROR(RANK(AQ2,OFFSET($S$2,0,0,1,$D$5*3),0),"-")</f>
        <v>1</v>
      </c>
      <c r="AR1" s="87"/>
      <c r="AS1" s="65"/>
      <c r="AT1" s="87">
        <f ca="1">+IFERROR(RANK(AT2,OFFSET($S$2,0,0,1,$D$5*3),0),"-")</f>
        <v>33</v>
      </c>
      <c r="AU1" s="87"/>
      <c r="AV1" s="65"/>
      <c r="AW1" s="87">
        <f ca="1">+IFERROR(RANK(AW2,OFFSET($S$2,0,0,1,$D$5*3),0),"-")</f>
        <v>34</v>
      </c>
      <c r="AX1" s="87"/>
      <c r="AY1" s="65"/>
      <c r="AZ1" s="87">
        <f ca="1">+IFERROR(RANK(AZ2,OFFSET($S$2,0,0,1,$D$5*3),0),"-")</f>
        <v>26</v>
      </c>
      <c r="BA1" s="87"/>
      <c r="BB1" s="65"/>
      <c r="BC1" s="87">
        <f ca="1">+IFERROR(RANK(BC2,OFFSET($S$2,0,0,1,$D$5*3),0),"-")</f>
        <v>20</v>
      </c>
      <c r="BD1" s="87"/>
      <c r="BE1" s="65"/>
      <c r="BF1" s="87">
        <f ca="1">+IFERROR(RANK(BF2,OFFSET($S$2,0,0,1,$D$5*3),0),"-")</f>
        <v>7</v>
      </c>
      <c r="BG1" s="87"/>
      <c r="BH1" s="65"/>
      <c r="BI1" s="87">
        <f ca="1">+IFERROR(RANK(BI2,OFFSET($S$2,0,0,1,$D$5*3),0),"-")</f>
        <v>16</v>
      </c>
      <c r="BJ1" s="87"/>
      <c r="BK1" s="65"/>
      <c r="BL1" s="87">
        <f ca="1">+IFERROR(RANK(BL2,OFFSET($S$2,0,0,1,$D$5*3),0),"-")</f>
        <v>2</v>
      </c>
      <c r="BM1" s="87"/>
      <c r="BN1" s="65"/>
      <c r="BO1" s="87">
        <f ca="1">+IFERROR(RANK(BO2,OFFSET($S$2,0,0,1,$D$5*3),0),"-")</f>
        <v>17</v>
      </c>
      <c r="BP1" s="87"/>
      <c r="BQ1" s="65"/>
      <c r="BR1" s="87">
        <f ca="1">+IFERROR(RANK(BR2,OFFSET($S$2,0,0,1,$D$5*3),0),"-")</f>
        <v>12</v>
      </c>
      <c r="BS1" s="87"/>
      <c r="BT1" s="65"/>
      <c r="BU1" s="87">
        <f ca="1">+IFERROR(RANK(BU2,OFFSET($S$2,0,0,1,$D$5*3),0),"-")</f>
        <v>23</v>
      </c>
      <c r="BV1" s="87"/>
      <c r="BW1" s="65"/>
      <c r="BX1" s="87">
        <f ca="1">+IFERROR(RANK(BX2,OFFSET($S$2,0,0,1,$D$5*3),0),"-")</f>
        <v>13</v>
      </c>
      <c r="BY1" s="87"/>
      <c r="BZ1" s="65"/>
      <c r="CA1" s="87">
        <f ca="1">+IFERROR(RANK(CA2,OFFSET($S$2,0,0,1,$D$5*3),0),"-")</f>
        <v>31</v>
      </c>
      <c r="CB1" s="87"/>
      <c r="CC1" s="65"/>
      <c r="CD1" s="87">
        <f ca="1">+IFERROR(RANK(CD2,OFFSET($S$2,0,0,1,$D$5*3),0),"-")</f>
        <v>38</v>
      </c>
      <c r="CE1" s="87"/>
      <c r="CF1" s="65"/>
      <c r="CG1" s="87">
        <f ca="1">+IFERROR(RANK(CG2,OFFSET($S$2,0,0,1,$D$5*3),0),"-")</f>
        <v>22</v>
      </c>
      <c r="CH1" s="87"/>
      <c r="CI1" s="65"/>
      <c r="CJ1" s="87">
        <f ca="1">+IFERROR(RANK(CJ2,OFFSET($S$2,0,0,1,$D$5*3),0),"-")</f>
        <v>10</v>
      </c>
      <c r="CK1" s="87"/>
      <c r="CL1" s="65"/>
      <c r="CM1" s="87">
        <f ca="1">+IFERROR(RANK(CM2,OFFSET($S$2,0,0,1,$D$5*3),0),"-")</f>
        <v>28</v>
      </c>
      <c r="CN1" s="87"/>
      <c r="CO1" s="65"/>
      <c r="CP1" s="87">
        <f ca="1">+IFERROR(RANK(CP2,OFFSET($S$2,0,0,1,$D$5*3),0),"-")</f>
        <v>8</v>
      </c>
      <c r="CQ1" s="87"/>
      <c r="CR1" s="65"/>
      <c r="CS1" s="87">
        <f ca="1">+IFERROR(RANK(CS2,OFFSET($S$2,0,0,1,$D$5*3),0),"-")</f>
        <v>5</v>
      </c>
      <c r="CT1" s="87"/>
      <c r="CU1" s="65"/>
      <c r="CV1" s="87">
        <f ca="1">+IFERROR(RANK(CV2,OFFSET($S$2,0,0,1,$D$5*3),0),"-")</f>
        <v>6</v>
      </c>
      <c r="CW1" s="87"/>
      <c r="CX1" s="65"/>
      <c r="CY1" s="87">
        <f ca="1">+IFERROR(RANK(CY2,OFFSET($S$2,0,0,1,$D$5*3),0),"-")</f>
        <v>21</v>
      </c>
      <c r="CZ1" s="87"/>
      <c r="DA1" s="65"/>
      <c r="DB1" s="87">
        <f ca="1">+IFERROR(RANK(DB2,OFFSET($S$2,0,0,1,$D$5*3),0),"-")</f>
        <v>3</v>
      </c>
      <c r="DC1" s="87"/>
      <c r="DD1" s="65"/>
      <c r="DE1" s="87">
        <f ca="1">+IFERROR(RANK(DE2,OFFSET($S$2,0,0,1,$D$5*3),0),"-")</f>
        <v>40</v>
      </c>
      <c r="DF1" s="87"/>
      <c r="DG1" s="65"/>
      <c r="DH1" s="87">
        <f ca="1">+IFERROR(RANK(DH2,OFFSET($S$2,0,0,1,$D$5*3),0),"-")</f>
        <v>29</v>
      </c>
      <c r="DI1" s="87"/>
      <c r="DJ1" s="65"/>
      <c r="DK1" s="87">
        <f ca="1">+IFERROR(RANK(DK2,OFFSET($S$2,0,0,1,$D$5*3),0),"-")</f>
        <v>35</v>
      </c>
      <c r="DL1" s="87"/>
      <c r="DM1" s="65"/>
      <c r="DN1" s="87">
        <f ca="1">+IFERROR(RANK(DN2,OFFSET($S$2,0,0,1,$D$5*3),0),"-")</f>
        <v>24</v>
      </c>
      <c r="DO1" s="87"/>
      <c r="DP1" s="65"/>
      <c r="DQ1" s="87">
        <f ca="1">+IFERROR(RANK(DQ2,OFFSET($S$2,0,0,1,$D$5*3),0),"-")</f>
        <v>41</v>
      </c>
      <c r="DR1" s="87"/>
      <c r="DS1" s="65"/>
      <c r="DT1" s="87">
        <f ca="1">+IFERROR(RANK(DT2,OFFSET($S$2,0,0,1,$D$5*3),0),"-")</f>
        <v>36</v>
      </c>
      <c r="DU1" s="87"/>
      <c r="DV1" s="65"/>
      <c r="DW1" s="87">
        <f ca="1">+IFERROR(RANK(DW2,OFFSET($S$2,0,0,1,$D$5*3),0),"-")</f>
        <v>4</v>
      </c>
      <c r="DX1" s="87"/>
      <c r="DY1" s="65"/>
      <c r="DZ1" s="87">
        <f ca="1">+IFERROR(RANK(DZ2,OFFSET($S$2,0,0,1,$D$5*3),0),"-")</f>
        <v>32</v>
      </c>
      <c r="EA1" s="87"/>
      <c r="EB1" s="65"/>
      <c r="EC1" s="87">
        <f ca="1">+IFERROR(RANK(EC2,OFFSET($S$2,0,0,1,$D$5*3),0),"-")</f>
        <v>39</v>
      </c>
      <c r="ED1" s="87"/>
      <c r="EE1" s="65"/>
      <c r="EF1" s="87">
        <f ca="1">+IFERROR(RANK(EF2,OFFSET($S$2,0,0,1,$D$5*3),0),"-")</f>
        <v>37</v>
      </c>
      <c r="EG1" s="87"/>
      <c r="EH1" s="65"/>
      <c r="EI1" s="87">
        <f ca="1">+IFERROR(RANK(EI2,OFFSET($S$2,0,0,1,$D$5*3),0),"-")</f>
        <v>9</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294.99810000000002</v>
      </c>
      <c r="T2" s="87"/>
      <c r="U2" s="65"/>
      <c r="V2" s="87">
        <f t="shared" ref="V2" ca="1" si="0">V4-(COLUMN()/10000)</f>
        <v>305.99779999999998</v>
      </c>
      <c r="W2" s="87"/>
      <c r="X2" s="65"/>
      <c r="Y2" s="87">
        <f t="shared" ref="Y2" ca="1" si="1">Y4-(COLUMN()/10000)</f>
        <v>316.9975</v>
      </c>
      <c r="Z2" s="87"/>
      <c r="AA2" s="65"/>
      <c r="AB2" s="87">
        <f t="shared" ref="AB2" ca="1" si="2">AB4-(COLUMN()/10000)</f>
        <v>315.99720000000002</v>
      </c>
      <c r="AC2" s="87"/>
      <c r="AD2" s="65"/>
      <c r="AE2" s="87">
        <f t="shared" ref="AE2" ca="1" si="3">AE4-(COLUMN()/10000)</f>
        <v>320.99689999999998</v>
      </c>
      <c r="AF2" s="87"/>
      <c r="AG2" s="65"/>
      <c r="AH2" s="87">
        <f t="shared" ref="AH2" ca="1" si="4">AH4-(COLUMN()/10000)</f>
        <v>306.9966</v>
      </c>
      <c r="AI2" s="87"/>
      <c r="AJ2" s="65"/>
      <c r="AK2" s="87">
        <f t="shared" ref="AK2" ca="1" si="5">AK4-(COLUMN()/10000)</f>
        <v>295.99630000000002</v>
      </c>
      <c r="AL2" s="87"/>
      <c r="AM2" s="65"/>
      <c r="AN2" s="87">
        <f t="shared" ref="AN2" ca="1" si="6">AN4-(COLUMN()/10000)</f>
        <v>290.99599999999998</v>
      </c>
      <c r="AO2" s="87"/>
      <c r="AP2" s="65"/>
      <c r="AQ2" s="87">
        <f t="shared" ref="AQ2" ca="1" si="7">AQ4-(COLUMN()/10000)</f>
        <v>370.9957</v>
      </c>
      <c r="AR2" s="87"/>
      <c r="AS2" s="65"/>
      <c r="AT2" s="87">
        <f t="shared" ref="AT2" ca="1" si="8">AT4-(COLUMN()/10000)</f>
        <v>276.99540000000002</v>
      </c>
      <c r="AU2" s="87"/>
      <c r="AV2" s="65"/>
      <c r="AW2" s="87">
        <f t="shared" ref="AW2" ca="1" si="9">AW4-(COLUMN()/10000)</f>
        <v>274.99509999999998</v>
      </c>
      <c r="AX2" s="87"/>
      <c r="AY2" s="65"/>
      <c r="AZ2" s="87">
        <f t="shared" ref="AZ2" ca="1" si="10">AZ4-(COLUMN()/10000)</f>
        <v>295.9948</v>
      </c>
      <c r="BA2" s="87"/>
      <c r="BB2" s="65"/>
      <c r="BC2" s="87">
        <f t="shared" ref="BC2" ca="1" si="11">BC4-(COLUMN()/10000)</f>
        <v>304.99450000000002</v>
      </c>
      <c r="BD2" s="87"/>
      <c r="BE2" s="65"/>
      <c r="BF2" s="87">
        <f t="shared" ref="BF2" ca="1" si="12">BF4-(COLUMN()/10000)</f>
        <v>331.99419999999998</v>
      </c>
      <c r="BG2" s="87"/>
      <c r="BH2" s="65"/>
      <c r="BI2" s="87">
        <f t="shared" ref="BI2" ca="1" si="13">BI4-(COLUMN()/10000)</f>
        <v>311.9939</v>
      </c>
      <c r="BJ2" s="87"/>
      <c r="BK2" s="65"/>
      <c r="BL2" s="87">
        <f t="shared" ref="BL2" ca="1" si="14">BL4-(COLUMN()/10000)</f>
        <v>362.99360000000001</v>
      </c>
      <c r="BM2" s="87"/>
      <c r="BN2" s="65"/>
      <c r="BO2" s="87">
        <f t="shared" ref="BO2" ca="1" si="15">BO4-(COLUMN()/10000)</f>
        <v>311.99329999999998</v>
      </c>
      <c r="BP2" s="87"/>
      <c r="BQ2" s="65"/>
      <c r="BR2" s="87">
        <f t="shared" ref="BR2" ca="1" si="16">BR4-(COLUMN()/10000)</f>
        <v>319.99299999999999</v>
      </c>
      <c r="BS2" s="87"/>
      <c r="BT2" s="65"/>
      <c r="BU2" s="87">
        <f t="shared" ref="BU2" ca="1" si="17">BU4-(COLUMN()/10000)</f>
        <v>299.99270000000001</v>
      </c>
      <c r="BV2" s="87"/>
      <c r="BW2" s="65"/>
      <c r="BX2" s="87">
        <f t="shared" ref="BX2" ca="1" si="18">BX4-(COLUMN()/10000)</f>
        <v>318.99239999999998</v>
      </c>
      <c r="BY2" s="87"/>
      <c r="BZ2" s="65"/>
      <c r="CA2" s="87">
        <f t="shared" ref="CA2" ca="1" si="19">CA4-(COLUMN()/10000)</f>
        <v>287.99209999999999</v>
      </c>
      <c r="CB2" s="87"/>
      <c r="CC2" s="65"/>
      <c r="CD2" s="87">
        <f t="shared" ref="CD2" ca="1" si="20">CD4-(COLUMN()/10000)</f>
        <v>271.99180000000001</v>
      </c>
      <c r="CE2" s="87"/>
      <c r="CF2" s="65"/>
      <c r="CG2" s="87">
        <f t="shared" ref="CG2" ca="1" si="21">CG4-(COLUMN()/10000)</f>
        <v>300.99149999999997</v>
      </c>
      <c r="CH2" s="87"/>
      <c r="CI2" s="65"/>
      <c r="CJ2" s="87">
        <f t="shared" ref="CJ2" ca="1" si="22">CJ4-(COLUMN()/10000)</f>
        <v>323.99119999999999</v>
      </c>
      <c r="CK2" s="87"/>
      <c r="CL2" s="65"/>
      <c r="CM2" s="87">
        <f t="shared" ref="CM2" ca="1" si="23">CM4-(COLUMN()/10000)</f>
        <v>294.99090000000001</v>
      </c>
      <c r="CN2" s="87"/>
      <c r="CO2" s="65"/>
      <c r="CP2" s="87">
        <f t="shared" ref="CP2" ca="1" si="24">CP4-(COLUMN()/10000)</f>
        <v>328.99059999999997</v>
      </c>
      <c r="CQ2" s="87"/>
      <c r="CR2" s="65"/>
      <c r="CS2" s="87">
        <f t="shared" ref="CS2" ca="1" si="25">CS4-(COLUMN()/10000)</f>
        <v>345.99029999999999</v>
      </c>
      <c r="CT2" s="87"/>
      <c r="CU2" s="65"/>
      <c r="CV2" s="87">
        <f t="shared" ref="CV2" ca="1" si="26">CV4-(COLUMN()/10000)</f>
        <v>337.99</v>
      </c>
      <c r="CW2" s="87"/>
      <c r="CX2" s="65"/>
      <c r="CY2" s="87">
        <f t="shared" ref="CY2" ca="1" si="27">CY4-(COLUMN()/10000)</f>
        <v>301.98970000000003</v>
      </c>
      <c r="CZ2" s="87"/>
      <c r="DA2" s="65"/>
      <c r="DB2" s="87">
        <f t="shared" ref="DB2" ca="1" si="28">DB4-(COLUMN()/10000)</f>
        <v>351.98939999999999</v>
      </c>
      <c r="DC2" s="87"/>
      <c r="DD2" s="65"/>
      <c r="DE2" s="87">
        <f t="shared" ref="DE2" ca="1" si="29">DE4-(COLUMN()/10000)</f>
        <v>268.98910000000001</v>
      </c>
      <c r="DF2" s="87"/>
      <c r="DG2" s="65"/>
      <c r="DH2" s="87">
        <f t="shared" ref="DH2" ca="1" si="30">DH4-(COLUMN()/10000)</f>
        <v>294.98880000000003</v>
      </c>
      <c r="DI2" s="87"/>
      <c r="DJ2" s="65"/>
      <c r="DK2" s="87">
        <f t="shared" ref="DK2" ca="1" si="31">DK4-(COLUMN()/10000)</f>
        <v>272.98849999999999</v>
      </c>
      <c r="DL2" s="87"/>
      <c r="DM2" s="65"/>
      <c r="DN2" s="87">
        <f t="shared" ref="DN2" ca="1" si="32">DN4-(COLUMN()/10000)</f>
        <v>298.98820000000001</v>
      </c>
      <c r="DO2" s="87"/>
      <c r="DP2" s="65"/>
      <c r="DQ2" s="87">
        <f t="shared" ref="DQ2" ca="1" si="33">DQ4-(COLUMN()/10000)</f>
        <v>219.9879</v>
      </c>
      <c r="DR2" s="87"/>
      <c r="DS2" s="65"/>
      <c r="DT2" s="87">
        <f t="shared" ref="DT2" ca="1" si="34">DT4-(COLUMN()/10000)</f>
        <v>272.98759999999999</v>
      </c>
      <c r="DU2" s="87"/>
      <c r="DV2" s="65"/>
      <c r="DW2" s="87">
        <f t="shared" ref="DW2" ca="1" si="35">DW4-(COLUMN()/10000)</f>
        <v>346.9873</v>
      </c>
      <c r="DX2" s="87"/>
      <c r="DY2" s="65"/>
      <c r="DZ2" s="87">
        <f t="shared" ref="DZ2" ca="1" si="36">DZ4-(COLUMN()/10000)</f>
        <v>283.98700000000002</v>
      </c>
      <c r="EA2" s="87"/>
      <c r="EB2" s="65"/>
      <c r="EC2" s="87">
        <f t="shared" ref="EC2" ca="1" si="37">EC4-(COLUMN()/10000)</f>
        <v>271.98669999999998</v>
      </c>
      <c r="ED2" s="87"/>
      <c r="EE2" s="65"/>
      <c r="EF2" s="87">
        <f t="shared" ref="EF2" ca="1" si="38">EF4-(COLUMN()/10000)</f>
        <v>272.9864</v>
      </c>
      <c r="EG2" s="87"/>
      <c r="EH2" s="65"/>
      <c r="EI2" s="87">
        <f t="shared" ref="EI2" ca="1" si="39">EI4-(COLUMN()/10000)</f>
        <v>327.98610000000002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27</v>
      </c>
      <c r="T3" s="87"/>
      <c r="U3" s="65"/>
      <c r="V3" s="87">
        <f ca="1">RANK(V4,OFFSET($S$4,0,0,1,$D$5*3),0)</f>
        <v>19</v>
      </c>
      <c r="W3" s="87"/>
      <c r="X3" s="65"/>
      <c r="Y3" s="87">
        <f ca="1">RANK(Y4,OFFSET($S$4,0,0,1,$D$5*3),0)</f>
        <v>14</v>
      </c>
      <c r="Z3" s="87"/>
      <c r="AA3" s="65"/>
      <c r="AB3" s="87">
        <f ca="1">RANK(AB4,OFFSET($S$4,0,0,1,$D$5*3),0)</f>
        <v>15</v>
      </c>
      <c r="AC3" s="87"/>
      <c r="AD3" s="65"/>
      <c r="AE3" s="87">
        <f ca="1">RANK(AE4,OFFSET($S$4,0,0,1,$D$5*3),0)</f>
        <v>11</v>
      </c>
      <c r="AF3" s="87"/>
      <c r="AG3" s="65"/>
      <c r="AH3" s="87">
        <f ca="1">RANK(AH4,OFFSET($S$4,0,0,1,$D$5*3),0)</f>
        <v>18</v>
      </c>
      <c r="AI3" s="87"/>
      <c r="AJ3" s="65"/>
      <c r="AK3" s="87">
        <f ca="1">RANK(AK4,OFFSET($S$4,0,0,1,$D$5*3),0)</f>
        <v>25</v>
      </c>
      <c r="AL3" s="87"/>
      <c r="AM3" s="65"/>
      <c r="AN3" s="87">
        <f ca="1">RANK(AN4,OFFSET($S$4,0,0,1,$D$5*3),0)</f>
        <v>30</v>
      </c>
      <c r="AO3" s="87"/>
      <c r="AP3" s="65"/>
      <c r="AQ3" s="87">
        <f ca="1">RANK(AQ4,OFFSET($S$4,0,0,1,$D$5*3),0)</f>
        <v>1</v>
      </c>
      <c r="AR3" s="87"/>
      <c r="AS3" s="65"/>
      <c r="AT3" s="87">
        <f ca="1">RANK(AT4,OFFSET($S$4,0,0,1,$D$5*3),0)</f>
        <v>33</v>
      </c>
      <c r="AU3" s="87"/>
      <c r="AV3" s="65"/>
      <c r="AW3" s="87">
        <f ca="1">RANK(AW4,OFFSET($S$4,0,0,1,$D$5*3),0)</f>
        <v>34</v>
      </c>
      <c r="AX3" s="87"/>
      <c r="AY3" s="65"/>
      <c r="AZ3" s="87">
        <f ca="1">RANK(AZ4,OFFSET($S$4,0,0,1,$D$5*3),0)</f>
        <v>25</v>
      </c>
      <c r="BA3" s="87"/>
      <c r="BB3" s="65"/>
      <c r="BC3" s="87">
        <f ca="1">RANK(BC4,OFFSET($S$4,0,0,1,$D$5*3),0)</f>
        <v>20</v>
      </c>
      <c r="BD3" s="87"/>
      <c r="BE3" s="65"/>
      <c r="BF3" s="87">
        <f ca="1">RANK(BF4,OFFSET($S$4,0,0,1,$D$5*3),0)</f>
        <v>7</v>
      </c>
      <c r="BG3" s="87"/>
      <c r="BH3" s="65"/>
      <c r="BI3" s="87">
        <f ca="1">RANK(BI4,OFFSET($S$4,0,0,1,$D$5*3),0)</f>
        <v>16</v>
      </c>
      <c r="BJ3" s="87"/>
      <c r="BK3" s="65"/>
      <c r="BL3" s="87">
        <f ca="1">RANK(BL4,OFFSET($S$4,0,0,1,$D$5*3),0)</f>
        <v>2</v>
      </c>
      <c r="BM3" s="87"/>
      <c r="BN3" s="65"/>
      <c r="BO3" s="87">
        <f ca="1">RANK(BO4,OFFSET($S$4,0,0,1,$D$5*3),0)</f>
        <v>16</v>
      </c>
      <c r="BP3" s="87"/>
      <c r="BQ3" s="65"/>
      <c r="BR3" s="87">
        <f ca="1">RANK(BR4,OFFSET($S$4,0,0,1,$D$5*3),0)</f>
        <v>12</v>
      </c>
      <c r="BS3" s="87"/>
      <c r="BT3" s="65"/>
      <c r="BU3" s="87">
        <f ca="1">RANK(BU4,OFFSET($S$4,0,0,1,$D$5*3),0)</f>
        <v>23</v>
      </c>
      <c r="BV3" s="87"/>
      <c r="BW3" s="65"/>
      <c r="BX3" s="87">
        <f ca="1">RANK(BX4,OFFSET($S$4,0,0,1,$D$5*3),0)</f>
        <v>13</v>
      </c>
      <c r="BY3" s="87"/>
      <c r="BZ3" s="65"/>
      <c r="CA3" s="87">
        <f ca="1">RANK(CA4,OFFSET($S$4,0,0,1,$D$5*3),0)</f>
        <v>31</v>
      </c>
      <c r="CB3" s="87"/>
      <c r="CC3" s="65"/>
      <c r="CD3" s="87">
        <f ca="1">RANK(CD4,OFFSET($S$4,0,0,1,$D$5*3),0)</f>
        <v>38</v>
      </c>
      <c r="CE3" s="87"/>
      <c r="CF3" s="65"/>
      <c r="CG3" s="87">
        <f ca="1">RANK(CG4,OFFSET($S$4,0,0,1,$D$5*3),0)</f>
        <v>22</v>
      </c>
      <c r="CH3" s="87"/>
      <c r="CI3" s="65"/>
      <c r="CJ3" s="87">
        <f ca="1">RANK(CJ4,OFFSET($S$4,0,0,1,$D$5*3),0)</f>
        <v>10</v>
      </c>
      <c r="CK3" s="87"/>
      <c r="CL3" s="65"/>
      <c r="CM3" s="87">
        <f ca="1">RANK(CM4,OFFSET($S$4,0,0,1,$D$5*3),0)</f>
        <v>27</v>
      </c>
      <c r="CN3" s="87"/>
      <c r="CO3" s="65"/>
      <c r="CP3" s="87">
        <f ca="1">RANK(CP4,OFFSET($S$4,0,0,1,$D$5*3),0)</f>
        <v>8</v>
      </c>
      <c r="CQ3" s="87"/>
      <c r="CR3" s="65"/>
      <c r="CS3" s="87">
        <f ca="1">RANK(CS4,OFFSET($S$4,0,0,1,$D$5*3),0)</f>
        <v>5</v>
      </c>
      <c r="CT3" s="87"/>
      <c r="CU3" s="65"/>
      <c r="CV3" s="87">
        <f ca="1">RANK(CV4,OFFSET($S$4,0,0,1,$D$5*3),0)</f>
        <v>6</v>
      </c>
      <c r="CW3" s="87"/>
      <c r="CX3" s="65"/>
      <c r="CY3" s="87">
        <f ca="1">RANK(CY4,OFFSET($S$4,0,0,1,$D$5*3),0)</f>
        <v>21</v>
      </c>
      <c r="CZ3" s="87"/>
      <c r="DA3" s="65"/>
      <c r="DB3" s="87">
        <f ca="1">RANK(DB4,OFFSET($S$4,0,0,1,$D$5*3),0)</f>
        <v>3</v>
      </c>
      <c r="DC3" s="87"/>
      <c r="DD3" s="65"/>
      <c r="DE3" s="87">
        <f ca="1">RANK(DE4,OFFSET($S$4,0,0,1,$D$5*3),0)</f>
        <v>40</v>
      </c>
      <c r="DF3" s="87"/>
      <c r="DG3" s="65"/>
      <c r="DH3" s="87">
        <f ca="1">RANK(DH4,OFFSET($S$4,0,0,1,$D$5*3),0)</f>
        <v>27</v>
      </c>
      <c r="DI3" s="87"/>
      <c r="DJ3" s="65"/>
      <c r="DK3" s="87">
        <f ca="1">RANK(DK4,OFFSET($S$4,0,0,1,$D$5*3),0)</f>
        <v>35</v>
      </c>
      <c r="DL3" s="87"/>
      <c r="DM3" s="65"/>
      <c r="DN3" s="87">
        <f ca="1">RANK(DN4,OFFSET($S$4,0,0,1,$D$5*3),0)</f>
        <v>24</v>
      </c>
      <c r="DO3" s="87"/>
      <c r="DP3" s="65"/>
      <c r="DQ3" s="87">
        <f ca="1">RANK(DQ4,OFFSET($S$4,0,0,1,$D$5*3),0)</f>
        <v>41</v>
      </c>
      <c r="DR3" s="87"/>
      <c r="DS3" s="65"/>
      <c r="DT3" s="87">
        <f ca="1">RANK(DT4,OFFSET($S$4,0,0,1,$D$5*3),0)</f>
        <v>35</v>
      </c>
      <c r="DU3" s="87"/>
      <c r="DV3" s="65"/>
      <c r="DW3" s="87">
        <f ca="1">RANK(DW4,OFFSET($S$4,0,0,1,$D$5*3),0)</f>
        <v>4</v>
      </c>
      <c r="DX3" s="87"/>
      <c r="DY3" s="65"/>
      <c r="DZ3" s="87">
        <f ca="1">RANK(DZ4,OFFSET($S$4,0,0,1,$D$5*3),0)</f>
        <v>32</v>
      </c>
      <c r="EA3" s="87"/>
      <c r="EB3" s="65"/>
      <c r="EC3" s="87">
        <f ca="1">RANK(EC4,OFFSET($S$4,0,0,1,$D$5*3),0)</f>
        <v>38</v>
      </c>
      <c r="ED3" s="87"/>
      <c r="EE3" s="65"/>
      <c r="EF3" s="87">
        <f ca="1">RANK(EF4,OFFSET($S$4,0,0,1,$D$5*3),0)</f>
        <v>35</v>
      </c>
      <c r="EG3" s="87"/>
      <c r="EH3" s="65"/>
      <c r="EI3" s="87">
        <f ca="1">RANK(EI4,OFFSET($S$4,0,0,1,$D$5*3),0)</f>
        <v>9</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295</v>
      </c>
      <c r="T4" s="68"/>
      <c r="U4" s="65"/>
      <c r="V4" s="67">
        <f ca="1">SUM(W6:W259)/2</f>
        <v>306</v>
      </c>
      <c r="W4" s="68"/>
      <c r="X4" s="65"/>
      <c r="Y4" s="67">
        <f ca="1">SUM(Z6:Z259)/2</f>
        <v>317</v>
      </c>
      <c r="Z4" s="68"/>
      <c r="AA4" s="65"/>
      <c r="AB4" s="67">
        <f ca="1">SUM(AC6:AC259)/2</f>
        <v>316</v>
      </c>
      <c r="AC4" s="68"/>
      <c r="AD4" s="65"/>
      <c r="AE4" s="67">
        <f ca="1">SUM(AF6:AF259)/2</f>
        <v>321</v>
      </c>
      <c r="AF4" s="68"/>
      <c r="AG4" s="65"/>
      <c r="AH4" s="67">
        <f ca="1">SUM(AI6:AI259)/2</f>
        <v>307</v>
      </c>
      <c r="AI4" s="68"/>
      <c r="AJ4" s="65"/>
      <c r="AK4" s="67">
        <f ca="1">SUM(AL6:AL259)/2</f>
        <v>296</v>
      </c>
      <c r="AL4" s="68"/>
      <c r="AM4" s="65"/>
      <c r="AN4" s="67">
        <f ca="1">SUM(AO6:AO259)/2</f>
        <v>291</v>
      </c>
      <c r="AO4" s="68"/>
      <c r="AP4" s="65"/>
      <c r="AQ4" s="67">
        <f ca="1">SUM(AR6:AR259)/2</f>
        <v>371</v>
      </c>
      <c r="AR4" s="68"/>
      <c r="AS4" s="65"/>
      <c r="AT4" s="67">
        <f ca="1">SUM(AU6:AU259)/2</f>
        <v>277</v>
      </c>
      <c r="AU4" s="68"/>
      <c r="AV4" s="65"/>
      <c r="AW4" s="67">
        <f ca="1">SUM(AX6:AX259)/2</f>
        <v>275</v>
      </c>
      <c r="AX4" s="68"/>
      <c r="AY4" s="65"/>
      <c r="AZ4" s="67">
        <f ca="1">SUM(BA6:BA259)/2</f>
        <v>296</v>
      </c>
      <c r="BA4" s="68"/>
      <c r="BB4" s="65"/>
      <c r="BC4" s="67">
        <f ca="1">SUM(BD6:BD259)/2</f>
        <v>305</v>
      </c>
      <c r="BD4" s="68"/>
      <c r="BE4" s="65"/>
      <c r="BF4" s="67">
        <f ca="1">SUM(BG6:BG259)/2</f>
        <v>332</v>
      </c>
      <c r="BG4" s="68"/>
      <c r="BH4" s="65"/>
      <c r="BI4" s="67">
        <f ca="1">SUM(BJ6:BJ259)/2</f>
        <v>312</v>
      </c>
      <c r="BJ4" s="68"/>
      <c r="BK4" s="65"/>
      <c r="BL4" s="67">
        <f ca="1">SUM(BM6:BM259)/2</f>
        <v>363</v>
      </c>
      <c r="BM4" s="68"/>
      <c r="BN4" s="65"/>
      <c r="BO4" s="67">
        <f ca="1">SUM(BP6:BP259)/2</f>
        <v>312</v>
      </c>
      <c r="BP4" s="68"/>
      <c r="BQ4" s="65"/>
      <c r="BR4" s="67">
        <f ca="1">SUM(BS6:BS259)/2</f>
        <v>320</v>
      </c>
      <c r="BS4" s="68"/>
      <c r="BT4" s="65"/>
      <c r="BU4" s="67">
        <f ca="1">SUM(BV6:BV259)/2</f>
        <v>300</v>
      </c>
      <c r="BV4" s="68"/>
      <c r="BW4" s="65"/>
      <c r="BX4" s="67">
        <f ca="1">SUM(BY6:BY259)/2</f>
        <v>319</v>
      </c>
      <c r="BY4" s="68"/>
      <c r="BZ4" s="65"/>
      <c r="CA4" s="67">
        <f ca="1">SUM(CB6:CB259)/2</f>
        <v>288</v>
      </c>
      <c r="CB4" s="68"/>
      <c r="CC4" s="65"/>
      <c r="CD4" s="67">
        <f ca="1">SUM(CE6:CE259)/2</f>
        <v>272</v>
      </c>
      <c r="CE4" s="68"/>
      <c r="CF4" s="65"/>
      <c r="CG4" s="67">
        <f ca="1">SUM(CH6:CH259)/2</f>
        <v>301</v>
      </c>
      <c r="CH4" s="68"/>
      <c r="CI4" s="65"/>
      <c r="CJ4" s="67">
        <f ca="1">SUM(CK6:CK259)/2</f>
        <v>324</v>
      </c>
      <c r="CK4" s="68"/>
      <c r="CL4" s="65"/>
      <c r="CM4" s="67">
        <f ca="1">SUM(CN6:CN259)/2</f>
        <v>295</v>
      </c>
      <c r="CN4" s="68"/>
      <c r="CO4" s="65"/>
      <c r="CP4" s="67">
        <f ca="1">SUM(CQ6:CQ259)/2</f>
        <v>329</v>
      </c>
      <c r="CQ4" s="68"/>
      <c r="CR4" s="65"/>
      <c r="CS4" s="67">
        <f ca="1">SUM(CT6:CT259)/2</f>
        <v>346</v>
      </c>
      <c r="CT4" s="68"/>
      <c r="CU4" s="65"/>
      <c r="CV4" s="67">
        <f ca="1">SUM(CW6:CW259)/2</f>
        <v>338</v>
      </c>
      <c r="CW4" s="68"/>
      <c r="CX4" s="65"/>
      <c r="CY4" s="67">
        <f ca="1">SUM(CZ6:CZ259)/2</f>
        <v>302</v>
      </c>
      <c r="CZ4" s="68"/>
      <c r="DA4" s="65"/>
      <c r="DB4" s="67">
        <f ca="1">SUM(DC6:DC259)/2</f>
        <v>352</v>
      </c>
      <c r="DC4" s="68"/>
      <c r="DD4" s="65"/>
      <c r="DE4" s="67">
        <f ca="1">SUM(DF6:DF259)/2</f>
        <v>269</v>
      </c>
      <c r="DF4" s="68"/>
      <c r="DG4" s="65"/>
      <c r="DH4" s="67">
        <f ca="1">SUM(DI6:DI259)/2</f>
        <v>295</v>
      </c>
      <c r="DI4" s="68"/>
      <c r="DJ4" s="65"/>
      <c r="DK4" s="67">
        <f ca="1">SUM(DL6:DL259)/2</f>
        <v>273</v>
      </c>
      <c r="DL4" s="68"/>
      <c r="DM4" s="65"/>
      <c r="DN4" s="67">
        <f ca="1">SUM(DO6:DO259)/2</f>
        <v>299</v>
      </c>
      <c r="DO4" s="68"/>
      <c r="DP4" s="65"/>
      <c r="DQ4" s="67">
        <f ca="1">SUM(DR6:DR259)/2</f>
        <v>220</v>
      </c>
      <c r="DR4" s="68"/>
      <c r="DS4" s="65"/>
      <c r="DT4" s="67">
        <f ca="1">SUM(DU6:DU259)/2</f>
        <v>273</v>
      </c>
      <c r="DU4" s="68"/>
      <c r="DV4" s="65"/>
      <c r="DW4" s="67">
        <f ca="1">SUM(DX6:DX259)/2</f>
        <v>347</v>
      </c>
      <c r="DX4" s="68"/>
      <c r="DY4" s="65"/>
      <c r="DZ4" s="67">
        <f ca="1">SUM(EA6:EA259)/2</f>
        <v>284</v>
      </c>
      <c r="EA4" s="68"/>
      <c r="EB4" s="65"/>
      <c r="EC4" s="67">
        <f ca="1">SUM(ED6:ED259)/2</f>
        <v>272</v>
      </c>
      <c r="ED4" s="68"/>
      <c r="EE4" s="65"/>
      <c r="EF4" s="67">
        <f ca="1">SUM(EG6:EG259)/2</f>
        <v>273</v>
      </c>
      <c r="EG4" s="68"/>
      <c r="EH4" s="65"/>
      <c r="EI4" s="67">
        <f ca="1">SUM(EJ6:EJ259)/2</f>
        <v>328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4"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4"/>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4"/>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4"/>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3"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3"/>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3"/>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3"/>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4"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4"/>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4"/>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4"/>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3"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3"/>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3"/>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3"/>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4"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4"/>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4"/>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4"/>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3"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3"/>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3"/>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3"/>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4"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4"/>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4"/>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4"/>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3"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3"/>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3"/>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3"/>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4"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4"/>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4"/>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4"/>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3"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3"/>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3"/>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3"/>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4"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4"/>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4"/>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4"/>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3"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3"/>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3"/>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3"/>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51"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51"/>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51"/>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51"/>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2</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51"/>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1</v>
      </c>
      <c r="AG205" s="110"/>
      <c r="AH205" s="80" t="s">
        <v>2145</v>
      </c>
      <c r="AI205" s="73">
        <f t="shared" ca="1" si="950"/>
        <v>1</v>
      </c>
      <c r="AJ205" s="110"/>
      <c r="AK205" s="80" t="s">
        <v>2171</v>
      </c>
      <c r="AL205" s="73">
        <f t="shared" ca="1" si="950"/>
        <v>0</v>
      </c>
      <c r="AM205" s="110"/>
      <c r="AN205" s="80" t="s">
        <v>2203</v>
      </c>
      <c r="AO205" s="73">
        <f t="shared" ca="1" si="950"/>
        <v>0</v>
      </c>
      <c r="AP205" s="110"/>
      <c r="AQ205" s="80" t="s">
        <v>2114</v>
      </c>
      <c r="AR205" s="73">
        <f t="shared" ca="1" si="950"/>
        <v>1</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1</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1</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1</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51"/>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2025</v>
      </c>
      <c r="W206" s="73">
        <f t="shared" ca="1" si="950"/>
        <v>0</v>
      </c>
      <c r="X206" s="110"/>
      <c r="Y206" s="80" t="s">
        <v>2061</v>
      </c>
      <c r="Z206" s="73">
        <f t="shared" ca="1" si="950"/>
        <v>1</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1</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1</v>
      </c>
      <c r="BB206" s="110"/>
      <c r="BC206" s="80" t="s">
        <v>2331</v>
      </c>
      <c r="BD206" s="73">
        <f t="shared" ca="1" si="950"/>
        <v>1</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2</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51"/>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2</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4</v>
      </c>
      <c r="G220" s="407">
        <f ca="1">VLOOKUP(H220,Equipos!$Q$1:$R$25,2,0)</f>
        <v>22</v>
      </c>
      <c r="H220" s="65" t="str">
        <f>Idiomas!$D$262</f>
        <v>Cuartos de final</v>
      </c>
      <c r="I220" s="43">
        <v>1</v>
      </c>
      <c r="J220" s="851" t="s">
        <v>34</v>
      </c>
      <c r="K220" s="53" t="str">
        <f ca="1">CONCATENATE(WORLDCUP!AA131,"-",WORLDCUP!AF131)</f>
        <v>Francia-Marruecos</v>
      </c>
      <c r="L220" s="53">
        <f>IF(OR(WORLDCUP!AC131="",WORLDCUP!AD131=""),"PD",IF(WORLDCUP!AC131&gt;WORLDCUP!AD131,1,IF(WORLDCUP!AC131&lt;WORLDCUP!AD131,2,0)))</f>
        <v>1</v>
      </c>
      <c r="M220" s="55" t="str">
        <f t="shared" ref="M220:M223" si="1150">IF(L220="PD","-",N220&amp;"-"&amp;O220)</f>
        <v>2-0</v>
      </c>
      <c r="N220" s="25">
        <f>WORLDCUP!AC131</f>
        <v>2</v>
      </c>
      <c r="O220" s="25">
        <f>WORLDCUP!AD131</f>
        <v>0</v>
      </c>
      <c r="P220" s="25">
        <f t="shared" ref="P220:P223" si="1151">+N220-O220</f>
        <v>2</v>
      </c>
      <c r="Q220" s="25">
        <f>+A220-B220</f>
        <v>-2</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1</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2</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1</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1</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2</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4</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2</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4</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1</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1</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1</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07">
        <f t="shared" ref="F221:F223" si="1201">SUM($D$24:$D$26)*I221</f>
        <v>4</v>
      </c>
      <c r="G221" s="407">
        <f ca="1">VLOOKUP(H221,Equipos!$Q$1:$R$25,2,0)</f>
        <v>22</v>
      </c>
      <c r="H221" s="65" t="str">
        <f>Idiomas!$D$262</f>
        <v>Cuartos de final</v>
      </c>
      <c r="I221" s="43">
        <v>1</v>
      </c>
      <c r="J221" s="851"/>
      <c r="K221" s="56" t="str">
        <f ca="1">CONCATENATE(WORLDCUP!AA132,"-",WORLDCUP!AF132)</f>
        <v>España-Bélgica</v>
      </c>
      <c r="L221" s="53">
        <f>IF(OR(WORLDCUP!AC132="",WORLDCUP!AD132=""),"PD",IF(WORLDCUP!AC132&gt;WORLDCUP!AD132,1,IF(WORLDCUP!AC132&lt;WORLDCUP!AD132,2,0)))</f>
        <v>1</v>
      </c>
      <c r="M221" s="55" t="str">
        <f t="shared" si="1150"/>
        <v>2-1</v>
      </c>
      <c r="N221" s="25">
        <f>WORLDCUP!AC132</f>
        <v>2</v>
      </c>
      <c r="O221" s="25">
        <f>WORLDCUP!AD132</f>
        <v>1</v>
      </c>
      <c r="P221" s="25">
        <f t="shared" si="1151"/>
        <v>1</v>
      </c>
      <c r="Q221" s="25">
        <f>+A221-B221</f>
        <v>-1</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1</v>
      </c>
      <c r="AA221" s="110"/>
      <c r="AB221" s="74" t="s">
        <v>2089</v>
      </c>
      <c r="AC221" s="77">
        <f t="shared" ca="1" si="1152"/>
        <v>0</v>
      </c>
      <c r="AD221" s="110"/>
      <c r="AE221" s="74" t="s">
        <v>2118</v>
      </c>
      <c r="AF221" s="77">
        <f t="shared" ca="1" si="1152"/>
        <v>1</v>
      </c>
      <c r="AG221" s="110"/>
      <c r="AH221" s="74" t="s">
        <v>2147</v>
      </c>
      <c r="AI221" s="77">
        <f t="shared" ca="1" si="1152"/>
        <v>2</v>
      </c>
      <c r="AJ221" s="110"/>
      <c r="AK221" s="74" t="s">
        <v>2174</v>
      </c>
      <c r="AL221" s="77">
        <f t="shared" ca="1" si="1152"/>
        <v>0</v>
      </c>
      <c r="AM221" s="110"/>
      <c r="AN221" s="74" t="s">
        <v>2206</v>
      </c>
      <c r="AO221" s="77">
        <f t="shared" ca="1" si="1152"/>
        <v>0</v>
      </c>
      <c r="AP221" s="110"/>
      <c r="AQ221" s="74" t="s">
        <v>2064</v>
      </c>
      <c r="AR221" s="77">
        <f t="shared" ca="1" si="1152"/>
        <v>1</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1</v>
      </c>
      <c r="BE221" s="110"/>
      <c r="BF221" s="74" t="s">
        <v>2064</v>
      </c>
      <c r="BG221" s="77">
        <f t="shared" ca="1" si="1152"/>
        <v>1</v>
      </c>
      <c r="BH221" s="110"/>
      <c r="BI221" s="74" t="s">
        <v>2373</v>
      </c>
      <c r="BJ221" s="77">
        <f t="shared" ca="1" si="1152"/>
        <v>0</v>
      </c>
      <c r="BK221" s="110"/>
      <c r="BL221" s="74" t="s">
        <v>2393</v>
      </c>
      <c r="BM221" s="77">
        <f t="shared" ca="1" si="1152"/>
        <v>4</v>
      </c>
      <c r="BN221" s="110"/>
      <c r="BO221" s="74" t="s">
        <v>2404</v>
      </c>
      <c r="BP221" s="77">
        <f t="shared" ca="1" si="1152"/>
        <v>0</v>
      </c>
      <c r="BQ221" s="110"/>
      <c r="BR221" s="74" t="s">
        <v>2416</v>
      </c>
      <c r="BS221" s="77">
        <f t="shared" ca="1" si="1152"/>
        <v>0</v>
      </c>
      <c r="BT221" s="110"/>
      <c r="BU221" s="74" t="s">
        <v>2438</v>
      </c>
      <c r="BV221" s="77">
        <f t="shared" ca="1" si="1152"/>
        <v>1</v>
      </c>
      <c r="BW221" s="110"/>
      <c r="BX221" s="74" t="s">
        <v>2456</v>
      </c>
      <c r="BY221" s="77">
        <f t="shared" ca="1" si="1152"/>
        <v>0</v>
      </c>
      <c r="BZ221" s="110"/>
      <c r="CA221" s="74" t="s">
        <v>2476</v>
      </c>
      <c r="CB221" s="77">
        <f t="shared" ca="1" si="1152"/>
        <v>1</v>
      </c>
      <c r="CC221" s="110"/>
      <c r="CD221" s="74" t="s">
        <v>2255</v>
      </c>
      <c r="CE221" s="77">
        <f t="shared" ca="1" si="1152"/>
        <v>0</v>
      </c>
      <c r="CF221" s="110"/>
      <c r="CG221" s="74" t="s">
        <v>2028</v>
      </c>
      <c r="CH221" s="77">
        <f t="shared" ca="1" si="1152"/>
        <v>0</v>
      </c>
      <c r="CI221" s="110"/>
      <c r="CJ221" s="74" t="s">
        <v>2393</v>
      </c>
      <c r="CK221" s="77">
        <f t="shared" ca="1" si="1174"/>
        <v>4</v>
      </c>
      <c r="CL221" s="110"/>
      <c r="CM221" s="74" t="s">
        <v>2544</v>
      </c>
      <c r="CN221" s="77">
        <f t="shared" ca="1" si="1174"/>
        <v>0</v>
      </c>
      <c r="CO221" s="110"/>
      <c r="CP221" s="74" t="s">
        <v>2561</v>
      </c>
      <c r="CQ221" s="77">
        <f t="shared" ca="1" si="1174"/>
        <v>0</v>
      </c>
      <c r="CR221" s="110"/>
      <c r="CS221" s="74" t="s">
        <v>2393</v>
      </c>
      <c r="CT221" s="77">
        <f t="shared" ca="1" si="1174"/>
        <v>4</v>
      </c>
      <c r="CU221" s="110"/>
      <c r="CV221" s="74" t="s">
        <v>2577</v>
      </c>
      <c r="CW221" s="77">
        <f t="shared" ca="1" si="1174"/>
        <v>2</v>
      </c>
      <c r="CX221" s="110"/>
      <c r="CY221" s="74" t="s">
        <v>2393</v>
      </c>
      <c r="CZ221" s="77">
        <f t="shared" ca="1" si="1174"/>
        <v>4</v>
      </c>
      <c r="DA221" s="110"/>
      <c r="DB221" s="74" t="s">
        <v>2064</v>
      </c>
      <c r="DC221" s="77">
        <f t="shared" ca="1" si="1174"/>
        <v>1</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1</v>
      </c>
      <c r="DS221" s="110"/>
      <c r="DT221" s="74" t="s">
        <v>2064</v>
      </c>
      <c r="DU221" s="77">
        <f t="shared" ca="1" si="1174"/>
        <v>1</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07">
        <f t="shared" si="1201"/>
        <v>4</v>
      </c>
      <c r="G222" s="407">
        <f ca="1">VLOOKUP(H222,Equipos!$Q$1:$R$25,2,0)</f>
        <v>22</v>
      </c>
      <c r="H222" s="65" t="str">
        <f>Idiomas!$D$262</f>
        <v>Cuartos de final</v>
      </c>
      <c r="I222" s="43">
        <v>1</v>
      </c>
      <c r="J222" s="851"/>
      <c r="K222" s="56" t="str">
        <f ca="1">CONCATENATE(WORLDCUP!AA133,"-",WORLDCUP!AF133)</f>
        <v>Noruega-Inglaterra</v>
      </c>
      <c r="L222" s="53">
        <f>IF(OR(WORLDCUP!AC133="",WORLDCUP!AD133=""),"PD",IF(WORLDCUP!AC133&gt;WORLDCUP!AD133,1,IF(WORLDCUP!AC133&lt;WORLDCUP!AD133,2,0)))</f>
        <v>2</v>
      </c>
      <c r="M222" s="55" t="str">
        <f t="shared" si="1150"/>
        <v>1-2</v>
      </c>
      <c r="N222" s="25">
        <f>WORLDCUP!AC133</f>
        <v>1</v>
      </c>
      <c r="O222" s="25">
        <f>WORLDCUP!AD133</f>
        <v>2</v>
      </c>
      <c r="P222" s="25">
        <f t="shared" si="1151"/>
        <v>-1</v>
      </c>
      <c r="Q222" s="25">
        <f>+A222-B222</f>
        <v>1</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1</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2</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4</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07">
        <f t="shared" si="1201"/>
        <v>4</v>
      </c>
      <c r="G223" s="407">
        <f ca="1">VLOOKUP(H223,Equipos!$Q$1:$R$25,2,0)</f>
        <v>22</v>
      </c>
      <c r="H223" s="65" t="str">
        <f>Idiomas!$D$262</f>
        <v>Cuartos de final</v>
      </c>
      <c r="I223" s="43">
        <v>1</v>
      </c>
      <c r="J223" s="851"/>
      <c r="K223" s="115" t="str">
        <f ca="1">CONCATENATE(WORLDCUP!AA134,"-",WORLDCUP!AF134)</f>
        <v>Argentina-Suiza</v>
      </c>
      <c r="L223" s="115">
        <f>IF(OR(WORLDCUP!AC134="",WORLDCUP!AD134=""),"PD",IF(WORLDCUP!AC134&gt;WORLDCUP!AD134,1,IF(WORLDCUP!AC134&lt;WORLDCUP!AD134,2,0)))</f>
        <v>1</v>
      </c>
      <c r="M223" s="116" t="str">
        <f t="shared" si="1150"/>
        <v>3-1</v>
      </c>
      <c r="N223" s="25">
        <f>WORLDCUP!AC134</f>
        <v>3</v>
      </c>
      <c r="O223" s="25">
        <f>WORLDCUP!AD134</f>
        <v>1</v>
      </c>
      <c r="P223" s="25">
        <f t="shared" si="1151"/>
        <v>2</v>
      </c>
      <c r="Q223" s="25">
        <f>+A223-B223</f>
        <v>-2</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1</v>
      </c>
      <c r="AA224" s="65"/>
      <c r="AB224" s="84"/>
      <c r="AC224" s="71">
        <f t="shared" ref="AC224" ca="1" si="1205">SUM(AC220:AC223)</f>
        <v>0</v>
      </c>
      <c r="AD224" s="65"/>
      <c r="AE224" s="84"/>
      <c r="AF224" s="71">
        <f t="shared" ref="AF224" ca="1" si="1206">SUM(AF220:AF223)</f>
        <v>2</v>
      </c>
      <c r="AG224" s="65"/>
      <c r="AH224" s="84"/>
      <c r="AI224" s="71">
        <f t="shared" ref="AI224" ca="1" si="1207">SUM(AI220:AI223)</f>
        <v>2</v>
      </c>
      <c r="AJ224" s="65"/>
      <c r="AK224" s="84"/>
      <c r="AL224" s="71">
        <f t="shared" ref="AL224" ca="1" si="1208">SUM(AL220:AL223)</f>
        <v>0</v>
      </c>
      <c r="AM224" s="65"/>
      <c r="AN224" s="84"/>
      <c r="AO224" s="71">
        <f t="shared" ref="AO224" ca="1" si="1209">SUM(AO220:AO223)</f>
        <v>1</v>
      </c>
      <c r="AP224" s="65"/>
      <c r="AQ224" s="84"/>
      <c r="AR224" s="71">
        <f t="shared" ref="AR224" ca="1" si="1210">SUM(AR220:AR223)</f>
        <v>3</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1</v>
      </c>
      <c r="BE224" s="65"/>
      <c r="BF224" s="84"/>
      <c r="BG224" s="71">
        <f t="shared" ref="BG224" ca="1" si="1215">SUM(BG220:BG223)</f>
        <v>1</v>
      </c>
      <c r="BH224" s="65"/>
      <c r="BI224" s="84"/>
      <c r="BJ224" s="71">
        <f t="shared" ref="BJ224" ca="1" si="1216">SUM(BJ220:BJ223)</f>
        <v>0</v>
      </c>
      <c r="BK224" s="65"/>
      <c r="BL224" s="84"/>
      <c r="BM224" s="71">
        <f t="shared" ref="BM224" ca="1" si="1217">SUM(BM220:BM223)</f>
        <v>5</v>
      </c>
      <c r="BN224" s="65"/>
      <c r="BO224" s="84"/>
      <c r="BP224" s="71">
        <f t="shared" ref="BP224" ca="1" si="1218">SUM(BP220:BP223)</f>
        <v>1</v>
      </c>
      <c r="BQ224" s="65"/>
      <c r="BR224" s="84"/>
      <c r="BS224" s="71">
        <f t="shared" ref="BS224" ca="1" si="1219">SUM(BS220:BS223)</f>
        <v>2</v>
      </c>
      <c r="BT224" s="65"/>
      <c r="BU224" s="84"/>
      <c r="BV224" s="71">
        <f t="shared" ref="BV224" ca="1" si="1220">SUM(BV220:BV223)</f>
        <v>1</v>
      </c>
      <c r="BW224" s="65"/>
      <c r="BX224" s="84"/>
      <c r="BY224" s="71">
        <f t="shared" ref="BY224" ca="1" si="1221">SUM(BY220:BY223)</f>
        <v>4</v>
      </c>
      <c r="BZ224" s="65"/>
      <c r="CA224" s="84"/>
      <c r="CB224" s="71">
        <f t="shared" ref="CB224" ca="1" si="1222">SUM(CB220:CB223)</f>
        <v>1</v>
      </c>
      <c r="CC224" s="65"/>
      <c r="CD224" s="84"/>
      <c r="CE224" s="71">
        <f t="shared" ref="CE224" ca="1" si="1223">SUM(CE220:CE223)</f>
        <v>0</v>
      </c>
      <c r="CF224" s="65"/>
      <c r="CG224" s="84"/>
      <c r="CH224" s="71">
        <f t="shared" ref="CH224" ca="1" si="1224">SUM(CH220:CH223)</f>
        <v>0</v>
      </c>
      <c r="CI224" s="65"/>
      <c r="CJ224" s="84"/>
      <c r="CK224" s="71">
        <f t="shared" ref="CK224" ca="1" si="1225">SUM(CK220:CK223)</f>
        <v>4</v>
      </c>
      <c r="CL224" s="65"/>
      <c r="CM224" s="84"/>
      <c r="CN224" s="71">
        <f t="shared" ref="CN224" ca="1" si="1226">SUM(CN220:CN223)</f>
        <v>0</v>
      </c>
      <c r="CO224" s="65"/>
      <c r="CP224" s="84"/>
      <c r="CQ224" s="71">
        <f t="shared" ref="CQ224" ca="1" si="1227">SUM(CQ220:CQ223)</f>
        <v>2</v>
      </c>
      <c r="CR224" s="65"/>
      <c r="CS224" s="84"/>
      <c r="CT224" s="71">
        <f t="shared" ref="CT224" ca="1" si="1228">SUM(CT220:CT223)</f>
        <v>8</v>
      </c>
      <c r="CU224" s="65"/>
      <c r="CV224" s="84"/>
      <c r="CW224" s="71">
        <f t="shared" ref="CW224" ca="1" si="1229">SUM(CW220:CW223)</f>
        <v>3</v>
      </c>
      <c r="CX224" s="65"/>
      <c r="CY224" s="84"/>
      <c r="CZ224" s="71">
        <f t="shared" ref="CZ224" ca="1" si="1230">SUM(CZ220:CZ223)</f>
        <v>6</v>
      </c>
      <c r="DA224" s="65"/>
      <c r="DB224" s="84"/>
      <c r="DC224" s="71">
        <f t="shared" ref="DC224" ca="1" si="1231">SUM(DC220:DC223)</f>
        <v>2</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1</v>
      </c>
      <c r="DS224" s="65"/>
      <c r="DT224" s="84"/>
      <c r="DU224" s="71">
        <f t="shared" ref="DU224" ca="1" si="1237">SUM(DU220:DU223)</f>
        <v>1</v>
      </c>
      <c r="DV224" s="65"/>
      <c r="DW224" s="84"/>
      <c r="DX224" s="71">
        <f t="shared" ref="DX224" ca="1" si="1238">SUM(DX220:DX223)</f>
        <v>4</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1</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 ca="1">WORLDCUP!AA138</f>
        <v>Francia</v>
      </c>
      <c r="N226" s="25"/>
      <c r="O226" s="25"/>
      <c r="P226" s="25"/>
      <c r="Q226" s="25"/>
      <c r="R226" s="110"/>
      <c r="S226" s="76" t="s">
        <v>77</v>
      </c>
      <c r="T226" s="77">
        <f ca="1">COUNTIF($M$226:$M$229,S226)*$D$27</f>
        <v>0</v>
      </c>
      <c r="U226" s="64"/>
      <c r="V226" s="76" t="s">
        <v>74</v>
      </c>
      <c r="W226" s="77">
        <f t="shared" ref="W226" ca="1" si="1252">COUNTIF($M$226:$M$229,V226)*$D$27</f>
        <v>5</v>
      </c>
      <c r="X226" s="64"/>
      <c r="Y226" s="76" t="s">
        <v>74</v>
      </c>
      <c r="Z226" s="77">
        <f t="shared" ref="Z226" ca="1" si="1253">COUNTIF($M$226:$M$229,Y226)*$D$27</f>
        <v>5</v>
      </c>
      <c r="AA226" s="64"/>
      <c r="AB226" s="76" t="s">
        <v>74</v>
      </c>
      <c r="AC226" s="77">
        <f t="shared" ref="AC226" ca="1" si="1254">COUNTIF($M$226:$M$229,AB226)*$D$27</f>
        <v>5</v>
      </c>
      <c r="AD226" s="64"/>
      <c r="AE226" s="76" t="s">
        <v>74</v>
      </c>
      <c r="AF226" s="77">
        <f t="shared" ref="AF226" ca="1" si="1255">COUNTIF($M$226:$M$229,AE226)*$D$27</f>
        <v>5</v>
      </c>
      <c r="AG226" s="64"/>
      <c r="AH226" s="76" t="s">
        <v>74</v>
      </c>
      <c r="AI226" s="77">
        <f t="shared" ref="AI226" ca="1" si="1256">COUNTIF($M$226:$M$229,AH226)*$D$27</f>
        <v>5</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5</v>
      </c>
      <c r="AS226" s="64"/>
      <c r="AT226" s="76" t="s">
        <v>74</v>
      </c>
      <c r="AU226" s="77">
        <f t="shared" ref="AU226" ca="1" si="1260">COUNTIF($M$226:$M$229,AT226)*$D$27</f>
        <v>5</v>
      </c>
      <c r="AV226" s="64"/>
      <c r="AW226" s="76" t="s">
        <v>74</v>
      </c>
      <c r="AX226" s="77">
        <f t="shared" ref="AX226" ca="1" si="1261">COUNTIF($M$226:$M$229,AW226)*$D$27</f>
        <v>5</v>
      </c>
      <c r="AY226" s="64"/>
      <c r="AZ226" s="76" t="s">
        <v>74</v>
      </c>
      <c r="BA226" s="77">
        <f t="shared" ref="BA226" ca="1" si="1262">COUNTIF($M$226:$M$229,AZ226)*$D$27</f>
        <v>5</v>
      </c>
      <c r="BB226" s="64"/>
      <c r="BC226" s="76" t="s">
        <v>74</v>
      </c>
      <c r="BD226" s="77">
        <f t="shared" ref="BD226" ca="1" si="1263">COUNTIF($M$226:$M$229,BC226)*$D$27</f>
        <v>5</v>
      </c>
      <c r="BE226" s="64"/>
      <c r="BF226" s="76" t="s">
        <v>74</v>
      </c>
      <c r="BG226" s="77">
        <f t="shared" ref="BG226" ca="1" si="1264">COUNTIF($M$226:$M$229,BF226)*$D$27</f>
        <v>5</v>
      </c>
      <c r="BH226" s="64"/>
      <c r="BI226" s="76" t="s">
        <v>74</v>
      </c>
      <c r="BJ226" s="77">
        <f t="shared" ref="BJ226" ca="1" si="1265">COUNTIF($M$226:$M$229,BI226)*$D$27</f>
        <v>5</v>
      </c>
      <c r="BK226" s="64"/>
      <c r="BL226" s="76" t="s">
        <v>74</v>
      </c>
      <c r="BM226" s="77">
        <f t="shared" ref="BM226" ca="1" si="1266">COUNTIF($M$226:$M$229,BL226)*$D$27</f>
        <v>5</v>
      </c>
      <c r="BN226" s="64"/>
      <c r="BO226" s="76" t="s">
        <v>74</v>
      </c>
      <c r="BP226" s="77">
        <f t="shared" ref="BP226" ca="1" si="1267">COUNTIF($M$226:$M$229,BO226)*$D$27</f>
        <v>5</v>
      </c>
      <c r="BQ226" s="64"/>
      <c r="BR226" s="76" t="s">
        <v>74</v>
      </c>
      <c r="BS226" s="77">
        <f t="shared" ref="BS226" ca="1" si="1268">COUNTIF($M$226:$M$229,BR226)*$D$27</f>
        <v>5</v>
      </c>
      <c r="BT226" s="64"/>
      <c r="BU226" s="76" t="s">
        <v>74</v>
      </c>
      <c r="BV226" s="77">
        <f t="shared" ref="BV226" ca="1" si="1269">COUNTIF($M$226:$M$229,BU226)*$D$27</f>
        <v>5</v>
      </c>
      <c r="BW226" s="64"/>
      <c r="BX226" s="76" t="s">
        <v>74</v>
      </c>
      <c r="BY226" s="77">
        <f t="shared" ref="BY226" ca="1" si="1270">COUNTIF($M$226:$M$229,BX226)*$D$27</f>
        <v>5</v>
      </c>
      <c r="BZ226" s="64"/>
      <c r="CA226" s="76" t="s">
        <v>77</v>
      </c>
      <c r="CB226" s="77">
        <f t="shared" ref="CB226" ca="1" si="1271">COUNTIF($M$226:$M$229,CA226)*$D$27</f>
        <v>0</v>
      </c>
      <c r="CC226" s="64"/>
      <c r="CD226" s="76" t="s">
        <v>74</v>
      </c>
      <c r="CE226" s="77">
        <f t="shared" ref="CE226" ca="1" si="1272">COUNTIF($M$226:$M$229,CD226)*$D$27</f>
        <v>5</v>
      </c>
      <c r="CF226" s="64"/>
      <c r="CG226" s="76" t="s">
        <v>74</v>
      </c>
      <c r="CH226" s="77">
        <f t="shared" ref="CH226" ca="1" si="1273">COUNTIF($M$226:$M$229,CG226)*$D$27</f>
        <v>5</v>
      </c>
      <c r="CI226" s="64"/>
      <c r="CJ226" s="76" t="s">
        <v>74</v>
      </c>
      <c r="CK226" s="77">
        <f t="shared" ref="CK226" ca="1" si="1274">COUNTIF($M$226:$M$229,CJ226)*$D$27</f>
        <v>5</v>
      </c>
      <c r="CL226" s="64"/>
      <c r="CM226" s="76" t="s">
        <v>74</v>
      </c>
      <c r="CN226" s="77">
        <f t="shared" ref="CN226" ca="1" si="1275">COUNTIF($M$226:$M$229,CM226)*$D$27</f>
        <v>5</v>
      </c>
      <c r="CO226" s="64"/>
      <c r="CP226" s="76" t="s">
        <v>74</v>
      </c>
      <c r="CQ226" s="77">
        <f t="shared" ref="CQ226" ca="1" si="1276">COUNTIF($M$226:$M$229,CP226)*$D$27</f>
        <v>5</v>
      </c>
      <c r="CR226" s="64"/>
      <c r="CS226" s="76" t="s">
        <v>74</v>
      </c>
      <c r="CT226" s="77">
        <f t="shared" ref="CT226" ca="1" si="1277">COUNTIF($M$226:$M$229,CS226)*$D$27</f>
        <v>5</v>
      </c>
      <c r="CU226" s="64"/>
      <c r="CV226" s="76" t="s">
        <v>74</v>
      </c>
      <c r="CW226" s="77">
        <f t="shared" ref="CW226" ca="1" si="1278">COUNTIF($M$226:$M$229,CV226)*$D$27</f>
        <v>5</v>
      </c>
      <c r="CX226" s="64"/>
      <c r="CY226" s="76" t="s">
        <v>74</v>
      </c>
      <c r="CZ226" s="77">
        <f t="shared" ref="CZ226" ca="1" si="1279">COUNTIF($M$226:$M$229,CY226)*$D$27</f>
        <v>5</v>
      </c>
      <c r="DA226" s="64"/>
      <c r="DB226" s="76" t="s">
        <v>74</v>
      </c>
      <c r="DC226" s="77">
        <f t="shared" ref="DC226" ca="1" si="1280">COUNTIF($M$226:$M$229,DB226)*$D$27</f>
        <v>5</v>
      </c>
      <c r="DD226" s="64"/>
      <c r="DE226" s="76" t="s">
        <v>77</v>
      </c>
      <c r="DF226" s="77">
        <f t="shared" ref="DF226" ca="1" si="1281">COUNTIF($M$226:$M$229,DE226)*$D$27</f>
        <v>0</v>
      </c>
      <c r="DG226" s="64"/>
      <c r="DH226" s="76" t="s">
        <v>74</v>
      </c>
      <c r="DI226" s="77">
        <f t="shared" ref="DI226" ca="1" si="1282">COUNTIF($M$226:$M$229,DH226)*$D$27</f>
        <v>5</v>
      </c>
      <c r="DJ226" s="64"/>
      <c r="DK226" s="76" t="s">
        <v>74</v>
      </c>
      <c r="DL226" s="77">
        <f t="shared" ref="DL226" ca="1" si="1283">COUNTIF($M$226:$M$229,DK226)*$D$27</f>
        <v>5</v>
      </c>
      <c r="DM226" s="64"/>
      <c r="DN226" s="795" t="s">
        <v>74</v>
      </c>
      <c r="DO226" s="77">
        <f t="shared" ref="DO226" ca="1" si="1284">COUNTIF($M$226:$M$229,DN226)*$D$27</f>
        <v>5</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5</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5</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 ca="1">WORLDCUP!AA139</f>
        <v>Inglaterra</v>
      </c>
      <c r="N227" s="25"/>
      <c r="O227" s="25"/>
      <c r="P227" s="25"/>
      <c r="Q227" s="25"/>
      <c r="R227" s="110"/>
      <c r="S227" s="74" t="s">
        <v>76</v>
      </c>
      <c r="T227" s="73">
        <f ca="1">COUNTIF($M$226:$M$229,S227)*$D$27</f>
        <v>5</v>
      </c>
      <c r="U227" s="64"/>
      <c r="V227" s="74" t="s">
        <v>76</v>
      </c>
      <c r="W227" s="73">
        <f t="shared" ref="W227" ca="1" si="1302">COUNTIF($M$226:$M$229,V227)*$D$27</f>
        <v>5</v>
      </c>
      <c r="X227" s="64"/>
      <c r="Y227" s="74" t="s">
        <v>1258</v>
      </c>
      <c r="Z227" s="73">
        <f t="shared" ref="Z227" ca="1" si="1303">COUNTIF($M$226:$M$229,Y227)*$D$27</f>
        <v>0</v>
      </c>
      <c r="AA227" s="64"/>
      <c r="AB227" s="74" t="s">
        <v>76</v>
      </c>
      <c r="AC227" s="73">
        <f t="shared" ref="AC227" ca="1" si="1304">COUNTIF($M$226:$M$229,AB227)*$D$27</f>
        <v>5</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5</v>
      </c>
      <c r="AM227" s="64"/>
      <c r="AN227" s="74" t="s">
        <v>76</v>
      </c>
      <c r="AO227" s="73">
        <f t="shared" ref="AO227" ca="1" si="1308">COUNTIF($M$226:$M$229,AN227)*$D$27</f>
        <v>5</v>
      </c>
      <c r="AP227" s="64"/>
      <c r="AQ227" s="74" t="s">
        <v>76</v>
      </c>
      <c r="AR227" s="73">
        <f t="shared" ref="AR227" ca="1" si="1309">COUNTIF($M$226:$M$229,AQ227)*$D$27</f>
        <v>5</v>
      </c>
      <c r="AS227" s="64"/>
      <c r="AT227" s="74" t="s">
        <v>76</v>
      </c>
      <c r="AU227" s="73">
        <f t="shared" ref="AU227" ca="1" si="1310">COUNTIF($M$226:$M$229,AT227)*$D$27</f>
        <v>5</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5</v>
      </c>
      <c r="BH227" s="64"/>
      <c r="BI227" s="74" t="s">
        <v>1258</v>
      </c>
      <c r="BJ227" s="73">
        <f t="shared" ref="BJ227" ca="1" si="1315">COUNTIF($M$226:$M$229,BI227)*$D$27</f>
        <v>0</v>
      </c>
      <c r="BK227" s="64"/>
      <c r="BL227" s="74" t="s">
        <v>76</v>
      </c>
      <c r="BM227" s="73">
        <f t="shared" ref="BM227" ca="1" si="1316">COUNTIF($M$226:$M$229,BL227)*$D$27</f>
        <v>5</v>
      </c>
      <c r="BN227" s="64"/>
      <c r="BO227" s="74" t="s">
        <v>76</v>
      </c>
      <c r="BP227" s="73">
        <f t="shared" ref="BP227" ca="1" si="1317">COUNTIF($M$226:$M$229,BO227)*$D$27</f>
        <v>5</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5</v>
      </c>
      <c r="BZ227" s="64"/>
      <c r="CA227" s="74" t="s">
        <v>76</v>
      </c>
      <c r="CB227" s="73">
        <f t="shared" ref="CB227" ca="1" si="1321">COUNTIF($M$226:$M$229,CA227)*$D$27</f>
        <v>5</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5</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5</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5</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5</v>
      </c>
      <c r="EH227" s="64"/>
      <c r="EI227" s="74" t="s">
        <v>76</v>
      </c>
      <c r="EJ227" s="73">
        <f t="shared" ref="EJ227" ca="1" si="1341">COUNTIF($M$226:$M$229,EI227)*$D$27</f>
        <v>5</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 ca="1">WORLDCUP!AF138</f>
        <v>España</v>
      </c>
      <c r="N228" s="25"/>
      <c r="O228" s="25"/>
      <c r="P228" s="25"/>
      <c r="Q228" s="25"/>
      <c r="R228" s="110"/>
      <c r="S228" s="74" t="s">
        <v>38</v>
      </c>
      <c r="T228" s="73">
        <f ca="1">COUNTIF($M$226:$M$229,S228)*$D$27</f>
        <v>5</v>
      </c>
      <c r="U228" s="64"/>
      <c r="V228" s="74" t="s">
        <v>38</v>
      </c>
      <c r="W228" s="73">
        <f t="shared" ref="W228" ca="1" si="1351">COUNTIF($M$226:$M$229,V228)*$D$27</f>
        <v>5</v>
      </c>
      <c r="X228" s="64"/>
      <c r="Y228" s="74" t="s">
        <v>38</v>
      </c>
      <c r="Z228" s="73">
        <f t="shared" ref="Z228" ca="1" si="1352">COUNTIF($M$226:$M$229,Y228)*$D$27</f>
        <v>5</v>
      </c>
      <c r="AA228" s="64"/>
      <c r="AB228" s="74" t="s">
        <v>38</v>
      </c>
      <c r="AC228" s="73">
        <f t="shared" ref="AC228" ca="1" si="1353">COUNTIF($M$226:$M$229,AB228)*$D$27</f>
        <v>5</v>
      </c>
      <c r="AD228" s="64"/>
      <c r="AE228" s="74" t="s">
        <v>38</v>
      </c>
      <c r="AF228" s="73">
        <f t="shared" ref="AF228" ca="1" si="1354">COUNTIF($M$226:$M$229,AE228)*$D$27</f>
        <v>5</v>
      </c>
      <c r="AG228" s="64"/>
      <c r="AH228" s="74" t="s">
        <v>38</v>
      </c>
      <c r="AI228" s="73">
        <f t="shared" ref="AI228" ca="1" si="1355">COUNTIF($M$226:$M$229,AH228)*$D$27</f>
        <v>5</v>
      </c>
      <c r="AJ228" s="64"/>
      <c r="AK228" s="74" t="s">
        <v>38</v>
      </c>
      <c r="AL228" s="73">
        <f t="shared" ref="AL228" ca="1" si="1356">COUNTIF($M$226:$M$229,AK228)*$D$27</f>
        <v>5</v>
      </c>
      <c r="AM228" s="64"/>
      <c r="AN228" s="74" t="s">
        <v>1320</v>
      </c>
      <c r="AO228" s="73">
        <f t="shared" ref="AO228" ca="1" si="1357">COUNTIF($M$226:$M$229,AN228)*$D$27</f>
        <v>0</v>
      </c>
      <c r="AP228" s="64"/>
      <c r="AQ228" s="74" t="s">
        <v>38</v>
      </c>
      <c r="AR228" s="73">
        <f t="shared" ref="AR228" ca="1" si="1358">COUNTIF($M$226:$M$229,AQ228)*$D$27</f>
        <v>5</v>
      </c>
      <c r="AS228" s="64"/>
      <c r="AT228" s="74" t="s">
        <v>38</v>
      </c>
      <c r="AU228" s="73">
        <f t="shared" ref="AU228" ca="1" si="1359">COUNTIF($M$226:$M$229,AT228)*$D$27</f>
        <v>5</v>
      </c>
      <c r="AV228" s="64"/>
      <c r="AW228" s="74" t="s">
        <v>38</v>
      </c>
      <c r="AX228" s="73">
        <f t="shared" ref="AX228" ca="1" si="1360">COUNTIF($M$226:$M$229,AW228)*$D$27</f>
        <v>5</v>
      </c>
      <c r="AY228" s="64"/>
      <c r="AZ228" s="74" t="s">
        <v>38</v>
      </c>
      <c r="BA228" s="73">
        <f t="shared" ref="BA228" ca="1" si="1361">COUNTIF($M$226:$M$229,AZ228)*$D$27</f>
        <v>5</v>
      </c>
      <c r="BB228" s="64"/>
      <c r="BC228" s="74" t="s">
        <v>38</v>
      </c>
      <c r="BD228" s="73">
        <f t="shared" ref="BD228" ca="1" si="1362">COUNTIF($M$226:$M$229,BC228)*$D$27</f>
        <v>5</v>
      </c>
      <c r="BE228" s="64"/>
      <c r="BF228" s="74" t="s">
        <v>38</v>
      </c>
      <c r="BG228" s="73">
        <f t="shared" ref="BG228" ca="1" si="1363">COUNTIF($M$226:$M$229,BF228)*$D$27</f>
        <v>5</v>
      </c>
      <c r="BH228" s="64"/>
      <c r="BI228" s="74" t="s">
        <v>38</v>
      </c>
      <c r="BJ228" s="73">
        <f t="shared" ref="BJ228" ca="1" si="1364">COUNTIF($M$226:$M$229,BI228)*$D$27</f>
        <v>5</v>
      </c>
      <c r="BK228" s="64"/>
      <c r="BL228" s="74" t="s">
        <v>38</v>
      </c>
      <c r="BM228" s="73">
        <f t="shared" ref="BM228" ca="1" si="1365">COUNTIF($M$226:$M$229,BL228)*$D$27</f>
        <v>5</v>
      </c>
      <c r="BN228" s="64"/>
      <c r="BO228" s="74" t="s">
        <v>38</v>
      </c>
      <c r="BP228" s="73">
        <f t="shared" ref="BP228" ca="1" si="1366">COUNTIF($M$226:$M$229,BO228)*$D$27</f>
        <v>5</v>
      </c>
      <c r="BQ228" s="64"/>
      <c r="BR228" s="74" t="s">
        <v>38</v>
      </c>
      <c r="BS228" s="73">
        <f t="shared" ref="BS228" ca="1" si="1367">COUNTIF($M$226:$M$229,BR228)*$D$27</f>
        <v>5</v>
      </c>
      <c r="BT228" s="64"/>
      <c r="BU228" s="74" t="s">
        <v>38</v>
      </c>
      <c r="BV228" s="73">
        <f t="shared" ref="BV228" ca="1" si="1368">COUNTIF($M$226:$M$229,BU228)*$D$27</f>
        <v>5</v>
      </c>
      <c r="BW228" s="64"/>
      <c r="BX228" s="74" t="s">
        <v>38</v>
      </c>
      <c r="BY228" s="73">
        <f t="shared" ref="BY228" ca="1" si="1369">COUNTIF($M$226:$M$229,BX228)*$D$27</f>
        <v>5</v>
      </c>
      <c r="BZ228" s="64"/>
      <c r="CA228" s="74" t="s">
        <v>38</v>
      </c>
      <c r="CB228" s="73">
        <f t="shared" ref="CB228" ca="1" si="1370">COUNTIF($M$226:$M$229,CA228)*$D$27</f>
        <v>5</v>
      </c>
      <c r="CC228" s="64"/>
      <c r="CD228" s="74" t="s">
        <v>38</v>
      </c>
      <c r="CE228" s="73">
        <f t="shared" ref="CE228" ca="1" si="1371">COUNTIF($M$226:$M$229,CD228)*$D$27</f>
        <v>5</v>
      </c>
      <c r="CF228" s="64"/>
      <c r="CG228" s="74" t="s">
        <v>38</v>
      </c>
      <c r="CH228" s="73">
        <f t="shared" ref="CH228" ca="1" si="1372">COUNTIF($M$226:$M$229,CG228)*$D$27</f>
        <v>5</v>
      </c>
      <c r="CI228" s="64"/>
      <c r="CJ228" s="74" t="s">
        <v>38</v>
      </c>
      <c r="CK228" s="73">
        <f t="shared" ref="CK228" ca="1" si="1373">COUNTIF($M$226:$M$229,CJ228)*$D$27</f>
        <v>5</v>
      </c>
      <c r="CL228" s="64"/>
      <c r="CM228" s="74" t="s">
        <v>38</v>
      </c>
      <c r="CN228" s="73">
        <f t="shared" ref="CN228" ca="1" si="1374">COUNTIF($M$226:$M$229,CM228)*$D$27</f>
        <v>5</v>
      </c>
      <c r="CO228" s="64"/>
      <c r="CP228" s="74" t="s">
        <v>38</v>
      </c>
      <c r="CQ228" s="73">
        <f t="shared" ref="CQ228" ca="1" si="1375">COUNTIF($M$226:$M$229,CP228)*$D$27</f>
        <v>5</v>
      </c>
      <c r="CR228" s="64"/>
      <c r="CS228" s="74" t="s">
        <v>38</v>
      </c>
      <c r="CT228" s="73">
        <f t="shared" ref="CT228" ca="1" si="1376">COUNTIF($M$226:$M$229,CS228)*$D$27</f>
        <v>5</v>
      </c>
      <c r="CU228" s="64"/>
      <c r="CV228" s="74" t="s">
        <v>38</v>
      </c>
      <c r="CW228" s="73">
        <f t="shared" ref="CW228" ca="1" si="1377">COUNTIF($M$226:$M$229,CV228)*$D$27</f>
        <v>5</v>
      </c>
      <c r="CX228" s="64"/>
      <c r="CY228" s="74" t="s">
        <v>38</v>
      </c>
      <c r="CZ228" s="73">
        <f t="shared" ref="CZ228" ca="1" si="1378">COUNTIF($M$226:$M$229,CY228)*$D$27</f>
        <v>5</v>
      </c>
      <c r="DA228" s="64"/>
      <c r="DB228" s="74" t="s">
        <v>38</v>
      </c>
      <c r="DC228" s="73">
        <f t="shared" ref="DC228" ca="1" si="1379">COUNTIF($M$226:$M$229,DB228)*$D$27</f>
        <v>5</v>
      </c>
      <c r="DD228" s="64"/>
      <c r="DE228" s="74" t="s">
        <v>1835</v>
      </c>
      <c r="DF228" s="73">
        <f t="shared" ref="DF228" ca="1" si="1380">COUNTIF($M$226:$M$229,DE228)*$D$27</f>
        <v>0</v>
      </c>
      <c r="DG228" s="64"/>
      <c r="DH228" s="74" t="s">
        <v>38</v>
      </c>
      <c r="DI228" s="73">
        <f t="shared" ref="DI228" ca="1" si="1381">COUNTIF($M$226:$M$229,DH228)*$D$27</f>
        <v>5</v>
      </c>
      <c r="DJ228" s="64"/>
      <c r="DK228" s="74" t="s">
        <v>38</v>
      </c>
      <c r="DL228" s="73">
        <f t="shared" ref="DL228" ca="1" si="1382">COUNTIF($M$226:$M$229,DK228)*$D$27</f>
        <v>5</v>
      </c>
      <c r="DM228" s="64"/>
      <c r="DN228" s="795" t="s">
        <v>38</v>
      </c>
      <c r="DO228" s="73">
        <f t="shared" ref="DO228" ca="1" si="1383">COUNTIF($M$226:$M$229,DN228)*$D$27</f>
        <v>5</v>
      </c>
      <c r="DP228" s="64"/>
      <c r="DQ228" s="795" t="s">
        <v>76</v>
      </c>
      <c r="DR228" s="73">
        <f t="shared" ref="DR228" ca="1" si="1384">COUNTIF($M$226:$M$229,DQ228)*$D$27</f>
        <v>5</v>
      </c>
      <c r="DS228" s="64"/>
      <c r="DT228" s="74" t="s">
        <v>38</v>
      </c>
      <c r="DU228" s="73">
        <f t="shared" ref="DU228" ca="1" si="1385">COUNTIF($M$226:$M$229,DT228)*$D$27</f>
        <v>5</v>
      </c>
      <c r="DV228" s="64"/>
      <c r="DW228" s="74" t="s">
        <v>38</v>
      </c>
      <c r="DX228" s="73">
        <f t="shared" ref="DX228" ca="1" si="1386">COUNTIF($M$226:$M$229,DW228)*$D$27</f>
        <v>5</v>
      </c>
      <c r="DY228" s="64"/>
      <c r="DZ228" s="74" t="s">
        <v>38</v>
      </c>
      <c r="EA228" s="73">
        <f t="shared" ref="EA228" ca="1" si="1387">COUNTIF($M$226:$M$229,DZ228)*$D$27</f>
        <v>5</v>
      </c>
      <c r="EB228" s="64"/>
      <c r="EC228" s="74" t="s">
        <v>38</v>
      </c>
      <c r="ED228" s="73">
        <f t="shared" ref="ED228" ca="1" si="1388">COUNTIF($M$226:$M$229,EC228)*$D$27</f>
        <v>5</v>
      </c>
      <c r="EE228" s="64"/>
      <c r="EF228" s="74" t="s">
        <v>38</v>
      </c>
      <c r="EG228" s="73">
        <f t="shared" ref="EG228" ca="1" si="1389">COUNTIF($M$226:$M$229,EF228)*$D$27</f>
        <v>5</v>
      </c>
      <c r="EH228" s="64"/>
      <c r="EI228" s="74" t="s">
        <v>38</v>
      </c>
      <c r="EJ228" s="73">
        <f t="shared" ref="EJ228" ca="1" si="1390">COUNTIF($M$226:$M$229,EI228)*$D$27</f>
        <v>5</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 ca="1">WORLDCUP!AF139</f>
        <v>Argentina</v>
      </c>
      <c r="N229" s="25"/>
      <c r="O229" s="25"/>
      <c r="P229" s="25"/>
      <c r="Q229" s="25"/>
      <c r="R229" s="110"/>
      <c r="S229" s="80" t="s">
        <v>1256</v>
      </c>
      <c r="T229" s="81">
        <f ca="1">COUNTIF($M$226:$M$229,S229)*$D$27</f>
        <v>5</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5</v>
      </c>
      <c r="AD229" s="64"/>
      <c r="AE229" s="80" t="s">
        <v>1256</v>
      </c>
      <c r="AF229" s="81">
        <f t="shared" ref="AF229" ca="1" si="1403">COUNTIF($M$226:$M$229,AE229)*$D$27</f>
        <v>5</v>
      </c>
      <c r="AG229" s="64"/>
      <c r="AH229" s="80" t="s">
        <v>1256</v>
      </c>
      <c r="AI229" s="81">
        <f t="shared" ref="AI229" ca="1" si="1404">COUNTIF($M$226:$M$229,AH229)*$D$27</f>
        <v>5</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5</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5</v>
      </c>
      <c r="BH229" s="64"/>
      <c r="BI229" s="80" t="s">
        <v>79</v>
      </c>
      <c r="BJ229" s="81">
        <f t="shared" ref="BJ229" ca="1" si="1413">COUNTIF($M$226:$M$229,BI229)*$D$27</f>
        <v>0</v>
      </c>
      <c r="BK229" s="64"/>
      <c r="BL229" s="80" t="s">
        <v>1256</v>
      </c>
      <c r="BM229" s="81">
        <f t="shared" ref="BM229" ca="1" si="1414">COUNTIF($M$226:$M$229,BL229)*$D$27</f>
        <v>5</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5</v>
      </c>
      <c r="CC229" s="64"/>
      <c r="CD229" s="80" t="s">
        <v>79</v>
      </c>
      <c r="CE229" s="81">
        <f t="shared" ref="CE229" ca="1" si="1420">COUNTIF($M$226:$M$229,CD229)*$D$27</f>
        <v>0</v>
      </c>
      <c r="CF229" s="64"/>
      <c r="CG229" s="80" t="s">
        <v>1256</v>
      </c>
      <c r="CH229" s="81">
        <f t="shared" ref="CH229" ca="1" si="1421">COUNTIF($M$226:$M$229,CG229)*$D$27</f>
        <v>5</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5</v>
      </c>
      <c r="CU229" s="64"/>
      <c r="CV229" s="80" t="s">
        <v>79</v>
      </c>
      <c r="CW229" s="81">
        <f t="shared" ref="CW229" ca="1" si="1426">COUNTIF($M$226:$M$229,CV229)*$D$27</f>
        <v>0</v>
      </c>
      <c r="CX229" s="64"/>
      <c r="CY229" s="80" t="s">
        <v>1256</v>
      </c>
      <c r="CZ229" s="81">
        <f t="shared" ref="CZ229" ca="1" si="1427">COUNTIF($M$226:$M$229,CY229)*$D$27</f>
        <v>5</v>
      </c>
      <c r="DA229" s="64"/>
      <c r="DB229" s="80" t="s">
        <v>1256</v>
      </c>
      <c r="DC229" s="81">
        <f t="shared" ref="DC229" ca="1" si="1428">COUNTIF($M$226:$M$229,DB229)*$D$27</f>
        <v>5</v>
      </c>
      <c r="DD229" s="64"/>
      <c r="DE229" s="80" t="s">
        <v>1256</v>
      </c>
      <c r="DF229" s="81">
        <f t="shared" ref="DF229" ca="1" si="1429">COUNTIF($M$226:$M$229,DE229)*$D$27</f>
        <v>5</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5</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15</v>
      </c>
      <c r="U230" s="65"/>
      <c r="V230" s="84"/>
      <c r="W230" s="71">
        <f t="shared" ref="W230" ca="1" si="1449">SUM(W226:W229)</f>
        <v>15</v>
      </c>
      <c r="X230" s="65"/>
      <c r="Y230" s="84"/>
      <c r="Z230" s="71">
        <f t="shared" ref="Z230" ca="1" si="1450">SUM(Z226:Z229)</f>
        <v>10</v>
      </c>
      <c r="AA230" s="65"/>
      <c r="AB230" s="84"/>
      <c r="AC230" s="71">
        <f t="shared" ref="AC230" ca="1" si="1451">SUM(AC226:AC229)</f>
        <v>20</v>
      </c>
      <c r="AD230" s="65"/>
      <c r="AE230" s="84"/>
      <c r="AF230" s="71">
        <f t="shared" ref="AF230" ca="1" si="1452">SUM(AF226:AF229)</f>
        <v>15</v>
      </c>
      <c r="AG230" s="65"/>
      <c r="AH230" s="84"/>
      <c r="AI230" s="71">
        <f t="shared" ref="AI230" ca="1" si="1453">SUM(AI226:AI229)</f>
        <v>15</v>
      </c>
      <c r="AJ230" s="65"/>
      <c r="AK230" s="84"/>
      <c r="AL230" s="71">
        <f t="shared" ref="AL230" ca="1" si="1454">SUM(AL226:AL229)</f>
        <v>10</v>
      </c>
      <c r="AM230" s="65"/>
      <c r="AN230" s="84"/>
      <c r="AO230" s="71">
        <f t="shared" ref="AO230" ca="1" si="1455">SUM(AO226:AO229)</f>
        <v>5</v>
      </c>
      <c r="AP230" s="65"/>
      <c r="AQ230" s="84"/>
      <c r="AR230" s="71">
        <f t="shared" ref="AR230" ca="1" si="1456">SUM(AR226:AR229)</f>
        <v>20</v>
      </c>
      <c r="AS230" s="65"/>
      <c r="AT230" s="84"/>
      <c r="AU230" s="71">
        <f t="shared" ref="AU230" ca="1" si="1457">SUM(AU226:AU229)</f>
        <v>15</v>
      </c>
      <c r="AV230" s="65"/>
      <c r="AW230" s="84"/>
      <c r="AX230" s="71">
        <f t="shared" ref="AX230" ca="1" si="1458">SUM(AX226:AX229)</f>
        <v>10</v>
      </c>
      <c r="AY230" s="65"/>
      <c r="AZ230" s="84"/>
      <c r="BA230" s="71">
        <f t="shared" ref="BA230" ca="1" si="1459">SUM(BA226:BA229)</f>
        <v>10</v>
      </c>
      <c r="BB230" s="65"/>
      <c r="BC230" s="84"/>
      <c r="BD230" s="71">
        <f t="shared" ref="BD230" ca="1" si="1460">SUM(BD226:BD229)</f>
        <v>10</v>
      </c>
      <c r="BE230" s="65"/>
      <c r="BF230" s="84"/>
      <c r="BG230" s="71">
        <f t="shared" ref="BG230" ca="1" si="1461">SUM(BG226:BG229)</f>
        <v>20</v>
      </c>
      <c r="BH230" s="65"/>
      <c r="BI230" s="84"/>
      <c r="BJ230" s="71">
        <f t="shared" ref="BJ230" ca="1" si="1462">SUM(BJ226:BJ229)</f>
        <v>10</v>
      </c>
      <c r="BK230" s="65"/>
      <c r="BL230" s="84"/>
      <c r="BM230" s="71">
        <f t="shared" ref="BM230" ca="1" si="1463">SUM(BM226:BM229)</f>
        <v>20</v>
      </c>
      <c r="BN230" s="65"/>
      <c r="BO230" s="84"/>
      <c r="BP230" s="71">
        <f t="shared" ref="BP230" ca="1" si="1464">SUM(BP226:BP229)</f>
        <v>15</v>
      </c>
      <c r="BQ230" s="65"/>
      <c r="BR230" s="84"/>
      <c r="BS230" s="71">
        <f t="shared" ref="BS230" ca="1" si="1465">SUM(BS226:BS229)</f>
        <v>10</v>
      </c>
      <c r="BT230" s="65"/>
      <c r="BU230" s="84"/>
      <c r="BV230" s="71">
        <f t="shared" ref="BV230" ca="1" si="1466">SUM(BV226:BV229)</f>
        <v>10</v>
      </c>
      <c r="BW230" s="65"/>
      <c r="BX230" s="84"/>
      <c r="BY230" s="71">
        <f t="shared" ref="BY230" ca="1" si="1467">SUM(BY226:BY229)</f>
        <v>15</v>
      </c>
      <c r="BZ230" s="65"/>
      <c r="CA230" s="84"/>
      <c r="CB230" s="71">
        <f t="shared" ref="CB230" ca="1" si="1468">SUM(CB226:CB229)</f>
        <v>15</v>
      </c>
      <c r="CC230" s="65"/>
      <c r="CD230" s="84"/>
      <c r="CE230" s="71">
        <f t="shared" ref="CE230" ca="1" si="1469">SUM(CE226:CE229)</f>
        <v>10</v>
      </c>
      <c r="CF230" s="65"/>
      <c r="CG230" s="84"/>
      <c r="CH230" s="71">
        <f t="shared" ref="CH230" ca="1" si="1470">SUM(CH226:CH229)</f>
        <v>15</v>
      </c>
      <c r="CI230" s="65"/>
      <c r="CJ230" s="84"/>
      <c r="CK230" s="71">
        <f t="shared" ref="CK230" ca="1" si="1471">SUM(CK226:CK229)</f>
        <v>15</v>
      </c>
      <c r="CL230" s="65"/>
      <c r="CM230" s="84"/>
      <c r="CN230" s="71">
        <f t="shared" ref="CN230" ca="1" si="1472">SUM(CN226:CN229)</f>
        <v>10</v>
      </c>
      <c r="CO230" s="65"/>
      <c r="CP230" s="84"/>
      <c r="CQ230" s="71">
        <f t="shared" ref="CQ230" ca="1" si="1473">SUM(CQ226:CQ229)</f>
        <v>10</v>
      </c>
      <c r="CR230" s="65"/>
      <c r="CS230" s="84"/>
      <c r="CT230" s="71">
        <f t="shared" ref="CT230" ca="1" si="1474">SUM(CT226:CT229)</f>
        <v>15</v>
      </c>
      <c r="CU230" s="65"/>
      <c r="CV230" s="84"/>
      <c r="CW230" s="71">
        <f t="shared" ref="CW230" ca="1" si="1475">SUM(CW226:CW229)</f>
        <v>10</v>
      </c>
      <c r="CX230" s="65"/>
      <c r="CY230" s="84"/>
      <c r="CZ230" s="71">
        <f t="shared" ref="CZ230" ca="1" si="1476">SUM(CZ226:CZ229)</f>
        <v>20</v>
      </c>
      <c r="DA230" s="65"/>
      <c r="DB230" s="84"/>
      <c r="DC230" s="71">
        <f t="shared" ref="DC230" ca="1" si="1477">SUM(DC226:DC229)</f>
        <v>15</v>
      </c>
      <c r="DD230" s="65"/>
      <c r="DE230" s="84"/>
      <c r="DF230" s="71">
        <f t="shared" ref="DF230" ca="1" si="1478">SUM(DF226:DF229)</f>
        <v>5</v>
      </c>
      <c r="DG230" s="65"/>
      <c r="DH230" s="84"/>
      <c r="DI230" s="71">
        <f t="shared" ref="DI230" ca="1" si="1479">SUM(DI226:DI229)</f>
        <v>10</v>
      </c>
      <c r="DJ230" s="65"/>
      <c r="DK230" s="84"/>
      <c r="DL230" s="71">
        <f t="shared" ref="DL230" ca="1" si="1480">SUM(DL226:DL229)</f>
        <v>10</v>
      </c>
      <c r="DM230" s="65"/>
      <c r="DN230" s="796"/>
      <c r="DO230" s="71">
        <f t="shared" ref="DO230" ca="1" si="1481">SUM(DO226:DO229)</f>
        <v>10</v>
      </c>
      <c r="DP230" s="65"/>
      <c r="DQ230" s="796"/>
      <c r="DR230" s="71">
        <f t="shared" ref="DR230" ca="1" si="1482">SUM(DR226:DR229)</f>
        <v>5</v>
      </c>
      <c r="DS230" s="65"/>
      <c r="DT230" s="84"/>
      <c r="DU230" s="71">
        <f t="shared" ref="DU230" ca="1" si="1483">SUM(DU226:DU229)</f>
        <v>5</v>
      </c>
      <c r="DV230" s="65"/>
      <c r="DW230" s="84"/>
      <c r="DX230" s="71">
        <f t="shared" ref="DX230" ca="1" si="1484">SUM(DX226:DX229)</f>
        <v>15</v>
      </c>
      <c r="DY230" s="65"/>
      <c r="DZ230" s="84"/>
      <c r="EA230" s="71">
        <f t="shared" ref="EA230" ca="1" si="1485">SUM(EA226:EA229)</f>
        <v>10</v>
      </c>
      <c r="EB230" s="65"/>
      <c r="EC230" s="84"/>
      <c r="ED230" s="71">
        <f t="shared" ref="ED230" ca="1" si="1486">SUM(ED226:ED229)</f>
        <v>5</v>
      </c>
      <c r="EE230" s="65"/>
      <c r="EF230" s="84"/>
      <c r="EG230" s="71">
        <f t="shared" ref="EG230" ca="1" si="1487">SUM(EG226:EG229)</f>
        <v>10</v>
      </c>
      <c r="EH230" s="65"/>
      <c r="EI230" s="84"/>
      <c r="EJ230" s="71">
        <f t="shared" ref="EJ230" ca="1" si="1488">SUM(EJ226:EJ229)</f>
        <v>15</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2</v>
      </c>
      <c r="B232" s="25">
        <f>WORLDCUP!AC138</f>
        <v>0</v>
      </c>
      <c r="C232" s="25" t="str">
        <f ca="1">CONCATENATE(WORLDCUP!AF138,"-",WORLDCUP!AA138)</f>
        <v>España-Francia</v>
      </c>
      <c r="D232" s="25">
        <f>IF(WORLDCUP!AC138&gt;WORLDCUP!AD138,2,IF(WORLDCUP!AC138&lt;WORLDCUP!AD138,1,IF(AND(WORLDCUP!AC138=WORLDCUP!AD138,WORLDCUP!AC138&lt;&gt;"",WORLDCUP!AD138&lt;&gt;""),0,"PD")))</f>
        <v>1</v>
      </c>
      <c r="E232" s="25" t="str">
        <f>IF(OR(WORLDCUP!AD138="",WORLDCUP!AC138=""),"-",A232&amp;"-"&amp;B232)</f>
        <v>2-0</v>
      </c>
      <c r="F232" s="407">
        <f>SUM($D$28:$D$30)*I232</f>
        <v>4</v>
      </c>
      <c r="G232" s="407">
        <f ca="1">VLOOKUP(H232,Equipos!$Q$1:$R$25,2,0)</f>
        <v>23</v>
      </c>
      <c r="H232" s="65" t="str">
        <f>Idiomas!$D$263</f>
        <v>Semifinales</v>
      </c>
      <c r="I232" s="43">
        <v>1</v>
      </c>
      <c r="J232" s="852" t="s">
        <v>35</v>
      </c>
      <c r="K232" s="53" t="str">
        <f ca="1">CONCATENATE(WORLDCUP!AA138,"-",WORLDCUP!AF138)</f>
        <v>Francia-España</v>
      </c>
      <c r="L232" s="53">
        <f>IF(OR(WORLDCUP!AC138="",WORLDCUP!AD138=""),"PD",IF(WORLDCUP!AC138&gt;WORLDCUP!AD138,1,IF(WORLDCUP!AC138&lt;WORLDCUP!AD138,2,0)))</f>
        <v>2</v>
      </c>
      <c r="M232" s="55" t="str">
        <f t="shared" ref="M232:M233" si="1498">IF(L232="PD","-",N232&amp;"-"&amp;O232)</f>
        <v>0-2</v>
      </c>
      <c r="N232" s="25">
        <f>WORLDCUP!AC138</f>
        <v>0</v>
      </c>
      <c r="O232" s="25">
        <f>WORLDCUP!AD138</f>
        <v>2</v>
      </c>
      <c r="P232" s="25">
        <f>+N232-O232</f>
        <v>-2</v>
      </c>
      <c r="Q232" s="25">
        <f>+A232-B232</f>
        <v>2</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1</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1</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1</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4</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1</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1</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1</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1</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4</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1</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1</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1</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1</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1</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1</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 ca="1">CONCATENATE(WORLDCUP!AF139,"-",WORLDCUP!AA139)</f>
        <v>Argentina-Inglaterra</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 ca="1">CONCATENATE(WORLDCUP!AA139,"-",WORLDCUP!AF139)</f>
        <v>Inglaterra-Argentina</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1</v>
      </c>
      <c r="X234" s="49"/>
      <c r="Y234" s="84"/>
      <c r="Z234" s="71">
        <f t="shared" ref="Z234" ca="1" si="1598">SUM(Z232:Z233)</f>
        <v>1</v>
      </c>
      <c r="AA234" s="49"/>
      <c r="AB234" s="84"/>
      <c r="AC234" s="71">
        <f t="shared" ref="AC234" ca="1" si="1599">SUM(AC232:AC233)</f>
        <v>0</v>
      </c>
      <c r="AD234" s="111"/>
      <c r="AE234" s="84"/>
      <c r="AF234" s="71">
        <f t="shared" ref="AF234" ca="1" si="1600">SUM(AF232:AF233)</f>
        <v>0</v>
      </c>
      <c r="AG234" s="49"/>
      <c r="AH234" s="84"/>
      <c r="AI234" s="71">
        <f t="shared" ref="AI234" ca="1" si="1601">SUM(AI232:AI233)</f>
        <v>1</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4</v>
      </c>
      <c r="BE234" s="49"/>
      <c r="BF234" s="84"/>
      <c r="BG234" s="71">
        <f t="shared" ref="BG234" ca="1" si="1609">SUM(BG232:BG233)</f>
        <v>1</v>
      </c>
      <c r="BH234" s="49"/>
      <c r="BI234" s="84"/>
      <c r="BJ234" s="71">
        <f t="shared" ref="BJ234" ca="1" si="1610">SUM(BJ232:BJ233)</f>
        <v>1</v>
      </c>
      <c r="BK234" s="49"/>
      <c r="BL234" s="84"/>
      <c r="BM234" s="71">
        <f t="shared" ref="BM234" ca="1" si="1611">SUM(BM232:BM233)</f>
        <v>1</v>
      </c>
      <c r="BN234" s="49"/>
      <c r="BO234" s="84"/>
      <c r="BP234" s="71">
        <f t="shared" ref="BP234" ca="1" si="1612">SUM(BP232:BP233)</f>
        <v>1</v>
      </c>
      <c r="BQ234" s="49"/>
      <c r="BR234" s="84"/>
      <c r="BS234" s="71">
        <f t="shared" ref="BS234" ca="1" si="1613">SUM(BS232:BS233)</f>
        <v>0</v>
      </c>
      <c r="BT234" s="49"/>
      <c r="BU234" s="84"/>
      <c r="BV234" s="71">
        <f t="shared" ref="BV234" ca="1" si="1614">SUM(BV232:BV233)</f>
        <v>4</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1</v>
      </c>
      <c r="CI234" s="49"/>
      <c r="CJ234" s="84"/>
      <c r="CK234" s="71">
        <f t="shared" ref="CK234" ca="1" si="1619">SUM(CK232:CK233)</f>
        <v>0</v>
      </c>
      <c r="CL234" s="49"/>
      <c r="CM234" s="84"/>
      <c r="CN234" s="71">
        <f t="shared" ref="CN234" ca="1" si="1620">SUM(CN232:CN233)</f>
        <v>0</v>
      </c>
      <c r="CO234" s="49"/>
      <c r="CP234" s="84"/>
      <c r="CQ234" s="71">
        <f t="shared" ref="CQ234" ca="1" si="1621">SUM(CQ232:CQ233)</f>
        <v>1</v>
      </c>
      <c r="CR234" s="49"/>
      <c r="CS234" s="84"/>
      <c r="CT234" s="71">
        <f t="shared" ref="CT234" ca="1" si="1622">SUM(CT232:CT233)</f>
        <v>1</v>
      </c>
      <c r="CU234" s="49"/>
      <c r="CV234" s="84"/>
      <c r="CW234" s="71">
        <f t="shared" ref="CW234" ca="1" si="1623">SUM(CW232:CW233)</f>
        <v>0</v>
      </c>
      <c r="CX234" s="49"/>
      <c r="CY234" s="84"/>
      <c r="CZ234" s="71">
        <f t="shared" ref="CZ234" ca="1" si="1624">SUM(CZ232:CZ233)</f>
        <v>0</v>
      </c>
      <c r="DA234" s="49"/>
      <c r="DB234" s="84"/>
      <c r="DC234" s="71">
        <f t="shared" ref="DC234" ca="1" si="1625">SUM(DC232:DC233)</f>
        <v>1</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1</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1</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 ca="1">WORLDCUP!AA143</f>
        <v>Francia</v>
      </c>
      <c r="N236" s="25"/>
      <c r="O236" s="25"/>
      <c r="P236" s="25"/>
      <c r="Q236" s="25"/>
      <c r="R236" s="17"/>
      <c r="S236" s="76" t="s">
        <v>38</v>
      </c>
      <c r="T236" s="77">
        <f ca="1">COUNTIF($M$236:$M$237,S236)*$D$31</f>
        <v>0</v>
      </c>
      <c r="U236" s="110"/>
      <c r="V236" s="76" t="s">
        <v>74</v>
      </c>
      <c r="W236" s="77">
        <f t="shared" ref="W236" ca="1" si="1646">COUNTIF($M$236:$M$237,V236)*$D$31</f>
        <v>6</v>
      </c>
      <c r="X236" s="110"/>
      <c r="Y236" s="76" t="s">
        <v>74</v>
      </c>
      <c r="Z236" s="77">
        <f t="shared" ref="Z236" ca="1" si="1647">COUNTIF($M$236:$M$237,Y236)*$D$31</f>
        <v>6</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6</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6</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6</v>
      </c>
      <c r="BB236" s="110"/>
      <c r="BC236" s="76" t="s">
        <v>74</v>
      </c>
      <c r="BD236" s="77">
        <f t="shared" ref="BD236" ca="1" si="1657">COUNTIF($M$236:$M$237,BC236)*$D$31</f>
        <v>6</v>
      </c>
      <c r="BE236" s="110"/>
      <c r="BF236" s="76" t="s">
        <v>74</v>
      </c>
      <c r="BG236" s="77">
        <f t="shared" ref="BG236" ca="1" si="1658">COUNTIF($M$236:$M$237,BF236)*$D$31</f>
        <v>6</v>
      </c>
      <c r="BH236" s="110"/>
      <c r="BI236" s="76" t="s">
        <v>74</v>
      </c>
      <c r="BJ236" s="77">
        <f t="shared" ref="BJ236" ca="1" si="1659">COUNTIF($M$236:$M$237,BI236)*$D$31</f>
        <v>6</v>
      </c>
      <c r="BK236" s="110"/>
      <c r="BL236" s="76" t="s">
        <v>74</v>
      </c>
      <c r="BM236" s="77">
        <f t="shared" ref="BM236" ca="1" si="1660">COUNTIF($M$236:$M$237,BL236)*$D$31</f>
        <v>6</v>
      </c>
      <c r="BN236" s="110"/>
      <c r="BO236" s="76" t="s">
        <v>74</v>
      </c>
      <c r="BP236" s="77">
        <f t="shared" ref="BP236" ca="1" si="1661">COUNTIF($M$236:$M$237,BO236)*$D$31</f>
        <v>6</v>
      </c>
      <c r="BQ236" s="110"/>
      <c r="BR236" s="76" t="s">
        <v>74</v>
      </c>
      <c r="BS236" s="77">
        <f t="shared" ref="BS236" ca="1" si="1662">COUNTIF($M$236:$M$237,BR236)*$D$31</f>
        <v>6</v>
      </c>
      <c r="BT236" s="110"/>
      <c r="BU236" s="76" t="s">
        <v>74</v>
      </c>
      <c r="BV236" s="77">
        <f t="shared" ref="BV236" ca="1" si="1663">COUNTIF($M$236:$M$237,BU236)*$D$31</f>
        <v>6</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6</v>
      </c>
      <c r="CI236" s="110"/>
      <c r="CJ236" s="76" t="s">
        <v>74</v>
      </c>
      <c r="CK236" s="77">
        <f t="shared" ref="CK236" ca="1" si="1668">COUNTIF($M$236:$M$237,CJ236)*$D$31</f>
        <v>6</v>
      </c>
      <c r="CL236" s="110"/>
      <c r="CM236" s="76" t="s">
        <v>74</v>
      </c>
      <c r="CN236" s="77">
        <f t="shared" ref="CN236" ca="1" si="1669">COUNTIF($M$236:$M$237,CM236)*$D$31</f>
        <v>6</v>
      </c>
      <c r="CO236" s="110"/>
      <c r="CP236" s="76" t="s">
        <v>74</v>
      </c>
      <c r="CQ236" s="77">
        <f t="shared" ref="CQ236" ca="1" si="1670">COUNTIF($M$236:$M$237,CP236)*$D$31</f>
        <v>6</v>
      </c>
      <c r="CR236" s="110"/>
      <c r="CS236" s="76" t="s">
        <v>74</v>
      </c>
      <c r="CT236" s="77">
        <f t="shared" ref="CT236" ca="1" si="1671">COUNTIF($M$236:$M$237,CS236)*$D$31</f>
        <v>6</v>
      </c>
      <c r="CU236" s="110"/>
      <c r="CV236" s="76" t="s">
        <v>74</v>
      </c>
      <c r="CW236" s="77">
        <f t="shared" ref="CW236" ca="1" si="1672">COUNTIF($M$236:$M$237,CV236)*$D$31</f>
        <v>6</v>
      </c>
      <c r="CX236" s="110"/>
      <c r="CY236" s="76" t="s">
        <v>38</v>
      </c>
      <c r="CZ236" s="77">
        <f t="shared" ref="CZ236" ca="1" si="1673">COUNTIF($M$236:$M$237,CY236)*$D$31</f>
        <v>0</v>
      </c>
      <c r="DA236" s="110"/>
      <c r="DB236" s="76" t="s">
        <v>74</v>
      </c>
      <c r="DC236" s="77">
        <f t="shared" ref="DC236" ca="1" si="1674">COUNTIF($M$236:$M$237,DB236)*$D$31</f>
        <v>6</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6</v>
      </c>
      <c r="DP236" s="110"/>
      <c r="DQ236" s="795" t="s">
        <v>76</v>
      </c>
      <c r="DR236" s="77">
        <f t="shared" ref="DR236" ca="1" si="1679">COUNTIF($M$236:$M$237,DQ236)*$D$31</f>
        <v>0</v>
      </c>
      <c r="DS236" s="110"/>
      <c r="DT236" s="76" t="s">
        <v>77</v>
      </c>
      <c r="DU236" s="77">
        <f t="shared" ref="DU236" ca="1" si="1680">COUNTIF($M$236:$M$237,DT236)*$D$31</f>
        <v>0</v>
      </c>
      <c r="DV236" s="110"/>
      <c r="DW236" s="76" t="s">
        <v>74</v>
      </c>
      <c r="DX236" s="77">
        <f t="shared" ref="DX236" ca="1" si="1681">COUNTIF($M$236:$M$237,DW236)*$D$31</f>
        <v>6</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t="s">
        <v>74</v>
      </c>
      <c r="EJ236" s="77">
        <f t="shared" ref="EJ236" ca="1" si="1685">COUNTIF($M$236:$M$237,EI236)*$D$31</f>
        <v>6</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 ca="1">COUNTIF($M$236:$M$237,S237)*$D$31</f>
        <v>0</v>
      </c>
      <c r="U237" s="110"/>
      <c r="V237" s="80" t="s">
        <v>76</v>
      </c>
      <c r="W237" s="81">
        <f t="shared" ref="W237" ca="1" si="1695">COUNTIF($M$236:$M$237,V237)*$D$31</f>
        <v>0</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0</v>
      </c>
      <c r="AM237" s="110"/>
      <c r="AN237" s="80" t="s">
        <v>76</v>
      </c>
      <c r="AO237" s="81">
        <f t="shared" ref="AO237" ca="1" si="1701">COUNTIF($M$236:$M$237,AN237)*$D$31</f>
        <v>0</v>
      </c>
      <c r="AP237" s="110"/>
      <c r="AQ237" s="80" t="s">
        <v>76</v>
      </c>
      <c r="AR237" s="81">
        <f t="shared" ref="AR237" ca="1" si="1702">COUNTIF($M$236:$M$237,AQ237)*$D$31</f>
        <v>0</v>
      </c>
      <c r="AS237" s="110"/>
      <c r="AT237" s="80" t="s">
        <v>76</v>
      </c>
      <c r="AU237" s="81">
        <f t="shared" ref="AU237" ca="1" si="1703">COUNTIF($M$236:$M$237,AT237)*$D$31</f>
        <v>0</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0</v>
      </c>
      <c r="BH237" s="110"/>
      <c r="BI237" s="80" t="s">
        <v>79</v>
      </c>
      <c r="BJ237" s="81">
        <f t="shared" ref="BJ237" ca="1" si="1708">COUNTIF($M$236:$M$237,BI237)*$D$31</f>
        <v>0</v>
      </c>
      <c r="BK237" s="110"/>
      <c r="BL237" s="80" t="s">
        <v>76</v>
      </c>
      <c r="BM237" s="81">
        <f t="shared" ref="BM237" ca="1" si="1709">COUNTIF($M$236:$M$237,BL237)*$D$31</f>
        <v>0</v>
      </c>
      <c r="BN237" s="110"/>
      <c r="BO237" s="80" t="s">
        <v>76</v>
      </c>
      <c r="BP237" s="81">
        <f t="shared" ref="BP237" ca="1" si="1710">COUNTIF($M$236:$M$237,BO237)*$D$31</f>
        <v>0</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0</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0</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0</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t="s">
        <v>76</v>
      </c>
      <c r="EJ237" s="81">
        <f t="shared" ref="EJ237" ca="1" si="1734">COUNTIF($M$236:$M$237,EI237)*$D$31</f>
        <v>0</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6</v>
      </c>
      <c r="X238" s="49"/>
      <c r="Y238" s="84"/>
      <c r="Z238" s="71">
        <f t="shared" ref="Z238" ca="1" si="1745">SUM(Z236:Z237)</f>
        <v>6</v>
      </c>
      <c r="AA238" s="49"/>
      <c r="AB238" s="84"/>
      <c r="AC238" s="71">
        <f t="shared" ref="AC238" ca="1" si="1746">SUM(AC236:AC237)</f>
        <v>0</v>
      </c>
      <c r="AD238" s="49"/>
      <c r="AE238" s="84"/>
      <c r="AF238" s="71">
        <f t="shared" ref="AF238" ca="1" si="1747">SUM(AF236:AF237)</f>
        <v>0</v>
      </c>
      <c r="AG238" s="49"/>
      <c r="AH238" s="84"/>
      <c r="AI238" s="71">
        <f t="shared" ref="AI238" ca="1" si="1748">SUM(AI236:AI237)</f>
        <v>6</v>
      </c>
      <c r="AJ238" s="49"/>
      <c r="AK238" s="84"/>
      <c r="AL238" s="71">
        <f t="shared" ref="AL238" ca="1" si="1749">SUM(AL236:AL237)</f>
        <v>0</v>
      </c>
      <c r="AM238" s="49"/>
      <c r="AN238" s="84"/>
      <c r="AO238" s="71">
        <f t="shared" ref="AO238" ca="1" si="1750">SUM(AO236:AO237)</f>
        <v>0</v>
      </c>
      <c r="AP238" s="49"/>
      <c r="AQ238" s="84"/>
      <c r="AR238" s="71">
        <f t="shared" ref="AR238" ca="1" si="1751">SUM(AR236:AR237)</f>
        <v>6</v>
      </c>
      <c r="AS238" s="49"/>
      <c r="AT238" s="84"/>
      <c r="AU238" s="71">
        <f t="shared" ref="AU238" ca="1" si="1752">SUM(AU236:AU237)</f>
        <v>0</v>
      </c>
      <c r="AV238" s="49"/>
      <c r="AW238" s="84"/>
      <c r="AX238" s="71">
        <f t="shared" ref="AX238" ca="1" si="1753">SUM(AX236:AX237)</f>
        <v>0</v>
      </c>
      <c r="AY238" s="49"/>
      <c r="AZ238" s="84"/>
      <c r="BA238" s="71">
        <f t="shared" ref="BA238" ca="1" si="1754">SUM(BA236:BA237)</f>
        <v>6</v>
      </c>
      <c r="BB238" s="49"/>
      <c r="BC238" s="84"/>
      <c r="BD238" s="71">
        <f t="shared" ref="BD238" ca="1" si="1755">SUM(BD236:BD237)</f>
        <v>6</v>
      </c>
      <c r="BE238" s="49"/>
      <c r="BF238" s="84"/>
      <c r="BG238" s="71">
        <f t="shared" ref="BG238" ca="1" si="1756">SUM(BG236:BG237)</f>
        <v>6</v>
      </c>
      <c r="BH238" s="49"/>
      <c r="BI238" s="84"/>
      <c r="BJ238" s="71">
        <f t="shared" ref="BJ238" ca="1" si="1757">SUM(BJ236:BJ237)</f>
        <v>6</v>
      </c>
      <c r="BK238" s="49"/>
      <c r="BL238" s="84"/>
      <c r="BM238" s="71">
        <f t="shared" ref="BM238" ca="1" si="1758">SUM(BM236:BM237)</f>
        <v>6</v>
      </c>
      <c r="BN238" s="49"/>
      <c r="BO238" s="84"/>
      <c r="BP238" s="71">
        <f t="shared" ref="BP238" ca="1" si="1759">SUM(BP236:BP237)</f>
        <v>6</v>
      </c>
      <c r="BQ238" s="49"/>
      <c r="BR238" s="84"/>
      <c r="BS238" s="71">
        <f t="shared" ref="BS238" ca="1" si="1760">SUM(BS236:BS237)</f>
        <v>6</v>
      </c>
      <c r="BT238" s="49"/>
      <c r="BU238" s="84"/>
      <c r="BV238" s="71">
        <f t="shared" ref="BV238" ca="1" si="1761">SUM(BV236:BV237)</f>
        <v>6</v>
      </c>
      <c r="BW238" s="49"/>
      <c r="BX238" s="84"/>
      <c r="BY238" s="71">
        <f t="shared" ref="BY238" ca="1" si="1762">SUM(BY236:BY237)</f>
        <v>0</v>
      </c>
      <c r="BZ238" s="49"/>
      <c r="CA238" s="84"/>
      <c r="CB238" s="71">
        <f t="shared" ref="CB238" ca="1" si="1763">SUM(CB236:CB237)</f>
        <v>0</v>
      </c>
      <c r="CC238" s="49"/>
      <c r="CD238" s="84"/>
      <c r="CE238" s="71">
        <f t="shared" ref="CE238" ca="1" si="1764">SUM(CE236:CE237)</f>
        <v>0</v>
      </c>
      <c r="CF238" s="49"/>
      <c r="CG238" s="84"/>
      <c r="CH238" s="71">
        <f t="shared" ref="CH238" ca="1" si="1765">SUM(CH236:CH237)</f>
        <v>6</v>
      </c>
      <c r="CI238" s="49"/>
      <c r="CJ238" s="84"/>
      <c r="CK238" s="71">
        <f t="shared" ref="CK238" ca="1" si="1766">SUM(CK236:CK237)</f>
        <v>6</v>
      </c>
      <c r="CL238" s="49"/>
      <c r="CM238" s="84"/>
      <c r="CN238" s="71">
        <f t="shared" ref="CN238" ca="1" si="1767">SUM(CN236:CN237)</f>
        <v>6</v>
      </c>
      <c r="CO238" s="49"/>
      <c r="CP238" s="84"/>
      <c r="CQ238" s="71">
        <f t="shared" ref="CQ238" ca="1" si="1768">SUM(CQ236:CQ237)</f>
        <v>6</v>
      </c>
      <c r="CR238" s="49"/>
      <c r="CS238" s="84"/>
      <c r="CT238" s="71">
        <f t="shared" ref="CT238" ca="1" si="1769">SUM(CT236:CT237)</f>
        <v>6</v>
      </c>
      <c r="CU238" s="49"/>
      <c r="CV238" s="84"/>
      <c r="CW238" s="71">
        <f t="shared" ref="CW238" ca="1" si="1770">SUM(CW236:CW237)</f>
        <v>6</v>
      </c>
      <c r="CX238" s="49"/>
      <c r="CY238" s="84"/>
      <c r="CZ238" s="71">
        <f t="shared" ref="CZ238" ca="1" si="1771">SUM(CZ236:CZ237)</f>
        <v>0</v>
      </c>
      <c r="DA238" s="49"/>
      <c r="DB238" s="84"/>
      <c r="DC238" s="71">
        <f t="shared" ref="DC238" ca="1" si="1772">SUM(DC236:DC237)</f>
        <v>6</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6</v>
      </c>
      <c r="DP238" s="49"/>
      <c r="DQ238" s="796"/>
      <c r="DR238" s="71">
        <f t="shared" ref="DR238" ca="1" si="1777">SUM(DR236:DR237)</f>
        <v>0</v>
      </c>
      <c r="DS238" s="49"/>
      <c r="DT238" s="84"/>
      <c r="DU238" s="71">
        <f t="shared" ref="DU238" ca="1" si="1778">SUM(DU236:DU237)</f>
        <v>0</v>
      </c>
      <c r="DV238" s="49"/>
      <c r="DW238" s="84"/>
      <c r="DX238" s="71">
        <f t="shared" ref="DX238" ca="1" si="1779">SUM(DX236:DX237)</f>
        <v>6</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6</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 ca="1">WORLDCUP!AA147</f>
        <v>España</v>
      </c>
      <c r="N240" s="25"/>
      <c r="O240" s="25"/>
      <c r="P240" s="25"/>
      <c r="Q240" s="25"/>
      <c r="R240" s="17"/>
      <c r="S240" s="76" t="s">
        <v>77</v>
      </c>
      <c r="T240" s="77">
        <f ca="1">COUNTIF($M$240:$M$241,S240)*$D$32</f>
        <v>0</v>
      </c>
      <c r="U240" s="110"/>
      <c r="V240" s="76" t="s">
        <v>38</v>
      </c>
      <c r="W240" s="77">
        <f t="shared" ref="W240" ca="1" si="1793">COUNTIF($M$240:$M$241,V240)*$D$32</f>
        <v>7</v>
      </c>
      <c r="X240" s="110"/>
      <c r="Y240" s="76" t="s">
        <v>38</v>
      </c>
      <c r="Z240" s="77">
        <f t="shared" ref="Z240" ca="1" si="1794">COUNTIF($M$240:$M$241,Y240)*$D$32</f>
        <v>7</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7</v>
      </c>
      <c r="AJ240" s="110"/>
      <c r="AK240" s="76" t="s">
        <v>38</v>
      </c>
      <c r="AL240" s="77">
        <f t="shared" ref="AL240" ca="1" si="1798">COUNTIF($M$240:$M$241,AK240)*$D$32</f>
        <v>7</v>
      </c>
      <c r="AM240" s="110"/>
      <c r="AN240" s="76" t="s">
        <v>111</v>
      </c>
      <c r="AO240" s="77">
        <f t="shared" ref="AO240" ca="1" si="1799">COUNTIF($M$240:$M$241,AN240)*$D$32</f>
        <v>0</v>
      </c>
      <c r="AP240" s="110"/>
      <c r="AQ240" s="76" t="s">
        <v>38</v>
      </c>
      <c r="AR240" s="77">
        <f t="shared" ref="AR240" ca="1" si="1800">COUNTIF($M$240:$M$241,AQ240)*$D$32</f>
        <v>7</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7</v>
      </c>
      <c r="BB240" s="110"/>
      <c r="BC240" s="76" t="s">
        <v>38</v>
      </c>
      <c r="BD240" s="77">
        <f t="shared" ref="BD240" ca="1" si="1804">COUNTIF($M$240:$M$241,BC240)*$D$32</f>
        <v>7</v>
      </c>
      <c r="BE240" s="110"/>
      <c r="BF240" s="76" t="s">
        <v>38</v>
      </c>
      <c r="BG240" s="77">
        <f t="shared" ref="BG240" ca="1" si="1805">COUNTIF($M$240:$M$241,BF240)*$D$32</f>
        <v>7</v>
      </c>
      <c r="BH240" s="110"/>
      <c r="BI240" s="76" t="s">
        <v>38</v>
      </c>
      <c r="BJ240" s="77">
        <f t="shared" ref="BJ240" ca="1" si="1806">COUNTIF($M$240:$M$241,BI240)*$D$32</f>
        <v>7</v>
      </c>
      <c r="BK240" s="110"/>
      <c r="BL240" s="76" t="s">
        <v>38</v>
      </c>
      <c r="BM240" s="77">
        <f t="shared" ref="BM240" ca="1" si="1807">COUNTIF($M$240:$M$241,BL240)*$D$32</f>
        <v>7</v>
      </c>
      <c r="BN240" s="110"/>
      <c r="BO240" s="76" t="s">
        <v>38</v>
      </c>
      <c r="BP240" s="77">
        <f t="shared" ref="BP240" ca="1" si="1808">COUNTIF($M$240:$M$241,BO240)*$D$32</f>
        <v>7</v>
      </c>
      <c r="BQ240" s="110"/>
      <c r="BR240" s="76" t="s">
        <v>38</v>
      </c>
      <c r="BS240" s="77">
        <f t="shared" ref="BS240" ca="1" si="1809">COUNTIF($M$240:$M$241,BR240)*$D$32</f>
        <v>7</v>
      </c>
      <c r="BT240" s="110"/>
      <c r="BU240" s="76" t="s">
        <v>38</v>
      </c>
      <c r="BV240" s="77">
        <f t="shared" ref="BV240" ca="1" si="1810">COUNTIF($M$240:$M$241,BU240)*$D$32</f>
        <v>7</v>
      </c>
      <c r="BW240" s="110"/>
      <c r="BX240" s="76" t="s">
        <v>74</v>
      </c>
      <c r="BY240" s="77">
        <f t="shared" ref="BY240" ca="1" si="1811">COUNTIF($M$240:$M$241,BX240)*$D$32</f>
        <v>0</v>
      </c>
      <c r="BZ240" s="110"/>
      <c r="CA240" s="76" t="s">
        <v>38</v>
      </c>
      <c r="CB240" s="77">
        <f t="shared" ref="CB240" ca="1" si="1812">COUNTIF($M$240:$M$241,CA240)*$D$32</f>
        <v>7</v>
      </c>
      <c r="CC240" s="110"/>
      <c r="CD240" s="76" t="s">
        <v>74</v>
      </c>
      <c r="CE240" s="77">
        <f t="shared" ref="CE240" ca="1" si="1813">COUNTIF($M$240:$M$241,CD240)*$D$32</f>
        <v>0</v>
      </c>
      <c r="CF240" s="110"/>
      <c r="CG240" s="76" t="s">
        <v>38</v>
      </c>
      <c r="CH240" s="77">
        <f t="shared" ref="CH240" ca="1" si="1814">COUNTIF($M$240:$M$241,CG240)*$D$32</f>
        <v>7</v>
      </c>
      <c r="CI240" s="110"/>
      <c r="CJ240" s="76" t="s">
        <v>38</v>
      </c>
      <c r="CK240" s="77">
        <f t="shared" ref="CK240" ca="1" si="1815">COUNTIF($M$240:$M$241,CJ240)*$D$32</f>
        <v>7</v>
      </c>
      <c r="CL240" s="110"/>
      <c r="CM240" s="76" t="s">
        <v>38</v>
      </c>
      <c r="CN240" s="77">
        <f t="shared" ref="CN240" ca="1" si="1816">COUNTIF($M$240:$M$241,CM240)*$D$32</f>
        <v>7</v>
      </c>
      <c r="CO240" s="110"/>
      <c r="CP240" s="76" t="s">
        <v>38</v>
      </c>
      <c r="CQ240" s="77">
        <f t="shared" ref="CQ240" ca="1" si="1817">COUNTIF($M$240:$M$241,CP240)*$D$32</f>
        <v>7</v>
      </c>
      <c r="CR240" s="110"/>
      <c r="CS240" s="76" t="s">
        <v>38</v>
      </c>
      <c r="CT240" s="77">
        <f t="shared" ref="CT240" ca="1" si="1818">COUNTIF($M$240:$M$241,CS240)*$D$32</f>
        <v>7</v>
      </c>
      <c r="CU240" s="110"/>
      <c r="CV240" s="76" t="s">
        <v>38</v>
      </c>
      <c r="CW240" s="77">
        <f t="shared" ref="CW240" ca="1" si="1819">COUNTIF($M$240:$M$241,CV240)*$D$32</f>
        <v>7</v>
      </c>
      <c r="CX240" s="110"/>
      <c r="CY240" s="76" t="s">
        <v>74</v>
      </c>
      <c r="CZ240" s="77">
        <f t="shared" ref="CZ240" ca="1" si="1820">COUNTIF($M$240:$M$241,CY240)*$D$32</f>
        <v>0</v>
      </c>
      <c r="DA240" s="110"/>
      <c r="DB240" s="76" t="s">
        <v>38</v>
      </c>
      <c r="DC240" s="77">
        <f t="shared" ref="DC240" ca="1" si="1821">COUNTIF($M$240:$M$241,DB240)*$D$32</f>
        <v>7</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7</v>
      </c>
      <c r="DP240" s="110"/>
      <c r="DQ240" s="795" t="s">
        <v>1258</v>
      </c>
      <c r="DR240" s="77">
        <f t="shared" ref="DR240" ca="1" si="1826">COUNTIF($M$240:$M$241,DQ240)*$D$32</f>
        <v>0</v>
      </c>
      <c r="DS240" s="110"/>
      <c r="DT240" s="76" t="s">
        <v>38</v>
      </c>
      <c r="DU240" s="77">
        <f t="shared" ref="DU240" ca="1" si="1827">COUNTIF($M$240:$M$241,DT240)*$D$32</f>
        <v>7</v>
      </c>
      <c r="DV240" s="110"/>
      <c r="DW240" s="76" t="s">
        <v>38</v>
      </c>
      <c r="DX240" s="77">
        <f t="shared" ref="DX240" ca="1" si="1828">COUNTIF($M$240:$M$241,DW240)*$D$32</f>
        <v>7</v>
      </c>
      <c r="DY240" s="110"/>
      <c r="DZ240" s="76" t="s">
        <v>38</v>
      </c>
      <c r="EA240" s="77">
        <f t="shared" ref="EA240" ca="1" si="1829">COUNTIF($M$240:$M$241,DZ240)*$D$32</f>
        <v>7</v>
      </c>
      <c r="EB240" s="110"/>
      <c r="EC240" s="76" t="s">
        <v>38</v>
      </c>
      <c r="ED240" s="77">
        <f t="shared" ref="ED240" ca="1" si="1830">COUNTIF($M$240:$M$241,EC240)*$D$32</f>
        <v>7</v>
      </c>
      <c r="EE240" s="110"/>
      <c r="EF240" s="76" t="s">
        <v>38</v>
      </c>
      <c r="EG240" s="77">
        <f t="shared" ref="EG240" ca="1" si="1831">COUNTIF($M$240:$M$241,EF240)*$D$32</f>
        <v>7</v>
      </c>
      <c r="EH240" s="110"/>
      <c r="EI240" s="76" t="s">
        <v>38</v>
      </c>
      <c r="EJ240" s="77">
        <f t="shared" ref="EJ240" ca="1" si="1832">COUNTIF($M$240:$M$241,EI240)*$D$32</f>
        <v>7</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0</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0</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0</v>
      </c>
      <c r="BH241" s="110"/>
      <c r="BI241" s="80" t="s">
        <v>1258</v>
      </c>
      <c r="BJ241" s="81">
        <f t="shared" ref="BJ241" ca="1" si="1855">COUNTIF($M$240:$M$241,BI241)*$D$32</f>
        <v>0</v>
      </c>
      <c r="BK241" s="110"/>
      <c r="BL241" s="80" t="s">
        <v>1256</v>
      </c>
      <c r="BM241" s="81">
        <f t="shared" ref="BM241" ca="1" si="1856">COUNTIF($M$240:$M$241,BL241)*$D$32</f>
        <v>0</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0</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0</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0</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0</v>
      </c>
      <c r="EB241" s="110"/>
      <c r="EC241" s="80" t="s">
        <v>79</v>
      </c>
      <c r="ED241" s="81">
        <f t="shared" ref="ED241" ca="1" si="1879">COUNTIF($M$240:$M$241,EC241)*$D$32</f>
        <v>0</v>
      </c>
      <c r="EE241" s="110"/>
      <c r="EF241" s="80" t="s">
        <v>76</v>
      </c>
      <c r="EG241" s="81">
        <f t="shared" ref="EG241" ca="1" si="1880">COUNTIF($M$240:$M$241,EF241)*$D$32</f>
        <v>0</v>
      </c>
      <c r="EH241" s="110"/>
      <c r="EI241" s="80" t="s">
        <v>79</v>
      </c>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7</v>
      </c>
      <c r="X242" s="49"/>
      <c r="Y242" s="84"/>
      <c r="Z242" s="71">
        <f t="shared" ref="Z242" ca="1" si="1892">SUM(Z240:Z241)</f>
        <v>7</v>
      </c>
      <c r="AA242" s="49"/>
      <c r="AB242" s="84"/>
      <c r="AC242" s="71">
        <f t="shared" ref="AC242" ca="1" si="1893">SUM(AC240:AC241)</f>
        <v>0</v>
      </c>
      <c r="AD242" s="49"/>
      <c r="AE242" s="84"/>
      <c r="AF242" s="71">
        <f t="shared" ref="AF242" ca="1" si="1894">SUM(AF240:AF241)</f>
        <v>0</v>
      </c>
      <c r="AG242" s="49"/>
      <c r="AH242" s="84"/>
      <c r="AI242" s="71">
        <f t="shared" ref="AI242" ca="1" si="1895">SUM(AI240:AI241)</f>
        <v>7</v>
      </c>
      <c r="AJ242" s="49"/>
      <c r="AK242" s="84"/>
      <c r="AL242" s="71">
        <f t="shared" ref="AL242" ca="1" si="1896">SUM(AL240:AL241)</f>
        <v>7</v>
      </c>
      <c r="AM242" s="49"/>
      <c r="AN242" s="84"/>
      <c r="AO242" s="71">
        <f t="shared" ref="AO242" ca="1" si="1897">SUM(AO240:AO241)</f>
        <v>0</v>
      </c>
      <c r="AP242" s="49"/>
      <c r="AQ242" s="84"/>
      <c r="AR242" s="71">
        <f t="shared" ref="AR242" ca="1" si="1898">SUM(AR240:AR241)</f>
        <v>7</v>
      </c>
      <c r="AS242" s="49"/>
      <c r="AT242" s="84"/>
      <c r="AU242" s="71">
        <f t="shared" ref="AU242" ca="1" si="1899">SUM(AU240:AU241)</f>
        <v>0</v>
      </c>
      <c r="AV242" s="49"/>
      <c r="AW242" s="84"/>
      <c r="AX242" s="71">
        <f t="shared" ref="AX242" ca="1" si="1900">SUM(AX240:AX241)</f>
        <v>0</v>
      </c>
      <c r="AY242" s="49"/>
      <c r="AZ242" s="84"/>
      <c r="BA242" s="71">
        <f t="shared" ref="BA242" ca="1" si="1901">SUM(BA240:BA241)</f>
        <v>7</v>
      </c>
      <c r="BB242" s="49"/>
      <c r="BC242" s="84"/>
      <c r="BD242" s="71">
        <f t="shared" ref="BD242" ca="1" si="1902">SUM(BD240:BD241)</f>
        <v>7</v>
      </c>
      <c r="BE242" s="49"/>
      <c r="BF242" s="84"/>
      <c r="BG242" s="71">
        <f t="shared" ref="BG242" ca="1" si="1903">SUM(BG240:BG241)</f>
        <v>7</v>
      </c>
      <c r="BH242" s="49"/>
      <c r="BI242" s="84"/>
      <c r="BJ242" s="71">
        <f t="shared" ref="BJ242" ca="1" si="1904">SUM(BJ240:BJ241)</f>
        <v>7</v>
      </c>
      <c r="BK242" s="49"/>
      <c r="BL242" s="84"/>
      <c r="BM242" s="71">
        <f t="shared" ref="BM242" ca="1" si="1905">SUM(BM240:BM241)</f>
        <v>7</v>
      </c>
      <c r="BN242" s="49"/>
      <c r="BO242" s="84"/>
      <c r="BP242" s="71">
        <f t="shared" ref="BP242" ca="1" si="1906">SUM(BP240:BP241)</f>
        <v>7</v>
      </c>
      <c r="BQ242" s="49"/>
      <c r="BR242" s="84"/>
      <c r="BS242" s="71">
        <f t="shared" ref="BS242" ca="1" si="1907">SUM(BS240:BS241)</f>
        <v>7</v>
      </c>
      <c r="BT242" s="49"/>
      <c r="BU242" s="84"/>
      <c r="BV242" s="71">
        <f t="shared" ref="BV242" ca="1" si="1908">SUM(BV240:BV241)</f>
        <v>7</v>
      </c>
      <c r="BW242" s="49"/>
      <c r="BX242" s="84"/>
      <c r="BY242" s="71">
        <f t="shared" ref="BY242" ca="1" si="1909">SUM(BY240:BY241)</f>
        <v>0</v>
      </c>
      <c r="BZ242" s="49"/>
      <c r="CA242" s="84"/>
      <c r="CB242" s="71">
        <f t="shared" ref="CB242" ca="1" si="1910">SUM(CB240:CB241)</f>
        <v>7</v>
      </c>
      <c r="CC242" s="49"/>
      <c r="CD242" s="84"/>
      <c r="CE242" s="71">
        <f t="shared" ref="CE242" ca="1" si="1911">SUM(CE240:CE241)</f>
        <v>0</v>
      </c>
      <c r="CF242" s="49"/>
      <c r="CG242" s="84"/>
      <c r="CH242" s="71">
        <f t="shared" ref="CH242" ca="1" si="1912">SUM(CH240:CH241)</f>
        <v>7</v>
      </c>
      <c r="CI242" s="49"/>
      <c r="CJ242" s="84"/>
      <c r="CK242" s="71">
        <f t="shared" ref="CK242" ca="1" si="1913">SUM(CK240:CK241)</f>
        <v>7</v>
      </c>
      <c r="CL242" s="49"/>
      <c r="CM242" s="84"/>
      <c r="CN242" s="71">
        <f t="shared" ref="CN242" ca="1" si="1914">SUM(CN240:CN241)</f>
        <v>7</v>
      </c>
      <c r="CO242" s="49"/>
      <c r="CP242" s="84"/>
      <c r="CQ242" s="71">
        <f t="shared" ref="CQ242" ca="1" si="1915">SUM(CQ240:CQ241)</f>
        <v>7</v>
      </c>
      <c r="CR242" s="49"/>
      <c r="CS242" s="84"/>
      <c r="CT242" s="71">
        <f t="shared" ref="CT242" ca="1" si="1916">SUM(CT240:CT241)</f>
        <v>7</v>
      </c>
      <c r="CU242" s="49"/>
      <c r="CV242" s="84"/>
      <c r="CW242" s="71">
        <f t="shared" ref="CW242" ca="1" si="1917">SUM(CW240:CW241)</f>
        <v>7</v>
      </c>
      <c r="CX242" s="49"/>
      <c r="CY242" s="84"/>
      <c r="CZ242" s="71">
        <f t="shared" ref="CZ242" ca="1" si="1918">SUM(CZ240:CZ241)</f>
        <v>0</v>
      </c>
      <c r="DA242" s="49"/>
      <c r="DB242" s="84"/>
      <c r="DC242" s="71">
        <f t="shared" ref="DC242" ca="1" si="1919">SUM(DC240:DC241)</f>
        <v>7</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7</v>
      </c>
      <c r="DP242" s="49"/>
      <c r="DQ242" s="796"/>
      <c r="DR242" s="71">
        <f t="shared" ref="DR242" ca="1" si="1924">SUM(DR240:DR241)</f>
        <v>0</v>
      </c>
      <c r="DS242" s="49"/>
      <c r="DT242" s="84"/>
      <c r="DU242" s="71">
        <f t="shared" ref="DU242" ca="1" si="1925">SUM(DU240:DU241)</f>
        <v>7</v>
      </c>
      <c r="DV242" s="49"/>
      <c r="DW242" s="84"/>
      <c r="DX242" s="71">
        <f t="shared" ref="DX242" ca="1" si="1926">SUM(DX240:DX241)</f>
        <v>7</v>
      </c>
      <c r="DY242" s="49"/>
      <c r="DZ242" s="84"/>
      <c r="EA242" s="71">
        <f t="shared" ref="EA242" ca="1" si="1927">SUM(EA240:EA241)</f>
        <v>7</v>
      </c>
      <c r="EB242" s="49"/>
      <c r="EC242" s="84"/>
      <c r="ED242" s="71">
        <f t="shared" ref="ED242" ca="1" si="1928">SUM(ED240:ED241)</f>
        <v>7</v>
      </c>
      <c r="EE242" s="49"/>
      <c r="EF242" s="84"/>
      <c r="EG242" s="71">
        <f t="shared" ref="EG242" ca="1" si="1929">SUM(EG240:EG241)</f>
        <v>7</v>
      </c>
      <c r="EH242" s="49"/>
      <c r="EI242" s="84"/>
      <c r="EJ242" s="71">
        <f t="shared" ref="EJ242" ca="1" si="1930">SUM(EJ240:EJ241)</f>
        <v>7</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 ca="1">CONCATENATE(WORLDCUP!AF143,"-",WORLDCUP!AA143)</f>
        <v>L102-Francia</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 ca="1">CONCATENATE(WORLDCUP!AA143,"-",WORLDCUP!AF143)</f>
        <v>Francia-L102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 ca="1">CONCATENATE(WORLDCUP!AF147,"-",WORLDCUP!AA147)</f>
        <v>W102-España</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España-W102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2"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798" t="str">
        <f>Idiomas!D451&amp;" "&amp;Home!C10</f>
        <v>CLASIFICACIÓN MUNDIAL 2026 Metaporra</v>
      </c>
      <c r="C1" s="799"/>
      <c r="D1" s="799"/>
      <c r="E1" s="799"/>
      <c r="F1" s="799"/>
      <c r="G1" s="799"/>
      <c r="H1" s="799"/>
      <c r="I1" s="799"/>
      <c r="J1" s="799"/>
      <c r="K1" s="799"/>
      <c r="L1" s="799"/>
      <c r="M1" s="799"/>
      <c r="N1" s="799"/>
      <c r="O1" s="799"/>
      <c r="P1" s="799"/>
      <c r="Q1" s="799"/>
      <c r="R1" s="799"/>
      <c r="S1" s="79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371</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30</v>
      </c>
      <c r="L5" s="92" cm="1">
        <f t="array" aca="1" ref="L5" ca="1">IFERROR(INDEX(Rango_Admin_Clas_Total,L$2,MATCH($A5,Rango_Admin_Clas_Primera,0)+1),"-")</f>
        <v>3</v>
      </c>
      <c r="M5" s="92" cm="1">
        <f t="array" aca="1" ref="M5" ca="1">IFERROR(INDEX(Rango_Admin_Clas_Total,M$2,MATCH($A5,Rango_Admin_Clas_Primera,0)+1),"-")</f>
        <v>20</v>
      </c>
      <c r="N5" s="92" cm="1">
        <f t="array" aca="1" ref="N5" ca="1">IFERROR(INDEX(Rango_Admin_Clas_Total,N$2,MATCH($A5,Rango_Admin_Clas_Primera,0)+1),"-")</f>
        <v>0</v>
      </c>
      <c r="O5" s="92" cm="1">
        <f t="array" aca="1" ref="O5" ca="1">IFERROR(INDEX(Rango_Admin_Clas_Total,O$2,MATCH($A5,Rango_Admin_Clas_Primera,0)+1),"-")</f>
        <v>6</v>
      </c>
      <c r="P5" s="92" cm="1">
        <f t="array" aca="1" ref="P5" ca="1">IFERROR(INDEX(Rango_Admin_Clas_Total,P$2,MATCH($A5,Rango_Admin_Clas_Primera,0)+1),"-")</f>
        <v>7</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363</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30</v>
      </c>
      <c r="L6" s="92" cm="1">
        <f t="array" aca="1" ref="L6" ca="1">IFERROR(INDEX(Rango_Admin_Clas_Total,L$2,MATCH($A6,Rango_Admin_Clas_Primera,0)+1),"-")</f>
        <v>5</v>
      </c>
      <c r="M6" s="92" cm="1">
        <f t="array" aca="1" ref="M6" ca="1">IFERROR(INDEX(Rango_Admin_Clas_Total,M$2,MATCH($A6,Rango_Admin_Clas_Primera,0)+1),"-")</f>
        <v>20</v>
      </c>
      <c r="N6" s="92" cm="1">
        <f t="array" aca="1" ref="N6" ca="1">IFERROR(INDEX(Rango_Admin_Clas_Total,N$2,MATCH($A6,Rango_Admin_Clas_Primera,0)+1),"-")</f>
        <v>1</v>
      </c>
      <c r="O6" s="92" cm="1">
        <f t="array" aca="1" ref="O6" ca="1">IFERROR(INDEX(Rango_Admin_Clas_Total,O$2,MATCH($A6,Rango_Admin_Clas_Primera,0)+1),"-")</f>
        <v>6</v>
      </c>
      <c r="P6" s="92" cm="1">
        <f t="array" aca="1" ref="P6" ca="1">IFERROR(INDEX(Rango_Admin_Clas_Total,P$2,MATCH($A6,Rango_Admin_Clas_Primera,0)+1),"-")</f>
        <v>7</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352</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30</v>
      </c>
      <c r="L7" s="92" cm="1">
        <f t="array" aca="1" ref="L7" ca="1">IFERROR(INDEX(Rango_Admin_Clas_Total,L$2,MATCH($A7,Rango_Admin_Clas_Primera,0)+1),"-")</f>
        <v>2</v>
      </c>
      <c r="M7" s="92" cm="1">
        <f t="array" aca="1" ref="M7" ca="1">IFERROR(INDEX(Rango_Admin_Clas_Total,M$2,MATCH($A7,Rango_Admin_Clas_Primera,0)+1),"-")</f>
        <v>15</v>
      </c>
      <c r="N7" s="92" cm="1">
        <f t="array" aca="1" ref="N7" ca="1">IFERROR(INDEX(Rango_Admin_Clas_Total,N$2,MATCH($A7,Rango_Admin_Clas_Primera,0)+1),"-")</f>
        <v>1</v>
      </c>
      <c r="O7" s="92" cm="1">
        <f t="array" aca="1" ref="O7" ca="1">IFERROR(INDEX(Rango_Admin_Clas_Total,O$2,MATCH($A7,Rango_Admin_Clas_Primera,0)+1),"-")</f>
        <v>6</v>
      </c>
      <c r="P7" s="92" cm="1">
        <f t="array" aca="1" ref="P7" ca="1">IFERROR(INDEX(Rango_Admin_Clas_Total,P$2,MATCH($A7,Rango_Admin_Clas_Primera,0)+1),"-")</f>
        <v>7</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347</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4</v>
      </c>
      <c r="K8" s="92" cm="1">
        <f t="array" aca="1" ref="K8" ca="1">IFERROR(INDEX(Rango_Admin_Clas_Total,K$2,MATCH($A8,Rango_Admin_Clas_Primera,0)+1),"-")</f>
        <v>25</v>
      </c>
      <c r="L8" s="92" cm="1">
        <f t="array" aca="1" ref="L8" ca="1">IFERROR(INDEX(Rango_Admin_Clas_Total,L$2,MATCH($A8,Rango_Admin_Clas_Primera,0)+1),"-")</f>
        <v>4</v>
      </c>
      <c r="M8" s="92" cm="1">
        <f t="array" aca="1" ref="M8" ca="1">IFERROR(INDEX(Rango_Admin_Clas_Total,M$2,MATCH($A8,Rango_Admin_Clas_Primera,0)+1),"-")</f>
        <v>15</v>
      </c>
      <c r="N8" s="92" cm="1">
        <f t="array" aca="1" ref="N8" ca="1">IFERROR(INDEX(Rango_Admin_Clas_Total,N$2,MATCH($A8,Rango_Admin_Clas_Primera,0)+1),"-")</f>
        <v>1</v>
      </c>
      <c r="O8" s="92" cm="1">
        <f t="array" aca="1" ref="O8" ca="1">IFERROR(INDEX(Rango_Admin_Clas_Total,O$2,MATCH($A8,Rango_Admin_Clas_Primera,0)+1),"-")</f>
        <v>6</v>
      </c>
      <c r="P8" s="92" cm="1">
        <f t="array" aca="1" ref="P8" ca="1">IFERROR(INDEX(Rango_Admin_Clas_Total,P$2,MATCH($A8,Rango_Admin_Clas_Primera,0)+1),"-")</f>
        <v>7</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346</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4</v>
      </c>
      <c r="I9" s="92" cm="1">
        <f t="array" aca="1" ref="I9" ca="1">IFERROR(INDEX(Rango_Admin_Clas_Total,I$2,MATCH($A9,Rango_Admin_Clas_Primera,0)+1),"-")</f>
        <v>48</v>
      </c>
      <c r="J9" s="92" cm="1">
        <f t="array" aca="1" ref="J9" ca="1">IFERROR(INDEX(Rango_Admin_Clas_Total,J$2,MATCH($A9,Rango_Admin_Clas_Primera,0)+1),"-")</f>
        <v>3</v>
      </c>
      <c r="K9" s="92" cm="1">
        <f t="array" aca="1" ref="K9" ca="1">IFERROR(INDEX(Rango_Admin_Clas_Total,K$2,MATCH($A9,Rango_Admin_Clas_Primera,0)+1),"-")</f>
        <v>30</v>
      </c>
      <c r="L9" s="92" cm="1">
        <f t="array" aca="1" ref="L9" ca="1">IFERROR(INDEX(Rango_Admin_Clas_Total,L$2,MATCH($A9,Rango_Admin_Clas_Primera,0)+1),"-")</f>
        <v>8</v>
      </c>
      <c r="M9" s="92" cm="1">
        <f t="array" aca="1" ref="M9" ca="1">IFERROR(INDEX(Rango_Admin_Clas_Total,M$2,MATCH($A9,Rango_Admin_Clas_Primera,0)+1),"-")</f>
        <v>15</v>
      </c>
      <c r="N9" s="92" cm="1">
        <f t="array" aca="1" ref="N9" ca="1">IFERROR(INDEX(Rango_Admin_Clas_Total,N$2,MATCH($A9,Rango_Admin_Clas_Primera,0)+1),"-")</f>
        <v>1</v>
      </c>
      <c r="O9" s="92" cm="1">
        <f t="array" aca="1" ref="O9" ca="1">IFERROR(INDEX(Rango_Admin_Clas_Total,O$2,MATCH($A9,Rango_Admin_Clas_Primera,0)+1),"-")</f>
        <v>6</v>
      </c>
      <c r="P9" s="92" cm="1">
        <f t="array" aca="1" ref="P9" ca="1">IFERROR(INDEX(Rango_Admin_Clas_Total,P$2,MATCH($A9,Rango_Admin_Clas_Primera,0)+1),"-")</f>
        <v>7</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KIRICOCHO</v>
      </c>
      <c r="D10" s="91">
        <f ca="1">IFERROR(HLOOKUP(A10,Rango_Admin_Clas,4,FALSE),"-")</f>
        <v>338</v>
      </c>
      <c r="E10" s="92" cm="1">
        <f t="array" aca="1" ref="E10" ca="1">IFERROR(INDEX(Rango_Admin_Clas_Total,E$2,MATCH($A10,Rango_Admin_Clas_Primera,0)+1),"-")</f>
        <v>80</v>
      </c>
      <c r="F10" s="92" cm="1">
        <f t="array" aca="1" ref="F10" ca="1">IFERROR(INDEX(Rango_Admin_Clas_Total,F$2,MATCH($A10,Rango_Admin_Clas_Primera,0)+1),"-")</f>
        <v>62</v>
      </c>
      <c r="G10" s="92" cm="1">
        <f t="array" aca="1" ref="G10" ca="1">IFERROR(INDEX(Rango_Admin_Clas_Total,G$2,MATCH($A10,Rango_Admin_Clas_Primera,0)+1),"-")</f>
        <v>78</v>
      </c>
      <c r="H10" s="92" cm="1">
        <f t="array" aca="1" ref="H10" ca="1">IFERROR(INDEX(Rango_Admin_Clas_Total,H$2,MATCH($A10,Rango_Admin_Clas_Primera,0)+1),"-")</f>
        <v>7</v>
      </c>
      <c r="I10" s="92" cm="1">
        <f t="array" aca="1" ref="I10" ca="1">IFERROR(INDEX(Rango_Admin_Clas_Total,I$2,MATCH($A10,Rango_Admin_Clas_Primera,0)+1),"-")</f>
        <v>52</v>
      </c>
      <c r="J10" s="92" cm="1">
        <f t="array" aca="1" ref="J10" ca="1">IFERROR(INDEX(Rango_Admin_Clas_Total,J$2,MATCH($A10,Rango_Admin_Clas_Primera,0)+1),"-")</f>
        <v>3</v>
      </c>
      <c r="K10" s="92" cm="1">
        <f t="array" aca="1" ref="K10" ca="1">IFERROR(INDEX(Rango_Admin_Clas_Total,K$2,MATCH($A10,Rango_Admin_Clas_Primera,0)+1),"-")</f>
        <v>30</v>
      </c>
      <c r="L10" s="92" cm="1">
        <f t="array" aca="1" ref="L10" ca="1">IFERROR(INDEX(Rango_Admin_Clas_Total,L$2,MATCH($A10,Rango_Admin_Clas_Primera,0)+1),"-")</f>
        <v>3</v>
      </c>
      <c r="M10" s="92" cm="1">
        <f t="array" aca="1" ref="M10" ca="1">IFERROR(INDEX(Rango_Admin_Clas_Total,M$2,MATCH($A10,Rango_Admin_Clas_Primera,0)+1),"-")</f>
        <v>10</v>
      </c>
      <c r="N10" s="92" cm="1">
        <f t="array" aca="1" ref="N10" ca="1">IFERROR(INDEX(Rango_Admin_Clas_Total,N$2,MATCH($A10,Rango_Admin_Clas_Primera,0)+1),"-")</f>
        <v>0</v>
      </c>
      <c r="O10" s="92" cm="1">
        <f t="array" aca="1" ref="O10" ca="1">IFERROR(INDEX(Rango_Admin_Clas_Total,O$2,MATCH($A10,Rango_Admin_Clas_Primera,0)+1),"-")</f>
        <v>6</v>
      </c>
      <c r="P10" s="92" cm="1">
        <f t="array" aca="1" ref="P10" ca="1">IFERROR(INDEX(Rango_Admin_Clas_Total,P$2,MATCH($A10,Rango_Admin_Clas_Primera,0)+1),"-")</f>
        <v>7</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JCU</v>
      </c>
      <c r="D11" s="91">
        <f ca="1">IFERROR(HLOOKUP(A11,Rango_Admin_Clas,4,FALSE),"-")</f>
        <v>332</v>
      </c>
      <c r="E11" s="92" cm="1">
        <f t="array" aca="1" ref="E11" ca="1">IFERROR(INDEX(Rango_Admin_Clas_Total,E$2,MATCH($A11,Rango_Admin_Clas_Primera,0)+1),"-")</f>
        <v>75</v>
      </c>
      <c r="F11" s="92" cm="1">
        <f t="array" aca="1" ref="F11" ca="1">IFERROR(INDEX(Rango_Admin_Clas_Total,F$2,MATCH($A11,Rango_Admin_Clas_Primera,0)+1),"-")</f>
        <v>66</v>
      </c>
      <c r="G11" s="92" cm="1">
        <f t="array" aca="1" ref="G11" ca="1">IFERROR(INDEX(Rango_Admin_Clas_Total,G$2,MATCH($A11,Rango_Admin_Clas_Primera,0)+1),"-")</f>
        <v>72</v>
      </c>
      <c r="H11" s="92" cm="1">
        <f t="array" aca="1" ref="H11" ca="1">IFERROR(INDEX(Rango_Admin_Clas_Total,H$2,MATCH($A11,Rango_Admin_Clas_Primera,0)+1),"-")</f>
        <v>5</v>
      </c>
      <c r="I11" s="92" cm="1">
        <f t="array" aca="1" ref="I11" ca="1">IFERROR(INDEX(Rango_Admin_Clas_Total,I$2,MATCH($A11,Rango_Admin_Clas_Primera,0)+1),"-")</f>
        <v>52</v>
      </c>
      <c r="J11" s="92" cm="1">
        <f t="array" aca="1" ref="J11" ca="1">IFERROR(INDEX(Rango_Admin_Clas_Total,J$2,MATCH($A11,Rango_Admin_Clas_Primera,0)+1),"-")</f>
        <v>2</v>
      </c>
      <c r="K11" s="92" cm="1">
        <f t="array" aca="1" ref="K11" ca="1">IFERROR(INDEX(Rango_Admin_Clas_Total,K$2,MATCH($A11,Rango_Admin_Clas_Primera,0)+1),"-")</f>
        <v>25</v>
      </c>
      <c r="L11" s="92" cm="1">
        <f t="array" aca="1" ref="L11" ca="1">IFERROR(INDEX(Rango_Admin_Clas_Total,L$2,MATCH($A11,Rango_Admin_Clas_Primera,0)+1),"-")</f>
        <v>1</v>
      </c>
      <c r="M11" s="92" cm="1">
        <f t="array" aca="1" ref="M11" ca="1">IFERROR(INDEX(Rango_Admin_Clas_Total,M$2,MATCH($A11,Rango_Admin_Clas_Primera,0)+1),"-")</f>
        <v>20</v>
      </c>
      <c r="N11" s="92" cm="1">
        <f t="array" aca="1" ref="N11" ca="1">IFERROR(INDEX(Rango_Admin_Clas_Total,N$2,MATCH($A11,Rango_Admin_Clas_Primera,0)+1),"-")</f>
        <v>1</v>
      </c>
      <c r="O11" s="92" cm="1">
        <f t="array" aca="1" ref="O11" ca="1">IFERROR(INDEX(Rango_Admin_Clas_Total,O$2,MATCH($A11,Rango_Admin_Clas_Primera,0)+1),"-")</f>
        <v>6</v>
      </c>
      <c r="P11" s="92" cm="1">
        <f t="array" aca="1" ref="P11" ca="1">IFERROR(INDEX(Rango_Admin_Clas_Total,P$2,MATCH($A11,Rango_Admin_Clas_Primera,0)+1),"-")</f>
        <v>7</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William Hartley</v>
      </c>
      <c r="D12" s="91">
        <f ca="1">IFERROR(HLOOKUP(A12,Rango_Admin_Clas,4,FALSE),"-")</f>
        <v>329</v>
      </c>
      <c r="E12" s="92" cm="1">
        <f t="array" aca="1" ref="E12" ca="1">IFERROR(INDEX(Rango_Admin_Clas_Total,E$2,MATCH($A12,Rango_Admin_Clas_Primera,0)+1),"-")</f>
        <v>74</v>
      </c>
      <c r="F12" s="92" cm="1">
        <f t="array" aca="1" ref="F12" ca="1">IFERROR(INDEX(Rango_Admin_Clas_Total,F$2,MATCH($A12,Rango_Admin_Clas_Primera,0)+1),"-")</f>
        <v>60</v>
      </c>
      <c r="G12" s="92" cm="1">
        <f t="array" aca="1" ref="G12" ca="1">IFERROR(INDEX(Rango_Admin_Clas_Total,G$2,MATCH($A12,Rango_Admin_Clas_Primera,0)+1),"-")</f>
        <v>84</v>
      </c>
      <c r="H12" s="92" cm="1">
        <f t="array" aca="1" ref="H12" ca="1">IFERROR(INDEX(Rango_Admin_Clas_Total,H$2,MATCH($A12,Rango_Admin_Clas_Primera,0)+1),"-")</f>
        <v>1</v>
      </c>
      <c r="I12" s="92" cm="1">
        <f t="array" aca="1" ref="I12" ca="1">IFERROR(INDEX(Rango_Admin_Clas_Total,I$2,MATCH($A12,Rango_Admin_Clas_Primera,0)+1),"-")</f>
        <v>56</v>
      </c>
      <c r="J12" s="92" cm="1">
        <f t="array" aca="1" ref="J12" ca="1">IFERROR(INDEX(Rango_Admin_Clas_Total,J$2,MATCH($A12,Rango_Admin_Clas_Primera,0)+1),"-")</f>
        <v>3</v>
      </c>
      <c r="K12" s="92" cm="1">
        <f t="array" aca="1" ref="K12" ca="1">IFERROR(INDEX(Rango_Admin_Clas_Total,K$2,MATCH($A12,Rango_Admin_Clas_Primera,0)+1),"-")</f>
        <v>25</v>
      </c>
      <c r="L12" s="92" cm="1">
        <f t="array" aca="1" ref="L12" ca="1">IFERROR(INDEX(Rango_Admin_Clas_Total,L$2,MATCH($A12,Rango_Admin_Clas_Primera,0)+1),"-")</f>
        <v>2</v>
      </c>
      <c r="M12" s="92" cm="1">
        <f t="array" aca="1" ref="M12" ca="1">IFERROR(INDEX(Rango_Admin_Clas_Total,M$2,MATCH($A12,Rango_Admin_Clas_Primera,0)+1),"-")</f>
        <v>10</v>
      </c>
      <c r="N12" s="92" cm="1">
        <f t="array" aca="1" ref="N12" ca="1">IFERROR(INDEX(Rango_Admin_Clas_Total,N$2,MATCH($A12,Rango_Admin_Clas_Primera,0)+1),"-")</f>
        <v>1</v>
      </c>
      <c r="O12" s="92" cm="1">
        <f t="array" aca="1" ref="O12" ca="1">IFERROR(INDEX(Rango_Admin_Clas_Total,O$2,MATCH($A12,Rango_Admin_Clas_Primera,0)+1),"-")</f>
        <v>6</v>
      </c>
      <c r="P12" s="92" cm="1">
        <f t="array" aca="1" ref="P12" ca="1">IFERROR(INDEX(Rango_Admin_Clas_Total,P$2,MATCH($A12,Rango_Admin_Clas_Primera,0)+1),"-")</f>
        <v>7</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Alexander Schulte</v>
      </c>
      <c r="D13" s="91">
        <f ca="1">IFERROR(HLOOKUP(A13,Rango_Admin_Clas,4,FALSE),"-")</f>
        <v>328</v>
      </c>
      <c r="E13" s="92" cm="1">
        <f t="array" aca="1" ref="E13" ca="1">IFERROR(INDEX(Rango_Admin_Clas_Total,E$2,MATCH($A13,Rango_Admin_Clas_Primera,0)+1),"-")</f>
        <v>78</v>
      </c>
      <c r="F13" s="92" cm="1">
        <f t="array" aca="1" ref="F13" ca="1">IFERROR(INDEX(Rango_Admin_Clas_Total,F$2,MATCH($A13,Rango_Admin_Clas_Primera,0)+1),"-")</f>
        <v>62</v>
      </c>
      <c r="G13" s="92" cm="1">
        <f t="array" aca="1" ref="G13" ca="1">IFERROR(INDEX(Rango_Admin_Clas_Total,G$2,MATCH($A13,Rango_Admin_Clas_Primera,0)+1),"-")</f>
        <v>78</v>
      </c>
      <c r="H13" s="92" cm="1">
        <f t="array" aca="1" ref="H13" ca="1">IFERROR(INDEX(Rango_Admin_Clas_Total,H$2,MATCH($A13,Rango_Admin_Clas_Primera,0)+1),"-")</f>
        <v>5</v>
      </c>
      <c r="I13" s="92" cm="1">
        <f t="array" aca="1" ref="I13" ca="1">IFERROR(INDEX(Rango_Admin_Clas_Total,I$2,MATCH($A13,Rango_Admin_Clas_Primera,0)+1),"-")</f>
        <v>48</v>
      </c>
      <c r="J13" s="92" cm="1">
        <f t="array" aca="1" ref="J13" ca="1">IFERROR(INDEX(Rango_Admin_Clas_Total,J$2,MATCH($A13,Rango_Admin_Clas_Primera,0)+1),"-")</f>
        <v>2</v>
      </c>
      <c r="K13" s="92" cm="1">
        <f t="array" aca="1" ref="K13" ca="1">IFERROR(INDEX(Rango_Admin_Clas_Total,K$2,MATCH($A13,Rango_Admin_Clas_Primera,0)+1),"-")</f>
        <v>25</v>
      </c>
      <c r="L13" s="92" cm="1">
        <f t="array" aca="1" ref="L13" ca="1">IFERROR(INDEX(Rango_Admin_Clas_Total,L$2,MATCH($A13,Rango_Admin_Clas_Primera,0)+1),"-")</f>
        <v>1</v>
      </c>
      <c r="M13" s="92" cm="1">
        <f t="array" aca="1" ref="M13" ca="1">IFERROR(INDEX(Rango_Admin_Clas_Total,M$2,MATCH($A13,Rango_Admin_Clas_Primera,0)+1),"-")</f>
        <v>15</v>
      </c>
      <c r="N13" s="92" cm="1">
        <f t="array" aca="1" ref="N13" ca="1">IFERROR(INDEX(Rango_Admin_Clas_Total,N$2,MATCH($A13,Rango_Admin_Clas_Primera,0)+1),"-")</f>
        <v>1</v>
      </c>
      <c r="O13" s="92" cm="1">
        <f t="array" aca="1" ref="O13" ca="1">IFERROR(INDEX(Rango_Admin_Clas_Total,O$2,MATCH($A13,Rango_Admin_Clas_Primera,0)+1),"-")</f>
        <v>6</v>
      </c>
      <c r="P13" s="92" cm="1">
        <f t="array" aca="1" ref="P13" ca="1">IFERROR(INDEX(Rango_Admin_Clas_Total,P$2,MATCH($A13,Rango_Admin_Clas_Primera,0)+1),"-")</f>
        <v>7</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Lucas Oriol</v>
      </c>
      <c r="D14" s="91">
        <f ca="1">IFERROR(HLOOKUP(A14,Rango_Admin_Clas,4,FALSE),"-")</f>
        <v>324</v>
      </c>
      <c r="E14" s="92" cm="1">
        <f t="array" aca="1" ref="E14" ca="1">IFERROR(INDEX(Rango_Admin_Clas_Total,E$2,MATCH($A14,Rango_Admin_Clas_Primera,0)+1),"-")</f>
        <v>83</v>
      </c>
      <c r="F14" s="92" cm="1">
        <f t="array" aca="1" ref="F14" ca="1">IFERROR(INDEX(Rango_Admin_Clas_Total,F$2,MATCH($A14,Rango_Admin_Clas_Primera,0)+1),"-")</f>
        <v>56</v>
      </c>
      <c r="G14" s="92" cm="1">
        <f t="array" aca="1" ref="G14" ca="1">IFERROR(INDEX(Rango_Admin_Clas_Total,G$2,MATCH($A14,Rango_Admin_Clas_Primera,0)+1),"-")</f>
        <v>72</v>
      </c>
      <c r="H14" s="92" cm="1">
        <f t="array" aca="1" ref="H14" ca="1">IFERROR(INDEX(Rango_Admin_Clas_Total,H$2,MATCH($A14,Rango_Admin_Clas_Primera,0)+1),"-")</f>
        <v>9</v>
      </c>
      <c r="I14" s="92" cm="1">
        <f t="array" aca="1" ref="I14" ca="1">IFERROR(INDEX(Rango_Admin_Clas_Total,I$2,MATCH($A14,Rango_Admin_Clas_Primera,0)+1),"-")</f>
        <v>44</v>
      </c>
      <c r="J14" s="92" cm="1">
        <f t="array" aca="1" ref="J14" ca="1">IFERROR(INDEX(Rango_Admin_Clas_Total,J$2,MATCH($A14,Rango_Admin_Clas_Primera,0)+1),"-")</f>
        <v>3</v>
      </c>
      <c r="K14" s="92" cm="1">
        <f t="array" aca="1" ref="K14" ca="1">IFERROR(INDEX(Rango_Admin_Clas_Total,K$2,MATCH($A14,Rango_Admin_Clas_Primera,0)+1),"-")</f>
        <v>25</v>
      </c>
      <c r="L14" s="92" cm="1">
        <f t="array" aca="1" ref="L14" ca="1">IFERROR(INDEX(Rango_Admin_Clas_Total,L$2,MATCH($A14,Rango_Admin_Clas_Primera,0)+1),"-")</f>
        <v>4</v>
      </c>
      <c r="M14" s="92" cm="1">
        <f t="array" aca="1" ref="M14" ca="1">IFERROR(INDEX(Rango_Admin_Clas_Total,M$2,MATCH($A14,Rango_Admin_Clas_Primera,0)+1),"-")</f>
        <v>15</v>
      </c>
      <c r="N14" s="92" cm="1">
        <f t="array" aca="1" ref="N14" ca="1">IFERROR(INDEX(Rango_Admin_Clas_Total,N$2,MATCH($A14,Rango_Admin_Clas_Primera,0)+1),"-")</f>
        <v>0</v>
      </c>
      <c r="O14" s="92" cm="1">
        <f t="array" aca="1" ref="O14" ca="1">IFERROR(INDEX(Rango_Admin_Clas_Total,O$2,MATCH($A14,Rango_Admin_Clas_Primera,0)+1),"-")</f>
        <v>6</v>
      </c>
      <c r="P14" s="92" cm="1">
        <f t="array" aca="1" ref="P14" ca="1">IFERROR(INDEX(Rango_Admin_Clas_Total,P$2,MATCH($A14,Rango_Admin_Clas_Primera,0)+1),"-")</f>
        <v>7</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Pastor</v>
      </c>
      <c r="D15" s="91">
        <f ca="1">IFERROR(HLOOKUP(A15,Rango_Admin_Clas,4,FALSE),"-")</f>
        <v>321</v>
      </c>
      <c r="E15" s="92" cm="1">
        <f t="array" aca="1" ref="E15" ca="1">IFERROR(INDEX(Rango_Admin_Clas_Total,E$2,MATCH($A15,Rango_Admin_Clas_Primera,0)+1),"-")</f>
        <v>70</v>
      </c>
      <c r="F15" s="92" cm="1">
        <f t="array" aca="1" ref="F15" ca="1">IFERROR(INDEX(Rango_Admin_Clas_Total,F$2,MATCH($A15,Rango_Admin_Clas_Primera,0)+1),"-")</f>
        <v>64</v>
      </c>
      <c r="G15" s="92" cm="1">
        <f t="array" aca="1" ref="G15" ca="1">IFERROR(INDEX(Rango_Admin_Clas_Total,G$2,MATCH($A15,Rango_Admin_Clas_Primera,0)+1),"-")</f>
        <v>75</v>
      </c>
      <c r="H15" s="92" cm="1">
        <f t="array" aca="1" ref="H15" ca="1">IFERROR(INDEX(Rango_Admin_Clas_Total,H$2,MATCH($A15,Rango_Admin_Clas_Primera,0)+1),"-")</f>
        <v>2</v>
      </c>
      <c r="I15" s="92" cm="1">
        <f t="array" aca="1" ref="I15" ca="1">IFERROR(INDEX(Rango_Admin_Clas_Total,I$2,MATCH($A15,Rango_Admin_Clas_Primera,0)+1),"-")</f>
        <v>56</v>
      </c>
      <c r="J15" s="92" cm="1">
        <f t="array" aca="1" ref="J15" ca="1">IFERROR(INDEX(Rango_Admin_Clas_Total,J$2,MATCH($A15,Rango_Admin_Clas_Primera,0)+1),"-")</f>
        <v>7</v>
      </c>
      <c r="K15" s="92" cm="1">
        <f t="array" aca="1" ref="K15" ca="1">IFERROR(INDEX(Rango_Admin_Clas_Total,K$2,MATCH($A15,Rango_Admin_Clas_Primera,0)+1),"-")</f>
        <v>30</v>
      </c>
      <c r="L15" s="92" cm="1">
        <f t="array" aca="1" ref="L15" ca="1">IFERROR(INDEX(Rango_Admin_Clas_Total,L$2,MATCH($A15,Rango_Admin_Clas_Primera,0)+1),"-")</f>
        <v>2</v>
      </c>
      <c r="M15" s="92" cm="1">
        <f t="array" aca="1" ref="M15" ca="1">IFERROR(INDEX(Rango_Admin_Clas_Total,M$2,MATCH($A15,Rango_Admin_Clas_Primera,0)+1),"-")</f>
        <v>15</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MURO 204</v>
      </c>
      <c r="D16" s="91">
        <f ca="1">IFERROR(HLOOKUP(A16,Rango_Admin_Clas,4,FALSE),"-")</f>
        <v>320</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6</v>
      </c>
      <c r="I16" s="92" cm="1">
        <f t="array" aca="1" ref="I16" ca="1">IFERROR(INDEX(Rango_Admin_Clas_Total,I$2,MATCH($A16,Rango_Admin_Clas_Primera,0)+1),"-")</f>
        <v>48</v>
      </c>
      <c r="J16" s="92" cm="1">
        <f t="array" aca="1" ref="J16" ca="1">IFERROR(INDEX(Rango_Admin_Clas_Total,J$2,MATCH($A16,Rango_Admin_Clas_Primera,0)+1),"-")</f>
        <v>2</v>
      </c>
      <c r="K16" s="92" cm="1">
        <f t="array" aca="1" ref="K16" ca="1">IFERROR(INDEX(Rango_Admin_Clas_Total,K$2,MATCH($A16,Rango_Admin_Clas_Primera,0)+1),"-")</f>
        <v>25</v>
      </c>
      <c r="L16" s="92" cm="1">
        <f t="array" aca="1" ref="L16" ca="1">IFERROR(INDEX(Rango_Admin_Clas_Total,L$2,MATCH($A16,Rango_Admin_Clas_Primera,0)+1),"-")</f>
        <v>2</v>
      </c>
      <c r="M16" s="92" cm="1">
        <f t="array" aca="1" ref="M16" ca="1">IFERROR(INDEX(Rango_Admin_Clas_Total,M$2,MATCH($A16,Rango_Admin_Clas_Primera,0)+1),"-")</f>
        <v>10</v>
      </c>
      <c r="N16" s="92" cm="1">
        <f t="array" aca="1" ref="N16" ca="1">IFERROR(INDEX(Rango_Admin_Clas_Total,N$2,MATCH($A16,Rango_Admin_Clas_Primera,0)+1),"-")</f>
        <v>0</v>
      </c>
      <c r="O16" s="92" cm="1">
        <f t="array" aca="1" ref="O16" ca="1">IFERROR(INDEX(Rango_Admin_Clas_Total,O$2,MATCH($A16,Rango_Admin_Clas_Primera,0)+1),"-")</f>
        <v>6</v>
      </c>
      <c r="P16" s="92" cm="1">
        <f t="array" aca="1" ref="P16" ca="1">IFERROR(INDEX(Rango_Admin_Clas_Total,P$2,MATCH($A16,Rango_Admin_Clas_Primera,0)+1),"-")</f>
        <v>7</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Miguel San Martín</v>
      </c>
      <c r="D17" s="91">
        <f ca="1">IFERROR(HLOOKUP(A17,Rango_Admin_Clas,4,FALSE),"-")</f>
        <v>319</v>
      </c>
      <c r="E17" s="92" cm="1">
        <f t="array" aca="1" ref="E17" ca="1">IFERROR(INDEX(Rango_Admin_Clas_Total,E$2,MATCH($A17,Rango_Admin_Clas_Primera,0)+1),"-")</f>
        <v>74</v>
      </c>
      <c r="F17" s="92" cm="1">
        <f t="array" aca="1" ref="F17" ca="1">IFERROR(INDEX(Rango_Admin_Clas_Total,F$2,MATCH($A17,Rango_Admin_Clas_Primera,0)+1),"-")</f>
        <v>58</v>
      </c>
      <c r="G17" s="92" cm="1">
        <f t="array" aca="1" ref="G17" ca="1">IFERROR(INDEX(Rango_Admin_Clas_Total,G$2,MATCH($A17,Rango_Admin_Clas_Primera,0)+1),"-")</f>
        <v>81</v>
      </c>
      <c r="H17" s="92" cm="1">
        <f t="array" aca="1" ref="H17" ca="1">IFERROR(INDEX(Rango_Admin_Clas_Total,H$2,MATCH($A17,Rango_Admin_Clas_Primera,0)+1),"-")</f>
        <v>7</v>
      </c>
      <c r="I17" s="92" cm="1">
        <f t="array" aca="1" ref="I17" ca="1">IFERROR(INDEX(Rango_Admin_Clas_Total,I$2,MATCH($A17,Rango_Admin_Clas_Primera,0)+1),"-")</f>
        <v>48</v>
      </c>
      <c r="J17" s="92" cm="1">
        <f t="array" aca="1" ref="J17" ca="1">IFERROR(INDEX(Rango_Admin_Clas_Total,J$2,MATCH($A17,Rango_Admin_Clas_Primera,0)+1),"-")</f>
        <v>2</v>
      </c>
      <c r="K17" s="92" cm="1">
        <f t="array" aca="1" ref="K17" ca="1">IFERROR(INDEX(Rango_Admin_Clas_Total,K$2,MATCH($A17,Rango_Admin_Clas_Primera,0)+1),"-")</f>
        <v>30</v>
      </c>
      <c r="L17" s="92" cm="1">
        <f t="array" aca="1" ref="L17" ca="1">IFERROR(INDEX(Rango_Admin_Clas_Total,L$2,MATCH($A17,Rango_Admin_Clas_Primera,0)+1),"-")</f>
        <v>4</v>
      </c>
      <c r="M17" s="92" cm="1">
        <f t="array" aca="1" ref="M17" ca="1">IFERROR(INDEX(Rango_Admin_Clas_Total,M$2,MATCH($A17,Rango_Admin_Clas_Primera,0)+1),"-")</f>
        <v>15</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Alejandro Lafuente</v>
      </c>
      <c r="D18" s="91">
        <f ca="1">IFERROR(HLOOKUP(A18,Rango_Admin_Clas,4,FALSE),"-")</f>
        <v>317</v>
      </c>
      <c r="E18" s="92" cm="1">
        <f t="array" aca="1" ref="E18" ca="1">IFERROR(INDEX(Rango_Admin_Clas_Total,E$2,MATCH($A18,Rango_Admin_Clas_Primera,0)+1),"-")</f>
        <v>75</v>
      </c>
      <c r="F18" s="92" cm="1">
        <f t="array" aca="1" ref="F18" ca="1">IFERROR(INDEX(Rango_Admin_Clas_Total,F$2,MATCH($A18,Rango_Admin_Clas_Primera,0)+1),"-")</f>
        <v>64</v>
      </c>
      <c r="G18" s="92" cm="1">
        <f t="array" aca="1" ref="G18" ca="1">IFERROR(INDEX(Rango_Admin_Clas_Total,G$2,MATCH($A18,Rango_Admin_Clas_Primera,0)+1),"-")</f>
        <v>78</v>
      </c>
      <c r="H18" s="92" cm="1">
        <f t="array" aca="1" ref="H18" ca="1">IFERROR(INDEX(Rango_Admin_Clas_Total,H$2,MATCH($A18,Rango_Admin_Clas_Primera,0)+1),"-")</f>
        <v>3</v>
      </c>
      <c r="I18" s="92" cm="1">
        <f t="array" aca="1" ref="I18" ca="1">IFERROR(INDEX(Rango_Admin_Clas_Total,I$2,MATCH($A18,Rango_Admin_Clas_Primera,0)+1),"-")</f>
        <v>44</v>
      </c>
      <c r="J18" s="92" cm="1">
        <f t="array" aca="1" ref="J18" ca="1">IFERROR(INDEX(Rango_Admin_Clas_Total,J$2,MATCH($A18,Rango_Admin_Clas_Primera,0)+1),"-")</f>
        <v>3</v>
      </c>
      <c r="K18" s="92" cm="1">
        <f t="array" aca="1" ref="K18" ca="1">IFERROR(INDEX(Rango_Admin_Clas_Total,K$2,MATCH($A18,Rango_Admin_Clas_Primera,0)+1),"-")</f>
        <v>25</v>
      </c>
      <c r="L18" s="92" cm="1">
        <f t="array" aca="1" ref="L18" ca="1">IFERROR(INDEX(Rango_Admin_Clas_Total,L$2,MATCH($A18,Rango_Admin_Clas_Primera,0)+1),"-")</f>
        <v>1</v>
      </c>
      <c r="M18" s="92" cm="1">
        <f t="array" aca="1" ref="M18" ca="1">IFERROR(INDEX(Rango_Admin_Clas_Total,M$2,MATCH($A18,Rango_Admin_Clas_Primera,0)+1),"-")</f>
        <v>10</v>
      </c>
      <c r="N18" s="92" cm="1">
        <f t="array" aca="1" ref="N18" ca="1">IFERROR(INDEX(Rango_Admin_Clas_Total,N$2,MATCH($A18,Rango_Admin_Clas_Primera,0)+1),"-")</f>
        <v>1</v>
      </c>
      <c r="O18" s="92" cm="1">
        <f t="array" aca="1" ref="O18" ca="1">IFERROR(INDEX(Rango_Admin_Clas_Total,O$2,MATCH($A18,Rango_Admin_Clas_Primera,0)+1),"-")</f>
        <v>6</v>
      </c>
      <c r="P18" s="92" cm="1">
        <f t="array" aca="1" ref="P18" ca="1">IFERROR(INDEX(Rango_Admin_Clas_Total,P$2,MATCH($A18,Rango_Admin_Clas_Primera,0)+1),"-")</f>
        <v>7</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Jaime Lafuente</v>
      </c>
      <c r="D19" s="91">
        <f ca="1">IFERROR(HLOOKUP(A19,Rango_Admin_Clas,4,FALSE),"-")</f>
        <v>316</v>
      </c>
      <c r="E19" s="92" cm="1">
        <f t="array" aca="1" ref="E19" ca="1">IFERROR(INDEX(Rango_Admin_Clas_Total,E$2,MATCH($A19,Rango_Admin_Clas_Primera,0)+1),"-")</f>
        <v>87</v>
      </c>
      <c r="F19" s="92" cm="1">
        <f t="array" aca="1" ref="F19" ca="1">IFERROR(INDEX(Rango_Admin_Clas_Total,F$2,MATCH($A19,Rango_Admin_Clas_Primera,0)+1),"-")</f>
        <v>62</v>
      </c>
      <c r="G19" s="92" cm="1">
        <f t="array" aca="1" ref="G19" ca="1">IFERROR(INDEX(Rango_Admin_Clas_Total,G$2,MATCH($A19,Rango_Admin_Clas_Primera,0)+1),"-")</f>
        <v>75</v>
      </c>
      <c r="H19" s="92" cm="1">
        <f t="array" aca="1" ref="H19" ca="1">IFERROR(INDEX(Rango_Admin_Clas_Total,H$2,MATCH($A19,Rango_Admin_Clas_Primera,0)+1),"-")</f>
        <v>3</v>
      </c>
      <c r="I19" s="92" cm="1">
        <f t="array" aca="1" ref="I19" ca="1">IFERROR(INDEX(Rango_Admin_Clas_Total,I$2,MATCH($A19,Rango_Admin_Clas_Primera,0)+1),"-")</f>
        <v>48</v>
      </c>
      <c r="J19" s="92" cm="1">
        <f t="array" aca="1" ref="J19" ca="1">IFERROR(INDEX(Rango_Admin_Clas_Total,J$2,MATCH($A19,Rango_Admin_Clas_Primera,0)+1),"-")</f>
        <v>1</v>
      </c>
      <c r="K19" s="92" cm="1">
        <f t="array" aca="1" ref="K19" ca="1">IFERROR(INDEX(Rango_Admin_Clas_Total,K$2,MATCH($A19,Rango_Admin_Clas_Primera,0)+1),"-")</f>
        <v>20</v>
      </c>
      <c r="L19" s="92" cm="1">
        <f t="array" aca="1" ref="L19" ca="1">IFERROR(INDEX(Rango_Admin_Clas_Total,L$2,MATCH($A19,Rango_Admin_Clas_Primera,0)+1),"-")</f>
        <v>0</v>
      </c>
      <c r="M19" s="92" cm="1">
        <f t="array" aca="1" ref="M19" ca="1">IFERROR(INDEX(Rango_Admin_Clas_Total,M$2,MATCH($A19,Rango_Admin_Clas_Primera,0)+1),"-")</f>
        <v>20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Joserra</v>
      </c>
      <c r="D20" s="91">
        <f ca="1">IFERROR(HLOOKUP(A20,Rango_Admin_Clas,4,FALSE),"-")</f>
        <v>312</v>
      </c>
      <c r="E20" s="92" cm="1">
        <f t="array" aca="1" ref="E20" ca="1">IFERROR(INDEX(Rango_Admin_Clas_Total,E$2,MATCH($A20,Rango_Admin_Clas_Primera,0)+1),"-")</f>
        <v>72</v>
      </c>
      <c r="F20" s="92" cm="1">
        <f t="array" aca="1" ref="F20" ca="1">IFERROR(INDEX(Rango_Admin_Clas_Total,F$2,MATCH($A20,Rango_Admin_Clas_Primera,0)+1),"-")</f>
        <v>62</v>
      </c>
      <c r="G20" s="92" cm="1">
        <f t="array" aca="1" ref="G20" ca="1">IFERROR(INDEX(Rango_Admin_Clas_Total,G$2,MATCH($A20,Rango_Admin_Clas_Primera,0)+1),"-")</f>
        <v>78</v>
      </c>
      <c r="H20" s="92" cm="1">
        <f t="array" aca="1" ref="H20" ca="1">IFERROR(INDEX(Rango_Admin_Clas_Total,H$2,MATCH($A20,Rango_Admin_Clas_Primera,0)+1),"-")</f>
        <v>7</v>
      </c>
      <c r="I20" s="92" cm="1">
        <f t="array" aca="1" ref="I20" ca="1">IFERROR(INDEX(Rango_Admin_Clas_Total,I$2,MATCH($A20,Rango_Admin_Clas_Primera,0)+1),"-")</f>
        <v>48</v>
      </c>
      <c r="J20" s="92" cm="1">
        <f t="array" aca="1" ref="J20" ca="1">IFERROR(INDEX(Rango_Admin_Clas_Total,J$2,MATCH($A20,Rango_Admin_Clas_Primera,0)+1),"-")</f>
        <v>1</v>
      </c>
      <c r="K20" s="92" cm="1">
        <f t="array" aca="1" ref="K20" ca="1">IFERROR(INDEX(Rango_Admin_Clas_Total,K$2,MATCH($A20,Rango_Admin_Clas_Primera,0)+1),"-")</f>
        <v>20</v>
      </c>
      <c r="L20" s="92" cm="1">
        <f t="array" aca="1" ref="L20" ca="1">IFERROR(INDEX(Rango_Admin_Clas_Total,L$2,MATCH($A20,Rango_Admin_Clas_Primera,0)+1),"-")</f>
        <v>0</v>
      </c>
      <c r="M20" s="92" cm="1">
        <f t="array" aca="1" ref="M20" ca="1">IFERROR(INDEX(Rango_Admin_Clas_Total,M$2,MATCH($A20,Rango_Admin_Clas_Primera,0)+1),"-")</f>
        <v>10</v>
      </c>
      <c r="N20" s="92" cm="1">
        <f t="array" aca="1" ref="N20" ca="1">IFERROR(INDEX(Rango_Admin_Clas_Total,N$2,MATCH($A20,Rango_Admin_Clas_Primera,0)+1),"-")</f>
        <v>1</v>
      </c>
      <c r="O20" s="92" cm="1">
        <f t="array" aca="1" ref="O20" ca="1">IFERROR(INDEX(Rango_Admin_Clas_Total,O$2,MATCH($A20,Rango_Admin_Clas_Primera,0)+1),"-")</f>
        <v>6</v>
      </c>
      <c r="P20" s="92" cm="1">
        <f t="array" aca="1" ref="P20" ca="1">IFERROR(INDEX(Rango_Admin_Clas_Total,P$2,MATCH($A20,Rango_Admin_Clas_Primera,0)+1),"-")</f>
        <v>7</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Antonio del Ojo</v>
      </c>
      <c r="D21" s="91">
        <f ca="1">IFERROR(HLOOKUP(A21,Rango_Admin_Clas,4,FALSE),"-")</f>
        <v>312</v>
      </c>
      <c r="E21" s="92" cm="1">
        <f t="array" aca="1" ref="E21" ca="1">IFERROR(INDEX(Rango_Admin_Clas_Total,E$2,MATCH($A21,Rango_Admin_Clas_Primera,0)+1),"-")</f>
        <v>81</v>
      </c>
      <c r="F21" s="92" cm="1">
        <f t="array" aca="1" ref="F21" ca="1">IFERROR(INDEX(Rango_Admin_Clas_Total,F$2,MATCH($A21,Rango_Admin_Clas_Primera,0)+1),"-")</f>
        <v>50</v>
      </c>
      <c r="G21" s="92" cm="1">
        <f t="array" aca="1" ref="G21" ca="1">IFERROR(INDEX(Rango_Admin_Clas_Total,G$2,MATCH($A21,Rango_Admin_Clas_Primera,0)+1),"-")</f>
        <v>75</v>
      </c>
      <c r="H21" s="92" cm="1">
        <f t="array" aca="1" ref="H21" ca="1">IFERROR(INDEX(Rango_Admin_Clas_Total,H$2,MATCH($A21,Rango_Admin_Clas_Primera,0)+1),"-")</f>
        <v>5</v>
      </c>
      <c r="I21" s="92" cm="1">
        <f t="array" aca="1" ref="I21" ca="1">IFERROR(INDEX(Rango_Admin_Clas_Total,I$2,MATCH($A21,Rango_Admin_Clas_Primera,0)+1),"-")</f>
        <v>44</v>
      </c>
      <c r="J21" s="92" cm="1">
        <f t="array" aca="1" ref="J21" ca="1">IFERROR(INDEX(Rango_Admin_Clas_Total,J$2,MATCH($A21,Rango_Admin_Clas_Primera,0)+1),"-")</f>
        <v>2</v>
      </c>
      <c r="K21" s="92" cm="1">
        <f t="array" aca="1" ref="K21" ca="1">IFERROR(INDEX(Rango_Admin_Clas_Total,K$2,MATCH($A21,Rango_Admin_Clas_Primera,0)+1),"-")</f>
        <v>25</v>
      </c>
      <c r="L21" s="92" cm="1">
        <f t="array" aca="1" ref="L21" ca="1">IFERROR(INDEX(Rango_Admin_Clas_Total,L$2,MATCH($A21,Rango_Admin_Clas_Primera,0)+1),"-")</f>
        <v>1</v>
      </c>
      <c r="M21" s="92" cm="1">
        <f t="array" aca="1" ref="M21" ca="1">IFERROR(INDEX(Rango_Admin_Clas_Total,M$2,MATCH($A21,Rango_Admin_Clas_Primera,0)+1),"-")</f>
        <v>15</v>
      </c>
      <c r="N21" s="92" cm="1">
        <f t="array" aca="1" ref="N21" ca="1">IFERROR(INDEX(Rango_Admin_Clas_Total,N$2,MATCH($A21,Rango_Admin_Clas_Primera,0)+1),"-")</f>
        <v>1</v>
      </c>
      <c r="O21" s="92" cm="1">
        <f t="array" aca="1" ref="O21" ca="1">IFERROR(INDEX(Rango_Admin_Clas_Total,O$2,MATCH($A21,Rango_Admin_Clas_Primera,0)+1),"-")</f>
        <v>6</v>
      </c>
      <c r="P21" s="92" cm="1">
        <f t="array" aca="1" ref="P21" ca="1">IFERROR(INDEX(Rango_Admin_Clas_Total,P$2,MATCH($A21,Rango_Admin_Clas_Primera,0)+1),"-")</f>
        <v>7</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Jaime García de la Riva</v>
      </c>
      <c r="D22" s="91">
        <f ca="1">IFERROR(HLOOKUP(A22,Rango_Admin_Clas,4,FALSE),"-")</f>
        <v>307</v>
      </c>
      <c r="E22" s="92" cm="1">
        <f t="array" aca="1" ref="E22" ca="1">IFERROR(INDEX(Rango_Admin_Clas_Total,E$2,MATCH($A22,Rango_Admin_Clas_Primera,0)+1),"-")</f>
        <v>71</v>
      </c>
      <c r="F22" s="92" cm="1">
        <f t="array" aca="1" ref="F22" ca="1">IFERROR(INDEX(Rango_Admin_Clas_Total,F$2,MATCH($A22,Rango_Admin_Clas_Primera,0)+1),"-")</f>
        <v>50</v>
      </c>
      <c r="G22" s="92" cm="1">
        <f t="array" aca="1" ref="G22" ca="1">IFERROR(INDEX(Rango_Admin_Clas_Total,G$2,MATCH($A22,Rango_Admin_Clas_Primera,0)+1),"-")</f>
        <v>75</v>
      </c>
      <c r="H22" s="92" cm="1">
        <f t="array" aca="1" ref="H22" ca="1">IFERROR(INDEX(Rango_Admin_Clas_Total,H$2,MATCH($A22,Rango_Admin_Clas_Primera,0)+1),"-")</f>
        <v>2</v>
      </c>
      <c r="I22" s="92" cm="1">
        <f t="array" aca="1" ref="I22" ca="1">IFERROR(INDEX(Rango_Admin_Clas_Total,I$2,MATCH($A22,Rango_Admin_Clas_Primera,0)+1),"-")</f>
        <v>52</v>
      </c>
      <c r="J22" s="92" cm="1">
        <f t="array" aca="1" ref="J22" ca="1">IFERROR(INDEX(Rango_Admin_Clas_Total,J$2,MATCH($A22,Rango_Admin_Clas_Primera,0)+1),"-")</f>
        <v>1</v>
      </c>
      <c r="K22" s="92" cm="1">
        <f t="array" aca="1" ref="K22" ca="1">IFERROR(INDEX(Rango_Admin_Clas_Total,K$2,MATCH($A22,Rango_Admin_Clas_Primera,0)+1),"-")</f>
        <v>25</v>
      </c>
      <c r="L22" s="92" cm="1">
        <f t="array" aca="1" ref="L22" ca="1">IFERROR(INDEX(Rango_Admin_Clas_Total,L$2,MATCH($A22,Rango_Admin_Clas_Primera,0)+1),"-")</f>
        <v>2</v>
      </c>
      <c r="M22" s="92" cm="1">
        <f t="array" aca="1" ref="M22" ca="1">IFERROR(INDEX(Rango_Admin_Clas_Total,M$2,MATCH($A22,Rango_Admin_Clas_Primera,0)+1),"-")</f>
        <v>15</v>
      </c>
      <c r="N22" s="92" cm="1">
        <f t="array" aca="1" ref="N22" ca="1">IFERROR(INDEX(Rango_Admin_Clas_Total,N$2,MATCH($A22,Rango_Admin_Clas_Primera,0)+1),"-")</f>
        <v>1</v>
      </c>
      <c r="O22" s="92" cm="1">
        <f t="array" aca="1" ref="O22" ca="1">IFERROR(INDEX(Rango_Admin_Clas_Total,O$2,MATCH($A22,Rango_Admin_Clas_Primera,0)+1),"-")</f>
        <v>6</v>
      </c>
      <c r="P22" s="92" cm="1">
        <f t="array" aca="1" ref="P22" ca="1">IFERROR(INDEX(Rango_Admin_Clas_Total,P$2,MATCH($A22,Rango_Admin_Clas_Primera,0)+1),"-")</f>
        <v>7</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Luis B</v>
      </c>
      <c r="D23" s="91">
        <f ca="1">IFERROR(HLOOKUP(A23,Rango_Admin_Clas,4,FALSE),"-")</f>
        <v>306</v>
      </c>
      <c r="E23" s="92" cm="1">
        <f t="array" aca="1" ref="E23" ca="1">IFERROR(INDEX(Rango_Admin_Clas_Total,E$2,MATCH($A23,Rango_Admin_Clas_Primera,0)+1),"-")</f>
        <v>58</v>
      </c>
      <c r="F23" s="92" cm="1">
        <f t="array" aca="1" ref="F23" ca="1">IFERROR(INDEX(Rango_Admin_Clas_Total,F$2,MATCH($A23,Rango_Admin_Clas_Primera,0)+1),"-")</f>
        <v>64</v>
      </c>
      <c r="G23" s="92" cm="1">
        <f t="array" aca="1" ref="G23" ca="1">IFERROR(INDEX(Rango_Admin_Clas_Total,G$2,MATCH($A23,Rango_Admin_Clas_Primera,0)+1),"-")</f>
        <v>81</v>
      </c>
      <c r="H23" s="92" cm="1">
        <f t="array" aca="1" ref="H23" ca="1">IFERROR(INDEX(Rango_Admin_Clas_Total,H$2,MATCH($A23,Rango_Admin_Clas_Primera,0)+1),"-")</f>
        <v>9</v>
      </c>
      <c r="I23" s="92" cm="1">
        <f t="array" aca="1" ref="I23" ca="1">IFERROR(INDEX(Rango_Admin_Clas_Total,I$2,MATCH($A23,Rango_Admin_Clas_Primera,0)+1),"-")</f>
        <v>40</v>
      </c>
      <c r="J23" s="92" cm="1">
        <f t="array" aca="1" ref="J23" ca="1">IFERROR(INDEX(Rango_Admin_Clas_Total,J$2,MATCH($A23,Rango_Admin_Clas_Primera,0)+1),"-")</f>
        <v>0</v>
      </c>
      <c r="K23" s="92" cm="1">
        <f t="array" aca="1" ref="K23" ca="1">IFERROR(INDEX(Rango_Admin_Clas_Total,K$2,MATCH($A23,Rango_Admin_Clas_Primera,0)+1),"-")</f>
        <v>25</v>
      </c>
      <c r="L23" s="92" cm="1">
        <f t="array" aca="1" ref="L23" ca="1">IFERROR(INDEX(Rango_Admin_Clas_Total,L$2,MATCH($A23,Rango_Admin_Clas_Primera,0)+1),"-")</f>
        <v>0</v>
      </c>
      <c r="M23" s="92" cm="1">
        <f t="array" aca="1" ref="M23" ca="1">IFERROR(INDEX(Rango_Admin_Clas_Total,M$2,MATCH($A23,Rango_Admin_Clas_Primera,0)+1),"-")</f>
        <v>15</v>
      </c>
      <c r="N23" s="92" cm="1">
        <f t="array" aca="1" ref="N23" ca="1">IFERROR(INDEX(Rango_Admin_Clas_Total,N$2,MATCH($A23,Rango_Admin_Clas_Primera,0)+1),"-")</f>
        <v>1</v>
      </c>
      <c r="O23" s="92" cm="1">
        <f t="array" aca="1" ref="O23" ca="1">IFERROR(INDEX(Rango_Admin_Clas_Total,O$2,MATCH($A23,Rango_Admin_Clas_Primera,0)+1),"-")</f>
        <v>6</v>
      </c>
      <c r="P23" s="92" cm="1">
        <f t="array" aca="1" ref="P23" ca="1">IFERROR(INDEX(Rango_Admin_Clas_Total,P$2,MATCH($A23,Rango_Admin_Clas_Primera,0)+1),"-")</f>
        <v>7</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Ignacio de Lecea</v>
      </c>
      <c r="D24" s="91">
        <f ca="1">IFERROR(HLOOKUP(A24,Rango_Admin_Clas,4,FALSE),"-")</f>
        <v>305</v>
      </c>
      <c r="E24" s="92" cm="1">
        <f t="array" aca="1" ref="E24" ca="1">IFERROR(INDEX(Rango_Admin_Clas_Total,E$2,MATCH($A24,Rango_Admin_Clas_Primera,0)+1),"-")</f>
        <v>74</v>
      </c>
      <c r="F24" s="92" cm="1">
        <f t="array" aca="1" ref="F24" ca="1">IFERROR(INDEX(Rango_Admin_Clas_Total,F$2,MATCH($A24,Rango_Admin_Clas_Primera,0)+1),"-")</f>
        <v>56</v>
      </c>
      <c r="G24" s="92" cm="1">
        <f t="array" aca="1" ref="G24" ca="1">IFERROR(INDEX(Rango_Admin_Clas_Total,G$2,MATCH($A24,Rango_Admin_Clas_Primera,0)+1),"-")</f>
        <v>81</v>
      </c>
      <c r="H24" s="92" cm="1">
        <f t="array" aca="1" ref="H24" ca="1">IFERROR(INDEX(Rango_Admin_Clas_Total,H$2,MATCH($A24,Rango_Admin_Clas_Primera,0)+1),"-")</f>
        <v>1</v>
      </c>
      <c r="I24" s="92" cm="1">
        <f t="array" aca="1" ref="I24" ca="1">IFERROR(INDEX(Rango_Admin_Clas_Total,I$2,MATCH($A24,Rango_Admin_Clas_Primera,0)+1),"-")</f>
        <v>44</v>
      </c>
      <c r="J24" s="92" cm="1">
        <f t="array" aca="1" ref="J24" ca="1">IFERROR(INDEX(Rango_Admin_Clas_Total,J$2,MATCH($A24,Rango_Admin_Clas_Primera,0)+1),"-")</f>
        <v>1</v>
      </c>
      <c r="K24" s="92" cm="1">
        <f t="array" aca="1" ref="K24" ca="1">IFERROR(INDEX(Rango_Admin_Clas_Total,K$2,MATCH($A24,Rango_Admin_Clas_Primera,0)+1),"-")</f>
        <v>20</v>
      </c>
      <c r="L24" s="92" cm="1">
        <f t="array" aca="1" ref="L24" ca="1">IFERROR(INDEX(Rango_Admin_Clas_Total,L$2,MATCH($A24,Rango_Admin_Clas_Primera,0)+1),"-")</f>
        <v>1</v>
      </c>
      <c r="M24" s="92" cm="1">
        <f t="array" aca="1" ref="M24" ca="1">IFERROR(INDEX(Rango_Admin_Clas_Total,M$2,MATCH($A24,Rango_Admin_Clas_Primera,0)+1),"-")</f>
        <v>10</v>
      </c>
      <c r="N24" s="92" cm="1">
        <f t="array" aca="1" ref="N24" ca="1">IFERROR(INDEX(Rango_Admin_Clas_Total,N$2,MATCH($A24,Rango_Admin_Clas_Primera,0)+1),"-")</f>
        <v>4</v>
      </c>
      <c r="O24" s="92" cm="1">
        <f t="array" aca="1" ref="O24" ca="1">IFERROR(INDEX(Rango_Admin_Clas_Total,O$2,MATCH($A24,Rango_Admin_Clas_Primera,0)+1),"-")</f>
        <v>6</v>
      </c>
      <c r="P24" s="92" cm="1">
        <f t="array" aca="1" ref="P24" ca="1">IFERROR(INDEX(Rango_Admin_Clas_Total,P$2,MATCH($A24,Rango_Admin_Clas_Primera,0)+1),"-")</f>
        <v>7</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BeliBeltrán</v>
      </c>
      <c r="D25" s="91">
        <f ca="1">IFERROR(HLOOKUP(A25,Rango_Admin_Clas,4,FALSE),"-")</f>
        <v>302</v>
      </c>
      <c r="E25" s="92" cm="1">
        <f t="array" aca="1" ref="E25" ca="1">IFERROR(INDEX(Rango_Admin_Clas_Total,E$2,MATCH($A25,Rango_Admin_Clas_Primera,0)+1),"-")</f>
        <v>58</v>
      </c>
      <c r="F25" s="92" cm="1">
        <f t="array" aca="1" ref="F25" ca="1">IFERROR(INDEX(Rango_Admin_Clas_Total,F$2,MATCH($A25,Rango_Admin_Clas_Primera,0)+1),"-")</f>
        <v>54</v>
      </c>
      <c r="G25" s="92" cm="1">
        <f t="array" aca="1" ref="G25" ca="1">IFERROR(INDEX(Rango_Admin_Clas_Total,G$2,MATCH($A25,Rango_Admin_Clas_Primera,0)+1),"-")</f>
        <v>72</v>
      </c>
      <c r="H25" s="92" cm="1">
        <f t="array" aca="1" ref="H25" ca="1">IFERROR(INDEX(Rango_Admin_Clas_Total,H$2,MATCH($A25,Rango_Admin_Clas_Primera,0)+1),"-")</f>
        <v>5</v>
      </c>
      <c r="I25" s="92" cm="1">
        <f t="array" aca="1" ref="I25" ca="1">IFERROR(INDEX(Rango_Admin_Clas_Total,I$2,MATCH($A25,Rango_Admin_Clas_Primera,0)+1),"-")</f>
        <v>48</v>
      </c>
      <c r="J25" s="92" cm="1">
        <f t="array" aca="1" ref="J25" ca="1">IFERROR(INDEX(Rango_Admin_Clas_Total,J$2,MATCH($A25,Rango_Admin_Clas_Primera,0)+1),"-")</f>
        <v>4</v>
      </c>
      <c r="K25" s="92" cm="1">
        <f t="array" aca="1" ref="K25" ca="1">IFERROR(INDEX(Rango_Admin_Clas_Total,K$2,MATCH($A25,Rango_Admin_Clas_Primera,0)+1),"-")</f>
        <v>35</v>
      </c>
      <c r="L25" s="92" cm="1">
        <f t="array" aca="1" ref="L25" ca="1">IFERROR(INDEX(Rango_Admin_Clas_Total,L$2,MATCH($A25,Rango_Admin_Clas_Primera,0)+1),"-")</f>
        <v>6</v>
      </c>
      <c r="M25" s="92" cm="1">
        <f t="array" aca="1" ref="M25" ca="1">IFERROR(INDEX(Rango_Admin_Clas_Total,M$2,MATCH($A25,Rango_Admin_Clas_Primera,0)+1),"-")</f>
        <v>20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Florentino Netanyahu</v>
      </c>
      <c r="D26" s="91">
        <f ca="1">IFERROR(HLOOKUP(A26,Rango_Admin_Clas,4,FALSE),"-")</f>
        <v>301</v>
      </c>
      <c r="E26" s="92" cm="1">
        <f t="array" aca="1" ref="E26" ca="1">IFERROR(INDEX(Rango_Admin_Clas_Total,E$2,MATCH($A26,Rango_Admin_Clas_Primera,0)+1),"-")</f>
        <v>67</v>
      </c>
      <c r="F26" s="92" cm="1">
        <f t="array" aca="1" ref="F26" ca="1">IFERROR(INDEX(Rango_Admin_Clas_Total,F$2,MATCH($A26,Rango_Admin_Clas_Primera,0)+1),"-")</f>
        <v>54</v>
      </c>
      <c r="G26" s="92" cm="1">
        <f t="array" aca="1" ref="G26" ca="1">IFERROR(INDEX(Rango_Admin_Clas_Total,G$2,MATCH($A26,Rango_Admin_Clas_Primera,0)+1),"-")</f>
        <v>75</v>
      </c>
      <c r="H26" s="92" cm="1">
        <f t="array" aca="1" ref="H26" ca="1">IFERROR(INDEX(Rango_Admin_Clas_Total,H$2,MATCH($A26,Rango_Admin_Clas_Primera,0)+1),"-")</f>
        <v>12</v>
      </c>
      <c r="I26" s="92" cm="1">
        <f t="array" aca="1" ref="I26" ca="1">IFERROR(INDEX(Rango_Admin_Clas_Total,I$2,MATCH($A26,Rango_Admin_Clas_Primera,0)+1),"-")</f>
        <v>44</v>
      </c>
      <c r="J26" s="92" cm="1">
        <f t="array" aca="1" ref="J26" ca="1">IFERROR(INDEX(Rango_Admin_Clas_Total,J$2,MATCH($A26,Rango_Admin_Clas_Primera,0)+1),"-")</f>
        <v>0</v>
      </c>
      <c r="K26" s="92" cm="1">
        <f t="array" aca="1" ref="K26" ca="1">IFERROR(INDEX(Rango_Admin_Clas_Total,K$2,MATCH($A26,Rango_Admin_Clas_Primera,0)+1),"-")</f>
        <v>20</v>
      </c>
      <c r="L26" s="92" cm="1">
        <f t="array" aca="1" ref="L26" ca="1">IFERROR(INDEX(Rango_Admin_Clas_Total,L$2,MATCH($A26,Rango_Admin_Clas_Primera,0)+1),"-")</f>
        <v>0</v>
      </c>
      <c r="M26" s="92" cm="1">
        <f t="array" aca="1" ref="M26" ca="1">IFERROR(INDEX(Rango_Admin_Clas_Total,M$2,MATCH($A26,Rango_Admin_Clas_Primera,0)+1),"-")</f>
        <v>15</v>
      </c>
      <c r="N26" s="92" cm="1">
        <f t="array" aca="1" ref="N26" ca="1">IFERROR(INDEX(Rango_Admin_Clas_Total,N$2,MATCH($A26,Rango_Admin_Clas_Primera,0)+1),"-")</f>
        <v>1</v>
      </c>
      <c r="O26" s="92" cm="1">
        <f t="array" aca="1" ref="O26" ca="1">IFERROR(INDEX(Rango_Admin_Clas_Total,O$2,MATCH($A26,Rango_Admin_Clas_Primera,0)+1),"-")</f>
        <v>6</v>
      </c>
      <c r="P26" s="92" cm="1">
        <f t="array" aca="1" ref="P26" ca="1">IFERROR(INDEX(Rango_Admin_Clas_Total,P$2,MATCH($A26,Rango_Admin_Clas_Primera,0)+1),"-")</f>
        <v>7</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Hulk Rexach</v>
      </c>
      <c r="D27" s="91">
        <f ca="1">IFERROR(HLOOKUP(A27,Rango_Admin_Clas,4,FALSE),"-")</f>
        <v>300</v>
      </c>
      <c r="E27" s="92" cm="1">
        <f t="array" aca="1" ref="E27" ca="1">IFERROR(INDEX(Rango_Admin_Clas_Total,E$2,MATCH($A27,Rango_Admin_Clas_Primera,0)+1),"-")</f>
        <v>66</v>
      </c>
      <c r="F27" s="92" cm="1">
        <f t="array" aca="1" ref="F27" ca="1">IFERROR(INDEX(Rango_Admin_Clas_Total,F$2,MATCH($A27,Rango_Admin_Clas_Primera,0)+1),"-")</f>
        <v>56</v>
      </c>
      <c r="G27" s="92" cm="1">
        <f t="array" aca="1" ref="G27" ca="1">IFERROR(INDEX(Rango_Admin_Clas_Total,G$2,MATCH($A27,Rango_Admin_Clas_Primera,0)+1),"-")</f>
        <v>78</v>
      </c>
      <c r="H27" s="92" cm="1">
        <f t="array" aca="1" ref="H27" ca="1">IFERROR(INDEX(Rango_Admin_Clas_Total,H$2,MATCH($A27,Rango_Admin_Clas_Primera,0)+1),"-")</f>
        <v>3</v>
      </c>
      <c r="I27" s="92" cm="1">
        <f t="array" aca="1" ref="I27" ca="1">IFERROR(INDEX(Rango_Admin_Clas_Total,I$2,MATCH($A27,Rango_Admin_Clas_Primera,0)+1),"-")</f>
        <v>44</v>
      </c>
      <c r="J27" s="92" cm="1">
        <f t="array" aca="1" ref="J27" ca="1">IFERROR(INDEX(Rango_Admin_Clas_Total,J$2,MATCH($A27,Rango_Admin_Clas_Primera,0)+1),"-")</f>
        <v>0</v>
      </c>
      <c r="K27" s="92" cm="1">
        <f t="array" aca="1" ref="K27" ca="1">IFERROR(INDEX(Rango_Admin_Clas_Total,K$2,MATCH($A27,Rango_Admin_Clas_Primera,0)+1),"-")</f>
        <v>25</v>
      </c>
      <c r="L27" s="92" cm="1">
        <f t="array" aca="1" ref="L27" ca="1">IFERROR(INDEX(Rango_Admin_Clas_Total,L$2,MATCH($A27,Rango_Admin_Clas_Primera,0)+1),"-")</f>
        <v>1</v>
      </c>
      <c r="M27" s="92" cm="1">
        <f t="array" aca="1" ref="M27" ca="1">IFERROR(INDEX(Rango_Admin_Clas_Total,M$2,MATCH($A27,Rango_Admin_Clas_Primera,0)+1),"-")</f>
        <v>10</v>
      </c>
      <c r="N27" s="92" cm="1">
        <f t="array" aca="1" ref="N27" ca="1">IFERROR(INDEX(Rango_Admin_Clas_Total,N$2,MATCH($A27,Rango_Admin_Clas_Primera,0)+1),"-")</f>
        <v>4</v>
      </c>
      <c r="O27" s="92" cm="1">
        <f t="array" aca="1" ref="O27" ca="1">IFERROR(INDEX(Rango_Admin_Clas_Total,O$2,MATCH($A27,Rango_Admin_Clas_Primera,0)+1),"-")</f>
        <v>6</v>
      </c>
      <c r="P27" s="92" cm="1">
        <f t="array" aca="1" ref="P27" ca="1">IFERROR(INDEX(Rango_Admin_Clas_Total,P$2,MATCH($A27,Rango_Admin_Clas_Primera,0)+1),"-")</f>
        <v>7</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AD Monchus</v>
      </c>
      <c r="D28" s="91">
        <f ca="1">IFERROR(HLOOKUP(A28,Rango_Admin_Clas,4,FALSE),"-")</f>
        <v>299</v>
      </c>
      <c r="E28" s="92" cm="1">
        <f t="array" aca="1" ref="E28" ca="1">IFERROR(INDEX(Rango_Admin_Clas_Total,E$2,MATCH($A28,Rango_Admin_Clas_Primera,0)+1),"-")</f>
        <v>67</v>
      </c>
      <c r="F28" s="92" cm="1">
        <f t="array" aca="1" ref="F28" ca="1">IFERROR(INDEX(Rango_Admin_Clas_Total,F$2,MATCH($A28,Rango_Admin_Clas_Primera,0)+1),"-")</f>
        <v>64</v>
      </c>
      <c r="G28" s="92" cm="1">
        <f t="array" aca="1" ref="G28" ca="1">IFERROR(INDEX(Rango_Admin_Clas_Total,G$2,MATCH($A28,Rango_Admin_Clas_Primera,0)+1),"-")</f>
        <v>78</v>
      </c>
      <c r="H28" s="92" cm="1">
        <f t="array" aca="1" ref="H28" ca="1">IFERROR(INDEX(Rango_Admin_Clas_Total,H$2,MATCH($A28,Rango_Admin_Clas_Primera,0)+1),"-")</f>
        <v>4</v>
      </c>
      <c r="I28" s="92" cm="1">
        <f t="array" aca="1" ref="I28" ca="1">IFERROR(INDEX(Rango_Admin_Clas_Total,I$2,MATCH($A28,Rango_Admin_Clas_Primera,0)+1),"-")</f>
        <v>48</v>
      </c>
      <c r="J28" s="92" cm="1">
        <f t="array" aca="1" ref="J28" ca="1">IFERROR(INDEX(Rango_Admin_Clas_Total,J$2,MATCH($A28,Rango_Admin_Clas_Primera,0)+1),"-")</f>
        <v>0</v>
      </c>
      <c r="K28" s="92" cm="1">
        <f t="array" aca="1" ref="K28" ca="1">IFERROR(INDEX(Rango_Admin_Clas_Total,K$2,MATCH($A28,Rango_Admin_Clas_Primera,0)+1),"-")</f>
        <v>15</v>
      </c>
      <c r="L28" s="92" cm="1">
        <f t="array" aca="1" ref="L28" ca="1">IFERROR(INDEX(Rango_Admin_Clas_Total,L$2,MATCH($A28,Rango_Admin_Clas_Primera,0)+1),"-")</f>
        <v>0</v>
      </c>
      <c r="M28" s="92" cm="1">
        <f t="array" aca="1" ref="M28" ca="1">IFERROR(INDEX(Rango_Admin_Clas_Total,M$2,MATCH($A28,Rango_Admin_Clas_Primera,0)+1),"-")</f>
        <v>10</v>
      </c>
      <c r="N28" s="92" cm="1">
        <f t="array" aca="1" ref="N28" ca="1">IFERROR(INDEX(Rango_Admin_Clas_Total,N$2,MATCH($A28,Rango_Admin_Clas_Primera,0)+1),"-")</f>
        <v>0</v>
      </c>
      <c r="O28" s="92" cm="1">
        <f t="array" aca="1" ref="O28" ca="1">IFERROR(INDEX(Rango_Admin_Clas_Total,O$2,MATCH($A28,Rango_Admin_Clas_Primera,0)+1),"-")</f>
        <v>6</v>
      </c>
      <c r="P28" s="92" cm="1">
        <f t="array" aca="1" ref="P28" ca="1">IFERROR(INDEX(Rango_Admin_Clas_Total,P$2,MATCH($A28,Rango_Admin_Clas_Primera,0)+1),"-")</f>
        <v>7</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Nacho Novo</v>
      </c>
      <c r="D29" s="91">
        <f ca="1">IFERROR(HLOOKUP(A29,Rango_Admin_Clas,4,FALSE),"-")</f>
        <v>296</v>
      </c>
      <c r="E29" s="92" cm="1">
        <f t="array" aca="1" ref="E29" ca="1">IFERROR(INDEX(Rango_Admin_Clas_Total,E$2,MATCH($A29,Rango_Admin_Clas_Primera,0)+1),"-")</f>
        <v>65</v>
      </c>
      <c r="F29" s="92" cm="1">
        <f t="array" aca="1" ref="F29" ca="1">IFERROR(INDEX(Rango_Admin_Clas_Total,F$2,MATCH($A29,Rango_Admin_Clas_Primera,0)+1),"-")</f>
        <v>58</v>
      </c>
      <c r="G29" s="92" cm="1">
        <f t="array" aca="1" ref="G29" ca="1">IFERROR(INDEX(Rango_Admin_Clas_Total,G$2,MATCH($A29,Rango_Admin_Clas_Primera,0)+1),"-")</f>
        <v>81</v>
      </c>
      <c r="H29" s="92" cm="1">
        <f t="array" aca="1" ref="H29" ca="1">IFERROR(INDEX(Rango_Admin_Clas_Total,H$2,MATCH($A29,Rango_Admin_Clas_Primera,0)+1),"-")</f>
        <v>14</v>
      </c>
      <c r="I29" s="92" cm="1">
        <f t="array" aca="1" ref="I29" ca="1">IFERROR(INDEX(Rango_Admin_Clas_Total,I$2,MATCH($A29,Rango_Admin_Clas_Primera,0)+1),"-")</f>
        <v>40</v>
      </c>
      <c r="J29" s="92" cm="1">
        <f t="array" aca="1" ref="J29" ca="1">IFERROR(INDEX(Rango_Admin_Clas_Total,J$2,MATCH($A29,Rango_Admin_Clas_Primera,0)+1),"-")</f>
        <v>1</v>
      </c>
      <c r="K29" s="92" cm="1">
        <f t="array" aca="1" ref="K29" ca="1">IFERROR(INDEX(Rango_Admin_Clas_Total,K$2,MATCH($A29,Rango_Admin_Clas_Primera,0)+1),"-")</f>
        <v>20</v>
      </c>
      <c r="L29" s="92" cm="1">
        <f t="array" aca="1" ref="L29" ca="1">IFERROR(INDEX(Rango_Admin_Clas_Total,L$2,MATCH($A29,Rango_Admin_Clas_Primera,0)+1),"-")</f>
        <v>0</v>
      </c>
      <c r="M29" s="92" cm="1">
        <f t="array" aca="1" ref="M29" ca="1">IFERROR(INDEX(Rango_Admin_Clas_Total,M$2,MATCH($A29,Rango_Admin_Clas_Primera,0)+1),"-")</f>
        <v>10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7</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25</v>
      </c>
      <c r="C30" s="18" t="str">
        <f ca="1">IFERROR(HLOOKUP(A30,Rango_Admin_Clas,5,FALSE),"-")</f>
        <v>Guillermo Murciano</v>
      </c>
      <c r="D30" s="91">
        <f ca="1">IFERROR(HLOOKUP(A30,Rango_Admin_Clas,4,FALSE),"-")</f>
        <v>296</v>
      </c>
      <c r="E30" s="92" cm="1">
        <f t="array" aca="1" ref="E30" ca="1">IFERROR(INDEX(Rango_Admin_Clas_Total,E$2,MATCH($A30,Rango_Admin_Clas_Primera,0)+1),"-")</f>
        <v>64</v>
      </c>
      <c r="F30" s="92" cm="1">
        <f t="array" aca="1" ref="F30" ca="1">IFERROR(INDEX(Rango_Admin_Clas_Total,F$2,MATCH($A30,Rango_Admin_Clas_Primera,0)+1),"-")</f>
        <v>64</v>
      </c>
      <c r="G30" s="92" cm="1">
        <f t="array" aca="1" ref="G30" ca="1">IFERROR(INDEX(Rango_Admin_Clas_Total,G$2,MATCH($A30,Rango_Admin_Clas_Primera,0)+1),"-")</f>
        <v>78</v>
      </c>
      <c r="H30" s="92" cm="1">
        <f t="array" aca="1" ref="H30" ca="1">IFERROR(INDEX(Rango_Admin_Clas_Total,H$2,MATCH($A30,Rango_Admin_Clas_Primera,0)+1),"-")</f>
        <v>6</v>
      </c>
      <c r="I30" s="92" cm="1">
        <f t="array" aca="1" ref="I30" ca="1">IFERROR(INDEX(Rango_Admin_Clas_Total,I$2,MATCH($A30,Rango_Admin_Clas_Primera,0)+1),"-")</f>
        <v>40</v>
      </c>
      <c r="J30" s="92" cm="1">
        <f t="array" aca="1" ref="J30" ca="1">IFERROR(INDEX(Rango_Admin_Clas_Total,J$2,MATCH($A30,Rango_Admin_Clas_Primera,0)+1),"-")</f>
        <v>1</v>
      </c>
      <c r="K30" s="92" cm="1">
        <f t="array" aca="1" ref="K30" ca="1">IFERROR(INDEX(Rango_Admin_Clas_Total,K$2,MATCH($A30,Rango_Admin_Clas_Primera,0)+1),"-")</f>
        <v>20</v>
      </c>
      <c r="L30" s="92" cm="1">
        <f t="array" aca="1" ref="L30" ca="1">IFERROR(INDEX(Rango_Admin_Clas_Total,L$2,MATCH($A30,Rango_Admin_Clas_Primera,0)+1),"-")</f>
        <v>0</v>
      </c>
      <c r="M30" s="92" cm="1">
        <f t="array" aca="1" ref="M30" ca="1">IFERROR(INDEX(Rango_Admin_Clas_Total,M$2,MATCH($A30,Rango_Admin_Clas_Primera,0)+1),"-")</f>
        <v>10</v>
      </c>
      <c r="N30" s="92" cm="1">
        <f t="array" aca="1" ref="N30" ca="1">IFERROR(INDEX(Rango_Admin_Clas_Total,N$2,MATCH($A30,Rango_Admin_Clas_Primera,0)+1),"-")</f>
        <v>0</v>
      </c>
      <c r="O30" s="92" cm="1">
        <f t="array" aca="1" ref="O30" ca="1">IFERROR(INDEX(Rango_Admin_Clas_Total,O$2,MATCH($A30,Rango_Admin_Clas_Primera,0)+1),"-")</f>
        <v>6</v>
      </c>
      <c r="P30" s="92" cm="1">
        <f t="array" aca="1" ref="P30" ca="1">IFERROR(INDEX(Rango_Admin_Clas_Total,P$2,MATCH($A30,Rango_Admin_Clas_Primera,0)+1),"-")</f>
        <v>7</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Admin</v>
      </c>
      <c r="D31" s="91">
        <f ca="1">IFERROR(HLOOKUP(A31,Rango_Admin_Clas,4,FALSE),"-")</f>
        <v>295</v>
      </c>
      <c r="E31" s="92" cm="1">
        <f t="array" aca="1" ref="E31" ca="1">IFERROR(INDEX(Rango_Admin_Clas_Total,E$2,MATCH($A31,Rango_Admin_Clas_Primera,0)+1),"-")</f>
        <v>63</v>
      </c>
      <c r="F31" s="92" cm="1">
        <f t="array" aca="1" ref="F31" ca="1">IFERROR(INDEX(Rango_Admin_Clas_Total,F$2,MATCH($A31,Rango_Admin_Clas_Primera,0)+1),"-")</f>
        <v>62</v>
      </c>
      <c r="G31" s="92" cm="1">
        <f t="array" aca="1" ref="G31" ca="1">IFERROR(INDEX(Rango_Admin_Clas_Total,G$2,MATCH($A31,Rango_Admin_Clas_Primera,0)+1),"-")</f>
        <v>78</v>
      </c>
      <c r="H31" s="92" cm="1">
        <f t="array" aca="1" ref="H31" ca="1">IFERROR(INDEX(Rango_Admin_Clas_Total,H$2,MATCH($A31,Rango_Admin_Clas_Primera,0)+1),"-")</f>
        <v>8</v>
      </c>
      <c r="I31" s="92" cm="1">
        <f t="array" aca="1" ref="I31" ca="1">IFERROR(INDEX(Rango_Admin_Clas_Total,I$2,MATCH($A31,Rango_Admin_Clas_Primera,0)+1),"-")</f>
        <v>44</v>
      </c>
      <c r="J31" s="92" cm="1">
        <f t="array" aca="1" ref="J31" ca="1">IFERROR(INDEX(Rango_Admin_Clas_Total,J$2,MATCH($A31,Rango_Admin_Clas_Primera,0)+1),"-")</f>
        <v>5</v>
      </c>
      <c r="K31" s="92" cm="1">
        <f t="array" aca="1" ref="K31" ca="1">IFERROR(INDEX(Rango_Admin_Clas_Total,K$2,MATCH($A31,Rango_Admin_Clas_Primera,0)+1),"-")</f>
        <v>20</v>
      </c>
      <c r="L31" s="92" cm="1">
        <f t="array" aca="1" ref="L31" ca="1">IFERROR(INDEX(Rango_Admin_Clas_Total,L$2,MATCH($A31,Rango_Admin_Clas_Primera,0)+1),"-")</f>
        <v>0</v>
      </c>
      <c r="M31" s="92" cm="1">
        <f t="array" aca="1" ref="M31" ca="1">IFERROR(INDEX(Rango_Admin_Clas_Total,M$2,MATCH($A31,Rango_Admin_Clas_Primera,0)+1),"-")</f>
        <v>15</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YTD</v>
      </c>
      <c r="D32" s="91">
        <f ca="1">IFERROR(HLOOKUP(A32,Rango_Admin_Clas,4,FALSE),"-")</f>
        <v>295</v>
      </c>
      <c r="E32" s="92" cm="1">
        <f t="array" aca="1" ref="E32" ca="1">IFERROR(INDEX(Rango_Admin_Clas_Total,E$2,MATCH($A32,Rango_Admin_Clas_Primera,0)+1),"-")</f>
        <v>65</v>
      </c>
      <c r="F32" s="92" cm="1">
        <f t="array" aca="1" ref="F32" ca="1">IFERROR(INDEX(Rango_Admin_Clas_Total,F$2,MATCH($A32,Rango_Admin_Clas_Primera,0)+1),"-")</f>
        <v>58</v>
      </c>
      <c r="G32" s="92" cm="1">
        <f t="array" aca="1" ref="G32" ca="1">IFERROR(INDEX(Rango_Admin_Clas_Total,G$2,MATCH($A32,Rango_Admin_Clas_Primera,0)+1),"-")</f>
        <v>75</v>
      </c>
      <c r="H32" s="92" cm="1">
        <f t="array" aca="1" ref="H32" ca="1">IFERROR(INDEX(Rango_Admin_Clas_Total,H$2,MATCH($A32,Rango_Admin_Clas_Primera,0)+1),"-")</f>
        <v>4</v>
      </c>
      <c r="I32" s="92" cm="1">
        <f t="array" aca="1" ref="I32" ca="1">IFERROR(INDEX(Rango_Admin_Clas_Total,I$2,MATCH($A32,Rango_Admin_Clas_Primera,0)+1),"-")</f>
        <v>44</v>
      </c>
      <c r="J32" s="92" cm="1">
        <f t="array" aca="1" ref="J32" ca="1">IFERROR(INDEX(Rango_Admin_Clas_Total,J$2,MATCH($A32,Rango_Admin_Clas_Primera,0)+1),"-")</f>
        <v>1</v>
      </c>
      <c r="K32" s="92" cm="1">
        <f t="array" aca="1" ref="K32" ca="1">IFERROR(INDEX(Rango_Admin_Clas_Total,K$2,MATCH($A32,Rango_Admin_Clas_Primera,0)+1),"-")</f>
        <v>25</v>
      </c>
      <c r="L32" s="92" cm="1">
        <f t="array" aca="1" ref="L32" ca="1">IFERROR(INDEX(Rango_Admin_Clas_Total,L$2,MATCH($A32,Rango_Admin_Clas_Primera,0)+1),"-")</f>
        <v>0</v>
      </c>
      <c r="M32" s="92" cm="1">
        <f t="array" aca="1" ref="M32" ca="1">IFERROR(INDEX(Rango_Admin_Clas_Total,M$2,MATCH($A32,Rango_Admin_Clas_Primera,0)+1),"-")</f>
        <v>10</v>
      </c>
      <c r="N32" s="92" cm="1">
        <f t="array" aca="1" ref="N32" ca="1">IFERROR(INDEX(Rango_Admin_Clas_Total,N$2,MATCH($A32,Rango_Admin_Clas_Primera,0)+1),"-")</f>
        <v>0</v>
      </c>
      <c r="O32" s="92" cm="1">
        <f t="array" aca="1" ref="O32" ca="1">IFERROR(INDEX(Rango_Admin_Clas_Total,O$2,MATCH($A32,Rango_Admin_Clas_Primera,0)+1),"-")</f>
        <v>6</v>
      </c>
      <c r="P32" s="92" cm="1">
        <f t="array" aca="1" ref="P32" ca="1">IFERROR(INDEX(Rango_Admin_Clas_Total,P$2,MATCH($A32,Rango_Admin_Clas_Primera,0)+1),"-")</f>
        <v>7</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27</v>
      </c>
      <c r="C33" s="18" t="str">
        <f ca="1">IFERROR(HLOOKUP(A33,Rango_Admin_Clas,5,FALSE),"-")</f>
        <v>Miguel Suárez-Zuloaga</v>
      </c>
      <c r="D33" s="91">
        <f ca="1">IFERROR(HLOOKUP(A33,Rango_Admin_Clas,4,FALSE),"-")</f>
        <v>295</v>
      </c>
      <c r="E33" s="92" cm="1">
        <f t="array" aca="1" ref="E33" ca="1">IFERROR(INDEX(Rango_Admin_Clas_Total,E$2,MATCH($A33,Rango_Admin_Clas_Primera,0)+1),"-")</f>
        <v>78</v>
      </c>
      <c r="F33" s="92" cm="1">
        <f t="array" aca="1" ref="F33" ca="1">IFERROR(INDEX(Rango_Admin_Clas_Total,F$2,MATCH($A33,Rango_Admin_Clas_Primera,0)+1),"-")</f>
        <v>56</v>
      </c>
      <c r="G33" s="92" cm="1">
        <f t="array" aca="1" ref="G33" ca="1">IFERROR(INDEX(Rango_Admin_Clas_Total,G$2,MATCH($A33,Rango_Admin_Clas_Primera,0)+1),"-")</f>
        <v>78</v>
      </c>
      <c r="H33" s="92" cm="1">
        <f t="array" aca="1" ref="H33" ca="1">IFERROR(INDEX(Rango_Admin_Clas_Total,H$2,MATCH($A33,Rango_Admin_Clas_Primera,0)+1),"-")</f>
        <v>9</v>
      </c>
      <c r="I33" s="92" cm="1">
        <f t="array" aca="1" ref="I33" ca="1">IFERROR(INDEX(Rango_Admin_Clas_Total,I$2,MATCH($A33,Rango_Admin_Clas_Primera,0)+1),"-")</f>
        <v>44</v>
      </c>
      <c r="J33" s="92" cm="1">
        <f t="array" aca="1" ref="J33" ca="1">IFERROR(INDEX(Rango_Admin_Clas_Total,J$2,MATCH($A33,Rango_Admin_Clas_Primera,0)+1),"-")</f>
        <v>0</v>
      </c>
      <c r="K33" s="92" cm="1">
        <f t="array" aca="1" ref="K33" ca="1">IFERROR(INDEX(Rango_Admin_Clas_Total,K$2,MATCH($A33,Rango_Admin_Clas_Primera,0)+1),"-")</f>
        <v>20</v>
      </c>
      <c r="L33" s="92" cm="1">
        <f t="array" aca="1" ref="L33" ca="1">IFERROR(INDEX(Rango_Admin_Clas_Total,L$2,MATCH($A33,Rango_Admin_Clas_Primera,0)+1),"-")</f>
        <v>0</v>
      </c>
      <c r="M33" s="92" cm="1">
        <f t="array" aca="1" ref="M33" ca="1">IFERROR(INDEX(Rango_Admin_Clas_Total,M$2,MATCH($A33,Rango_Admin_Clas_Primera,0)+1),"-")</f>
        <v>10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Antonio Zulueta Ramos</v>
      </c>
      <c r="D34" s="91">
        <f ca="1">IFERROR(HLOOKUP(A34,Rango_Admin_Clas,4,FALSE),"-")</f>
        <v>291</v>
      </c>
      <c r="E34" s="92" cm="1">
        <f t="array" aca="1" ref="E34" ca="1">IFERROR(INDEX(Rango_Admin_Clas_Total,E$2,MATCH($A34,Rango_Admin_Clas_Primera,0)+1),"-")</f>
        <v>72</v>
      </c>
      <c r="F34" s="92" cm="1">
        <f t="array" aca="1" ref="F34" ca="1">IFERROR(INDEX(Rango_Admin_Clas_Total,F$2,MATCH($A34,Rango_Admin_Clas_Primera,0)+1),"-")</f>
        <v>64</v>
      </c>
      <c r="G34" s="92" cm="1">
        <f t="array" aca="1" ref="G34" ca="1">IFERROR(INDEX(Rango_Admin_Clas_Total,G$2,MATCH($A34,Rango_Admin_Clas_Primera,0)+1),"-")</f>
        <v>78</v>
      </c>
      <c r="H34" s="92" cm="1">
        <f t="array" aca="1" ref="H34" ca="1">IFERROR(INDEX(Rango_Admin_Clas_Total,H$2,MATCH($A34,Rango_Admin_Clas_Primera,0)+1),"-")</f>
        <v>11</v>
      </c>
      <c r="I34" s="92" cm="1">
        <f t="array" aca="1" ref="I34" ca="1">IFERROR(INDEX(Rango_Admin_Clas_Total,I$2,MATCH($A34,Rango_Admin_Clas_Primera,0)+1),"-")</f>
        <v>40</v>
      </c>
      <c r="J34" s="92" cm="1">
        <f t="array" aca="1" ref="J34" ca="1">IFERROR(INDEX(Rango_Admin_Clas_Total,J$2,MATCH($A34,Rango_Admin_Clas_Primera,0)+1),"-")</f>
        <v>0</v>
      </c>
      <c r="K34" s="92" cm="1">
        <f t="array" aca="1" ref="K34" ca="1">IFERROR(INDEX(Rango_Admin_Clas_Total,K$2,MATCH($A34,Rango_Admin_Clas_Primera,0)+1),"-")</f>
        <v>20</v>
      </c>
      <c r="L34" s="92" cm="1">
        <f t="array" aca="1" ref="L34" ca="1">IFERROR(INDEX(Rango_Admin_Clas_Total,L$2,MATCH($A34,Rango_Admin_Clas_Primera,0)+1),"-")</f>
        <v>1</v>
      </c>
      <c r="M34" s="92" cm="1">
        <f t="array" aca="1" ref="M34" ca="1">IFERROR(INDEX(Rango_Admin_Clas_Total,M$2,MATCH($A34,Rango_Admin_Clas_Primera,0)+1),"-")</f>
        <v>5</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Pablo C</v>
      </c>
      <c r="D35" s="91">
        <f ca="1">IFERROR(HLOOKUP(A35,Rango_Admin_Clas,4,FALSE),"-")</f>
        <v>288</v>
      </c>
      <c r="E35" s="92" cm="1">
        <f t="array" aca="1" ref="E35" ca="1">IFERROR(INDEX(Rango_Admin_Clas_Total,E$2,MATCH($A35,Rango_Admin_Clas_Primera,0)+1),"-")</f>
        <v>67</v>
      </c>
      <c r="F35" s="92" cm="1">
        <f t="array" aca="1" ref="F35" ca="1">IFERROR(INDEX(Rango_Admin_Clas_Total,F$2,MATCH($A35,Rango_Admin_Clas_Primera,0)+1),"-")</f>
        <v>56</v>
      </c>
      <c r="G35" s="92" cm="1">
        <f t="array" aca="1" ref="G35" ca="1">IFERROR(INDEX(Rango_Admin_Clas_Total,G$2,MATCH($A35,Rango_Admin_Clas_Primera,0)+1),"-")</f>
        <v>81</v>
      </c>
      <c r="H35" s="92" cm="1">
        <f t="array" aca="1" ref="H35" ca="1">IFERROR(INDEX(Rango_Admin_Clas_Total,H$2,MATCH($A35,Rango_Admin_Clas_Primera,0)+1),"-")</f>
        <v>1</v>
      </c>
      <c r="I35" s="92" cm="1">
        <f t="array" aca="1" ref="I35" ca="1">IFERROR(INDEX(Rango_Admin_Clas_Total,I$2,MATCH($A35,Rango_Admin_Clas_Primera,0)+1),"-")</f>
        <v>40</v>
      </c>
      <c r="J35" s="92" cm="1">
        <f t="array" aca="1" ref="J35" ca="1">IFERROR(INDEX(Rango_Admin_Clas_Total,J$2,MATCH($A35,Rango_Admin_Clas_Primera,0)+1),"-")</f>
        <v>0</v>
      </c>
      <c r="K35" s="92" cm="1">
        <f t="array" aca="1" ref="K35" ca="1">IFERROR(INDEX(Rango_Admin_Clas_Total,K$2,MATCH($A35,Rango_Admin_Clas_Primera,0)+1),"-")</f>
        <v>20</v>
      </c>
      <c r="L35" s="92" cm="1">
        <f t="array" aca="1" ref="L35" ca="1">IFERROR(INDEX(Rango_Admin_Clas_Total,L$2,MATCH($A35,Rango_Admin_Clas_Primera,0)+1),"-")</f>
        <v>1</v>
      </c>
      <c r="M35" s="92" cm="1">
        <f t="array" aca="1" ref="M35" ca="1">IFERROR(INDEX(Rango_Admin_Clas_Total,M$2,MATCH($A35,Rango_Admin_Clas_Primera,0)+1),"-")</f>
        <v>15</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7</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DIDI</v>
      </c>
      <c r="D36" s="91">
        <f ca="1">IFERROR(HLOOKUP(A36,Rango_Admin_Clas,4,FALSE),"-")</f>
        <v>284</v>
      </c>
      <c r="E36" s="92" cm="1">
        <f t="array" aca="1" ref="E36" ca="1">IFERROR(INDEX(Rango_Admin_Clas_Total,E$2,MATCH($A36,Rango_Admin_Clas_Primera,0)+1),"-")</f>
        <v>67</v>
      </c>
      <c r="F36" s="92" cm="1">
        <f t="array" aca="1" ref="F36" ca="1">IFERROR(INDEX(Rango_Admin_Clas_Total,F$2,MATCH($A36,Rango_Admin_Clas_Primera,0)+1),"-")</f>
        <v>58</v>
      </c>
      <c r="G36" s="92" cm="1">
        <f t="array" aca="1" ref="G36" ca="1">IFERROR(INDEX(Rango_Admin_Clas_Total,G$2,MATCH($A36,Rango_Admin_Clas_Primera,0)+1),"-")</f>
        <v>78</v>
      </c>
      <c r="H36" s="92" cm="1">
        <f t="array" aca="1" ref="H36" ca="1">IFERROR(INDEX(Rango_Admin_Clas_Total,H$2,MATCH($A36,Rango_Admin_Clas_Primera,0)+1),"-")</f>
        <v>6</v>
      </c>
      <c r="I36" s="92" cm="1">
        <f t="array" aca="1" ref="I36" ca="1">IFERROR(INDEX(Rango_Admin_Clas_Total,I$2,MATCH($A36,Rango_Admin_Clas_Primera,0)+1),"-")</f>
        <v>48</v>
      </c>
      <c r="J36" s="92" cm="1">
        <f t="array" aca="1" ref="J36" ca="1">IFERROR(INDEX(Rango_Admin_Clas_Total,J$2,MATCH($A36,Rango_Admin_Clas_Primera,0)+1),"-")</f>
        <v>0</v>
      </c>
      <c r="K36" s="92" cm="1">
        <f t="array" aca="1" ref="K36" ca="1">IFERROR(INDEX(Rango_Admin_Clas_Total,K$2,MATCH($A36,Rango_Admin_Clas_Primera,0)+1),"-")</f>
        <v>10</v>
      </c>
      <c r="L36" s="92" cm="1">
        <f t="array" aca="1" ref="L36" ca="1">IFERROR(INDEX(Rango_Admin_Clas_Total,L$2,MATCH($A36,Rango_Admin_Clas_Primera,0)+1),"-")</f>
        <v>0</v>
      </c>
      <c r="M36" s="92" cm="1">
        <f t="array" aca="1" ref="M36" ca="1">IFERROR(INDEX(Rango_Admin_Clas_Total,M$2,MATCH($A36,Rango_Admin_Clas_Primera,0)+1),"-")</f>
        <v>10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7</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Chente Muñoz</v>
      </c>
      <c r="D37" s="91">
        <f ca="1">IFERROR(HLOOKUP(A37,Rango_Admin_Clas,4,FALSE),"-")</f>
        <v>277</v>
      </c>
      <c r="E37" s="92" cm="1">
        <f t="array" aca="1" ref="E37" ca="1">IFERROR(INDEX(Rango_Admin_Clas_Total,E$2,MATCH($A37,Rango_Admin_Clas_Primera,0)+1),"-")</f>
        <v>60</v>
      </c>
      <c r="F37" s="92" cm="1">
        <f t="array" aca="1" ref="F37" ca="1">IFERROR(INDEX(Rango_Admin_Clas_Total,F$2,MATCH($A37,Rango_Admin_Clas_Primera,0)+1),"-")</f>
        <v>66</v>
      </c>
      <c r="G37" s="92" cm="1">
        <f t="array" aca="1" ref="G37" ca="1">IFERROR(INDEX(Rango_Admin_Clas_Total,G$2,MATCH($A37,Rango_Admin_Clas_Primera,0)+1),"-")</f>
        <v>81</v>
      </c>
      <c r="H37" s="92" cm="1">
        <f t="array" aca="1" ref="H37" ca="1">IFERROR(INDEX(Rango_Admin_Clas_Total,H$2,MATCH($A37,Rango_Admin_Clas_Primera,0)+1),"-")</f>
        <v>4</v>
      </c>
      <c r="I37" s="92" cm="1">
        <f t="array" aca="1" ref="I37" ca="1">IFERROR(INDEX(Rango_Admin_Clas_Total,I$2,MATCH($A37,Rango_Admin_Clas_Primera,0)+1),"-")</f>
        <v>36</v>
      </c>
      <c r="J37" s="92" cm="1">
        <f t="array" aca="1" ref="J37" ca="1">IFERROR(INDEX(Rango_Admin_Clas_Total,J$2,MATCH($A37,Rango_Admin_Clas_Primera,0)+1),"-")</f>
        <v>0</v>
      </c>
      <c r="K37" s="92" cm="1">
        <f t="array" aca="1" ref="K37" ca="1">IFERROR(INDEX(Rango_Admin_Clas_Total,K$2,MATCH($A37,Rango_Admin_Clas_Primera,0)+1),"-")</f>
        <v>15</v>
      </c>
      <c r="L37" s="92" cm="1">
        <f t="array" aca="1" ref="L37" ca="1">IFERROR(INDEX(Rango_Admin_Clas_Total,L$2,MATCH($A37,Rango_Admin_Clas_Primera,0)+1),"-")</f>
        <v>0</v>
      </c>
      <c r="M37" s="92" cm="1">
        <f t="array" aca="1" ref="M37" ca="1">IFERROR(INDEX(Rango_Admin_Clas_Total,M$2,MATCH($A37,Rango_Admin_Clas_Primera,0)+1),"-")</f>
        <v>15</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Fercho Muro Matosex</v>
      </c>
      <c r="D38" s="91">
        <f ca="1">IFERROR(HLOOKUP(A38,Rango_Admin_Clas,4,FALSE),"-")</f>
        <v>275</v>
      </c>
      <c r="E38" s="92" cm="1">
        <f t="array" aca="1" ref="E38" ca="1">IFERROR(INDEX(Rango_Admin_Clas_Total,E$2,MATCH($A38,Rango_Admin_Clas_Primera,0)+1),"-")</f>
        <v>62</v>
      </c>
      <c r="F38" s="92" cm="1">
        <f t="array" aca="1" ref="F38" ca="1">IFERROR(INDEX(Rango_Admin_Clas_Total,F$2,MATCH($A38,Rango_Admin_Clas_Primera,0)+1),"-")</f>
        <v>56</v>
      </c>
      <c r="G38" s="92" cm="1">
        <f t="array" aca="1" ref="G38" ca="1">IFERROR(INDEX(Rango_Admin_Clas_Total,G$2,MATCH($A38,Rango_Admin_Clas_Primera,0)+1),"-")</f>
        <v>84</v>
      </c>
      <c r="H38" s="92" cm="1">
        <f t="array" aca="1" ref="H38" ca="1">IFERROR(INDEX(Rango_Admin_Clas_Total,H$2,MATCH($A38,Rango_Admin_Clas_Primera,0)+1),"-")</f>
        <v>11</v>
      </c>
      <c r="I38" s="92" cm="1">
        <f t="array" aca="1" ref="I38" ca="1">IFERROR(INDEX(Rango_Admin_Clas_Total,I$2,MATCH($A38,Rango_Admin_Clas_Primera,0)+1),"-")</f>
        <v>32</v>
      </c>
      <c r="J38" s="92" cm="1">
        <f t="array" aca="1" ref="J38" ca="1">IFERROR(INDEX(Rango_Admin_Clas_Total,J$2,MATCH($A38,Rango_Admin_Clas_Primera,0)+1),"-")</f>
        <v>0</v>
      </c>
      <c r="K38" s="92" cm="1">
        <f t="array" aca="1" ref="K38" ca="1">IFERROR(INDEX(Rango_Admin_Clas_Total,K$2,MATCH($A38,Rango_Admin_Clas_Primera,0)+1),"-")</f>
        <v>20</v>
      </c>
      <c r="L38" s="92" cm="1">
        <f t="array" aca="1" ref="L38" ca="1">IFERROR(INDEX(Rango_Admin_Clas_Total,L$2,MATCH($A38,Rango_Admin_Clas_Primera,0)+1),"-")</f>
        <v>0</v>
      </c>
      <c r="M38" s="92" cm="1">
        <f t="array" aca="1" ref="M38" ca="1">IFERROR(INDEX(Rango_Admin_Clas_Total,M$2,MATCH($A38,Rango_Admin_Clas_Primera,0)+1),"-")</f>
        <v>10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Gratacós</v>
      </c>
      <c r="D39" s="91">
        <f ca="1">IFERROR(HLOOKUP(A39,Rango_Admin_Clas,4,FALSE),"-")</f>
        <v>273</v>
      </c>
      <c r="E39" s="92" cm="1">
        <f t="array" aca="1" ref="E39" ca="1">IFERROR(INDEX(Rango_Admin_Clas_Total,E$2,MATCH($A39,Rango_Admin_Clas_Primera,0)+1),"-")</f>
        <v>79</v>
      </c>
      <c r="F39" s="92" cm="1">
        <f t="array" aca="1" ref="F39" ca="1">IFERROR(INDEX(Rango_Admin_Clas_Total,F$2,MATCH($A39,Rango_Admin_Clas_Primera,0)+1),"-")</f>
        <v>48</v>
      </c>
      <c r="G39" s="92" cm="1">
        <f t="array" aca="1" ref="G39" ca="1">IFERROR(INDEX(Rango_Admin_Clas_Total,G$2,MATCH($A39,Rango_Admin_Clas_Primera,0)+1),"-")</f>
        <v>75</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0</v>
      </c>
      <c r="K39" s="92" cm="1">
        <f t="array" aca="1" ref="K39" ca="1">IFERROR(INDEX(Rango_Admin_Clas_Total,K$2,MATCH($A39,Rango_Admin_Clas_Primera,0)+1),"-")</f>
        <v>15</v>
      </c>
      <c r="L39" s="92" cm="1">
        <f t="array" aca="1" ref="L39" ca="1">IFERROR(INDEX(Rango_Admin_Clas_Total,L$2,MATCH($A39,Rango_Admin_Clas_Primera,0)+1),"-")</f>
        <v>0</v>
      </c>
      <c r="M39" s="92" cm="1">
        <f t="array" aca="1" ref="M39" ca="1">IFERROR(INDEX(Rango_Admin_Clas_Total,M$2,MATCH($A39,Rango_Admin_Clas_Primera,0)+1),"-")</f>
        <v>10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 xml:space="preserve">Martín Matoses </v>
      </c>
      <c r="D40" s="91">
        <f ca="1">IFERROR(HLOOKUP(A40,Rango_Admin_Clas,4,FALSE),"-")</f>
        <v>273</v>
      </c>
      <c r="E40" s="92" cm="1">
        <f t="array" aca="1" ref="E40" ca="1">IFERROR(INDEX(Rango_Admin_Clas_Total,E$2,MATCH($A40,Rango_Admin_Clas_Primera,0)+1),"-")</f>
        <v>68</v>
      </c>
      <c r="F40" s="92" cm="1">
        <f t="array" aca="1" ref="F40" ca="1">IFERROR(INDEX(Rango_Admin_Clas_Total,F$2,MATCH($A40,Rango_Admin_Clas_Primera,0)+1),"-")</f>
        <v>44</v>
      </c>
      <c r="G40" s="92" cm="1">
        <f t="array" aca="1" ref="G40" ca="1">IFERROR(INDEX(Rango_Admin_Clas_Total,G$2,MATCH($A40,Rango_Admin_Clas_Primera,0)+1),"-")</f>
        <v>84</v>
      </c>
      <c r="H40" s="92" cm="1">
        <f t="array" aca="1" ref="H40" ca="1">IFERROR(INDEX(Rango_Admin_Clas_Total,H$2,MATCH($A40,Rango_Admin_Clas_Primera,0)+1),"-")</f>
        <v>2</v>
      </c>
      <c r="I40" s="92" cm="1">
        <f t="array" aca="1" ref="I40" ca="1">IFERROR(INDEX(Rango_Admin_Clas_Total,I$2,MATCH($A40,Rango_Admin_Clas_Primera,0)+1),"-")</f>
        <v>44</v>
      </c>
      <c r="J40" s="92" cm="1">
        <f t="array" aca="1" ref="J40" ca="1">IFERROR(INDEX(Rango_Admin_Clas_Total,J$2,MATCH($A40,Rango_Admin_Clas_Primera,0)+1),"-")</f>
        <v>3</v>
      </c>
      <c r="K40" s="92" cm="1">
        <f t="array" aca="1" ref="K40" ca="1">IFERROR(INDEX(Rango_Admin_Clas_Total,K$2,MATCH($A40,Rango_Admin_Clas_Primera,0)+1),"-")</f>
        <v>15</v>
      </c>
      <c r="L40" s="92" cm="1">
        <f t="array" aca="1" ref="L40" ca="1">IFERROR(INDEX(Rango_Admin_Clas_Total,L$2,MATCH($A40,Rango_Admin_Clas_Primera,0)+1),"-")</f>
        <v>1</v>
      </c>
      <c r="M40" s="92" cm="1">
        <f t="array" aca="1" ref="M40" ca="1">IFERROR(INDEX(Rango_Admin_Clas_Total,M$2,MATCH($A40,Rango_Admin_Clas_Primera,0)+1),"-")</f>
        <v>5</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7</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35</v>
      </c>
      <c r="C41" s="18" t="str">
        <f ca="1">IFERROR(HLOOKUP(A41,Rango_Admin_Clas,5,FALSE),"-")</f>
        <v>Ricardo Soto</v>
      </c>
      <c r="D41" s="91">
        <f ca="1">IFERROR(HLOOKUP(A41,Rango_Admin_Clas,4,FALSE),"-")</f>
        <v>273</v>
      </c>
      <c r="E41" s="92" cm="1">
        <f t="array" aca="1" ref="E41" ca="1">IFERROR(INDEX(Rango_Admin_Clas_Total,E$2,MATCH($A41,Rango_Admin_Clas_Primera,0)+1),"-")</f>
        <v>71</v>
      </c>
      <c r="F41" s="92" cm="1">
        <f t="array" aca="1" ref="F41" ca="1">IFERROR(INDEX(Rango_Admin_Clas_Total,F$2,MATCH($A41,Rango_Admin_Clas_Primera,0)+1),"-")</f>
        <v>52</v>
      </c>
      <c r="G41" s="92" cm="1">
        <f t="array" aca="1" ref="G41" ca="1">IFERROR(INDEX(Rango_Admin_Clas_Total,G$2,MATCH($A41,Rango_Admin_Clas_Primera,0)+1),"-")</f>
        <v>78</v>
      </c>
      <c r="H41" s="92" cm="1">
        <f t="array" aca="1" ref="H41" ca="1">IFERROR(INDEX(Rango_Admin_Clas_Total,H$2,MATCH($A41,Rango_Admin_Clas_Primera,0)+1),"-")</f>
        <v>3</v>
      </c>
      <c r="I41" s="92" cm="1">
        <f t="array" aca="1" ref="I41" ca="1">IFERROR(INDEX(Rango_Admin_Clas_Total,I$2,MATCH($A41,Rango_Admin_Clas_Primera,0)+1),"-")</f>
        <v>40</v>
      </c>
      <c r="J41" s="92" cm="1">
        <f t="array" aca="1" ref="J41" ca="1">IFERROR(INDEX(Rango_Admin_Clas_Total,J$2,MATCH($A41,Rango_Admin_Clas_Primera,0)+1),"-")</f>
        <v>2</v>
      </c>
      <c r="K41" s="92" cm="1">
        <f t="array" aca="1" ref="K41" ca="1">IFERROR(INDEX(Rango_Admin_Clas_Total,K$2,MATCH($A41,Rango_Admin_Clas_Primera,0)+1),"-")</f>
        <v>10</v>
      </c>
      <c r="L41" s="92" cm="1">
        <f t="array" aca="1" ref="L41" ca="1">IFERROR(INDEX(Rango_Admin_Clas_Total,L$2,MATCH($A41,Rango_Admin_Clas_Primera,0)+1),"-")</f>
        <v>0</v>
      </c>
      <c r="M41" s="92" cm="1">
        <f t="array" aca="1" ref="M41" ca="1">IFERROR(INDEX(Rango_Admin_Clas_Total,M$2,MATCH($A41,Rango_Admin_Clas_Primera,0)+1),"-")</f>
        <v>10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7</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bau</v>
      </c>
      <c r="D42" s="91">
        <f ca="1">IFERROR(HLOOKUP(A42,Rango_Admin_Clas,4,FALSE),"-")</f>
        <v>272</v>
      </c>
      <c r="E42" s="92" cm="1">
        <f t="array" aca="1" ref="E42" ca="1">IFERROR(INDEX(Rango_Admin_Clas_Total,E$2,MATCH($A42,Rango_Admin_Clas_Primera,0)+1),"-")</f>
        <v>69</v>
      </c>
      <c r="F42" s="92" cm="1">
        <f t="array" aca="1" ref="F42" ca="1">IFERROR(INDEX(Rango_Admin_Clas_Total,F$2,MATCH($A42,Rango_Admin_Clas_Primera,0)+1),"-")</f>
        <v>50</v>
      </c>
      <c r="G42" s="92" cm="1">
        <f t="array" aca="1" ref="G42" ca="1">IFERROR(INDEX(Rango_Admin_Clas_Total,G$2,MATCH($A42,Rango_Admin_Clas_Primera,0)+1),"-")</f>
        <v>78</v>
      </c>
      <c r="H42" s="92" cm="1">
        <f t="array" aca="1" ref="H42" ca="1">IFERROR(INDEX(Rango_Admin_Clas_Total,H$2,MATCH($A42,Rango_Admin_Clas_Primera,0)+1),"-")</f>
        <v>2</v>
      </c>
      <c r="I42" s="92" cm="1">
        <f t="array" aca="1" ref="I42" ca="1">IFERROR(INDEX(Rango_Admin_Clas_Total,I$2,MATCH($A42,Rango_Admin_Clas_Primera,0)+1),"-")</f>
        <v>48</v>
      </c>
      <c r="J42" s="92" cm="1">
        <f t="array" aca="1" ref="J42" ca="1">IFERROR(INDEX(Rango_Admin_Clas_Total,J$2,MATCH($A42,Rango_Admin_Clas_Primera,0)+1),"-")</f>
        <v>0</v>
      </c>
      <c r="K42" s="92" cm="1">
        <f t="array" aca="1" ref="K42" ca="1">IFERROR(INDEX(Rango_Admin_Clas_Total,K$2,MATCH($A42,Rango_Admin_Clas_Primera,0)+1),"-")</f>
        <v>15</v>
      </c>
      <c r="L42" s="92" cm="1">
        <f t="array" aca="1" ref="L42" ca="1">IFERROR(INDEX(Rango_Admin_Clas_Total,L$2,MATCH($A42,Rango_Admin_Clas_Primera,0)+1),"-")</f>
        <v>0</v>
      </c>
      <c r="M42" s="92" cm="1">
        <f t="array" aca="1" ref="M42" ca="1">IFERROR(INDEX(Rango_Admin_Clas_Total,M$2,MATCH($A42,Rango_Admin_Clas_Primera,0)+1),"-")</f>
        <v>10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 xml:space="preserve">Ignacio Núñez </v>
      </c>
      <c r="D43" s="91">
        <f ca="1">IFERROR(HLOOKUP(A43,Rango_Admin_Clas,4,FALSE),"-")</f>
        <v>272</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11</v>
      </c>
      <c r="I43" s="92" cm="1">
        <f t="array" aca="1" ref="I43" ca="1">IFERROR(INDEX(Rango_Admin_Clas_Total,I$2,MATCH($A43,Rango_Admin_Clas_Primera,0)+1),"-")</f>
        <v>40</v>
      </c>
      <c r="J43" s="92" cm="1">
        <f t="array" aca="1" ref="J43" ca="1">IFERROR(INDEX(Rango_Admin_Clas_Total,J$2,MATCH($A43,Rango_Admin_Clas_Primera,0)+1),"-")</f>
        <v>1</v>
      </c>
      <c r="K43" s="92" cm="1">
        <f t="array" aca="1" ref="K43" ca="1">IFERROR(INDEX(Rango_Admin_Clas_Total,K$2,MATCH($A43,Rango_Admin_Clas_Primera,0)+1),"-")</f>
        <v>15</v>
      </c>
      <c r="L43" s="92" cm="1">
        <f t="array" aca="1" ref="L43" ca="1">IFERROR(INDEX(Rango_Admin_Clas_Total,L$2,MATCH($A43,Rango_Admin_Clas_Primera,0)+1),"-")</f>
        <v>0</v>
      </c>
      <c r="M43" s="92" cm="1">
        <f t="array" aca="1" ref="M43" ca="1">IFERROR(INDEX(Rango_Admin_Clas_Total,M$2,MATCH($A43,Rango_Admin_Clas_Primera,0)+1),"-")</f>
        <v>5</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7</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Vicuinho</v>
      </c>
      <c r="D44" s="91">
        <f ca="1">IFERROR(HLOOKUP(A44,Rango_Admin_Clas,4,FALSE),"-")</f>
        <v>269</v>
      </c>
      <c r="E44" s="92" cm="1">
        <f t="array" aca="1" ref="E44" ca="1">IFERROR(INDEX(Rango_Admin_Clas_Total,E$2,MATCH($A44,Rango_Admin_Clas_Primera,0)+1),"-")</f>
        <v>63</v>
      </c>
      <c r="F44" s="92" cm="1">
        <f t="array" aca="1" ref="F44" ca="1">IFERROR(INDEX(Rango_Admin_Clas_Total,F$2,MATCH($A44,Rango_Admin_Clas_Primera,0)+1),"-")</f>
        <v>66</v>
      </c>
      <c r="G44" s="92" cm="1">
        <f t="array" aca="1" ref="G44" ca="1">IFERROR(INDEX(Rango_Admin_Clas_Total,G$2,MATCH($A44,Rango_Admin_Clas_Primera,0)+1),"-")</f>
        <v>75</v>
      </c>
      <c r="H44" s="92" cm="1">
        <f t="array" aca="1" ref="H44" ca="1">IFERROR(INDEX(Rango_Admin_Clas_Total,H$2,MATCH($A44,Rango_Admin_Clas_Primera,0)+1),"-")</f>
        <v>6</v>
      </c>
      <c r="I44" s="92" cm="1">
        <f t="array" aca="1" ref="I44" ca="1">IFERROR(INDEX(Rango_Admin_Clas_Total,I$2,MATCH($A44,Rango_Admin_Clas_Primera,0)+1),"-")</f>
        <v>44</v>
      </c>
      <c r="J44" s="92" cm="1">
        <f t="array" aca="1" ref="J44" ca="1">IFERROR(INDEX(Rango_Admin_Clas_Total,J$2,MATCH($A44,Rango_Admin_Clas_Primera,0)+1),"-")</f>
        <v>0</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5</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220</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1</v>
      </c>
      <c r="M45" s="92" cm="1">
        <f t="array" aca="1" ref="M45" ca="1">IFERROR(INDEX(Rango_Admin_Clas_Total,M$2,MATCH($A45,Rango_Admin_Clas_Primera,0)+1),"-")</f>
        <v>5</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0.97115384615384615</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294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0</v>
      </c>
      <c r="BL7" s="550">
        <f ca="1">COUNTIF(ADMIN!$M$226:$M$229,BG7)-BM7-BN7-BO7</f>
        <v>1</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 ca="1">+MID(INDEX(WORLDCUP!$AA$101:$AA$147,MATCH(AL13,WORLDCUP!$Z$101:$Z$147,0)),1,3)</f>
        <v>Fra</v>
      </c>
      <c r="AN13" s="594">
        <f>+IF(ISBLANK(INDEX(WORLDCUP!$AC$101:$AC$147,MATCH(AL13,WORLDCUP!$Z$101:$Z$147,0))),"",INDEX(WORLDCUP!$AC$101:$AC$147,MATCH(AL13,WORLDCUP!$Z$101:$Z$147,0)))</f>
        <v>0</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Esp</v>
      </c>
      <c r="AN14" s="594">
        <f>+IF(ISBLANK(INDEX(WORLDCUP!$AD$101:$AD$147,MATCH(AL14,WORLDCUP!$Z$101:$Z$147,0))),"",INDEX(WORLDCUP!$AD$101:$AD$147,MATCH(AL14,WORLDCUP!$Z$101:$Z$147,0)))</f>
        <v>2</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f>+IF(ISBLANK(INDEX(WORLDCUP!$AC$101:$AC$147,MATCH(AH19,WORLDCUP!$Z$101:$Z$147,0))),"",INDEX(WORLDCUP!$AC$101:$AC$147,MATCH(AH19,WORLDCUP!$Z$101:$Z$147,0)))</f>
        <v>2</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f>+IF(ISBLANK(INDEX(WORLDCUP!$AD$101:$AD$147,MATCH(AH20,WORLDCUP!$Z$101:$Z$147,0))),"",INDEX(WORLDCUP!$AD$101:$AD$147,MATCH(AH20,WORLDCUP!$Z$101:$Z$147,0)))</f>
        <v>1</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1</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Espa</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1</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f>+IF(ISBLANK(INDEX(WORLDCUP!$AC$101:$AC$147,MATCH(AH31,WORLDCUP!$Z$101:$Z$147,0))),"",INDEX(WORLDCUP!$AC$101:$AC$147,MATCH(AH31,WORLDCUP!$Z$101:$Z$147,0)))</f>
        <v>1</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Fran</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f>+IF(ISBLANK(INDEX(WORLDCUP!$AD$101:$AD$147,MATCH(AH32,WORLDCUP!$Z$101:$Z$147,0))),"",INDEX(WORLDCUP!$AD$101:$AD$147,MATCH(AH32,WORLDCUP!$Z$101:$Z$147,0)))</f>
        <v>2</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Ing</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Arge</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f>+IF(ISBLANK(INDEX(WORLDCUP!$AC$101:$AC$147,MATCH(AH43,WORLDCUP!$Z$101:$Z$147,0))),"",INDEX(WORLDCUP!$AC$101:$AC$147,MATCH(AH43,WORLDCUP!$Z$101:$Z$147,0)))</f>
        <v>3</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f>+IF(ISBLANK(INDEX(WORLDCUP!$AD$101:$AD$147,MATCH(AH44,WORLDCUP!$Z$101:$Z$147,0))),"",INDEX(WORLDCUP!$AD$101:$AD$147,MATCH(AH44,WORLDCUP!$Z$101:$Z$147,0)))</f>
        <v>1</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2026-07-14T20:59:17Z</dcterms:modified>
  <cp:category/>
</cp:coreProperties>
</file>